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40651d2bf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or" sheetId="1" r:id="R7e0d29c49b694ef8"/>
    <x:sheet xmlns:r="http://schemas.openxmlformats.org/officeDocument/2006/relationships" name="Activity Allowances" sheetId="2" r:id="R847116447b29402e"/>
    <x:sheet xmlns:r="http://schemas.openxmlformats.org/officeDocument/2006/relationships" name="Task Library" sheetId="3" r:id="Rbd10e810a792444b"/>
    <x:sheet xmlns:r="http://schemas.openxmlformats.org/officeDocument/2006/relationships" name="Climate Data" sheetId="4" r:id="Rafab4e9cfb8b44ad"/>
    <x:sheet xmlns:r="http://schemas.openxmlformats.org/officeDocument/2006/relationships" name="Station Register" sheetId="5" r:id="Rc558999415df4cd9"/>
    <x:sheet xmlns:r="http://schemas.openxmlformats.org/officeDocument/2006/relationships" name="Wind Proxy" sheetId="6" r:id="R2d6d437f7c9444eb"/>
    <x:sheet xmlns:r="http://schemas.openxmlformats.org/officeDocument/2006/relationships" name="Weather Log" sheetId="7" r:id="Rad92406a15a94e94"/>
    <x:sheet xmlns:r="http://schemas.openxmlformats.org/officeDocument/2006/relationships" name="Calibration Summary" sheetId="8" r:id="R6f173831ac174532"/>
    <x:sheet xmlns:r="http://schemas.openxmlformats.org/officeDocument/2006/relationships" name="Calculation Audit" sheetId="9" r:id="Rbbdf89361fb8482b"/>
    <x:sheet xmlns:r="http://schemas.openxmlformats.org/officeDocument/2006/relationships" name="Source Register" sheetId="10" r:id="R2c72ff5343a34187"/>
    <x:sheet xmlns:r="http://schemas.openxmlformats.org/officeDocument/2006/relationships" name="Date Engine" sheetId="11" r:id="R9fbaf2663dfa43f5"/>
  </x:sheets>
</x:workbook>
</file>

<file path=xl/comments1.xml><?xml version="1.0" encoding="utf-8"?>
<x:comments xmlns:x="http://schemas.openxmlformats.org/spreadsheetml/2006/main">
  <x:authors>
    <x:author>tc={B0019669-C265-F961-29F0-898EF7C713C2}</x:author>
    <x:author>tc={1B840C88-F518-2A69-ECDD-F5447F396314}</x:author>
    <x:author>tc={BA6AD55B-1D87-8692-992D-F12B3D6BDECF}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Standard work pattern only. Public holidays, shutdowns and unusual rosters must be handled through the working-days override or the contract programme.</x:t>
        </x:r>
      </x:text>
    </x:comment>
    <x:comment ref="B1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 a sourced probability that matches the task wind threshold. The Auckland default is only a legacy &gt;63 km/h gust-day proxy.</x:t>
        </x:r>
      </x:text>
    </x:comment>
    <x:comment ref="B1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at 1.00 unless local exposure differs materially from the selected station. Record the evidence or professional basis in the next cell.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0"/>
    <x:numFmt numFmtId="201" formatCode="0"/>
    <x:numFmt numFmtId="202" formatCode="0.00"/>
    <x:numFmt numFmtId="203" formatCode="0.0%"/>
    <x:numFmt numFmtId="204" formatCode="0.0"/>
    <x:numFmt numFmtId="205" formatCode="dd/mm/yyyy"/>
    <x:numFmt numFmtId="206" formatCode="$#,##0.00"/>
    <x:numFmt numFmtId="207" formatCode="0.00x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b/>
      <x:sz val="10"/>
      <x:color rgb="FF1F1F1F"/>
      <x:name val="Aptos"/>
    </x:font>
    <x:font>
      <x:sz val="10"/>
      <x:color rgb="FF1F1F1F"/>
      <x:name val="Aptos"/>
    </x:font>
    <x:font>
      <x:b/>
      <x:sz val="14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9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0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B4C7DC"/>
      </x:left>
      <x:right style="thin">
        <x:color rgb="FFE6E6E6"/>
      </x:right>
      <x:top style="thin">
        <x:color rgb="FFB4C7DC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B4C7DC"/>
      </x:top>
      <x:bottom style="thin">
        <x:color rgb="FFE6E6E6"/>
      </x:bottom>
    </x:border>
    <x:border>
      <x:left style="thin">
        <x:color rgb="FFE6E6E6"/>
      </x:left>
      <x:right style="thin">
        <x:color rgb="FFB4C7DC"/>
      </x:right>
      <x:top style="thin">
        <x:color rgb="FFB4C7DC"/>
      </x:top>
      <x:bottom style="thin">
        <x:color rgb="FFE6E6E6"/>
      </x:bottom>
    </x:border>
    <x:border>
      <x:left style="thin">
        <x:color rgb="FFB4C7DC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B4C7DC"/>
      </x:right>
      <x:top style="thin">
        <x:color rgb="FFE6E6E6"/>
      </x:top>
      <x:bottom style="thin">
        <x:color rgb="FFE6E6E6"/>
      </x:bottom>
    </x:border>
    <x:border>
      <x:left style="thin">
        <x:color rgb="FFB4C7DC"/>
      </x:left>
      <x:right style="thin">
        <x:color rgb="FFE6E6E6"/>
      </x:right>
      <x:top style="thin">
        <x:color rgb="FFE6E6E6"/>
      </x:top>
      <x:bottom style="thin">
        <x:color rgb="FFB4C7DC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B4C7DC"/>
      </x:bottom>
    </x:border>
    <x:border>
      <x:left style="thin">
        <x:color rgb="FFE6E6E6"/>
      </x:left>
      <x:right style="thin">
        <x:color rgb="FFB4C7DC"/>
      </x:right>
      <x:top style="thin">
        <x:color rgb="FFE6E6E6"/>
      </x:top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E6E6E6"/>
      </x:bottom>
    </x:border>
    <x:border>
      <x:left style="thin">
        <x:color rgb="FFB4C7DC"/>
      </x:left>
      <x:right style="thin">
        <x:color rgb="FFB4C7DC"/>
      </x:right>
      <x:top style="thin">
        <x:color rgb="FFE6E6E6"/>
      </x:top>
      <x:bottom style="thin">
        <x:color rgb="FFE6E6E6"/>
      </x:bottom>
    </x:border>
    <x:border>
      <x:left style="thin">
        <x:color rgb="FFB4C7DC"/>
      </x:left>
      <x:right style="thin">
        <x:color rgb="FFB4C7DC"/>
      </x:right>
      <x:top style="thin">
        <x:color rgb="FFE6E6E6"/>
      </x:top>
      <x:bottom style="thin">
        <x:color rgb="FFB4C7DC"/>
      </x:bottom>
    </x:border>
    <x:border>
      <x:left style="thin">
        <x:color rgb="FFEEF2F7"/>
      </x:left>
      <x:right style="thin">
        <x:color rgb="FFEEF2F7"/>
      </x:right>
      <x:top style="thin">
        <x:color rgb="FFEEF2F7"/>
      </x:top>
      <x:bottom style="thin">
        <x:color rgb="FFEEF2F7"/>
      </x:bottom>
    </x:border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top style="thin">
        <x:color rgb="FFB4C7DC"/>
      </x:top>
    </x:border>
    <x:border>
      <x:left style="thin">
        <x:color rgb="FFB4C7DC"/>
      </x:left>
      <x:right style="thin">
        <x:color rgb="FFB4C7DC"/>
      </x:right>
    </x:border>
    <x:border>
      <x:left style="thin">
        <x:color rgb="FFB4C7DC"/>
      </x:left>
      <x:right style="thin">
        <x:color rgb="FFB4C7DC"/>
      </x:right>
      <x:bottom style="thin">
        <x:color rgb="FFB4C7DC"/>
      </x:bottom>
    </x:border>
    <x:border>
      <x:top style="thin">
        <x:color rgb="FFB4C7DC"/>
      </x:top>
      <x:bottom style="thin">
        <x:color rgb="FFB4C7DC"/>
      </x:bottom>
    </x:border>
    <x:border>
      <x:left style="thin">
        <x:color rgb="FFB4C7DC"/>
      </x:left>
      <x:top style="thin">
        <x:color rgb="FFB4C7DC"/>
      </x:top>
    </x:border>
    <x:border>
      <x:top style="thin">
        <x:color rgb="FFB4C7DC"/>
      </x:top>
    </x:border>
    <x:border>
      <x:right style="thin">
        <x:color rgb="FFB4C7DC"/>
      </x:right>
      <x:top style="thin">
        <x:color rgb="FFB4C7DC"/>
      </x:top>
    </x:border>
    <x:border>
      <x:left style="thin">
        <x:color rgb="FFB4C7DC"/>
      </x:left>
    </x:border>
    <x:border>
      <x:right style="thin">
        <x:color rgb="FFB4C7DC"/>
      </x:right>
    </x:border>
    <x:border>
      <x:left style="thin">
        <x:color rgb="FFB4C7DC"/>
      </x:left>
      <x:bottom style="thin">
        <x:color rgb="FFB4C7DC"/>
      </x:bottom>
    </x:border>
    <x:border>
      <x:bottom style="thin">
        <x:color rgb="FFB4C7DC"/>
      </x:bottom>
    </x:border>
    <x:border>
      <x:right style="thin">
        <x:color rgb="FFB4C7DC"/>
      </x:right>
      <x:bottom style="thin">
        <x:color rgb="FFB4C7DC"/>
      </x:bottom>
    </x:border>
  </x:borders>
  <x:cellStyleXfs count="1">
    <x:xf numFmtId="0" fontId="0" fillId="0" borderId="0"/>
  </x:cellStyleXfs>
  <x:cellXfs count="3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6" borderId="3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0" fillId="7" borderId="3" xfId="0" applyNumberFormat="1" applyFont="1" applyFill="1" applyBorder="1"/>
    <x:xf numFmtId="0" fontId="3" fillId="7" borderId="3" xfId="0" applyNumberFormat="1" applyFont="1" applyFill="1" applyBorder="1"/>
    <x:xf numFmtId="0" fontId="3" fillId="7" borderId="12" xfId="0" applyNumberFormat="1" applyFont="1" applyFill="1" applyBorder="1"/>
    <x:xf numFmtId="0" fontId="3" fillId="7" borderId="13" xfId="0" applyNumberFormat="1" applyFont="1" applyFill="1" applyBorder="1"/>
    <x:xf numFmtId="0" fontId="3" fillId="7" borderId="14" xfId="0" applyNumberFormat="1" applyFont="1" applyFill="1" applyBorder="1"/>
    <x:xf numFmtId="202" fontId="3" fillId="7" borderId="12" xfId="0" applyNumberFormat="1" applyFont="1" applyFill="1" applyBorder="1"/>
    <x:xf numFmtId="202" fontId="3" fillId="7" borderId="13" xfId="0" applyNumberFormat="1" applyFont="1" applyFill="1" applyBorder="1"/>
    <x:xf numFmtId="202" fontId="3" fillId="7" borderId="14" xfId="0" applyNumberFormat="1" applyFont="1" applyFill="1" applyBorder="1"/>
    <x:xf numFmtId="205" fontId="3" fillId="6" borderId="5" xfId="0" applyNumberFormat="1" applyFont="1" applyFill="1" applyBorder="1"/>
    <x:xf numFmtId="205" fontId="3" fillId="6" borderId="3" xfId="0" applyNumberFormat="1" applyFont="1" applyFill="1" applyBorder="1"/>
    <x:xf numFmtId="205" fontId="3" fillId="6" borderId="10" xfId="0" applyNumberFormat="1" applyFont="1" applyFill="1" applyBorder="1"/>
    <x:xf numFmtId="202" fontId="3" fillId="6" borderId="5" xfId="0" applyNumberFormat="1" applyFont="1" applyFill="1" applyBorder="1"/>
    <x:xf numFmtId="202" fontId="3" fillId="6" borderId="6" xfId="0" applyNumberFormat="1" applyFont="1" applyFill="1" applyBorder="1"/>
    <x:xf numFmtId="202" fontId="3" fillId="6" borderId="4" xfId="0" applyNumberFormat="1" applyFont="1" applyFill="1" applyBorder="1"/>
    <x:xf numFmtId="202" fontId="3" fillId="6" borderId="3" xfId="0" applyNumberFormat="1" applyFont="1" applyFill="1" applyBorder="1"/>
    <x:xf numFmtId="202" fontId="3" fillId="6" borderId="8" xfId="0" applyNumberFormat="1" applyFont="1" applyFill="1" applyBorder="1"/>
    <x:xf numFmtId="202" fontId="3" fillId="6" borderId="7" xfId="0" applyNumberFormat="1" applyFont="1" applyFill="1" applyBorder="1"/>
    <x:xf numFmtId="202" fontId="3" fillId="6" borderId="10" xfId="0" applyNumberFormat="1" applyFont="1" applyFill="1" applyBorder="1"/>
    <x:xf numFmtId="202" fontId="3" fillId="6" borderId="11" xfId="0" applyNumberFormat="1" applyFont="1" applyFill="1" applyBorder="1"/>
    <x:xf numFmtId="202" fontId="3" fillId="6" borderId="9" xfId="0" applyNumberFormat="1" applyFont="1" applyFill="1" applyBorder="1"/>
    <x:xf numFmtId="206" fontId="3" fillId="6" borderId="5" xfId="0" applyNumberFormat="1" applyFont="1" applyFill="1" applyBorder="1"/>
    <x:xf numFmtId="206" fontId="3" fillId="6" borderId="3" xfId="0" applyNumberFormat="1" applyFont="1" applyFill="1" applyBorder="1"/>
    <x:xf numFmtId="206" fontId="3" fillId="6" borderId="10" xfId="0" applyNumberFormat="1" applyFont="1" applyFill="1" applyBorder="1"/>
    <x:xf numFmtId="205" fontId="0" fillId="0" borderId="0" xfId="0" applyNumberFormat="1" applyFont="1" applyFill="1" applyBorder="1"/>
    <x:xf numFmtId="0" fontId="2" fillId="4" borderId="15" xfId="0" applyNumberFormat="1" applyFont="1" applyFill="1" applyBorder="1" applyAlignment="1">
      <x:alignment horizontal="center" vertical="center" wrapText="1"/>
    </x:xf>
    <x:xf numFmtId="205" fontId="0" fillId="0" borderId="15" xfId="0" applyNumberFormat="1" applyFont="1" applyFill="1" applyBorder="1"/>
    <x:xf numFmtId="0" fontId="0" fillId="0" borderId="15" xfId="0" applyNumberFormat="1" applyFont="1" applyFill="1" applyBorder="1"/>
    <x:xf numFmtId="203" fontId="0" fillId="0" borderId="15" xfId="0" applyNumberFormat="1" applyFont="1" applyFill="1" applyBorder="1"/>
    <x:xf numFmtId="204" fontId="0" fillId="0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17" xfId="0" applyNumberFormat="1" applyFont="1" applyFill="1" applyBorder="1"/>
    <x:xf numFmtId="0" fontId="2" fillId="4" borderId="16" xfId="0" applyNumberFormat="1" applyFont="1" applyFill="1" applyBorder="1" applyAlignment="1">
      <x:alignment horizontal="left"/>
    </x:xf>
    <x:xf numFmtId="0" fontId="2" fillId="4" borderId="17" xfId="0" applyNumberFormat="1" applyFont="1" applyFill="1" applyBorder="1" applyAlignment="1">
      <x:alignment horizontal="left"/>
    </x:xf>
    <x:xf numFmtId="0" fontId="2" fillId="4" borderId="16" xfId="0" applyNumberFormat="1" applyFont="1" applyFill="1" applyBorder="1" applyAlignment="1">
      <x:alignment horizontal="left" vertical="center"/>
    </x:xf>
    <x:xf numFmtId="0" fontId="2" fillId="4" borderId="17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8" xfId="0" applyNumberFormat="1" applyFont="1" applyFill="1" applyBorder="1"/>
    <x:xf numFmtId="0" fontId="3" fillId="6" borderId="19" xfId="0" applyNumberFormat="1" applyFont="1" applyFill="1" applyBorder="1"/>
    <x:xf numFmtId="0" fontId="3" fillId="6" borderId="20" xfId="0" applyNumberFormat="1" applyFont="1" applyFill="1" applyBorder="1"/>
    <x:xf numFmtId="205" fontId="3" fillId="6" borderId="19" xfId="0" applyNumberFormat="1" applyFont="1" applyFill="1" applyBorder="1"/>
    <x:xf numFmtId="206" fontId="3" fillId="6" borderId="19" xfId="0" applyNumberFormat="1" applyFont="1" applyFill="1" applyBorder="1"/>
    <x:xf numFmtId="203" fontId="3" fillId="6" borderId="19" xfId="0" applyNumberFormat="1" applyFont="1" applyFill="1" applyBorder="1"/>
    <x:xf numFmtId="207" fontId="3" fillId="6" borderId="19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203" fontId="3" fillId="7" borderId="1" xfId="0" applyNumberFormat="1" applyFont="1" applyFill="1" applyBorder="1"/>
    <x:xf numFmtId="0" fontId="3" fillId="6" borderId="1" xfId="0" applyNumberFormat="1" applyFont="1" applyFill="1" applyBorder="1"/>
    <x:xf numFmtId="203" fontId="3" fillId="6" borderId="1" xfId="0" applyNumberFormat="1" applyFont="1" applyFill="1" applyBorder="1"/>
    <x:xf numFmtId="202" fontId="3" fillId="7" borderId="1" xfId="0" applyNumberFormat="1" applyFont="1" applyFill="1" applyBorder="1"/>
    <x:xf numFmtId="202" fontId="3" fillId="6" borderId="1" xfId="0" applyNumberFormat="1" applyFont="1" applyFill="1" applyBorder="1"/>
    <x:xf numFmtId="0" fontId="3" fillId="7" borderId="18" xfId="0" applyNumberFormat="1" applyFont="1" applyFill="1" applyBorder="1"/>
    <x:xf numFmtId="0" fontId="3" fillId="7" borderId="19" xfId="0" applyNumberFormat="1" applyFont="1" applyFill="1" applyBorder="1"/>
    <x:xf numFmtId="0" fontId="3" fillId="7" borderId="20" xfId="0" applyNumberFormat="1" applyFont="1" applyFill="1" applyBorder="1"/>
    <x:xf numFmtId="202" fontId="3" fillId="7" borderId="19" xfId="0" applyNumberFormat="1" applyFont="1" applyFill="1" applyBorder="1"/>
    <x:xf numFmtId="203" fontId="3" fillId="7" borderId="19" xfId="0" applyNumberFormat="1" applyFont="1" applyFill="1" applyBorder="1"/>
    <x:xf numFmtId="204" fontId="3" fillId="7" borderId="19" xfId="0" applyNumberFormat="1" applyFont="1" applyFill="1" applyBorder="1"/>
    <x:xf numFmtId="206" fontId="3" fillId="7" borderId="19" xfId="0" applyNumberFormat="1" applyFont="1" applyFill="1" applyBorder="1"/>
    <x:xf numFmtId="201" fontId="3" fillId="7" borderId="19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2" fillId="4" borderId="21" xfId="0" applyNumberFormat="1" applyFont="1" applyFill="1" applyBorder="1"/>
    <x:xf numFmtId="0" fontId="2" fillId="4" borderId="21" xfId="0" applyNumberFormat="1" applyFont="1" applyFill="1" applyBorder="1" applyAlignment="1">
      <x:alignment horizontal="left"/>
    </x:xf>
    <x:xf numFmtId="0" fontId="2" fillId="4" borderId="21" xfId="0" applyNumberFormat="1" applyFont="1" applyFill="1" applyBorder="1" applyAlignment="1">
      <x:alignment horizontal="left" vertical="center"/>
    </x:xf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25" xfId="0" applyNumberFormat="1" applyFont="1" applyFill="1" applyBorder="1"/>
    <x:xf numFmtId="0" fontId="0" fillId="3" borderId="26" xfId="0" applyNumberFormat="1" applyFont="1" applyFill="1" applyBorder="1"/>
    <x:xf numFmtId="0" fontId="0" fillId="3" borderId="27" xfId="0" applyNumberFormat="1" applyFont="1" applyFill="1" applyBorder="1"/>
    <x:xf numFmtId="0" fontId="0" fillId="3" borderId="28" xfId="0" applyNumberFormat="1" applyFont="1" applyFill="1" applyBorder="1"/>
    <x:xf numFmtId="0" fontId="0" fillId="3" borderId="29" xfId="0" applyNumberFormat="1" applyFont="1" applyFill="1" applyBorder="1"/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25" xfId="0" applyNumberFormat="1" applyFont="1" applyFill="1" applyBorder="1" applyAlignment="1">
      <x:alignment wrapText="1"/>
    </x:xf>
    <x:xf numFmtId="0" fontId="0" fillId="3" borderId="26" xfId="0" applyNumberFormat="1" applyFont="1" applyFill="1" applyBorder="1" applyAlignment="1">
      <x:alignment wrapText="1"/>
    </x:xf>
    <x:xf numFmtId="0" fontId="0" fillId="3" borderId="27" xfId="0" applyNumberFormat="1" applyFont="1" applyFill="1" applyBorder="1" applyAlignment="1">
      <x:alignment wrapText="1"/>
    </x:xf>
    <x:xf numFmtId="0" fontId="0" fillId="3" borderId="28" xfId="0" applyNumberFormat="1" applyFont="1" applyFill="1" applyBorder="1" applyAlignment="1">
      <x:alignment wrapText="1"/>
    </x:xf>
    <x:xf numFmtId="0" fontId="0" fillId="3" borderId="29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vertical="top" wrapText="1"/>
    </x:xf>
    <x:xf numFmtId="0" fontId="0" fillId="3" borderId="23" xfId="0" applyNumberFormat="1" applyFont="1" applyFill="1" applyBorder="1" applyAlignment="1">
      <x:alignment vertical="top" wrapText="1"/>
    </x:xf>
    <x:xf numFmtId="0" fontId="0" fillId="3" borderId="24" xfId="0" applyNumberFormat="1" applyFont="1" applyFill="1" applyBorder="1" applyAlignment="1">
      <x:alignment vertical="top" wrapText="1"/>
    </x:xf>
    <x:xf numFmtId="0" fontId="0" fillId="3" borderId="2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26" xfId="0" applyNumberFormat="1" applyFont="1" applyFill="1" applyBorder="1" applyAlignment="1">
      <x:alignment vertical="top" wrapText="1"/>
    </x:xf>
    <x:xf numFmtId="0" fontId="0" fillId="3" borderId="27" xfId="0" applyNumberFormat="1" applyFont="1" applyFill="1" applyBorder="1" applyAlignment="1">
      <x:alignment vertical="top" wrapText="1"/>
    </x:xf>
    <x:xf numFmtId="0" fontId="0" fillId="3" borderId="28" xfId="0" applyNumberFormat="1" applyFont="1" applyFill="1" applyBorder="1" applyAlignment="1">
      <x:alignment vertical="top" wrapText="1"/>
    </x:xf>
    <x:xf numFmtId="0" fontId="0" fillId="3" borderId="29" xfId="0" applyNumberFormat="1" applyFont="1" applyFill="1" applyBorder="1" applyAlignment="1">
      <x:alignment vertical="top" wrapText="1"/>
    </x:xf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27" xfId="0" applyNumberFormat="1" applyFont="1" applyFill="1" applyBorder="1"/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22" xfId="0" applyNumberFormat="1" applyFont="1" applyFill="1" applyBorder="1" applyAlignment="1">
      <x:alignment wrapText="1"/>
    </x:xf>
    <x:xf numFmtId="0" fontId="0" fillId="4" borderId="23" xfId="0" applyNumberFormat="1" applyFont="1" applyFill="1" applyBorder="1" applyAlignment="1">
      <x:alignment wrapText="1"/>
    </x:xf>
    <x:xf numFmtId="0" fontId="0" fillId="4" borderId="24" xfId="0" applyNumberFormat="1" applyFont="1" applyFill="1" applyBorder="1" applyAlignment="1">
      <x:alignment wrapText="1"/>
    </x:xf>
    <x:xf numFmtId="0" fontId="0" fillId="4" borderId="2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6" xfId="0" applyNumberFormat="1" applyFont="1" applyFill="1" applyBorder="1" applyAlignment="1">
      <x:alignment wrapText="1"/>
    </x:xf>
    <x:xf numFmtId="0" fontId="0" fillId="4" borderId="27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22" xfId="0" applyNumberFormat="1" applyFont="1" applyFill="1" applyBorder="1" applyAlignment="1">
      <x:alignment vertical="top" wrapText="1"/>
    </x:xf>
    <x:xf numFmtId="0" fontId="0" fillId="4" borderId="23" xfId="0" applyNumberFormat="1" applyFont="1" applyFill="1" applyBorder="1" applyAlignment="1">
      <x:alignment vertical="top" wrapText="1"/>
    </x:xf>
    <x:xf numFmtId="0" fontId="0" fillId="4" borderId="24" xfId="0" applyNumberFormat="1" applyFont="1" applyFill="1" applyBorder="1" applyAlignment="1">
      <x:alignment vertical="top" wrapText="1"/>
    </x:xf>
    <x:xf numFmtId="0" fontId="0" fillId="4" borderId="2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26" xfId="0" applyNumberFormat="1" applyFont="1" applyFill="1" applyBorder="1" applyAlignment="1">
      <x:alignment vertical="top" wrapText="1"/>
    </x:xf>
    <x:xf numFmtId="0" fontId="0" fillId="4" borderId="27" xfId="0" applyNumberFormat="1" applyFont="1" applyFill="1" applyBorder="1" applyAlignment="1">
      <x:alignment vertical="top" wrapText="1"/>
    </x:xf>
    <x:xf numFmtId="0" fontId="0" fillId="4" borderId="28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6" borderId="18" xfId="0" applyNumberFormat="1" applyFont="1" applyFill="1" applyBorder="1" applyAlignment="1">
      <x:alignment wrapText="1"/>
    </x:xf>
    <x:xf numFmtId="203" fontId="3" fillId="7" borderId="1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wrapText="1"/>
    </x:xf>
    <x:xf numFmtId="205" fontId="3" fillId="6" borderId="19" xfId="0" applyNumberFormat="1" applyFont="1" applyFill="1" applyBorder="1" applyAlignment="1">
      <x:alignment wrapText="1"/>
    </x:xf>
    <x:xf numFmtId="203" fontId="3" fillId="6" borderId="1" xfId="0" applyNumberFormat="1" applyFont="1" applyFill="1" applyBorder="1" applyAlignment="1">
      <x:alignment wrapText="1"/>
    </x:xf>
    <x:xf numFmtId="202" fontId="3" fillId="7" borderId="19" xfId="0" applyNumberFormat="1" applyFont="1" applyFill="1" applyBorder="1" applyAlignment="1">
      <x:alignment wrapText="1"/>
    </x:xf>
    <x:xf numFmtId="0" fontId="3" fillId="6" borderId="19" xfId="0" applyNumberFormat="1" applyFont="1" applyFill="1" applyBorder="1" applyAlignment="1">
      <x:alignment wrapText="1"/>
    </x:xf>
    <x:xf numFmtId="203" fontId="3" fillId="7" borderId="19" xfId="0" applyNumberFormat="1" applyFont="1" applyFill="1" applyBorder="1" applyAlignment="1">
      <x:alignment wrapText="1"/>
    </x:xf>
    <x:xf numFmtId="204" fontId="3" fillId="7" borderId="19" xfId="0" applyNumberFormat="1" applyFont="1" applyFill="1" applyBorder="1" applyAlignment="1">
      <x:alignment wrapText="1"/>
    </x:xf>
    <x:xf numFmtId="206" fontId="3" fillId="6" borderId="19" xfId="0" applyNumberFormat="1" applyFont="1" applyFill="1" applyBorder="1" applyAlignment="1">
      <x:alignment wrapText="1"/>
    </x:xf>
    <x:xf numFmtId="202" fontId="3" fillId="7" borderId="1" xfId="0" applyNumberFormat="1" applyFont="1" applyFill="1" applyBorder="1" applyAlignment="1">
      <x:alignment wrapText="1"/>
    </x:xf>
    <x:xf numFmtId="0" fontId="3" fillId="7" borderId="19" xfId="0" applyNumberFormat="1" applyFont="1" applyFill="1" applyBorder="1" applyAlignment="1">
      <x:alignment wrapText="1"/>
    </x:xf>
    <x:xf numFmtId="202" fontId="3" fillId="6" borderId="1" xfId="0" applyNumberFormat="1" applyFont="1" applyFill="1" applyBorder="1" applyAlignment="1">
      <x:alignment wrapText="1"/>
    </x:xf>
    <x:xf numFmtId="203" fontId="3" fillId="6" borderId="19" xfId="0" applyNumberFormat="1" applyFont="1" applyFill="1" applyBorder="1" applyAlignment="1">
      <x:alignment wrapText="1"/>
    </x:xf>
    <x:xf numFmtId="207" fontId="3" fillId="6" borderId="19" xfId="0" applyNumberFormat="1" applyFont="1" applyFill="1" applyBorder="1" applyAlignment="1">
      <x:alignment wrapText="1"/>
    </x:xf>
    <x:xf numFmtId="0" fontId="3" fillId="6" borderId="20" xfId="0" applyNumberFormat="1" applyFont="1" applyFill="1" applyBorder="1" applyAlignment="1">
      <x:alignment wrapText="1"/>
    </x:xf>
    <x:xf numFmtId="206" fontId="3" fillId="7" borderId="19" xfId="0" applyNumberFormat="1" applyFont="1" applyFill="1" applyBorder="1" applyAlignment="1">
      <x:alignment wrapText="1"/>
    </x:xf>
    <x:xf numFmtId="201" fontId="3" fillId="7" borderId="19" xfId="0" applyNumberFormat="1" applyFont="1" applyFill="1" applyBorder="1" applyAlignment="1">
      <x:alignment wrapText="1"/>
    </x:xf>
    <x:xf numFmtId="0" fontId="3" fillId="7" borderId="2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207" fontId="3" fillId="6" borderId="1" xfId="0" applyNumberFormat="1" applyFont="1" applyFill="1" applyBorder="1" applyAlignment="1">
      <x:alignment wrapText="1"/>
    </x:xf>
    <x:xf numFmtId="206" fontId="3" fillId="6" borderId="1" xfId="0" applyNumberFormat="1" applyFont="1" applyFill="1" applyBorder="1" applyAlignment="1">
      <x:alignment wrapText="1"/>
    </x:xf>
    <x:xf numFmtId="0" fontId="3" fillId="6" borderId="22" xfId="0" applyNumberFormat="1" applyFont="1" applyFill="1" applyBorder="1"/>
    <x:xf numFmtId="0" fontId="3" fillId="6" borderId="23" xfId="0" applyNumberFormat="1" applyFont="1" applyFill="1" applyBorder="1"/>
    <x:xf numFmtId="0" fontId="3" fillId="6" borderId="24" xfId="0" applyNumberFormat="1" applyFont="1" applyFill="1" applyBorder="1"/>
    <x:xf numFmtId="0" fontId="3" fillId="6" borderId="25" xfId="0" applyNumberFormat="1" applyFont="1" applyFill="1" applyBorder="1"/>
    <x:xf numFmtId="0" fontId="3" fillId="6" borderId="26" xfId="0" applyNumberFormat="1" applyFont="1" applyFill="1" applyBorder="1"/>
    <x:xf numFmtId="0" fontId="3" fillId="6" borderId="27" xfId="0" applyNumberFormat="1" applyFont="1" applyFill="1" applyBorder="1"/>
    <x:xf numFmtId="0" fontId="3" fillId="6" borderId="28" xfId="0" applyNumberFormat="1" applyFont="1" applyFill="1" applyBorder="1"/>
    <x:xf numFmtId="0" fontId="3" fillId="6" borderId="29" xfId="0" applyNumberFormat="1" applyFont="1" applyFill="1" applyBorder="1"/>
    <x:xf numFmtId="0" fontId="3" fillId="7" borderId="22" xfId="0" applyNumberFormat="1" applyFont="1" applyFill="1" applyBorder="1"/>
    <x:xf numFmtId="0" fontId="3" fillId="7" borderId="24" xfId="0" applyNumberFormat="1" applyFont="1" applyFill="1" applyBorder="1"/>
    <x:xf numFmtId="0" fontId="3" fillId="7" borderId="25" xfId="0" applyNumberFormat="1" applyFont="1" applyFill="1" applyBorder="1"/>
    <x:xf numFmtId="0" fontId="3" fillId="7" borderId="26" xfId="0" applyNumberFormat="1" applyFont="1" applyFill="1" applyBorder="1"/>
    <x:xf numFmtId="0" fontId="3" fillId="7" borderId="27" xfId="0" applyNumberFormat="1" applyFont="1" applyFill="1" applyBorder="1"/>
    <x:xf numFmtId="0" fontId="3" fillId="7" borderId="29" xfId="0" applyNumberFormat="1" applyFont="1" applyFill="1" applyBorder="1"/>
    <x:xf numFmtId="0" fontId="3" fillId="7" borderId="23" xfId="0" applyNumberFormat="1" applyFont="1" applyFill="1" applyBorder="1"/>
    <x:xf numFmtId="0" fontId="3" fillId="7" borderId="28" xfId="0" applyNumberFormat="1" applyFont="1" applyFill="1" applyBorder="1"/>
    <x:xf numFmtId="205" fontId="3" fillId="6" borderId="22" xfId="0" applyNumberFormat="1" applyFont="1" applyFill="1" applyBorder="1"/>
    <x:xf numFmtId="205" fontId="3" fillId="6" borderId="23" xfId="0" applyNumberFormat="1" applyFont="1" applyFill="1" applyBorder="1"/>
    <x:xf numFmtId="205" fontId="3" fillId="6" borderId="25" xfId="0" applyNumberFormat="1" applyFont="1" applyFill="1" applyBorder="1"/>
    <x:xf numFmtId="205" fontId="3" fillId="6" borderId="0" xfId="0" applyNumberFormat="1" applyFont="1" applyFill="1" applyBorder="1"/>
    <x:xf numFmtId="205" fontId="3" fillId="6" borderId="27" xfId="0" applyNumberFormat="1" applyFont="1" applyFill="1" applyBorder="1"/>
    <x:xf numFmtId="205" fontId="3" fillId="6" borderId="28" xfId="0" applyNumberFormat="1" applyFont="1" applyFill="1" applyBorder="1"/>
    <x:xf numFmtId="206" fontId="3" fillId="6" borderId="23" xfId="0" applyNumberFormat="1" applyFont="1" applyFill="1" applyBorder="1"/>
    <x:xf numFmtId="206" fontId="3" fillId="6" borderId="24" xfId="0" applyNumberFormat="1" applyFont="1" applyFill="1" applyBorder="1"/>
    <x:xf numFmtId="206" fontId="3" fillId="6" borderId="0" xfId="0" applyNumberFormat="1" applyFont="1" applyFill="1" applyBorder="1"/>
    <x:xf numFmtId="206" fontId="3" fillId="6" borderId="26" xfId="0" applyNumberFormat="1" applyFont="1" applyFill="1" applyBorder="1"/>
    <x:xf numFmtId="206" fontId="3" fillId="6" borderId="28" xfId="0" applyNumberFormat="1" applyFont="1" applyFill="1" applyBorder="1"/>
    <x:xf numFmtId="206" fontId="3" fillId="6" borderId="29" xfId="0" applyNumberFormat="1" applyFont="1" applyFill="1" applyBorder="1"/>
    <x:xf numFmtId="203" fontId="3" fillId="7" borderId="18" xfId="0" applyNumberFormat="1" applyFont="1" applyFill="1" applyBorder="1"/>
    <x:xf numFmtId="203" fontId="3" fillId="7" borderId="20" xfId="0" applyNumberFormat="1" applyFont="1" applyFill="1" applyBorder="1"/>
    <x:xf numFmtId="203" fontId="3" fillId="6" borderId="18" xfId="0" applyNumberFormat="1" applyFont="1" applyFill="1" applyBorder="1"/>
    <x:xf numFmtId="203" fontId="3" fillId="6" borderId="20" xfId="0" applyNumberFormat="1" applyFont="1" applyFill="1" applyBorder="1"/>
    <x:xf numFmtId="203" fontId="3" fillId="7" borderId="22" xfId="0" applyNumberFormat="1" applyFont="1" applyFill="1" applyBorder="1"/>
    <x:xf numFmtId="203" fontId="3" fillId="7" borderId="25" xfId="0" applyNumberFormat="1" applyFont="1" applyFill="1" applyBorder="1"/>
    <x:xf numFmtId="203" fontId="3" fillId="7" borderId="27" xfId="0" applyNumberFormat="1" applyFont="1" applyFill="1" applyBorder="1"/>
    <x:xf numFmtId="203" fontId="3" fillId="7" borderId="24" xfId="0" applyNumberFormat="1" applyFont="1" applyFill="1" applyBorder="1"/>
    <x:xf numFmtId="203" fontId="3" fillId="7" borderId="26" xfId="0" applyNumberFormat="1" applyFont="1" applyFill="1" applyBorder="1"/>
    <x:xf numFmtId="203" fontId="3" fillId="7" borderId="29" xfId="0" applyNumberFormat="1" applyFont="1" applyFill="1" applyBorder="1"/>
    <x:xf numFmtId="203" fontId="3" fillId="7" borderId="23" xfId="0" applyNumberFormat="1" applyFont="1" applyFill="1" applyBorder="1"/>
    <x:xf numFmtId="203" fontId="3" fillId="7" borderId="0" xfId="0" applyNumberFormat="1" applyFont="1" applyFill="1" applyBorder="1"/>
    <x:xf numFmtId="203" fontId="3" fillId="7" borderId="28" xfId="0" applyNumberFormat="1" applyFont="1" applyFill="1" applyBorder="1"/>
    <x:xf numFmtId="202" fontId="3" fillId="7" borderId="24" xfId="0" applyNumberFormat="1" applyFont="1" applyFill="1" applyBorder="1"/>
    <x:xf numFmtId="202" fontId="3" fillId="6" borderId="18" xfId="0" applyNumberFormat="1" applyFont="1" applyFill="1" applyBorder="1"/>
    <x:xf numFmtId="202" fontId="3" fillId="7" borderId="22" xfId="0" applyNumberFormat="1" applyFont="1" applyFill="1" applyBorder="1"/>
    <x:xf numFmtId="202" fontId="3" fillId="7" borderId="26" xfId="0" applyNumberFormat="1" applyFont="1" applyFill="1" applyBorder="1"/>
    <x:xf numFmtId="202" fontId="3" fillId="6" borderId="19" xfId="0" applyNumberFormat="1" applyFont="1" applyFill="1" applyBorder="1"/>
    <x:xf numFmtId="202" fontId="3" fillId="7" borderId="25" xfId="0" applyNumberFormat="1" applyFont="1" applyFill="1" applyBorder="1"/>
    <x:xf numFmtId="202" fontId="3" fillId="7" borderId="29" xfId="0" applyNumberFormat="1" applyFont="1" applyFill="1" applyBorder="1"/>
    <x:xf numFmtId="202" fontId="3" fillId="6" borderId="20" xfId="0" applyNumberFormat="1" applyFont="1" applyFill="1" applyBorder="1"/>
    <x:xf numFmtId="202" fontId="3" fillId="7" borderId="27" xfId="0" applyNumberFormat="1" applyFont="1" applyFill="1" applyBorder="1"/>
    <x:xf numFmtId="202" fontId="3" fillId="7" borderId="23" xfId="0" applyNumberFormat="1" applyFont="1" applyFill="1" applyBorder="1"/>
    <x:xf numFmtId="202" fontId="3" fillId="7" borderId="0" xfId="0" applyNumberFormat="1" applyFont="1" applyFill="1" applyBorder="1"/>
    <x:xf numFmtId="202" fontId="3" fillId="7" borderId="28" xfId="0" applyNumberFormat="1" applyFont="1" applyFill="1" applyBorder="1"/>
    <x:xf numFmtId="206" fontId="3" fillId="7" borderId="23" xfId="0" applyNumberFormat="1" applyFont="1" applyFill="1" applyBorder="1"/>
    <x:xf numFmtId="206" fontId="3" fillId="7" borderId="0" xfId="0" applyNumberFormat="1" applyFont="1" applyFill="1" applyBorder="1"/>
    <x:xf numFmtId="206" fontId="3" fillId="7" borderId="28" xfId="0" applyNumberFormat="1" applyFont="1" applyFill="1" applyBorder="1"/>
    <x:xf numFmtId="0" fontId="3" fillId="6" borderId="2" xfId="0" applyNumberFormat="1" applyFont="1" applyFill="1" applyBorder="1"/>
    <x:xf numFmtId="0" fontId="3" fillId="7" borderId="2" xfId="0" applyNumberFormat="1" applyFont="1" applyFill="1" applyBorder="1"/>
    <x:xf numFmtId="205" fontId="3" fillId="6" borderId="2" xfId="0" applyNumberFormat="1" applyFont="1" applyFill="1" applyBorder="1"/>
    <x:xf numFmtId="206" fontId="3" fillId="6" borderId="2" xfId="0" applyNumberFormat="1" applyFont="1" applyFill="1" applyBorder="1"/>
    <x:xf numFmtId="203" fontId="3" fillId="7" borderId="2" xfId="0" applyNumberFormat="1" applyFont="1" applyFill="1" applyBorder="1"/>
    <x:xf numFmtId="203" fontId="3" fillId="6" borderId="2" xfId="0" applyNumberFormat="1" applyFont="1" applyFill="1" applyBorder="1"/>
    <x:xf numFmtId="202" fontId="3" fillId="7" borderId="2" xfId="0" applyNumberFormat="1" applyFont="1" applyFill="1" applyBorder="1"/>
    <x:xf numFmtId="202" fontId="3" fillId="6" borderId="2" xfId="0" applyNumberFormat="1" applyFont="1" applyFill="1" applyBorder="1"/>
    <x:xf numFmtId="206" fontId="3" fillId="7" borderId="2" xfId="0" applyNumberFormat="1" applyFont="1" applyFill="1" applyBorder="1"/>
    <x:xf numFmtId="0" fontId="3" fillId="7" borderId="2" xfId="0" applyNumberFormat="1" applyFont="1" applyFill="1" applyBorder="1" applyAlignment="1">
      <x:alignment wrapText="1"/>
    </x:xf>
    <x:xf numFmtId="206" fontId="3" fillId="7" borderId="18" xfId="0" applyNumberFormat="1" applyFont="1" applyFill="1" applyBorder="1"/>
    <x:xf numFmtId="206" fontId="3" fillId="7" borderId="20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205" fontId="3" fillId="6" borderId="2" xfId="0" applyNumberFormat="1" applyFont="1" applyFill="1" applyBorder="1" applyAlignment="1">
      <x:alignment wrapText="1"/>
    </x:xf>
    <x:xf numFmtId="206" fontId="3" fillId="6" borderId="2" xfId="0" applyNumberFormat="1" applyFont="1" applyFill="1" applyBorder="1" applyAlignment="1">
      <x:alignment wrapText="1"/>
    </x:xf>
    <x:xf numFmtId="203" fontId="3" fillId="7" borderId="2" xfId="0" applyNumberFormat="1" applyFont="1" applyFill="1" applyBorder="1" applyAlignment="1">
      <x:alignment wrapText="1"/>
    </x:xf>
    <x:xf numFmtId="203" fontId="3" fillId="6" borderId="2" xfId="0" applyNumberFormat="1" applyFont="1" applyFill="1" applyBorder="1" applyAlignment="1">
      <x:alignment wrapText="1"/>
    </x:xf>
    <x:xf numFmtId="202" fontId="3" fillId="7" borderId="2" xfId="0" applyNumberFormat="1" applyFont="1" applyFill="1" applyBorder="1" applyAlignment="1">
      <x:alignment wrapText="1"/>
    </x:xf>
    <x:xf numFmtId="202" fontId="3" fillId="6" borderId="2" xfId="0" applyNumberFormat="1" applyFont="1" applyFill="1" applyBorder="1" applyAlignment="1">
      <x:alignment wrapText="1"/>
    </x:xf>
    <x:xf numFmtId="206" fontId="3" fillId="7" borderId="2" xfId="0" applyNumberFormat="1" applyFont="1" applyFill="1" applyBorder="1" applyAlignment="1">
      <x:alignment wrapText="1"/>
    </x:xf>
    <x:xf numFmtId="205" fontId="0" fillId="0" borderId="1" xfId="0" applyNumberFormat="1" applyFont="1" applyFill="1" applyBorder="1"/>
    <x:xf numFmtId="205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horizontal="left" vertical="center" wrapText="1"/>
    </x:xf>
    <x:xf numFmtId="0" fontId="2" fillId="4" borderId="21" xfId="0" applyNumberFormat="1" applyFont="1" applyFill="1" applyBorder="1" applyAlignment="1">
      <x:alignment horizontal="left" vertical="center" wrapText="1"/>
    </x:xf>
    <x:xf numFmtId="0" fontId="2" fillId="4" borderId="17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4" borderId="16" xfId="0" applyNumberFormat="1" applyFont="1" applyFill="1" applyBorder="1" applyAlignment="1">
      <x:alignment horizontal="left" vertical="center"/>
    </x:xf>
    <x:xf numFmtId="0" fontId="4" fillId="4" borderId="17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203" fontId="5" fillId="7" borderId="1" xfId="0" applyNumberFormat="1" applyFont="1" applyFill="1" applyBorder="1" applyAlignment="1">
      <x:alignment wrapText="1"/>
    </x:xf>
    <x:xf numFmtId="0" fontId="5" fillId="7" borderId="18" xfId="0" applyNumberFormat="1" applyFont="1" applyFill="1" applyBorder="1" applyAlignment="1">
      <x:alignment wrapText="1"/>
    </x:xf>
    <x:xf numFmtId="205" fontId="5" fillId="6" borderId="19" xfId="0" applyNumberFormat="1" applyFont="1" applyFill="1" applyBorder="1" applyAlignment="1">
      <x:alignment wrapText="1"/>
    </x:xf>
    <x:xf numFmtId="203" fontId="5" fillId="6" borderId="1" xfId="0" applyNumberFormat="1" applyFont="1" applyFill="1" applyBorder="1" applyAlignment="1">
      <x:alignment wrapText="1"/>
    </x:xf>
    <x:xf numFmtId="202" fontId="5" fillId="7" borderId="19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wrapText="1"/>
    </x:xf>
    <x:xf numFmtId="203" fontId="5" fillId="7" borderId="19" xfId="0" applyNumberFormat="1" applyFont="1" applyFill="1" applyBorder="1" applyAlignment="1">
      <x:alignment wrapText="1"/>
    </x:xf>
    <x:xf numFmtId="204" fontId="5" fillId="7" borderId="19" xfId="0" applyNumberFormat="1" applyFont="1" applyFill="1" applyBorder="1" applyAlignment="1">
      <x:alignment wrapText="1"/>
    </x:xf>
    <x:xf numFmtId="206" fontId="5" fillId="6" borderId="19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202" fontId="5" fillId="7" borderId="1" xfId="0" applyNumberFormat="1" applyFont="1" applyFill="1" applyBorder="1" applyAlignment="1">
      <x:alignment wrapText="1"/>
    </x:xf>
    <x:xf numFmtId="0" fontId="5" fillId="7" borderId="19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wrapText="1"/>
    </x:xf>
    <x:xf numFmtId="203" fontId="5" fillId="6" borderId="19" xfId="0" applyNumberFormat="1" applyFont="1" applyFill="1" applyBorder="1" applyAlignment="1">
      <x:alignment wrapText="1"/>
    </x:xf>
    <x:xf numFmtId="207" fontId="5" fillId="6" borderId="19" xfId="0" applyNumberFormat="1" applyFont="1" applyFill="1" applyBorder="1" applyAlignment="1">
      <x:alignment wrapText="1"/>
    </x:xf>
    <x:xf numFmtId="0" fontId="5" fillId="6" borderId="20" xfId="0" applyNumberFormat="1" applyFont="1" applyFill="1" applyBorder="1" applyAlignment="1">
      <x:alignment wrapText="1"/>
    </x:xf>
    <x:xf numFmtId="206" fontId="5" fillId="7" borderId="19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203" fontId="5" fillId="0" borderId="1" xfId="0" applyNumberFormat="1" applyFont="1" applyFill="1" applyBorder="1"/>
    <x:xf numFmtId="204" fontId="5" fillId="0" borderId="1" xfId="0" applyNumberFormat="1" applyFont="1" applyFill="1" applyBorder="1"/>
    <x:xf numFmtId="201" fontId="5" fillId="7" borderId="19" xfId="0" applyNumberFormat="1" applyFont="1" applyFill="1" applyBorder="1" applyAlignment="1">
      <x:alignment wrapText="1"/>
    </x:xf>
    <x:xf numFmtId="0" fontId="5" fillId="7" borderId="20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horizontal="left" vertical="center"/>
    </x:xf>
    <x:xf numFmtId="0" fontId="5" fillId="3" borderId="22" xfId="0" applyNumberFormat="1" applyFont="1" applyFill="1" applyBorder="1" applyAlignment="1">
      <x:alignment vertical="top" wrapText="1"/>
    </x:xf>
    <x:xf numFmtId="0" fontId="5" fillId="3" borderId="23" xfId="0" applyNumberFormat="1" applyFont="1" applyFill="1" applyBorder="1" applyAlignment="1">
      <x:alignment vertical="top" wrapText="1"/>
    </x:xf>
    <x:xf numFmtId="0" fontId="5" fillId="3" borderId="24" xfId="0" applyNumberFormat="1" applyFont="1" applyFill="1" applyBorder="1" applyAlignment="1">
      <x:alignment vertical="top" wrapText="1"/>
    </x:xf>
    <x:xf numFmtId="0" fontId="5" fillId="3" borderId="25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26" xfId="0" applyNumberFormat="1" applyFont="1" applyFill="1" applyBorder="1" applyAlignment="1">
      <x:alignment vertical="top" wrapText="1"/>
    </x:xf>
    <x:xf numFmtId="0" fontId="5" fillId="3" borderId="27" xfId="0" applyNumberFormat="1" applyFont="1" applyFill="1" applyBorder="1" applyAlignment="1">
      <x:alignment vertical="top" wrapText="1"/>
    </x:xf>
    <x:xf numFmtId="0" fontId="5" fillId="3" borderId="28" xfId="0" applyNumberFormat="1" applyFont="1" applyFill="1" applyBorder="1" applyAlignment="1">
      <x:alignment vertical="top" wrapText="1"/>
    </x:xf>
    <x:xf numFmtId="0" fontId="5" fillId="3" borderId="29" xfId="0" applyNumberFormat="1" applyFont="1" applyFill="1" applyBorder="1" applyAlignment="1">
      <x:alignment vertical="top" wrapText="1"/>
    </x:xf>
    <x:xf numFmtId="0" fontId="5" fillId="4" borderId="22" xfId="0" applyNumberFormat="1" applyFont="1" applyFill="1" applyBorder="1" applyAlignment="1">
      <x:alignment vertical="top" wrapText="1"/>
    </x:xf>
    <x:xf numFmtId="0" fontId="5" fillId="4" borderId="23" xfId="0" applyNumberFormat="1" applyFont="1" applyFill="1" applyBorder="1" applyAlignment="1">
      <x:alignment vertical="top" wrapText="1"/>
    </x:xf>
    <x:xf numFmtId="0" fontId="5" fillId="4" borderId="24" xfId="0" applyNumberFormat="1" applyFont="1" applyFill="1" applyBorder="1" applyAlignment="1">
      <x:alignment vertical="top" wrapText="1"/>
    </x:xf>
    <x:xf numFmtId="0" fontId="5" fillId="4" borderId="2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26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vertical="top" wrapText="1"/>
    </x:xf>
    <x:xf numFmtId="0" fontId="5" fillId="4" borderId="28" xfId="0" applyNumberFormat="1" applyFont="1" applyFill="1" applyBorder="1" applyAlignment="1">
      <x:alignment vertical="top" wrapText="1"/>
    </x:xf>
    <x:xf numFmtId="0" fontId="5" fillId="4" borderId="29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207" fontId="5" fillId="6" borderId="1" xfId="0" applyNumberFormat="1" applyFont="1" applyFill="1" applyBorder="1" applyAlignment="1">
      <x:alignment wrapText="1"/>
    </x:xf>
    <x:xf numFmtId="206" fontId="5" fillId="6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205" fontId="5" fillId="6" borderId="2" xfId="0" applyNumberFormat="1" applyFont="1" applyFill="1" applyBorder="1" applyAlignment="1">
      <x:alignment wrapText="1"/>
    </x:xf>
    <x:xf numFmtId="206" fontId="5" fillId="6" borderId="2" xfId="0" applyNumberFormat="1" applyFont="1" applyFill="1" applyBorder="1" applyAlignment="1">
      <x:alignment wrapText="1"/>
    </x:xf>
    <x:xf numFmtId="203" fontId="5" fillId="7" borderId="2" xfId="0" applyNumberFormat="1" applyFont="1" applyFill="1" applyBorder="1" applyAlignment="1">
      <x:alignment wrapText="1"/>
    </x:xf>
    <x:xf numFmtId="203" fontId="5" fillId="6" borderId="2" xfId="0" applyNumberFormat="1" applyFont="1" applyFill="1" applyBorder="1" applyAlignment="1">
      <x:alignment wrapText="1"/>
    </x:xf>
    <x:xf numFmtId="202" fontId="5" fillId="7" borderId="2" xfId="0" applyNumberFormat="1" applyFont="1" applyFill="1" applyBorder="1" applyAlignment="1">
      <x:alignment wrapText="1"/>
    </x:xf>
    <x:xf numFmtId="202" fontId="5" fillId="6" borderId="2" xfId="0" applyNumberFormat="1" applyFont="1" applyFill="1" applyBorder="1" applyAlignment="1">
      <x:alignment wrapText="1"/>
    </x:xf>
    <x:xf numFmtId="206" fontId="5" fillId="7" borderId="2" xfId="0" applyNumberFormat="1" applyFont="1" applyFill="1" applyBorder="1" applyAlignment="1">
      <x:alignment wrapText="1"/>
    </x:xf>
    <x:xf numFmtId="206" fontId="5" fillId="7" borderId="18" xfId="0" applyNumberFormat="1" applyFont="1" applyFill="1" applyBorder="1"/>
    <x:xf numFmtId="206" fontId="5" fillId="7" borderId="19" xfId="0" applyNumberFormat="1" applyFont="1" applyFill="1" applyBorder="1"/>
    <x:xf numFmtId="202" fontId="5" fillId="7" borderId="19" xfId="0" applyNumberFormat="1" applyFont="1" applyFill="1" applyBorder="1"/>
    <x:xf numFmtId="201" fontId="5" fillId="7" borderId="19" xfId="0" applyNumberFormat="1" applyFont="1" applyFill="1" applyBorder="1"/>
    <x:xf numFmtId="206" fontId="5" fillId="7" borderId="2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03" fontId="5" fillId="0" borderId="2" xfId="0" applyNumberFormat="1" applyFont="1" applyFill="1" applyBorder="1" applyAlignment="1">
      <x:alignment wrapText="1"/>
    </x:xf>
    <x:xf numFmtId="202" fontId="5" fillId="0" borderId="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4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5" fillId="6" borderId="4" xfId="0" applyNumberFormat="1" applyFont="1" applyFill="1" applyBorder="1"/>
    <x:xf numFmtId="205" fontId="5" fillId="6" borderId="5" xfId="0" applyNumberFormat="1" applyFont="1" applyFill="1" applyBorder="1"/>
    <x:xf numFmtId="0" fontId="5" fillId="6" borderId="5" xfId="0" applyNumberFormat="1" applyFont="1" applyFill="1" applyBorder="1"/>
    <x:xf numFmtId="202" fontId="5" fillId="6" borderId="5" xfId="0" applyNumberFormat="1" applyFont="1" applyFill="1" applyBorder="1"/>
    <x:xf numFmtId="202" fontId="5" fillId="6" borderId="6" xfId="0" applyNumberFormat="1" applyFont="1" applyFill="1" applyBorder="1"/>
    <x:xf numFmtId="202" fontId="5" fillId="7" borderId="12" xfId="0" applyNumberFormat="1" applyFont="1" applyFill="1" applyBorder="1"/>
    <x:xf numFmtId="202" fontId="5" fillId="6" borderId="4" xfId="0" applyNumberFormat="1" applyFont="1" applyFill="1" applyBorder="1"/>
    <x:xf numFmtId="206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205" fontId="5" fillId="6" borderId="3" xfId="0" applyNumberFormat="1" applyFont="1" applyFill="1" applyBorder="1"/>
    <x:xf numFmtId="0" fontId="5" fillId="6" borderId="3" xfId="0" applyNumberFormat="1" applyFont="1" applyFill="1" applyBorder="1"/>
    <x:xf numFmtId="202" fontId="5" fillId="6" borderId="3" xfId="0" applyNumberFormat="1" applyFont="1" applyFill="1" applyBorder="1"/>
    <x:xf numFmtId="202" fontId="5" fillId="6" borderId="8" xfId="0" applyNumberFormat="1" applyFont="1" applyFill="1" applyBorder="1"/>
    <x:xf numFmtId="202" fontId="5" fillId="7" borderId="13" xfId="0" applyNumberFormat="1" applyFont="1" applyFill="1" applyBorder="1"/>
    <x:xf numFmtId="202" fontId="5" fillId="6" borderId="7" xfId="0" applyNumberFormat="1" applyFont="1" applyFill="1" applyBorder="1"/>
    <x:xf numFmtId="206" fontId="5" fillId="6" borderId="3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205" fontId="5" fillId="6" borderId="10" xfId="0" applyNumberFormat="1" applyFont="1" applyFill="1" applyBorder="1"/>
    <x:xf numFmtId="0" fontId="5" fillId="6" borderId="10" xfId="0" applyNumberFormat="1" applyFont="1" applyFill="1" applyBorder="1"/>
    <x:xf numFmtId="202" fontId="5" fillId="6" borderId="10" xfId="0" applyNumberFormat="1" applyFont="1" applyFill="1" applyBorder="1"/>
    <x:xf numFmtId="202" fontId="5" fillId="6" borderId="11" xfId="0" applyNumberFormat="1" applyFont="1" applyFill="1" applyBorder="1"/>
    <x:xf numFmtId="202" fontId="5" fillId="7" borderId="14" xfId="0" applyNumberFormat="1" applyFont="1" applyFill="1" applyBorder="1"/>
    <x:xf numFmtId="202" fontId="5" fillId="6" borderId="9" xfId="0" applyNumberFormat="1" applyFont="1" applyFill="1" applyBorder="1"/>
    <x:xf numFmtId="206" fontId="5" fillId="6" borderId="10" xfId="0" applyNumberFormat="1" applyFont="1" applyFill="1" applyBorder="1"/>
    <x:xf numFmtId="0" fontId="5" fillId="6" borderId="11" xfId="0" applyNumberFormat="1" applyFont="1" applyFill="1" applyBorder="1"/>
    <x:xf numFmtId="205" fontId="5" fillId="0" borderId="1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horizontal="left" vertical="center" wrapText="1"/>
    </x:xf>
    <x:xf numFmtId="0" fontId="4" fillId="4" borderId="21" xfId="0" applyNumberFormat="1" applyFont="1" applyFill="1" applyBorder="1" applyAlignment="1">
      <x:alignment horizontal="left" vertical="center" wrapText="1"/>
    </x:xf>
    <x:xf numFmtId="0" fontId="4" fillId="4" borderId="17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horizontal="center" vertical="center" wrapText="1"/>
    </x:xf>
    <x:xf numFmtId="205" fontId="5" fillId="0" borderId="15" xfId="0" applyNumberFormat="1" applyFont="1" applyFill="1" applyBorder="1"/>
    <x:xf numFmtId="0" fontId="5" fillId="0" borderId="15" xfId="0" applyNumberFormat="1" applyFont="1" applyFill="1" applyBorder="1"/>
    <x:xf numFmtId="203" fontId="5" fillId="0" borderId="15" xfId="0" applyNumberFormat="1" applyFont="1" applyFill="1" applyBorder="1"/>
    <x:xf numFmtId="204" fontId="5" fillId="0" borderId="15" xfId="0" applyNumberFormat="1" applyFont="1" applyFill="1" applyBorder="1"/>
  </x:cellXfs>
  <x:cellStyles count="1">
    <x:cellStyle name="Normal" xfId="0"/>
  </x:cellStyles>
  <x:dxfs count="44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9d185326d459a" /><Relationship Type="http://schemas.openxmlformats.org/officeDocument/2006/relationships/theme" Target="/xl/theme/theme1.xml" Id="Rcf5c18cf4a524967" /><Relationship Type="http://schemas.openxmlformats.org/officeDocument/2006/relationships/sharedStrings" Target="/xl/sharedStrings.xml" Id="Ra6c7d3ca5ef44d55" /><Relationship Type="http://schemas.openxmlformats.org/officeDocument/2006/relationships/worksheet" Target="/xl/worksheets/sheet1.xml" Id="R7e0d29c49b694ef8" /><Relationship Type="http://schemas.openxmlformats.org/officeDocument/2006/relationships/worksheet" Target="/xl/worksheets/sheet2.xml" Id="R847116447b29402e" /><Relationship Type="http://schemas.openxmlformats.org/officeDocument/2006/relationships/worksheet" Target="/xl/worksheets/sheet3.xml" Id="Rbd10e810a792444b" /><Relationship Type="http://schemas.openxmlformats.org/officeDocument/2006/relationships/worksheet" Target="/xl/worksheets/sheet4.xml" Id="Rafab4e9cfb8b44ad" /><Relationship Type="http://schemas.openxmlformats.org/officeDocument/2006/relationships/worksheet" Target="/xl/worksheets/sheet5.xml" Id="Rc558999415df4cd9" /><Relationship Type="http://schemas.openxmlformats.org/officeDocument/2006/relationships/worksheet" Target="/xl/worksheets/sheet6.xml" Id="R2d6d437f7c9444eb" /><Relationship Type="http://schemas.openxmlformats.org/officeDocument/2006/relationships/worksheet" Target="/xl/worksheets/sheet7.xml" Id="Rad92406a15a94e94" /><Relationship Type="http://schemas.openxmlformats.org/officeDocument/2006/relationships/worksheet" Target="/xl/worksheets/sheet8.xml" Id="R6f173831ac174532" /><Relationship Type="http://schemas.openxmlformats.org/officeDocument/2006/relationships/worksheet" Target="/xl/worksheets/sheet9.xml" Id="Rbbdf89361fb8482b" /><Relationship Type="http://schemas.openxmlformats.org/officeDocument/2006/relationships/worksheet" Target="/xl/worksheets/sheet10.xml" Id="R2c72ff5343a34187" /><Relationship Type="http://schemas.openxmlformats.org/officeDocument/2006/relationships/worksheet" Target="/xl/worksheets/sheet11.xml" Id="R9fbaf2663dfa43f5" /><Relationship Type="http://schemas.microsoft.com/office/2017/10/relationships/person" Target="/xl/persons/person.xml" Id="Rf67f975f17dc4a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3b8809d0db41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chance of a 1 mm wet day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Wet-Day Probability</c:v>
          </c:tx>
          <c:marker>
            <c:symbol val="none"/>
          </c:marker>
          <c:cat>
            <c:strRef>
              <c:f>'Estimator'!$J$21:$J$32</c:f>
              <c:strCache>
                <c:ptCount val="0"/>
              </c:strCache>
            </c:strRef>
          </c:cat>
          <c:val>
            <c:numRef>
              <c:f>'Estimator'!$K$21:$K$32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3b8809d0db419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ick Jones" id="{254B8C89-3FF9-4077-9E1E-423ACCCB2D1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8-14T10:01:37.973" personId="{254B8C89-3FF9-4077-9E1E-423ACCCB2D18}" id="{B0019669-C265-F961-29F0-898EF7C713C2}">
    <xltc:text>Standard work pattern only. Public holidays, shutdowns and unusual rosters must be handled through the working-days override or the contract programme.</xltc:text>
  </xltc:threadedComment>
  <xltc:threadedComment ref="B15" dT="2026-08-14T10:01:37.974" personId="{254B8C89-3FF9-4077-9E1E-423ACCCB2D18}" id="{1B840C88-F518-2A69-ECDD-F5447F396314}">
    <xltc:text>Use a sourced probability that matches the task wind threshold. The Auckland default is only a legacy &gt;63 km/h gust-day proxy.</xltc:text>
  </xltc:threadedComment>
  <xltc:threadedComment ref="B16" dT="2026-08-14T10:01:37.974" personId="{254B8C89-3FF9-4077-9E1E-423ACCCB2D18}" id="{BA6AD55B-1D87-8692-992D-F12B3D6BDECF}">
    <xltc:text>Keep at 1.00 unless local exposure differs materially from the selected station. Record the evidence or professional basis in the next cell.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21894a8dbce4c20" /><Relationship Type="http://schemas.openxmlformats.org/officeDocument/2006/relationships/vmlDrawing" Target="/xl/drawings/vmldrawing.vml" Id="Rab89251a17754197" /><Relationship Type="http://schemas.microsoft.com/office/2017/10/relationships/threadedComment" Target="/xl/threadedcomments/threadedcomment.xml" Id="Recb60d65eff94d77" /><Relationship Type="http://schemas.openxmlformats.org/officeDocument/2006/relationships/drawing" Target="/xl/drawings/drawing1.xml" Id="R55275636c32f4c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3" hidden="0" customWidth="1"/>
    <x:col min="4" max="4" width="38" hidden="0" customWidth="1"/>
    <x:col min="5" max="5" width="19" hidden="0" customWidth="1"/>
    <x:col min="6" max="6" width="3" hidden="0" customWidth="1"/>
    <x:col min="7" max="7" width="39" hidden="0" customWidth="1"/>
    <x:col min="8" max="8" width="30" hidden="0" customWidth="1"/>
    <x:col min="9" max="9" width="3" hidden="0" customWidth="1"/>
    <x:col min="10" max="10" width="18" hidden="0" customWidth="1"/>
    <x:col min="11" max="11" width="18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6" customHeight="1">
      <x:c r="A1" s="316" t="str">
        <x:v>Weather Risk Estimator - Evidence-Based Allowance</x:v>
      </x:c>
      <x:c r="B1" s="268" t="str">
        <x:v>Weather Risk Estimator - Evidence-Based Allowance</x:v>
      </x:c>
      <x:c r="C1" s="268" t="str">
        <x:v>Weather Risk Estimator - Evidence-Based Allowance</x:v>
      </x:c>
      <x:c r="D1" s="268" t="str">
        <x:v>Weather Risk Estimator - Evidence-Based Allowance</x:v>
      </x:c>
      <x:c r="E1" s="268" t="str">
        <x:v>Weather Risk Estimator - Evidence-Based Allowance</x:v>
      </x:c>
      <x:c r="F1" s="268" t="str">
        <x:v>Weather Risk Estimator - Evidence-Based Allowance</x:v>
      </x:c>
      <x:c r="G1" s="268" t="str">
        <x:v>Weather Risk Estimator - Evidence-Based Allowance</x:v>
      </x:c>
      <x:c r="H1" s="268" t="str">
        <x:v>Weather Risk Estimator - Evidence-Based Allowance</x:v>
      </x:c>
      <x:c r="I1" s="268" t="str">
        <x:v>Weather Risk Estimator - Evidence-Based Allowance</x:v>
      </x:c>
      <x:c r="J1" s="268" t="str">
        <x:v>Weather Risk Estimator - Evidence-Based Allowance</x:v>
      </x:c>
      <x:c r="K1" s="268" t="str">
        <x:v>Weather Risk Estimator - Evidence-Based Allowance</x:v>
      </x:c>
      <x:c r="L1" s="268" t="str">
        <x:v>Weather Risk Estimator - Evidence-Based Allowance</x:v>
      </x:c>
      <x:c r="M1" s="268" t="str">
        <x:v>Weather Risk Estimator - Evidence-Based Allowance</x:v>
      </x:c>
      <x:c r="N1" s="268" t="str">
        <x:v>Weather Risk Estimator - Evidence-Based Allowance</x:v>
      </x:c>
      <x:c r="O1" s="268" t="str">
        <x:v>Weather Risk Estimator - Evidence-Based Allowance</x:v>
      </x:c>
      <x:c r="P1" s="268" t="str">
        <x:v>Weather Risk Estimator - Evidence-Based Allowance</x:v>
      </x:c>
      <x:c r="Q1" s="268" t="str">
        <x:v>Weather Risk Estimator - Evidence-Based Allowance</x:v>
      </x:c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  <x:c r="K2" s="269"/>
      <x:c r="L2" s="269"/>
      <x:c r="M2" s="269"/>
      <x:c r="N2" s="269"/>
      <x:c r="O2" s="269"/>
      <x:c r="P2" s="269"/>
      <x:c r="Q2" s="269"/>
    </x:row>
    <x:row r="3">
      <x:c r="A3" s="270" t="str">
        <x:v>Project and Cost Inputs</x:v>
      </x:c>
      <x:c r="B3" s="271" t="str">
        <x:v>Project and Cost Inputs</x:v>
      </x:c>
      <x:c r="C3" s="269"/>
      <x:c r="D3" s="270" t="str">
        <x:v>Task Factors</x:v>
      </x:c>
      <x:c r="E3" s="271" t="str">
        <x:v>Task Factors</x:v>
      </x:c>
      <x:c r="F3" s="269"/>
      <x:c r="G3" s="270" t="str">
        <x:v>Weather and Cost Outputs</x:v>
      </x:c>
      <x:c r="H3" s="271" t="str">
        <x:v>Weather and Cost Outputs</x:v>
      </x:c>
      <x:c r="I3" s="269"/>
      <x:c r="J3" s="269"/>
      <x:c r="K3" s="269"/>
      <x:c r="L3" s="269"/>
      <x:c r="M3" s="269"/>
      <x:c r="N3" s="269"/>
      <x:c r="O3" s="269"/>
      <x:c r="P3" s="269"/>
      <x:c r="Q3" s="269"/>
    </x:row>
    <x:row r="4">
      <x:c r="A4" s="272" t="str">
        <x:v>Nearest NIWA location</x:v>
      </x:c>
      <x:c r="B4" s="273" t="str">
        <x:v>Auckland</x:v>
      </x:c>
      <x:c r="C4" s="272"/>
      <x:c r="D4" s="272" t="str">
        <x:v>Default rain exposure</x:v>
      </x:c>
      <x:c r="E4" s="274" t="str">
        <x:f>IF($B$9="","",INDEX('Task Library'!$C$7:$C$45,MATCH($B$9,'Task Library'!$A$7:$A$45,0)))</x:f>
      </x:c>
      <x:c r="F4" s="272"/>
      <x:c r="G4" s="272" t="str">
        <x:v>Date-engine coverage</x:v>
      </x:c>
      <x:c r="H4" s="275" t="str">
        <x:v>01/01/2025 to 31/12/2040</x:v>
      </x:c>
      <x:c r="I4" s="269"/>
      <x:c r="J4" s="269"/>
      <x:c r="K4" s="269"/>
      <x:c r="L4" s="269"/>
      <x:c r="M4" s="269"/>
      <x:c r="N4" s="269"/>
      <x:c r="O4" s="269"/>
      <x:c r="P4" s="269"/>
      <x:c r="Q4" s="269"/>
    </x:row>
    <x:row r="5">
      <x:c r="A5" s="272" t="str">
        <x:v>Start date</x:v>
      </x:c>
      <x:c r="B5" s="276"/>
      <x:c r="C5" s="272"/>
      <x:c r="D5" s="272" t="str">
        <x:v>Override rain exposure</x:v>
      </x:c>
      <x:c r="E5" s="277"/>
      <x:c r="F5" s="272"/>
      <x:c r="G5" s="272" t="str">
        <x:v>Standard workdays</x:v>
      </x:c>
      <x:c r="H5" s="278" t="str">
        <x:f>IF(OR(B5="",B6="",B6&lt;B5),"",SUMPRODUCT((('Date Engine'!$A$7:$A$5850&gt;=$B$5)*('Date Engine'!$A$7:$A$5850&lt;=$B$6)*'Date Engine'!$G$7:$G$5850)))</x:f>
      </x:c>
      <x:c r="I5" s="269"/>
      <x:c r="J5" s="269"/>
      <x:c r="K5" s="269"/>
      <x:c r="L5" s="269"/>
      <x:c r="M5" s="269"/>
      <x:c r="N5" s="269"/>
      <x:c r="O5" s="269"/>
      <x:c r="P5" s="269"/>
      <x:c r="Q5" s="269"/>
    </x:row>
    <x:row r="6">
      <x:c r="A6" s="272" t="str">
        <x:v>End date</x:v>
      </x:c>
      <x:c r="B6" s="276"/>
      <x:c r="C6" s="272"/>
      <x:c r="D6" s="272" t="str">
        <x:v>Effective rain exposure</x:v>
      </x:c>
      <x:c r="E6" s="274" t="str">
        <x:f>IF(E4="","",IF(E5="",E4,E5))</x:f>
      </x:c>
      <x:c r="F6" s="272"/>
      <x:c r="G6" s="272" t="str">
        <x:v>Effective workdays</x:v>
      </x:c>
      <x:c r="H6" s="278" t="str">
        <x:f>IF(H5="","",IF(B8="",H5,B8))</x:f>
      </x:c>
      <x:c r="I6" s="269"/>
      <x:c r="J6" s="269"/>
      <x:c r="K6" s="269"/>
      <x:c r="L6" s="269"/>
      <x:c r="M6" s="269"/>
      <x:c r="N6" s="269"/>
      <x:c r="O6" s="269"/>
      <x:c r="P6" s="269"/>
      <x:c r="Q6" s="269"/>
    </x:row>
    <x:row r="7">
      <x:c r="A7" s="272" t="str">
        <x:v>Working days per week</x:v>
      </x:c>
      <x:c r="B7" s="279" t="n">
        <x:v>5</x:v>
      </x:c>
      <x:c r="C7" s="272"/>
      <x:c r="D7" s="272"/>
      <x:c r="E7" s="272"/>
      <x:c r="F7" s="272"/>
      <x:c r="G7" s="272" t="str">
        <x:v>Average NIWA wet-day probability</x:v>
      </x:c>
      <x:c r="H7" s="280" t="str">
        <x:f>IFERROR(SUMPRODUCT((('Date Engine'!$A$7:$A$5850&gt;=$B$5)*('Date Engine'!$A$7:$A$5850&lt;=$B$6)*'Date Engine'!$G$7:$G$5850)*'Date Engine'!$H$7:$H$5850)/SUMPRODUCT((('Date Engine'!$A$7:$A$5850&gt;=$B$5)*('Date Engine'!$A$7:$A$5850&lt;=$B$6)*'Date Engine'!$G$7:$G$5850)),"")</x:f>
      </x:c>
      <x:c r="I7" s="269"/>
      <x:c r="J7" s="269"/>
      <x:c r="K7" s="269"/>
      <x:c r="L7" s="269"/>
      <x:c r="M7" s="269"/>
      <x:c r="N7" s="269"/>
      <x:c r="O7" s="269"/>
      <x:c r="P7" s="269"/>
      <x:c r="Q7" s="269"/>
    </x:row>
    <x:row r="8">
      <x:c r="A8" s="272" t="str">
        <x:v>Working days override (optional)</x:v>
      </x:c>
      <x:c r="B8" s="279"/>
      <x:c r="C8" s="272"/>
      <x:c r="D8" s="272" t="str">
        <x:v>Default rain productivity loss</x:v>
      </x:c>
      <x:c r="E8" s="274" t="str">
        <x:f>IF($B$9="","",INDEX('Task Library'!$D$7:$D$45,MATCH($B$9,'Task Library'!$A$7:$A$45,0)))</x:f>
      </x:c>
      <x:c r="F8" s="272"/>
      <x:c r="G8" s="272" t="str">
        <x:v>Local-adjusted wet-day probability</x:v>
      </x:c>
      <x:c r="H8" s="280" t="str">
        <x:f>IF(H7="","",MIN(1,H7*B16))</x:f>
      </x:c>
      <x:c r="I8" s="269"/>
      <x:c r="J8" s="269"/>
      <x:c r="K8" s="269"/>
      <x:c r="L8" s="269"/>
      <x:c r="M8" s="269"/>
      <x:c r="N8" s="269"/>
      <x:c r="O8" s="269"/>
      <x:c r="P8" s="269"/>
      <x:c r="Q8" s="269"/>
    </x:row>
    <x:row r="9">
      <x:c r="A9" s="272" t="str">
        <x:v>Representative task</x:v>
      </x:c>
      <x:c r="B9" s="279"/>
      <x:c r="C9" s="272"/>
      <x:c r="D9" s="272" t="str">
        <x:v>Override rain productivity loss</x:v>
      </x:c>
      <x:c r="E9" s="277"/>
      <x:c r="F9" s="272"/>
      <x:c r="G9" s="272" t="str">
        <x:v>Mean rain per wet day (context only)</x:v>
      </x:c>
      <x:c r="H9" s="281" t="str">
        <x:f>IFERROR(SUMPRODUCT((('Date Engine'!$A$7:$A$5850&gt;=$B$5)*('Date Engine'!$A$7:$A$5850&lt;=$B$6)*'Date Engine'!$G$7:$G$5850)*'Date Engine'!$H$7:$H$5850*'Date Engine'!$I$7:$I$5850)/SUMPRODUCT((('Date Engine'!$A$7:$A$5850&gt;=$B$5)*('Date Engine'!$A$7:$A$5850&lt;=$B$6)*'Date Engine'!$G$7:$G$5850)*'Date Engine'!$H$7:$H$5850),"")</x:f>
      </x:c>
      <x:c r="I9" s="269"/>
      <x:c r="J9" s="269"/>
      <x:c r="K9" s="269"/>
      <x:c r="L9" s="269"/>
      <x:c r="M9" s="269"/>
      <x:c r="N9" s="269"/>
      <x:c r="O9" s="269"/>
      <x:c r="P9" s="269"/>
      <x:c r="Q9" s="269"/>
    </x:row>
    <x:row r="10">
      <x:c r="A10" s="272" t="str">
        <x:v>Weather-exposed labour cost $</x:v>
      </x:c>
      <x:c r="B10" s="282"/>
      <x:c r="C10" s="272"/>
      <x:c r="D10" s="272" t="str">
        <x:v>Effective rain productivity loss</x:v>
      </x:c>
      <x:c r="E10" s="274" t="str">
        <x:f>IF(E8="","",IF(E9="",E8,E9))</x:f>
      </x:c>
      <x:c r="F10" s="272"/>
      <x:c r="G10" s="272" t="str">
        <x:v>Effective wind-event probability</x:v>
      </x:c>
      <x:c r="H10" s="280" t="n">
        <x:f>IF(B15&lt;&gt;"",B15,IFERROR(SUMPRODUCT((('Date Engine'!$A$7:$A$5850&gt;=$B$5)*('Date Engine'!$A$7:$A$5850&lt;=$B$6)*'Date Engine'!$G$7:$G$5850)*'Date Engine'!$J$7:$J$5850)/SUMPRODUCT((('Date Engine'!$A$7:$A$5850&gt;=$B$5)*('Date Engine'!$A$7:$A$5850&lt;=$B$6)*'Date Engine'!$G$7:$G$5850)),0))</x:f>
        <x:v>0</x:v>
      </x:c>
      <x:c r="I10" s="269"/>
      <x:c r="J10" s="269"/>
      <x:c r="K10" s="269"/>
      <x:c r="L10" s="269"/>
      <x:c r="M10" s="269"/>
      <x:c r="N10" s="269"/>
      <x:c r="O10" s="269"/>
      <x:c r="P10" s="269"/>
      <x:c r="Q10" s="269"/>
    </x:row>
    <x:row r="11">
      <x:c r="A11" s="272" t="str">
        <x:v>Weather-exposed plant cost $</x:v>
      </x:c>
      <x:c r="B11" s="282"/>
      <x:c r="C11" s="272"/>
      <x:c r="D11" s="272"/>
      <x:c r="E11" s="272"/>
      <x:c r="F11" s="272"/>
      <x:c r="G11" s="272" t="str">
        <x:v>Wind evidence status</x:v>
      </x:c>
      <x:c r="H11" s="283" t="str">
        <x:f>IF(B4="Auckland","AMBER - legacy Auckland wind proxy",IF(B15&lt;&gt;"","AMBER - project override requires source","RED - no wind frequency loaded"))</x:f>
        <x:v>AMBER - legacy Auckland wind proxy</x:v>
      </x:c>
      <x:c r="I11" s="269"/>
      <x:c r="J11" s="269"/>
      <x:c r="K11" s="269"/>
      <x:c r="L11" s="269"/>
      <x:c r="M11" s="269"/>
      <x:c r="N11" s="269"/>
      <x:c r="O11" s="269"/>
      <x:c r="P11" s="269"/>
      <x:c r="Q11" s="269"/>
    </x:row>
    <x:row r="12">
      <x:c r="A12" s="272" t="str">
        <x:v>Daily time-related preliminaries $</x:v>
      </x:c>
      <x:c r="B12" s="282"/>
      <x:c r="C12" s="272"/>
      <x:c r="D12" s="272" t="str">
        <x:v>Default wet-ground carryover eq. days</x:v>
      </x:c>
      <x:c r="E12" s="284" t="str">
        <x:f>IF($B$9="","",INDEX('Task Library'!$E$7:$E$45,MATCH($B$9,'Task Library'!$A$7:$A$45,0)))</x:f>
      </x:c>
      <x:c r="F12" s="272"/>
      <x:c r="G12" s="272"/>
      <x:c r="H12" s="285"/>
      <x:c r="I12" s="269"/>
      <x:c r="J12" s="269"/>
      <x:c r="K12" s="269"/>
      <x:c r="L12" s="269"/>
      <x:c r="M12" s="269"/>
      <x:c r="N12" s="269"/>
      <x:c r="O12" s="269"/>
      <x:c r="P12" s="269"/>
      <x:c r="Q12" s="269"/>
    </x:row>
    <x:row r="13">
      <x:c r="A13" s="272" t="str">
        <x:v>Weekly hire / facilities $</x:v>
      </x:c>
      <x:c r="B13" s="282"/>
      <x:c r="C13" s="272"/>
      <x:c r="D13" s="272" t="str">
        <x:v>Override carryover eq. days</x:v>
      </x:c>
      <x:c r="E13" s="286"/>
      <x:c r="F13" s="272"/>
      <x:c r="G13" s="272" t="str">
        <x:v>On-day rain impact %</x:v>
      </x:c>
      <x:c r="H13" s="280" t="str">
        <x:f>IF(OR(H8="",E6="",E10="",E26=""),"",H8*E6*E10*E26)</x:f>
      </x:c>
      <x:c r="I13" s="269"/>
      <x:c r="J13" s="269"/>
      <x:c r="K13" s="269"/>
      <x:c r="L13" s="269"/>
      <x:c r="M13" s="269"/>
      <x:c r="N13" s="269"/>
      <x:c r="O13" s="269"/>
      <x:c r="P13" s="269"/>
      <x:c r="Q13" s="269"/>
    </x:row>
    <x:row r="14">
      <x:c r="A14" s="272" t="str">
        <x:v>Project-specific recovery allowance $</x:v>
      </x:c>
      <x:c r="B14" s="282" t="n">
        <x:v>0</x:v>
      </x:c>
      <x:c r="C14" s="272"/>
      <x:c r="D14" s="272" t="str">
        <x:v>Effective carryover eq. days</x:v>
      </x:c>
      <x:c r="E14" s="284" t="str">
        <x:f>IF(E12="","",IF(E13="",E12,E13))</x:f>
      </x:c>
      <x:c r="F14" s="272"/>
      <x:c r="G14" s="272" t="str">
        <x:v>Wet-ground carryover impact %</x:v>
      </x:c>
      <x:c r="H14" s="280" t="str">
        <x:f>IF(OR(H8="",E14="",E26=""),"",H8*E14*E26)</x:f>
      </x:c>
      <x:c r="I14" s="269"/>
      <x:c r="J14" s="269"/>
      <x:c r="K14" s="269"/>
      <x:c r="L14" s="269"/>
      <x:c r="M14" s="269"/>
      <x:c r="N14" s="269"/>
      <x:c r="O14" s="269"/>
      <x:c r="P14" s="269"/>
      <x:c r="Q14" s="269"/>
    </x:row>
    <x:row r="15">
      <x:c r="A15" s="272" t="str">
        <x:v>Wind probability override (optional)</x:v>
      </x:c>
      <x:c r="B15" s="287"/>
      <x:c r="C15" s="272"/>
      <x:c r="D15" s="272"/>
      <x:c r="E15" s="272"/>
      <x:c r="F15" s="272"/>
      <x:c r="G15" s="272" t="str">
        <x:v>Wind impact %</x:v>
      </x:c>
      <x:c r="H15" s="280" t="str">
        <x:f>IF(OR(E18="",E22="",E26=""),"",H10*E18*E22*E26)</x:f>
      </x:c>
      <x:c r="I15" s="269"/>
      <x:c r="J15" s="269"/>
      <x:c r="K15" s="269"/>
      <x:c r="L15" s="269"/>
      <x:c r="M15" s="269"/>
      <x:c r="N15" s="269"/>
      <x:c r="O15" s="269"/>
      <x:c r="P15" s="269"/>
      <x:c r="Q15" s="269"/>
    </x:row>
    <x:row r="16">
      <x:c r="A16" s="272" t="str">
        <x:v>Local wet-day factor</x:v>
      </x:c>
      <x:c r="B16" s="288" t="n">
        <x:v>1</x:v>
      </x:c>
      <x:c r="C16" s="272"/>
      <x:c r="D16" s="272" t="str">
        <x:v>Default wind sensitivity</x:v>
      </x:c>
      <x:c r="E16" s="274" t="str">
        <x:f>IF($B$9="","",INDEX('Task Library'!$F$7:$F$45,MATCH($B$9,'Task Library'!$A$7:$A$45,0)))</x:f>
      </x:c>
      <x:c r="F16" s="272"/>
      <x:c r="G16" s="272" t="str">
        <x:v>Combined direct impact %</x:v>
      </x:c>
      <x:c r="H16" s="280" t="str">
        <x:f>IF(B9="","",MIN(1,H13+H14+H15))</x:f>
      </x:c>
      <x:c r="I16" s="269"/>
      <x:c r="J16" s="269"/>
      <x:c r="K16" s="269"/>
      <x:c r="L16" s="269"/>
      <x:c r="M16" s="269"/>
      <x:c r="N16" s="269"/>
      <x:c r="O16" s="269"/>
      <x:c r="P16" s="269"/>
      <x:c r="Q16" s="269"/>
    </x:row>
    <x:row r="17">
      <x:c r="A17" s="272" t="str">
        <x:v>Local factor basis / reference</x:v>
      </x:c>
      <x:c r="B17" s="279" t="str"/>
      <x:c r="C17" s="272"/>
      <x:c r="D17" s="272" t="str">
        <x:v>Override wind sensitivity</x:v>
      </x:c>
      <x:c r="E17" s="277"/>
      <x:c r="F17" s="272"/>
      <x:c r="G17" s="272" t="str">
        <x:v>Expected equivalent lost working days</x:v>
      </x:c>
      <x:c r="H17" s="278" t="str">
        <x:f>IF(OR(H6="",B9=""),"",H6*H16)</x:f>
      </x:c>
      <x:c r="I17" s="269"/>
      <x:c r="J17" s="269"/>
      <x:c r="K17" s="269"/>
      <x:c r="L17" s="269"/>
      <x:c r="M17" s="269"/>
      <x:c r="N17" s="269"/>
      <x:c r="O17" s="269"/>
      <x:c r="P17" s="269"/>
      <x:c r="Q17" s="269"/>
    </x:row>
    <x:row r="18">
      <x:c r="A18" s="272" t="str">
        <x:v>Task is on critical path?</x:v>
      </x:c>
      <x:c r="B18" s="289" t="str">
        <x:v>Yes</x:v>
      </x:c>
      <x:c r="C18" s="272"/>
      <x:c r="D18" s="272" t="str">
        <x:v>Effective wind sensitivity</x:v>
      </x:c>
      <x:c r="E18" s="274" t="str">
        <x:f>IF(E16="","",IF(E17="",E16,E17))</x:f>
      </x:c>
      <x:c r="F18" s="272"/>
      <x:c r="G18" s="272" t="str">
        <x:v>Suggested critical-path delay working days</x:v>
      </x:c>
      <x:c r="H18" s="278" t="str">
        <x:f>IF(B9="","",IF(B18="Yes",H17,0))</x:f>
      </x:c>
      <x:c r="I18" s="269"/>
      <x:c r="J18" s="269"/>
      <x:c r="K18" s="269"/>
      <x:c r="L18" s="269"/>
      <x:c r="M18" s="269"/>
      <x:c r="N18" s="269"/>
      <x:c r="O18" s="269"/>
      <x:c r="P18" s="269"/>
      <x:c r="Q18" s="269"/>
    </x:row>
    <x:row r="19">
      <x:c r="A19" s="272"/>
      <x:c r="B19" s="272"/>
      <x:c r="C19" s="272"/>
      <x:c r="D19" s="272"/>
      <x:c r="E19" s="272"/>
      <x:c r="F19" s="272"/>
      <x:c r="G19" s="272"/>
      <x:c r="H19" s="285"/>
      <x:c r="I19" s="269"/>
      <x:c r="J19" s="269"/>
      <x:c r="K19" s="269"/>
      <x:c r="L19" s="269"/>
      <x:c r="M19" s="269"/>
      <x:c r="N19" s="269"/>
      <x:c r="O19" s="269"/>
      <x:c r="P19" s="269"/>
      <x:c r="Q19" s="269"/>
    </x:row>
    <x:row r="20">
      <x:c r="A20" s="272"/>
      <x:c r="B20" s="272"/>
      <x:c r="C20" s="272"/>
      <x:c r="D20" s="272" t="str">
        <x:v>Default wind productivity loss</x:v>
      </x:c>
      <x:c r="E20" s="274" t="str">
        <x:f>IF($B$9="","",INDEX('Task Library'!$G$7:$G$45,MATCH($B$9,'Task Library'!$A$7:$A$45,0)))</x:f>
      </x:c>
      <x:c r="F20" s="272"/>
      <x:c r="G20" s="272" t="str">
        <x:v>Direct productivity allowance $</x:v>
      </x:c>
      <x:c r="H20" s="290" t="str">
        <x:f>IF(B9="","",(B10+B11)*H16)</x:f>
      </x:c>
      <x:c r="I20" s="269"/>
      <x:c r="J20" s="291" t="str">
        <x:v>Month</x:v>
      </x:c>
      <x:c r="K20" s="291" t="str">
        <x:v>Wet-Day Probability</x:v>
      </x:c>
      <x:c r="L20" s="291" t="str">
        <x:v>Rain per Wet Day (mm)</x:v>
      </x:c>
      <x:c r="M20" s="269"/>
      <x:c r="N20" s="269"/>
      <x:c r="O20" s="269"/>
      <x:c r="P20" s="269"/>
      <x:c r="Q20" s="269"/>
    </x:row>
    <x:row r="21">
      <x:c r="A21" s="272"/>
      <x:c r="B21" s="272"/>
      <x:c r="C21" s="272"/>
      <x:c r="D21" s="272" t="str">
        <x:v>Override wind productivity loss</x:v>
      </x:c>
      <x:c r="E21" s="277"/>
      <x:c r="F21" s="272"/>
      <x:c r="G21" s="272" t="str">
        <x:v>Time-related preliminaries allowance $</x:v>
      </x:c>
      <x:c r="H21" s="290" t="str">
        <x:f>IF(B9="","",H18*B12)</x:f>
      </x:c>
      <x:c r="I21" s="269"/>
      <x:c r="J21" s="292" t="str">
        <x:v>Jan</x:v>
      </x:c>
      <x:c r="K21" s="293" t="n">
        <x:f>SUMIFS('Climate Data'!$G$7:$G$366,'Climate Data'!$A$7:$A$366,$B$4,'Climate Data'!$B$7:$B$366,1)</x:f>
        <x:v>0.21802002224694106</x:v>
      </x:c>
      <x:c r="L21" s="294" t="n">
        <x:f>SUMIFS('Climate Data'!$H$7:$H$366,'Climate Data'!$A$7:$A$366,$B$4,'Climate Data'!$B$7:$B$366,1)</x:f>
        <x:v>8.596428571428572</x:v>
      </x:c>
      <x:c r="M21" s="269"/>
      <x:c r="N21" s="269"/>
      <x:c r="O21" s="269"/>
      <x:c r="P21" s="269"/>
      <x:c r="Q21" s="269"/>
    </x:row>
    <x:row r="22">
      <x:c r="A22" s="272"/>
      <x:c r="B22" s="272"/>
      <x:c r="C22" s="272"/>
      <x:c r="D22" s="272" t="str">
        <x:v>Effective wind productivity loss</x:v>
      </x:c>
      <x:c r="E22" s="274" t="str">
        <x:f>IF(E20="","",IF(E21="",E20,E21))</x:f>
      </x:c>
      <x:c r="F22" s="272"/>
      <x:c r="G22" s="272" t="str">
        <x:v>Additional billed hire weeks</x:v>
      </x:c>
      <x:c r="H22" s="295" t="n">
        <x:f>IF(OR(H18="",H18=0),0,ROUNDUP(H18/B7,0))</x:f>
        <x:v>0</x:v>
      </x:c>
      <x:c r="I22" s="269"/>
      <x:c r="J22" s="292" t="str">
        <x:v>Feb</x:v>
      </x:c>
      <x:c r="K22" s="293" t="n">
        <x:f>SUMIFS('Climate Data'!$G$7:$G$366,'Climate Data'!$A$7:$A$366,$B$4,'Climate Data'!$B$7:$B$366,2)</x:f>
        <x:v>0.23056278464541316</x:v>
      </x:c>
      <x:c r="L22" s="294" t="n">
        <x:f>SUMIFS('Climate Data'!$H$7:$H$366,'Climate Data'!$A$7:$A$366,$B$4,'Climate Data'!$B$7:$B$366,2)</x:f>
        <x:v>9.682010582010582</x:v>
      </x:c>
      <x:c r="M22" s="269"/>
      <x:c r="N22" s="269"/>
      <x:c r="O22" s="269"/>
      <x:c r="P22" s="269"/>
      <x:c r="Q22" s="269"/>
    </x:row>
    <x:row r="23">
      <x:c r="A23" s="272"/>
      <x:c r="B23" s="272"/>
      <x:c r="C23" s="272"/>
      <x:c r="D23" s="272"/>
      <x:c r="E23" s="272"/>
      <x:c r="F23" s="272"/>
      <x:c r="G23" s="272" t="str">
        <x:v>Hire / facilities allowance $</x:v>
      </x:c>
      <x:c r="H23" s="290" t="str">
        <x:f>IF(B9="","",H22*B13)</x:f>
      </x:c>
      <x:c r="I23" s="269"/>
      <x:c r="J23" s="292" t="str">
        <x:v>Mar</x:v>
      </x:c>
      <x:c r="K23" s="293" t="n">
        <x:f>SUMIFS('Climate Data'!$G$7:$G$366,'Climate Data'!$A$7:$A$366,$B$4,'Climate Data'!$B$7:$B$366,3)</x:f>
        <x:v>0.24916573971078979</x:v>
      </x:c>
      <x:c r="L23" s="294" t="n">
        <x:f>SUMIFS('Climate Data'!$H$7:$H$366,'Climate Data'!$A$7:$A$366,$B$4,'Climate Data'!$B$7:$B$366,3)</x:f>
        <x:v>9.709821428571429</x:v>
      </x:c>
      <x:c r="M23" s="269"/>
      <x:c r="N23" s="269"/>
      <x:c r="O23" s="269"/>
      <x:c r="P23" s="269"/>
      <x:c r="Q23" s="269"/>
    </x:row>
    <x:row r="24">
      <x:c r="A24" s="272"/>
      <x:c r="B24" s="272"/>
      <x:c r="C24" s="272"/>
      <x:c r="D24" s="272" t="str">
        <x:v>Default nonrecoverable share</x:v>
      </x:c>
      <x:c r="E24" s="274" t="str">
        <x:f>IF($B$9="","",INDEX('Task Library'!$H$7:$H$45,MATCH($B$9,'Task Library'!$A$7:$A$45,0)))</x:f>
      </x:c>
      <x:c r="F24" s="272"/>
      <x:c r="G24" s="272" t="str">
        <x:v>Project-specific recovery allowance $</x:v>
      </x:c>
      <x:c r="H24" s="290" t="n">
        <x:f>B14</x:f>
        <x:v>0</x:v>
      </x:c>
      <x:c r="I24" s="269"/>
      <x:c r="J24" s="292" t="str">
        <x:v>Apr</x:v>
      </x:c>
      <x:c r="K24" s="293" t="n">
        <x:f>SUMIFS('Climate Data'!$G$7:$G$366,'Climate Data'!$A$7:$A$366,$B$4,'Climate Data'!$B$7:$B$366,4)</x:f>
        <x:v>0.32023809523809527</x:v>
      </x:c>
      <x:c r="L24" s="294" t="n">
        <x:f>SUMIFS('Climate Data'!$H$7:$H$366,'Climate Data'!$A$7:$A$366,$B$4,'Climate Data'!$B$7:$B$366,4)</x:f>
        <x:v>9.066171003717471</x:v>
      </x:c>
      <x:c r="M24" s="269"/>
      <x:c r="N24" s="269"/>
      <x:c r="O24" s="269"/>
      <x:c r="P24" s="269"/>
      <x:c r="Q24" s="269"/>
    </x:row>
    <x:row r="25">
      <x:c r="A25" s="272"/>
      <x:c r="B25" s="272"/>
      <x:c r="C25" s="272"/>
      <x:c r="D25" s="272" t="str">
        <x:v>Override nonrecoverable share</x:v>
      </x:c>
      <x:c r="E25" s="277"/>
      <x:c r="F25" s="272"/>
      <x:c r="G25" s="272" t="str">
        <x:v>Total weather allowance $</x:v>
      </x:c>
      <x:c r="H25" s="290" t="str">
        <x:f>IF(B9="","",SUM(H20:H21,H23:H24))</x:f>
      </x:c>
      <x:c r="I25" s="269"/>
      <x:c r="J25" s="292" t="str">
        <x:v>May</x:v>
      </x:c>
      <x:c r="K25" s="293" t="n">
        <x:f>SUMIFS('Climate Data'!$G$7:$G$366,'Climate Data'!$A$7:$A$366,$B$4,'Climate Data'!$B$7:$B$366,5)</x:f>
        <x:v>0.41935483870967744</x:v>
      </x:c>
      <x:c r="L25" s="294" t="n">
        <x:f>SUMIFS('Climate Data'!$H$7:$H$366,'Climate Data'!$A$7:$A$366,$B$4,'Climate Data'!$B$7:$B$366,5)</x:f>
        <x:v>9.215384615384615</x:v>
      </x:c>
      <x:c r="M25" s="269"/>
      <x:c r="N25" s="269"/>
      <x:c r="O25" s="269"/>
      <x:c r="P25" s="269"/>
      <x:c r="Q25" s="269"/>
    </x:row>
    <x:row r="26">
      <x:c r="A26" s="272"/>
      <x:c r="B26" s="272"/>
      <x:c r="C26" s="272"/>
      <x:c r="D26" s="272" t="str">
        <x:v>Effective nonrecoverable share</x:v>
      </x:c>
      <x:c r="E26" s="274" t="str">
        <x:f>IF(E24="","",IF(E25="",E24,E25))</x:f>
      </x:c>
      <x:c r="F26" s="272"/>
      <x:c r="G26" s="272" t="str">
        <x:v>Total as % of exposed direct cost</x:v>
      </x:c>
      <x:c r="H26" s="280" t="n">
        <x:f>IFERROR(H25/(B10+B11),0)</x:f>
        <x:v>0</x:v>
      </x:c>
      <x:c r="I26" s="269"/>
      <x:c r="J26" s="292" t="str">
        <x:v>Jun</x:v>
      </x:c>
      <x:c r="K26" s="293" t="n">
        <x:f>SUMIFS('Climate Data'!$G$7:$G$366,'Climate Data'!$A$7:$A$366,$B$4,'Climate Data'!$B$7:$B$366,6)</x:f>
        <x:v>0.475</x:v>
      </x:c>
      <x:c r="L26" s="294" t="n">
        <x:f>SUMIFS('Climate Data'!$H$7:$H$366,'Climate Data'!$A$7:$A$366,$B$4,'Climate Data'!$B$7:$B$366,6)</x:f>
        <x:v>8.378947368421054</x:v>
      </x:c>
      <x:c r="M26" s="269"/>
      <x:c r="N26" s="269"/>
      <x:c r="O26" s="269"/>
      <x:c r="P26" s="269"/>
      <x:c r="Q26" s="269"/>
    </x:row>
    <x:row r="27">
      <x:c r="A27" s="272"/>
      <x:c r="B27" s="272"/>
      <x:c r="C27" s="272"/>
      <x:c r="D27" s="272"/>
      <x:c r="E27" s="272"/>
      <x:c r="F27" s="272"/>
      <x:c r="G27" s="272"/>
      <x:c r="H27" s="280"/>
      <x:c r="I27" s="269"/>
      <x:c r="J27" s="292" t="str">
        <x:v>Jul</x:v>
      </x:c>
      <x:c r="K27" s="293" t="n">
        <x:f>SUMIFS('Climate Data'!$G$7:$G$366,'Climate Data'!$A$7:$A$366,$B$4,'Climate Data'!$B$7:$B$366,7)</x:f>
        <x:v>0.49078341013824883</x:v>
      </x:c>
      <x:c r="L27" s="294" t="n">
        <x:f>SUMIFS('Climate Data'!$H$7:$H$366,'Climate Data'!$A$7:$A$366,$B$4,'Climate Data'!$B$7:$B$366,7)</x:f>
        <x:v>8.998122065727701</x:v>
      </x:c>
      <x:c r="M27" s="269"/>
      <x:c r="N27" s="269"/>
      <x:c r="O27" s="269"/>
      <x:c r="P27" s="269"/>
      <x:c r="Q27" s="269"/>
    </x:row>
    <x:row r="28">
      <x:c r="A28" s="272"/>
      <x:c r="B28" s="272"/>
      <x:c r="C28" s="272"/>
      <x:c r="D28" s="272"/>
      <x:c r="E28" s="272"/>
      <x:c r="F28" s="272"/>
      <x:c r="G28" s="272" t="str">
        <x:v>Chance of at least one wet workday</x:v>
      </x:c>
      <x:c r="H28" s="280" t="str">
        <x:f>IF(OR(H8="",H6=""),"",1-(1-H8)^H6)</x:f>
      </x:c>
      <x:c r="I28" s="269"/>
      <x:c r="J28" s="292" t="str">
        <x:v>Aug</x:v>
      </x:c>
      <x:c r="K28" s="293" t="n">
        <x:f>SUMIFS('Climate Data'!$G$7:$G$366,'Climate Data'!$A$7:$A$366,$B$4,'Climate Data'!$B$7:$B$366,8)</x:f>
        <x:v>0.47274749721913234</x:v>
      </x:c>
      <x:c r="L28" s="294" t="n">
        <x:f>SUMIFS('Climate Data'!$H$7:$H$366,'Climate Data'!$A$7:$A$366,$B$4,'Climate Data'!$B$7:$B$366,8)</x:f>
        <x:v>7.9971764705882356</x:v>
      </x:c>
      <x:c r="M28" s="269"/>
      <x:c r="N28" s="269"/>
      <x:c r="O28" s="269"/>
      <x:c r="P28" s="269"/>
      <x:c r="Q28" s="269"/>
    </x:row>
    <x:row r="29">
      <x:c r="A29" s="272"/>
      <x:c r="B29" s="272"/>
      <x:c r="C29" s="272"/>
      <x:c r="D29" s="272"/>
      <x:c r="E29" s="272"/>
      <x:c r="F29" s="272"/>
      <x:c r="G29" s="272" t="str">
        <x:v>Output confidence</x:v>
      </x:c>
      <x:c r="H29" s="283" t="str">
        <x:f>IF(OR(B5="",B6="",B9=""),"INCOMPLETE - enter dates and task",IF(OR(B5&lt;DATE(2025,1,1),B6&gt;DATE(2040,12,31)),"RED - dates outside engine",IF(AND(E18&gt;=20%,H10=0),"RED - wind input missing for wind-sensitive task",IF(AND(B16&lt;&gt;1,B17=""),"RED - local factor has no basis","AMBER - NIWA data GREEN; task factors uncalibrated"))))</x:f>
        <x:v>INCOMPLETE - enter dates and task</x:v>
      </x:c>
      <x:c r="I29" s="269"/>
      <x:c r="J29" s="292" t="str">
        <x:v>Sep</x:v>
      </x:c>
      <x:c r="K29" s="293" t="n">
        <x:f>SUMIFS('Climate Data'!$G$7:$G$366,'Climate Data'!$A$7:$A$366,$B$4,'Climate Data'!$B$7:$B$366,9)</x:f>
        <x:v>0.4160919540229885</x:v>
      </x:c>
      <x:c r="L29" s="294" t="n">
        <x:f>SUMIFS('Climate Data'!$H$7:$H$366,'Climate Data'!$A$7:$A$366,$B$4,'Climate Data'!$B$7:$B$366,9)</x:f>
        <x:v>8.019060773480662</x:v>
      </x:c>
      <x:c r="M29" s="269"/>
      <x:c r="N29" s="269"/>
      <x:c r="O29" s="269"/>
      <x:c r="P29" s="269"/>
      <x:c r="Q29" s="269"/>
    </x:row>
    <x:row r="30">
      <x:c r="A30" s="272"/>
      <x:c r="B30" s="272"/>
      <x:c r="C30" s="272"/>
      <x:c r="D30" s="272"/>
      <x:c r="E30" s="272"/>
      <x:c r="F30" s="272"/>
      <x:c r="G30" s="272" t="str">
        <x:v>Release action</x:v>
      </x:c>
      <x:c r="H30" s="296" t="str">
        <x:f>IF(LEFT(H29,10)="INCOMPLETE","Complete inputs before use",IF(LEFT(H29,3)="RED","Resolve RED input before issue","Disclose AMBER task factors and firm up with actual records / project evidence"))</x:f>
        <x:v>Complete inputs before use</x:v>
      </x:c>
      <x:c r="I30" s="269"/>
      <x:c r="J30" s="292" t="str">
        <x:v>Oct</x:v>
      </x:c>
      <x:c r="K30" s="293" t="n">
        <x:f>SUMIFS('Climate Data'!$G$7:$G$366,'Climate Data'!$A$7:$A$366,$B$4,'Climate Data'!$B$7:$B$366,10)</x:f>
        <x:v>0.3721198156682028</x:v>
      </x:c>
      <x:c r="L30" s="294" t="n">
        <x:f>SUMIFS('Climate Data'!$H$7:$H$366,'Climate Data'!$A$7:$A$366,$B$4,'Climate Data'!$B$7:$B$366,10)</x:f>
        <x:v>7.940557275541795</x:v>
      </x:c>
      <x:c r="M30" s="269"/>
      <x:c r="N30" s="269"/>
      <x:c r="O30" s="269"/>
      <x:c r="P30" s="269"/>
      <x:c r="Q30" s="269"/>
    </x:row>
    <x:row r="31">
      <x:c r="A31" s="269"/>
      <x:c r="B31" s="269"/>
      <x:c r="C31" s="269"/>
      <x:c r="D31" s="269"/>
      <x:c r="E31" s="269"/>
      <x:c r="F31" s="269"/>
      <x:c r="G31" s="269"/>
      <x:c r="H31" s="269"/>
      <x:c r="I31" s="269"/>
      <x:c r="J31" s="292" t="str">
        <x:v>Nov</x:v>
      </x:c>
      <x:c r="K31" s="293" t="n">
        <x:f>SUMIFS('Climate Data'!$G$7:$G$366,'Climate Data'!$A$7:$A$366,$B$4,'Climate Data'!$B$7:$B$366,11)</x:f>
        <x:v>0.3111111111111111</x:v>
      </x:c>
      <x:c r="L31" s="294" t="n">
        <x:f>SUMIFS('Climate Data'!$H$7:$H$366,'Climate Data'!$A$7:$A$366,$B$4,'Climate Data'!$B$7:$B$366,11)</x:f>
        <x:v>7.382142857142857</x:v>
      </x:c>
      <x:c r="M31" s="269"/>
      <x:c r="N31" s="269"/>
      <x:c r="O31" s="269"/>
      <x:c r="P31" s="269"/>
      <x:c r="Q31" s="269"/>
    </x:row>
    <x:row r="32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92" t="str">
        <x:v>Dec</x:v>
      </x:c>
      <x:c r="K32" s="293" t="n">
        <x:f>SUMIFS('Climate Data'!$G$7:$G$366,'Climate Data'!$A$7:$A$366,$B$4,'Climate Data'!$B$7:$B$366,12)</x:f>
        <x:v>0.2914349276974416</x:v>
      </x:c>
      <x:c r="L32" s="294" t="n">
        <x:f>SUMIFS('Climate Data'!$H$7:$H$366,'Climate Data'!$A$7:$A$366,$B$4,'Climate Data'!$B$7:$B$366,12)</x:f>
        <x:v>9.043129770992365</x:v>
      </x:c>
      <x:c r="M32" s="269"/>
      <x:c r="N32" s="269"/>
      <x:c r="O32" s="269"/>
      <x:c r="P32" s="269"/>
      <x:c r="Q32" s="269"/>
    </x:row>
    <x:row r="33">
      <x:c r="A33" s="269"/>
      <x:c r="B33" s="269"/>
      <x:c r="C33" s="269"/>
      <x:c r="D33" s="269"/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269"/>
      <x:c r="Q33" s="269"/>
    </x:row>
    <x:row r="34">
      <x:c r="A34" s="270" t="str">
        <x:v>Estimator Statement and Controls</x:v>
      </x:c>
      <x:c r="B34" s="297" t="str">
        <x:v>Estimator Statement and Controls</x:v>
      </x:c>
      <x:c r="C34" s="297" t="str">
        <x:v>Estimator Statement and Controls</x:v>
      </x:c>
      <x:c r="D34" s="297" t="str">
        <x:v>Estimator Statement and Controls</x:v>
      </x:c>
      <x:c r="E34" s="297" t="str">
        <x:v>Estimator Statement and Controls</x:v>
      </x:c>
      <x:c r="F34" s="297" t="str">
        <x:v>Estimator Statement and Controls</x:v>
      </x:c>
      <x:c r="G34" s="297" t="str">
        <x:v>Estimator Statement and Controls</x:v>
      </x:c>
      <x:c r="H34" s="297" t="str">
        <x:v>Estimator Statement and Controls</x:v>
      </x:c>
      <x:c r="I34" s="297" t="str">
        <x:v>Estimator Statement and Controls</x:v>
      </x:c>
      <x:c r="J34" s="297" t="str">
        <x:v>Estimator Statement and Controls</x:v>
      </x:c>
      <x:c r="K34" s="297" t="str">
        <x:v>Estimator Statement and Controls</x:v>
      </x:c>
      <x:c r="L34" s="297" t="str">
        <x:v>Estimator Statement and Controls</x:v>
      </x:c>
      <x:c r="M34" s="297" t="str">
        <x:v>Estimator Statement and Controls</x:v>
      </x:c>
      <x:c r="N34" s="297" t="str">
        <x:v>Estimator Statement and Controls</x:v>
      </x:c>
      <x:c r="O34" s="297" t="str">
        <x:v>Estimator Statement and Controls</x:v>
      </x:c>
      <x:c r="P34" s="297" t="str">
        <x:v>Estimator Statement and Controls</x:v>
      </x:c>
      <x:c r="Q34" s="271" t="str">
        <x:v>Estimator Statement and Controls</x:v>
      </x:c>
    </x:row>
    <x:row r="35">
      <x:c r="A35" s="298" t="str">
        <x:f>IF(OR(B5="",B6="",B9=""),"Enter a location, dates and task to calculate an evidence-based allowance.","Using NIWA 1991-2020 climate normals for "&amp;B4&amp;", the selected working period has an average "&amp;TEXT(H8,"0.0%")&amp;" chance of a 1 mm wet day. For "&amp;B9&amp;", the model estimates "&amp;TEXT(H17,"0.00")&amp;" equivalent lost working days and a total weather allowance of "&amp;TEXT(H25,"$#,##0")&amp;". NIWA data is sourced evidence; task sensitivity and carryover remain AMBER company assumptions until calibrated.")</x:f>
        <x:v>Enter a location, dates and task to calculate an evidence-based allowance.</x:v>
      </x:c>
      <x:c r="B35" s="299"/>
      <x:c r="C35" s="299"/>
      <x:c r="D35" s="299"/>
      <x:c r="E35" s="299"/>
      <x:c r="F35" s="299"/>
      <x:c r="G35" s="299"/>
      <x:c r="H35" s="299"/>
      <x:c r="I35" s="299"/>
      <x:c r="J35" s="299"/>
      <x:c r="K35" s="299"/>
      <x:c r="L35" s="299"/>
      <x:c r="M35" s="299"/>
      <x:c r="N35" s="299"/>
      <x:c r="O35" s="299"/>
      <x:c r="P35" s="299"/>
      <x:c r="Q35" s="300"/>
    </x:row>
    <x:row r="36">
      <x:c r="A36" s="301"/>
      <x:c r="B36" s="302"/>
      <x:c r="C36" s="302"/>
      <x:c r="D36" s="302"/>
      <x:c r="E36" s="302"/>
      <x:c r="F36" s="302"/>
      <x:c r="G36" s="302"/>
      <x:c r="H36" s="302"/>
      <x:c r="I36" s="302"/>
      <x:c r="J36" s="302"/>
      <x:c r="K36" s="302"/>
      <x:c r="L36" s="302"/>
      <x:c r="M36" s="302"/>
      <x:c r="N36" s="302"/>
      <x:c r="O36" s="302"/>
      <x:c r="P36" s="302"/>
      <x:c r="Q36" s="303"/>
    </x:row>
    <x:row r="37">
      <x:c r="A37" s="304"/>
      <x:c r="B37" s="305"/>
      <x:c r="C37" s="305"/>
      <x:c r="D37" s="305"/>
      <x:c r="E37" s="305"/>
      <x:c r="F37" s="305"/>
      <x:c r="G37" s="305"/>
      <x:c r="H37" s="305"/>
      <x:c r="I37" s="305"/>
      <x:c r="J37" s="305"/>
      <x:c r="K37" s="305"/>
      <x:c r="L37" s="305"/>
      <x:c r="M37" s="305"/>
      <x:c r="N37" s="305"/>
      <x:c r="O37" s="305"/>
      <x:c r="P37" s="305"/>
      <x:c r="Q37" s="306"/>
    </x:row>
    <x:row r="38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  <x:c r="N38" s="269"/>
      <x:c r="O38" s="269"/>
      <x:c r="P38" s="269"/>
      <x:c r="Q38" s="269"/>
    </x:row>
    <x:row r="39">
      <x:c r="A39" s="307" t="str">
        <x:v>Controls:
- A 1 mm wet day is not automatically a lost day. Task factors convert climate exposure into estimated productivity loss.
- Rain, wet-ground carryover and wind are calculated separately. Rainfall intensity is shown as context only.
- Wind uses an AMBER Auckland proxy only; other locations require a sourced override when wind matters.
- Suggested delay days apply only when the representative task is genuinely on the critical path.
- Public holidays and shutdowns are not included in the date engine.
- Do not add task lost days across concurrent activities; use the Activity Allowances critical-path flags and the live programme.</x:v>
      </x:c>
      <x:c r="B39" s="308"/>
      <x:c r="C39" s="308"/>
      <x:c r="D39" s="308"/>
      <x:c r="E39" s="308"/>
      <x:c r="F39" s="308"/>
      <x:c r="G39" s="308"/>
      <x:c r="H39" s="308"/>
      <x:c r="I39" s="308"/>
      <x:c r="J39" s="308"/>
      <x:c r="K39" s="308"/>
      <x:c r="L39" s="308"/>
      <x:c r="M39" s="308"/>
      <x:c r="N39" s="308"/>
      <x:c r="O39" s="308"/>
      <x:c r="P39" s="308"/>
      <x:c r="Q39" s="309"/>
    </x:row>
    <x:row r="40">
      <x:c r="A40" s="310"/>
      <x:c r="B40" s="311"/>
      <x:c r="C40" s="311"/>
      <x:c r="D40" s="311"/>
      <x:c r="E40" s="311"/>
      <x:c r="F40" s="311"/>
      <x:c r="G40" s="311"/>
      <x:c r="H40" s="311"/>
      <x:c r="I40" s="311"/>
      <x:c r="J40" s="311"/>
      <x:c r="K40" s="311"/>
      <x:c r="L40" s="311"/>
      <x:c r="M40" s="311"/>
      <x:c r="N40" s="311"/>
      <x:c r="O40" s="311"/>
      <x:c r="P40" s="311"/>
      <x:c r="Q40" s="312"/>
    </x:row>
    <x:row r="41">
      <x:c r="A41" s="310"/>
      <x:c r="B41" s="311"/>
      <x:c r="C41" s="311"/>
      <x:c r="D41" s="311"/>
      <x:c r="E41" s="311"/>
      <x:c r="F41" s="311"/>
      <x:c r="G41" s="311"/>
      <x:c r="H41" s="311"/>
      <x:c r="I41" s="311"/>
      <x:c r="J41" s="311"/>
      <x:c r="K41" s="311"/>
      <x:c r="L41" s="311"/>
      <x:c r="M41" s="311"/>
      <x:c r="N41" s="311"/>
      <x:c r="O41" s="311"/>
      <x:c r="P41" s="311"/>
      <x:c r="Q41" s="312"/>
    </x:row>
    <x:row r="42">
      <x:c r="A42" s="310"/>
      <x:c r="B42" s="311"/>
      <x:c r="C42" s="311"/>
      <x:c r="D42" s="311"/>
      <x:c r="E42" s="311"/>
      <x:c r="F42" s="311"/>
      <x:c r="G42" s="311"/>
      <x:c r="H42" s="311"/>
      <x:c r="I42" s="311"/>
      <x:c r="J42" s="311"/>
      <x:c r="K42" s="311"/>
      <x:c r="L42" s="311"/>
      <x:c r="M42" s="311"/>
      <x:c r="N42" s="311"/>
      <x:c r="O42" s="311"/>
      <x:c r="P42" s="311"/>
      <x:c r="Q42" s="312"/>
    </x:row>
    <x:row r="43">
      <x:c r="A43" s="310"/>
      <x:c r="B43" s="311"/>
      <x:c r="C43" s="311"/>
      <x:c r="D43" s="311"/>
      <x:c r="E43" s="311"/>
      <x:c r="F43" s="311"/>
      <x:c r="G43" s="311"/>
      <x:c r="H43" s="311"/>
      <x:c r="I43" s="311"/>
      <x:c r="J43" s="311"/>
      <x:c r="K43" s="311"/>
      <x:c r="L43" s="311"/>
      <x:c r="M43" s="311"/>
      <x:c r="N43" s="311"/>
      <x:c r="O43" s="311"/>
      <x:c r="P43" s="311"/>
      <x:c r="Q43" s="312"/>
    </x:row>
    <x:row r="44">
      <x:c r="A44" s="313"/>
      <x:c r="B44" s="314"/>
      <x:c r="C44" s="314"/>
      <x:c r="D44" s="314"/>
      <x:c r="E44" s="314"/>
      <x:c r="F44" s="314"/>
      <x:c r="G44" s="314"/>
      <x:c r="H44" s="314"/>
      <x:c r="I44" s="314"/>
      <x:c r="J44" s="314"/>
      <x:c r="K44" s="314"/>
      <x:c r="L44" s="314"/>
      <x:c r="M44" s="314"/>
      <x:c r="N44" s="314"/>
      <x:c r="O44" s="314"/>
      <x:c r="P44" s="314"/>
      <x:c r="Q44" s="315"/>
    </x:row>
  </x:sheetData>
  <x:mergeCells>
    <x:mergeCell ref="A1:Q1"/>
    <x:mergeCell ref="A3:B3"/>
    <x:mergeCell ref="D3:E3"/>
    <x:mergeCell ref="G3:H3"/>
    <x:mergeCell ref="A34:Q34"/>
    <x:mergeCell ref="A35:Q37"/>
    <x:mergeCell ref="A39:Q44"/>
  </x:mergeCells>
  <x:conditionalFormatting sqref="H11:H11">
    <x:cfRule type="containsText" dxfId="16" priority="1" operator="containsText" text="GREEN"/>
    <x:cfRule type="containsText" dxfId="17" priority="2" operator="containsText" text="AMBER"/>
    <x:cfRule type="containsText" dxfId="18" priority="3" operator="containsText" text="RED"/>
    <x:cfRule type="containsText" dxfId="19" priority="4" operator="containsText" text="UNCALIBRATED"/>
  </x:conditionalFormatting>
  <x:conditionalFormatting sqref="H29:H29">
    <x:cfRule type="containsText" dxfId="20" priority="5" operator="containsText" text="GREEN"/>
    <x:cfRule type="containsText" dxfId="21" priority="6" operator="containsText" text="AMBER"/>
    <x:cfRule type="containsText" dxfId="22" priority="7" operator="containsText" text="RED"/>
    <x:cfRule type="containsText" dxfId="23" priority="8" operator="containsText" text="UNCALIBRATED"/>
  </x:conditionalFormatting>
  <x:dataValidations count="4">
    <x:dataValidation type="list" sqref="B4">
      <x:formula1>'Station Register'!$A$7:$A$36</x:formula1>
    </x:dataValidation>
    <x:dataValidation type="list" sqref="B7">
      <x:formula1>"5,6,7"</x:formula1>
    </x:dataValidation>
    <x:dataValidation type="list" sqref="B9">
      <x:formula1>'Task Library'!$A$7:$A$45</x:formula1>
    </x:dataValidation>
    <x:dataValidation type="list" sqref="B18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55275636c32f4c63"/>
  <x:legacyDrawing xmlns:r="http://schemas.openxmlformats.org/officeDocument/2006/relationships" r:id="Rab89251a1775419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2" hidden="0" customWidth="1"/>
    <x:col min="27" max="27" width="15" hidden="0" customWidth="1"/>
    <x:col min="28" max="28" width="15" hidden="0" customWidth="1"/>
    <x:col min="29" max="29" width="15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7" hidden="0" customWidth="1"/>
    <x:col min="35" max="35" width="15" hidden="0" customWidth="1"/>
    <x:col min="36" max="36" width="14" hidden="0" customWidth="1"/>
    <x:col min="37" max="37" width="24" hidden="0" customWidth="1"/>
    <x:col min="38" max="38" width="45" hidden="0" customWidth="1"/>
  </x:cols>
  <x:sheetData>
    <x:row r="1" ht="26" customHeight="1">
      <x:c r="A1" s="316" t="str">
        <x:v>Activity Weather Allowances - Programme and Cost Link</x:v>
      </x:c>
      <x:c r="B1" s="268" t="str">
        <x:v>Activity Weather Allowances - Programme and Cost Link</x:v>
      </x:c>
      <x:c r="C1" s="268" t="str">
        <x:v>Activity Weather Allowances - Programme and Cost Link</x:v>
      </x:c>
      <x:c r="D1" s="268" t="str">
        <x:v>Activity Weather Allowances - Programme and Cost Link</x:v>
      </x:c>
      <x:c r="E1" s="268" t="str">
        <x:v>Activity Weather Allowances - Programme and Cost Link</x:v>
      </x:c>
      <x:c r="F1" s="268" t="str">
        <x:v>Activity Weather Allowances - Programme and Cost Link</x:v>
      </x:c>
      <x:c r="G1" s="268" t="str">
        <x:v>Activity Weather Allowances - Programme and Cost Link</x:v>
      </x:c>
      <x:c r="H1" s="268" t="str">
        <x:v>Activity Weather Allowances - Programme and Cost Link</x:v>
      </x:c>
      <x:c r="I1" s="268" t="str">
        <x:v>Activity Weather Allowances - Programme and Cost Link</x:v>
      </x:c>
      <x:c r="J1" s="268" t="str">
        <x:v>Activity Weather Allowances - Programme and Cost Link</x:v>
      </x:c>
      <x:c r="K1" s="268" t="str">
        <x:v>Activity Weather Allowances - Programme and Cost Link</x:v>
      </x:c>
      <x:c r="L1" s="268" t="str">
        <x:v>Activity Weather Allowances - Programme and Cost Link</x:v>
      </x:c>
      <x:c r="M1" s="268" t="str">
        <x:v>Activity Weather Allowances - Programme and Cost Link</x:v>
      </x:c>
      <x:c r="N1" s="268" t="str">
        <x:v>Activity Weather Allowances - Programme and Cost Link</x:v>
      </x:c>
      <x:c r="O1" s="268" t="str">
        <x:v>Activity Weather Allowances - Programme and Cost Link</x:v>
      </x:c>
      <x:c r="P1" s="268" t="str">
        <x:v>Activity Weather Allowances - Programme and Cost Link</x:v>
      </x:c>
      <x:c r="Q1" s="268" t="str">
        <x:v>Activity Weather Allowances - Programme and Cost Link</x:v>
      </x:c>
      <x:c r="R1" s="268" t="str">
        <x:v>Activity Weather Allowances - Programme and Cost Link</x:v>
      </x:c>
      <x:c r="S1" s="268" t="str">
        <x:v>Activity Weather Allowances - Programme and Cost Link</x:v>
      </x:c>
      <x:c r="T1" s="268" t="str">
        <x:v>Activity Weather Allowances - Programme and Cost Link</x:v>
      </x:c>
      <x:c r="U1" s="268" t="str">
        <x:v>Activity Weather Allowances - Programme and Cost Link</x:v>
      </x:c>
      <x:c r="V1" s="268" t="str">
        <x:v>Activity Weather Allowances - Programme and Cost Link</x:v>
      </x:c>
      <x:c r="W1" s="268" t="str">
        <x:v>Activity Weather Allowances - Programme and Cost Link</x:v>
      </x:c>
      <x:c r="X1" s="268" t="str">
        <x:v>Activity Weather Allowances - Programme and Cost Link</x:v>
      </x:c>
      <x:c r="Y1" s="268" t="str">
        <x:v>Activity Weather Allowances - Programme and Cost Link</x:v>
      </x:c>
      <x:c r="Z1" s="268" t="str">
        <x:v>Activity Weather Allowances - Programme and Cost Link</x:v>
      </x:c>
      <x:c r="AA1" s="268" t="str">
        <x:v>Activity Weather Allowances - Programme and Cost Link</x:v>
      </x:c>
      <x:c r="AB1" s="268" t="str">
        <x:v>Activity Weather Allowances - Programme and Cost Link</x:v>
      </x:c>
      <x:c r="AC1" s="268" t="str">
        <x:v>Activity Weather Allowances - Programme and Cost Link</x:v>
      </x:c>
      <x:c r="AD1" s="268" t="str">
        <x:v>Activity Weather Allowances - Programme and Cost Link</x:v>
      </x:c>
      <x:c r="AE1" s="268" t="str">
        <x:v>Activity Weather Allowances - Programme and Cost Link</x:v>
      </x:c>
      <x:c r="AF1" s="268" t="str">
        <x:v>Activity Weather Allowances - Programme and Cost Link</x:v>
      </x:c>
      <x:c r="AG1" s="268" t="str">
        <x:v>Activity Weather Allowances - Programme and Cost Link</x:v>
      </x:c>
      <x:c r="AH1" s="268" t="str">
        <x:v>Activity Weather Allowances - Programme and Cost Link</x:v>
      </x:c>
      <x:c r="AI1" s="268" t="str">
        <x:v>Activity Weather Allowances - Programme and Cost Link</x:v>
      </x:c>
      <x:c r="AJ1" s="268" t="str">
        <x:v>Activity Weather Allowances - Programme and Cost Link</x:v>
      </x:c>
      <x:c r="AK1" s="268" t="str">
        <x:v>Activity Weather Allowances - Programme and Cost Link</x:v>
      </x:c>
      <x:c r="AL1" s="268" t="str">
        <x:v>Activity Weather Allowances - Programme and Cost Link</x:v>
      </x:c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  <x:c r="K2" s="269"/>
      <x:c r="L2" s="269"/>
      <x:c r="M2" s="269"/>
      <x:c r="N2" s="269"/>
      <x:c r="O2" s="269"/>
      <x:c r="P2" s="269"/>
      <x:c r="Q2" s="269"/>
      <x:c r="R2" s="269"/>
      <x:c r="S2" s="269"/>
      <x:c r="T2" s="269"/>
      <x:c r="U2" s="269"/>
      <x:c r="V2" s="269"/>
      <x:c r="W2" s="269"/>
      <x:c r="X2" s="269"/>
      <x:c r="Y2" s="269"/>
      <x:c r="Z2" s="269"/>
      <x:c r="AA2" s="269"/>
      <x:c r="AB2" s="269"/>
      <x:c r="AC2" s="269"/>
      <x:c r="AD2" s="269"/>
      <x:c r="AE2" s="269"/>
      <x:c r="AF2" s="269"/>
      <x:c r="AG2" s="269"/>
      <x:c r="AH2" s="269"/>
      <x:c r="AI2" s="269"/>
      <x:c r="AJ2" s="269"/>
      <x:c r="AK2" s="269"/>
      <x:c r="AL2" s="269"/>
    </x:row>
    <x:row r="3">
      <x:c r="A3" s="272" t="str">
        <x:v>Local wet-day factor</x:v>
      </x:c>
      <x:c r="B3" s="317" t="n">
        <x:v>1</x:v>
      </x:c>
      <x:c r="C3" s="272" t="str">
        <x:v>Wind probability override</x:v>
      </x:c>
      <x:c r="D3" s="277"/>
      <x:c r="E3" s="272" t="str">
        <x:v>Daily time-related preliminaries $</x:v>
      </x:c>
      <x:c r="F3" s="318"/>
      <x:c r="G3" s="272" t="str">
        <x:v>Weekly hire / facilities $</x:v>
      </x:c>
      <x:c r="H3" s="318"/>
      <x:c r="I3" s="272" t="str">
        <x:v>Project recovery / remediation allowance $</x:v>
      </x:c>
      <x:c r="J3" s="318" t="n">
        <x:v>0</x:v>
      </x:c>
      <x:c r="K3" s="269"/>
      <x:c r="L3" s="319" t="str">
        <x:v>Use Critical Path = Yes only for sequential activities on the actual critical path. Concurrent task losses must not be added as programme delay. Direct productivity costs may still be assessed by activity.</x:v>
      </x:c>
      <x:c r="M3" s="319"/>
      <x:c r="N3" s="319"/>
      <x:c r="O3" s="319"/>
      <x:c r="P3" s="319"/>
      <x:c r="Q3" s="319"/>
      <x:c r="R3" s="269"/>
      <x:c r="S3" s="269"/>
      <x:c r="T3" s="269"/>
      <x:c r="U3" s="269"/>
      <x:c r="V3" s="269"/>
      <x:c r="W3" s="269"/>
      <x:c r="X3" s="269"/>
      <x:c r="Y3" s="269"/>
      <x:c r="Z3" s="269"/>
      <x:c r="AA3" s="269"/>
      <x:c r="AB3" s="269"/>
      <x:c r="AC3" s="269"/>
      <x:c r="AD3" s="269"/>
      <x:c r="AE3" s="269"/>
      <x:c r="AF3" s="269"/>
      <x:c r="AG3" s="269"/>
      <x:c r="AH3" s="269"/>
      <x:c r="AI3" s="269"/>
      <x:c r="AJ3" s="269"/>
      <x:c r="AK3" s="269"/>
      <x:c r="AL3" s="269"/>
    </x:row>
    <x:row r="4">
      <x:c r="A4" s="269"/>
      <x:c r="B4" s="269"/>
      <x:c r="C4" s="269"/>
      <x:c r="D4" s="269"/>
      <x:c r="E4" s="269"/>
      <x:c r="F4" s="269"/>
      <x:c r="G4" s="269"/>
      <x:c r="H4" s="269"/>
      <x:c r="I4" s="269"/>
      <x:c r="J4" s="269"/>
      <x:c r="K4" s="269"/>
      <x:c r="L4" s="319"/>
      <x:c r="M4" s="319"/>
      <x:c r="N4" s="319"/>
      <x:c r="O4" s="319"/>
      <x:c r="P4" s="319"/>
      <x:c r="Q4" s="319"/>
      <x:c r="R4" s="269"/>
      <x:c r="S4" s="269"/>
      <x:c r="T4" s="269"/>
      <x:c r="U4" s="269"/>
      <x:c r="V4" s="269"/>
      <x:c r="W4" s="269"/>
      <x:c r="X4" s="269"/>
      <x:c r="Y4" s="269"/>
      <x:c r="Z4" s="269"/>
      <x:c r="AA4" s="269"/>
      <x:c r="AB4" s="269"/>
      <x:c r="AC4" s="269"/>
      <x:c r="AD4" s="269"/>
      <x:c r="AE4" s="269"/>
      <x:c r="AF4" s="269"/>
      <x:c r="AG4" s="269"/>
      <x:c r="AH4" s="269"/>
      <x:c r="AI4" s="269"/>
      <x:c r="AJ4" s="269"/>
      <x:c r="AK4" s="269"/>
      <x:c r="AL4" s="269"/>
    </x:row>
    <x:row r="5">
      <x:c r="A5" s="269"/>
      <x:c r="B5" s="269"/>
      <x:c r="C5" s="269"/>
      <x:c r="D5" s="269"/>
      <x:c r="E5" s="269"/>
      <x:c r="F5" s="269"/>
      <x:c r="G5" s="269"/>
      <x:c r="H5" s="269"/>
      <x:c r="I5" s="269"/>
      <x:c r="J5" s="269"/>
      <x:c r="K5" s="269"/>
      <x:c r="L5" s="269"/>
      <x:c r="M5" s="269"/>
      <x:c r="N5" s="269"/>
      <x:c r="O5" s="269"/>
      <x:c r="P5" s="269"/>
      <x:c r="Q5" s="269"/>
      <x:c r="R5" s="269"/>
      <x:c r="S5" s="269"/>
      <x:c r="T5" s="269"/>
      <x:c r="U5" s="269"/>
      <x:c r="V5" s="269"/>
      <x:c r="W5" s="269"/>
      <x:c r="X5" s="269"/>
      <x:c r="Y5" s="269"/>
      <x:c r="Z5" s="269"/>
      <x:c r="AA5" s="269"/>
      <x:c r="AB5" s="269"/>
      <x:c r="AC5" s="269"/>
      <x:c r="AD5" s="269"/>
      <x:c r="AE5" s="269"/>
      <x:c r="AF5" s="269"/>
      <x:c r="AG5" s="269"/>
      <x:c r="AH5" s="269"/>
      <x:c r="AI5" s="269"/>
      <x:c r="AJ5" s="269"/>
      <x:c r="AK5" s="269"/>
      <x:c r="AL5" s="269"/>
    </x:row>
    <x:row r="6">
      <x:c r="A6" s="320" t="str">
        <x:v>Task</x:v>
      </x:c>
      <x:c r="B6" s="320" t="str">
        <x:v>Category</x:v>
      </x:c>
      <x:c r="C6" s="320" t="str">
        <x:v>Start</x:v>
      </x:c>
      <x:c r="D6" s="320" t="str">
        <x:v>Finish</x:v>
      </x:c>
      <x:c r="E6" s="320" t="str">
        <x:v>Critical Path?</x:v>
      </x:c>
      <x:c r="F6" s="320" t="str">
        <x:v>Exposed Labour $</x:v>
      </x:c>
      <x:c r="G6" s="320" t="str">
        <x:v>Exposed Plant $</x:v>
      </x:c>
      <x:c r="H6" s="320" t="str">
        <x:v>Rain Exposure Default</x:v>
      </x:c>
      <x:c r="I6" s="320" t="str">
        <x:v>Rain Exposure Override</x:v>
      </x:c>
      <x:c r="J6" s="320" t="str">
        <x:v>Effective Rain Exposure</x:v>
      </x:c>
      <x:c r="K6" s="320" t="str">
        <x:v>Rain Loss Default</x:v>
      </x:c>
      <x:c r="L6" s="320" t="str">
        <x:v>Rain Loss Override</x:v>
      </x:c>
      <x:c r="M6" s="320" t="str">
        <x:v>Effective Rain Loss</x:v>
      </x:c>
      <x:c r="N6" s="320" t="str">
        <x:v>Carryover Default</x:v>
      </x:c>
      <x:c r="O6" s="320" t="str">
        <x:v>Carryover Override</x:v>
      </x:c>
      <x:c r="P6" s="320" t="str">
        <x:v>Effective Carryover</x:v>
      </x:c>
      <x:c r="Q6" s="320" t="str">
        <x:v>Wind Sensitivity Default</x:v>
      </x:c>
      <x:c r="R6" s="320" t="str">
        <x:v>Wind Sensitivity Override</x:v>
      </x:c>
      <x:c r="S6" s="320" t="str">
        <x:v>Effective Wind Sensitivity</x:v>
      </x:c>
      <x:c r="T6" s="320" t="str">
        <x:v>Wind Loss Default</x:v>
      </x:c>
      <x:c r="U6" s="320" t="str">
        <x:v>Wind Loss Override</x:v>
      </x:c>
      <x:c r="V6" s="320" t="str">
        <x:v>Effective Wind Loss</x:v>
      </x:c>
      <x:c r="W6" s="320" t="str">
        <x:v>Nonrecoverable Default</x:v>
      </x:c>
      <x:c r="X6" s="320" t="str">
        <x:v>Nonrecoverable Override</x:v>
      </x:c>
      <x:c r="Y6" s="320" t="str">
        <x:v>Effective Nonrecoverable</x:v>
      </x:c>
      <x:c r="Z6" s="320" t="str">
        <x:v>Workdays</x:v>
      </x:c>
      <x:c r="AA6" s="320" t="str">
        <x:v>Avg Wet Probability</x:v>
      </x:c>
      <x:c r="AB6" s="320" t="str">
        <x:v>Adjusted Wet Probability</x:v>
      </x:c>
      <x:c r="AC6" s="320" t="str">
        <x:v>Wind Probability</x:v>
      </x:c>
      <x:c r="AD6" s="320" t="str">
        <x:v>Rain Impact %</x:v>
      </x:c>
      <x:c r="AE6" s="320" t="str">
        <x:v>Carryover Impact %</x:v>
      </x:c>
      <x:c r="AF6" s="320" t="str">
        <x:v>Wind Impact %</x:v>
      </x:c>
      <x:c r="AG6" s="320" t="str">
        <x:v>Combined Impact %</x:v>
      </x:c>
      <x:c r="AH6" s="320" t="str">
        <x:v>Direct Allowance $</x:v>
      </x:c>
      <x:c r="AI6" s="320" t="str">
        <x:v>Equivalent Lost WD</x:v>
      </x:c>
      <x:c r="AJ6" s="320" t="str">
        <x:v>CP Delay WD</x:v>
      </x:c>
      <x:c r="AK6" s="320" t="str">
        <x:v>Status</x:v>
      </x:c>
      <x:c r="AL6" s="320" t="str">
        <x:v>Basis / Note</x:v>
      </x:c>
    </x:row>
    <x:row r="7">
      <x:c r="A7" s="321"/>
      <x:c r="B7" s="322" t="str">
        <x:f>IF(A7="","",INDEX('Task Library'!$B$7:$B$45,MATCH(A7,'Task Library'!$A$7:$A$45,0)))</x:f>
      </x:c>
      <x:c r="C7" s="323"/>
      <x:c r="D7" s="323"/>
      <x:c r="E7" s="321" t="str">
        <x:v>No</x:v>
      </x:c>
      <x:c r="F7" s="324"/>
      <x:c r="G7" s="324"/>
      <x:c r="H7" s="325" t="str">
        <x:f>IF(A7="","",INDEX('Task Library'!$C$7:$C$45,MATCH(A7,'Task Library'!$A$7:$A$45,0)))</x:f>
      </x:c>
      <x:c r="I7" s="326"/>
      <x:c r="J7" s="325" t="str">
        <x:f>IF(H7="","",IF(I7="",H7,I7))</x:f>
      </x:c>
      <x:c r="K7" s="325" t="str">
        <x:f>IF(A7="","",INDEX('Task Library'!$D$7:$D$45,MATCH(A7,'Task Library'!$A$7:$A$45,0)))</x:f>
      </x:c>
      <x:c r="L7" s="326"/>
      <x:c r="M7" s="325" t="str">
        <x:f>IF(K7="","",IF(L7="",K7,L7))</x:f>
      </x:c>
      <x:c r="N7" s="327" t="str">
        <x:f>IF(A7="","",INDEX('Task Library'!$E$7:$E$45,MATCH(A7,'Task Library'!$A$7:$A$45,0)))</x:f>
      </x:c>
      <x:c r="O7" s="328"/>
      <x:c r="P7" s="327" t="str">
        <x:f>IF(N7="","",IF(O7="",N7,O7))</x:f>
      </x:c>
      <x:c r="Q7" s="325" t="str">
        <x:f>IF(A7="","",INDEX('Task Library'!$F$7:$F$45,MATCH(A7,'Task Library'!$A$7:$A$45,0)))</x:f>
      </x:c>
      <x:c r="R7" s="326"/>
      <x:c r="S7" s="325" t="str">
        <x:f>IF(Q7="","",IF(R7="",Q7,R7))</x:f>
      </x:c>
      <x:c r="T7" s="325" t="str">
        <x:f>IF(A7="","",INDEX('Task Library'!$G$7:$G$45,MATCH(A7,'Task Library'!$A$7:$A$45,0)))</x:f>
      </x:c>
      <x:c r="U7" s="326"/>
      <x:c r="V7" s="325" t="str">
        <x:f>IF(T7="","",IF(U7="",T7,U7))</x:f>
      </x:c>
      <x:c r="W7" s="325" t="str">
        <x:f>IF(A7="","",INDEX('Task Library'!$H$7:$H$45,MATCH(A7,'Task Library'!$A$7:$A$45,0)))</x:f>
      </x:c>
      <x:c r="X7" s="326"/>
      <x:c r="Y7" s="325" t="str">
        <x:f>IF(W7="","",IF(X7="",W7,X7))</x:f>
      </x:c>
      <x:c r="Z7" s="327" t="str">
        <x:f>IF(OR(C7="",D7="",D7&lt;C7),"",SUMPRODUCT((('Date Engine'!$A$7:$A$5850&gt;=C7)*('Date Engine'!$A$7:$A$5850&lt;=D7)*'Date Engine'!$G$7:$G$5850)))</x:f>
      </x:c>
      <x:c r="AA7" s="325" t="str">
        <x:f>IFERROR(SUMPRODUCT((('Date Engine'!$A$7:$A$5850&gt;=C7)*('Date Engine'!$A$7:$A$5850&lt;=D7)*'Date Engine'!$G$7:$G$5850)*'Date Engine'!$H$7:$H$5850)/SUMPRODUCT((('Date Engine'!$A$7:$A$5850&gt;=C7)*('Date Engine'!$A$7:$A$5850&lt;=D7)*'Date Engine'!$G$7:$G$5850)),"")</x:f>
      </x:c>
      <x:c r="AB7" s="325" t="str">
        <x:f>IF(AA7="","",MIN(1,AA7*$B$3))</x:f>
      </x:c>
      <x:c r="AC7" s="325" t="n">
        <x:f>IF($D$3&lt;&gt;"",$D$3,IFERROR(SUMPRODUCT((('Date Engine'!$A$7:$A$5850&gt;=C7)*('Date Engine'!$A$7:$A$5850&lt;=D7)*'Date Engine'!$G$7:$G$5850)*'Date Engine'!$J$7:$J$5850)/SUMPRODUCT((('Date Engine'!$A$7:$A$5850&gt;=C7)*('Date Engine'!$A$7:$A$5850&lt;=D7)*'Date Engine'!$G$7:$G$5850)),0))</x:f>
        <x:v>0</x:v>
      </x:c>
      <x:c r="AD7" s="325" t="str">
        <x:f>IF(OR(AB7="",J7="",M7="",Y7=""),"",AB7*J7*M7*Y7)</x:f>
      </x:c>
      <x:c r="AE7" s="325" t="str">
        <x:f>IF(OR(AB7="",P7="",Y7=""),"",AB7*P7*Y7)</x:f>
      </x:c>
      <x:c r="AF7" s="325" t="str">
        <x:f>IF(OR(S7="",V7="",Y7=""),"",AC7*S7*V7*Y7)</x:f>
      </x:c>
      <x:c r="AG7" s="325" t="str">
        <x:f>IF(A7="","",MIN(1,AD7+AE7+AF7))</x:f>
      </x:c>
      <x:c r="AH7" s="329" t="str">
        <x:f>IF(A7="","",(F7+G7)*AG7)</x:f>
      </x:c>
      <x:c r="AI7" s="327" t="str">
        <x:f>IF(OR(A7="",Z7=""),"",Z7*AG7)</x:f>
      </x:c>
      <x:c r="AJ7" s="327" t="str">
        <x:f>IF(A7="","",IF(E7="Yes",AI7,0))</x:f>
      </x:c>
      <x:c r="AK7" s="322" t="str">
        <x:f>IF(A7="","",IF(OR(C7&lt;DATE(2025,1,1),D7&gt;DATE(2040,12,31),D7&lt;C7),"RED - date input",IF(AND(S7&gt;=20%,AC7=0),"RED - wind input",IF($B$3&lt;&gt;1,"AMBER - local factor requires basis","AMBER - task factors uncalibrated"))))</x:f>
      </x:c>
      <x:c r="AL7" s="321"/>
    </x:row>
    <x:row r="8">
      <x:c r="A8" s="321"/>
      <x:c r="B8" s="322" t="str">
        <x:f>IF(A8="","",INDEX('Task Library'!$B$7:$B$45,MATCH(A8,'Task Library'!$A$7:$A$45,0)))</x:f>
      </x:c>
      <x:c r="C8" s="323"/>
      <x:c r="D8" s="323"/>
      <x:c r="E8" s="321" t="str">
        <x:v>No</x:v>
      </x:c>
      <x:c r="F8" s="324"/>
      <x:c r="G8" s="324"/>
      <x:c r="H8" s="325" t="str">
        <x:f>IF(A8="","",INDEX('Task Library'!$C$7:$C$45,MATCH(A8,'Task Library'!$A$7:$A$45,0)))</x:f>
      </x:c>
      <x:c r="I8" s="326"/>
      <x:c r="J8" s="325" t="str">
        <x:f>IF(H8="","",IF(I8="",H8,I8))</x:f>
      </x:c>
      <x:c r="K8" s="325" t="str">
        <x:f>IF(A8="","",INDEX('Task Library'!$D$7:$D$45,MATCH(A8,'Task Library'!$A$7:$A$45,0)))</x:f>
      </x:c>
      <x:c r="L8" s="326"/>
      <x:c r="M8" s="325" t="str">
        <x:f>IF(K8="","",IF(L8="",K8,L8))</x:f>
      </x:c>
      <x:c r="N8" s="327" t="str">
        <x:f>IF(A8="","",INDEX('Task Library'!$E$7:$E$45,MATCH(A8,'Task Library'!$A$7:$A$45,0)))</x:f>
      </x:c>
      <x:c r="O8" s="328"/>
      <x:c r="P8" s="327" t="str">
        <x:f>IF(N8="","",IF(O8="",N8,O8))</x:f>
      </x:c>
      <x:c r="Q8" s="325" t="str">
        <x:f>IF(A8="","",INDEX('Task Library'!$F$7:$F$45,MATCH(A8,'Task Library'!$A$7:$A$45,0)))</x:f>
      </x:c>
      <x:c r="R8" s="326"/>
      <x:c r="S8" s="325" t="str">
        <x:f>IF(Q8="","",IF(R8="",Q8,R8))</x:f>
      </x:c>
      <x:c r="T8" s="325" t="str">
        <x:f>IF(A8="","",INDEX('Task Library'!$G$7:$G$45,MATCH(A8,'Task Library'!$A$7:$A$45,0)))</x:f>
      </x:c>
      <x:c r="U8" s="326"/>
      <x:c r="V8" s="325" t="str">
        <x:f>IF(T8="","",IF(U8="",T8,U8))</x:f>
      </x:c>
      <x:c r="W8" s="325" t="str">
        <x:f>IF(A8="","",INDEX('Task Library'!$H$7:$H$45,MATCH(A8,'Task Library'!$A$7:$A$45,0)))</x:f>
      </x:c>
      <x:c r="X8" s="326"/>
      <x:c r="Y8" s="325" t="str">
        <x:f>IF(W8="","",IF(X8="",W8,X8))</x:f>
      </x:c>
      <x:c r="Z8" s="327" t="str">
        <x:f>IF(OR(C8="",D8="",D8&lt;C8),"",SUMPRODUCT((('Date Engine'!$A$7:$A$5850&gt;=C8)*('Date Engine'!$A$7:$A$5850&lt;=D8)*'Date Engine'!$G$7:$G$5850)))</x:f>
      </x:c>
      <x:c r="AA8" s="325" t="str">
        <x:f>IFERROR(SUMPRODUCT((('Date Engine'!$A$7:$A$5850&gt;=C8)*('Date Engine'!$A$7:$A$5850&lt;=D8)*'Date Engine'!$G$7:$G$5850)*'Date Engine'!$H$7:$H$5850)/SUMPRODUCT((('Date Engine'!$A$7:$A$5850&gt;=C8)*('Date Engine'!$A$7:$A$5850&lt;=D8)*'Date Engine'!$G$7:$G$5850)),"")</x:f>
      </x:c>
      <x:c r="AB8" s="325" t="str">
        <x:f>IF(AA8="","",MIN(1,AA8*$B$3))</x:f>
      </x:c>
      <x:c r="AC8" s="325" t="n">
        <x:f>IF($D$3&lt;&gt;"",$D$3,IFERROR(SUMPRODUCT((('Date Engine'!$A$7:$A$5850&gt;=C8)*('Date Engine'!$A$7:$A$5850&lt;=D8)*'Date Engine'!$G$7:$G$5850)*'Date Engine'!$J$7:$J$5850)/SUMPRODUCT((('Date Engine'!$A$7:$A$5850&gt;=C8)*('Date Engine'!$A$7:$A$5850&lt;=D8)*'Date Engine'!$G$7:$G$5850)),0))</x:f>
        <x:v>0</x:v>
      </x:c>
      <x:c r="AD8" s="325" t="str">
        <x:f>IF(OR(AB8="",J8="",M8="",Y8=""),"",AB8*J8*M8*Y8)</x:f>
      </x:c>
      <x:c r="AE8" s="325" t="str">
        <x:f>IF(OR(AB8="",P8="",Y8=""),"",AB8*P8*Y8)</x:f>
      </x:c>
      <x:c r="AF8" s="325" t="str">
        <x:f>IF(OR(S8="",V8="",Y8=""),"",AC8*S8*V8*Y8)</x:f>
      </x:c>
      <x:c r="AG8" s="325" t="str">
        <x:f>IF(A8="","",MIN(1,AD8+AE8+AF8))</x:f>
      </x:c>
      <x:c r="AH8" s="329" t="str">
        <x:f>IF(A8="","",(F8+G8)*AG8)</x:f>
      </x:c>
      <x:c r="AI8" s="327" t="str">
        <x:f>IF(OR(A8="",Z8=""),"",Z8*AG8)</x:f>
      </x:c>
      <x:c r="AJ8" s="327" t="str">
        <x:f>IF(A8="","",IF(E8="Yes",AI8,0))</x:f>
      </x:c>
      <x:c r="AK8" s="322" t="str">
        <x:f>IF(A8="","",IF(OR(C8&lt;DATE(2025,1,1),D8&gt;DATE(2040,12,31),D8&lt;C8),"RED - date input",IF(AND(S8&gt;=20%,AC8=0),"RED - wind input",IF($B$3&lt;&gt;1,"AMBER - local factor requires basis","AMBER - task factors uncalibrated"))))</x:f>
      </x:c>
      <x:c r="AL8" s="321"/>
    </x:row>
    <x:row r="9">
      <x:c r="A9" s="321"/>
      <x:c r="B9" s="322" t="str">
        <x:f>IF(A9="","",INDEX('Task Library'!$B$7:$B$45,MATCH(A9,'Task Library'!$A$7:$A$45,0)))</x:f>
      </x:c>
      <x:c r="C9" s="323"/>
      <x:c r="D9" s="323"/>
      <x:c r="E9" s="321" t="str">
        <x:v>No</x:v>
      </x:c>
      <x:c r="F9" s="324"/>
      <x:c r="G9" s="324"/>
      <x:c r="H9" s="325" t="str">
        <x:f>IF(A9="","",INDEX('Task Library'!$C$7:$C$45,MATCH(A9,'Task Library'!$A$7:$A$45,0)))</x:f>
      </x:c>
      <x:c r="I9" s="326"/>
      <x:c r="J9" s="325" t="str">
        <x:f>IF(H9="","",IF(I9="",H9,I9))</x:f>
      </x:c>
      <x:c r="K9" s="325" t="str">
        <x:f>IF(A9="","",INDEX('Task Library'!$D$7:$D$45,MATCH(A9,'Task Library'!$A$7:$A$45,0)))</x:f>
      </x:c>
      <x:c r="L9" s="326"/>
      <x:c r="M9" s="325" t="str">
        <x:f>IF(K9="","",IF(L9="",K9,L9))</x:f>
      </x:c>
      <x:c r="N9" s="327" t="str">
        <x:f>IF(A9="","",INDEX('Task Library'!$E$7:$E$45,MATCH(A9,'Task Library'!$A$7:$A$45,0)))</x:f>
      </x:c>
      <x:c r="O9" s="328"/>
      <x:c r="P9" s="327" t="str">
        <x:f>IF(N9="","",IF(O9="",N9,O9))</x:f>
      </x:c>
      <x:c r="Q9" s="325" t="str">
        <x:f>IF(A9="","",INDEX('Task Library'!$F$7:$F$45,MATCH(A9,'Task Library'!$A$7:$A$45,0)))</x:f>
      </x:c>
      <x:c r="R9" s="326"/>
      <x:c r="S9" s="325" t="str">
        <x:f>IF(Q9="","",IF(R9="",Q9,R9))</x:f>
      </x:c>
      <x:c r="T9" s="325" t="str">
        <x:f>IF(A9="","",INDEX('Task Library'!$G$7:$G$45,MATCH(A9,'Task Library'!$A$7:$A$45,0)))</x:f>
      </x:c>
      <x:c r="U9" s="326"/>
      <x:c r="V9" s="325" t="str">
        <x:f>IF(T9="","",IF(U9="",T9,U9))</x:f>
      </x:c>
      <x:c r="W9" s="325" t="str">
        <x:f>IF(A9="","",INDEX('Task Library'!$H$7:$H$45,MATCH(A9,'Task Library'!$A$7:$A$45,0)))</x:f>
      </x:c>
      <x:c r="X9" s="326"/>
      <x:c r="Y9" s="325" t="str">
        <x:f>IF(W9="","",IF(X9="",W9,X9))</x:f>
      </x:c>
      <x:c r="Z9" s="327" t="str">
        <x:f>IF(OR(C9="",D9="",D9&lt;C9),"",SUMPRODUCT((('Date Engine'!$A$7:$A$5850&gt;=C9)*('Date Engine'!$A$7:$A$5850&lt;=D9)*'Date Engine'!$G$7:$G$5850)))</x:f>
      </x:c>
      <x:c r="AA9" s="325" t="str">
        <x:f>IFERROR(SUMPRODUCT((('Date Engine'!$A$7:$A$5850&gt;=C9)*('Date Engine'!$A$7:$A$5850&lt;=D9)*'Date Engine'!$G$7:$G$5850)*'Date Engine'!$H$7:$H$5850)/SUMPRODUCT((('Date Engine'!$A$7:$A$5850&gt;=C9)*('Date Engine'!$A$7:$A$5850&lt;=D9)*'Date Engine'!$G$7:$G$5850)),"")</x:f>
      </x:c>
      <x:c r="AB9" s="325" t="str">
        <x:f>IF(AA9="","",MIN(1,AA9*$B$3))</x:f>
      </x:c>
      <x:c r="AC9" s="325" t="n">
        <x:f>IF($D$3&lt;&gt;"",$D$3,IFERROR(SUMPRODUCT((('Date Engine'!$A$7:$A$5850&gt;=C9)*('Date Engine'!$A$7:$A$5850&lt;=D9)*'Date Engine'!$G$7:$G$5850)*'Date Engine'!$J$7:$J$5850)/SUMPRODUCT((('Date Engine'!$A$7:$A$5850&gt;=C9)*('Date Engine'!$A$7:$A$5850&lt;=D9)*'Date Engine'!$G$7:$G$5850)),0))</x:f>
        <x:v>0</x:v>
      </x:c>
      <x:c r="AD9" s="325" t="str">
        <x:f>IF(OR(AB9="",J9="",M9="",Y9=""),"",AB9*J9*M9*Y9)</x:f>
      </x:c>
      <x:c r="AE9" s="325" t="str">
        <x:f>IF(OR(AB9="",P9="",Y9=""),"",AB9*P9*Y9)</x:f>
      </x:c>
      <x:c r="AF9" s="325" t="str">
        <x:f>IF(OR(S9="",V9="",Y9=""),"",AC9*S9*V9*Y9)</x:f>
      </x:c>
      <x:c r="AG9" s="325" t="str">
        <x:f>IF(A9="","",MIN(1,AD9+AE9+AF9))</x:f>
      </x:c>
      <x:c r="AH9" s="329" t="str">
        <x:f>IF(A9="","",(F9+G9)*AG9)</x:f>
      </x:c>
      <x:c r="AI9" s="327" t="str">
        <x:f>IF(OR(A9="",Z9=""),"",Z9*AG9)</x:f>
      </x:c>
      <x:c r="AJ9" s="327" t="str">
        <x:f>IF(A9="","",IF(E9="Yes",AI9,0))</x:f>
      </x:c>
      <x:c r="AK9" s="322" t="str">
        <x:f>IF(A9="","",IF(OR(C9&lt;DATE(2025,1,1),D9&gt;DATE(2040,12,31),D9&lt;C9),"RED - date input",IF(AND(S9&gt;=20%,AC9=0),"RED - wind input",IF($B$3&lt;&gt;1,"AMBER - local factor requires basis","AMBER - task factors uncalibrated"))))</x:f>
      </x:c>
      <x:c r="AL9" s="321"/>
    </x:row>
    <x:row r="10">
      <x:c r="A10" s="321"/>
      <x:c r="B10" s="322" t="str">
        <x:f>IF(A10="","",INDEX('Task Library'!$B$7:$B$45,MATCH(A10,'Task Library'!$A$7:$A$45,0)))</x:f>
      </x:c>
      <x:c r="C10" s="323"/>
      <x:c r="D10" s="323"/>
      <x:c r="E10" s="321" t="str">
        <x:v>No</x:v>
      </x:c>
      <x:c r="F10" s="324"/>
      <x:c r="G10" s="324"/>
      <x:c r="H10" s="325" t="str">
        <x:f>IF(A10="","",INDEX('Task Library'!$C$7:$C$45,MATCH(A10,'Task Library'!$A$7:$A$45,0)))</x:f>
      </x:c>
      <x:c r="I10" s="326"/>
      <x:c r="J10" s="325" t="str">
        <x:f>IF(H10="","",IF(I10="",H10,I10))</x:f>
      </x:c>
      <x:c r="K10" s="325" t="str">
        <x:f>IF(A10="","",INDEX('Task Library'!$D$7:$D$45,MATCH(A10,'Task Library'!$A$7:$A$45,0)))</x:f>
      </x:c>
      <x:c r="L10" s="326"/>
      <x:c r="M10" s="325" t="str">
        <x:f>IF(K10="","",IF(L10="",K10,L10))</x:f>
      </x:c>
      <x:c r="N10" s="327" t="str">
        <x:f>IF(A10="","",INDEX('Task Library'!$E$7:$E$45,MATCH(A10,'Task Library'!$A$7:$A$45,0)))</x:f>
      </x:c>
      <x:c r="O10" s="328"/>
      <x:c r="P10" s="327" t="str">
        <x:f>IF(N10="","",IF(O10="",N10,O10))</x:f>
      </x:c>
      <x:c r="Q10" s="325" t="str">
        <x:f>IF(A10="","",INDEX('Task Library'!$F$7:$F$45,MATCH(A10,'Task Library'!$A$7:$A$45,0)))</x:f>
      </x:c>
      <x:c r="R10" s="326"/>
      <x:c r="S10" s="325" t="str">
        <x:f>IF(Q10="","",IF(R10="",Q10,R10))</x:f>
      </x:c>
      <x:c r="T10" s="325" t="str">
        <x:f>IF(A10="","",INDEX('Task Library'!$G$7:$G$45,MATCH(A10,'Task Library'!$A$7:$A$45,0)))</x:f>
      </x:c>
      <x:c r="U10" s="326"/>
      <x:c r="V10" s="325" t="str">
        <x:f>IF(T10="","",IF(U10="",T10,U10))</x:f>
      </x:c>
      <x:c r="W10" s="325" t="str">
        <x:f>IF(A10="","",INDEX('Task Library'!$H$7:$H$45,MATCH(A10,'Task Library'!$A$7:$A$45,0)))</x:f>
      </x:c>
      <x:c r="X10" s="326"/>
      <x:c r="Y10" s="325" t="str">
        <x:f>IF(W10="","",IF(X10="",W10,X10))</x:f>
      </x:c>
      <x:c r="Z10" s="327" t="str">
        <x:f>IF(OR(C10="",D10="",D10&lt;C10),"",SUMPRODUCT((('Date Engine'!$A$7:$A$5850&gt;=C10)*('Date Engine'!$A$7:$A$5850&lt;=D10)*'Date Engine'!$G$7:$G$5850)))</x:f>
      </x:c>
      <x:c r="AA10" s="325" t="str">
        <x:f>IFERROR(SUMPRODUCT((('Date Engine'!$A$7:$A$5850&gt;=C10)*('Date Engine'!$A$7:$A$5850&lt;=D10)*'Date Engine'!$G$7:$G$5850)*'Date Engine'!$H$7:$H$5850)/SUMPRODUCT((('Date Engine'!$A$7:$A$5850&gt;=C10)*('Date Engine'!$A$7:$A$5850&lt;=D10)*'Date Engine'!$G$7:$G$5850)),"")</x:f>
      </x:c>
      <x:c r="AB10" s="325" t="str">
        <x:f>IF(AA10="","",MIN(1,AA10*$B$3))</x:f>
      </x:c>
      <x:c r="AC10" s="325" t="n">
        <x:f>IF($D$3&lt;&gt;"",$D$3,IFERROR(SUMPRODUCT((('Date Engine'!$A$7:$A$5850&gt;=C10)*('Date Engine'!$A$7:$A$5850&lt;=D10)*'Date Engine'!$G$7:$G$5850)*'Date Engine'!$J$7:$J$5850)/SUMPRODUCT((('Date Engine'!$A$7:$A$5850&gt;=C10)*('Date Engine'!$A$7:$A$5850&lt;=D10)*'Date Engine'!$G$7:$G$5850)),0))</x:f>
        <x:v>0</x:v>
      </x:c>
      <x:c r="AD10" s="325" t="str">
        <x:f>IF(OR(AB10="",J10="",M10="",Y10=""),"",AB10*J10*M10*Y10)</x:f>
      </x:c>
      <x:c r="AE10" s="325" t="str">
        <x:f>IF(OR(AB10="",P10="",Y10=""),"",AB10*P10*Y10)</x:f>
      </x:c>
      <x:c r="AF10" s="325" t="str">
        <x:f>IF(OR(S10="",V10="",Y10=""),"",AC10*S10*V10*Y10)</x:f>
      </x:c>
      <x:c r="AG10" s="325" t="str">
        <x:f>IF(A10="","",MIN(1,AD10+AE10+AF10))</x:f>
      </x:c>
      <x:c r="AH10" s="329" t="str">
        <x:f>IF(A10="","",(F10+G10)*AG10)</x:f>
      </x:c>
      <x:c r="AI10" s="327" t="str">
        <x:f>IF(OR(A10="",Z10=""),"",Z10*AG10)</x:f>
      </x:c>
      <x:c r="AJ10" s="327" t="str">
        <x:f>IF(A10="","",IF(E10="Yes",AI10,0))</x:f>
      </x:c>
      <x:c r="AK10" s="322" t="str">
        <x:f>IF(A10="","",IF(OR(C10&lt;DATE(2025,1,1),D10&gt;DATE(2040,12,31),D10&lt;C10),"RED - date input",IF(AND(S10&gt;=20%,AC10=0),"RED - wind input",IF($B$3&lt;&gt;1,"AMBER - local factor requires basis","AMBER - task factors uncalibrated"))))</x:f>
      </x:c>
      <x:c r="AL10" s="321"/>
    </x:row>
    <x:row r="11">
      <x:c r="A11" s="321"/>
      <x:c r="B11" s="322" t="str">
        <x:f>IF(A11="","",INDEX('Task Library'!$B$7:$B$45,MATCH(A11,'Task Library'!$A$7:$A$45,0)))</x:f>
      </x:c>
      <x:c r="C11" s="323"/>
      <x:c r="D11" s="323"/>
      <x:c r="E11" s="321" t="str">
        <x:v>No</x:v>
      </x:c>
      <x:c r="F11" s="324"/>
      <x:c r="G11" s="324"/>
      <x:c r="H11" s="325" t="str">
        <x:f>IF(A11="","",INDEX('Task Library'!$C$7:$C$45,MATCH(A11,'Task Library'!$A$7:$A$45,0)))</x:f>
      </x:c>
      <x:c r="I11" s="326"/>
      <x:c r="J11" s="325" t="str">
        <x:f>IF(H11="","",IF(I11="",H11,I11))</x:f>
      </x:c>
      <x:c r="K11" s="325" t="str">
        <x:f>IF(A11="","",INDEX('Task Library'!$D$7:$D$45,MATCH(A11,'Task Library'!$A$7:$A$45,0)))</x:f>
      </x:c>
      <x:c r="L11" s="326"/>
      <x:c r="M11" s="325" t="str">
        <x:f>IF(K11="","",IF(L11="",K11,L11))</x:f>
      </x:c>
      <x:c r="N11" s="327" t="str">
        <x:f>IF(A11="","",INDEX('Task Library'!$E$7:$E$45,MATCH(A11,'Task Library'!$A$7:$A$45,0)))</x:f>
      </x:c>
      <x:c r="O11" s="328"/>
      <x:c r="P11" s="327" t="str">
        <x:f>IF(N11="","",IF(O11="",N11,O11))</x:f>
      </x:c>
      <x:c r="Q11" s="325" t="str">
        <x:f>IF(A11="","",INDEX('Task Library'!$F$7:$F$45,MATCH(A11,'Task Library'!$A$7:$A$45,0)))</x:f>
      </x:c>
      <x:c r="R11" s="326"/>
      <x:c r="S11" s="325" t="str">
        <x:f>IF(Q11="","",IF(R11="",Q11,R11))</x:f>
      </x:c>
      <x:c r="T11" s="325" t="str">
        <x:f>IF(A11="","",INDEX('Task Library'!$G$7:$G$45,MATCH(A11,'Task Library'!$A$7:$A$45,0)))</x:f>
      </x:c>
      <x:c r="U11" s="326"/>
      <x:c r="V11" s="325" t="str">
        <x:f>IF(T11="","",IF(U11="",T11,U11))</x:f>
      </x:c>
      <x:c r="W11" s="325" t="str">
        <x:f>IF(A11="","",INDEX('Task Library'!$H$7:$H$45,MATCH(A11,'Task Library'!$A$7:$A$45,0)))</x:f>
      </x:c>
      <x:c r="X11" s="326"/>
      <x:c r="Y11" s="325" t="str">
        <x:f>IF(W11="","",IF(X11="",W11,X11))</x:f>
      </x:c>
      <x:c r="Z11" s="327" t="str">
        <x:f>IF(OR(C11="",D11="",D11&lt;C11),"",SUMPRODUCT((('Date Engine'!$A$7:$A$5850&gt;=C11)*('Date Engine'!$A$7:$A$5850&lt;=D11)*'Date Engine'!$G$7:$G$5850)))</x:f>
      </x:c>
      <x:c r="AA11" s="325" t="str">
        <x:f>IFERROR(SUMPRODUCT((('Date Engine'!$A$7:$A$5850&gt;=C11)*('Date Engine'!$A$7:$A$5850&lt;=D11)*'Date Engine'!$G$7:$G$5850)*'Date Engine'!$H$7:$H$5850)/SUMPRODUCT((('Date Engine'!$A$7:$A$5850&gt;=C11)*('Date Engine'!$A$7:$A$5850&lt;=D11)*'Date Engine'!$G$7:$G$5850)),"")</x:f>
      </x:c>
      <x:c r="AB11" s="325" t="str">
        <x:f>IF(AA11="","",MIN(1,AA11*$B$3))</x:f>
      </x:c>
      <x:c r="AC11" s="325" t="n">
        <x:f>IF($D$3&lt;&gt;"",$D$3,IFERROR(SUMPRODUCT((('Date Engine'!$A$7:$A$5850&gt;=C11)*('Date Engine'!$A$7:$A$5850&lt;=D11)*'Date Engine'!$G$7:$G$5850)*'Date Engine'!$J$7:$J$5850)/SUMPRODUCT((('Date Engine'!$A$7:$A$5850&gt;=C11)*('Date Engine'!$A$7:$A$5850&lt;=D11)*'Date Engine'!$G$7:$G$5850)),0))</x:f>
        <x:v>0</x:v>
      </x:c>
      <x:c r="AD11" s="325" t="str">
        <x:f>IF(OR(AB11="",J11="",M11="",Y11=""),"",AB11*J11*M11*Y11)</x:f>
      </x:c>
      <x:c r="AE11" s="325" t="str">
        <x:f>IF(OR(AB11="",P11="",Y11=""),"",AB11*P11*Y11)</x:f>
      </x:c>
      <x:c r="AF11" s="325" t="str">
        <x:f>IF(OR(S11="",V11="",Y11=""),"",AC11*S11*V11*Y11)</x:f>
      </x:c>
      <x:c r="AG11" s="325" t="str">
        <x:f>IF(A11="","",MIN(1,AD11+AE11+AF11))</x:f>
      </x:c>
      <x:c r="AH11" s="329" t="str">
        <x:f>IF(A11="","",(F11+G11)*AG11)</x:f>
      </x:c>
      <x:c r="AI11" s="327" t="str">
        <x:f>IF(OR(A11="",Z11=""),"",Z11*AG11)</x:f>
      </x:c>
      <x:c r="AJ11" s="327" t="str">
        <x:f>IF(A11="","",IF(E11="Yes",AI11,0))</x:f>
      </x:c>
      <x:c r="AK11" s="322" t="str">
        <x:f>IF(A11="","",IF(OR(C11&lt;DATE(2025,1,1),D11&gt;DATE(2040,12,31),D11&lt;C11),"RED - date input",IF(AND(S11&gt;=20%,AC11=0),"RED - wind input",IF($B$3&lt;&gt;1,"AMBER - local factor requires basis","AMBER - task factors uncalibrated"))))</x:f>
      </x:c>
      <x:c r="AL11" s="321"/>
    </x:row>
    <x:row r="12">
      <x:c r="A12" s="321"/>
      <x:c r="B12" s="322" t="str">
        <x:f>IF(A12="","",INDEX('Task Library'!$B$7:$B$45,MATCH(A12,'Task Library'!$A$7:$A$45,0)))</x:f>
      </x:c>
      <x:c r="C12" s="323"/>
      <x:c r="D12" s="323"/>
      <x:c r="E12" s="321" t="str">
        <x:v>No</x:v>
      </x:c>
      <x:c r="F12" s="324"/>
      <x:c r="G12" s="324"/>
      <x:c r="H12" s="325" t="str">
        <x:f>IF(A12="","",INDEX('Task Library'!$C$7:$C$45,MATCH(A12,'Task Library'!$A$7:$A$45,0)))</x:f>
      </x:c>
      <x:c r="I12" s="326"/>
      <x:c r="J12" s="325" t="str">
        <x:f>IF(H12="","",IF(I12="",H12,I12))</x:f>
      </x:c>
      <x:c r="K12" s="325" t="str">
        <x:f>IF(A12="","",INDEX('Task Library'!$D$7:$D$45,MATCH(A12,'Task Library'!$A$7:$A$45,0)))</x:f>
      </x:c>
      <x:c r="L12" s="326"/>
      <x:c r="M12" s="325" t="str">
        <x:f>IF(K12="","",IF(L12="",K12,L12))</x:f>
      </x:c>
      <x:c r="N12" s="327" t="str">
        <x:f>IF(A12="","",INDEX('Task Library'!$E$7:$E$45,MATCH(A12,'Task Library'!$A$7:$A$45,0)))</x:f>
      </x:c>
      <x:c r="O12" s="328"/>
      <x:c r="P12" s="327" t="str">
        <x:f>IF(N12="","",IF(O12="",N12,O12))</x:f>
      </x:c>
      <x:c r="Q12" s="325" t="str">
        <x:f>IF(A12="","",INDEX('Task Library'!$F$7:$F$45,MATCH(A12,'Task Library'!$A$7:$A$45,0)))</x:f>
      </x:c>
      <x:c r="R12" s="326"/>
      <x:c r="S12" s="325" t="str">
        <x:f>IF(Q12="","",IF(R12="",Q12,R12))</x:f>
      </x:c>
      <x:c r="T12" s="325" t="str">
        <x:f>IF(A12="","",INDEX('Task Library'!$G$7:$G$45,MATCH(A12,'Task Library'!$A$7:$A$45,0)))</x:f>
      </x:c>
      <x:c r="U12" s="326"/>
      <x:c r="V12" s="325" t="str">
        <x:f>IF(T12="","",IF(U12="",T12,U12))</x:f>
      </x:c>
      <x:c r="W12" s="325" t="str">
        <x:f>IF(A12="","",INDEX('Task Library'!$H$7:$H$45,MATCH(A12,'Task Library'!$A$7:$A$45,0)))</x:f>
      </x:c>
      <x:c r="X12" s="326"/>
      <x:c r="Y12" s="325" t="str">
        <x:f>IF(W12="","",IF(X12="",W12,X12))</x:f>
      </x:c>
      <x:c r="Z12" s="327" t="str">
        <x:f>IF(OR(C12="",D12="",D12&lt;C12),"",SUMPRODUCT((('Date Engine'!$A$7:$A$5850&gt;=C12)*('Date Engine'!$A$7:$A$5850&lt;=D12)*'Date Engine'!$G$7:$G$5850)))</x:f>
      </x:c>
      <x:c r="AA12" s="325" t="str">
        <x:f>IFERROR(SUMPRODUCT((('Date Engine'!$A$7:$A$5850&gt;=C12)*('Date Engine'!$A$7:$A$5850&lt;=D12)*'Date Engine'!$G$7:$G$5850)*'Date Engine'!$H$7:$H$5850)/SUMPRODUCT((('Date Engine'!$A$7:$A$5850&gt;=C12)*('Date Engine'!$A$7:$A$5850&lt;=D12)*'Date Engine'!$G$7:$G$5850)),"")</x:f>
      </x:c>
      <x:c r="AB12" s="325" t="str">
        <x:f>IF(AA12="","",MIN(1,AA12*$B$3))</x:f>
      </x:c>
      <x:c r="AC12" s="325" t="n">
        <x:f>IF($D$3&lt;&gt;"",$D$3,IFERROR(SUMPRODUCT((('Date Engine'!$A$7:$A$5850&gt;=C12)*('Date Engine'!$A$7:$A$5850&lt;=D12)*'Date Engine'!$G$7:$G$5850)*'Date Engine'!$J$7:$J$5850)/SUMPRODUCT((('Date Engine'!$A$7:$A$5850&gt;=C12)*('Date Engine'!$A$7:$A$5850&lt;=D12)*'Date Engine'!$G$7:$G$5850)),0))</x:f>
        <x:v>0</x:v>
      </x:c>
      <x:c r="AD12" s="325" t="str">
        <x:f>IF(OR(AB12="",J12="",M12="",Y12=""),"",AB12*J12*M12*Y12)</x:f>
      </x:c>
      <x:c r="AE12" s="325" t="str">
        <x:f>IF(OR(AB12="",P12="",Y12=""),"",AB12*P12*Y12)</x:f>
      </x:c>
      <x:c r="AF12" s="325" t="str">
        <x:f>IF(OR(S12="",V12="",Y12=""),"",AC12*S12*V12*Y12)</x:f>
      </x:c>
      <x:c r="AG12" s="325" t="str">
        <x:f>IF(A12="","",MIN(1,AD12+AE12+AF12))</x:f>
      </x:c>
      <x:c r="AH12" s="329" t="str">
        <x:f>IF(A12="","",(F12+G12)*AG12)</x:f>
      </x:c>
      <x:c r="AI12" s="327" t="str">
        <x:f>IF(OR(A12="",Z12=""),"",Z12*AG12)</x:f>
      </x:c>
      <x:c r="AJ12" s="327" t="str">
        <x:f>IF(A12="","",IF(E12="Yes",AI12,0))</x:f>
      </x:c>
      <x:c r="AK12" s="322" t="str">
        <x:f>IF(A12="","",IF(OR(C12&lt;DATE(2025,1,1),D12&gt;DATE(2040,12,31),D12&lt;C12),"RED - date input",IF(AND(S12&gt;=20%,AC12=0),"RED - wind input",IF($B$3&lt;&gt;1,"AMBER - local factor requires basis","AMBER - task factors uncalibrated"))))</x:f>
      </x:c>
      <x:c r="AL12" s="321"/>
    </x:row>
    <x:row r="13">
      <x:c r="A13" s="321"/>
      <x:c r="B13" s="322" t="str">
        <x:f>IF(A13="","",INDEX('Task Library'!$B$7:$B$45,MATCH(A13,'Task Library'!$A$7:$A$45,0)))</x:f>
      </x:c>
      <x:c r="C13" s="323"/>
      <x:c r="D13" s="323"/>
      <x:c r="E13" s="321" t="str">
        <x:v>No</x:v>
      </x:c>
      <x:c r="F13" s="324"/>
      <x:c r="G13" s="324"/>
      <x:c r="H13" s="325" t="str">
        <x:f>IF(A13="","",INDEX('Task Library'!$C$7:$C$45,MATCH(A13,'Task Library'!$A$7:$A$45,0)))</x:f>
      </x:c>
      <x:c r="I13" s="326"/>
      <x:c r="J13" s="325" t="str">
        <x:f>IF(H13="","",IF(I13="",H13,I13))</x:f>
      </x:c>
      <x:c r="K13" s="325" t="str">
        <x:f>IF(A13="","",INDEX('Task Library'!$D$7:$D$45,MATCH(A13,'Task Library'!$A$7:$A$45,0)))</x:f>
      </x:c>
      <x:c r="L13" s="326"/>
      <x:c r="M13" s="325" t="str">
        <x:f>IF(K13="","",IF(L13="",K13,L13))</x:f>
      </x:c>
      <x:c r="N13" s="327" t="str">
        <x:f>IF(A13="","",INDEX('Task Library'!$E$7:$E$45,MATCH(A13,'Task Library'!$A$7:$A$45,0)))</x:f>
      </x:c>
      <x:c r="O13" s="328"/>
      <x:c r="P13" s="327" t="str">
        <x:f>IF(N13="","",IF(O13="",N13,O13))</x:f>
      </x:c>
      <x:c r="Q13" s="325" t="str">
        <x:f>IF(A13="","",INDEX('Task Library'!$F$7:$F$45,MATCH(A13,'Task Library'!$A$7:$A$45,0)))</x:f>
      </x:c>
      <x:c r="R13" s="326"/>
      <x:c r="S13" s="325" t="str">
        <x:f>IF(Q13="","",IF(R13="",Q13,R13))</x:f>
      </x:c>
      <x:c r="T13" s="325" t="str">
        <x:f>IF(A13="","",INDEX('Task Library'!$G$7:$G$45,MATCH(A13,'Task Library'!$A$7:$A$45,0)))</x:f>
      </x:c>
      <x:c r="U13" s="326"/>
      <x:c r="V13" s="325" t="str">
        <x:f>IF(T13="","",IF(U13="",T13,U13))</x:f>
      </x:c>
      <x:c r="W13" s="325" t="str">
        <x:f>IF(A13="","",INDEX('Task Library'!$H$7:$H$45,MATCH(A13,'Task Library'!$A$7:$A$45,0)))</x:f>
      </x:c>
      <x:c r="X13" s="326"/>
      <x:c r="Y13" s="325" t="str">
        <x:f>IF(W13="","",IF(X13="",W13,X13))</x:f>
      </x:c>
      <x:c r="Z13" s="327" t="str">
        <x:f>IF(OR(C13="",D13="",D13&lt;C13),"",SUMPRODUCT((('Date Engine'!$A$7:$A$5850&gt;=C13)*('Date Engine'!$A$7:$A$5850&lt;=D13)*'Date Engine'!$G$7:$G$5850)))</x:f>
      </x:c>
      <x:c r="AA13" s="325" t="str">
        <x:f>IFERROR(SUMPRODUCT((('Date Engine'!$A$7:$A$5850&gt;=C13)*('Date Engine'!$A$7:$A$5850&lt;=D13)*'Date Engine'!$G$7:$G$5850)*'Date Engine'!$H$7:$H$5850)/SUMPRODUCT((('Date Engine'!$A$7:$A$5850&gt;=C13)*('Date Engine'!$A$7:$A$5850&lt;=D13)*'Date Engine'!$G$7:$G$5850)),"")</x:f>
      </x:c>
      <x:c r="AB13" s="325" t="str">
        <x:f>IF(AA13="","",MIN(1,AA13*$B$3))</x:f>
      </x:c>
      <x:c r="AC13" s="325" t="n">
        <x:f>IF($D$3&lt;&gt;"",$D$3,IFERROR(SUMPRODUCT((('Date Engine'!$A$7:$A$5850&gt;=C13)*('Date Engine'!$A$7:$A$5850&lt;=D13)*'Date Engine'!$G$7:$G$5850)*'Date Engine'!$J$7:$J$5850)/SUMPRODUCT((('Date Engine'!$A$7:$A$5850&gt;=C13)*('Date Engine'!$A$7:$A$5850&lt;=D13)*'Date Engine'!$G$7:$G$5850)),0))</x:f>
        <x:v>0</x:v>
      </x:c>
      <x:c r="AD13" s="325" t="str">
        <x:f>IF(OR(AB13="",J13="",M13="",Y13=""),"",AB13*J13*M13*Y13)</x:f>
      </x:c>
      <x:c r="AE13" s="325" t="str">
        <x:f>IF(OR(AB13="",P13="",Y13=""),"",AB13*P13*Y13)</x:f>
      </x:c>
      <x:c r="AF13" s="325" t="str">
        <x:f>IF(OR(S13="",V13="",Y13=""),"",AC13*S13*V13*Y13)</x:f>
      </x:c>
      <x:c r="AG13" s="325" t="str">
        <x:f>IF(A13="","",MIN(1,AD13+AE13+AF13))</x:f>
      </x:c>
      <x:c r="AH13" s="329" t="str">
        <x:f>IF(A13="","",(F13+G13)*AG13)</x:f>
      </x:c>
      <x:c r="AI13" s="327" t="str">
        <x:f>IF(OR(A13="",Z13=""),"",Z13*AG13)</x:f>
      </x:c>
      <x:c r="AJ13" s="327" t="str">
        <x:f>IF(A13="","",IF(E13="Yes",AI13,0))</x:f>
      </x:c>
      <x:c r="AK13" s="322" t="str">
        <x:f>IF(A13="","",IF(OR(C13&lt;DATE(2025,1,1),D13&gt;DATE(2040,12,31),D13&lt;C13),"RED - date input",IF(AND(S13&gt;=20%,AC13=0),"RED - wind input",IF($B$3&lt;&gt;1,"AMBER - local factor requires basis","AMBER - task factors uncalibrated"))))</x:f>
      </x:c>
      <x:c r="AL13" s="321"/>
    </x:row>
    <x:row r="14">
      <x:c r="A14" s="321"/>
      <x:c r="B14" s="322" t="str">
        <x:f>IF(A14="","",INDEX('Task Library'!$B$7:$B$45,MATCH(A14,'Task Library'!$A$7:$A$45,0)))</x:f>
      </x:c>
      <x:c r="C14" s="323"/>
      <x:c r="D14" s="323"/>
      <x:c r="E14" s="321" t="str">
        <x:v>No</x:v>
      </x:c>
      <x:c r="F14" s="324"/>
      <x:c r="G14" s="324"/>
      <x:c r="H14" s="325" t="str">
        <x:f>IF(A14="","",INDEX('Task Library'!$C$7:$C$45,MATCH(A14,'Task Library'!$A$7:$A$45,0)))</x:f>
      </x:c>
      <x:c r="I14" s="326"/>
      <x:c r="J14" s="325" t="str">
        <x:f>IF(H14="","",IF(I14="",H14,I14))</x:f>
      </x:c>
      <x:c r="K14" s="325" t="str">
        <x:f>IF(A14="","",INDEX('Task Library'!$D$7:$D$45,MATCH(A14,'Task Library'!$A$7:$A$45,0)))</x:f>
      </x:c>
      <x:c r="L14" s="326"/>
      <x:c r="M14" s="325" t="str">
        <x:f>IF(K14="","",IF(L14="",K14,L14))</x:f>
      </x:c>
      <x:c r="N14" s="327" t="str">
        <x:f>IF(A14="","",INDEX('Task Library'!$E$7:$E$45,MATCH(A14,'Task Library'!$A$7:$A$45,0)))</x:f>
      </x:c>
      <x:c r="O14" s="328"/>
      <x:c r="P14" s="327" t="str">
        <x:f>IF(N14="","",IF(O14="",N14,O14))</x:f>
      </x:c>
      <x:c r="Q14" s="325" t="str">
        <x:f>IF(A14="","",INDEX('Task Library'!$F$7:$F$45,MATCH(A14,'Task Library'!$A$7:$A$45,0)))</x:f>
      </x:c>
      <x:c r="R14" s="326"/>
      <x:c r="S14" s="325" t="str">
        <x:f>IF(Q14="","",IF(R14="",Q14,R14))</x:f>
      </x:c>
      <x:c r="T14" s="325" t="str">
        <x:f>IF(A14="","",INDEX('Task Library'!$G$7:$G$45,MATCH(A14,'Task Library'!$A$7:$A$45,0)))</x:f>
      </x:c>
      <x:c r="U14" s="326"/>
      <x:c r="V14" s="325" t="str">
        <x:f>IF(T14="","",IF(U14="",T14,U14))</x:f>
      </x:c>
      <x:c r="W14" s="325" t="str">
        <x:f>IF(A14="","",INDEX('Task Library'!$H$7:$H$45,MATCH(A14,'Task Library'!$A$7:$A$45,0)))</x:f>
      </x:c>
      <x:c r="X14" s="326"/>
      <x:c r="Y14" s="325" t="str">
        <x:f>IF(W14="","",IF(X14="",W14,X14))</x:f>
      </x:c>
      <x:c r="Z14" s="327" t="str">
        <x:f>IF(OR(C14="",D14="",D14&lt;C14),"",SUMPRODUCT((('Date Engine'!$A$7:$A$5850&gt;=C14)*('Date Engine'!$A$7:$A$5850&lt;=D14)*'Date Engine'!$G$7:$G$5850)))</x:f>
      </x:c>
      <x:c r="AA14" s="325" t="str">
        <x:f>IFERROR(SUMPRODUCT((('Date Engine'!$A$7:$A$5850&gt;=C14)*('Date Engine'!$A$7:$A$5850&lt;=D14)*'Date Engine'!$G$7:$G$5850)*'Date Engine'!$H$7:$H$5850)/SUMPRODUCT((('Date Engine'!$A$7:$A$5850&gt;=C14)*('Date Engine'!$A$7:$A$5850&lt;=D14)*'Date Engine'!$G$7:$G$5850)),"")</x:f>
      </x:c>
      <x:c r="AB14" s="325" t="str">
        <x:f>IF(AA14="","",MIN(1,AA14*$B$3))</x:f>
      </x:c>
      <x:c r="AC14" s="325" t="n">
        <x:f>IF($D$3&lt;&gt;"",$D$3,IFERROR(SUMPRODUCT((('Date Engine'!$A$7:$A$5850&gt;=C14)*('Date Engine'!$A$7:$A$5850&lt;=D14)*'Date Engine'!$G$7:$G$5850)*'Date Engine'!$J$7:$J$5850)/SUMPRODUCT((('Date Engine'!$A$7:$A$5850&gt;=C14)*('Date Engine'!$A$7:$A$5850&lt;=D14)*'Date Engine'!$G$7:$G$5850)),0))</x:f>
        <x:v>0</x:v>
      </x:c>
      <x:c r="AD14" s="325" t="str">
        <x:f>IF(OR(AB14="",J14="",M14="",Y14=""),"",AB14*J14*M14*Y14)</x:f>
      </x:c>
      <x:c r="AE14" s="325" t="str">
        <x:f>IF(OR(AB14="",P14="",Y14=""),"",AB14*P14*Y14)</x:f>
      </x:c>
      <x:c r="AF14" s="325" t="str">
        <x:f>IF(OR(S14="",V14="",Y14=""),"",AC14*S14*V14*Y14)</x:f>
      </x:c>
      <x:c r="AG14" s="325" t="str">
        <x:f>IF(A14="","",MIN(1,AD14+AE14+AF14))</x:f>
      </x:c>
      <x:c r="AH14" s="329" t="str">
        <x:f>IF(A14="","",(F14+G14)*AG14)</x:f>
      </x:c>
      <x:c r="AI14" s="327" t="str">
        <x:f>IF(OR(A14="",Z14=""),"",Z14*AG14)</x:f>
      </x:c>
      <x:c r="AJ14" s="327" t="str">
        <x:f>IF(A14="","",IF(E14="Yes",AI14,0))</x:f>
      </x:c>
      <x:c r="AK14" s="322" t="str">
        <x:f>IF(A14="","",IF(OR(C14&lt;DATE(2025,1,1),D14&gt;DATE(2040,12,31),D14&lt;C14),"RED - date input",IF(AND(S14&gt;=20%,AC14=0),"RED - wind input",IF($B$3&lt;&gt;1,"AMBER - local factor requires basis","AMBER - task factors uncalibrated"))))</x:f>
      </x:c>
      <x:c r="AL14" s="321"/>
    </x:row>
    <x:row r="15">
      <x:c r="A15" s="321"/>
      <x:c r="B15" s="322" t="str">
        <x:f>IF(A15="","",INDEX('Task Library'!$B$7:$B$45,MATCH(A15,'Task Library'!$A$7:$A$45,0)))</x:f>
      </x:c>
      <x:c r="C15" s="323"/>
      <x:c r="D15" s="323"/>
      <x:c r="E15" s="321" t="str">
        <x:v>No</x:v>
      </x:c>
      <x:c r="F15" s="324"/>
      <x:c r="G15" s="324"/>
      <x:c r="H15" s="325" t="str">
        <x:f>IF(A15="","",INDEX('Task Library'!$C$7:$C$45,MATCH(A15,'Task Library'!$A$7:$A$45,0)))</x:f>
      </x:c>
      <x:c r="I15" s="326"/>
      <x:c r="J15" s="325" t="str">
        <x:f>IF(H15="","",IF(I15="",H15,I15))</x:f>
      </x:c>
      <x:c r="K15" s="325" t="str">
        <x:f>IF(A15="","",INDEX('Task Library'!$D$7:$D$45,MATCH(A15,'Task Library'!$A$7:$A$45,0)))</x:f>
      </x:c>
      <x:c r="L15" s="326"/>
      <x:c r="M15" s="325" t="str">
        <x:f>IF(K15="","",IF(L15="",K15,L15))</x:f>
      </x:c>
      <x:c r="N15" s="327" t="str">
        <x:f>IF(A15="","",INDEX('Task Library'!$E$7:$E$45,MATCH(A15,'Task Library'!$A$7:$A$45,0)))</x:f>
      </x:c>
      <x:c r="O15" s="328"/>
      <x:c r="P15" s="327" t="str">
        <x:f>IF(N15="","",IF(O15="",N15,O15))</x:f>
      </x:c>
      <x:c r="Q15" s="325" t="str">
        <x:f>IF(A15="","",INDEX('Task Library'!$F$7:$F$45,MATCH(A15,'Task Library'!$A$7:$A$45,0)))</x:f>
      </x:c>
      <x:c r="R15" s="326"/>
      <x:c r="S15" s="325" t="str">
        <x:f>IF(Q15="","",IF(R15="",Q15,R15))</x:f>
      </x:c>
      <x:c r="T15" s="325" t="str">
        <x:f>IF(A15="","",INDEX('Task Library'!$G$7:$G$45,MATCH(A15,'Task Library'!$A$7:$A$45,0)))</x:f>
      </x:c>
      <x:c r="U15" s="326"/>
      <x:c r="V15" s="325" t="str">
        <x:f>IF(T15="","",IF(U15="",T15,U15))</x:f>
      </x:c>
      <x:c r="W15" s="325" t="str">
        <x:f>IF(A15="","",INDEX('Task Library'!$H$7:$H$45,MATCH(A15,'Task Library'!$A$7:$A$45,0)))</x:f>
      </x:c>
      <x:c r="X15" s="326"/>
      <x:c r="Y15" s="325" t="str">
        <x:f>IF(W15="","",IF(X15="",W15,X15))</x:f>
      </x:c>
      <x:c r="Z15" s="327" t="str">
        <x:f>IF(OR(C15="",D15="",D15&lt;C15),"",SUMPRODUCT((('Date Engine'!$A$7:$A$5850&gt;=C15)*('Date Engine'!$A$7:$A$5850&lt;=D15)*'Date Engine'!$G$7:$G$5850)))</x:f>
      </x:c>
      <x:c r="AA15" s="325" t="str">
        <x:f>IFERROR(SUMPRODUCT((('Date Engine'!$A$7:$A$5850&gt;=C15)*('Date Engine'!$A$7:$A$5850&lt;=D15)*'Date Engine'!$G$7:$G$5850)*'Date Engine'!$H$7:$H$5850)/SUMPRODUCT((('Date Engine'!$A$7:$A$5850&gt;=C15)*('Date Engine'!$A$7:$A$5850&lt;=D15)*'Date Engine'!$G$7:$G$5850)),"")</x:f>
      </x:c>
      <x:c r="AB15" s="325" t="str">
        <x:f>IF(AA15="","",MIN(1,AA15*$B$3))</x:f>
      </x:c>
      <x:c r="AC15" s="325" t="n">
        <x:f>IF($D$3&lt;&gt;"",$D$3,IFERROR(SUMPRODUCT((('Date Engine'!$A$7:$A$5850&gt;=C15)*('Date Engine'!$A$7:$A$5850&lt;=D15)*'Date Engine'!$G$7:$G$5850)*'Date Engine'!$J$7:$J$5850)/SUMPRODUCT((('Date Engine'!$A$7:$A$5850&gt;=C15)*('Date Engine'!$A$7:$A$5850&lt;=D15)*'Date Engine'!$G$7:$G$5850)),0))</x:f>
        <x:v>0</x:v>
      </x:c>
      <x:c r="AD15" s="325" t="str">
        <x:f>IF(OR(AB15="",J15="",M15="",Y15=""),"",AB15*J15*M15*Y15)</x:f>
      </x:c>
      <x:c r="AE15" s="325" t="str">
        <x:f>IF(OR(AB15="",P15="",Y15=""),"",AB15*P15*Y15)</x:f>
      </x:c>
      <x:c r="AF15" s="325" t="str">
        <x:f>IF(OR(S15="",V15="",Y15=""),"",AC15*S15*V15*Y15)</x:f>
      </x:c>
      <x:c r="AG15" s="325" t="str">
        <x:f>IF(A15="","",MIN(1,AD15+AE15+AF15))</x:f>
      </x:c>
      <x:c r="AH15" s="329" t="str">
        <x:f>IF(A15="","",(F15+G15)*AG15)</x:f>
      </x:c>
      <x:c r="AI15" s="327" t="str">
        <x:f>IF(OR(A15="",Z15=""),"",Z15*AG15)</x:f>
      </x:c>
      <x:c r="AJ15" s="327" t="str">
        <x:f>IF(A15="","",IF(E15="Yes",AI15,0))</x:f>
      </x:c>
      <x:c r="AK15" s="322" t="str">
        <x:f>IF(A15="","",IF(OR(C15&lt;DATE(2025,1,1),D15&gt;DATE(2040,12,31),D15&lt;C15),"RED - date input",IF(AND(S15&gt;=20%,AC15=0),"RED - wind input",IF($B$3&lt;&gt;1,"AMBER - local factor requires basis","AMBER - task factors uncalibrated"))))</x:f>
      </x:c>
      <x:c r="AL15" s="321"/>
    </x:row>
    <x:row r="16">
      <x:c r="A16" s="321"/>
      <x:c r="B16" s="322" t="str">
        <x:f>IF(A16="","",INDEX('Task Library'!$B$7:$B$45,MATCH(A16,'Task Library'!$A$7:$A$45,0)))</x:f>
      </x:c>
      <x:c r="C16" s="323"/>
      <x:c r="D16" s="323"/>
      <x:c r="E16" s="321" t="str">
        <x:v>No</x:v>
      </x:c>
      <x:c r="F16" s="324"/>
      <x:c r="G16" s="324"/>
      <x:c r="H16" s="325" t="str">
        <x:f>IF(A16="","",INDEX('Task Library'!$C$7:$C$45,MATCH(A16,'Task Library'!$A$7:$A$45,0)))</x:f>
      </x:c>
      <x:c r="I16" s="326"/>
      <x:c r="J16" s="325" t="str">
        <x:f>IF(H16="","",IF(I16="",H16,I16))</x:f>
      </x:c>
      <x:c r="K16" s="325" t="str">
        <x:f>IF(A16="","",INDEX('Task Library'!$D$7:$D$45,MATCH(A16,'Task Library'!$A$7:$A$45,0)))</x:f>
      </x:c>
      <x:c r="L16" s="326"/>
      <x:c r="M16" s="325" t="str">
        <x:f>IF(K16="","",IF(L16="",K16,L16))</x:f>
      </x:c>
      <x:c r="N16" s="327" t="str">
        <x:f>IF(A16="","",INDEX('Task Library'!$E$7:$E$45,MATCH(A16,'Task Library'!$A$7:$A$45,0)))</x:f>
      </x:c>
      <x:c r="O16" s="328"/>
      <x:c r="P16" s="327" t="str">
        <x:f>IF(N16="","",IF(O16="",N16,O16))</x:f>
      </x:c>
      <x:c r="Q16" s="325" t="str">
        <x:f>IF(A16="","",INDEX('Task Library'!$F$7:$F$45,MATCH(A16,'Task Library'!$A$7:$A$45,0)))</x:f>
      </x:c>
      <x:c r="R16" s="326"/>
      <x:c r="S16" s="325" t="str">
        <x:f>IF(Q16="","",IF(R16="",Q16,R16))</x:f>
      </x:c>
      <x:c r="T16" s="325" t="str">
        <x:f>IF(A16="","",INDEX('Task Library'!$G$7:$G$45,MATCH(A16,'Task Library'!$A$7:$A$45,0)))</x:f>
      </x:c>
      <x:c r="U16" s="326"/>
      <x:c r="V16" s="325" t="str">
        <x:f>IF(T16="","",IF(U16="",T16,U16))</x:f>
      </x:c>
      <x:c r="W16" s="325" t="str">
        <x:f>IF(A16="","",INDEX('Task Library'!$H$7:$H$45,MATCH(A16,'Task Library'!$A$7:$A$45,0)))</x:f>
      </x:c>
      <x:c r="X16" s="326"/>
      <x:c r="Y16" s="325" t="str">
        <x:f>IF(W16="","",IF(X16="",W16,X16))</x:f>
      </x:c>
      <x:c r="Z16" s="327" t="str">
        <x:f>IF(OR(C16="",D16="",D16&lt;C16),"",SUMPRODUCT((('Date Engine'!$A$7:$A$5850&gt;=C16)*('Date Engine'!$A$7:$A$5850&lt;=D16)*'Date Engine'!$G$7:$G$5850)))</x:f>
      </x:c>
      <x:c r="AA16" s="325" t="str">
        <x:f>IFERROR(SUMPRODUCT((('Date Engine'!$A$7:$A$5850&gt;=C16)*('Date Engine'!$A$7:$A$5850&lt;=D16)*'Date Engine'!$G$7:$G$5850)*'Date Engine'!$H$7:$H$5850)/SUMPRODUCT((('Date Engine'!$A$7:$A$5850&gt;=C16)*('Date Engine'!$A$7:$A$5850&lt;=D16)*'Date Engine'!$G$7:$G$5850)),"")</x:f>
      </x:c>
      <x:c r="AB16" s="325" t="str">
        <x:f>IF(AA16="","",MIN(1,AA16*$B$3))</x:f>
      </x:c>
      <x:c r="AC16" s="325" t="n">
        <x:f>IF($D$3&lt;&gt;"",$D$3,IFERROR(SUMPRODUCT((('Date Engine'!$A$7:$A$5850&gt;=C16)*('Date Engine'!$A$7:$A$5850&lt;=D16)*'Date Engine'!$G$7:$G$5850)*'Date Engine'!$J$7:$J$5850)/SUMPRODUCT((('Date Engine'!$A$7:$A$5850&gt;=C16)*('Date Engine'!$A$7:$A$5850&lt;=D16)*'Date Engine'!$G$7:$G$5850)),0))</x:f>
        <x:v>0</x:v>
      </x:c>
      <x:c r="AD16" s="325" t="str">
        <x:f>IF(OR(AB16="",J16="",M16="",Y16=""),"",AB16*J16*M16*Y16)</x:f>
      </x:c>
      <x:c r="AE16" s="325" t="str">
        <x:f>IF(OR(AB16="",P16="",Y16=""),"",AB16*P16*Y16)</x:f>
      </x:c>
      <x:c r="AF16" s="325" t="str">
        <x:f>IF(OR(S16="",V16="",Y16=""),"",AC16*S16*V16*Y16)</x:f>
      </x:c>
      <x:c r="AG16" s="325" t="str">
        <x:f>IF(A16="","",MIN(1,AD16+AE16+AF16))</x:f>
      </x:c>
      <x:c r="AH16" s="329" t="str">
        <x:f>IF(A16="","",(F16+G16)*AG16)</x:f>
      </x:c>
      <x:c r="AI16" s="327" t="str">
        <x:f>IF(OR(A16="",Z16=""),"",Z16*AG16)</x:f>
      </x:c>
      <x:c r="AJ16" s="327" t="str">
        <x:f>IF(A16="","",IF(E16="Yes",AI16,0))</x:f>
      </x:c>
      <x:c r="AK16" s="322" t="str">
        <x:f>IF(A16="","",IF(OR(C16&lt;DATE(2025,1,1),D16&gt;DATE(2040,12,31),D16&lt;C16),"RED - date input",IF(AND(S16&gt;=20%,AC16=0),"RED - wind input",IF($B$3&lt;&gt;1,"AMBER - local factor requires basis","AMBER - task factors uncalibrated"))))</x:f>
      </x:c>
      <x:c r="AL16" s="321"/>
    </x:row>
    <x:row r="17">
      <x:c r="A17" s="321"/>
      <x:c r="B17" s="322" t="str">
        <x:f>IF(A17="","",INDEX('Task Library'!$B$7:$B$45,MATCH(A17,'Task Library'!$A$7:$A$45,0)))</x:f>
      </x:c>
      <x:c r="C17" s="323"/>
      <x:c r="D17" s="323"/>
      <x:c r="E17" s="321" t="str">
        <x:v>No</x:v>
      </x:c>
      <x:c r="F17" s="324"/>
      <x:c r="G17" s="324"/>
      <x:c r="H17" s="325" t="str">
        <x:f>IF(A17="","",INDEX('Task Library'!$C$7:$C$45,MATCH(A17,'Task Library'!$A$7:$A$45,0)))</x:f>
      </x:c>
      <x:c r="I17" s="326"/>
      <x:c r="J17" s="325" t="str">
        <x:f>IF(H17="","",IF(I17="",H17,I17))</x:f>
      </x:c>
      <x:c r="K17" s="325" t="str">
        <x:f>IF(A17="","",INDEX('Task Library'!$D$7:$D$45,MATCH(A17,'Task Library'!$A$7:$A$45,0)))</x:f>
      </x:c>
      <x:c r="L17" s="326"/>
      <x:c r="M17" s="325" t="str">
        <x:f>IF(K17="","",IF(L17="",K17,L17))</x:f>
      </x:c>
      <x:c r="N17" s="327" t="str">
        <x:f>IF(A17="","",INDEX('Task Library'!$E$7:$E$45,MATCH(A17,'Task Library'!$A$7:$A$45,0)))</x:f>
      </x:c>
      <x:c r="O17" s="328"/>
      <x:c r="P17" s="327" t="str">
        <x:f>IF(N17="","",IF(O17="",N17,O17))</x:f>
      </x:c>
      <x:c r="Q17" s="325" t="str">
        <x:f>IF(A17="","",INDEX('Task Library'!$F$7:$F$45,MATCH(A17,'Task Library'!$A$7:$A$45,0)))</x:f>
      </x:c>
      <x:c r="R17" s="326"/>
      <x:c r="S17" s="325" t="str">
        <x:f>IF(Q17="","",IF(R17="",Q17,R17))</x:f>
      </x:c>
      <x:c r="T17" s="325" t="str">
        <x:f>IF(A17="","",INDEX('Task Library'!$G$7:$G$45,MATCH(A17,'Task Library'!$A$7:$A$45,0)))</x:f>
      </x:c>
      <x:c r="U17" s="326"/>
      <x:c r="V17" s="325" t="str">
        <x:f>IF(T17="","",IF(U17="",T17,U17))</x:f>
      </x:c>
      <x:c r="W17" s="325" t="str">
        <x:f>IF(A17="","",INDEX('Task Library'!$H$7:$H$45,MATCH(A17,'Task Library'!$A$7:$A$45,0)))</x:f>
      </x:c>
      <x:c r="X17" s="326"/>
      <x:c r="Y17" s="325" t="str">
        <x:f>IF(W17="","",IF(X17="",W17,X17))</x:f>
      </x:c>
      <x:c r="Z17" s="327" t="str">
        <x:f>IF(OR(C17="",D17="",D17&lt;C17),"",SUMPRODUCT((('Date Engine'!$A$7:$A$5850&gt;=C17)*('Date Engine'!$A$7:$A$5850&lt;=D17)*'Date Engine'!$G$7:$G$5850)))</x:f>
      </x:c>
      <x:c r="AA17" s="325" t="str">
        <x:f>IFERROR(SUMPRODUCT((('Date Engine'!$A$7:$A$5850&gt;=C17)*('Date Engine'!$A$7:$A$5850&lt;=D17)*'Date Engine'!$G$7:$G$5850)*'Date Engine'!$H$7:$H$5850)/SUMPRODUCT((('Date Engine'!$A$7:$A$5850&gt;=C17)*('Date Engine'!$A$7:$A$5850&lt;=D17)*'Date Engine'!$G$7:$G$5850)),"")</x:f>
      </x:c>
      <x:c r="AB17" s="325" t="str">
        <x:f>IF(AA17="","",MIN(1,AA17*$B$3))</x:f>
      </x:c>
      <x:c r="AC17" s="325" t="n">
        <x:f>IF($D$3&lt;&gt;"",$D$3,IFERROR(SUMPRODUCT((('Date Engine'!$A$7:$A$5850&gt;=C17)*('Date Engine'!$A$7:$A$5850&lt;=D17)*'Date Engine'!$G$7:$G$5850)*'Date Engine'!$J$7:$J$5850)/SUMPRODUCT((('Date Engine'!$A$7:$A$5850&gt;=C17)*('Date Engine'!$A$7:$A$5850&lt;=D17)*'Date Engine'!$G$7:$G$5850)),0))</x:f>
        <x:v>0</x:v>
      </x:c>
      <x:c r="AD17" s="325" t="str">
        <x:f>IF(OR(AB17="",J17="",M17="",Y17=""),"",AB17*J17*M17*Y17)</x:f>
      </x:c>
      <x:c r="AE17" s="325" t="str">
        <x:f>IF(OR(AB17="",P17="",Y17=""),"",AB17*P17*Y17)</x:f>
      </x:c>
      <x:c r="AF17" s="325" t="str">
        <x:f>IF(OR(S17="",V17="",Y17=""),"",AC17*S17*V17*Y17)</x:f>
      </x:c>
      <x:c r="AG17" s="325" t="str">
        <x:f>IF(A17="","",MIN(1,AD17+AE17+AF17))</x:f>
      </x:c>
      <x:c r="AH17" s="329" t="str">
        <x:f>IF(A17="","",(F17+G17)*AG17)</x:f>
      </x:c>
      <x:c r="AI17" s="327" t="str">
        <x:f>IF(OR(A17="",Z17=""),"",Z17*AG17)</x:f>
      </x:c>
      <x:c r="AJ17" s="327" t="str">
        <x:f>IF(A17="","",IF(E17="Yes",AI17,0))</x:f>
      </x:c>
      <x:c r="AK17" s="322" t="str">
        <x:f>IF(A17="","",IF(OR(C17&lt;DATE(2025,1,1),D17&gt;DATE(2040,12,31),D17&lt;C17),"RED - date input",IF(AND(S17&gt;=20%,AC17=0),"RED - wind input",IF($B$3&lt;&gt;1,"AMBER - local factor requires basis","AMBER - task factors uncalibrated"))))</x:f>
      </x:c>
      <x:c r="AL17" s="321"/>
    </x:row>
    <x:row r="18">
      <x:c r="A18" s="321"/>
      <x:c r="B18" s="322" t="str">
        <x:f>IF(A18="","",INDEX('Task Library'!$B$7:$B$45,MATCH(A18,'Task Library'!$A$7:$A$45,0)))</x:f>
      </x:c>
      <x:c r="C18" s="323"/>
      <x:c r="D18" s="323"/>
      <x:c r="E18" s="321" t="str">
        <x:v>No</x:v>
      </x:c>
      <x:c r="F18" s="324"/>
      <x:c r="G18" s="324"/>
      <x:c r="H18" s="325" t="str">
        <x:f>IF(A18="","",INDEX('Task Library'!$C$7:$C$45,MATCH(A18,'Task Library'!$A$7:$A$45,0)))</x:f>
      </x:c>
      <x:c r="I18" s="326"/>
      <x:c r="J18" s="325" t="str">
        <x:f>IF(H18="","",IF(I18="",H18,I18))</x:f>
      </x:c>
      <x:c r="K18" s="325" t="str">
        <x:f>IF(A18="","",INDEX('Task Library'!$D$7:$D$45,MATCH(A18,'Task Library'!$A$7:$A$45,0)))</x:f>
      </x:c>
      <x:c r="L18" s="326"/>
      <x:c r="M18" s="325" t="str">
        <x:f>IF(K18="","",IF(L18="",K18,L18))</x:f>
      </x:c>
      <x:c r="N18" s="327" t="str">
        <x:f>IF(A18="","",INDEX('Task Library'!$E$7:$E$45,MATCH(A18,'Task Library'!$A$7:$A$45,0)))</x:f>
      </x:c>
      <x:c r="O18" s="328"/>
      <x:c r="P18" s="327" t="str">
        <x:f>IF(N18="","",IF(O18="",N18,O18))</x:f>
      </x:c>
      <x:c r="Q18" s="325" t="str">
        <x:f>IF(A18="","",INDEX('Task Library'!$F$7:$F$45,MATCH(A18,'Task Library'!$A$7:$A$45,0)))</x:f>
      </x:c>
      <x:c r="R18" s="326"/>
      <x:c r="S18" s="325" t="str">
        <x:f>IF(Q18="","",IF(R18="",Q18,R18))</x:f>
      </x:c>
      <x:c r="T18" s="325" t="str">
        <x:f>IF(A18="","",INDEX('Task Library'!$G$7:$G$45,MATCH(A18,'Task Library'!$A$7:$A$45,0)))</x:f>
      </x:c>
      <x:c r="U18" s="326"/>
      <x:c r="V18" s="325" t="str">
        <x:f>IF(T18="","",IF(U18="",T18,U18))</x:f>
      </x:c>
      <x:c r="W18" s="325" t="str">
        <x:f>IF(A18="","",INDEX('Task Library'!$H$7:$H$45,MATCH(A18,'Task Library'!$A$7:$A$45,0)))</x:f>
      </x:c>
      <x:c r="X18" s="326"/>
      <x:c r="Y18" s="325" t="str">
        <x:f>IF(W18="","",IF(X18="",W18,X18))</x:f>
      </x:c>
      <x:c r="Z18" s="327" t="str">
        <x:f>IF(OR(C18="",D18="",D18&lt;C18),"",SUMPRODUCT((('Date Engine'!$A$7:$A$5850&gt;=C18)*('Date Engine'!$A$7:$A$5850&lt;=D18)*'Date Engine'!$G$7:$G$5850)))</x:f>
      </x:c>
      <x:c r="AA18" s="325" t="str">
        <x:f>IFERROR(SUMPRODUCT((('Date Engine'!$A$7:$A$5850&gt;=C18)*('Date Engine'!$A$7:$A$5850&lt;=D18)*'Date Engine'!$G$7:$G$5850)*'Date Engine'!$H$7:$H$5850)/SUMPRODUCT((('Date Engine'!$A$7:$A$5850&gt;=C18)*('Date Engine'!$A$7:$A$5850&lt;=D18)*'Date Engine'!$G$7:$G$5850)),"")</x:f>
      </x:c>
      <x:c r="AB18" s="325" t="str">
        <x:f>IF(AA18="","",MIN(1,AA18*$B$3))</x:f>
      </x:c>
      <x:c r="AC18" s="325" t="n">
        <x:f>IF($D$3&lt;&gt;"",$D$3,IFERROR(SUMPRODUCT((('Date Engine'!$A$7:$A$5850&gt;=C18)*('Date Engine'!$A$7:$A$5850&lt;=D18)*'Date Engine'!$G$7:$G$5850)*'Date Engine'!$J$7:$J$5850)/SUMPRODUCT((('Date Engine'!$A$7:$A$5850&gt;=C18)*('Date Engine'!$A$7:$A$5850&lt;=D18)*'Date Engine'!$G$7:$G$5850)),0))</x:f>
        <x:v>0</x:v>
      </x:c>
      <x:c r="AD18" s="325" t="str">
        <x:f>IF(OR(AB18="",J18="",M18="",Y18=""),"",AB18*J18*M18*Y18)</x:f>
      </x:c>
      <x:c r="AE18" s="325" t="str">
        <x:f>IF(OR(AB18="",P18="",Y18=""),"",AB18*P18*Y18)</x:f>
      </x:c>
      <x:c r="AF18" s="325" t="str">
        <x:f>IF(OR(S18="",V18="",Y18=""),"",AC18*S18*V18*Y18)</x:f>
      </x:c>
      <x:c r="AG18" s="325" t="str">
        <x:f>IF(A18="","",MIN(1,AD18+AE18+AF18))</x:f>
      </x:c>
      <x:c r="AH18" s="329" t="str">
        <x:f>IF(A18="","",(F18+G18)*AG18)</x:f>
      </x:c>
      <x:c r="AI18" s="327" t="str">
        <x:f>IF(OR(A18="",Z18=""),"",Z18*AG18)</x:f>
      </x:c>
      <x:c r="AJ18" s="327" t="str">
        <x:f>IF(A18="","",IF(E18="Yes",AI18,0))</x:f>
      </x:c>
      <x:c r="AK18" s="322" t="str">
        <x:f>IF(A18="","",IF(OR(C18&lt;DATE(2025,1,1),D18&gt;DATE(2040,12,31),D18&lt;C18),"RED - date input",IF(AND(S18&gt;=20%,AC18=0),"RED - wind input",IF($B$3&lt;&gt;1,"AMBER - local factor requires basis","AMBER - task factors uncalibrated"))))</x:f>
      </x:c>
      <x:c r="AL18" s="321"/>
    </x:row>
    <x:row r="19">
      <x:c r="A19" s="321"/>
      <x:c r="B19" s="322" t="str">
        <x:f>IF(A19="","",INDEX('Task Library'!$B$7:$B$45,MATCH(A19,'Task Library'!$A$7:$A$45,0)))</x:f>
      </x:c>
      <x:c r="C19" s="323"/>
      <x:c r="D19" s="323"/>
      <x:c r="E19" s="321" t="str">
        <x:v>No</x:v>
      </x:c>
      <x:c r="F19" s="324"/>
      <x:c r="G19" s="324"/>
      <x:c r="H19" s="325" t="str">
        <x:f>IF(A19="","",INDEX('Task Library'!$C$7:$C$45,MATCH(A19,'Task Library'!$A$7:$A$45,0)))</x:f>
      </x:c>
      <x:c r="I19" s="326"/>
      <x:c r="J19" s="325" t="str">
        <x:f>IF(H19="","",IF(I19="",H19,I19))</x:f>
      </x:c>
      <x:c r="K19" s="325" t="str">
        <x:f>IF(A19="","",INDEX('Task Library'!$D$7:$D$45,MATCH(A19,'Task Library'!$A$7:$A$45,0)))</x:f>
      </x:c>
      <x:c r="L19" s="326"/>
      <x:c r="M19" s="325" t="str">
        <x:f>IF(K19="","",IF(L19="",K19,L19))</x:f>
      </x:c>
      <x:c r="N19" s="327" t="str">
        <x:f>IF(A19="","",INDEX('Task Library'!$E$7:$E$45,MATCH(A19,'Task Library'!$A$7:$A$45,0)))</x:f>
      </x:c>
      <x:c r="O19" s="328"/>
      <x:c r="P19" s="327" t="str">
        <x:f>IF(N19="","",IF(O19="",N19,O19))</x:f>
      </x:c>
      <x:c r="Q19" s="325" t="str">
        <x:f>IF(A19="","",INDEX('Task Library'!$F$7:$F$45,MATCH(A19,'Task Library'!$A$7:$A$45,0)))</x:f>
      </x:c>
      <x:c r="R19" s="326"/>
      <x:c r="S19" s="325" t="str">
        <x:f>IF(Q19="","",IF(R19="",Q19,R19))</x:f>
      </x:c>
      <x:c r="T19" s="325" t="str">
        <x:f>IF(A19="","",INDEX('Task Library'!$G$7:$G$45,MATCH(A19,'Task Library'!$A$7:$A$45,0)))</x:f>
      </x:c>
      <x:c r="U19" s="326"/>
      <x:c r="V19" s="325" t="str">
        <x:f>IF(T19="","",IF(U19="",T19,U19))</x:f>
      </x:c>
      <x:c r="W19" s="325" t="str">
        <x:f>IF(A19="","",INDEX('Task Library'!$H$7:$H$45,MATCH(A19,'Task Library'!$A$7:$A$45,0)))</x:f>
      </x:c>
      <x:c r="X19" s="326"/>
      <x:c r="Y19" s="325" t="str">
        <x:f>IF(W19="","",IF(X19="",W19,X19))</x:f>
      </x:c>
      <x:c r="Z19" s="327" t="str">
        <x:f>IF(OR(C19="",D19="",D19&lt;C19),"",SUMPRODUCT((('Date Engine'!$A$7:$A$5850&gt;=C19)*('Date Engine'!$A$7:$A$5850&lt;=D19)*'Date Engine'!$G$7:$G$5850)))</x:f>
      </x:c>
      <x:c r="AA19" s="325" t="str">
        <x:f>IFERROR(SUMPRODUCT((('Date Engine'!$A$7:$A$5850&gt;=C19)*('Date Engine'!$A$7:$A$5850&lt;=D19)*'Date Engine'!$G$7:$G$5850)*'Date Engine'!$H$7:$H$5850)/SUMPRODUCT((('Date Engine'!$A$7:$A$5850&gt;=C19)*('Date Engine'!$A$7:$A$5850&lt;=D19)*'Date Engine'!$G$7:$G$5850)),"")</x:f>
      </x:c>
      <x:c r="AB19" s="325" t="str">
        <x:f>IF(AA19="","",MIN(1,AA19*$B$3))</x:f>
      </x:c>
      <x:c r="AC19" s="325" t="n">
        <x:f>IF($D$3&lt;&gt;"",$D$3,IFERROR(SUMPRODUCT((('Date Engine'!$A$7:$A$5850&gt;=C19)*('Date Engine'!$A$7:$A$5850&lt;=D19)*'Date Engine'!$G$7:$G$5850)*'Date Engine'!$J$7:$J$5850)/SUMPRODUCT((('Date Engine'!$A$7:$A$5850&gt;=C19)*('Date Engine'!$A$7:$A$5850&lt;=D19)*'Date Engine'!$G$7:$G$5850)),0))</x:f>
        <x:v>0</x:v>
      </x:c>
      <x:c r="AD19" s="325" t="str">
        <x:f>IF(OR(AB19="",J19="",M19="",Y19=""),"",AB19*J19*M19*Y19)</x:f>
      </x:c>
      <x:c r="AE19" s="325" t="str">
        <x:f>IF(OR(AB19="",P19="",Y19=""),"",AB19*P19*Y19)</x:f>
      </x:c>
      <x:c r="AF19" s="325" t="str">
        <x:f>IF(OR(S19="",V19="",Y19=""),"",AC19*S19*V19*Y19)</x:f>
      </x:c>
      <x:c r="AG19" s="325" t="str">
        <x:f>IF(A19="","",MIN(1,AD19+AE19+AF19))</x:f>
      </x:c>
      <x:c r="AH19" s="329" t="str">
        <x:f>IF(A19="","",(F19+G19)*AG19)</x:f>
      </x:c>
      <x:c r="AI19" s="327" t="str">
        <x:f>IF(OR(A19="",Z19=""),"",Z19*AG19)</x:f>
      </x:c>
      <x:c r="AJ19" s="327" t="str">
        <x:f>IF(A19="","",IF(E19="Yes",AI19,0))</x:f>
      </x:c>
      <x:c r="AK19" s="322" t="str">
        <x:f>IF(A19="","",IF(OR(C19&lt;DATE(2025,1,1),D19&gt;DATE(2040,12,31),D19&lt;C19),"RED - date input",IF(AND(S19&gt;=20%,AC19=0),"RED - wind input",IF($B$3&lt;&gt;1,"AMBER - local factor requires basis","AMBER - task factors uncalibrated"))))</x:f>
      </x:c>
      <x:c r="AL19" s="321"/>
    </x:row>
    <x:row r="20">
      <x:c r="A20" s="321"/>
      <x:c r="B20" s="322" t="str">
        <x:f>IF(A20="","",INDEX('Task Library'!$B$7:$B$45,MATCH(A20,'Task Library'!$A$7:$A$45,0)))</x:f>
      </x:c>
      <x:c r="C20" s="323"/>
      <x:c r="D20" s="323"/>
      <x:c r="E20" s="321" t="str">
        <x:v>No</x:v>
      </x:c>
      <x:c r="F20" s="324"/>
      <x:c r="G20" s="324"/>
      <x:c r="H20" s="325" t="str">
        <x:f>IF(A20="","",INDEX('Task Library'!$C$7:$C$45,MATCH(A20,'Task Library'!$A$7:$A$45,0)))</x:f>
      </x:c>
      <x:c r="I20" s="326"/>
      <x:c r="J20" s="325" t="str">
        <x:f>IF(H20="","",IF(I20="",H20,I20))</x:f>
      </x:c>
      <x:c r="K20" s="325" t="str">
        <x:f>IF(A20="","",INDEX('Task Library'!$D$7:$D$45,MATCH(A20,'Task Library'!$A$7:$A$45,0)))</x:f>
      </x:c>
      <x:c r="L20" s="326"/>
      <x:c r="M20" s="325" t="str">
        <x:f>IF(K20="","",IF(L20="",K20,L20))</x:f>
      </x:c>
      <x:c r="N20" s="327" t="str">
        <x:f>IF(A20="","",INDEX('Task Library'!$E$7:$E$45,MATCH(A20,'Task Library'!$A$7:$A$45,0)))</x:f>
      </x:c>
      <x:c r="O20" s="328"/>
      <x:c r="P20" s="327" t="str">
        <x:f>IF(N20="","",IF(O20="",N20,O20))</x:f>
      </x:c>
      <x:c r="Q20" s="325" t="str">
        <x:f>IF(A20="","",INDEX('Task Library'!$F$7:$F$45,MATCH(A20,'Task Library'!$A$7:$A$45,0)))</x:f>
      </x:c>
      <x:c r="R20" s="326"/>
      <x:c r="S20" s="325" t="str">
        <x:f>IF(Q20="","",IF(R20="",Q20,R20))</x:f>
      </x:c>
      <x:c r="T20" s="325" t="str">
        <x:f>IF(A20="","",INDEX('Task Library'!$G$7:$G$45,MATCH(A20,'Task Library'!$A$7:$A$45,0)))</x:f>
      </x:c>
      <x:c r="U20" s="326"/>
      <x:c r="V20" s="325" t="str">
        <x:f>IF(T20="","",IF(U20="",T20,U20))</x:f>
      </x:c>
      <x:c r="W20" s="325" t="str">
        <x:f>IF(A20="","",INDEX('Task Library'!$H$7:$H$45,MATCH(A20,'Task Library'!$A$7:$A$45,0)))</x:f>
      </x:c>
      <x:c r="X20" s="326"/>
      <x:c r="Y20" s="325" t="str">
        <x:f>IF(W20="","",IF(X20="",W20,X20))</x:f>
      </x:c>
      <x:c r="Z20" s="327" t="str">
        <x:f>IF(OR(C20="",D20="",D20&lt;C20),"",SUMPRODUCT((('Date Engine'!$A$7:$A$5850&gt;=C20)*('Date Engine'!$A$7:$A$5850&lt;=D20)*'Date Engine'!$G$7:$G$5850)))</x:f>
      </x:c>
      <x:c r="AA20" s="325" t="str">
        <x:f>IFERROR(SUMPRODUCT((('Date Engine'!$A$7:$A$5850&gt;=C20)*('Date Engine'!$A$7:$A$5850&lt;=D20)*'Date Engine'!$G$7:$G$5850)*'Date Engine'!$H$7:$H$5850)/SUMPRODUCT((('Date Engine'!$A$7:$A$5850&gt;=C20)*('Date Engine'!$A$7:$A$5850&lt;=D20)*'Date Engine'!$G$7:$G$5850)),"")</x:f>
      </x:c>
      <x:c r="AB20" s="325" t="str">
        <x:f>IF(AA20="","",MIN(1,AA20*$B$3))</x:f>
      </x:c>
      <x:c r="AC20" s="325" t="n">
        <x:f>IF($D$3&lt;&gt;"",$D$3,IFERROR(SUMPRODUCT((('Date Engine'!$A$7:$A$5850&gt;=C20)*('Date Engine'!$A$7:$A$5850&lt;=D20)*'Date Engine'!$G$7:$G$5850)*'Date Engine'!$J$7:$J$5850)/SUMPRODUCT((('Date Engine'!$A$7:$A$5850&gt;=C20)*('Date Engine'!$A$7:$A$5850&lt;=D20)*'Date Engine'!$G$7:$G$5850)),0))</x:f>
        <x:v>0</x:v>
      </x:c>
      <x:c r="AD20" s="325" t="str">
        <x:f>IF(OR(AB20="",J20="",M20="",Y20=""),"",AB20*J20*M20*Y20)</x:f>
      </x:c>
      <x:c r="AE20" s="325" t="str">
        <x:f>IF(OR(AB20="",P20="",Y20=""),"",AB20*P20*Y20)</x:f>
      </x:c>
      <x:c r="AF20" s="325" t="str">
        <x:f>IF(OR(S20="",V20="",Y20=""),"",AC20*S20*V20*Y20)</x:f>
      </x:c>
      <x:c r="AG20" s="325" t="str">
        <x:f>IF(A20="","",MIN(1,AD20+AE20+AF20))</x:f>
      </x:c>
      <x:c r="AH20" s="329" t="str">
        <x:f>IF(A20="","",(F20+G20)*AG20)</x:f>
      </x:c>
      <x:c r="AI20" s="327" t="str">
        <x:f>IF(OR(A20="",Z20=""),"",Z20*AG20)</x:f>
      </x:c>
      <x:c r="AJ20" s="327" t="str">
        <x:f>IF(A20="","",IF(E20="Yes",AI20,0))</x:f>
      </x:c>
      <x:c r="AK20" s="322" t="str">
        <x:f>IF(A20="","",IF(OR(C20&lt;DATE(2025,1,1),D20&gt;DATE(2040,12,31),D20&lt;C20),"RED - date input",IF(AND(S20&gt;=20%,AC20=0),"RED - wind input",IF($B$3&lt;&gt;1,"AMBER - local factor requires basis","AMBER - task factors uncalibrated"))))</x:f>
      </x:c>
      <x:c r="AL20" s="321"/>
    </x:row>
    <x:row r="21">
      <x:c r="A21" s="321"/>
      <x:c r="B21" s="322" t="str">
        <x:f>IF(A21="","",INDEX('Task Library'!$B$7:$B$45,MATCH(A21,'Task Library'!$A$7:$A$45,0)))</x:f>
      </x:c>
      <x:c r="C21" s="323"/>
      <x:c r="D21" s="323"/>
      <x:c r="E21" s="321" t="str">
        <x:v>No</x:v>
      </x:c>
      <x:c r="F21" s="324"/>
      <x:c r="G21" s="324"/>
      <x:c r="H21" s="325" t="str">
        <x:f>IF(A21="","",INDEX('Task Library'!$C$7:$C$45,MATCH(A21,'Task Library'!$A$7:$A$45,0)))</x:f>
      </x:c>
      <x:c r="I21" s="326"/>
      <x:c r="J21" s="325" t="str">
        <x:f>IF(H21="","",IF(I21="",H21,I21))</x:f>
      </x:c>
      <x:c r="K21" s="325" t="str">
        <x:f>IF(A21="","",INDEX('Task Library'!$D$7:$D$45,MATCH(A21,'Task Library'!$A$7:$A$45,0)))</x:f>
      </x:c>
      <x:c r="L21" s="326"/>
      <x:c r="M21" s="325" t="str">
        <x:f>IF(K21="","",IF(L21="",K21,L21))</x:f>
      </x:c>
      <x:c r="N21" s="327" t="str">
        <x:f>IF(A21="","",INDEX('Task Library'!$E$7:$E$45,MATCH(A21,'Task Library'!$A$7:$A$45,0)))</x:f>
      </x:c>
      <x:c r="O21" s="328"/>
      <x:c r="P21" s="327" t="str">
        <x:f>IF(N21="","",IF(O21="",N21,O21))</x:f>
      </x:c>
      <x:c r="Q21" s="325" t="str">
        <x:f>IF(A21="","",INDEX('Task Library'!$F$7:$F$45,MATCH(A21,'Task Library'!$A$7:$A$45,0)))</x:f>
      </x:c>
      <x:c r="R21" s="326"/>
      <x:c r="S21" s="325" t="str">
        <x:f>IF(Q21="","",IF(R21="",Q21,R21))</x:f>
      </x:c>
      <x:c r="T21" s="325" t="str">
        <x:f>IF(A21="","",INDEX('Task Library'!$G$7:$G$45,MATCH(A21,'Task Library'!$A$7:$A$45,0)))</x:f>
      </x:c>
      <x:c r="U21" s="326"/>
      <x:c r="V21" s="325" t="str">
        <x:f>IF(T21="","",IF(U21="",T21,U21))</x:f>
      </x:c>
      <x:c r="W21" s="325" t="str">
        <x:f>IF(A21="","",INDEX('Task Library'!$H$7:$H$45,MATCH(A21,'Task Library'!$A$7:$A$45,0)))</x:f>
      </x:c>
      <x:c r="X21" s="326"/>
      <x:c r="Y21" s="325" t="str">
        <x:f>IF(W21="","",IF(X21="",W21,X21))</x:f>
      </x:c>
      <x:c r="Z21" s="327" t="str">
        <x:f>IF(OR(C21="",D21="",D21&lt;C21),"",SUMPRODUCT((('Date Engine'!$A$7:$A$5850&gt;=C21)*('Date Engine'!$A$7:$A$5850&lt;=D21)*'Date Engine'!$G$7:$G$5850)))</x:f>
      </x:c>
      <x:c r="AA21" s="325" t="str">
        <x:f>IFERROR(SUMPRODUCT((('Date Engine'!$A$7:$A$5850&gt;=C21)*('Date Engine'!$A$7:$A$5850&lt;=D21)*'Date Engine'!$G$7:$G$5850)*'Date Engine'!$H$7:$H$5850)/SUMPRODUCT((('Date Engine'!$A$7:$A$5850&gt;=C21)*('Date Engine'!$A$7:$A$5850&lt;=D21)*'Date Engine'!$G$7:$G$5850)),"")</x:f>
      </x:c>
      <x:c r="AB21" s="325" t="str">
        <x:f>IF(AA21="","",MIN(1,AA21*$B$3))</x:f>
      </x:c>
      <x:c r="AC21" s="325" t="n">
        <x:f>IF($D$3&lt;&gt;"",$D$3,IFERROR(SUMPRODUCT((('Date Engine'!$A$7:$A$5850&gt;=C21)*('Date Engine'!$A$7:$A$5850&lt;=D21)*'Date Engine'!$G$7:$G$5850)*'Date Engine'!$J$7:$J$5850)/SUMPRODUCT((('Date Engine'!$A$7:$A$5850&gt;=C21)*('Date Engine'!$A$7:$A$5850&lt;=D21)*'Date Engine'!$G$7:$G$5850)),0))</x:f>
        <x:v>0</x:v>
      </x:c>
      <x:c r="AD21" s="325" t="str">
        <x:f>IF(OR(AB21="",J21="",M21="",Y21=""),"",AB21*J21*M21*Y21)</x:f>
      </x:c>
      <x:c r="AE21" s="325" t="str">
        <x:f>IF(OR(AB21="",P21="",Y21=""),"",AB21*P21*Y21)</x:f>
      </x:c>
      <x:c r="AF21" s="325" t="str">
        <x:f>IF(OR(S21="",V21="",Y21=""),"",AC21*S21*V21*Y21)</x:f>
      </x:c>
      <x:c r="AG21" s="325" t="str">
        <x:f>IF(A21="","",MIN(1,AD21+AE21+AF21))</x:f>
      </x:c>
      <x:c r="AH21" s="329" t="str">
        <x:f>IF(A21="","",(F21+G21)*AG21)</x:f>
      </x:c>
      <x:c r="AI21" s="327" t="str">
        <x:f>IF(OR(A21="",Z21=""),"",Z21*AG21)</x:f>
      </x:c>
      <x:c r="AJ21" s="327" t="str">
        <x:f>IF(A21="","",IF(E21="Yes",AI21,0))</x:f>
      </x:c>
      <x:c r="AK21" s="322" t="str">
        <x:f>IF(A21="","",IF(OR(C21&lt;DATE(2025,1,1),D21&gt;DATE(2040,12,31),D21&lt;C21),"RED - date input",IF(AND(S21&gt;=20%,AC21=0),"RED - wind input",IF($B$3&lt;&gt;1,"AMBER - local factor requires basis","AMBER - task factors uncalibrated"))))</x:f>
      </x:c>
      <x:c r="AL21" s="321"/>
    </x:row>
    <x:row r="22">
      <x:c r="A22" s="321"/>
      <x:c r="B22" s="322" t="str">
        <x:f>IF(A22="","",INDEX('Task Library'!$B$7:$B$45,MATCH(A22,'Task Library'!$A$7:$A$45,0)))</x:f>
      </x:c>
      <x:c r="C22" s="323"/>
      <x:c r="D22" s="323"/>
      <x:c r="E22" s="321" t="str">
        <x:v>No</x:v>
      </x:c>
      <x:c r="F22" s="324"/>
      <x:c r="G22" s="324"/>
      <x:c r="H22" s="325" t="str">
        <x:f>IF(A22="","",INDEX('Task Library'!$C$7:$C$45,MATCH(A22,'Task Library'!$A$7:$A$45,0)))</x:f>
      </x:c>
      <x:c r="I22" s="326"/>
      <x:c r="J22" s="325" t="str">
        <x:f>IF(H22="","",IF(I22="",H22,I22))</x:f>
      </x:c>
      <x:c r="K22" s="325" t="str">
        <x:f>IF(A22="","",INDEX('Task Library'!$D$7:$D$45,MATCH(A22,'Task Library'!$A$7:$A$45,0)))</x:f>
      </x:c>
      <x:c r="L22" s="326"/>
      <x:c r="M22" s="325" t="str">
        <x:f>IF(K22="","",IF(L22="",K22,L22))</x:f>
      </x:c>
      <x:c r="N22" s="327" t="str">
        <x:f>IF(A22="","",INDEX('Task Library'!$E$7:$E$45,MATCH(A22,'Task Library'!$A$7:$A$45,0)))</x:f>
      </x:c>
      <x:c r="O22" s="328"/>
      <x:c r="P22" s="327" t="str">
        <x:f>IF(N22="","",IF(O22="",N22,O22))</x:f>
      </x:c>
      <x:c r="Q22" s="325" t="str">
        <x:f>IF(A22="","",INDEX('Task Library'!$F$7:$F$45,MATCH(A22,'Task Library'!$A$7:$A$45,0)))</x:f>
      </x:c>
      <x:c r="R22" s="326"/>
      <x:c r="S22" s="325" t="str">
        <x:f>IF(Q22="","",IF(R22="",Q22,R22))</x:f>
      </x:c>
      <x:c r="T22" s="325" t="str">
        <x:f>IF(A22="","",INDEX('Task Library'!$G$7:$G$45,MATCH(A22,'Task Library'!$A$7:$A$45,0)))</x:f>
      </x:c>
      <x:c r="U22" s="326"/>
      <x:c r="V22" s="325" t="str">
        <x:f>IF(T22="","",IF(U22="",T22,U22))</x:f>
      </x:c>
      <x:c r="W22" s="325" t="str">
        <x:f>IF(A22="","",INDEX('Task Library'!$H$7:$H$45,MATCH(A22,'Task Library'!$A$7:$A$45,0)))</x:f>
      </x:c>
      <x:c r="X22" s="326"/>
      <x:c r="Y22" s="325" t="str">
        <x:f>IF(W22="","",IF(X22="",W22,X22))</x:f>
      </x:c>
      <x:c r="Z22" s="327" t="str">
        <x:f>IF(OR(C22="",D22="",D22&lt;C22),"",SUMPRODUCT((('Date Engine'!$A$7:$A$5850&gt;=C22)*('Date Engine'!$A$7:$A$5850&lt;=D22)*'Date Engine'!$G$7:$G$5850)))</x:f>
      </x:c>
      <x:c r="AA22" s="325" t="str">
        <x:f>IFERROR(SUMPRODUCT((('Date Engine'!$A$7:$A$5850&gt;=C22)*('Date Engine'!$A$7:$A$5850&lt;=D22)*'Date Engine'!$G$7:$G$5850)*'Date Engine'!$H$7:$H$5850)/SUMPRODUCT((('Date Engine'!$A$7:$A$5850&gt;=C22)*('Date Engine'!$A$7:$A$5850&lt;=D22)*'Date Engine'!$G$7:$G$5850)),"")</x:f>
      </x:c>
      <x:c r="AB22" s="325" t="str">
        <x:f>IF(AA22="","",MIN(1,AA22*$B$3))</x:f>
      </x:c>
      <x:c r="AC22" s="325" t="n">
        <x:f>IF($D$3&lt;&gt;"",$D$3,IFERROR(SUMPRODUCT((('Date Engine'!$A$7:$A$5850&gt;=C22)*('Date Engine'!$A$7:$A$5850&lt;=D22)*'Date Engine'!$G$7:$G$5850)*'Date Engine'!$J$7:$J$5850)/SUMPRODUCT((('Date Engine'!$A$7:$A$5850&gt;=C22)*('Date Engine'!$A$7:$A$5850&lt;=D22)*'Date Engine'!$G$7:$G$5850)),0))</x:f>
        <x:v>0</x:v>
      </x:c>
      <x:c r="AD22" s="325" t="str">
        <x:f>IF(OR(AB22="",J22="",M22="",Y22=""),"",AB22*J22*M22*Y22)</x:f>
      </x:c>
      <x:c r="AE22" s="325" t="str">
        <x:f>IF(OR(AB22="",P22="",Y22=""),"",AB22*P22*Y22)</x:f>
      </x:c>
      <x:c r="AF22" s="325" t="str">
        <x:f>IF(OR(S22="",V22="",Y22=""),"",AC22*S22*V22*Y22)</x:f>
      </x:c>
      <x:c r="AG22" s="325" t="str">
        <x:f>IF(A22="","",MIN(1,AD22+AE22+AF22))</x:f>
      </x:c>
      <x:c r="AH22" s="329" t="str">
        <x:f>IF(A22="","",(F22+G22)*AG22)</x:f>
      </x:c>
      <x:c r="AI22" s="327" t="str">
        <x:f>IF(OR(A22="",Z22=""),"",Z22*AG22)</x:f>
      </x:c>
      <x:c r="AJ22" s="327" t="str">
        <x:f>IF(A22="","",IF(E22="Yes",AI22,0))</x:f>
      </x:c>
      <x:c r="AK22" s="322" t="str">
        <x:f>IF(A22="","",IF(OR(C22&lt;DATE(2025,1,1),D22&gt;DATE(2040,12,31),D22&lt;C22),"RED - date input",IF(AND(S22&gt;=20%,AC22=0),"RED - wind input",IF($B$3&lt;&gt;1,"AMBER - local factor requires basis","AMBER - task factors uncalibrated"))))</x:f>
      </x:c>
      <x:c r="AL22" s="321"/>
    </x:row>
    <x:row r="23">
      <x:c r="A23" s="321"/>
      <x:c r="B23" s="322" t="str">
        <x:f>IF(A23="","",INDEX('Task Library'!$B$7:$B$45,MATCH(A23,'Task Library'!$A$7:$A$45,0)))</x:f>
      </x:c>
      <x:c r="C23" s="323"/>
      <x:c r="D23" s="323"/>
      <x:c r="E23" s="321" t="str">
        <x:v>No</x:v>
      </x:c>
      <x:c r="F23" s="324"/>
      <x:c r="G23" s="324"/>
      <x:c r="H23" s="325" t="str">
        <x:f>IF(A23="","",INDEX('Task Library'!$C$7:$C$45,MATCH(A23,'Task Library'!$A$7:$A$45,0)))</x:f>
      </x:c>
      <x:c r="I23" s="326"/>
      <x:c r="J23" s="325" t="str">
        <x:f>IF(H23="","",IF(I23="",H23,I23))</x:f>
      </x:c>
      <x:c r="K23" s="325" t="str">
        <x:f>IF(A23="","",INDEX('Task Library'!$D$7:$D$45,MATCH(A23,'Task Library'!$A$7:$A$45,0)))</x:f>
      </x:c>
      <x:c r="L23" s="326"/>
      <x:c r="M23" s="325" t="str">
        <x:f>IF(K23="","",IF(L23="",K23,L23))</x:f>
      </x:c>
      <x:c r="N23" s="327" t="str">
        <x:f>IF(A23="","",INDEX('Task Library'!$E$7:$E$45,MATCH(A23,'Task Library'!$A$7:$A$45,0)))</x:f>
      </x:c>
      <x:c r="O23" s="328"/>
      <x:c r="P23" s="327" t="str">
        <x:f>IF(N23="","",IF(O23="",N23,O23))</x:f>
      </x:c>
      <x:c r="Q23" s="325" t="str">
        <x:f>IF(A23="","",INDEX('Task Library'!$F$7:$F$45,MATCH(A23,'Task Library'!$A$7:$A$45,0)))</x:f>
      </x:c>
      <x:c r="R23" s="326"/>
      <x:c r="S23" s="325" t="str">
        <x:f>IF(Q23="","",IF(R23="",Q23,R23))</x:f>
      </x:c>
      <x:c r="T23" s="325" t="str">
        <x:f>IF(A23="","",INDEX('Task Library'!$G$7:$G$45,MATCH(A23,'Task Library'!$A$7:$A$45,0)))</x:f>
      </x:c>
      <x:c r="U23" s="326"/>
      <x:c r="V23" s="325" t="str">
        <x:f>IF(T23="","",IF(U23="",T23,U23))</x:f>
      </x:c>
      <x:c r="W23" s="325" t="str">
        <x:f>IF(A23="","",INDEX('Task Library'!$H$7:$H$45,MATCH(A23,'Task Library'!$A$7:$A$45,0)))</x:f>
      </x:c>
      <x:c r="X23" s="326"/>
      <x:c r="Y23" s="325" t="str">
        <x:f>IF(W23="","",IF(X23="",W23,X23))</x:f>
      </x:c>
      <x:c r="Z23" s="327" t="str">
        <x:f>IF(OR(C23="",D23="",D23&lt;C23),"",SUMPRODUCT((('Date Engine'!$A$7:$A$5850&gt;=C23)*('Date Engine'!$A$7:$A$5850&lt;=D23)*'Date Engine'!$G$7:$G$5850)))</x:f>
      </x:c>
      <x:c r="AA23" s="325" t="str">
        <x:f>IFERROR(SUMPRODUCT((('Date Engine'!$A$7:$A$5850&gt;=C23)*('Date Engine'!$A$7:$A$5850&lt;=D23)*'Date Engine'!$G$7:$G$5850)*'Date Engine'!$H$7:$H$5850)/SUMPRODUCT((('Date Engine'!$A$7:$A$5850&gt;=C23)*('Date Engine'!$A$7:$A$5850&lt;=D23)*'Date Engine'!$G$7:$G$5850)),"")</x:f>
      </x:c>
      <x:c r="AB23" s="325" t="str">
        <x:f>IF(AA23="","",MIN(1,AA23*$B$3))</x:f>
      </x:c>
      <x:c r="AC23" s="325" t="n">
        <x:f>IF($D$3&lt;&gt;"",$D$3,IFERROR(SUMPRODUCT((('Date Engine'!$A$7:$A$5850&gt;=C23)*('Date Engine'!$A$7:$A$5850&lt;=D23)*'Date Engine'!$G$7:$G$5850)*'Date Engine'!$J$7:$J$5850)/SUMPRODUCT((('Date Engine'!$A$7:$A$5850&gt;=C23)*('Date Engine'!$A$7:$A$5850&lt;=D23)*'Date Engine'!$G$7:$G$5850)),0))</x:f>
        <x:v>0</x:v>
      </x:c>
      <x:c r="AD23" s="325" t="str">
        <x:f>IF(OR(AB23="",J23="",M23="",Y23=""),"",AB23*J23*M23*Y23)</x:f>
      </x:c>
      <x:c r="AE23" s="325" t="str">
        <x:f>IF(OR(AB23="",P23="",Y23=""),"",AB23*P23*Y23)</x:f>
      </x:c>
      <x:c r="AF23" s="325" t="str">
        <x:f>IF(OR(S23="",V23="",Y23=""),"",AC23*S23*V23*Y23)</x:f>
      </x:c>
      <x:c r="AG23" s="325" t="str">
        <x:f>IF(A23="","",MIN(1,AD23+AE23+AF23))</x:f>
      </x:c>
      <x:c r="AH23" s="329" t="str">
        <x:f>IF(A23="","",(F23+G23)*AG23)</x:f>
      </x:c>
      <x:c r="AI23" s="327" t="str">
        <x:f>IF(OR(A23="",Z23=""),"",Z23*AG23)</x:f>
      </x:c>
      <x:c r="AJ23" s="327" t="str">
        <x:f>IF(A23="","",IF(E23="Yes",AI23,0))</x:f>
      </x:c>
      <x:c r="AK23" s="322" t="str">
        <x:f>IF(A23="","",IF(OR(C23&lt;DATE(2025,1,1),D23&gt;DATE(2040,12,31),D23&lt;C23),"RED - date input",IF(AND(S23&gt;=20%,AC23=0),"RED - wind input",IF($B$3&lt;&gt;1,"AMBER - local factor requires basis","AMBER - task factors uncalibrated"))))</x:f>
      </x:c>
      <x:c r="AL23" s="321"/>
    </x:row>
    <x:row r="24">
      <x:c r="A24" s="321"/>
      <x:c r="B24" s="322" t="str">
        <x:f>IF(A24="","",INDEX('Task Library'!$B$7:$B$45,MATCH(A24,'Task Library'!$A$7:$A$45,0)))</x:f>
      </x:c>
      <x:c r="C24" s="323"/>
      <x:c r="D24" s="323"/>
      <x:c r="E24" s="321" t="str">
        <x:v>No</x:v>
      </x:c>
      <x:c r="F24" s="324"/>
      <x:c r="G24" s="324"/>
      <x:c r="H24" s="325" t="str">
        <x:f>IF(A24="","",INDEX('Task Library'!$C$7:$C$45,MATCH(A24,'Task Library'!$A$7:$A$45,0)))</x:f>
      </x:c>
      <x:c r="I24" s="326"/>
      <x:c r="J24" s="325" t="str">
        <x:f>IF(H24="","",IF(I24="",H24,I24))</x:f>
      </x:c>
      <x:c r="K24" s="325" t="str">
        <x:f>IF(A24="","",INDEX('Task Library'!$D$7:$D$45,MATCH(A24,'Task Library'!$A$7:$A$45,0)))</x:f>
      </x:c>
      <x:c r="L24" s="326"/>
      <x:c r="M24" s="325" t="str">
        <x:f>IF(K24="","",IF(L24="",K24,L24))</x:f>
      </x:c>
      <x:c r="N24" s="327" t="str">
        <x:f>IF(A24="","",INDEX('Task Library'!$E$7:$E$45,MATCH(A24,'Task Library'!$A$7:$A$45,0)))</x:f>
      </x:c>
      <x:c r="O24" s="328"/>
      <x:c r="P24" s="327" t="str">
        <x:f>IF(N24="","",IF(O24="",N24,O24))</x:f>
      </x:c>
      <x:c r="Q24" s="325" t="str">
        <x:f>IF(A24="","",INDEX('Task Library'!$F$7:$F$45,MATCH(A24,'Task Library'!$A$7:$A$45,0)))</x:f>
      </x:c>
      <x:c r="R24" s="326"/>
      <x:c r="S24" s="325" t="str">
        <x:f>IF(Q24="","",IF(R24="",Q24,R24))</x:f>
      </x:c>
      <x:c r="T24" s="325" t="str">
        <x:f>IF(A24="","",INDEX('Task Library'!$G$7:$G$45,MATCH(A24,'Task Library'!$A$7:$A$45,0)))</x:f>
      </x:c>
      <x:c r="U24" s="326"/>
      <x:c r="V24" s="325" t="str">
        <x:f>IF(T24="","",IF(U24="",T24,U24))</x:f>
      </x:c>
      <x:c r="W24" s="325" t="str">
        <x:f>IF(A24="","",INDEX('Task Library'!$H$7:$H$45,MATCH(A24,'Task Library'!$A$7:$A$45,0)))</x:f>
      </x:c>
      <x:c r="X24" s="326"/>
      <x:c r="Y24" s="325" t="str">
        <x:f>IF(W24="","",IF(X24="",W24,X24))</x:f>
      </x:c>
      <x:c r="Z24" s="327" t="str">
        <x:f>IF(OR(C24="",D24="",D24&lt;C24),"",SUMPRODUCT((('Date Engine'!$A$7:$A$5850&gt;=C24)*('Date Engine'!$A$7:$A$5850&lt;=D24)*'Date Engine'!$G$7:$G$5850)))</x:f>
      </x:c>
      <x:c r="AA24" s="325" t="str">
        <x:f>IFERROR(SUMPRODUCT((('Date Engine'!$A$7:$A$5850&gt;=C24)*('Date Engine'!$A$7:$A$5850&lt;=D24)*'Date Engine'!$G$7:$G$5850)*'Date Engine'!$H$7:$H$5850)/SUMPRODUCT((('Date Engine'!$A$7:$A$5850&gt;=C24)*('Date Engine'!$A$7:$A$5850&lt;=D24)*'Date Engine'!$G$7:$G$5850)),"")</x:f>
      </x:c>
      <x:c r="AB24" s="325" t="str">
        <x:f>IF(AA24="","",MIN(1,AA24*$B$3))</x:f>
      </x:c>
      <x:c r="AC24" s="325" t="n">
        <x:f>IF($D$3&lt;&gt;"",$D$3,IFERROR(SUMPRODUCT((('Date Engine'!$A$7:$A$5850&gt;=C24)*('Date Engine'!$A$7:$A$5850&lt;=D24)*'Date Engine'!$G$7:$G$5850)*'Date Engine'!$J$7:$J$5850)/SUMPRODUCT((('Date Engine'!$A$7:$A$5850&gt;=C24)*('Date Engine'!$A$7:$A$5850&lt;=D24)*'Date Engine'!$G$7:$G$5850)),0))</x:f>
        <x:v>0</x:v>
      </x:c>
      <x:c r="AD24" s="325" t="str">
        <x:f>IF(OR(AB24="",J24="",M24="",Y24=""),"",AB24*J24*M24*Y24)</x:f>
      </x:c>
      <x:c r="AE24" s="325" t="str">
        <x:f>IF(OR(AB24="",P24="",Y24=""),"",AB24*P24*Y24)</x:f>
      </x:c>
      <x:c r="AF24" s="325" t="str">
        <x:f>IF(OR(S24="",V24="",Y24=""),"",AC24*S24*V24*Y24)</x:f>
      </x:c>
      <x:c r="AG24" s="325" t="str">
        <x:f>IF(A24="","",MIN(1,AD24+AE24+AF24))</x:f>
      </x:c>
      <x:c r="AH24" s="329" t="str">
        <x:f>IF(A24="","",(F24+G24)*AG24)</x:f>
      </x:c>
      <x:c r="AI24" s="327" t="str">
        <x:f>IF(OR(A24="",Z24=""),"",Z24*AG24)</x:f>
      </x:c>
      <x:c r="AJ24" s="327" t="str">
        <x:f>IF(A24="","",IF(E24="Yes",AI24,0))</x:f>
      </x:c>
      <x:c r="AK24" s="322" t="str">
        <x:f>IF(A24="","",IF(OR(C24&lt;DATE(2025,1,1),D24&gt;DATE(2040,12,31),D24&lt;C24),"RED - date input",IF(AND(S24&gt;=20%,AC24=0),"RED - wind input",IF($B$3&lt;&gt;1,"AMBER - local factor requires basis","AMBER - task factors uncalibrated"))))</x:f>
      </x:c>
      <x:c r="AL24" s="321"/>
    </x:row>
    <x:row r="25">
      <x:c r="A25" s="321"/>
      <x:c r="B25" s="322" t="str">
        <x:f>IF(A25="","",INDEX('Task Library'!$B$7:$B$45,MATCH(A25,'Task Library'!$A$7:$A$45,0)))</x:f>
      </x:c>
      <x:c r="C25" s="323"/>
      <x:c r="D25" s="323"/>
      <x:c r="E25" s="321" t="str">
        <x:v>No</x:v>
      </x:c>
      <x:c r="F25" s="324"/>
      <x:c r="G25" s="324"/>
      <x:c r="H25" s="325" t="str">
        <x:f>IF(A25="","",INDEX('Task Library'!$C$7:$C$45,MATCH(A25,'Task Library'!$A$7:$A$45,0)))</x:f>
      </x:c>
      <x:c r="I25" s="326"/>
      <x:c r="J25" s="325" t="str">
        <x:f>IF(H25="","",IF(I25="",H25,I25))</x:f>
      </x:c>
      <x:c r="K25" s="325" t="str">
        <x:f>IF(A25="","",INDEX('Task Library'!$D$7:$D$45,MATCH(A25,'Task Library'!$A$7:$A$45,0)))</x:f>
      </x:c>
      <x:c r="L25" s="326"/>
      <x:c r="M25" s="325" t="str">
        <x:f>IF(K25="","",IF(L25="",K25,L25))</x:f>
      </x:c>
      <x:c r="N25" s="327" t="str">
        <x:f>IF(A25="","",INDEX('Task Library'!$E$7:$E$45,MATCH(A25,'Task Library'!$A$7:$A$45,0)))</x:f>
      </x:c>
      <x:c r="O25" s="328"/>
      <x:c r="P25" s="327" t="str">
        <x:f>IF(N25="","",IF(O25="",N25,O25))</x:f>
      </x:c>
      <x:c r="Q25" s="325" t="str">
        <x:f>IF(A25="","",INDEX('Task Library'!$F$7:$F$45,MATCH(A25,'Task Library'!$A$7:$A$45,0)))</x:f>
      </x:c>
      <x:c r="R25" s="326"/>
      <x:c r="S25" s="325" t="str">
        <x:f>IF(Q25="","",IF(R25="",Q25,R25))</x:f>
      </x:c>
      <x:c r="T25" s="325" t="str">
        <x:f>IF(A25="","",INDEX('Task Library'!$G$7:$G$45,MATCH(A25,'Task Library'!$A$7:$A$45,0)))</x:f>
      </x:c>
      <x:c r="U25" s="326"/>
      <x:c r="V25" s="325" t="str">
        <x:f>IF(T25="","",IF(U25="",T25,U25))</x:f>
      </x:c>
      <x:c r="W25" s="325" t="str">
        <x:f>IF(A25="","",INDEX('Task Library'!$H$7:$H$45,MATCH(A25,'Task Library'!$A$7:$A$45,0)))</x:f>
      </x:c>
      <x:c r="X25" s="326"/>
      <x:c r="Y25" s="325" t="str">
        <x:f>IF(W25="","",IF(X25="",W25,X25))</x:f>
      </x:c>
      <x:c r="Z25" s="327" t="str">
        <x:f>IF(OR(C25="",D25="",D25&lt;C25),"",SUMPRODUCT((('Date Engine'!$A$7:$A$5850&gt;=C25)*('Date Engine'!$A$7:$A$5850&lt;=D25)*'Date Engine'!$G$7:$G$5850)))</x:f>
      </x:c>
      <x:c r="AA25" s="325" t="str">
        <x:f>IFERROR(SUMPRODUCT((('Date Engine'!$A$7:$A$5850&gt;=C25)*('Date Engine'!$A$7:$A$5850&lt;=D25)*'Date Engine'!$G$7:$G$5850)*'Date Engine'!$H$7:$H$5850)/SUMPRODUCT((('Date Engine'!$A$7:$A$5850&gt;=C25)*('Date Engine'!$A$7:$A$5850&lt;=D25)*'Date Engine'!$G$7:$G$5850)),"")</x:f>
      </x:c>
      <x:c r="AB25" s="325" t="str">
        <x:f>IF(AA25="","",MIN(1,AA25*$B$3))</x:f>
      </x:c>
      <x:c r="AC25" s="325" t="n">
        <x:f>IF($D$3&lt;&gt;"",$D$3,IFERROR(SUMPRODUCT((('Date Engine'!$A$7:$A$5850&gt;=C25)*('Date Engine'!$A$7:$A$5850&lt;=D25)*'Date Engine'!$G$7:$G$5850)*'Date Engine'!$J$7:$J$5850)/SUMPRODUCT((('Date Engine'!$A$7:$A$5850&gt;=C25)*('Date Engine'!$A$7:$A$5850&lt;=D25)*'Date Engine'!$G$7:$G$5850)),0))</x:f>
        <x:v>0</x:v>
      </x:c>
      <x:c r="AD25" s="325" t="str">
        <x:f>IF(OR(AB25="",J25="",M25="",Y25=""),"",AB25*J25*M25*Y25)</x:f>
      </x:c>
      <x:c r="AE25" s="325" t="str">
        <x:f>IF(OR(AB25="",P25="",Y25=""),"",AB25*P25*Y25)</x:f>
      </x:c>
      <x:c r="AF25" s="325" t="str">
        <x:f>IF(OR(S25="",V25="",Y25=""),"",AC25*S25*V25*Y25)</x:f>
      </x:c>
      <x:c r="AG25" s="325" t="str">
        <x:f>IF(A25="","",MIN(1,AD25+AE25+AF25))</x:f>
      </x:c>
      <x:c r="AH25" s="329" t="str">
        <x:f>IF(A25="","",(F25+G25)*AG25)</x:f>
      </x:c>
      <x:c r="AI25" s="327" t="str">
        <x:f>IF(OR(A25="",Z25=""),"",Z25*AG25)</x:f>
      </x:c>
      <x:c r="AJ25" s="327" t="str">
        <x:f>IF(A25="","",IF(E25="Yes",AI25,0))</x:f>
      </x:c>
      <x:c r="AK25" s="322" t="str">
        <x:f>IF(A25="","",IF(OR(C25&lt;DATE(2025,1,1),D25&gt;DATE(2040,12,31),D25&lt;C25),"RED - date input",IF(AND(S25&gt;=20%,AC25=0),"RED - wind input",IF($B$3&lt;&gt;1,"AMBER - local factor requires basis","AMBER - task factors uncalibrated"))))</x:f>
      </x:c>
      <x:c r="AL25" s="321"/>
    </x:row>
    <x:row r="26">
      <x:c r="A26" s="321"/>
      <x:c r="B26" s="322" t="str">
        <x:f>IF(A26="","",INDEX('Task Library'!$B$7:$B$45,MATCH(A26,'Task Library'!$A$7:$A$45,0)))</x:f>
      </x:c>
      <x:c r="C26" s="323"/>
      <x:c r="D26" s="323"/>
      <x:c r="E26" s="321" t="str">
        <x:v>No</x:v>
      </x:c>
      <x:c r="F26" s="324"/>
      <x:c r="G26" s="324"/>
      <x:c r="H26" s="325" t="str">
        <x:f>IF(A26="","",INDEX('Task Library'!$C$7:$C$45,MATCH(A26,'Task Library'!$A$7:$A$45,0)))</x:f>
      </x:c>
      <x:c r="I26" s="326"/>
      <x:c r="J26" s="325" t="str">
        <x:f>IF(H26="","",IF(I26="",H26,I26))</x:f>
      </x:c>
      <x:c r="K26" s="325" t="str">
        <x:f>IF(A26="","",INDEX('Task Library'!$D$7:$D$45,MATCH(A26,'Task Library'!$A$7:$A$45,0)))</x:f>
      </x:c>
      <x:c r="L26" s="326"/>
      <x:c r="M26" s="325" t="str">
        <x:f>IF(K26="","",IF(L26="",K26,L26))</x:f>
      </x:c>
      <x:c r="N26" s="327" t="str">
        <x:f>IF(A26="","",INDEX('Task Library'!$E$7:$E$45,MATCH(A26,'Task Library'!$A$7:$A$45,0)))</x:f>
      </x:c>
      <x:c r="O26" s="328"/>
      <x:c r="P26" s="327" t="str">
        <x:f>IF(N26="","",IF(O26="",N26,O26))</x:f>
      </x:c>
      <x:c r="Q26" s="325" t="str">
        <x:f>IF(A26="","",INDEX('Task Library'!$F$7:$F$45,MATCH(A26,'Task Library'!$A$7:$A$45,0)))</x:f>
      </x:c>
      <x:c r="R26" s="326"/>
      <x:c r="S26" s="325" t="str">
        <x:f>IF(Q26="","",IF(R26="",Q26,R26))</x:f>
      </x:c>
      <x:c r="T26" s="325" t="str">
        <x:f>IF(A26="","",INDEX('Task Library'!$G$7:$G$45,MATCH(A26,'Task Library'!$A$7:$A$45,0)))</x:f>
      </x:c>
      <x:c r="U26" s="326"/>
      <x:c r="V26" s="325" t="str">
        <x:f>IF(T26="","",IF(U26="",T26,U26))</x:f>
      </x:c>
      <x:c r="W26" s="325" t="str">
        <x:f>IF(A26="","",INDEX('Task Library'!$H$7:$H$45,MATCH(A26,'Task Library'!$A$7:$A$45,0)))</x:f>
      </x:c>
      <x:c r="X26" s="326"/>
      <x:c r="Y26" s="325" t="str">
        <x:f>IF(W26="","",IF(X26="",W26,X26))</x:f>
      </x:c>
      <x:c r="Z26" s="327" t="str">
        <x:f>IF(OR(C26="",D26="",D26&lt;C26),"",SUMPRODUCT((('Date Engine'!$A$7:$A$5850&gt;=C26)*('Date Engine'!$A$7:$A$5850&lt;=D26)*'Date Engine'!$G$7:$G$5850)))</x:f>
      </x:c>
      <x:c r="AA26" s="325" t="str">
        <x:f>IFERROR(SUMPRODUCT((('Date Engine'!$A$7:$A$5850&gt;=C26)*('Date Engine'!$A$7:$A$5850&lt;=D26)*'Date Engine'!$G$7:$G$5850)*'Date Engine'!$H$7:$H$5850)/SUMPRODUCT((('Date Engine'!$A$7:$A$5850&gt;=C26)*('Date Engine'!$A$7:$A$5850&lt;=D26)*'Date Engine'!$G$7:$G$5850)),"")</x:f>
      </x:c>
      <x:c r="AB26" s="325" t="str">
        <x:f>IF(AA26="","",MIN(1,AA26*$B$3))</x:f>
      </x:c>
      <x:c r="AC26" s="325" t="n">
        <x:f>IF($D$3&lt;&gt;"",$D$3,IFERROR(SUMPRODUCT((('Date Engine'!$A$7:$A$5850&gt;=C26)*('Date Engine'!$A$7:$A$5850&lt;=D26)*'Date Engine'!$G$7:$G$5850)*'Date Engine'!$J$7:$J$5850)/SUMPRODUCT((('Date Engine'!$A$7:$A$5850&gt;=C26)*('Date Engine'!$A$7:$A$5850&lt;=D26)*'Date Engine'!$G$7:$G$5850)),0))</x:f>
        <x:v>0</x:v>
      </x:c>
      <x:c r="AD26" s="325" t="str">
        <x:f>IF(OR(AB26="",J26="",M26="",Y26=""),"",AB26*J26*M26*Y26)</x:f>
      </x:c>
      <x:c r="AE26" s="325" t="str">
        <x:f>IF(OR(AB26="",P26="",Y26=""),"",AB26*P26*Y26)</x:f>
      </x:c>
      <x:c r="AF26" s="325" t="str">
        <x:f>IF(OR(S26="",V26="",Y26=""),"",AC26*S26*V26*Y26)</x:f>
      </x:c>
      <x:c r="AG26" s="325" t="str">
        <x:f>IF(A26="","",MIN(1,AD26+AE26+AF26))</x:f>
      </x:c>
      <x:c r="AH26" s="329" t="str">
        <x:f>IF(A26="","",(F26+G26)*AG26)</x:f>
      </x:c>
      <x:c r="AI26" s="327" t="str">
        <x:f>IF(OR(A26="",Z26=""),"",Z26*AG26)</x:f>
      </x:c>
      <x:c r="AJ26" s="327" t="str">
        <x:f>IF(A26="","",IF(E26="Yes",AI26,0))</x:f>
      </x:c>
      <x:c r="AK26" s="322" t="str">
        <x:f>IF(A26="","",IF(OR(C26&lt;DATE(2025,1,1),D26&gt;DATE(2040,12,31),D26&lt;C26),"RED - date input",IF(AND(S26&gt;=20%,AC26=0),"RED - wind input",IF($B$3&lt;&gt;1,"AMBER - local factor requires basis","AMBER - task factors uncalibrated"))))</x:f>
      </x:c>
      <x:c r="AL26" s="321"/>
    </x:row>
    <x:row r="27">
      <x:c r="A27" s="321"/>
      <x:c r="B27" s="322" t="str">
        <x:f>IF(A27="","",INDEX('Task Library'!$B$7:$B$45,MATCH(A27,'Task Library'!$A$7:$A$45,0)))</x:f>
      </x:c>
      <x:c r="C27" s="323"/>
      <x:c r="D27" s="323"/>
      <x:c r="E27" s="321" t="str">
        <x:v>No</x:v>
      </x:c>
      <x:c r="F27" s="324"/>
      <x:c r="G27" s="324"/>
      <x:c r="H27" s="325" t="str">
        <x:f>IF(A27="","",INDEX('Task Library'!$C$7:$C$45,MATCH(A27,'Task Library'!$A$7:$A$45,0)))</x:f>
      </x:c>
      <x:c r="I27" s="326"/>
      <x:c r="J27" s="325" t="str">
        <x:f>IF(H27="","",IF(I27="",H27,I27))</x:f>
      </x:c>
      <x:c r="K27" s="325" t="str">
        <x:f>IF(A27="","",INDEX('Task Library'!$D$7:$D$45,MATCH(A27,'Task Library'!$A$7:$A$45,0)))</x:f>
      </x:c>
      <x:c r="L27" s="326"/>
      <x:c r="M27" s="325" t="str">
        <x:f>IF(K27="","",IF(L27="",K27,L27))</x:f>
      </x:c>
      <x:c r="N27" s="327" t="str">
        <x:f>IF(A27="","",INDEX('Task Library'!$E$7:$E$45,MATCH(A27,'Task Library'!$A$7:$A$45,0)))</x:f>
      </x:c>
      <x:c r="O27" s="328"/>
      <x:c r="P27" s="327" t="str">
        <x:f>IF(N27="","",IF(O27="",N27,O27))</x:f>
      </x:c>
      <x:c r="Q27" s="325" t="str">
        <x:f>IF(A27="","",INDEX('Task Library'!$F$7:$F$45,MATCH(A27,'Task Library'!$A$7:$A$45,0)))</x:f>
      </x:c>
      <x:c r="R27" s="326"/>
      <x:c r="S27" s="325" t="str">
        <x:f>IF(Q27="","",IF(R27="",Q27,R27))</x:f>
      </x:c>
      <x:c r="T27" s="325" t="str">
        <x:f>IF(A27="","",INDEX('Task Library'!$G$7:$G$45,MATCH(A27,'Task Library'!$A$7:$A$45,0)))</x:f>
      </x:c>
      <x:c r="U27" s="326"/>
      <x:c r="V27" s="325" t="str">
        <x:f>IF(T27="","",IF(U27="",T27,U27))</x:f>
      </x:c>
      <x:c r="W27" s="325" t="str">
        <x:f>IF(A27="","",INDEX('Task Library'!$H$7:$H$45,MATCH(A27,'Task Library'!$A$7:$A$45,0)))</x:f>
      </x:c>
      <x:c r="X27" s="326"/>
      <x:c r="Y27" s="325" t="str">
        <x:f>IF(W27="","",IF(X27="",W27,X27))</x:f>
      </x:c>
      <x:c r="Z27" s="327" t="str">
        <x:f>IF(OR(C27="",D27="",D27&lt;C27),"",SUMPRODUCT((('Date Engine'!$A$7:$A$5850&gt;=C27)*('Date Engine'!$A$7:$A$5850&lt;=D27)*'Date Engine'!$G$7:$G$5850)))</x:f>
      </x:c>
      <x:c r="AA27" s="325" t="str">
        <x:f>IFERROR(SUMPRODUCT((('Date Engine'!$A$7:$A$5850&gt;=C27)*('Date Engine'!$A$7:$A$5850&lt;=D27)*'Date Engine'!$G$7:$G$5850)*'Date Engine'!$H$7:$H$5850)/SUMPRODUCT((('Date Engine'!$A$7:$A$5850&gt;=C27)*('Date Engine'!$A$7:$A$5850&lt;=D27)*'Date Engine'!$G$7:$G$5850)),"")</x:f>
      </x:c>
      <x:c r="AB27" s="325" t="str">
        <x:f>IF(AA27="","",MIN(1,AA27*$B$3))</x:f>
      </x:c>
      <x:c r="AC27" s="325" t="n">
        <x:f>IF($D$3&lt;&gt;"",$D$3,IFERROR(SUMPRODUCT((('Date Engine'!$A$7:$A$5850&gt;=C27)*('Date Engine'!$A$7:$A$5850&lt;=D27)*'Date Engine'!$G$7:$G$5850)*'Date Engine'!$J$7:$J$5850)/SUMPRODUCT((('Date Engine'!$A$7:$A$5850&gt;=C27)*('Date Engine'!$A$7:$A$5850&lt;=D27)*'Date Engine'!$G$7:$G$5850)),0))</x:f>
        <x:v>0</x:v>
      </x:c>
      <x:c r="AD27" s="325" t="str">
        <x:f>IF(OR(AB27="",J27="",M27="",Y27=""),"",AB27*J27*M27*Y27)</x:f>
      </x:c>
      <x:c r="AE27" s="325" t="str">
        <x:f>IF(OR(AB27="",P27="",Y27=""),"",AB27*P27*Y27)</x:f>
      </x:c>
      <x:c r="AF27" s="325" t="str">
        <x:f>IF(OR(S27="",V27="",Y27=""),"",AC27*S27*V27*Y27)</x:f>
      </x:c>
      <x:c r="AG27" s="325" t="str">
        <x:f>IF(A27="","",MIN(1,AD27+AE27+AF27))</x:f>
      </x:c>
      <x:c r="AH27" s="329" t="str">
        <x:f>IF(A27="","",(F27+G27)*AG27)</x:f>
      </x:c>
      <x:c r="AI27" s="327" t="str">
        <x:f>IF(OR(A27="",Z27=""),"",Z27*AG27)</x:f>
      </x:c>
      <x:c r="AJ27" s="327" t="str">
        <x:f>IF(A27="","",IF(E27="Yes",AI27,0))</x:f>
      </x:c>
      <x:c r="AK27" s="322" t="str">
        <x:f>IF(A27="","",IF(OR(C27&lt;DATE(2025,1,1),D27&gt;DATE(2040,12,31),D27&lt;C27),"RED - date input",IF(AND(S27&gt;=20%,AC27=0),"RED - wind input",IF($B$3&lt;&gt;1,"AMBER - local factor requires basis","AMBER - task factors uncalibrated"))))</x:f>
      </x:c>
      <x:c r="AL27" s="321"/>
    </x:row>
    <x:row r="28">
      <x:c r="A28" s="321"/>
      <x:c r="B28" s="322" t="str">
        <x:f>IF(A28="","",INDEX('Task Library'!$B$7:$B$45,MATCH(A28,'Task Library'!$A$7:$A$45,0)))</x:f>
      </x:c>
      <x:c r="C28" s="323"/>
      <x:c r="D28" s="323"/>
      <x:c r="E28" s="321" t="str">
        <x:v>No</x:v>
      </x:c>
      <x:c r="F28" s="324"/>
      <x:c r="G28" s="324"/>
      <x:c r="H28" s="325" t="str">
        <x:f>IF(A28="","",INDEX('Task Library'!$C$7:$C$45,MATCH(A28,'Task Library'!$A$7:$A$45,0)))</x:f>
      </x:c>
      <x:c r="I28" s="326"/>
      <x:c r="J28" s="325" t="str">
        <x:f>IF(H28="","",IF(I28="",H28,I28))</x:f>
      </x:c>
      <x:c r="K28" s="325" t="str">
        <x:f>IF(A28="","",INDEX('Task Library'!$D$7:$D$45,MATCH(A28,'Task Library'!$A$7:$A$45,0)))</x:f>
      </x:c>
      <x:c r="L28" s="326"/>
      <x:c r="M28" s="325" t="str">
        <x:f>IF(K28="","",IF(L28="",K28,L28))</x:f>
      </x:c>
      <x:c r="N28" s="327" t="str">
        <x:f>IF(A28="","",INDEX('Task Library'!$E$7:$E$45,MATCH(A28,'Task Library'!$A$7:$A$45,0)))</x:f>
      </x:c>
      <x:c r="O28" s="328"/>
      <x:c r="P28" s="327" t="str">
        <x:f>IF(N28="","",IF(O28="",N28,O28))</x:f>
      </x:c>
      <x:c r="Q28" s="325" t="str">
        <x:f>IF(A28="","",INDEX('Task Library'!$F$7:$F$45,MATCH(A28,'Task Library'!$A$7:$A$45,0)))</x:f>
      </x:c>
      <x:c r="R28" s="326"/>
      <x:c r="S28" s="325" t="str">
        <x:f>IF(Q28="","",IF(R28="",Q28,R28))</x:f>
      </x:c>
      <x:c r="T28" s="325" t="str">
        <x:f>IF(A28="","",INDEX('Task Library'!$G$7:$G$45,MATCH(A28,'Task Library'!$A$7:$A$45,0)))</x:f>
      </x:c>
      <x:c r="U28" s="326"/>
      <x:c r="V28" s="325" t="str">
        <x:f>IF(T28="","",IF(U28="",T28,U28))</x:f>
      </x:c>
      <x:c r="W28" s="325" t="str">
        <x:f>IF(A28="","",INDEX('Task Library'!$H$7:$H$45,MATCH(A28,'Task Library'!$A$7:$A$45,0)))</x:f>
      </x:c>
      <x:c r="X28" s="326"/>
      <x:c r="Y28" s="325" t="str">
        <x:f>IF(W28="","",IF(X28="",W28,X28))</x:f>
      </x:c>
      <x:c r="Z28" s="327" t="str">
        <x:f>IF(OR(C28="",D28="",D28&lt;C28),"",SUMPRODUCT((('Date Engine'!$A$7:$A$5850&gt;=C28)*('Date Engine'!$A$7:$A$5850&lt;=D28)*'Date Engine'!$G$7:$G$5850)))</x:f>
      </x:c>
      <x:c r="AA28" s="325" t="str">
        <x:f>IFERROR(SUMPRODUCT((('Date Engine'!$A$7:$A$5850&gt;=C28)*('Date Engine'!$A$7:$A$5850&lt;=D28)*'Date Engine'!$G$7:$G$5850)*'Date Engine'!$H$7:$H$5850)/SUMPRODUCT((('Date Engine'!$A$7:$A$5850&gt;=C28)*('Date Engine'!$A$7:$A$5850&lt;=D28)*'Date Engine'!$G$7:$G$5850)),"")</x:f>
      </x:c>
      <x:c r="AB28" s="325" t="str">
        <x:f>IF(AA28="","",MIN(1,AA28*$B$3))</x:f>
      </x:c>
      <x:c r="AC28" s="325" t="n">
        <x:f>IF($D$3&lt;&gt;"",$D$3,IFERROR(SUMPRODUCT((('Date Engine'!$A$7:$A$5850&gt;=C28)*('Date Engine'!$A$7:$A$5850&lt;=D28)*'Date Engine'!$G$7:$G$5850)*'Date Engine'!$J$7:$J$5850)/SUMPRODUCT((('Date Engine'!$A$7:$A$5850&gt;=C28)*('Date Engine'!$A$7:$A$5850&lt;=D28)*'Date Engine'!$G$7:$G$5850)),0))</x:f>
        <x:v>0</x:v>
      </x:c>
      <x:c r="AD28" s="325" t="str">
        <x:f>IF(OR(AB28="",J28="",M28="",Y28=""),"",AB28*J28*M28*Y28)</x:f>
      </x:c>
      <x:c r="AE28" s="325" t="str">
        <x:f>IF(OR(AB28="",P28="",Y28=""),"",AB28*P28*Y28)</x:f>
      </x:c>
      <x:c r="AF28" s="325" t="str">
        <x:f>IF(OR(S28="",V28="",Y28=""),"",AC28*S28*V28*Y28)</x:f>
      </x:c>
      <x:c r="AG28" s="325" t="str">
        <x:f>IF(A28="","",MIN(1,AD28+AE28+AF28))</x:f>
      </x:c>
      <x:c r="AH28" s="329" t="str">
        <x:f>IF(A28="","",(F28+G28)*AG28)</x:f>
      </x:c>
      <x:c r="AI28" s="327" t="str">
        <x:f>IF(OR(A28="",Z28=""),"",Z28*AG28)</x:f>
      </x:c>
      <x:c r="AJ28" s="327" t="str">
        <x:f>IF(A28="","",IF(E28="Yes",AI28,0))</x:f>
      </x:c>
      <x:c r="AK28" s="322" t="str">
        <x:f>IF(A28="","",IF(OR(C28&lt;DATE(2025,1,1),D28&gt;DATE(2040,12,31),D28&lt;C28),"RED - date input",IF(AND(S28&gt;=20%,AC28=0),"RED - wind input",IF($B$3&lt;&gt;1,"AMBER - local factor requires basis","AMBER - task factors uncalibrated"))))</x:f>
      </x:c>
      <x:c r="AL28" s="321"/>
    </x:row>
    <x:row r="29">
      <x:c r="A29" s="321"/>
      <x:c r="B29" s="322" t="str">
        <x:f>IF(A29="","",INDEX('Task Library'!$B$7:$B$45,MATCH(A29,'Task Library'!$A$7:$A$45,0)))</x:f>
      </x:c>
      <x:c r="C29" s="323"/>
      <x:c r="D29" s="323"/>
      <x:c r="E29" s="321" t="str">
        <x:v>No</x:v>
      </x:c>
      <x:c r="F29" s="324"/>
      <x:c r="G29" s="324"/>
      <x:c r="H29" s="325" t="str">
        <x:f>IF(A29="","",INDEX('Task Library'!$C$7:$C$45,MATCH(A29,'Task Library'!$A$7:$A$45,0)))</x:f>
      </x:c>
      <x:c r="I29" s="326"/>
      <x:c r="J29" s="325" t="str">
        <x:f>IF(H29="","",IF(I29="",H29,I29))</x:f>
      </x:c>
      <x:c r="K29" s="325" t="str">
        <x:f>IF(A29="","",INDEX('Task Library'!$D$7:$D$45,MATCH(A29,'Task Library'!$A$7:$A$45,0)))</x:f>
      </x:c>
      <x:c r="L29" s="326"/>
      <x:c r="M29" s="325" t="str">
        <x:f>IF(K29="","",IF(L29="",K29,L29))</x:f>
      </x:c>
      <x:c r="N29" s="327" t="str">
        <x:f>IF(A29="","",INDEX('Task Library'!$E$7:$E$45,MATCH(A29,'Task Library'!$A$7:$A$45,0)))</x:f>
      </x:c>
      <x:c r="O29" s="328"/>
      <x:c r="P29" s="327" t="str">
        <x:f>IF(N29="","",IF(O29="",N29,O29))</x:f>
      </x:c>
      <x:c r="Q29" s="325" t="str">
        <x:f>IF(A29="","",INDEX('Task Library'!$F$7:$F$45,MATCH(A29,'Task Library'!$A$7:$A$45,0)))</x:f>
      </x:c>
      <x:c r="R29" s="326"/>
      <x:c r="S29" s="325" t="str">
        <x:f>IF(Q29="","",IF(R29="",Q29,R29))</x:f>
      </x:c>
      <x:c r="T29" s="325" t="str">
        <x:f>IF(A29="","",INDEX('Task Library'!$G$7:$G$45,MATCH(A29,'Task Library'!$A$7:$A$45,0)))</x:f>
      </x:c>
      <x:c r="U29" s="326"/>
      <x:c r="V29" s="325" t="str">
        <x:f>IF(T29="","",IF(U29="",T29,U29))</x:f>
      </x:c>
      <x:c r="W29" s="325" t="str">
        <x:f>IF(A29="","",INDEX('Task Library'!$H$7:$H$45,MATCH(A29,'Task Library'!$A$7:$A$45,0)))</x:f>
      </x:c>
      <x:c r="X29" s="326"/>
      <x:c r="Y29" s="325" t="str">
        <x:f>IF(W29="","",IF(X29="",W29,X29))</x:f>
      </x:c>
      <x:c r="Z29" s="327" t="str">
        <x:f>IF(OR(C29="",D29="",D29&lt;C29),"",SUMPRODUCT((('Date Engine'!$A$7:$A$5850&gt;=C29)*('Date Engine'!$A$7:$A$5850&lt;=D29)*'Date Engine'!$G$7:$G$5850)))</x:f>
      </x:c>
      <x:c r="AA29" s="325" t="str">
        <x:f>IFERROR(SUMPRODUCT((('Date Engine'!$A$7:$A$5850&gt;=C29)*('Date Engine'!$A$7:$A$5850&lt;=D29)*'Date Engine'!$G$7:$G$5850)*'Date Engine'!$H$7:$H$5850)/SUMPRODUCT((('Date Engine'!$A$7:$A$5850&gt;=C29)*('Date Engine'!$A$7:$A$5850&lt;=D29)*'Date Engine'!$G$7:$G$5850)),"")</x:f>
      </x:c>
      <x:c r="AB29" s="325" t="str">
        <x:f>IF(AA29="","",MIN(1,AA29*$B$3))</x:f>
      </x:c>
      <x:c r="AC29" s="325" t="n">
        <x:f>IF($D$3&lt;&gt;"",$D$3,IFERROR(SUMPRODUCT((('Date Engine'!$A$7:$A$5850&gt;=C29)*('Date Engine'!$A$7:$A$5850&lt;=D29)*'Date Engine'!$G$7:$G$5850)*'Date Engine'!$J$7:$J$5850)/SUMPRODUCT((('Date Engine'!$A$7:$A$5850&gt;=C29)*('Date Engine'!$A$7:$A$5850&lt;=D29)*'Date Engine'!$G$7:$G$5850)),0))</x:f>
        <x:v>0</x:v>
      </x:c>
      <x:c r="AD29" s="325" t="str">
        <x:f>IF(OR(AB29="",J29="",M29="",Y29=""),"",AB29*J29*M29*Y29)</x:f>
      </x:c>
      <x:c r="AE29" s="325" t="str">
        <x:f>IF(OR(AB29="",P29="",Y29=""),"",AB29*P29*Y29)</x:f>
      </x:c>
      <x:c r="AF29" s="325" t="str">
        <x:f>IF(OR(S29="",V29="",Y29=""),"",AC29*S29*V29*Y29)</x:f>
      </x:c>
      <x:c r="AG29" s="325" t="str">
        <x:f>IF(A29="","",MIN(1,AD29+AE29+AF29))</x:f>
      </x:c>
      <x:c r="AH29" s="329" t="str">
        <x:f>IF(A29="","",(F29+G29)*AG29)</x:f>
      </x:c>
      <x:c r="AI29" s="327" t="str">
        <x:f>IF(OR(A29="",Z29=""),"",Z29*AG29)</x:f>
      </x:c>
      <x:c r="AJ29" s="327" t="str">
        <x:f>IF(A29="","",IF(E29="Yes",AI29,0))</x:f>
      </x:c>
      <x:c r="AK29" s="322" t="str">
        <x:f>IF(A29="","",IF(OR(C29&lt;DATE(2025,1,1),D29&gt;DATE(2040,12,31),D29&lt;C29),"RED - date input",IF(AND(S29&gt;=20%,AC29=0),"RED - wind input",IF($B$3&lt;&gt;1,"AMBER - local factor requires basis","AMBER - task factors uncalibrated"))))</x:f>
      </x:c>
      <x:c r="AL29" s="321"/>
    </x:row>
    <x:row r="30">
      <x:c r="A30" s="321"/>
      <x:c r="B30" s="322" t="str">
        <x:f>IF(A30="","",INDEX('Task Library'!$B$7:$B$45,MATCH(A30,'Task Library'!$A$7:$A$45,0)))</x:f>
      </x:c>
      <x:c r="C30" s="323"/>
      <x:c r="D30" s="323"/>
      <x:c r="E30" s="321" t="str">
        <x:v>No</x:v>
      </x:c>
      <x:c r="F30" s="324"/>
      <x:c r="G30" s="324"/>
      <x:c r="H30" s="325" t="str">
        <x:f>IF(A30="","",INDEX('Task Library'!$C$7:$C$45,MATCH(A30,'Task Library'!$A$7:$A$45,0)))</x:f>
      </x:c>
      <x:c r="I30" s="326"/>
      <x:c r="J30" s="325" t="str">
        <x:f>IF(H30="","",IF(I30="",H30,I30))</x:f>
      </x:c>
      <x:c r="K30" s="325" t="str">
        <x:f>IF(A30="","",INDEX('Task Library'!$D$7:$D$45,MATCH(A30,'Task Library'!$A$7:$A$45,0)))</x:f>
      </x:c>
      <x:c r="L30" s="326"/>
      <x:c r="M30" s="325" t="str">
        <x:f>IF(K30="","",IF(L30="",K30,L30))</x:f>
      </x:c>
      <x:c r="N30" s="327" t="str">
        <x:f>IF(A30="","",INDEX('Task Library'!$E$7:$E$45,MATCH(A30,'Task Library'!$A$7:$A$45,0)))</x:f>
      </x:c>
      <x:c r="O30" s="328"/>
      <x:c r="P30" s="327" t="str">
        <x:f>IF(N30="","",IF(O30="",N30,O30))</x:f>
      </x:c>
      <x:c r="Q30" s="325" t="str">
        <x:f>IF(A30="","",INDEX('Task Library'!$F$7:$F$45,MATCH(A30,'Task Library'!$A$7:$A$45,0)))</x:f>
      </x:c>
      <x:c r="R30" s="326"/>
      <x:c r="S30" s="325" t="str">
        <x:f>IF(Q30="","",IF(R30="",Q30,R30))</x:f>
      </x:c>
      <x:c r="T30" s="325" t="str">
        <x:f>IF(A30="","",INDEX('Task Library'!$G$7:$G$45,MATCH(A30,'Task Library'!$A$7:$A$45,0)))</x:f>
      </x:c>
      <x:c r="U30" s="326"/>
      <x:c r="V30" s="325" t="str">
        <x:f>IF(T30="","",IF(U30="",T30,U30))</x:f>
      </x:c>
      <x:c r="W30" s="325" t="str">
        <x:f>IF(A30="","",INDEX('Task Library'!$H$7:$H$45,MATCH(A30,'Task Library'!$A$7:$A$45,0)))</x:f>
      </x:c>
      <x:c r="X30" s="326"/>
      <x:c r="Y30" s="325" t="str">
        <x:f>IF(W30="","",IF(X30="",W30,X30))</x:f>
      </x:c>
      <x:c r="Z30" s="327" t="str">
        <x:f>IF(OR(C30="",D30="",D30&lt;C30),"",SUMPRODUCT((('Date Engine'!$A$7:$A$5850&gt;=C30)*('Date Engine'!$A$7:$A$5850&lt;=D30)*'Date Engine'!$G$7:$G$5850)))</x:f>
      </x:c>
      <x:c r="AA30" s="325" t="str">
        <x:f>IFERROR(SUMPRODUCT((('Date Engine'!$A$7:$A$5850&gt;=C30)*('Date Engine'!$A$7:$A$5850&lt;=D30)*'Date Engine'!$G$7:$G$5850)*'Date Engine'!$H$7:$H$5850)/SUMPRODUCT((('Date Engine'!$A$7:$A$5850&gt;=C30)*('Date Engine'!$A$7:$A$5850&lt;=D30)*'Date Engine'!$G$7:$G$5850)),"")</x:f>
      </x:c>
      <x:c r="AB30" s="325" t="str">
        <x:f>IF(AA30="","",MIN(1,AA30*$B$3))</x:f>
      </x:c>
      <x:c r="AC30" s="325" t="n">
        <x:f>IF($D$3&lt;&gt;"",$D$3,IFERROR(SUMPRODUCT((('Date Engine'!$A$7:$A$5850&gt;=C30)*('Date Engine'!$A$7:$A$5850&lt;=D30)*'Date Engine'!$G$7:$G$5850)*'Date Engine'!$J$7:$J$5850)/SUMPRODUCT((('Date Engine'!$A$7:$A$5850&gt;=C30)*('Date Engine'!$A$7:$A$5850&lt;=D30)*'Date Engine'!$G$7:$G$5850)),0))</x:f>
        <x:v>0</x:v>
      </x:c>
      <x:c r="AD30" s="325" t="str">
        <x:f>IF(OR(AB30="",J30="",M30="",Y30=""),"",AB30*J30*M30*Y30)</x:f>
      </x:c>
      <x:c r="AE30" s="325" t="str">
        <x:f>IF(OR(AB30="",P30="",Y30=""),"",AB30*P30*Y30)</x:f>
      </x:c>
      <x:c r="AF30" s="325" t="str">
        <x:f>IF(OR(S30="",V30="",Y30=""),"",AC30*S30*V30*Y30)</x:f>
      </x:c>
      <x:c r="AG30" s="325" t="str">
        <x:f>IF(A30="","",MIN(1,AD30+AE30+AF30))</x:f>
      </x:c>
      <x:c r="AH30" s="329" t="str">
        <x:f>IF(A30="","",(F30+G30)*AG30)</x:f>
      </x:c>
      <x:c r="AI30" s="327" t="str">
        <x:f>IF(OR(A30="",Z30=""),"",Z30*AG30)</x:f>
      </x:c>
      <x:c r="AJ30" s="327" t="str">
        <x:f>IF(A30="","",IF(E30="Yes",AI30,0))</x:f>
      </x:c>
      <x:c r="AK30" s="322" t="str">
        <x:f>IF(A30="","",IF(OR(C30&lt;DATE(2025,1,1),D30&gt;DATE(2040,12,31),D30&lt;C30),"RED - date input",IF(AND(S30&gt;=20%,AC30=0),"RED - wind input",IF($B$3&lt;&gt;1,"AMBER - local factor requires basis","AMBER - task factors uncalibrated"))))</x:f>
      </x:c>
      <x:c r="AL30" s="321"/>
    </x:row>
    <x:row r="31">
      <x:c r="A31" s="321"/>
      <x:c r="B31" s="322" t="str">
        <x:f>IF(A31="","",INDEX('Task Library'!$B$7:$B$45,MATCH(A31,'Task Library'!$A$7:$A$45,0)))</x:f>
      </x:c>
      <x:c r="C31" s="323"/>
      <x:c r="D31" s="323"/>
      <x:c r="E31" s="321" t="str">
        <x:v>No</x:v>
      </x:c>
      <x:c r="F31" s="324"/>
      <x:c r="G31" s="324"/>
      <x:c r="H31" s="325" t="str">
        <x:f>IF(A31="","",INDEX('Task Library'!$C$7:$C$45,MATCH(A31,'Task Library'!$A$7:$A$45,0)))</x:f>
      </x:c>
      <x:c r="I31" s="326"/>
      <x:c r="J31" s="325" t="str">
        <x:f>IF(H31="","",IF(I31="",H31,I31))</x:f>
      </x:c>
      <x:c r="K31" s="325" t="str">
        <x:f>IF(A31="","",INDEX('Task Library'!$D$7:$D$45,MATCH(A31,'Task Library'!$A$7:$A$45,0)))</x:f>
      </x:c>
      <x:c r="L31" s="326"/>
      <x:c r="M31" s="325" t="str">
        <x:f>IF(K31="","",IF(L31="",K31,L31))</x:f>
      </x:c>
      <x:c r="N31" s="327" t="str">
        <x:f>IF(A31="","",INDEX('Task Library'!$E$7:$E$45,MATCH(A31,'Task Library'!$A$7:$A$45,0)))</x:f>
      </x:c>
      <x:c r="O31" s="328"/>
      <x:c r="P31" s="327" t="str">
        <x:f>IF(N31="","",IF(O31="",N31,O31))</x:f>
      </x:c>
      <x:c r="Q31" s="325" t="str">
        <x:f>IF(A31="","",INDEX('Task Library'!$F$7:$F$45,MATCH(A31,'Task Library'!$A$7:$A$45,0)))</x:f>
      </x:c>
      <x:c r="R31" s="326"/>
      <x:c r="S31" s="325" t="str">
        <x:f>IF(Q31="","",IF(R31="",Q31,R31))</x:f>
      </x:c>
      <x:c r="T31" s="325" t="str">
        <x:f>IF(A31="","",INDEX('Task Library'!$G$7:$G$45,MATCH(A31,'Task Library'!$A$7:$A$45,0)))</x:f>
      </x:c>
      <x:c r="U31" s="326"/>
      <x:c r="V31" s="325" t="str">
        <x:f>IF(T31="","",IF(U31="",T31,U31))</x:f>
      </x:c>
      <x:c r="W31" s="325" t="str">
        <x:f>IF(A31="","",INDEX('Task Library'!$H$7:$H$45,MATCH(A31,'Task Library'!$A$7:$A$45,0)))</x:f>
      </x:c>
      <x:c r="X31" s="326"/>
      <x:c r="Y31" s="325" t="str">
        <x:f>IF(W31="","",IF(X31="",W31,X31))</x:f>
      </x:c>
      <x:c r="Z31" s="327" t="str">
        <x:f>IF(OR(C31="",D31="",D31&lt;C31),"",SUMPRODUCT((('Date Engine'!$A$7:$A$5850&gt;=C31)*('Date Engine'!$A$7:$A$5850&lt;=D31)*'Date Engine'!$G$7:$G$5850)))</x:f>
      </x:c>
      <x:c r="AA31" s="325" t="str">
        <x:f>IFERROR(SUMPRODUCT((('Date Engine'!$A$7:$A$5850&gt;=C31)*('Date Engine'!$A$7:$A$5850&lt;=D31)*'Date Engine'!$G$7:$G$5850)*'Date Engine'!$H$7:$H$5850)/SUMPRODUCT((('Date Engine'!$A$7:$A$5850&gt;=C31)*('Date Engine'!$A$7:$A$5850&lt;=D31)*'Date Engine'!$G$7:$G$5850)),"")</x:f>
      </x:c>
      <x:c r="AB31" s="325" t="str">
        <x:f>IF(AA31="","",MIN(1,AA31*$B$3))</x:f>
      </x:c>
      <x:c r="AC31" s="325" t="n">
        <x:f>IF($D$3&lt;&gt;"",$D$3,IFERROR(SUMPRODUCT((('Date Engine'!$A$7:$A$5850&gt;=C31)*('Date Engine'!$A$7:$A$5850&lt;=D31)*'Date Engine'!$G$7:$G$5850)*'Date Engine'!$J$7:$J$5850)/SUMPRODUCT((('Date Engine'!$A$7:$A$5850&gt;=C31)*('Date Engine'!$A$7:$A$5850&lt;=D31)*'Date Engine'!$G$7:$G$5850)),0))</x:f>
        <x:v>0</x:v>
      </x:c>
      <x:c r="AD31" s="325" t="str">
        <x:f>IF(OR(AB31="",J31="",M31="",Y31=""),"",AB31*J31*M31*Y31)</x:f>
      </x:c>
      <x:c r="AE31" s="325" t="str">
        <x:f>IF(OR(AB31="",P31="",Y31=""),"",AB31*P31*Y31)</x:f>
      </x:c>
      <x:c r="AF31" s="325" t="str">
        <x:f>IF(OR(S31="",V31="",Y31=""),"",AC31*S31*V31*Y31)</x:f>
      </x:c>
      <x:c r="AG31" s="325" t="str">
        <x:f>IF(A31="","",MIN(1,AD31+AE31+AF31))</x:f>
      </x:c>
      <x:c r="AH31" s="329" t="str">
        <x:f>IF(A31="","",(F31+G31)*AG31)</x:f>
      </x:c>
      <x:c r="AI31" s="327" t="str">
        <x:f>IF(OR(A31="",Z31=""),"",Z31*AG31)</x:f>
      </x:c>
      <x:c r="AJ31" s="327" t="str">
        <x:f>IF(A31="","",IF(E31="Yes",AI31,0))</x:f>
      </x:c>
      <x:c r="AK31" s="322" t="str">
        <x:f>IF(A31="","",IF(OR(C31&lt;DATE(2025,1,1),D31&gt;DATE(2040,12,31),D31&lt;C31),"RED - date input",IF(AND(S31&gt;=20%,AC31=0),"RED - wind input",IF($B$3&lt;&gt;1,"AMBER - local factor requires basis","AMBER - task factors uncalibrated"))))</x:f>
      </x:c>
      <x:c r="AL31" s="321"/>
    </x:row>
    <x:row r="32">
      <x:c r="A32" s="321"/>
      <x:c r="B32" s="322" t="str">
        <x:f>IF(A32="","",INDEX('Task Library'!$B$7:$B$45,MATCH(A32,'Task Library'!$A$7:$A$45,0)))</x:f>
      </x:c>
      <x:c r="C32" s="323"/>
      <x:c r="D32" s="323"/>
      <x:c r="E32" s="321" t="str">
        <x:v>No</x:v>
      </x:c>
      <x:c r="F32" s="324"/>
      <x:c r="G32" s="324"/>
      <x:c r="H32" s="325" t="str">
        <x:f>IF(A32="","",INDEX('Task Library'!$C$7:$C$45,MATCH(A32,'Task Library'!$A$7:$A$45,0)))</x:f>
      </x:c>
      <x:c r="I32" s="326"/>
      <x:c r="J32" s="325" t="str">
        <x:f>IF(H32="","",IF(I32="",H32,I32))</x:f>
      </x:c>
      <x:c r="K32" s="325" t="str">
        <x:f>IF(A32="","",INDEX('Task Library'!$D$7:$D$45,MATCH(A32,'Task Library'!$A$7:$A$45,0)))</x:f>
      </x:c>
      <x:c r="L32" s="326"/>
      <x:c r="M32" s="325" t="str">
        <x:f>IF(K32="","",IF(L32="",K32,L32))</x:f>
      </x:c>
      <x:c r="N32" s="327" t="str">
        <x:f>IF(A32="","",INDEX('Task Library'!$E$7:$E$45,MATCH(A32,'Task Library'!$A$7:$A$45,0)))</x:f>
      </x:c>
      <x:c r="O32" s="328"/>
      <x:c r="P32" s="327" t="str">
        <x:f>IF(N32="","",IF(O32="",N32,O32))</x:f>
      </x:c>
      <x:c r="Q32" s="325" t="str">
        <x:f>IF(A32="","",INDEX('Task Library'!$F$7:$F$45,MATCH(A32,'Task Library'!$A$7:$A$45,0)))</x:f>
      </x:c>
      <x:c r="R32" s="326"/>
      <x:c r="S32" s="325" t="str">
        <x:f>IF(Q32="","",IF(R32="",Q32,R32))</x:f>
      </x:c>
      <x:c r="T32" s="325" t="str">
        <x:f>IF(A32="","",INDEX('Task Library'!$G$7:$G$45,MATCH(A32,'Task Library'!$A$7:$A$45,0)))</x:f>
      </x:c>
      <x:c r="U32" s="326"/>
      <x:c r="V32" s="325" t="str">
        <x:f>IF(T32="","",IF(U32="",T32,U32))</x:f>
      </x:c>
      <x:c r="W32" s="325" t="str">
        <x:f>IF(A32="","",INDEX('Task Library'!$H$7:$H$45,MATCH(A32,'Task Library'!$A$7:$A$45,0)))</x:f>
      </x:c>
      <x:c r="X32" s="326"/>
      <x:c r="Y32" s="325" t="str">
        <x:f>IF(W32="","",IF(X32="",W32,X32))</x:f>
      </x:c>
      <x:c r="Z32" s="327" t="str">
        <x:f>IF(OR(C32="",D32="",D32&lt;C32),"",SUMPRODUCT((('Date Engine'!$A$7:$A$5850&gt;=C32)*('Date Engine'!$A$7:$A$5850&lt;=D32)*'Date Engine'!$G$7:$G$5850)))</x:f>
      </x:c>
      <x:c r="AA32" s="325" t="str">
        <x:f>IFERROR(SUMPRODUCT((('Date Engine'!$A$7:$A$5850&gt;=C32)*('Date Engine'!$A$7:$A$5850&lt;=D32)*'Date Engine'!$G$7:$G$5850)*'Date Engine'!$H$7:$H$5850)/SUMPRODUCT((('Date Engine'!$A$7:$A$5850&gt;=C32)*('Date Engine'!$A$7:$A$5850&lt;=D32)*'Date Engine'!$G$7:$G$5850)),"")</x:f>
      </x:c>
      <x:c r="AB32" s="325" t="str">
        <x:f>IF(AA32="","",MIN(1,AA32*$B$3))</x:f>
      </x:c>
      <x:c r="AC32" s="325" t="n">
        <x:f>IF($D$3&lt;&gt;"",$D$3,IFERROR(SUMPRODUCT((('Date Engine'!$A$7:$A$5850&gt;=C32)*('Date Engine'!$A$7:$A$5850&lt;=D32)*'Date Engine'!$G$7:$G$5850)*'Date Engine'!$J$7:$J$5850)/SUMPRODUCT((('Date Engine'!$A$7:$A$5850&gt;=C32)*('Date Engine'!$A$7:$A$5850&lt;=D32)*'Date Engine'!$G$7:$G$5850)),0))</x:f>
        <x:v>0</x:v>
      </x:c>
      <x:c r="AD32" s="325" t="str">
        <x:f>IF(OR(AB32="",J32="",M32="",Y32=""),"",AB32*J32*M32*Y32)</x:f>
      </x:c>
      <x:c r="AE32" s="325" t="str">
        <x:f>IF(OR(AB32="",P32="",Y32=""),"",AB32*P32*Y32)</x:f>
      </x:c>
      <x:c r="AF32" s="325" t="str">
        <x:f>IF(OR(S32="",V32="",Y32=""),"",AC32*S32*V32*Y32)</x:f>
      </x:c>
      <x:c r="AG32" s="325" t="str">
        <x:f>IF(A32="","",MIN(1,AD32+AE32+AF32))</x:f>
      </x:c>
      <x:c r="AH32" s="329" t="str">
        <x:f>IF(A32="","",(F32+G32)*AG32)</x:f>
      </x:c>
      <x:c r="AI32" s="327" t="str">
        <x:f>IF(OR(A32="",Z32=""),"",Z32*AG32)</x:f>
      </x:c>
      <x:c r="AJ32" s="327" t="str">
        <x:f>IF(A32="","",IF(E32="Yes",AI32,0))</x:f>
      </x:c>
      <x:c r="AK32" s="322" t="str">
        <x:f>IF(A32="","",IF(OR(C32&lt;DATE(2025,1,1),D32&gt;DATE(2040,12,31),D32&lt;C32),"RED - date input",IF(AND(S32&gt;=20%,AC32=0),"RED - wind input",IF($B$3&lt;&gt;1,"AMBER - local factor requires basis","AMBER - task factors uncalibrated"))))</x:f>
      </x:c>
      <x:c r="AL32" s="321"/>
    </x:row>
    <x:row r="33">
      <x:c r="A33" s="321"/>
      <x:c r="B33" s="322" t="str">
        <x:f>IF(A33="","",INDEX('Task Library'!$B$7:$B$45,MATCH(A33,'Task Library'!$A$7:$A$45,0)))</x:f>
      </x:c>
      <x:c r="C33" s="323"/>
      <x:c r="D33" s="323"/>
      <x:c r="E33" s="321" t="str">
        <x:v>No</x:v>
      </x:c>
      <x:c r="F33" s="324"/>
      <x:c r="G33" s="324"/>
      <x:c r="H33" s="325" t="str">
        <x:f>IF(A33="","",INDEX('Task Library'!$C$7:$C$45,MATCH(A33,'Task Library'!$A$7:$A$45,0)))</x:f>
      </x:c>
      <x:c r="I33" s="326"/>
      <x:c r="J33" s="325" t="str">
        <x:f>IF(H33="","",IF(I33="",H33,I33))</x:f>
      </x:c>
      <x:c r="K33" s="325" t="str">
        <x:f>IF(A33="","",INDEX('Task Library'!$D$7:$D$45,MATCH(A33,'Task Library'!$A$7:$A$45,0)))</x:f>
      </x:c>
      <x:c r="L33" s="326"/>
      <x:c r="M33" s="325" t="str">
        <x:f>IF(K33="","",IF(L33="",K33,L33))</x:f>
      </x:c>
      <x:c r="N33" s="327" t="str">
        <x:f>IF(A33="","",INDEX('Task Library'!$E$7:$E$45,MATCH(A33,'Task Library'!$A$7:$A$45,0)))</x:f>
      </x:c>
      <x:c r="O33" s="328"/>
      <x:c r="P33" s="327" t="str">
        <x:f>IF(N33="","",IF(O33="",N33,O33))</x:f>
      </x:c>
      <x:c r="Q33" s="325" t="str">
        <x:f>IF(A33="","",INDEX('Task Library'!$F$7:$F$45,MATCH(A33,'Task Library'!$A$7:$A$45,0)))</x:f>
      </x:c>
      <x:c r="R33" s="326"/>
      <x:c r="S33" s="325" t="str">
        <x:f>IF(Q33="","",IF(R33="",Q33,R33))</x:f>
      </x:c>
      <x:c r="T33" s="325" t="str">
        <x:f>IF(A33="","",INDEX('Task Library'!$G$7:$G$45,MATCH(A33,'Task Library'!$A$7:$A$45,0)))</x:f>
      </x:c>
      <x:c r="U33" s="326"/>
      <x:c r="V33" s="325" t="str">
        <x:f>IF(T33="","",IF(U33="",T33,U33))</x:f>
      </x:c>
      <x:c r="W33" s="325" t="str">
        <x:f>IF(A33="","",INDEX('Task Library'!$H$7:$H$45,MATCH(A33,'Task Library'!$A$7:$A$45,0)))</x:f>
      </x:c>
      <x:c r="X33" s="326"/>
      <x:c r="Y33" s="325" t="str">
        <x:f>IF(W33="","",IF(X33="",W33,X33))</x:f>
      </x:c>
      <x:c r="Z33" s="327" t="str">
        <x:f>IF(OR(C33="",D33="",D33&lt;C33),"",SUMPRODUCT((('Date Engine'!$A$7:$A$5850&gt;=C33)*('Date Engine'!$A$7:$A$5850&lt;=D33)*'Date Engine'!$G$7:$G$5850)))</x:f>
      </x:c>
      <x:c r="AA33" s="325" t="str">
        <x:f>IFERROR(SUMPRODUCT((('Date Engine'!$A$7:$A$5850&gt;=C33)*('Date Engine'!$A$7:$A$5850&lt;=D33)*'Date Engine'!$G$7:$G$5850)*'Date Engine'!$H$7:$H$5850)/SUMPRODUCT((('Date Engine'!$A$7:$A$5850&gt;=C33)*('Date Engine'!$A$7:$A$5850&lt;=D33)*'Date Engine'!$G$7:$G$5850)),"")</x:f>
      </x:c>
      <x:c r="AB33" s="325" t="str">
        <x:f>IF(AA33="","",MIN(1,AA33*$B$3))</x:f>
      </x:c>
      <x:c r="AC33" s="325" t="n">
        <x:f>IF($D$3&lt;&gt;"",$D$3,IFERROR(SUMPRODUCT((('Date Engine'!$A$7:$A$5850&gt;=C33)*('Date Engine'!$A$7:$A$5850&lt;=D33)*'Date Engine'!$G$7:$G$5850)*'Date Engine'!$J$7:$J$5850)/SUMPRODUCT((('Date Engine'!$A$7:$A$5850&gt;=C33)*('Date Engine'!$A$7:$A$5850&lt;=D33)*'Date Engine'!$G$7:$G$5850)),0))</x:f>
        <x:v>0</x:v>
      </x:c>
      <x:c r="AD33" s="325" t="str">
        <x:f>IF(OR(AB33="",J33="",M33="",Y33=""),"",AB33*J33*M33*Y33)</x:f>
      </x:c>
      <x:c r="AE33" s="325" t="str">
        <x:f>IF(OR(AB33="",P33="",Y33=""),"",AB33*P33*Y33)</x:f>
      </x:c>
      <x:c r="AF33" s="325" t="str">
        <x:f>IF(OR(S33="",V33="",Y33=""),"",AC33*S33*V33*Y33)</x:f>
      </x:c>
      <x:c r="AG33" s="325" t="str">
        <x:f>IF(A33="","",MIN(1,AD33+AE33+AF33))</x:f>
      </x:c>
      <x:c r="AH33" s="329" t="str">
        <x:f>IF(A33="","",(F33+G33)*AG33)</x:f>
      </x:c>
      <x:c r="AI33" s="327" t="str">
        <x:f>IF(OR(A33="",Z33=""),"",Z33*AG33)</x:f>
      </x:c>
      <x:c r="AJ33" s="327" t="str">
        <x:f>IF(A33="","",IF(E33="Yes",AI33,0))</x:f>
      </x:c>
      <x:c r="AK33" s="322" t="str">
        <x:f>IF(A33="","",IF(OR(C33&lt;DATE(2025,1,1),D33&gt;DATE(2040,12,31),D33&lt;C33),"RED - date input",IF(AND(S33&gt;=20%,AC33=0),"RED - wind input",IF($B$3&lt;&gt;1,"AMBER - local factor requires basis","AMBER - task factors uncalibrated"))))</x:f>
      </x:c>
      <x:c r="AL33" s="321"/>
    </x:row>
    <x:row r="34">
      <x:c r="A34" s="321"/>
      <x:c r="B34" s="322" t="str">
        <x:f>IF(A34="","",INDEX('Task Library'!$B$7:$B$45,MATCH(A34,'Task Library'!$A$7:$A$45,0)))</x:f>
      </x:c>
      <x:c r="C34" s="323"/>
      <x:c r="D34" s="323"/>
      <x:c r="E34" s="321" t="str">
        <x:v>No</x:v>
      </x:c>
      <x:c r="F34" s="324"/>
      <x:c r="G34" s="324"/>
      <x:c r="H34" s="325" t="str">
        <x:f>IF(A34="","",INDEX('Task Library'!$C$7:$C$45,MATCH(A34,'Task Library'!$A$7:$A$45,0)))</x:f>
      </x:c>
      <x:c r="I34" s="326"/>
      <x:c r="J34" s="325" t="str">
        <x:f>IF(H34="","",IF(I34="",H34,I34))</x:f>
      </x:c>
      <x:c r="K34" s="325" t="str">
        <x:f>IF(A34="","",INDEX('Task Library'!$D$7:$D$45,MATCH(A34,'Task Library'!$A$7:$A$45,0)))</x:f>
      </x:c>
      <x:c r="L34" s="326"/>
      <x:c r="M34" s="325" t="str">
        <x:f>IF(K34="","",IF(L34="",K34,L34))</x:f>
      </x:c>
      <x:c r="N34" s="327" t="str">
        <x:f>IF(A34="","",INDEX('Task Library'!$E$7:$E$45,MATCH(A34,'Task Library'!$A$7:$A$45,0)))</x:f>
      </x:c>
      <x:c r="O34" s="328"/>
      <x:c r="P34" s="327" t="str">
        <x:f>IF(N34="","",IF(O34="",N34,O34))</x:f>
      </x:c>
      <x:c r="Q34" s="325" t="str">
        <x:f>IF(A34="","",INDEX('Task Library'!$F$7:$F$45,MATCH(A34,'Task Library'!$A$7:$A$45,0)))</x:f>
      </x:c>
      <x:c r="R34" s="326"/>
      <x:c r="S34" s="325" t="str">
        <x:f>IF(Q34="","",IF(R34="",Q34,R34))</x:f>
      </x:c>
      <x:c r="T34" s="325" t="str">
        <x:f>IF(A34="","",INDEX('Task Library'!$G$7:$G$45,MATCH(A34,'Task Library'!$A$7:$A$45,0)))</x:f>
      </x:c>
      <x:c r="U34" s="326"/>
      <x:c r="V34" s="325" t="str">
        <x:f>IF(T34="","",IF(U34="",T34,U34))</x:f>
      </x:c>
      <x:c r="W34" s="325" t="str">
        <x:f>IF(A34="","",INDEX('Task Library'!$H$7:$H$45,MATCH(A34,'Task Library'!$A$7:$A$45,0)))</x:f>
      </x:c>
      <x:c r="X34" s="326"/>
      <x:c r="Y34" s="325" t="str">
        <x:f>IF(W34="","",IF(X34="",W34,X34))</x:f>
      </x:c>
      <x:c r="Z34" s="327" t="str">
        <x:f>IF(OR(C34="",D34="",D34&lt;C34),"",SUMPRODUCT((('Date Engine'!$A$7:$A$5850&gt;=C34)*('Date Engine'!$A$7:$A$5850&lt;=D34)*'Date Engine'!$G$7:$G$5850)))</x:f>
      </x:c>
      <x:c r="AA34" s="325" t="str">
        <x:f>IFERROR(SUMPRODUCT((('Date Engine'!$A$7:$A$5850&gt;=C34)*('Date Engine'!$A$7:$A$5850&lt;=D34)*'Date Engine'!$G$7:$G$5850)*'Date Engine'!$H$7:$H$5850)/SUMPRODUCT((('Date Engine'!$A$7:$A$5850&gt;=C34)*('Date Engine'!$A$7:$A$5850&lt;=D34)*'Date Engine'!$G$7:$G$5850)),"")</x:f>
      </x:c>
      <x:c r="AB34" s="325" t="str">
        <x:f>IF(AA34="","",MIN(1,AA34*$B$3))</x:f>
      </x:c>
      <x:c r="AC34" s="325" t="n">
        <x:f>IF($D$3&lt;&gt;"",$D$3,IFERROR(SUMPRODUCT((('Date Engine'!$A$7:$A$5850&gt;=C34)*('Date Engine'!$A$7:$A$5850&lt;=D34)*'Date Engine'!$G$7:$G$5850)*'Date Engine'!$J$7:$J$5850)/SUMPRODUCT((('Date Engine'!$A$7:$A$5850&gt;=C34)*('Date Engine'!$A$7:$A$5850&lt;=D34)*'Date Engine'!$G$7:$G$5850)),0))</x:f>
        <x:v>0</x:v>
      </x:c>
      <x:c r="AD34" s="325" t="str">
        <x:f>IF(OR(AB34="",J34="",M34="",Y34=""),"",AB34*J34*M34*Y34)</x:f>
      </x:c>
      <x:c r="AE34" s="325" t="str">
        <x:f>IF(OR(AB34="",P34="",Y34=""),"",AB34*P34*Y34)</x:f>
      </x:c>
      <x:c r="AF34" s="325" t="str">
        <x:f>IF(OR(S34="",V34="",Y34=""),"",AC34*S34*V34*Y34)</x:f>
      </x:c>
      <x:c r="AG34" s="325" t="str">
        <x:f>IF(A34="","",MIN(1,AD34+AE34+AF34))</x:f>
      </x:c>
      <x:c r="AH34" s="329" t="str">
        <x:f>IF(A34="","",(F34+G34)*AG34)</x:f>
      </x:c>
      <x:c r="AI34" s="327" t="str">
        <x:f>IF(OR(A34="",Z34=""),"",Z34*AG34)</x:f>
      </x:c>
      <x:c r="AJ34" s="327" t="str">
        <x:f>IF(A34="","",IF(E34="Yes",AI34,0))</x:f>
      </x:c>
      <x:c r="AK34" s="322" t="str">
        <x:f>IF(A34="","",IF(OR(C34&lt;DATE(2025,1,1),D34&gt;DATE(2040,12,31),D34&lt;C34),"RED - date input",IF(AND(S34&gt;=20%,AC34=0),"RED - wind input",IF($B$3&lt;&gt;1,"AMBER - local factor requires basis","AMBER - task factors uncalibrated"))))</x:f>
      </x:c>
      <x:c r="AL34" s="321"/>
    </x:row>
    <x:row r="35">
      <x:c r="A35" s="321"/>
      <x:c r="B35" s="322" t="str">
        <x:f>IF(A35="","",INDEX('Task Library'!$B$7:$B$45,MATCH(A35,'Task Library'!$A$7:$A$45,0)))</x:f>
      </x:c>
      <x:c r="C35" s="323"/>
      <x:c r="D35" s="323"/>
      <x:c r="E35" s="321" t="str">
        <x:v>No</x:v>
      </x:c>
      <x:c r="F35" s="324"/>
      <x:c r="G35" s="324"/>
      <x:c r="H35" s="325" t="str">
        <x:f>IF(A35="","",INDEX('Task Library'!$C$7:$C$45,MATCH(A35,'Task Library'!$A$7:$A$45,0)))</x:f>
      </x:c>
      <x:c r="I35" s="326"/>
      <x:c r="J35" s="325" t="str">
        <x:f>IF(H35="","",IF(I35="",H35,I35))</x:f>
      </x:c>
      <x:c r="K35" s="325" t="str">
        <x:f>IF(A35="","",INDEX('Task Library'!$D$7:$D$45,MATCH(A35,'Task Library'!$A$7:$A$45,0)))</x:f>
      </x:c>
      <x:c r="L35" s="326"/>
      <x:c r="M35" s="325" t="str">
        <x:f>IF(K35="","",IF(L35="",K35,L35))</x:f>
      </x:c>
      <x:c r="N35" s="327" t="str">
        <x:f>IF(A35="","",INDEX('Task Library'!$E$7:$E$45,MATCH(A35,'Task Library'!$A$7:$A$45,0)))</x:f>
      </x:c>
      <x:c r="O35" s="328"/>
      <x:c r="P35" s="327" t="str">
        <x:f>IF(N35="","",IF(O35="",N35,O35))</x:f>
      </x:c>
      <x:c r="Q35" s="325" t="str">
        <x:f>IF(A35="","",INDEX('Task Library'!$F$7:$F$45,MATCH(A35,'Task Library'!$A$7:$A$45,0)))</x:f>
      </x:c>
      <x:c r="R35" s="326"/>
      <x:c r="S35" s="325" t="str">
        <x:f>IF(Q35="","",IF(R35="",Q35,R35))</x:f>
      </x:c>
      <x:c r="T35" s="325" t="str">
        <x:f>IF(A35="","",INDEX('Task Library'!$G$7:$G$45,MATCH(A35,'Task Library'!$A$7:$A$45,0)))</x:f>
      </x:c>
      <x:c r="U35" s="326"/>
      <x:c r="V35" s="325" t="str">
        <x:f>IF(T35="","",IF(U35="",T35,U35))</x:f>
      </x:c>
      <x:c r="W35" s="325" t="str">
        <x:f>IF(A35="","",INDEX('Task Library'!$H$7:$H$45,MATCH(A35,'Task Library'!$A$7:$A$45,0)))</x:f>
      </x:c>
      <x:c r="X35" s="326"/>
      <x:c r="Y35" s="325" t="str">
        <x:f>IF(W35="","",IF(X35="",W35,X35))</x:f>
      </x:c>
      <x:c r="Z35" s="327" t="str">
        <x:f>IF(OR(C35="",D35="",D35&lt;C35),"",SUMPRODUCT((('Date Engine'!$A$7:$A$5850&gt;=C35)*('Date Engine'!$A$7:$A$5850&lt;=D35)*'Date Engine'!$G$7:$G$5850)))</x:f>
      </x:c>
      <x:c r="AA35" s="325" t="str">
        <x:f>IFERROR(SUMPRODUCT((('Date Engine'!$A$7:$A$5850&gt;=C35)*('Date Engine'!$A$7:$A$5850&lt;=D35)*'Date Engine'!$G$7:$G$5850)*'Date Engine'!$H$7:$H$5850)/SUMPRODUCT((('Date Engine'!$A$7:$A$5850&gt;=C35)*('Date Engine'!$A$7:$A$5850&lt;=D35)*'Date Engine'!$G$7:$G$5850)),"")</x:f>
      </x:c>
      <x:c r="AB35" s="325" t="str">
        <x:f>IF(AA35="","",MIN(1,AA35*$B$3))</x:f>
      </x:c>
      <x:c r="AC35" s="325" t="n">
        <x:f>IF($D$3&lt;&gt;"",$D$3,IFERROR(SUMPRODUCT((('Date Engine'!$A$7:$A$5850&gt;=C35)*('Date Engine'!$A$7:$A$5850&lt;=D35)*'Date Engine'!$G$7:$G$5850)*'Date Engine'!$J$7:$J$5850)/SUMPRODUCT((('Date Engine'!$A$7:$A$5850&gt;=C35)*('Date Engine'!$A$7:$A$5850&lt;=D35)*'Date Engine'!$G$7:$G$5850)),0))</x:f>
        <x:v>0</x:v>
      </x:c>
      <x:c r="AD35" s="325" t="str">
        <x:f>IF(OR(AB35="",J35="",M35="",Y35=""),"",AB35*J35*M35*Y35)</x:f>
      </x:c>
      <x:c r="AE35" s="325" t="str">
        <x:f>IF(OR(AB35="",P35="",Y35=""),"",AB35*P35*Y35)</x:f>
      </x:c>
      <x:c r="AF35" s="325" t="str">
        <x:f>IF(OR(S35="",V35="",Y35=""),"",AC35*S35*V35*Y35)</x:f>
      </x:c>
      <x:c r="AG35" s="325" t="str">
        <x:f>IF(A35="","",MIN(1,AD35+AE35+AF35))</x:f>
      </x:c>
      <x:c r="AH35" s="329" t="str">
        <x:f>IF(A35="","",(F35+G35)*AG35)</x:f>
      </x:c>
      <x:c r="AI35" s="327" t="str">
        <x:f>IF(OR(A35="",Z35=""),"",Z35*AG35)</x:f>
      </x:c>
      <x:c r="AJ35" s="327" t="str">
        <x:f>IF(A35="","",IF(E35="Yes",AI35,0))</x:f>
      </x:c>
      <x:c r="AK35" s="322" t="str">
        <x:f>IF(A35="","",IF(OR(C35&lt;DATE(2025,1,1),D35&gt;DATE(2040,12,31),D35&lt;C35),"RED - date input",IF(AND(S35&gt;=20%,AC35=0),"RED - wind input",IF($B$3&lt;&gt;1,"AMBER - local factor requires basis","AMBER - task factors uncalibrated"))))</x:f>
      </x:c>
      <x:c r="AL35" s="321"/>
    </x:row>
    <x:row r="36">
      <x:c r="A36" s="321"/>
      <x:c r="B36" s="322" t="str">
        <x:f>IF(A36="","",INDEX('Task Library'!$B$7:$B$45,MATCH(A36,'Task Library'!$A$7:$A$45,0)))</x:f>
      </x:c>
      <x:c r="C36" s="323"/>
      <x:c r="D36" s="323"/>
      <x:c r="E36" s="321" t="str">
        <x:v>No</x:v>
      </x:c>
      <x:c r="F36" s="324"/>
      <x:c r="G36" s="324"/>
      <x:c r="H36" s="325" t="str">
        <x:f>IF(A36="","",INDEX('Task Library'!$C$7:$C$45,MATCH(A36,'Task Library'!$A$7:$A$45,0)))</x:f>
      </x:c>
      <x:c r="I36" s="326"/>
      <x:c r="J36" s="325" t="str">
        <x:f>IF(H36="","",IF(I36="",H36,I36))</x:f>
      </x:c>
      <x:c r="K36" s="325" t="str">
        <x:f>IF(A36="","",INDEX('Task Library'!$D$7:$D$45,MATCH(A36,'Task Library'!$A$7:$A$45,0)))</x:f>
      </x:c>
      <x:c r="L36" s="326"/>
      <x:c r="M36" s="325" t="str">
        <x:f>IF(K36="","",IF(L36="",K36,L36))</x:f>
      </x:c>
      <x:c r="N36" s="327" t="str">
        <x:f>IF(A36="","",INDEX('Task Library'!$E$7:$E$45,MATCH(A36,'Task Library'!$A$7:$A$45,0)))</x:f>
      </x:c>
      <x:c r="O36" s="328"/>
      <x:c r="P36" s="327" t="str">
        <x:f>IF(N36="","",IF(O36="",N36,O36))</x:f>
      </x:c>
      <x:c r="Q36" s="325" t="str">
        <x:f>IF(A36="","",INDEX('Task Library'!$F$7:$F$45,MATCH(A36,'Task Library'!$A$7:$A$45,0)))</x:f>
      </x:c>
      <x:c r="R36" s="326"/>
      <x:c r="S36" s="325" t="str">
        <x:f>IF(Q36="","",IF(R36="",Q36,R36))</x:f>
      </x:c>
      <x:c r="T36" s="325" t="str">
        <x:f>IF(A36="","",INDEX('Task Library'!$G$7:$G$45,MATCH(A36,'Task Library'!$A$7:$A$45,0)))</x:f>
      </x:c>
      <x:c r="U36" s="326"/>
      <x:c r="V36" s="325" t="str">
        <x:f>IF(T36="","",IF(U36="",T36,U36))</x:f>
      </x:c>
      <x:c r="W36" s="325" t="str">
        <x:f>IF(A36="","",INDEX('Task Library'!$H$7:$H$45,MATCH(A36,'Task Library'!$A$7:$A$45,0)))</x:f>
      </x:c>
      <x:c r="X36" s="326"/>
      <x:c r="Y36" s="325" t="str">
        <x:f>IF(W36="","",IF(X36="",W36,X36))</x:f>
      </x:c>
      <x:c r="Z36" s="327" t="str">
        <x:f>IF(OR(C36="",D36="",D36&lt;C36),"",SUMPRODUCT((('Date Engine'!$A$7:$A$5850&gt;=C36)*('Date Engine'!$A$7:$A$5850&lt;=D36)*'Date Engine'!$G$7:$G$5850)))</x:f>
      </x:c>
      <x:c r="AA36" s="325" t="str">
        <x:f>IFERROR(SUMPRODUCT((('Date Engine'!$A$7:$A$5850&gt;=C36)*('Date Engine'!$A$7:$A$5850&lt;=D36)*'Date Engine'!$G$7:$G$5850)*'Date Engine'!$H$7:$H$5850)/SUMPRODUCT((('Date Engine'!$A$7:$A$5850&gt;=C36)*('Date Engine'!$A$7:$A$5850&lt;=D36)*'Date Engine'!$G$7:$G$5850)),"")</x:f>
      </x:c>
      <x:c r="AB36" s="325" t="str">
        <x:f>IF(AA36="","",MIN(1,AA36*$B$3))</x:f>
      </x:c>
      <x:c r="AC36" s="325" t="n">
        <x:f>IF($D$3&lt;&gt;"",$D$3,IFERROR(SUMPRODUCT((('Date Engine'!$A$7:$A$5850&gt;=C36)*('Date Engine'!$A$7:$A$5850&lt;=D36)*'Date Engine'!$G$7:$G$5850)*'Date Engine'!$J$7:$J$5850)/SUMPRODUCT((('Date Engine'!$A$7:$A$5850&gt;=C36)*('Date Engine'!$A$7:$A$5850&lt;=D36)*'Date Engine'!$G$7:$G$5850)),0))</x:f>
        <x:v>0</x:v>
      </x:c>
      <x:c r="AD36" s="325" t="str">
        <x:f>IF(OR(AB36="",J36="",M36="",Y36=""),"",AB36*J36*M36*Y36)</x:f>
      </x:c>
      <x:c r="AE36" s="325" t="str">
        <x:f>IF(OR(AB36="",P36="",Y36=""),"",AB36*P36*Y36)</x:f>
      </x:c>
      <x:c r="AF36" s="325" t="str">
        <x:f>IF(OR(S36="",V36="",Y36=""),"",AC36*S36*V36*Y36)</x:f>
      </x:c>
      <x:c r="AG36" s="325" t="str">
        <x:f>IF(A36="","",MIN(1,AD36+AE36+AF36))</x:f>
      </x:c>
      <x:c r="AH36" s="329" t="str">
        <x:f>IF(A36="","",(F36+G36)*AG36)</x:f>
      </x:c>
      <x:c r="AI36" s="327" t="str">
        <x:f>IF(OR(A36="",Z36=""),"",Z36*AG36)</x:f>
      </x:c>
      <x:c r="AJ36" s="327" t="str">
        <x:f>IF(A36="","",IF(E36="Yes",AI36,0))</x:f>
      </x:c>
      <x:c r="AK36" s="322" t="str">
        <x:f>IF(A36="","",IF(OR(C36&lt;DATE(2025,1,1),D36&gt;DATE(2040,12,31),D36&lt;C36),"RED - date input",IF(AND(S36&gt;=20%,AC36=0),"RED - wind input",IF($B$3&lt;&gt;1,"AMBER - local factor requires basis","AMBER - task factors uncalibrated"))))</x:f>
      </x:c>
      <x:c r="AL36" s="321"/>
    </x:row>
    <x:row r="37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  <x:c r="N37" s="269"/>
      <x:c r="O37" s="269"/>
      <x:c r="P37" s="269"/>
      <x:c r="Q37" s="269"/>
      <x:c r="R37" s="269"/>
      <x:c r="S37" s="269"/>
      <x:c r="T37" s="269"/>
      <x:c r="U37" s="269"/>
      <x:c r="V37" s="269"/>
      <x:c r="W37" s="269"/>
      <x:c r="X37" s="269"/>
      <x:c r="Y37" s="269"/>
      <x:c r="Z37" s="269"/>
      <x:c r="AA37" s="269"/>
      <x:c r="AB37" s="269"/>
      <x:c r="AC37" s="269"/>
      <x:c r="AD37" s="269"/>
      <x:c r="AE37" s="269"/>
      <x:c r="AF37" s="269"/>
      <x:c r="AG37" s="269"/>
      <x:c r="AH37" s="269"/>
      <x:c r="AI37" s="269"/>
      <x:c r="AJ37" s="269"/>
      <x:c r="AK37" s="269"/>
      <x:c r="AL37" s="269"/>
    </x:row>
    <x:row r="38">
      <x:c r="A38" s="270" t="str">
        <x:v>Project Weather Summary</x:v>
      </x:c>
      <x:c r="B38" s="297" t="str">
        <x:v>Project Weather Summary</x:v>
      </x:c>
      <x:c r="C38" s="297" t="str">
        <x:v>Project Weather Summary</x:v>
      </x:c>
      <x:c r="D38" s="297" t="str">
        <x:v>Project Weather Summary</x:v>
      </x:c>
      <x:c r="E38" s="297" t="str">
        <x:v>Project Weather Summary</x:v>
      </x:c>
      <x:c r="F38" s="297" t="str">
        <x:v>Project Weather Summary</x:v>
      </x:c>
      <x:c r="G38" s="297" t="str">
        <x:v>Project Weather Summary</x:v>
      </x:c>
      <x:c r="H38" s="271" t="str">
        <x:v>Project Weather Summary</x:v>
      </x:c>
      <x:c r="I38" s="269"/>
      <x:c r="J38" s="269"/>
      <x:c r="K38" s="269"/>
      <x:c r="L38" s="269"/>
      <x:c r="M38" s="269"/>
      <x:c r="N38" s="269"/>
      <x:c r="O38" s="269"/>
      <x:c r="P38" s="269"/>
      <x:c r="Q38" s="269"/>
      <x:c r="R38" s="269"/>
      <x:c r="S38" s="269"/>
      <x:c r="T38" s="269"/>
      <x:c r="U38" s="269"/>
      <x:c r="V38" s="269"/>
      <x:c r="W38" s="269"/>
      <x:c r="X38" s="269"/>
      <x:c r="Y38" s="269"/>
      <x:c r="Z38" s="269"/>
      <x:c r="AA38" s="269"/>
      <x:c r="AB38" s="269"/>
      <x:c r="AC38" s="269"/>
      <x:c r="AD38" s="269"/>
      <x:c r="AE38" s="269"/>
      <x:c r="AF38" s="269"/>
      <x:c r="AG38" s="269"/>
      <x:c r="AH38" s="269"/>
      <x:c r="AI38" s="269"/>
      <x:c r="AJ38" s="269"/>
      <x:c r="AK38" s="269"/>
      <x:c r="AL38" s="269"/>
    </x:row>
    <x:row r="39">
      <x:c r="A39" s="269" t="str">
        <x:v>Exposed labour + plant $</x:v>
      </x:c>
      <x:c r="B39" s="330" t="n">
        <x:f>SUM(F7:G36)</x:f>
        <x:v>0</x:v>
      </x:c>
      <x:c r="C39" s="269"/>
      <x:c r="D39" s="298" t="str">
        <x:v>Use this summary in the estimate only after:
1. Activities and dates align with the live programme.
2. Critical Path = Yes reflects the real critical path, not every weather-sensitive task.
3. Labour and plant values include only weather-exposed cost pools.
4. RED inputs are resolved or expressly excluded.
5. AMBER task factors are disclosed and assigned a firm-up action.</x:v>
      </x:c>
      <x:c r="E39" s="299"/>
      <x:c r="F39" s="299"/>
      <x:c r="G39" s="299"/>
      <x:c r="H39" s="300"/>
      <x:c r="I39" s="269"/>
      <x:c r="J39" s="269"/>
      <x:c r="K39" s="269"/>
      <x:c r="L39" s="269"/>
      <x:c r="M39" s="269"/>
      <x:c r="N39" s="269"/>
      <x:c r="O39" s="269"/>
      <x:c r="P39" s="269"/>
      <x:c r="Q39" s="269"/>
      <x:c r="R39" s="269"/>
      <x:c r="S39" s="269"/>
      <x:c r="T39" s="269"/>
      <x:c r="U39" s="269"/>
      <x:c r="V39" s="269"/>
      <x:c r="W39" s="269"/>
      <x:c r="X39" s="269"/>
      <x:c r="Y39" s="269"/>
      <x:c r="Z39" s="269"/>
      <x:c r="AA39" s="269"/>
      <x:c r="AB39" s="269"/>
      <x:c r="AC39" s="269"/>
      <x:c r="AD39" s="269"/>
      <x:c r="AE39" s="269"/>
      <x:c r="AF39" s="269"/>
      <x:c r="AG39" s="269"/>
      <x:c r="AH39" s="269"/>
      <x:c r="AI39" s="269"/>
      <x:c r="AJ39" s="269"/>
      <x:c r="AK39" s="269"/>
      <x:c r="AL39" s="269"/>
    </x:row>
    <x:row r="40">
      <x:c r="A40" s="269" t="str">
        <x:v>Direct productivity allowance $</x:v>
      </x:c>
      <x:c r="B40" s="331" t="n">
        <x:f>SUM(AH7:AH36)</x:f>
        <x:v>0</x:v>
      </x:c>
      <x:c r="C40" s="269"/>
      <x:c r="D40" s="301"/>
      <x:c r="E40" s="302"/>
      <x:c r="F40" s="302"/>
      <x:c r="G40" s="302"/>
      <x:c r="H40" s="303"/>
      <x:c r="I40" s="269"/>
      <x:c r="J40" s="269"/>
      <x:c r="K40" s="269"/>
      <x:c r="L40" s="269"/>
      <x:c r="M40" s="269"/>
      <x:c r="N40" s="269"/>
      <x:c r="O40" s="269"/>
      <x:c r="P40" s="269"/>
      <x:c r="Q40" s="269"/>
      <x:c r="R40" s="269"/>
      <x:c r="S40" s="269"/>
      <x:c r="T40" s="269"/>
      <x:c r="U40" s="269"/>
      <x:c r="V40" s="269"/>
      <x:c r="W40" s="269"/>
      <x:c r="X40" s="269"/>
      <x:c r="Y40" s="269"/>
      <x:c r="Z40" s="269"/>
      <x:c r="AA40" s="269"/>
      <x:c r="AB40" s="269"/>
      <x:c r="AC40" s="269"/>
      <x:c r="AD40" s="269"/>
      <x:c r="AE40" s="269"/>
      <x:c r="AF40" s="269"/>
      <x:c r="AG40" s="269"/>
      <x:c r="AH40" s="269"/>
      <x:c r="AI40" s="269"/>
      <x:c r="AJ40" s="269"/>
      <x:c r="AK40" s="269"/>
      <x:c r="AL40" s="269"/>
    </x:row>
    <x:row r="41">
      <x:c r="A41" s="269" t="str">
        <x:v>Suggested critical-path delay working days</x:v>
      </x:c>
      <x:c r="B41" s="332" t="n">
        <x:f>SUM(AJ7:AJ36)</x:f>
        <x:v>0</x:v>
      </x:c>
      <x:c r="C41" s="269"/>
      <x:c r="D41" s="301"/>
      <x:c r="E41" s="302"/>
      <x:c r="F41" s="302"/>
      <x:c r="G41" s="302"/>
      <x:c r="H41" s="303"/>
      <x:c r="I41" s="269"/>
      <x:c r="J41" s="269"/>
      <x:c r="K41" s="269"/>
      <x:c r="L41" s="269"/>
      <x:c r="M41" s="269"/>
      <x:c r="N41" s="269"/>
      <x:c r="O41" s="269"/>
      <x:c r="P41" s="269"/>
      <x:c r="Q41" s="269"/>
      <x:c r="R41" s="269"/>
      <x:c r="S41" s="269"/>
      <x:c r="T41" s="269"/>
      <x:c r="U41" s="269"/>
      <x:c r="V41" s="269"/>
      <x:c r="W41" s="269"/>
      <x:c r="X41" s="269"/>
      <x:c r="Y41" s="269"/>
      <x:c r="Z41" s="269"/>
      <x:c r="AA41" s="269"/>
      <x:c r="AB41" s="269"/>
      <x:c r="AC41" s="269"/>
      <x:c r="AD41" s="269"/>
      <x:c r="AE41" s="269"/>
      <x:c r="AF41" s="269"/>
      <x:c r="AG41" s="269"/>
      <x:c r="AH41" s="269"/>
      <x:c r="AI41" s="269"/>
      <x:c r="AJ41" s="269"/>
      <x:c r="AK41" s="269"/>
      <x:c r="AL41" s="269"/>
    </x:row>
    <x:row r="42">
      <x:c r="A42" s="269" t="str">
        <x:v>Time-related preliminaries allowance $</x:v>
      </x:c>
      <x:c r="B42" s="331" t="n">
        <x:f>B41*$F$3</x:f>
        <x:v>0</x:v>
      </x:c>
      <x:c r="C42" s="269"/>
      <x:c r="D42" s="301"/>
      <x:c r="E42" s="302"/>
      <x:c r="F42" s="302"/>
      <x:c r="G42" s="302"/>
      <x:c r="H42" s="303"/>
      <x:c r="I42" s="269"/>
      <x:c r="J42" s="269"/>
      <x:c r="K42" s="269"/>
      <x:c r="L42" s="269"/>
      <x:c r="M42" s="269"/>
      <x:c r="N42" s="269"/>
      <x:c r="O42" s="269"/>
      <x:c r="P42" s="269"/>
      <x:c r="Q42" s="269"/>
      <x:c r="R42" s="269"/>
      <x:c r="S42" s="269"/>
      <x:c r="T42" s="269"/>
      <x:c r="U42" s="269"/>
      <x:c r="V42" s="269"/>
      <x:c r="W42" s="269"/>
      <x:c r="X42" s="269"/>
      <x:c r="Y42" s="269"/>
      <x:c r="Z42" s="269"/>
      <x:c r="AA42" s="269"/>
      <x:c r="AB42" s="269"/>
      <x:c r="AC42" s="269"/>
      <x:c r="AD42" s="269"/>
      <x:c r="AE42" s="269"/>
      <x:c r="AF42" s="269"/>
      <x:c r="AG42" s="269"/>
      <x:c r="AH42" s="269"/>
      <x:c r="AI42" s="269"/>
      <x:c r="AJ42" s="269"/>
      <x:c r="AK42" s="269"/>
      <x:c r="AL42" s="269"/>
    </x:row>
    <x:row r="43">
      <x:c r="A43" s="269" t="str">
        <x:v>Additional billed hire weeks</x:v>
      </x:c>
      <x:c r="B43" s="333" t="n">
        <x:f>IF(B41=0,0,ROUNDUP(B41/'Estimator'!$B$7,0))</x:f>
        <x:v>0</x:v>
      </x:c>
      <x:c r="C43" s="269"/>
      <x:c r="D43" s="301"/>
      <x:c r="E43" s="302"/>
      <x:c r="F43" s="302"/>
      <x:c r="G43" s="302"/>
      <x:c r="H43" s="303"/>
      <x:c r="I43" s="269"/>
      <x:c r="J43" s="269"/>
      <x:c r="K43" s="269"/>
      <x:c r="L43" s="269"/>
      <x:c r="M43" s="269"/>
      <x:c r="N43" s="269"/>
      <x:c r="O43" s="269"/>
      <x:c r="P43" s="269"/>
      <x:c r="Q43" s="269"/>
      <x:c r="R43" s="269"/>
      <x:c r="S43" s="269"/>
      <x:c r="T43" s="269"/>
      <x:c r="U43" s="269"/>
      <x:c r="V43" s="269"/>
      <x:c r="W43" s="269"/>
      <x:c r="X43" s="269"/>
      <x:c r="Y43" s="269"/>
      <x:c r="Z43" s="269"/>
      <x:c r="AA43" s="269"/>
      <x:c r="AB43" s="269"/>
      <x:c r="AC43" s="269"/>
      <x:c r="AD43" s="269"/>
      <x:c r="AE43" s="269"/>
      <x:c r="AF43" s="269"/>
      <x:c r="AG43" s="269"/>
      <x:c r="AH43" s="269"/>
      <x:c r="AI43" s="269"/>
      <x:c r="AJ43" s="269"/>
      <x:c r="AK43" s="269"/>
      <x:c r="AL43" s="269"/>
    </x:row>
    <x:row r="44">
      <x:c r="A44" s="269" t="str">
        <x:v>Hire / facilities allowance $</x:v>
      </x:c>
      <x:c r="B44" s="331" t="n">
        <x:f>B43*$H$3</x:f>
        <x:v>0</x:v>
      </x:c>
      <x:c r="C44" s="269"/>
      <x:c r="D44" s="301"/>
      <x:c r="E44" s="302"/>
      <x:c r="F44" s="302"/>
      <x:c r="G44" s="302"/>
      <x:c r="H44" s="303"/>
      <x:c r="I44" s="269"/>
      <x:c r="J44" s="269"/>
      <x:c r="K44" s="269"/>
      <x:c r="L44" s="269"/>
      <x:c r="M44" s="269"/>
      <x:c r="N44" s="269"/>
      <x:c r="O44" s="269"/>
      <x:c r="P44" s="269"/>
      <x:c r="Q44" s="269"/>
      <x:c r="R44" s="269"/>
      <x:c r="S44" s="269"/>
      <x:c r="T44" s="269"/>
      <x:c r="U44" s="269"/>
      <x:c r="V44" s="269"/>
      <x:c r="W44" s="269"/>
      <x:c r="X44" s="269"/>
      <x:c r="Y44" s="269"/>
      <x:c r="Z44" s="269"/>
      <x:c r="AA44" s="269"/>
      <x:c r="AB44" s="269"/>
      <x:c r="AC44" s="269"/>
      <x:c r="AD44" s="269"/>
      <x:c r="AE44" s="269"/>
      <x:c r="AF44" s="269"/>
      <x:c r="AG44" s="269"/>
      <x:c r="AH44" s="269"/>
      <x:c r="AI44" s="269"/>
      <x:c r="AJ44" s="269"/>
      <x:c r="AK44" s="269"/>
      <x:c r="AL44" s="269"/>
    </x:row>
    <x:row r="45">
      <x:c r="A45" s="269" t="str">
        <x:v>Project recovery / remediation allowance $</x:v>
      </x:c>
      <x:c r="B45" s="331" t="n">
        <x:f>$J$3</x:f>
        <x:v>0</x:v>
      </x:c>
      <x:c r="C45" s="269"/>
      <x:c r="D45" s="301"/>
      <x:c r="E45" s="302"/>
      <x:c r="F45" s="302"/>
      <x:c r="G45" s="302"/>
      <x:c r="H45" s="303"/>
      <x:c r="I45" s="269"/>
      <x:c r="J45" s="269"/>
      <x:c r="K45" s="269"/>
      <x:c r="L45" s="269"/>
      <x:c r="M45" s="269"/>
      <x:c r="N45" s="269"/>
      <x:c r="O45" s="269"/>
      <x:c r="P45" s="269"/>
      <x:c r="Q45" s="269"/>
      <x:c r="R45" s="269"/>
      <x:c r="S45" s="269"/>
      <x:c r="T45" s="269"/>
      <x:c r="U45" s="269"/>
      <x:c r="V45" s="269"/>
      <x:c r="W45" s="269"/>
      <x:c r="X45" s="269"/>
      <x:c r="Y45" s="269"/>
      <x:c r="Z45" s="269"/>
      <x:c r="AA45" s="269"/>
      <x:c r="AB45" s="269"/>
      <x:c r="AC45" s="269"/>
      <x:c r="AD45" s="269"/>
      <x:c r="AE45" s="269"/>
      <x:c r="AF45" s="269"/>
      <x:c r="AG45" s="269"/>
      <x:c r="AH45" s="269"/>
      <x:c r="AI45" s="269"/>
      <x:c r="AJ45" s="269"/>
      <x:c r="AK45" s="269"/>
      <x:c r="AL45" s="269"/>
    </x:row>
    <x:row r="46">
      <x:c r="A46" s="269" t="str">
        <x:v>Total weather allowance $</x:v>
      </x:c>
      <x:c r="B46" s="334" t="n">
        <x:f>SUM(B40,B42,B44:B45)</x:f>
        <x:v>0</x:v>
      </x:c>
      <x:c r="C46" s="269"/>
      <x:c r="D46" s="304"/>
      <x:c r="E46" s="305"/>
      <x:c r="F46" s="305"/>
      <x:c r="G46" s="305"/>
      <x:c r="H46" s="306"/>
      <x:c r="I46" s="269"/>
      <x:c r="J46" s="269"/>
      <x:c r="K46" s="269"/>
      <x:c r="L46" s="269"/>
      <x:c r="M46" s="269"/>
      <x:c r="N46" s="269"/>
      <x:c r="O46" s="269"/>
      <x:c r="P46" s="269"/>
      <x:c r="Q46" s="269"/>
      <x:c r="R46" s="269"/>
      <x:c r="S46" s="269"/>
      <x:c r="T46" s="269"/>
      <x:c r="U46" s="269"/>
      <x:c r="V46" s="269"/>
      <x:c r="W46" s="269"/>
      <x:c r="X46" s="269"/>
      <x:c r="Y46" s="269"/>
      <x:c r="Z46" s="269"/>
      <x:c r="AA46" s="269"/>
      <x:c r="AB46" s="269"/>
      <x:c r="AC46" s="269"/>
      <x:c r="AD46" s="269"/>
      <x:c r="AE46" s="269"/>
      <x:c r="AF46" s="269"/>
      <x:c r="AG46" s="269"/>
      <x:c r="AH46" s="269"/>
      <x:c r="AI46" s="269"/>
      <x:c r="AJ46" s="269"/>
      <x:c r="AK46" s="269"/>
      <x:c r="AL46" s="269"/>
    </x:row>
  </x:sheetData>
  <x:mergeCells>
    <x:mergeCell ref="A1:AL1"/>
    <x:mergeCell ref="L3:Q4"/>
    <x:mergeCell ref="A38:H38"/>
    <x:mergeCell ref="D39:H46"/>
  </x:mergeCells>
  <x:conditionalFormatting sqref="AK7:AK36">
    <x:cfRule type="containsText" dxfId="24" priority="1" operator="containsText" text="GREEN"/>
    <x:cfRule type="containsText" dxfId="25" priority="2" operator="containsText" text="AMBER"/>
    <x:cfRule type="containsText" dxfId="26" priority="3" operator="containsText" text="RED"/>
    <x:cfRule type="containsText" dxfId="27" priority="4" operator="containsText" text="UNCALIBRATED"/>
  </x:conditionalFormatting>
  <x:dataValidations count="2">
    <x:dataValidation type="list" sqref="A7:A36">
      <x:formula1>'Task Library'!$A$7:$A$45</x:formula1>
    </x:dataValidation>
    <x:dataValidation type="list" sqref="E7:E36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4" hidden="0" customWidth="1"/>
    <x:col min="10" max="10" width="24" hidden="0" customWidth="1"/>
    <x:col min="11" max="11" width="24" hidden="0" customWidth="1"/>
    <x:col min="12" max="12" width="55" hidden="0" customWidth="1"/>
    <x:col min="13" max="13" width="50" hidden="0" customWidth="1"/>
    <x:col min="14" max="14" width="16" hidden="0" customWidth="1"/>
    <x:col min="15" max="15" width="16" hidden="0" customWidth="1"/>
  </x:cols>
  <x:sheetData>
    <x:row r="1" ht="26" customHeight="1">
      <x:c r="A1" s="316" t="str">
        <x:v>Task Weather Sensitivity Library - Company Defaults</x:v>
      </x:c>
      <x:c r="B1" s="268" t="str">
        <x:v>Task Weather Sensitivity Library - Company Defaults</x:v>
      </x:c>
      <x:c r="C1" s="268" t="str">
        <x:v>Task Weather Sensitivity Library - Company Defaults</x:v>
      </x:c>
      <x:c r="D1" s="268" t="str">
        <x:v>Task Weather Sensitivity Library - Company Defaults</x:v>
      </x:c>
      <x:c r="E1" s="268" t="str">
        <x:v>Task Weather Sensitivity Library - Company Defaults</x:v>
      </x:c>
      <x:c r="F1" s="268" t="str">
        <x:v>Task Weather Sensitivity Library - Company Defaults</x:v>
      </x:c>
      <x:c r="G1" s="268" t="str">
        <x:v>Task Weather Sensitivity Library - Company Defaults</x:v>
      </x:c>
      <x:c r="H1" s="268" t="str">
        <x:v>Task Weather Sensitivity Library - Company Defaults</x:v>
      </x:c>
      <x:c r="I1" s="268" t="str">
        <x:v>Task Weather Sensitivity Library - Company Defaults</x:v>
      </x:c>
      <x:c r="J1" s="268" t="str">
        <x:v>Task Weather Sensitivity Library - Company Defaults</x:v>
      </x:c>
      <x:c r="K1" s="268" t="str">
        <x:v>Task Weather Sensitivity Library - Company Defaults</x:v>
      </x:c>
      <x:c r="L1" s="268" t="str">
        <x:v>Task Weather Sensitivity Library - Company Defaults</x:v>
      </x:c>
      <x:c r="M1" s="268" t="str">
        <x:v>Task Weather Sensitivity Library - Company Defaults</x:v>
      </x:c>
      <x:c r="N1" s="268" t="str">
        <x:v>Task Weather Sensitivity Library - Company Defaults</x:v>
      </x:c>
      <x:c r="O1" s="268" t="str">
        <x:v>Task Weather Sensitivity Library - Company Defaults</x:v>
      </x:c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  <x:c r="K2" s="269"/>
      <x:c r="L2" s="269"/>
      <x:c r="M2" s="269"/>
      <x:c r="N2" s="269"/>
      <x:c r="O2" s="269"/>
    </x:row>
    <x:row r="3">
      <x:c r="A3" s="319" t="str">
        <x:v>These defaults are transparent company judgement, not NIWA facts. They remain AMBER until calibrated against actual project records and independently reviewed. Override only with a recorded job-specific basis. Wet-ground carryover is an equivalent lost-day fraction following each wet day, not a guaranteed shutdown.</x:v>
      </x:c>
      <x:c r="B3" s="319"/>
      <x:c r="C3" s="319"/>
      <x:c r="D3" s="319"/>
      <x:c r="E3" s="319"/>
      <x:c r="F3" s="319"/>
      <x:c r="G3" s="319"/>
      <x:c r="H3" s="319"/>
      <x:c r="I3" s="319"/>
      <x:c r="J3" s="319"/>
      <x:c r="K3" s="319"/>
      <x:c r="L3" s="319"/>
      <x:c r="M3" s="319"/>
      <x:c r="N3" s="319"/>
      <x:c r="O3" s="319"/>
    </x:row>
    <x:row r="4">
      <x:c r="A4" s="319"/>
      <x:c r="B4" s="319"/>
      <x:c r="C4" s="319"/>
      <x:c r="D4" s="319"/>
      <x:c r="E4" s="319"/>
      <x:c r="F4" s="319"/>
      <x:c r="G4" s="319"/>
      <x:c r="H4" s="319"/>
      <x:c r="I4" s="319"/>
      <x:c r="J4" s="319"/>
      <x:c r="K4" s="319"/>
      <x:c r="L4" s="319"/>
      <x:c r="M4" s="319"/>
      <x:c r="N4" s="319"/>
      <x:c r="O4" s="319"/>
    </x:row>
    <x:row r="5">
      <x:c r="A5" s="319"/>
      <x:c r="B5" s="319"/>
      <x:c r="C5" s="319"/>
      <x:c r="D5" s="319"/>
      <x:c r="E5" s="319"/>
      <x:c r="F5" s="319"/>
      <x:c r="G5" s="319"/>
      <x:c r="H5" s="319"/>
      <x:c r="I5" s="319"/>
      <x:c r="J5" s="319"/>
      <x:c r="K5" s="319"/>
      <x:c r="L5" s="319"/>
      <x:c r="M5" s="319"/>
      <x:c r="N5" s="319"/>
      <x:c r="O5" s="319"/>
    </x:row>
    <x:row r="6">
      <x:c r="A6" s="320" t="str">
        <x:v>Task</x:v>
      </x:c>
      <x:c r="B6" s="320" t="str">
        <x:v>Category</x:v>
      </x:c>
      <x:c r="C6" s="320" t="str">
        <x:v>Rain Exposure</x:v>
      </x:c>
      <x:c r="D6" s="320" t="str">
        <x:v>Rain Productivity Loss</x:v>
      </x:c>
      <x:c r="E6" s="320" t="str">
        <x:v>Wet-Ground Carryover Eq. Days / Wet Day</x:v>
      </x:c>
      <x:c r="F6" s="320" t="str">
        <x:v>Wind Sensitivity</x:v>
      </x:c>
      <x:c r="G6" s="320" t="str">
        <x:v>Wind Productivity Loss</x:v>
      </x:c>
      <x:c r="H6" s="320" t="str">
        <x:v>Nonrecoverable Share</x:v>
      </x:c>
      <x:c r="I6" s="320" t="str">
        <x:v>Default Status</x:v>
      </x:c>
      <x:c r="J6" s="320" t="str">
        <x:v>Actual Records</x:v>
      </x:c>
      <x:c r="K6" s="320" t="str">
        <x:v>Calibration Status</x:v>
      </x:c>
      <x:c r="L6" s="320" t="str">
        <x:v>Original Basis Note</x:v>
      </x:c>
      <x:c r="M6" s="320" t="str">
        <x:v>Required Review Action</x:v>
      </x:c>
      <x:c r="N6" s="320" t="str">
        <x:v>Approved By</x:v>
      </x:c>
      <x:c r="O6" s="320" t="str">
        <x:v>Approved Date</x:v>
      </x:c>
    </x:row>
    <x:row r="7">
      <x:c r="A7" s="335" t="str">
        <x:v>Site establishment / temp fencing</x:v>
      </x:c>
      <x:c r="B7" s="335" t="str">
        <x:v>Civil</x:v>
      </x:c>
      <x:c r="C7" s="336" t="str">
        <x:v>0.35</x:v>
      </x:c>
      <x:c r="D7" s="336" t="str">
        <x:v>0.20</x:v>
      </x:c>
      <x:c r="E7" s="337" t="n">
        <x:v>0.02</x:v>
      </x:c>
      <x:c r="F7" s="336" t="str">
        <x:v>0.10</x:v>
      </x:c>
      <x:c r="G7" s="336" t="str">
        <x:v>0.20</x:v>
      </x:c>
      <x:c r="H7" s="336" t="str">
        <x:v>0.40</x:v>
      </x:c>
      <x:c r="I7" s="338" t="str">
        <x:v>AMBER - company judgement</x:v>
      </x:c>
      <x:c r="J7" s="338" t="n">
        <x:f>COUNTIF('Weather Log'!$D$7:$D$206,A7)</x:f>
        <x:v>0</x:v>
      </x:c>
      <x:c r="K7" s="338" t="str">
        <x:f>IF(J7=0,"UNCALIBRATED",IF(J7&lt;5,"PARTIAL - fewer than 5 records",IF(J7&lt;10,"AMBER - 5 to 9 records","REVIEW FOR GREEN - 10+ records")))</x:f>
        <x:v>UNCALIBRATED</x:v>
      </x:c>
      <x:c r="L7" s="335" t="str">
        <x:v>General outdoor set-up, usually partly workable.</x:v>
      </x:c>
      <x:c r="M7" s="335" t="str">
        <x:v>Calibrate from Weather Log and obtain estimator/PM approval before GREEN.</x:v>
      </x:c>
      <x:c r="N7" s="335" t="str"/>
      <x:c r="O7" s="335" t="str"/>
    </x:row>
    <x:row r="8">
      <x:c r="A8" s="335" t="str">
        <x:v>Erosion &amp; sediment controls</x:v>
      </x:c>
      <x:c r="B8" s="335" t="str">
        <x:v>Civil</x:v>
      </x:c>
      <x:c r="C8" s="336" t="str">
        <x:v>0.85</x:v>
      </x:c>
      <x:c r="D8" s="336" t="str">
        <x:v>0.50</x:v>
      </x:c>
      <x:c r="E8" s="337" t="n">
        <x:v>0.08</x:v>
      </x:c>
      <x:c r="F8" s="336" t="str">
        <x:v>0.20</x:v>
      </x:c>
      <x:c r="G8" s="336" t="str">
        <x:v>0.50</x:v>
      </x:c>
      <x:c r="H8" s="336" t="str">
        <x:v>0.70</x:v>
      </x:c>
      <x:c r="I8" s="338" t="str">
        <x:v>AMBER - company judgement</x:v>
      </x:c>
      <x:c r="J8" s="338" t="n">
        <x:f>COUNTIF('Weather Log'!$D$7:$D$206,A8)</x:f>
        <x:v>0</x:v>
      </x:c>
      <x:c r="K8" s="338" t="str">
        <x:f>IF(J8=0,"UNCALIBRATED",IF(J8&lt;5,"PARTIAL - fewer than 5 records",IF(J8&lt;10,"AMBER - 5 to 9 records","REVIEW FOR GREEN - 10+ records")))</x:f>
        <x:v>UNCALIBRATED</x:v>
      </x:c>
      <x:c r="L8" s="335" t="str">
        <x:v>Often still required in wet weather, but slower and messier.</x:v>
      </x:c>
      <x:c r="M8" s="335" t="str">
        <x:v>Calibrate from Weather Log and obtain estimator/PM approval before GREEN.</x:v>
      </x:c>
      <x:c r="N8" s="335" t="str"/>
      <x:c r="O8" s="335" t="str"/>
    </x:row>
    <x:row r="9">
      <x:c r="A9" s="335" t="str">
        <x:v>Bulk earthworks</x:v>
      </x:c>
      <x:c r="B9" s="335" t="str">
        <x:v>Civil</x:v>
      </x:c>
      <x:c r="C9" s="336" t="str">
        <x:v>1.00</x:v>
      </x:c>
      <x:c r="D9" s="336" t="str">
        <x:v>0.70</x:v>
      </x:c>
      <x:c r="E9" s="337" t="n">
        <x:v>0.2</x:v>
      </x:c>
      <x:c r="F9" s="336" t="str">
        <x:v>0.15</x:v>
      </x:c>
      <x:c r="G9" s="336" t="str">
        <x:v>0.70</x:v>
      </x:c>
      <x:c r="H9" s="336" t="str">
        <x:v>0.85</x:v>
      </x:c>
      <x:c r="I9" s="338" t="str">
        <x:v>AMBER - company judgement</x:v>
      </x:c>
      <x:c r="J9" s="338" t="n">
        <x:f>COUNTIF('Weather Log'!$D$7:$D$206,A9)</x:f>
        <x:v>0</x:v>
      </x:c>
      <x:c r="K9" s="338" t="str">
        <x:f>IF(J9=0,"UNCALIBRATED",IF(J9&lt;5,"PARTIAL - fewer than 5 records",IF(J9&lt;10,"AMBER - 5 to 9 records","REVIEW FOR GREEN - 10+ records")))</x:f>
        <x:v>UNCALIBRATED</x:v>
      </x:c>
      <x:c r="L9" s="335" t="str">
        <x:v>Highly exposed to wet ground and access deterioration.</x:v>
      </x:c>
      <x:c r="M9" s="335" t="str">
        <x:v>Calibrate from Weather Log and obtain estimator/PM approval before GREEN.</x:v>
      </x:c>
      <x:c r="N9" s="335" t="str"/>
      <x:c r="O9" s="335" t="str"/>
    </x:row>
    <x:row r="10">
      <x:c r="A10" s="335" t="str">
        <x:v>Detailed earthworks / trim subgrade</x:v>
      </x:c>
      <x:c r="B10" s="335" t="str">
        <x:v>Civil</x:v>
      </x:c>
      <x:c r="C10" s="336" t="str">
        <x:v>1.00</x:v>
      </x:c>
      <x:c r="D10" s="336" t="str">
        <x:v>0.80</x:v>
      </x:c>
      <x:c r="E10" s="337" t="n">
        <x:v>0.25</x:v>
      </x:c>
      <x:c r="F10" s="336" t="str">
        <x:v>0.15</x:v>
      </x:c>
      <x:c r="G10" s="336" t="str">
        <x:v>0.80</x:v>
      </x:c>
      <x:c r="H10" s="336" t="str">
        <x:v>0.90</x:v>
      </x:c>
      <x:c r="I10" s="338" t="str">
        <x:v>AMBER - company judgement</x:v>
      </x:c>
      <x:c r="J10" s="338" t="n">
        <x:f>COUNTIF('Weather Log'!$D$7:$D$206,A10)</x:f>
        <x:v>0</x:v>
      </x:c>
      <x:c r="K10" s="338" t="str">
        <x:f>IF(J10=0,"UNCALIBRATED",IF(J10&lt;5,"PARTIAL - fewer than 5 records",IF(J10&lt;10,"AMBER - 5 to 9 records","REVIEW FOR GREEN - 10+ records")))</x:f>
        <x:v>UNCALIBRATED</x:v>
      </x:c>
      <x:c r="L10" s="335" t="str">
        <x:v>Fine tolerances make wet conditions painful.</x:v>
      </x:c>
      <x:c r="M10" s="335" t="str">
        <x:v>Calibrate from Weather Log and obtain estimator/PM approval before GREEN.</x:v>
      </x:c>
      <x:c r="N10" s="335" t="str"/>
      <x:c r="O10" s="335" t="str"/>
    </x:row>
    <x:row r="11">
      <x:c r="A11" s="335" t="str">
        <x:v>Cut to fill / cartage</x:v>
      </x:c>
      <x:c r="B11" s="335" t="str">
        <x:v>Civil</x:v>
      </x:c>
      <x:c r="C11" s="336" t="str">
        <x:v>0.95</x:v>
      </x:c>
      <x:c r="D11" s="336" t="str">
        <x:v>0.65</x:v>
      </x:c>
      <x:c r="E11" s="337" t="n">
        <x:v>0.15</x:v>
      </x:c>
      <x:c r="F11" s="336" t="str">
        <x:v>0.10</x:v>
      </x:c>
      <x:c r="G11" s="336" t="str">
        <x:v>0.65</x:v>
      </x:c>
      <x:c r="H11" s="336" t="str">
        <x:v>0.80</x:v>
      </x:c>
      <x:c r="I11" s="338" t="str">
        <x:v>AMBER - company judgement</x:v>
      </x:c>
      <x:c r="J11" s="338" t="n">
        <x:f>COUNTIF('Weather Log'!$D$7:$D$206,A11)</x:f>
        <x:v>0</x:v>
      </x:c>
      <x:c r="K11" s="338" t="str">
        <x:f>IF(J11=0,"UNCALIBRATED",IF(J11&lt;5,"PARTIAL - fewer than 5 records",IF(J11&lt;10,"AMBER - 5 to 9 records","REVIEW FOR GREEN - 10+ records")))</x:f>
        <x:v>UNCALIBRATED</x:v>
      </x:c>
      <x:c r="L11" s="335" t="str">
        <x:v>Wet haul roads and loaded traffic slow the whole chain.</x:v>
      </x:c>
      <x:c r="M11" s="335" t="str">
        <x:v>Calibrate from Weather Log and obtain estimator/PM approval before GREEN.</x:v>
      </x:c>
      <x:c r="N11" s="335" t="str"/>
      <x:c r="O11" s="335" t="str"/>
    </x:row>
    <x:row r="12">
      <x:c r="A12" s="335" t="str">
        <x:v>Building platform / pad prep</x:v>
      </x:c>
      <x:c r="B12" s="335" t="str">
        <x:v>Civil</x:v>
      </x:c>
      <x:c r="C12" s="336" t="str">
        <x:v>0.95</x:v>
      </x:c>
      <x:c r="D12" s="336" t="str">
        <x:v>0.75</x:v>
      </x:c>
      <x:c r="E12" s="337" t="n">
        <x:v>0.2</x:v>
      </x:c>
      <x:c r="F12" s="336" t="str">
        <x:v>0.10</x:v>
      </x:c>
      <x:c r="G12" s="336" t="str">
        <x:v>0.75</x:v>
      </x:c>
      <x:c r="H12" s="336" t="str">
        <x:v>0.85</x:v>
      </x:c>
      <x:c r="I12" s="338" t="str">
        <x:v>AMBER - company judgement</x:v>
      </x:c>
      <x:c r="J12" s="338" t="n">
        <x:f>COUNTIF('Weather Log'!$D$7:$D$206,A12)</x:f>
        <x:v>0</x:v>
      </x:c>
      <x:c r="K12" s="338" t="str">
        <x:f>IF(J12=0,"UNCALIBRATED",IF(J12&lt;5,"PARTIAL - fewer than 5 records",IF(J12&lt;10,"AMBER - 5 to 9 records","REVIEW FOR GREEN - 10+ records")))</x:f>
        <x:v>UNCALIBRATED</x:v>
      </x:c>
      <x:c r="L12" s="335" t="str">
        <x:v>Moisture condition and compaction control matter.</x:v>
      </x:c>
      <x:c r="M12" s="335" t="str">
        <x:v>Calibrate from Weather Log and obtain estimator/PM approval before GREEN.</x:v>
      </x:c>
      <x:c r="N12" s="335" t="str"/>
      <x:c r="O12" s="335" t="str"/>
    </x:row>
    <x:row r="13">
      <x:c r="A13" s="335" t="str">
        <x:v>Drainage trenching</x:v>
      </x:c>
      <x:c r="B13" s="335" t="str">
        <x:v>Civil</x:v>
      </x:c>
      <x:c r="C13" s="336" t="str">
        <x:v>0.95</x:v>
      </x:c>
      <x:c r="D13" s="336" t="str">
        <x:v>0.65</x:v>
      </x:c>
      <x:c r="E13" s="337" t="n">
        <x:v>0.15</x:v>
      </x:c>
      <x:c r="F13" s="336" t="str">
        <x:v>0.10</x:v>
      </x:c>
      <x:c r="G13" s="336" t="str">
        <x:v>0.65</x:v>
      </x:c>
      <x:c r="H13" s="336" t="str">
        <x:v>0.80</x:v>
      </x:c>
      <x:c r="I13" s="338" t="str">
        <x:v>AMBER - company judgement</x:v>
      </x:c>
      <x:c r="J13" s="338" t="n">
        <x:f>COUNTIF('Weather Log'!$D$7:$D$206,A13)</x:f>
        <x:v>0</x:v>
      </x:c>
      <x:c r="K13" s="338" t="str">
        <x:f>IF(J13=0,"UNCALIBRATED",IF(J13&lt;5,"PARTIAL - fewer than 5 records",IF(J13&lt;10,"AMBER - 5 to 9 records","REVIEW FOR GREEN - 10+ records")))</x:f>
        <x:v>UNCALIBRATED</x:v>
      </x:c>
      <x:c r="L13" s="335" t="str">
        <x:v>Water ingress, slumping, and access issues.</x:v>
      </x:c>
      <x:c r="M13" s="335" t="str">
        <x:v>Calibrate from Weather Log and obtain estimator/PM approval before GREEN.</x:v>
      </x:c>
      <x:c r="N13" s="335" t="str"/>
      <x:c r="O13" s="335" t="str"/>
    </x:row>
    <x:row r="14">
      <x:c r="A14" s="335" t="str">
        <x:v>Manholes / chambers</x:v>
      </x:c>
      <x:c r="B14" s="335" t="str">
        <x:v>Civil</x:v>
      </x:c>
      <x:c r="C14" s="336" t="str">
        <x:v>0.90</x:v>
      </x:c>
      <x:c r="D14" s="336" t="str">
        <x:v>0.60</x:v>
      </x:c>
      <x:c r="E14" s="337" t="n">
        <x:v>0.08</x:v>
      </x:c>
      <x:c r="F14" s="336" t="str">
        <x:v>0.05</x:v>
      </x:c>
      <x:c r="G14" s="336" t="str">
        <x:v>0.60</x:v>
      </x:c>
      <x:c r="H14" s="336" t="str">
        <x:v>0.75</x:v>
      </x:c>
      <x:c r="I14" s="338" t="str">
        <x:v>AMBER - company judgement</x:v>
      </x:c>
      <x:c r="J14" s="338" t="n">
        <x:f>COUNTIF('Weather Log'!$D$7:$D$206,A14)</x:f>
        <x:v>0</x:v>
      </x:c>
      <x:c r="K14" s="338" t="str">
        <x:f>IF(J14=0,"UNCALIBRATED",IF(J14&lt;5,"PARTIAL - fewer than 5 records",IF(J14&lt;10,"AMBER - 5 to 9 records","REVIEW FOR GREEN - 10+ records")))</x:f>
        <x:v>UNCALIBRATED</x:v>
      </x:c>
      <x:c r="L14" s="335" t="str">
        <x:v>Less affected than open trench runs, but still exposed.</x:v>
      </x:c>
      <x:c r="M14" s="335" t="str">
        <x:v>Calibrate from Weather Log and obtain estimator/PM approval before GREEN.</x:v>
      </x:c>
      <x:c r="N14" s="335" t="str"/>
      <x:c r="O14" s="335" t="str"/>
    </x:row>
    <x:row r="15">
      <x:c r="A15" s="335" t="str">
        <x:v>Service trenches / ducting</x:v>
      </x:c>
      <x:c r="B15" s="335" t="str">
        <x:v>Civil</x:v>
      </x:c>
      <x:c r="C15" s="336" t="str">
        <x:v>0.90</x:v>
      </x:c>
      <x:c r="D15" s="336" t="str">
        <x:v>0.60</x:v>
      </x:c>
      <x:c r="E15" s="337" t="n">
        <x:v>0.1</x:v>
      </x:c>
      <x:c r="F15" s="336" t="str">
        <x:v>0.10</x:v>
      </x:c>
      <x:c r="G15" s="336" t="str">
        <x:v>0.60</x:v>
      </x:c>
      <x:c r="H15" s="336" t="str">
        <x:v>0.75</x:v>
      </x:c>
      <x:c r="I15" s="338" t="str">
        <x:v>AMBER - company judgement</x:v>
      </x:c>
      <x:c r="J15" s="338" t="n">
        <x:f>COUNTIF('Weather Log'!$D$7:$D$206,A15)</x:f>
        <x:v>0</x:v>
      </x:c>
      <x:c r="K15" s="338" t="str">
        <x:f>IF(J15=0,"UNCALIBRATED",IF(J15&lt;5,"PARTIAL - fewer than 5 records",IF(J15&lt;10,"AMBER - 5 to 9 records","REVIEW FOR GREEN - 10+ records")))</x:f>
        <x:v>UNCALIBRATED</x:v>
      </x:c>
      <x:c r="L15" s="335" t="str">
        <x:v>Small but still sensitive to rain and reinstatement.</x:v>
      </x:c>
      <x:c r="M15" s="335" t="str">
        <x:v>Calibrate from Weather Log and obtain estimator/PM approval before GREEN.</x:v>
      </x:c>
      <x:c r="N15" s="335" t="str"/>
      <x:c r="O15" s="335" t="str"/>
    </x:row>
    <x:row r="16">
      <x:c r="A16" s="335" t="str">
        <x:v>Bored piles / drilled holes</x:v>
      </x:c>
      <x:c r="B16" s="335" t="str">
        <x:v>Civil</x:v>
      </x:c>
      <x:c r="C16" s="336" t="str">
        <x:v>1.00</x:v>
      </x:c>
      <x:c r="D16" s="336" t="str">
        <x:v>0.70</x:v>
      </x:c>
      <x:c r="E16" s="337" t="n">
        <x:v>0.15</x:v>
      </x:c>
      <x:c r="F16" s="336" t="str">
        <x:v>0.15</x:v>
      </x:c>
      <x:c r="G16" s="336" t="str">
        <x:v>0.70</x:v>
      </x:c>
      <x:c r="H16" s="336" t="str">
        <x:v>0.85</x:v>
      </x:c>
      <x:c r="I16" s="338" t="str">
        <x:v>AMBER - company judgement</x:v>
      </x:c>
      <x:c r="J16" s="338" t="n">
        <x:f>COUNTIF('Weather Log'!$D$7:$D$206,A16)</x:f>
        <x:v>0</x:v>
      </x:c>
      <x:c r="K16" s="338" t="str">
        <x:f>IF(J16=0,"UNCALIBRATED",IF(J16&lt;5,"PARTIAL - fewer than 5 records",IF(J16&lt;10,"AMBER - 5 to 9 records","REVIEW FOR GREEN - 10+ records")))</x:f>
        <x:v>UNCALIBRATED</x:v>
      </x:c>
      <x:c r="L16" s="335" t="str">
        <x:v>Wet ground and hole stability are key risks.</x:v>
      </x:c>
      <x:c r="M16" s="335" t="str">
        <x:v>Calibrate from Weather Log and obtain estimator/PM approval before GREEN.</x:v>
      </x:c>
      <x:c r="N16" s="335" t="str"/>
      <x:c r="O16" s="335" t="str"/>
    </x:row>
    <x:row r="17">
      <x:c r="A17" s="335" t="str">
        <x:v>Driven poles / posts</x:v>
      </x:c>
      <x:c r="B17" s="335" t="str">
        <x:v>Civil</x:v>
      </x:c>
      <x:c r="C17" s="336" t="str">
        <x:v>0.95</x:v>
      </x:c>
      <x:c r="D17" s="336" t="str">
        <x:v>0.60</x:v>
      </x:c>
      <x:c r="E17" s="337" t="n">
        <x:v>0.05</x:v>
      </x:c>
      <x:c r="F17" s="336" t="str">
        <x:v>0.20</x:v>
      </x:c>
      <x:c r="G17" s="336" t="str">
        <x:v>0.60</x:v>
      </x:c>
      <x:c r="H17" s="336" t="str">
        <x:v>0.80</x:v>
      </x:c>
      <x:c r="I17" s="338" t="str">
        <x:v>AMBER - company judgement</x:v>
      </x:c>
      <x:c r="J17" s="338" t="n">
        <x:f>COUNTIF('Weather Log'!$D$7:$D$206,A17)</x:f>
        <x:v>0</x:v>
      </x:c>
      <x:c r="K17" s="338" t="str">
        <x:f>IF(J17=0,"UNCALIBRATED",IF(J17&lt;5,"PARTIAL - fewer than 5 records",IF(J17&lt;10,"AMBER - 5 to 9 records","REVIEW FOR GREEN - 10+ records")))</x:f>
        <x:v>UNCALIBRATED</x:v>
      </x:c>
      <x:c r="L17" s="335" t="str">
        <x:v>Weather affects access and standing time.</x:v>
      </x:c>
      <x:c r="M17" s="335" t="str">
        <x:v>Calibrate from Weather Log and obtain estimator/PM approval before GREEN.</x:v>
      </x:c>
      <x:c r="N17" s="335" t="str"/>
      <x:c r="O17" s="335" t="str"/>
    </x:row>
    <x:row r="18">
      <x:c r="A18" s="335" t="str">
        <x:v>Retaining wall excavation</x:v>
      </x:c>
      <x:c r="B18" s="335" t="str">
        <x:v>Civil</x:v>
      </x:c>
      <x:c r="C18" s="336" t="str">
        <x:v>0.95</x:v>
      </x:c>
      <x:c r="D18" s="336" t="str">
        <x:v>0.70</x:v>
      </x:c>
      <x:c r="E18" s="337" t="n">
        <x:v>0.15</x:v>
      </x:c>
      <x:c r="F18" s="336" t="str">
        <x:v>0.10</x:v>
      </x:c>
      <x:c r="G18" s="336" t="str">
        <x:v>0.70</x:v>
      </x:c>
      <x:c r="H18" s="336" t="str">
        <x:v>0.85</x:v>
      </x:c>
      <x:c r="I18" s="338" t="str">
        <x:v>AMBER - company judgement</x:v>
      </x:c>
      <x:c r="J18" s="338" t="n">
        <x:f>COUNTIF('Weather Log'!$D$7:$D$206,A18)</x:f>
        <x:v>0</x:v>
      </x:c>
      <x:c r="K18" s="338" t="str">
        <x:f>IF(J18=0,"UNCALIBRATED",IF(J18&lt;5,"PARTIAL - fewer than 5 records",IF(J18&lt;10,"AMBER - 5 to 9 records","REVIEW FOR GREEN - 10+ records")))</x:f>
        <x:v>UNCALIBRATED</x:v>
      </x:c>
      <x:c r="L18" s="335" t="str">
        <x:v>Slope and spoil handling usually worsen in the wet.</x:v>
      </x:c>
      <x:c r="M18" s="335" t="str">
        <x:v>Calibrate from Weather Log and obtain estimator/PM approval before GREEN.</x:v>
      </x:c>
      <x:c r="N18" s="335" t="str"/>
      <x:c r="O18" s="335" t="str"/>
    </x:row>
    <x:row r="19">
      <x:c r="A19" s="335" t="str">
        <x:v>Retaining wall installation</x:v>
      </x:c>
      <x:c r="B19" s="335" t="str">
        <x:v>Civil</x:v>
      </x:c>
      <x:c r="C19" s="336" t="str">
        <x:v>0.85</x:v>
      </x:c>
      <x:c r="D19" s="336" t="str">
        <x:v>0.50</x:v>
      </x:c>
      <x:c r="E19" s="337" t="n">
        <x:v>0.05</x:v>
      </x:c>
      <x:c r="F19" s="336" t="str">
        <x:v>0.15</x:v>
      </x:c>
      <x:c r="G19" s="336" t="str">
        <x:v>0.50</x:v>
      </x:c>
      <x:c r="H19" s="336" t="str">
        <x:v>0.70</x:v>
      </x:c>
      <x:c r="I19" s="338" t="str">
        <x:v>AMBER - company judgement</x:v>
      </x:c>
      <x:c r="J19" s="338" t="n">
        <x:f>COUNTIF('Weather Log'!$D$7:$D$206,A19)</x:f>
        <x:v>0</x:v>
      </x:c>
      <x:c r="K19" s="338" t="str">
        <x:f>IF(J19=0,"UNCALIBRATED",IF(J19&lt;5,"PARTIAL - fewer than 5 records",IF(J19&lt;10,"AMBER - 5 to 9 records","REVIEW FOR GREEN - 10+ records")))</x:f>
        <x:v>UNCALIBRATED</x:v>
      </x:c>
      <x:c r="L19" s="335" t="str">
        <x:v>Less exposed than excavation, but still affected.</x:v>
      </x:c>
      <x:c r="M19" s="335" t="str">
        <x:v>Calibrate from Weather Log and obtain estimator/PM approval before GREEN.</x:v>
      </x:c>
      <x:c r="N19" s="335" t="str"/>
      <x:c r="O19" s="335" t="str"/>
    </x:row>
    <x:row r="20">
      <x:c r="A20" s="335" t="str">
        <x:v>External concrete placing</x:v>
      </x:c>
      <x:c r="B20" s="335" t="str">
        <x:v>Civil</x:v>
      </x:c>
      <x:c r="C20" s="336" t="str">
        <x:v>0.95</x:v>
      </x:c>
      <x:c r="D20" s="336" t="str">
        <x:v>0.70</x:v>
      </x:c>
      <x:c r="E20" s="337" t="n">
        <x:v>0.05</x:v>
      </x:c>
      <x:c r="F20" s="336" t="str">
        <x:v>0.10</x:v>
      </x:c>
      <x:c r="G20" s="336" t="str">
        <x:v>0.70</x:v>
      </x:c>
      <x:c r="H20" s="336" t="str">
        <x:v>0.85</x:v>
      </x:c>
      <x:c r="I20" s="338" t="str">
        <x:v>AMBER - company judgement</x:v>
      </x:c>
      <x:c r="J20" s="338" t="n">
        <x:f>COUNTIF('Weather Log'!$D$7:$D$206,A20)</x:f>
        <x:v>0</x:v>
      </x:c>
      <x:c r="K20" s="338" t="str">
        <x:f>IF(J20=0,"UNCALIBRATED",IF(J20&lt;5,"PARTIAL - fewer than 5 records",IF(J20&lt;10,"AMBER - 5 to 9 records","REVIEW FOR GREEN - 10+ records")))</x:f>
        <x:v>UNCALIBRATED</x:v>
      </x:c>
      <x:c r="L20" s="335" t="str">
        <x:v>Rain cover, surface quality, and finishing risk.</x:v>
      </x:c>
      <x:c r="M20" s="335" t="str">
        <x:v>Calibrate from Weather Log and obtain estimator/PM approval before GREEN.</x:v>
      </x:c>
      <x:c r="N20" s="335" t="str"/>
      <x:c r="O20" s="335" t="str"/>
    </x:row>
    <x:row r="21">
      <x:c r="A21" s="335" t="str">
        <x:v>External concrete finishing</x:v>
      </x:c>
      <x:c r="B21" s="335" t="str">
        <x:v>Civil</x:v>
      </x:c>
      <x:c r="C21" s="336" t="str">
        <x:v>1.00</x:v>
      </x:c>
      <x:c r="D21" s="336" t="str">
        <x:v>0.80</x:v>
      </x:c>
      <x:c r="E21" s="337" t="n">
        <x:v>0.02</x:v>
      </x:c>
      <x:c r="F21" s="336" t="str">
        <x:v>0.05</x:v>
      </x:c>
      <x:c r="G21" s="336" t="str">
        <x:v>0.80</x:v>
      </x:c>
      <x:c r="H21" s="336" t="str">
        <x:v>0.90</x:v>
      </x:c>
      <x:c r="I21" s="338" t="str">
        <x:v>AMBER - company judgement</x:v>
      </x:c>
      <x:c r="J21" s="338" t="n">
        <x:f>COUNTIF('Weather Log'!$D$7:$D$206,A21)</x:f>
        <x:v>0</x:v>
      </x:c>
      <x:c r="K21" s="338" t="str">
        <x:f>IF(J21=0,"UNCALIBRATED",IF(J21&lt;5,"PARTIAL - fewer than 5 records",IF(J21&lt;10,"AMBER - 5 to 9 records","REVIEW FOR GREEN - 10+ records")))</x:f>
        <x:v>UNCALIBRATED</x:v>
      </x:c>
      <x:c r="L21" s="335" t="str">
        <x:v>Finishing window can vanish fast in poor weather.</x:v>
      </x:c>
      <x:c r="M21" s="335" t="str">
        <x:v>Calibrate from Weather Log and obtain estimator/PM approval before GREEN.</x:v>
      </x:c>
      <x:c r="N21" s="335" t="str"/>
      <x:c r="O21" s="335" t="str"/>
    </x:row>
    <x:row r="22">
      <x:c r="A22" s="335" t="str">
        <x:v>Kerb &amp; channel</x:v>
      </x:c>
      <x:c r="B22" s="335" t="str">
        <x:v>Civil</x:v>
      </x:c>
      <x:c r="C22" s="336" t="str">
        <x:v>0.95</x:v>
      </x:c>
      <x:c r="D22" s="336" t="str">
        <x:v>0.70</x:v>
      </x:c>
      <x:c r="E22" s="337" t="n">
        <x:v>0.05</x:v>
      </x:c>
      <x:c r="F22" s="336" t="str">
        <x:v>0.10</x:v>
      </x:c>
      <x:c r="G22" s="336" t="str">
        <x:v>0.70</x:v>
      </x:c>
      <x:c r="H22" s="336" t="str">
        <x:v>0.85</x:v>
      </x:c>
      <x:c r="I22" s="338" t="str">
        <x:v>AMBER - company judgement</x:v>
      </x:c>
      <x:c r="J22" s="338" t="n">
        <x:f>COUNTIF('Weather Log'!$D$7:$D$206,A22)</x:f>
        <x:v>0</x:v>
      </x:c>
      <x:c r="K22" s="338" t="str">
        <x:f>IF(J22=0,"UNCALIBRATED",IF(J22&lt;5,"PARTIAL - fewer than 5 records",IF(J22&lt;10,"AMBER - 5 to 9 records","REVIEW FOR GREEN - 10+ records")))</x:f>
        <x:v>UNCALIBRATED</x:v>
      </x:c>
      <x:c r="L22" s="335" t="str">
        <x:v>Open-air concrete work and wet prep surfaces.</x:v>
      </x:c>
      <x:c r="M22" s="335" t="str">
        <x:v>Calibrate from Weather Log and obtain estimator/PM approval before GREEN.</x:v>
      </x:c>
      <x:c r="N22" s="335" t="str"/>
      <x:c r="O22" s="335" t="str"/>
    </x:row>
    <x:row r="23">
      <x:c r="A23" s="335" t="str">
        <x:v>Subbase / pavement prep</x:v>
      </x:c>
      <x:c r="B23" s="335" t="str">
        <x:v>Civil</x:v>
      </x:c>
      <x:c r="C23" s="336" t="str">
        <x:v>0.95</x:v>
      </x:c>
      <x:c r="D23" s="336" t="str">
        <x:v>0.70</x:v>
      </x:c>
      <x:c r="E23" s="337" t="n">
        <x:v>0.2</x:v>
      </x:c>
      <x:c r="F23" s="336" t="str">
        <x:v>0.10</x:v>
      </x:c>
      <x:c r="G23" s="336" t="str">
        <x:v>0.70</x:v>
      </x:c>
      <x:c r="H23" s="336" t="str">
        <x:v>0.85</x:v>
      </x:c>
      <x:c r="I23" s="338" t="str">
        <x:v>AMBER - company judgement</x:v>
      </x:c>
      <x:c r="J23" s="338" t="n">
        <x:f>COUNTIF('Weather Log'!$D$7:$D$206,A23)</x:f>
        <x:v>0</x:v>
      </x:c>
      <x:c r="K23" s="338" t="str">
        <x:f>IF(J23=0,"UNCALIBRATED",IF(J23&lt;5,"PARTIAL - fewer than 5 records",IF(J23&lt;10,"AMBER - 5 to 9 records","REVIEW FOR GREEN - 10+ records")))</x:f>
        <x:v>UNCALIBRATED</x:v>
      </x:c>
      <x:c r="L23" s="335" t="str">
        <x:v>Compaction and moisture sensitivity.</x:v>
      </x:c>
      <x:c r="M23" s="335" t="str">
        <x:v>Calibrate from Weather Log and obtain estimator/PM approval before GREEN.</x:v>
      </x:c>
      <x:c r="N23" s="335" t="str"/>
      <x:c r="O23" s="335" t="str"/>
    </x:row>
    <x:row r="24">
      <x:c r="A24" s="335" t="str">
        <x:v>Asphalt / sealing</x:v>
      </x:c>
      <x:c r="B24" s="335" t="str">
        <x:v>Civil</x:v>
      </x:c>
      <x:c r="C24" s="336" t="str">
        <x:v>1.00</x:v>
      </x:c>
      <x:c r="D24" s="336" t="str">
        <x:v>0.85</x:v>
      </x:c>
      <x:c r="E24" s="337" t="n">
        <x:v>0.05</x:v>
      </x:c>
      <x:c r="F24" s="336" t="str">
        <x:v>0.05</x:v>
      </x:c>
      <x:c r="G24" s="336" t="str">
        <x:v>0.85</x:v>
      </x:c>
      <x:c r="H24" s="336" t="str">
        <x:v>0.90</x:v>
      </x:c>
      <x:c r="I24" s="338" t="str">
        <x:v>AMBER - company judgement</x:v>
      </x:c>
      <x:c r="J24" s="338" t="n">
        <x:f>COUNTIF('Weather Log'!$D$7:$D$206,A24)</x:f>
        <x:v>0</x:v>
      </x:c>
      <x:c r="K24" s="338" t="str">
        <x:f>IF(J24=0,"UNCALIBRATED",IF(J24&lt;5,"PARTIAL - fewer than 5 records",IF(J24&lt;10,"AMBER - 5 to 9 records","REVIEW FOR GREEN - 10+ records")))</x:f>
        <x:v>UNCALIBRATED</x:v>
      </x:c>
      <x:c r="L24" s="335" t="str">
        <x:v>Very weather-sensitive process.</x:v>
      </x:c>
      <x:c r="M24" s="335" t="str">
        <x:v>Calibrate from Weather Log and obtain estimator/PM approval before GREEN.</x:v>
      </x:c>
      <x:c r="N24" s="335" t="str"/>
      <x:c r="O24" s="335" t="str"/>
    </x:row>
    <x:row r="25">
      <x:c r="A25" s="335" t="str">
        <x:v>Landscaping / topsoil / grassing</x:v>
      </x:c>
      <x:c r="B25" s="335" t="str">
        <x:v>Civil</x:v>
      </x:c>
      <x:c r="C25" s="336" t="str">
        <x:v>0.90</x:v>
      </x:c>
      <x:c r="D25" s="336" t="str">
        <x:v>0.50</x:v>
      </x:c>
      <x:c r="E25" s="337" t="n">
        <x:v>0.12</x:v>
      </x:c>
      <x:c r="F25" s="336" t="str">
        <x:v>0.10</x:v>
      </x:c>
      <x:c r="G25" s="336" t="str">
        <x:v>0.50</x:v>
      </x:c>
      <x:c r="H25" s="336" t="str">
        <x:v>0.60</x:v>
      </x:c>
      <x:c r="I25" s="338" t="str">
        <x:v>AMBER - company judgement</x:v>
      </x:c>
      <x:c r="J25" s="338" t="n">
        <x:f>COUNTIF('Weather Log'!$D$7:$D$206,A25)</x:f>
        <x:v>0</x:v>
      </x:c>
      <x:c r="K25" s="338" t="str">
        <x:f>IF(J25=0,"UNCALIBRATED",IF(J25&lt;5,"PARTIAL - fewer than 5 records",IF(J25&lt;10,"AMBER - 5 to 9 records","REVIEW FOR GREEN - 10+ records")))</x:f>
        <x:v>UNCALIBRATED</x:v>
      </x:c>
      <x:c r="L25" s="335" t="str">
        <x:v>Often still possible, but efficiency drops.</x:v>
      </x:c>
      <x:c r="M25" s="335" t="str">
        <x:v>Calibrate from Weather Log and obtain estimator/PM approval before GREEN.</x:v>
      </x:c>
      <x:c r="N25" s="335" t="str"/>
      <x:c r="O25" s="335" t="str"/>
    </x:row>
    <x:row r="26">
      <x:c r="A26" s="335" t="str">
        <x:v>Roof framing</x:v>
      </x:c>
      <x:c r="B26" s="335" t="str">
        <x:v>Building</x:v>
      </x:c>
      <x:c r="C26" s="336" t="str">
        <x:v>0.95</x:v>
      </x:c>
      <x:c r="D26" s="336" t="str">
        <x:v>0.65</x:v>
      </x:c>
      <x:c r="E26" s="337" t="n">
        <x:v>0.02</x:v>
      </x:c>
      <x:c r="F26" s="336" t="str">
        <x:v>0.25</x:v>
      </x:c>
      <x:c r="G26" s="336" t="str">
        <x:v>0.65</x:v>
      </x:c>
      <x:c r="H26" s="336" t="str">
        <x:v>0.75</x:v>
      </x:c>
      <x:c r="I26" s="338" t="str">
        <x:v>AMBER - company judgement</x:v>
      </x:c>
      <x:c r="J26" s="338" t="n">
        <x:f>COUNTIF('Weather Log'!$D$7:$D$206,A26)</x:f>
        <x:v>0</x:v>
      </x:c>
      <x:c r="K26" s="338" t="str">
        <x:f>IF(J26=0,"UNCALIBRATED",IF(J26&lt;5,"PARTIAL - fewer than 5 records",IF(J26&lt;10,"AMBER - 5 to 9 records","REVIEW FOR GREEN - 10+ records")))</x:f>
        <x:v>UNCALIBRATED</x:v>
      </x:c>
      <x:c r="L26" s="335" t="str">
        <x:v>Rain and wind both matter before dry-in.</x:v>
      </x:c>
      <x:c r="M26" s="335" t="str">
        <x:v>Calibrate from Weather Log and obtain estimator/PM approval before GREEN.</x:v>
      </x:c>
      <x:c r="N26" s="335" t="str"/>
      <x:c r="O26" s="335" t="str"/>
    </x:row>
    <x:row r="27">
      <x:c r="A27" s="335" t="str">
        <x:v>Roofing</x:v>
      </x:c>
      <x:c r="B27" s="335" t="str">
        <x:v>Building</x:v>
      </x:c>
      <x:c r="C27" s="336" t="str">
        <x:v>1.00</x:v>
      </x:c>
      <x:c r="D27" s="336" t="str">
        <x:v>0.75</x:v>
      </x:c>
      <x:c r="E27" s="337" t="n">
        <x:v>0.02</x:v>
      </x:c>
      <x:c r="F27" s="336" t="str">
        <x:v>0.35</x:v>
      </x:c>
      <x:c r="G27" s="336" t="str">
        <x:v>0.75</x:v>
      </x:c>
      <x:c r="H27" s="336" t="str">
        <x:v>0.85</x:v>
      </x:c>
      <x:c r="I27" s="338" t="str">
        <x:v>AMBER - company judgement</x:v>
      </x:c>
      <x:c r="J27" s="338" t="n">
        <x:f>COUNTIF('Weather Log'!$D$7:$D$206,A27)</x:f>
        <x:v>0</x:v>
      </x:c>
      <x:c r="K27" s="338" t="str">
        <x:f>IF(J27=0,"UNCALIBRATED",IF(J27&lt;5,"PARTIAL - fewer than 5 records",IF(J27&lt;10,"AMBER - 5 to 9 records","REVIEW FOR GREEN - 10+ records")))</x:f>
        <x:v>UNCALIBRATED</x:v>
      </x:c>
      <x:c r="L27" s="335" t="str">
        <x:v>Wind-sensitive and usually fully exposed.</x:v>
      </x:c>
      <x:c r="M27" s="335" t="str">
        <x:v>Calibrate from Weather Log and obtain estimator/PM approval before GREEN.</x:v>
      </x:c>
      <x:c r="N27" s="335" t="str"/>
      <x:c r="O27" s="335" t="str"/>
    </x:row>
    <x:row r="28">
      <x:c r="A28" s="335" t="str">
        <x:v>Wall framing (open structure)</x:v>
      </x:c>
      <x:c r="B28" s="335" t="str">
        <x:v>Building</x:v>
      </x:c>
      <x:c r="C28" s="336" t="str">
        <x:v>0.85</x:v>
      </x:c>
      <x:c r="D28" s="336" t="str">
        <x:v>0.45</x:v>
      </x:c>
      <x:c r="E28" s="337" t="n">
        <x:v>0.02</x:v>
      </x:c>
      <x:c r="F28" s="336" t="str">
        <x:v>0.20</x:v>
      </x:c>
      <x:c r="G28" s="336" t="str">
        <x:v>0.45</x:v>
      </x:c>
      <x:c r="H28" s="336" t="str">
        <x:v>0.60</x:v>
      </x:c>
      <x:c r="I28" s="338" t="str">
        <x:v>AMBER - company judgement</x:v>
      </x:c>
      <x:c r="J28" s="338" t="n">
        <x:f>COUNTIF('Weather Log'!$D$7:$D$206,A28)</x:f>
        <x:v>0</x:v>
      </x:c>
      <x:c r="K28" s="338" t="str">
        <x:f>IF(J28=0,"UNCALIBRATED",IF(J28&lt;5,"PARTIAL - fewer than 5 records",IF(J28&lt;10,"AMBER - 5 to 9 records","REVIEW FOR GREEN - 10+ records")))</x:f>
        <x:v>UNCALIBRATED</x:v>
      </x:c>
      <x:c r="L28" s="335" t="str">
        <x:v>Some work can continue, but pace drops.</x:v>
      </x:c>
      <x:c r="M28" s="335" t="str">
        <x:v>Calibrate from Weather Log and obtain estimator/PM approval before GREEN.</x:v>
      </x:c>
      <x:c r="N28" s="335" t="str"/>
      <x:c r="O28" s="335" t="str"/>
    </x:row>
    <x:row r="29">
      <x:c r="A29" s="335" t="str">
        <x:v>Cladding</x:v>
      </x:c>
      <x:c r="B29" s="335" t="str">
        <x:v>Building</x:v>
      </x:c>
      <x:c r="C29" s="336" t="str">
        <x:v>0.80</x:v>
      </x:c>
      <x:c r="D29" s="336" t="str">
        <x:v>0.45</x:v>
      </x:c>
      <x:c r="E29" s="337" t="n">
        <x:v>0.02</x:v>
      </x:c>
      <x:c r="F29" s="336" t="str">
        <x:v>0.15</x:v>
      </x:c>
      <x:c r="G29" s="336" t="str">
        <x:v>0.45</x:v>
      </x:c>
      <x:c r="H29" s="336" t="str">
        <x:v>0.60</x:v>
      </x:c>
      <x:c r="I29" s="338" t="str">
        <x:v>AMBER - company judgement</x:v>
      </x:c>
      <x:c r="J29" s="338" t="n">
        <x:f>COUNTIF('Weather Log'!$D$7:$D$206,A29)</x:f>
        <x:v>0</x:v>
      </x:c>
      <x:c r="K29" s="338" t="str">
        <x:f>IF(J29=0,"UNCALIBRATED",IF(J29&lt;5,"PARTIAL - fewer than 5 records",IF(J29&lt;10,"AMBER - 5 to 9 records","REVIEW FOR GREEN - 10+ records")))</x:f>
        <x:v>UNCALIBRATED</x:v>
      </x:c>
      <x:c r="L29" s="335" t="str">
        <x:v>Exposure remains but some sequencing is possible.</x:v>
      </x:c>
      <x:c r="M29" s="335" t="str">
        <x:v>Calibrate from Weather Log and obtain estimator/PM approval before GREEN.</x:v>
      </x:c>
      <x:c r="N29" s="335" t="str"/>
      <x:c r="O29" s="335" t="str"/>
    </x:row>
    <x:row r="30">
      <x:c r="A30" s="335" t="str">
        <x:v>Exterior windows / joinery</x:v>
      </x:c>
      <x:c r="B30" s="335" t="str">
        <x:v>Building</x:v>
      </x:c>
      <x:c r="C30" s="336" t="str">
        <x:v>0.70</x:v>
      </x:c>
      <x:c r="D30" s="336" t="str">
        <x:v>0.40</x:v>
      </x:c>
      <x:c r="E30" s="337" t="n">
        <x:v>0.01</x:v>
      </x:c>
      <x:c r="F30" s="336" t="str">
        <x:v>0.10</x:v>
      </x:c>
      <x:c r="G30" s="336" t="str">
        <x:v>0.40</x:v>
      </x:c>
      <x:c r="H30" s="336" t="str">
        <x:v>0.55</x:v>
      </x:c>
      <x:c r="I30" s="338" t="str">
        <x:v>AMBER - company judgement</x:v>
      </x:c>
      <x:c r="J30" s="338" t="n">
        <x:f>COUNTIF('Weather Log'!$D$7:$D$206,A30)</x:f>
        <x:v>0</x:v>
      </x:c>
      <x:c r="K30" s="338" t="str">
        <x:f>IF(J30=0,"UNCALIBRATED",IF(J30&lt;5,"PARTIAL - fewer than 5 records",IF(J30&lt;10,"AMBER - 5 to 9 records","REVIEW FOR GREEN - 10+ records")))</x:f>
        <x:v>UNCALIBRATED</x:v>
      </x:c>
      <x:c r="L30" s="335" t="str">
        <x:v>Protection set-up often needed.</x:v>
      </x:c>
      <x:c r="M30" s="335" t="str">
        <x:v>Calibrate from Weather Log and obtain estimator/PM approval before GREEN.</x:v>
      </x:c>
      <x:c r="N30" s="335" t="str"/>
      <x:c r="O30" s="335" t="str"/>
    </x:row>
    <x:row r="31">
      <x:c r="A31" s="335" t="str">
        <x:v>Deck framing</x:v>
      </x:c>
      <x:c r="B31" s="335" t="str">
        <x:v>Building</x:v>
      </x:c>
      <x:c r="C31" s="336" t="str">
        <x:v>0.90</x:v>
      </x:c>
      <x:c r="D31" s="336" t="str">
        <x:v>0.60</x:v>
      </x:c>
      <x:c r="E31" s="337" t="n">
        <x:v>0.05</x:v>
      </x:c>
      <x:c r="F31" s="336" t="str">
        <x:v>0.15</x:v>
      </x:c>
      <x:c r="G31" s="336" t="str">
        <x:v>0.60</x:v>
      </x:c>
      <x:c r="H31" s="336" t="str">
        <x:v>0.75</x:v>
      </x:c>
      <x:c r="I31" s="338" t="str">
        <x:v>AMBER - company judgement</x:v>
      </x:c>
      <x:c r="J31" s="338" t="n">
        <x:f>COUNTIF('Weather Log'!$D$7:$D$206,A31)</x:f>
        <x:v>0</x:v>
      </x:c>
      <x:c r="K31" s="338" t="str">
        <x:f>IF(J31=0,"UNCALIBRATED",IF(J31&lt;5,"PARTIAL - fewer than 5 records",IF(J31&lt;10,"AMBER - 5 to 9 records","REVIEW FOR GREEN - 10+ records")))</x:f>
        <x:v>UNCALIBRATED</x:v>
      </x:c>
      <x:c r="L31" s="335" t="str">
        <x:v>Exposed external carpentry.</x:v>
      </x:c>
      <x:c r="M31" s="335" t="str">
        <x:v>Calibrate from Weather Log and obtain estimator/PM approval before GREEN.</x:v>
      </x:c>
      <x:c r="N31" s="335" t="str"/>
      <x:c r="O31" s="335" t="str"/>
    </x:row>
    <x:row r="32">
      <x:c r="A32" s="335" t="str">
        <x:v>Decking</x:v>
      </x:c>
      <x:c r="B32" s="335" t="str">
        <x:v>Building</x:v>
      </x:c>
      <x:c r="C32" s="336" t="str">
        <x:v>0.85</x:v>
      </x:c>
      <x:c r="D32" s="336" t="str">
        <x:v>0.55</x:v>
      </x:c>
      <x:c r="E32" s="337" t="n">
        <x:v>0.04</x:v>
      </x:c>
      <x:c r="F32" s="336" t="str">
        <x:v>0.10</x:v>
      </x:c>
      <x:c r="G32" s="336" t="str">
        <x:v>0.55</x:v>
      </x:c>
      <x:c r="H32" s="336" t="str">
        <x:v>0.70</x:v>
      </x:c>
      <x:c r="I32" s="338" t="str">
        <x:v>AMBER - company judgement</x:v>
      </x:c>
      <x:c r="J32" s="338" t="n">
        <x:f>COUNTIF('Weather Log'!$D$7:$D$206,A32)</x:f>
        <x:v>0</x:v>
      </x:c>
      <x:c r="K32" s="338" t="str">
        <x:f>IF(J32=0,"UNCALIBRATED",IF(J32&lt;5,"PARTIAL - fewer than 5 records",IF(J32&lt;10,"AMBER - 5 to 9 records","REVIEW FOR GREEN - 10+ records")))</x:f>
        <x:v>UNCALIBRATED</x:v>
      </x:c>
      <x:c r="L32" s="335" t="str">
        <x:v>Still weather-sensitive, but slightly less than framing.</x:v>
      </x:c>
      <x:c r="M32" s="335" t="str">
        <x:v>Calibrate from Weather Log and obtain estimator/PM approval before GREEN.</x:v>
      </x:c>
      <x:c r="N32" s="335" t="str"/>
      <x:c r="O32" s="335" t="str"/>
    </x:row>
    <x:row r="33">
      <x:c r="A33" s="335" t="str">
        <x:v>Scaffolding</x:v>
      </x:c>
      <x:c r="B33" s="335" t="str">
        <x:v>Building</x:v>
      </x:c>
      <x:c r="C33" s="336" t="str">
        <x:v>0.75</x:v>
      </x:c>
      <x:c r="D33" s="336" t="str">
        <x:v>0.35</x:v>
      </x:c>
      <x:c r="E33" s="337" t="n">
        <x:v>0.02</x:v>
      </x:c>
      <x:c r="F33" s="336" t="str">
        <x:v>0.25</x:v>
      </x:c>
      <x:c r="G33" s="336" t="str">
        <x:v>0.35</x:v>
      </x:c>
      <x:c r="H33" s="336" t="str">
        <x:v>0.50</x:v>
      </x:c>
      <x:c r="I33" s="338" t="str">
        <x:v>AMBER - company judgement</x:v>
      </x:c>
      <x:c r="J33" s="338" t="n">
        <x:f>COUNTIF('Weather Log'!$D$7:$D$206,A33)</x:f>
        <x:v>0</x:v>
      </x:c>
      <x:c r="K33" s="338" t="str">
        <x:f>IF(J33=0,"UNCALIBRATED",IF(J33&lt;5,"PARTIAL - fewer than 5 records",IF(J33&lt;10,"AMBER - 5 to 9 records","REVIEW FOR GREEN - 10+ records")))</x:f>
        <x:v>UNCALIBRATED</x:v>
      </x:c>
      <x:c r="L33" s="335" t="str">
        <x:v>Wind can be the bigger issue here.</x:v>
      </x:c>
      <x:c r="M33" s="335" t="str">
        <x:v>Calibrate from Weather Log and obtain estimator/PM approval before GREEN.</x:v>
      </x:c>
      <x:c r="N33" s="335" t="str"/>
      <x:c r="O33" s="335" t="str"/>
    </x:row>
    <x:row r="34">
      <x:c r="A34" s="335" t="str">
        <x:v>Steel erection / crane lifts</x:v>
      </x:c>
      <x:c r="B34" s="335" t="str">
        <x:v>Building</x:v>
      </x:c>
      <x:c r="C34" s="336" t="str">
        <x:v>0.95</x:v>
      </x:c>
      <x:c r="D34" s="336" t="str">
        <x:v>0.70</x:v>
      </x:c>
      <x:c r="E34" s="337" t="n">
        <x:v>0.02</x:v>
      </x:c>
      <x:c r="F34" s="336" t="str">
        <x:v>0.35</x:v>
      </x:c>
      <x:c r="G34" s="336" t="str">
        <x:v>0.70</x:v>
      </x:c>
      <x:c r="H34" s="336" t="str">
        <x:v>0.80</x:v>
      </x:c>
      <x:c r="I34" s="338" t="str">
        <x:v>AMBER - company judgement</x:v>
      </x:c>
      <x:c r="J34" s="338" t="n">
        <x:f>COUNTIF('Weather Log'!$D$7:$D$206,A34)</x:f>
        <x:v>0</x:v>
      </x:c>
      <x:c r="K34" s="338" t="str">
        <x:f>IF(J34=0,"UNCALIBRATED",IF(J34&lt;5,"PARTIAL - fewer than 5 records",IF(J34&lt;10,"AMBER - 5 to 9 records","REVIEW FOR GREEN - 10+ records")))</x:f>
        <x:v>UNCALIBRATED</x:v>
      </x:c>
      <x:c r="L34" s="335" t="str">
        <x:v>High wind sensitivity plus exposure.</x:v>
      </x:c>
      <x:c r="M34" s="335" t="str">
        <x:v>Calibrate from Weather Log and obtain estimator/PM approval before GREEN.</x:v>
      </x:c>
      <x:c r="N34" s="335" t="str"/>
      <x:c r="O34" s="335" t="str"/>
    </x:row>
    <x:row r="35">
      <x:c r="A35" s="335" t="str">
        <x:v>External block / brick laying</x:v>
      </x:c>
      <x:c r="B35" s="335" t="str">
        <x:v>Building</x:v>
      </x:c>
      <x:c r="C35" s="336" t="str">
        <x:v>0.85</x:v>
      </x:c>
      <x:c r="D35" s="336" t="str">
        <x:v>0.55</x:v>
      </x:c>
      <x:c r="E35" s="337" t="n">
        <x:v>0.05</x:v>
      </x:c>
      <x:c r="F35" s="336" t="str">
        <x:v>0.10</x:v>
      </x:c>
      <x:c r="G35" s="336" t="str">
        <x:v>0.55</x:v>
      </x:c>
      <x:c r="H35" s="336" t="str">
        <x:v>0.70</x:v>
      </x:c>
      <x:c r="I35" s="338" t="str">
        <x:v>AMBER - company judgement</x:v>
      </x:c>
      <x:c r="J35" s="338" t="n">
        <x:f>COUNTIF('Weather Log'!$D$7:$D$206,A35)</x:f>
        <x:v>0</x:v>
      </x:c>
      <x:c r="K35" s="338" t="str">
        <x:f>IF(J35=0,"UNCALIBRATED",IF(J35&lt;5,"PARTIAL - fewer than 5 records",IF(J35&lt;10,"AMBER - 5 to 9 records","REVIEW FOR GREEN - 10+ records")))</x:f>
        <x:v>UNCALIBRATED</x:v>
      </x:c>
      <x:c r="L35" s="335" t="str">
        <x:v>Rain protection and mortar issues.</x:v>
      </x:c>
      <x:c r="M35" s="335" t="str">
        <x:v>Calibrate from Weather Log and obtain estimator/PM approval before GREEN.</x:v>
      </x:c>
      <x:c r="N35" s="335" t="str"/>
      <x:c r="O35" s="335" t="str"/>
    </x:row>
    <x:row r="36">
      <x:c r="A36" s="335" t="str">
        <x:v>External painting / coatings</x:v>
      </x:c>
      <x:c r="B36" s="335" t="str">
        <x:v>Building</x:v>
      </x:c>
      <x:c r="C36" s="336" t="str">
        <x:v>0.95</x:v>
      </x:c>
      <x:c r="D36" s="336" t="str">
        <x:v>0.75</x:v>
      </x:c>
      <x:c r="E36" s="337" t="n">
        <x:v>0.05</x:v>
      </x:c>
      <x:c r="F36" s="336" t="str">
        <x:v>0.05</x:v>
      </x:c>
      <x:c r="G36" s="336" t="str">
        <x:v>0.75</x:v>
      </x:c>
      <x:c r="H36" s="336" t="str">
        <x:v>0.85</x:v>
      </x:c>
      <x:c r="I36" s="338" t="str">
        <x:v>AMBER - company judgement</x:v>
      </x:c>
      <x:c r="J36" s="338" t="n">
        <x:f>COUNTIF('Weather Log'!$D$7:$D$206,A36)</x:f>
        <x:v>0</x:v>
      </x:c>
      <x:c r="K36" s="338" t="str">
        <x:f>IF(J36=0,"UNCALIBRATED",IF(J36&lt;5,"PARTIAL - fewer than 5 records",IF(J36&lt;10,"AMBER - 5 to 9 records","REVIEW FOR GREEN - 10+ records")))</x:f>
        <x:v>UNCALIBRATED</x:v>
      </x:c>
      <x:c r="L36" s="335" t="str">
        <x:v>Often weather-window driven.</x:v>
      </x:c>
      <x:c r="M36" s="335" t="str">
        <x:v>Calibrate from Weather Log and obtain estimator/PM approval before GREEN.</x:v>
      </x:c>
      <x:c r="N36" s="335" t="str"/>
      <x:c r="O36" s="335" t="str"/>
    </x:row>
    <x:row r="37">
      <x:c r="A37" s="335" t="str">
        <x:v>Internal framing</x:v>
      </x:c>
      <x:c r="B37" s="335" t="str">
        <x:v>Building</x:v>
      </x:c>
      <x:c r="C37" s="336" t="str">
        <x:v>0.15</x:v>
      </x:c>
      <x:c r="D37" s="336" t="str">
        <x:v>0.10</x:v>
      </x:c>
      <x:c r="E37" s="337" t="n">
        <x:v>0</x:v>
      </x:c>
      <x:c r="F37" s="336" t="str">
        <x:v>0.05</x:v>
      </x:c>
      <x:c r="G37" s="336" t="str">
        <x:v>0.10</x:v>
      </x:c>
      <x:c r="H37" s="336" t="str">
        <x:v>0.30</x:v>
      </x:c>
      <x:c r="I37" s="338" t="str">
        <x:v>AMBER - company judgement</x:v>
      </x:c>
      <x:c r="J37" s="338" t="n">
        <x:f>COUNTIF('Weather Log'!$D$7:$D$206,A37)</x:f>
        <x:v>0</x:v>
      </x:c>
      <x:c r="K37" s="338" t="str">
        <x:f>IF(J37=0,"UNCALIBRATED",IF(J37&lt;5,"PARTIAL - fewer than 5 records",IF(J37&lt;10,"AMBER - 5 to 9 records","REVIEW FOR GREEN - 10+ records")))</x:f>
        <x:v>UNCALIBRATED</x:v>
      </x:c>
      <x:c r="L37" s="335" t="str">
        <x:v>Still gets minor drag from access, shelter, and material handling.</x:v>
      </x:c>
      <x:c r="M37" s="335" t="str">
        <x:v>Calibrate from Weather Log and obtain estimator/PM approval before GREEN.</x:v>
      </x:c>
      <x:c r="N37" s="335" t="str"/>
      <x:c r="O37" s="335" t="str"/>
    </x:row>
    <x:row r="38">
      <x:c r="A38" s="335" t="str">
        <x:v>Internal linings / plasterboard</x:v>
      </x:c>
      <x:c r="B38" s="335" t="str">
        <x:v>Building</x:v>
      </x:c>
      <x:c r="C38" s="336" t="str">
        <x:v>0.10</x:v>
      </x:c>
      <x:c r="D38" s="336" t="str">
        <x:v>0.08</x:v>
      </x:c>
      <x:c r="E38" s="337" t="n">
        <x:v>0</x:v>
      </x:c>
      <x:c r="F38" s="336" t="str">
        <x:v>0.02</x:v>
      </x:c>
      <x:c r="G38" s="336" t="str">
        <x:v>0.08</x:v>
      </x:c>
      <x:c r="H38" s="336" t="str">
        <x:v>0.25</x:v>
      </x:c>
      <x:c r="I38" s="338" t="str">
        <x:v>AMBER - company judgement</x:v>
      </x:c>
      <x:c r="J38" s="338" t="n">
        <x:f>COUNTIF('Weather Log'!$D$7:$D$206,A38)</x:f>
        <x:v>0</x:v>
      </x:c>
      <x:c r="K38" s="338" t="str">
        <x:f>IF(J38=0,"UNCALIBRATED",IF(J38&lt;5,"PARTIAL - fewer than 5 records",IF(J38&lt;10,"AMBER - 5 to 9 records","REVIEW FOR GREEN - 10+ records")))</x:f>
        <x:v>UNCALIBRATED</x:v>
      </x:c>
      <x:c r="L38" s="335" t="str">
        <x:v>Low weather effect, not zero.</x:v>
      </x:c>
      <x:c r="M38" s="335" t="str">
        <x:v>Calibrate from Weather Log and obtain estimator/PM approval before GREEN.</x:v>
      </x:c>
      <x:c r="N38" s="335" t="str"/>
      <x:c r="O38" s="335" t="str"/>
    </x:row>
    <x:row r="39">
      <x:c r="A39" s="335" t="str">
        <x:v>Internal plastering / stopping</x:v>
      </x:c>
      <x:c r="B39" s="335" t="str">
        <x:v>Building</x:v>
      </x:c>
      <x:c r="C39" s="336" t="str">
        <x:v>0.10</x:v>
      </x:c>
      <x:c r="D39" s="336" t="str">
        <x:v>0.10</x:v>
      </x:c>
      <x:c r="E39" s="337" t="n">
        <x:v>0</x:v>
      </x:c>
      <x:c r="F39" s="336" t="str">
        <x:v>0.02</x:v>
      </x:c>
      <x:c r="G39" s="336" t="str">
        <x:v>0.10</x:v>
      </x:c>
      <x:c r="H39" s="336" t="str">
        <x:v>0.30</x:v>
      </x:c>
      <x:c r="I39" s="338" t="str">
        <x:v>AMBER - company judgement</x:v>
      </x:c>
      <x:c r="J39" s="338" t="n">
        <x:f>COUNTIF('Weather Log'!$D$7:$D$206,A39)</x:f>
        <x:v>0</x:v>
      </x:c>
      <x:c r="K39" s="338" t="str">
        <x:f>IF(J39=0,"UNCALIBRATED",IF(J39&lt;5,"PARTIAL - fewer than 5 records",IF(J39&lt;10,"AMBER - 5 to 9 records","REVIEW FOR GREEN - 10+ records")))</x:f>
        <x:v>UNCALIBRATED</x:v>
      </x:c>
      <x:c r="L39" s="335" t="str">
        <x:v>Mostly protected, but drying and access can still bite.</x:v>
      </x:c>
      <x:c r="M39" s="335" t="str">
        <x:v>Calibrate from Weather Log and obtain estimator/PM approval before GREEN.</x:v>
      </x:c>
      <x:c r="N39" s="335" t="str"/>
      <x:c r="O39" s="335" t="str"/>
    </x:row>
    <x:row r="40">
      <x:c r="A40" s="335" t="str">
        <x:v>Internal painting</x:v>
      </x:c>
      <x:c r="B40" s="335" t="str">
        <x:v>Building</x:v>
      </x:c>
      <x:c r="C40" s="336" t="str">
        <x:v>0.10</x:v>
      </x:c>
      <x:c r="D40" s="336" t="str">
        <x:v>0.12</x:v>
      </x:c>
      <x:c r="E40" s="337" t="n">
        <x:v>0</x:v>
      </x:c>
      <x:c r="F40" s="336" t="str">
        <x:v>0.02</x:v>
      </x:c>
      <x:c r="G40" s="336" t="str">
        <x:v>0.12</x:v>
      </x:c>
      <x:c r="H40" s="336" t="str">
        <x:v>0.30</x:v>
      </x:c>
      <x:c r="I40" s="338" t="str">
        <x:v>AMBER - company judgement</x:v>
      </x:c>
      <x:c r="J40" s="338" t="n">
        <x:f>COUNTIF('Weather Log'!$D$7:$D$206,A40)</x:f>
        <x:v>0</x:v>
      </x:c>
      <x:c r="K40" s="338" t="str">
        <x:f>IF(J40=0,"UNCALIBRATED",IF(J40&lt;5,"PARTIAL - fewer than 5 records",IF(J40&lt;10,"AMBER - 5 to 9 records","REVIEW FOR GREEN - 10+ records")))</x:f>
        <x:v>UNCALIBRATED</x:v>
      </x:c>
      <x:c r="L40" s="335" t="str">
        <x:v>Humidity and site conditions can slow productivity.</x:v>
      </x:c>
      <x:c r="M40" s="335" t="str">
        <x:v>Calibrate from Weather Log and obtain estimator/PM approval before GREEN.</x:v>
      </x:c>
      <x:c r="N40" s="335" t="str"/>
      <x:c r="O40" s="335" t="str"/>
    </x:row>
    <x:row r="41">
      <x:c r="A41" s="335" t="str">
        <x:v>Fitout / cabinetry / joinery</x:v>
      </x:c>
      <x:c r="B41" s="335" t="str">
        <x:v>Building</x:v>
      </x:c>
      <x:c r="C41" s="336" t="str">
        <x:v>0.10</x:v>
      </x:c>
      <x:c r="D41" s="336" t="str">
        <x:v>0.08</x:v>
      </x:c>
      <x:c r="E41" s="337" t="n">
        <x:v>0</x:v>
      </x:c>
      <x:c r="F41" s="336" t="str">
        <x:v>0.02</x:v>
      </x:c>
      <x:c r="G41" s="336" t="str">
        <x:v>0.08</x:v>
      </x:c>
      <x:c r="H41" s="336" t="str">
        <x:v>0.25</x:v>
      </x:c>
      <x:c r="I41" s="338" t="str">
        <x:v>AMBER - company judgement</x:v>
      </x:c>
      <x:c r="J41" s="338" t="n">
        <x:f>COUNTIF('Weather Log'!$D$7:$D$206,A41)</x:f>
        <x:v>0</x:v>
      </x:c>
      <x:c r="K41" s="338" t="str">
        <x:f>IF(J41=0,"UNCALIBRATED",IF(J41&lt;5,"PARTIAL - fewer than 5 records",IF(J41&lt;10,"AMBER - 5 to 9 records","REVIEW FOR GREEN - 10+ records")))</x:f>
        <x:v>UNCALIBRATED</x:v>
      </x:c>
      <x:c r="L41" s="335" t="str">
        <x:v>Low but real weather drag.</x:v>
      </x:c>
      <x:c r="M41" s="335" t="str">
        <x:v>Calibrate from Weather Log and obtain estimator/PM approval before GREEN.</x:v>
      </x:c>
      <x:c r="N41" s="335" t="str"/>
      <x:c r="O41" s="335" t="str"/>
    </x:row>
    <x:row r="42">
      <x:c r="A42" s="335" t="str">
        <x:v>Internal tiling / wet areas</x:v>
      </x:c>
      <x:c r="B42" s="335" t="str">
        <x:v>Building</x:v>
      </x:c>
      <x:c r="C42" s="336" t="str">
        <x:v>0.15</x:v>
      </x:c>
      <x:c r="D42" s="336" t="str">
        <x:v>0.12</x:v>
      </x:c>
      <x:c r="E42" s="337" t="n">
        <x:v>0</x:v>
      </x:c>
      <x:c r="F42" s="336" t="str">
        <x:v>0.02</x:v>
      </x:c>
      <x:c r="G42" s="336" t="str">
        <x:v>0.12</x:v>
      </x:c>
      <x:c r="H42" s="336" t="str">
        <x:v>0.35</x:v>
      </x:c>
      <x:c r="I42" s="338" t="str">
        <x:v>AMBER - company judgement</x:v>
      </x:c>
      <x:c r="J42" s="338" t="n">
        <x:f>COUNTIF('Weather Log'!$D$7:$D$206,A42)</x:f>
        <x:v>0</x:v>
      </x:c>
      <x:c r="K42" s="338" t="str">
        <x:f>IF(J42=0,"UNCALIBRATED",IF(J42&lt;5,"PARTIAL - fewer than 5 records",IF(J42&lt;10,"AMBER - 5 to 9 records","REVIEW FOR GREEN - 10+ records")))</x:f>
        <x:v>UNCALIBRATED</x:v>
      </x:c>
      <x:c r="L42" s="335" t="str">
        <x:v>Protected, but humidity and site wetness can still influence output.</x:v>
      </x:c>
      <x:c r="M42" s="335" t="str">
        <x:v>Calibrate from Weather Log and obtain estimator/PM approval before GREEN.</x:v>
      </x:c>
      <x:c r="N42" s="335" t="str"/>
      <x:c r="O42" s="335" t="str"/>
    </x:row>
    <x:row r="43">
      <x:c r="A43" s="335" t="str">
        <x:v>Internal flooring</x:v>
      </x:c>
      <x:c r="B43" s="335" t="str">
        <x:v>Building</x:v>
      </x:c>
      <x:c r="C43" s="336" t="str">
        <x:v>0.10</x:v>
      </x:c>
      <x:c r="D43" s="336" t="str">
        <x:v>0.10</x:v>
      </x:c>
      <x:c r="E43" s="337" t="n">
        <x:v>0</x:v>
      </x:c>
      <x:c r="F43" s="336" t="str">
        <x:v>0.02</x:v>
      </x:c>
      <x:c r="G43" s="336" t="str">
        <x:v>0.10</x:v>
      </x:c>
      <x:c r="H43" s="336" t="str">
        <x:v>0.25</x:v>
      </x:c>
      <x:c r="I43" s="338" t="str">
        <x:v>AMBER - company judgement</x:v>
      </x:c>
      <x:c r="J43" s="338" t="n">
        <x:f>COUNTIF('Weather Log'!$D$7:$D$206,A43)</x:f>
        <x:v>0</x:v>
      </x:c>
      <x:c r="K43" s="338" t="str">
        <x:f>IF(J43=0,"UNCALIBRATED",IF(J43&lt;5,"PARTIAL - fewer than 5 records",IF(J43&lt;10,"AMBER - 5 to 9 records","REVIEW FOR GREEN - 10+ records")))</x:f>
        <x:v>UNCALIBRATED</x:v>
      </x:c>
      <x:c r="L43" s="335" t="str">
        <x:v>Low but non-zero effect.</x:v>
      </x:c>
      <x:c r="M43" s="335" t="str">
        <x:v>Calibrate from Weather Log and obtain estimator/PM approval before GREEN.</x:v>
      </x:c>
      <x:c r="N43" s="335" t="str"/>
      <x:c r="O43" s="335" t="str"/>
    </x:row>
    <x:row r="44">
      <x:c r="A44" s="335" t="str">
        <x:v>Internal MEP rough-in / fit-off</x:v>
      </x:c>
      <x:c r="B44" s="335" t="str">
        <x:v>Building</x:v>
      </x:c>
      <x:c r="C44" s="336" t="str">
        <x:v>0.15</x:v>
      </x:c>
      <x:c r="D44" s="336" t="str">
        <x:v>0.10</x:v>
      </x:c>
      <x:c r="E44" s="337" t="n">
        <x:v>0</x:v>
      </x:c>
      <x:c r="F44" s="336" t="str">
        <x:v>0.03</x:v>
      </x:c>
      <x:c r="G44" s="336" t="str">
        <x:v>0.10</x:v>
      </x:c>
      <x:c r="H44" s="336" t="str">
        <x:v>0.30</x:v>
      </x:c>
      <x:c r="I44" s="338" t="str">
        <x:v>AMBER - company judgement</x:v>
      </x:c>
      <x:c r="J44" s="338" t="n">
        <x:f>COUNTIF('Weather Log'!$D$7:$D$206,A44)</x:f>
        <x:v>0</x:v>
      </x:c>
      <x:c r="K44" s="338" t="str">
        <x:f>IF(J44=0,"UNCALIBRATED",IF(J44&lt;5,"PARTIAL - fewer than 5 records",IF(J44&lt;10,"AMBER - 5 to 9 records","REVIEW FOR GREEN - 10+ records")))</x:f>
        <x:v>UNCALIBRATED</x:v>
      </x:c>
      <x:c r="L44" s="335" t="str">
        <x:v>Protected, but deliveries and wet access still matter.</x:v>
      </x:c>
      <x:c r="M44" s="335" t="str">
        <x:v>Calibrate from Weather Log and obtain estimator/PM approval before GREEN.</x:v>
      </x:c>
      <x:c r="N44" s="335" t="str"/>
      <x:c r="O44" s="335" t="str"/>
    </x:row>
    <x:row r="45">
      <x:c r="A45" s="335" t="str">
        <x:v>Workshop fabrication / sheltered prep</x:v>
      </x:c>
      <x:c r="B45" s="335" t="str">
        <x:v>Building</x:v>
      </x:c>
      <x:c r="C45" s="336" t="str">
        <x:v>0.10</x:v>
      </x:c>
      <x:c r="D45" s="336" t="str">
        <x:v>0.08</x:v>
      </x:c>
      <x:c r="E45" s="337" t="n">
        <x:v>0</x:v>
      </x:c>
      <x:c r="F45" s="336" t="str">
        <x:v>0.02</x:v>
      </x:c>
      <x:c r="G45" s="336" t="str">
        <x:v>0.08</x:v>
      </x:c>
      <x:c r="H45" s="336" t="str">
        <x:v>0.20</x:v>
      </x:c>
      <x:c r="I45" s="338" t="str">
        <x:v>AMBER - company judgement</x:v>
      </x:c>
      <x:c r="J45" s="338" t="n">
        <x:f>COUNTIF('Weather Log'!$D$7:$D$206,A45)</x:f>
        <x:v>0</x:v>
      </x:c>
      <x:c r="K45" s="338" t="str">
        <x:f>IF(J45=0,"UNCALIBRATED",IF(J45&lt;5,"PARTIAL - fewer than 5 records",IF(J45&lt;10,"AMBER - 5 to 9 records","REVIEW FOR GREEN - 10+ records")))</x:f>
        <x:v>UNCALIBRATED</x:v>
      </x:c>
      <x:c r="L45" s="335" t="str">
        <x:v>Low but not zero.</x:v>
      </x:c>
      <x:c r="M45" s="335" t="str">
        <x:v>Calibrate from Weather Log and obtain estimator/PM approval before GREEN.</x:v>
      </x:c>
      <x:c r="N45" s="335" t="str"/>
      <x:c r="O45" s="335" t="str"/>
    </x:row>
  </x:sheetData>
  <x:mergeCells>
    <x:mergeCell ref="A1:O1"/>
    <x:mergeCell ref="A3:O5"/>
  </x:mergeCells>
  <x:conditionalFormatting sqref="I7:K45">
    <x:cfRule type="containsText" dxfId="8" priority="1" operator="containsText" text="GREEN"/>
    <x:cfRule type="containsText" dxfId="9" priority="2" operator="containsText" text="AMBER"/>
    <x:cfRule type="containsText" dxfId="10" priority="3" operator="containsText" text="RED"/>
    <x:cfRule type="containsText" dxfId="11" priority="4" operator="containsText" text="UNCALIBRAT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4" hidden="0" customWidth="1"/>
    <x:col min="10" max="10" width="26" hidden="0" customWidth="1"/>
  </x:cols>
  <x:sheetData>
    <x:row r="1" ht="26" customHeight="1">
      <x:c r="A1" s="316" t="str">
        <x:v>NIWA Climate Data - 1991-2020 Normals</x:v>
      </x:c>
      <x:c r="B1" s="268" t="str">
        <x:v>NIWA Climate Data - 1991-2020 Normals</x:v>
      </x:c>
      <x:c r="C1" s="268" t="str">
        <x:v>NIWA Climate Data - 1991-2020 Normals</x:v>
      </x:c>
      <x:c r="D1" s="268" t="str">
        <x:v>NIWA Climate Data - 1991-2020 Normals</x:v>
      </x:c>
      <x:c r="E1" s="268" t="str">
        <x:v>NIWA Climate Data - 1991-2020 Normals</x:v>
      </x:c>
      <x:c r="F1" s="268" t="str">
        <x:v>NIWA Climate Data - 1991-2020 Normals</x:v>
      </x:c>
      <x:c r="G1" s="268" t="str">
        <x:v>NIWA Climate Data - 1991-2020 Normals</x:v>
      </x:c>
      <x:c r="H1" s="268" t="str">
        <x:v>NIWA Climate Data - 1991-2020 Normals</x:v>
      </x:c>
      <x:c r="I1" s="268" t="str">
        <x:v>NIWA Climate Data - 1991-2020 Normals</x:v>
      </x:c>
      <x:c r="J1" s="268" t="str">
        <x:v>NIWA Climate Data - 1991-2020 Normals</x:v>
      </x:c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</x:row>
    <x:row r="3">
      <x:c r="A3" s="339" t="str">
        <x:v>Official NIWA mean monthly wet days and rainfall. Daily wet-day probability is calculated as mean wet days divided by normal calendar days. A wet day is 1 mm or more of rain; it is not automatically a lost construction day.</x:v>
      </x:c>
      <x:c r="B3" s="339"/>
      <x:c r="C3" s="339"/>
      <x:c r="D3" s="339"/>
      <x:c r="E3" s="339"/>
      <x:c r="F3" s="339"/>
      <x:c r="G3" s="339"/>
      <x:c r="H3" s="339"/>
      <x:c r="I3" s="339"/>
      <x:c r="J3" s="339"/>
    </x:row>
    <x:row r="4">
      <x:c r="A4" s="339"/>
      <x:c r="B4" s="339"/>
      <x:c r="C4" s="339"/>
      <x:c r="D4" s="339"/>
      <x:c r="E4" s="339"/>
      <x:c r="F4" s="339"/>
      <x:c r="G4" s="339"/>
      <x:c r="H4" s="339"/>
      <x:c r="I4" s="339"/>
      <x:c r="J4" s="339"/>
    </x:row>
    <x:row r="5">
      <x:c r="A5" s="269"/>
      <x:c r="B5" s="269"/>
      <x:c r="C5" s="269"/>
      <x:c r="D5" s="269"/>
      <x:c r="E5" s="269"/>
      <x:c r="F5" s="269"/>
      <x:c r="G5" s="269"/>
      <x:c r="H5" s="269"/>
      <x:c r="I5" s="269"/>
      <x:c r="J5" s="269"/>
    </x:row>
    <x:row r="6">
      <x:c r="A6" s="320" t="str">
        <x:v>Location</x:v>
      </x:c>
      <x:c r="B6" s="320" t="str">
        <x:v>Month #</x:v>
      </x:c>
      <x:c r="C6" s="320" t="str">
        <x:v>Month</x:v>
      </x:c>
      <x:c r="D6" s="320" t="str">
        <x:v>Mean Wet Days &gt;=1 mm</x:v>
      </x:c>
      <x:c r="E6" s="320" t="str">
        <x:v>Mean Rainfall (mm)</x:v>
      </x:c>
      <x:c r="F6" s="320" t="str">
        <x:v>Normal Calendar Days</x:v>
      </x:c>
      <x:c r="G6" s="320" t="str">
        <x:v>Daily Wet-Day Probability</x:v>
      </x:c>
      <x:c r="H6" s="320" t="str">
        <x:v>Mean Rain per Wet Day (mm)</x:v>
      </x:c>
      <x:c r="I6" s="320" t="str">
        <x:v>Source Period</x:v>
      </x:c>
      <x:c r="J6" s="320" t="str">
        <x:v>Evidence Status</x:v>
      </x:c>
    </x:row>
    <x:row r="7">
      <x:c r="A7" s="340" t="str">
        <x:v>Kaitaia</x:v>
      </x:c>
      <x:c r="B7" s="340" t="n">
        <x:v>1</x:v>
      </x:c>
      <x:c r="C7" s="340" t="str">
        <x:v>Jan</x:v>
      </x:c>
      <x:c r="D7" s="341" t="n">
        <x:v>6.136363636363637</x:v>
      </x:c>
      <x:c r="E7" s="341" t="n">
        <x:v>75</x:v>
      </x:c>
      <x:c r="F7" s="341" t="n">
        <x:v>31</x:v>
      </x:c>
      <x:c r="G7" s="342" t="n">
        <x:f>IFERROR(D7/F7,0)</x:f>
        <x:v>0.19794721407624635</x:v>
      </x:c>
      <x:c r="H7" s="343" t="n">
        <x:f>IFERROR(E7/D7,0)</x:f>
        <x:v>12.222222222222221</x:v>
      </x:c>
      <x:c r="I7" s="340" t="str">
        <x:v>1991-2020</x:v>
      </x:c>
      <x:c r="J7" s="338" t="str">
        <x:v>GREEN - official NIWA normal</x:v>
      </x:c>
    </x:row>
    <x:row r="8">
      <x:c r="A8" s="340" t="str">
        <x:v>Kaitaia</x:v>
      </x:c>
      <x:c r="B8" s="340" t="n">
        <x:v>2</x:v>
      </x:c>
      <x:c r="C8" s="340" t="str">
        <x:v>Feb</x:v>
      </x:c>
      <x:c r="D8" s="341" t="n">
        <x:v>6.5</x:v>
      </x:c>
      <x:c r="E8" s="341" t="n">
        <x:v>86</x:v>
      </x:c>
      <x:c r="F8" s="341" t="n">
        <x:v>28.266666666666666</x:v>
      </x:c>
      <x:c r="G8" s="342" t="n">
        <x:f>IFERROR(D8/F8,0)</x:f>
        <x:v>0.22995283018867926</x:v>
      </x:c>
      <x:c r="H8" s="343" t="n">
        <x:f>IFERROR(E8/D8,0)</x:f>
        <x:v>13.23076923076923</x:v>
      </x:c>
      <x:c r="I8" s="340" t="str">
        <x:v>1991-2020</x:v>
      </x:c>
      <x:c r="J8" s="338" t="str">
        <x:v>GREEN - official NIWA normal</x:v>
      </x:c>
    </x:row>
    <x:row r="9">
      <x:c r="A9" s="340" t="str">
        <x:v>Kaitaia</x:v>
      </x:c>
      <x:c r="B9" s="340" t="n">
        <x:v>3</x:v>
      </x:c>
      <x:c r="C9" s="340" t="str">
        <x:v>Mar</x:v>
      </x:c>
      <x:c r="D9" s="341" t="n">
        <x:v>7.590909090909091</x:v>
      </x:c>
      <x:c r="E9" s="341" t="n">
        <x:v>84.7</x:v>
      </x:c>
      <x:c r="F9" s="341" t="n">
        <x:v>31</x:v>
      </x:c>
      <x:c r="G9" s="342" t="n">
        <x:f>IFERROR(D9/F9,0)</x:f>
        <x:v>0.24486803519061584</x:v>
      </x:c>
      <x:c r="H9" s="343" t="n">
        <x:f>IFERROR(E9/D9,0)</x:f>
        <x:v>11.158083832335329</x:v>
      </x:c>
      <x:c r="I9" s="340" t="str">
        <x:v>1991-2020</x:v>
      </x:c>
      <x:c r="J9" s="338" t="str">
        <x:v>GREEN - official NIWA normal</x:v>
      </x:c>
    </x:row>
    <x:row r="10">
      <x:c r="A10" s="340" t="str">
        <x:v>Kaitaia</x:v>
      </x:c>
      <x:c r="B10" s="340" t="n">
        <x:v>4</x:v>
      </x:c>
      <x:c r="C10" s="340" t="str">
        <x:v>Apr</x:v>
      </x:c>
      <x:c r="D10" s="341" t="n">
        <x:v>10.090909090909092</x:v>
      </x:c>
      <x:c r="E10" s="341" t="n">
        <x:v>98.8</x:v>
      </x:c>
      <x:c r="F10" s="341" t="n">
        <x:v>30</x:v>
      </x:c>
      <x:c r="G10" s="342" t="n">
        <x:f>IFERROR(D10/F10,0)</x:f>
        <x:v>0.33636363636363636</x:v>
      </x:c>
      <x:c r="H10" s="343" t="n">
        <x:f>IFERROR(E10/D10,0)</x:f>
        <x:v>9.79099099099099</x:v>
      </x:c>
      <x:c r="I10" s="340" t="str">
        <x:v>1991-2020</x:v>
      </x:c>
      <x:c r="J10" s="338" t="str">
        <x:v>GREEN - official NIWA normal</x:v>
      </x:c>
    </x:row>
    <x:row r="11">
      <x:c r="A11" s="340" t="str">
        <x:v>Kaitaia</x:v>
      </x:c>
      <x:c r="B11" s="340" t="n">
        <x:v>5</x:v>
      </x:c>
      <x:c r="C11" s="340" t="str">
        <x:v>May</x:v>
      </x:c>
      <x:c r="D11" s="341" t="n">
        <x:v>13.227272727272727</x:v>
      </x:c>
      <x:c r="E11" s="341" t="n">
        <x:v>130.5</x:v>
      </x:c>
      <x:c r="F11" s="341" t="n">
        <x:v>31</x:v>
      </x:c>
      <x:c r="G11" s="342" t="n">
        <x:f>IFERROR(D11/F11,0)</x:f>
        <x:v>0.4266862170087976</x:v>
      </x:c>
      <x:c r="H11" s="343" t="n">
        <x:f>IFERROR(E11/D11,0)</x:f>
        <x:v>9.8659793814433</x:v>
      </x:c>
      <x:c r="I11" s="340" t="str">
        <x:v>1991-2020</x:v>
      </x:c>
      <x:c r="J11" s="338" t="str">
        <x:v>GREEN - official NIWA normal</x:v>
      </x:c>
    </x:row>
    <x:row r="12">
      <x:c r="A12" s="340" t="str">
        <x:v>Kaitaia</x:v>
      </x:c>
      <x:c r="B12" s="340" t="n">
        <x:v>6</x:v>
      </x:c>
      <x:c r="C12" s="340" t="str">
        <x:v>Jun</x:v>
      </x:c>
      <x:c r="D12" s="341" t="n">
        <x:v>14.681818181818182</x:v>
      </x:c>
      <x:c r="E12" s="341" t="n">
        <x:v>149.9</x:v>
      </x:c>
      <x:c r="F12" s="341" t="n">
        <x:v>30</x:v>
      </x:c>
      <x:c r="G12" s="342" t="n">
        <x:f>IFERROR(D12/F12,0)</x:f>
        <x:v>0.4893939393939394</x:v>
      </x:c>
      <x:c r="H12" s="343" t="n">
        <x:f>IFERROR(E12/D12,0)</x:f>
        <x:v>10.209907120743035</x:v>
      </x:c>
      <x:c r="I12" s="340" t="str">
        <x:v>1991-2020</x:v>
      </x:c>
      <x:c r="J12" s="338" t="str">
        <x:v>GREEN - official NIWA normal</x:v>
      </x:c>
    </x:row>
    <x:row r="13">
      <x:c r="A13" s="340" t="str">
        <x:v>Kaitaia</x:v>
      </x:c>
      <x:c r="B13" s="340" t="n">
        <x:v>7</x:v>
      </x:c>
      <x:c r="C13" s="340" t="str">
        <x:v>Jul</x:v>
      </x:c>
      <x:c r="D13" s="341" t="n">
        <x:v>15.863636363636363</x:v>
      </x:c>
      <x:c r="E13" s="341" t="n">
        <x:v>168.1</x:v>
      </x:c>
      <x:c r="F13" s="341" t="n">
        <x:v>31</x:v>
      </x:c>
      <x:c r="G13" s="342" t="n">
        <x:f>IFERROR(D13/F13,0)</x:f>
        <x:v>0.5117302052785924</x:v>
      </x:c>
      <x:c r="H13" s="343" t="n">
        <x:f>IFERROR(E13/D13,0)</x:f>
        <x:v>10.596561604584528</x:v>
      </x:c>
      <x:c r="I13" s="340" t="str">
        <x:v>1991-2020</x:v>
      </x:c>
      <x:c r="J13" s="338" t="str">
        <x:v>GREEN - official NIWA normal</x:v>
      </x:c>
    </x:row>
    <x:row r="14">
      <x:c r="A14" s="340" t="str">
        <x:v>Kaitaia</x:v>
      </x:c>
      <x:c r="B14" s="340" t="n">
        <x:v>8</x:v>
      </x:c>
      <x:c r="C14" s="340" t="str">
        <x:v>Aug</x:v>
      </x:c>
      <x:c r="D14" s="341" t="n">
        <x:v>15.5</x:v>
      </x:c>
      <x:c r="E14" s="341" t="n">
        <x:v>137</x:v>
      </x:c>
      <x:c r="F14" s="341" t="n">
        <x:v>31</x:v>
      </x:c>
      <x:c r="G14" s="342" t="n">
        <x:f>IFERROR(D14/F14,0)</x:f>
        <x:v>0.5</x:v>
      </x:c>
      <x:c r="H14" s="343" t="n">
        <x:f>IFERROR(E14/D14,0)</x:f>
        <x:v>8.838709677419354</x:v>
      </x:c>
      <x:c r="I14" s="340" t="str">
        <x:v>1991-2020</x:v>
      </x:c>
      <x:c r="J14" s="338" t="str">
        <x:v>GREEN - official NIWA normal</x:v>
      </x:c>
    </x:row>
    <x:row r="15">
      <x:c r="A15" s="340" t="str">
        <x:v>Kaitaia</x:v>
      </x:c>
      <x:c r="B15" s="340" t="n">
        <x:v>9</x:v>
      </x:c>
      <x:c r="C15" s="340" t="str">
        <x:v>Sep</x:v>
      </x:c>
      <x:c r="D15" s="341" t="n">
        <x:v>12.772727272727273</x:v>
      </x:c>
      <x:c r="E15" s="341" t="n">
        <x:v>121.7</x:v>
      </x:c>
      <x:c r="F15" s="341" t="n">
        <x:v>30</x:v>
      </x:c>
      <x:c r="G15" s="342" t="n">
        <x:f>IFERROR(D15/F15,0)</x:f>
        <x:v>0.4257575757575758</x:v>
      </x:c>
      <x:c r="H15" s="343" t="n">
        <x:f>IFERROR(E15/D15,0)</x:f>
        <x:v>9.528113879003559</x:v>
      </x:c>
      <x:c r="I15" s="340" t="str">
        <x:v>1991-2020</x:v>
      </x:c>
      <x:c r="J15" s="338" t="str">
        <x:v>GREEN - official NIWA normal</x:v>
      </x:c>
    </x:row>
    <x:row r="16">
      <x:c r="A16" s="340" t="str">
        <x:v>Kaitaia</x:v>
      </x:c>
      <x:c r="B16" s="340" t="n">
        <x:v>10</x:v>
      </x:c>
      <x:c r="C16" s="340" t="str">
        <x:v>Oct</x:v>
      </x:c>
      <x:c r="D16" s="341" t="n">
        <x:v>10.363636363636363</x:v>
      </x:c>
      <x:c r="E16" s="341" t="n">
        <x:v>90.4</x:v>
      </x:c>
      <x:c r="F16" s="341" t="n">
        <x:v>31</x:v>
      </x:c>
      <x:c r="G16" s="342" t="n">
        <x:f>IFERROR(D16/F16,0)</x:f>
        <x:v>0.3343108504398827</x:v>
      </x:c>
      <x:c r="H16" s="343" t="n">
        <x:f>IFERROR(E16/D16,0)</x:f>
        <x:v>8.722807017543861</x:v>
      </x:c>
      <x:c r="I16" s="340" t="str">
        <x:v>1991-2020</x:v>
      </x:c>
      <x:c r="J16" s="338" t="str">
        <x:v>GREEN - official NIWA normal</x:v>
      </x:c>
    </x:row>
    <x:row r="17">
      <x:c r="A17" s="340" t="str">
        <x:v>Kaitaia</x:v>
      </x:c>
      <x:c r="B17" s="340" t="n">
        <x:v>11</x:v>
      </x:c>
      <x:c r="C17" s="340" t="str">
        <x:v>Nov</x:v>
      </x:c>
      <x:c r="D17" s="341" t="n">
        <x:v>9.227272727272727</x:v>
      </x:c>
      <x:c r="E17" s="341" t="n">
        <x:v>76.3</x:v>
      </x:c>
      <x:c r="F17" s="341" t="n">
        <x:v>30</x:v>
      </x:c>
      <x:c r="G17" s="342" t="n">
        <x:f>IFERROR(D17/F17,0)</x:f>
        <x:v>0.30757575757575756</x:v>
      </x:c>
      <x:c r="H17" s="343" t="n">
        <x:f>IFERROR(E17/D17,0)</x:f>
        <x:v>8.26896551724138</x:v>
      </x:c>
      <x:c r="I17" s="340" t="str">
        <x:v>1991-2020</x:v>
      </x:c>
      <x:c r="J17" s="338" t="str">
        <x:v>GREEN - official NIWA normal</x:v>
      </x:c>
    </x:row>
    <x:row r="18">
      <x:c r="A18" s="340" t="str">
        <x:v>Kaitaia</x:v>
      </x:c>
      <x:c r="B18" s="340" t="n">
        <x:v>12</x:v>
      </x:c>
      <x:c r="C18" s="340" t="str">
        <x:v>Dec</x:v>
      </x:c>
      <x:c r="D18" s="341" t="n">
        <x:v>9.863636363636363</x:v>
      </x:c>
      <x:c r="E18" s="341" t="n">
        <x:v>101.6</x:v>
      </x:c>
      <x:c r="F18" s="341" t="n">
        <x:v>31</x:v>
      </x:c>
      <x:c r="G18" s="342" t="n">
        <x:f>IFERROR(D18/F18,0)</x:f>
        <x:v>0.3181818181818182</x:v>
      </x:c>
      <x:c r="H18" s="343" t="n">
        <x:f>IFERROR(E18/D18,0)</x:f>
        <x:v>10.300460829493087</x:v>
      </x:c>
      <x:c r="I18" s="340" t="str">
        <x:v>1991-2020</x:v>
      </x:c>
      <x:c r="J18" s="338" t="str">
        <x:v>GREEN - official NIWA normal</x:v>
      </x:c>
    </x:row>
    <x:row r="19">
      <x:c r="A19" s="340" t="str">
        <x:v>Whangarei</x:v>
      </x:c>
      <x:c r="B19" s="340" t="n">
        <x:v>1</x:v>
      </x:c>
      <x:c r="C19" s="340" t="str">
        <x:v>Jan</x:v>
      </x:c>
      <x:c r="D19" s="341" t="n">
        <x:v>6.931034482758621</x:v>
      </x:c>
      <x:c r="E19" s="341" t="n">
        <x:v>78</x:v>
      </x:c>
      <x:c r="F19" s="341" t="n">
        <x:v>31</x:v>
      </x:c>
      <x:c r="G19" s="342" t="n">
        <x:f>IFERROR(D19/F19,0)</x:f>
        <x:v>0.2235817575083426</x:v>
      </x:c>
      <x:c r="H19" s="343" t="n">
        <x:f>IFERROR(E19/D19,0)</x:f>
        <x:v>11.253731343283581</x:v>
      </x:c>
      <x:c r="I19" s="340" t="str">
        <x:v>1991-2020</x:v>
      </x:c>
      <x:c r="J19" s="338" t="str">
        <x:v>GREEN - official NIWA normal</x:v>
      </x:c>
    </x:row>
    <x:row r="20">
      <x:c r="A20" s="340" t="str">
        <x:v>Whangarei</x:v>
      </x:c>
      <x:c r="B20" s="340" t="n">
        <x:v>2</x:v>
      </x:c>
      <x:c r="C20" s="340" t="str">
        <x:v>Feb</x:v>
      </x:c>
      <x:c r="D20" s="341" t="n">
        <x:v>7.275862068965517</x:v>
      </x:c>
      <x:c r="E20" s="341" t="n">
        <x:v>83.2</x:v>
      </x:c>
      <x:c r="F20" s="341" t="n">
        <x:v>28.266666666666666</x:v>
      </x:c>
      <x:c r="G20" s="342" t="n">
        <x:f>IFERROR(D20/F20,0)</x:f>
        <x:v>0.25740078074170464</x:v>
      </x:c>
      <x:c r="H20" s="343" t="n">
        <x:f>IFERROR(E20/D20,0)</x:f>
        <x:v>11.435071090047394</x:v>
      </x:c>
      <x:c r="I20" s="340" t="str">
        <x:v>1991-2020</x:v>
      </x:c>
      <x:c r="J20" s="338" t="str">
        <x:v>GREEN - official NIWA normal</x:v>
      </x:c>
    </x:row>
    <x:row r="21">
      <x:c r="A21" s="340" t="str">
        <x:v>Whangarei</x:v>
      </x:c>
      <x:c r="B21" s="340" t="n">
        <x:v>3</x:v>
      </x:c>
      <x:c r="C21" s="340" t="str">
        <x:v>Mar</x:v>
      </x:c>
      <x:c r="D21" s="341" t="n">
        <x:v>9</x:v>
      </x:c>
      <x:c r="E21" s="341" t="n">
        <x:v>119.2</x:v>
      </x:c>
      <x:c r="F21" s="341" t="n">
        <x:v>31</x:v>
      </x:c>
      <x:c r="G21" s="342" t="n">
        <x:f>IFERROR(D21/F21,0)</x:f>
        <x:v>0.2903225806451613</x:v>
      </x:c>
      <x:c r="H21" s="343" t="n">
        <x:f>IFERROR(E21/D21,0)</x:f>
        <x:v>13.244444444444445</x:v>
      </x:c>
      <x:c r="I21" s="340" t="str">
        <x:v>1991-2020</x:v>
      </x:c>
      <x:c r="J21" s="338" t="str">
        <x:v>GREEN - official NIWA normal</x:v>
      </x:c>
    </x:row>
    <x:row r="22">
      <x:c r="A22" s="340" t="str">
        <x:v>Whangarei</x:v>
      </x:c>
      <x:c r="B22" s="340" t="n">
        <x:v>4</x:v>
      </x:c>
      <x:c r="C22" s="340" t="str">
        <x:v>Apr</x:v>
      </x:c>
      <x:c r="D22" s="341" t="n">
        <x:v>9.703703703703704</x:v>
      </x:c>
      <x:c r="E22" s="341" t="n">
        <x:v>94.1</x:v>
      </x:c>
      <x:c r="F22" s="341" t="n">
        <x:v>30</x:v>
      </x:c>
      <x:c r="G22" s="342" t="n">
        <x:f>IFERROR(D22/F22,0)</x:f>
        <x:v>0.3234567901234568</x:v>
      </x:c>
      <x:c r="H22" s="343" t="n">
        <x:f>IFERROR(E22/D22,0)</x:f>
        <x:v>9.697328244274809</x:v>
      </x:c>
      <x:c r="I22" s="340" t="str">
        <x:v>1991-2020</x:v>
      </x:c>
      <x:c r="J22" s="338" t="str">
        <x:v>GREEN - official NIWA normal</x:v>
      </x:c>
    </x:row>
    <x:row r="23">
      <x:c r="A23" s="340" t="str">
        <x:v>Whangarei</x:v>
      </x:c>
      <x:c r="B23" s="340" t="n">
        <x:v>5</x:v>
      </x:c>
      <x:c r="C23" s="340" t="str">
        <x:v>May</x:v>
      </x:c>
      <x:c r="D23" s="341" t="n">
        <x:v>13.071428571428571</x:v>
      </x:c>
      <x:c r="E23" s="341" t="n">
        <x:v>112.9</x:v>
      </x:c>
      <x:c r="F23" s="341" t="n">
        <x:v>31</x:v>
      </x:c>
      <x:c r="G23" s="342" t="n">
        <x:f>IFERROR(D23/F23,0)</x:f>
        <x:v>0.4216589861751152</x:v>
      </x:c>
      <x:c r="H23" s="343" t="n">
        <x:f>IFERROR(E23/D23,0)</x:f>
        <x:v>8.637158469945355</x:v>
      </x:c>
      <x:c r="I23" s="340" t="str">
        <x:v>1991-2020</x:v>
      </x:c>
      <x:c r="J23" s="338" t="str">
        <x:v>GREEN - official NIWA normal</x:v>
      </x:c>
    </x:row>
    <x:row r="24">
      <x:c r="A24" s="340" t="str">
        <x:v>Whangarei</x:v>
      </x:c>
      <x:c r="B24" s="340" t="n">
        <x:v>6</x:v>
      </x:c>
      <x:c r="C24" s="340" t="str">
        <x:v>Jun</x:v>
      </x:c>
      <x:c r="D24" s="341" t="n">
        <x:v>14.035714285714286</x:v>
      </x:c>
      <x:c r="E24" s="341" t="n">
        <x:v>142.2</x:v>
      </x:c>
      <x:c r="F24" s="341" t="n">
        <x:v>30</x:v>
      </x:c>
      <x:c r="G24" s="342" t="n">
        <x:f>IFERROR(D24/F24,0)</x:f>
        <x:v>0.46785714285714286</x:v>
      </x:c>
      <x:c r="H24" s="343" t="n">
        <x:f>IFERROR(E24/D24,0)</x:f>
        <x:v>10.131297709923663</x:v>
      </x:c>
      <x:c r="I24" s="340" t="str">
        <x:v>1991-2020</x:v>
      </x:c>
      <x:c r="J24" s="338" t="str">
        <x:v>GREEN - official NIWA normal</x:v>
      </x:c>
    </x:row>
    <x:row r="25">
      <x:c r="A25" s="340" t="str">
        <x:v>Whangarei</x:v>
      </x:c>
      <x:c r="B25" s="340" t="n">
        <x:v>7</x:v>
      </x:c>
      <x:c r="C25" s="340" t="str">
        <x:v>Jul</x:v>
      </x:c>
      <x:c r="D25" s="341" t="n">
        <x:v>15.03448275862069</x:v>
      </x:c>
      <x:c r="E25" s="341" t="n">
        <x:v>173.5</x:v>
      </x:c>
      <x:c r="F25" s="341" t="n">
        <x:v>31</x:v>
      </x:c>
      <x:c r="G25" s="342" t="n">
        <x:f>IFERROR(D25/F25,0)</x:f>
        <x:v>0.4849833147942158</x:v>
      </x:c>
      <x:c r="H25" s="343" t="n">
        <x:f>IFERROR(E25/D25,0)</x:f>
        <x:v>11.540137614678898</x:v>
      </x:c>
      <x:c r="I25" s="340" t="str">
        <x:v>1991-2020</x:v>
      </x:c>
      <x:c r="J25" s="338" t="str">
        <x:v>GREEN - official NIWA normal</x:v>
      </x:c>
    </x:row>
    <x:row r="26">
      <x:c r="A26" s="340" t="str">
        <x:v>Whangarei</x:v>
      </x:c>
      <x:c r="B26" s="340" t="n">
        <x:v>8</x:v>
      </x:c>
      <x:c r="C26" s="340" t="str">
        <x:v>Aug</x:v>
      </x:c>
      <x:c r="D26" s="341" t="n">
        <x:v>15.233333333333333</x:v>
      </x:c>
      <x:c r="E26" s="341" t="n">
        <x:v>130</x:v>
      </x:c>
      <x:c r="F26" s="341" t="n">
        <x:v>31</x:v>
      </x:c>
      <x:c r="G26" s="342" t="n">
        <x:f>IFERROR(D26/F26,0)</x:f>
        <x:v>0.4913978494623656</x:v>
      </x:c>
      <x:c r="H26" s="343" t="n">
        <x:f>IFERROR(E26/D26,0)</x:f>
        <x:v>8.533916849015318</x:v>
      </x:c>
      <x:c r="I26" s="340" t="str">
        <x:v>1991-2020</x:v>
      </x:c>
      <x:c r="J26" s="338" t="str">
        <x:v>GREEN - official NIWA normal</x:v>
      </x:c>
    </x:row>
    <x:row r="27">
      <x:c r="A27" s="340" t="str">
        <x:v>Whangarei</x:v>
      </x:c>
      <x:c r="B27" s="340" t="n">
        <x:v>9</x:v>
      </x:c>
      <x:c r="C27" s="340" t="str">
        <x:v>Sep</x:v>
      </x:c>
      <x:c r="D27" s="341" t="n">
        <x:v>12.866666666666667</x:v>
      </x:c>
      <x:c r="E27" s="341" t="n">
        <x:v>112.3</x:v>
      </x:c>
      <x:c r="F27" s="341" t="n">
        <x:v>30</x:v>
      </x:c>
      <x:c r="G27" s="342" t="n">
        <x:f>IFERROR(D27/F27,0)</x:f>
        <x:v>0.42888888888888893</x:v>
      </x:c>
      <x:c r="H27" s="343" t="n">
        <x:f>IFERROR(E27/D27,0)</x:f>
        <x:v>8.727979274611398</x:v>
      </x:c>
      <x:c r="I27" s="340" t="str">
        <x:v>1991-2020</x:v>
      </x:c>
      <x:c r="J27" s="338" t="str">
        <x:v>GREEN - official NIWA normal</x:v>
      </x:c>
    </x:row>
    <x:row r="28">
      <x:c r="A28" s="340" t="str">
        <x:v>Whangarei</x:v>
      </x:c>
      <x:c r="B28" s="340" t="n">
        <x:v>10</x:v>
      </x:c>
      <x:c r="C28" s="340" t="str">
        <x:v>Oct</x:v>
      </x:c>
      <x:c r="D28" s="341" t="n">
        <x:v>10.310344827586206</x:v>
      </x:c>
      <x:c r="E28" s="341" t="n">
        <x:v>76.8</x:v>
      </x:c>
      <x:c r="F28" s="341" t="n">
        <x:v>31</x:v>
      </x:c>
      <x:c r="G28" s="342" t="n">
        <x:f>IFERROR(D28/F28,0)</x:f>
        <x:v>0.3325917686318131</x:v>
      </x:c>
      <x:c r="H28" s="343" t="n">
        <x:f>IFERROR(E28/D28,0)</x:f>
        <x:v>7.448829431438127</x:v>
      </x:c>
      <x:c r="I28" s="340" t="str">
        <x:v>1991-2020</x:v>
      </x:c>
      <x:c r="J28" s="338" t="str">
        <x:v>GREEN - official NIWA normal</x:v>
      </x:c>
    </x:row>
    <x:row r="29">
      <x:c r="A29" s="340" t="str">
        <x:v>Whangarei</x:v>
      </x:c>
      <x:c r="B29" s="340" t="n">
        <x:v>11</x:v>
      </x:c>
      <x:c r="C29" s="340" t="str">
        <x:v>Nov</x:v>
      </x:c>
      <x:c r="D29" s="341" t="n">
        <x:v>9.233333333333333</x:v>
      </x:c>
      <x:c r="E29" s="341" t="n">
        <x:v>75.9</x:v>
      </x:c>
      <x:c r="F29" s="341" t="n">
        <x:v>30</x:v>
      </x:c>
      <x:c r="G29" s="342" t="n">
        <x:f>IFERROR(D29/F29,0)</x:f>
        <x:v>0.30777777777777776</x:v>
      </x:c>
      <x:c r="H29" s="343" t="n">
        <x:f>IFERROR(E29/D29,0)</x:f>
        <x:v>8.220216606498196</x:v>
      </x:c>
      <x:c r="I29" s="340" t="str">
        <x:v>1991-2020</x:v>
      </x:c>
      <x:c r="J29" s="338" t="str">
        <x:v>GREEN - official NIWA normal</x:v>
      </x:c>
    </x:row>
    <x:row r="30">
      <x:c r="A30" s="340" t="str">
        <x:v>Whangarei</x:v>
      </x:c>
      <x:c r="B30" s="340" t="n">
        <x:v>12</x:v>
      </x:c>
      <x:c r="C30" s="340" t="str">
        <x:v>Dec</x:v>
      </x:c>
      <x:c r="D30" s="341" t="n">
        <x:v>8.793103448275861</x:v>
      </x:c>
      <x:c r="E30" s="341" t="n">
        <x:v>90.9</x:v>
      </x:c>
      <x:c r="F30" s="341" t="n">
        <x:v>31</x:v>
      </x:c>
      <x:c r="G30" s="342" t="n">
        <x:f>IFERROR(D30/F30,0)</x:f>
        <x:v>0.28364849833147937</x:v>
      </x:c>
      <x:c r="H30" s="343" t="n">
        <x:f>IFERROR(E30/D30,0)</x:f>
        <x:v>10.337647058823531</x:v>
      </x:c>
      <x:c r="I30" s="340" t="str">
        <x:v>1991-2020</x:v>
      </x:c>
      <x:c r="J30" s="338" t="str">
        <x:v>GREEN - official NIWA normal</x:v>
      </x:c>
    </x:row>
    <x:row r="31">
      <x:c r="A31" s="340" t="str">
        <x:v>Auckland</x:v>
      </x:c>
      <x:c r="B31" s="340" t="n">
        <x:v>1</x:v>
      </x:c>
      <x:c r="C31" s="340" t="str">
        <x:v>Jan</x:v>
      </x:c>
      <x:c r="D31" s="341" t="n">
        <x:v>6.758620689655173</x:v>
      </x:c>
      <x:c r="E31" s="341" t="n">
        <x:v>58.1</x:v>
      </x:c>
      <x:c r="F31" s="341" t="n">
        <x:v>31</x:v>
      </x:c>
      <x:c r="G31" s="342" t="n">
        <x:f>IFERROR(D31/F31,0)</x:f>
        <x:v>0.21802002224694106</x:v>
      </x:c>
      <x:c r="H31" s="343" t="n">
        <x:f>IFERROR(E31/D31,0)</x:f>
        <x:v>8.596428571428572</x:v>
      </x:c>
      <x:c r="I31" s="340" t="str">
        <x:v>1991-2020</x:v>
      </x:c>
      <x:c r="J31" s="338" t="str">
        <x:v>GREEN - official NIWA normal</x:v>
      </x:c>
    </x:row>
    <x:row r="32">
      <x:c r="A32" s="340" t="str">
        <x:v>Auckland</x:v>
      </x:c>
      <x:c r="B32" s="340" t="n">
        <x:v>2</x:v>
      </x:c>
      <x:c r="C32" s="340" t="str">
        <x:v>Feb</x:v>
      </x:c>
      <x:c r="D32" s="341" t="n">
        <x:v>6.517241379310345</x:v>
      </x:c>
      <x:c r="E32" s="341" t="n">
        <x:v>63.1</x:v>
      </x:c>
      <x:c r="F32" s="341" t="n">
        <x:v>28.266666666666666</x:v>
      </x:c>
      <x:c r="G32" s="342" t="n">
        <x:f>IFERROR(D32/F32,0)</x:f>
        <x:v>0.23056278464541316</x:v>
      </x:c>
      <x:c r="H32" s="343" t="n">
        <x:f>IFERROR(E32/D32,0)</x:f>
        <x:v>9.682010582010582</x:v>
      </x:c>
      <x:c r="I32" s="340" t="str">
        <x:v>1991-2020</x:v>
      </x:c>
      <x:c r="J32" s="338" t="str">
        <x:v>GREEN - official NIWA normal</x:v>
      </x:c>
    </x:row>
    <x:row r="33">
      <x:c r="A33" s="340" t="str">
        <x:v>Auckland</x:v>
      </x:c>
      <x:c r="B33" s="340" t="n">
        <x:v>3</x:v>
      </x:c>
      <x:c r="C33" s="340" t="str">
        <x:v>Mar</x:v>
      </x:c>
      <x:c r="D33" s="341" t="n">
        <x:v>7.724137931034483</x:v>
      </x:c>
      <x:c r="E33" s="341" t="n">
        <x:v>75</x:v>
      </x:c>
      <x:c r="F33" s="341" t="n">
        <x:v>31</x:v>
      </x:c>
      <x:c r="G33" s="342" t="n">
        <x:f>IFERROR(D33/F33,0)</x:f>
        <x:v>0.24916573971078979</x:v>
      </x:c>
      <x:c r="H33" s="343" t="n">
        <x:f>IFERROR(E33/D33,0)</x:f>
        <x:v>9.709821428571429</x:v>
      </x:c>
      <x:c r="I33" s="340" t="str">
        <x:v>1991-2020</x:v>
      </x:c>
      <x:c r="J33" s="338" t="str">
        <x:v>GREEN - official NIWA normal</x:v>
      </x:c>
    </x:row>
    <x:row r="34">
      <x:c r="A34" s="340" t="str">
        <x:v>Auckland</x:v>
      </x:c>
      <x:c r="B34" s="340" t="n">
        <x:v>4</x:v>
      </x:c>
      <x:c r="C34" s="340" t="str">
        <x:v>Apr</x:v>
      </x:c>
      <x:c r="D34" s="341" t="n">
        <x:v>9.607142857142858</x:v>
      </x:c>
      <x:c r="E34" s="341" t="n">
        <x:v>87.1</x:v>
      </x:c>
      <x:c r="F34" s="341" t="n">
        <x:v>30</x:v>
      </x:c>
      <x:c r="G34" s="342" t="n">
        <x:f>IFERROR(D34/F34,0)</x:f>
        <x:v>0.32023809523809527</x:v>
      </x:c>
      <x:c r="H34" s="343" t="n">
        <x:f>IFERROR(E34/D34,0)</x:f>
        <x:v>9.066171003717471</x:v>
      </x:c>
      <x:c r="I34" s="340" t="str">
        <x:v>1991-2020</x:v>
      </x:c>
      <x:c r="J34" s="338" t="str">
        <x:v>GREEN - official NIWA normal</x:v>
      </x:c>
    </x:row>
    <x:row r="35">
      <x:c r="A35" s="340" t="str">
        <x:v>Auckland</x:v>
      </x:c>
      <x:c r="B35" s="340" t="n">
        <x:v>5</x:v>
      </x:c>
      <x:c r="C35" s="340" t="str">
        <x:v>May</x:v>
      </x:c>
      <x:c r="D35" s="341" t="n">
        <x:v>13</x:v>
      </x:c>
      <x:c r="E35" s="341" t="n">
        <x:v>119.8</x:v>
      </x:c>
      <x:c r="F35" s="341" t="n">
        <x:v>31</x:v>
      </x:c>
      <x:c r="G35" s="342" t="n">
        <x:f>IFERROR(D35/F35,0)</x:f>
        <x:v>0.41935483870967744</x:v>
      </x:c>
      <x:c r="H35" s="343" t="n">
        <x:f>IFERROR(E35/D35,0)</x:f>
        <x:v>9.215384615384615</x:v>
      </x:c>
      <x:c r="I35" s="340" t="str">
        <x:v>1991-2020</x:v>
      </x:c>
      <x:c r="J35" s="338" t="str">
        <x:v>GREEN - official NIWA normal</x:v>
      </x:c>
    </x:row>
    <x:row r="36">
      <x:c r="A36" s="340" t="str">
        <x:v>Auckland</x:v>
      </x:c>
      <x:c r="B36" s="340" t="n">
        <x:v>6</x:v>
      </x:c>
      <x:c r="C36" s="340" t="str">
        <x:v>Jun</x:v>
      </x:c>
      <x:c r="D36" s="341" t="n">
        <x:v>14.25</x:v>
      </x:c>
      <x:c r="E36" s="341" t="n">
        <x:v>119.4</x:v>
      </x:c>
      <x:c r="F36" s="341" t="n">
        <x:v>30</x:v>
      </x:c>
      <x:c r="G36" s="342" t="n">
        <x:f>IFERROR(D36/F36,0)</x:f>
        <x:v>0.475</x:v>
      </x:c>
      <x:c r="H36" s="343" t="n">
        <x:f>IFERROR(E36/D36,0)</x:f>
        <x:v>8.378947368421054</x:v>
      </x:c>
      <x:c r="I36" s="340" t="str">
        <x:v>1991-2020</x:v>
      </x:c>
      <x:c r="J36" s="338" t="str">
        <x:v>GREEN - official NIWA normal</x:v>
      </x:c>
    </x:row>
    <x:row r="37">
      <x:c r="A37" s="340" t="str">
        <x:v>Auckland</x:v>
      </x:c>
      <x:c r="B37" s="340" t="n">
        <x:v>7</x:v>
      </x:c>
      <x:c r="C37" s="340" t="str">
        <x:v>Jul</x:v>
      </x:c>
      <x:c r="D37" s="341" t="n">
        <x:v>15.214285714285714</x:v>
      </x:c>
      <x:c r="E37" s="341" t="n">
        <x:v>136.9</x:v>
      </x:c>
      <x:c r="F37" s="341" t="n">
        <x:v>31</x:v>
      </x:c>
      <x:c r="G37" s="342" t="n">
        <x:f>IFERROR(D37/F37,0)</x:f>
        <x:v>0.49078341013824883</x:v>
      </x:c>
      <x:c r="H37" s="343" t="n">
        <x:f>IFERROR(E37/D37,0)</x:f>
        <x:v>8.998122065727701</x:v>
      </x:c>
      <x:c r="I37" s="340" t="str">
        <x:v>1991-2020</x:v>
      </x:c>
      <x:c r="J37" s="338" t="str">
        <x:v>GREEN - official NIWA normal</x:v>
      </x:c>
    </x:row>
    <x:row r="38">
      <x:c r="A38" s="340" t="str">
        <x:v>Auckland</x:v>
      </x:c>
      <x:c r="B38" s="340" t="n">
        <x:v>8</x:v>
      </x:c>
      <x:c r="C38" s="340" t="str">
        <x:v>Aug</x:v>
      </x:c>
      <x:c r="D38" s="341" t="n">
        <x:v>14.655172413793103</x:v>
      </x:c>
      <x:c r="E38" s="341" t="n">
        <x:v>117.2</x:v>
      </x:c>
      <x:c r="F38" s="341" t="n">
        <x:v>31</x:v>
      </x:c>
      <x:c r="G38" s="342" t="n">
        <x:f>IFERROR(D38/F38,0)</x:f>
        <x:v>0.47274749721913234</x:v>
      </x:c>
      <x:c r="H38" s="343" t="n">
        <x:f>IFERROR(E38/D38,0)</x:f>
        <x:v>7.9971764705882356</x:v>
      </x:c>
      <x:c r="I38" s="340" t="str">
        <x:v>1991-2020</x:v>
      </x:c>
      <x:c r="J38" s="338" t="str">
        <x:v>GREEN - official NIWA normal</x:v>
      </x:c>
    </x:row>
    <x:row r="39">
      <x:c r="A39" s="340" t="str">
        <x:v>Auckland</x:v>
      </x:c>
      <x:c r="B39" s="340" t="n">
        <x:v>9</x:v>
      </x:c>
      <x:c r="C39" s="340" t="str">
        <x:v>Sep</x:v>
      </x:c>
      <x:c r="D39" s="341" t="n">
        <x:v>12.482758620689655</x:v>
      </x:c>
      <x:c r="E39" s="341" t="n">
        <x:v>100.1</x:v>
      </x:c>
      <x:c r="F39" s="341" t="n">
        <x:v>30</x:v>
      </x:c>
      <x:c r="G39" s="342" t="n">
        <x:f>IFERROR(D39/F39,0)</x:f>
        <x:v>0.4160919540229885</x:v>
      </x:c>
      <x:c r="H39" s="343" t="n">
        <x:f>IFERROR(E39/D39,0)</x:f>
        <x:v>8.019060773480662</x:v>
      </x:c>
      <x:c r="I39" s="340" t="str">
        <x:v>1991-2020</x:v>
      </x:c>
      <x:c r="J39" s="338" t="str">
        <x:v>GREEN - official NIWA normal</x:v>
      </x:c>
    </x:row>
    <x:row r="40">
      <x:c r="A40" s="340" t="str">
        <x:v>Auckland</x:v>
      </x:c>
      <x:c r="B40" s="340" t="n">
        <x:v>10</x:v>
      </x:c>
      <x:c r="C40" s="340" t="str">
        <x:v>Oct</x:v>
      </x:c>
      <x:c r="D40" s="341" t="n">
        <x:v>11.535714285714286</x:v>
      </x:c>
      <x:c r="E40" s="341" t="n">
        <x:v>91.6</x:v>
      </x:c>
      <x:c r="F40" s="341" t="n">
        <x:v>31</x:v>
      </x:c>
      <x:c r="G40" s="342" t="n">
        <x:f>IFERROR(D40/F40,0)</x:f>
        <x:v>0.3721198156682028</x:v>
      </x:c>
      <x:c r="H40" s="343" t="n">
        <x:f>IFERROR(E40/D40,0)</x:f>
        <x:v>7.940557275541795</x:v>
      </x:c>
      <x:c r="I40" s="340" t="str">
        <x:v>1991-2020</x:v>
      </x:c>
      <x:c r="J40" s="338" t="str">
        <x:v>GREEN - official NIWA normal</x:v>
      </x:c>
    </x:row>
    <x:row r="41">
      <x:c r="A41" s="340" t="str">
        <x:v>Auckland</x:v>
      </x:c>
      <x:c r="B41" s="340" t="n">
        <x:v>11</x:v>
      </x:c>
      <x:c r="C41" s="340" t="str">
        <x:v>Nov</x:v>
      </x:c>
      <x:c r="D41" s="341" t="n">
        <x:v>9.333333333333334</x:v>
      </x:c>
      <x:c r="E41" s="341" t="n">
        <x:v>68.9</x:v>
      </x:c>
      <x:c r="F41" s="341" t="n">
        <x:v>30</x:v>
      </x:c>
      <x:c r="G41" s="342" t="n">
        <x:f>IFERROR(D41/F41,0)</x:f>
        <x:v>0.3111111111111111</x:v>
      </x:c>
      <x:c r="H41" s="343" t="n">
        <x:f>IFERROR(E41/D41,0)</x:f>
        <x:v>7.382142857142857</x:v>
      </x:c>
      <x:c r="I41" s="340" t="str">
        <x:v>1991-2020</x:v>
      </x:c>
      <x:c r="J41" s="338" t="str">
        <x:v>GREEN - official NIWA normal</x:v>
      </x:c>
    </x:row>
    <x:row r="42">
      <x:c r="A42" s="340" t="str">
        <x:v>Auckland</x:v>
      </x:c>
      <x:c r="B42" s="340" t="n">
        <x:v>12</x:v>
      </x:c>
      <x:c r="C42" s="340" t="str">
        <x:v>Dec</x:v>
      </x:c>
      <x:c r="D42" s="341" t="n">
        <x:v>9.03448275862069</x:v>
      </x:c>
      <x:c r="E42" s="341" t="n">
        <x:v>81.7</x:v>
      </x:c>
      <x:c r="F42" s="341" t="n">
        <x:v>31</x:v>
      </x:c>
      <x:c r="G42" s="342" t="n">
        <x:f>IFERROR(D42/F42,0)</x:f>
        <x:v>0.2914349276974416</x:v>
      </x:c>
      <x:c r="H42" s="343" t="n">
        <x:f>IFERROR(E42/D42,0)</x:f>
        <x:v>9.043129770992365</x:v>
      </x:c>
      <x:c r="I42" s="340" t="str">
        <x:v>1991-2020</x:v>
      </x:c>
      <x:c r="J42" s="338" t="str">
        <x:v>GREEN - official NIWA normal</x:v>
      </x:c>
    </x:row>
    <x:row r="43">
      <x:c r="A43" s="340" t="str">
        <x:v>Tauranga</x:v>
      </x:c>
      <x:c r="B43" s="340" t="n">
        <x:v>1</x:v>
      </x:c>
      <x:c r="C43" s="340" t="str">
        <x:v>Jan</x:v>
      </x:c>
      <x:c r="D43" s="341" t="n">
        <x:v>6.275862068965517</x:v>
      </x:c>
      <x:c r="E43" s="341" t="n">
        <x:v>76.2</x:v>
      </x:c>
      <x:c r="F43" s="341" t="n">
        <x:v>31</x:v>
      </x:c>
      <x:c r="G43" s="342" t="n">
        <x:f>IFERROR(D43/F43,0)</x:f>
        <x:v>0.20244716351501668</x:v>
      </x:c>
      <x:c r="H43" s="343" t="n">
        <x:f>IFERROR(E43/D43,0)</x:f>
        <x:v>12.141758241758243</x:v>
      </x:c>
      <x:c r="I43" s="340" t="str">
        <x:v>1991-2020</x:v>
      </x:c>
      <x:c r="J43" s="338" t="str">
        <x:v>GREEN - official NIWA normal</x:v>
      </x:c>
    </x:row>
    <x:row r="44">
      <x:c r="A44" s="340" t="str">
        <x:v>Tauranga</x:v>
      </x:c>
      <x:c r="B44" s="340" t="n">
        <x:v>2</x:v>
      </x:c>
      <x:c r="C44" s="340" t="str">
        <x:v>Feb</x:v>
      </x:c>
      <x:c r="D44" s="341" t="n">
        <x:v>6.7</x:v>
      </x:c>
      <x:c r="E44" s="341" t="n">
        <x:v>83.2</x:v>
      </x:c>
      <x:c r="F44" s="341" t="n">
        <x:v>28.266666666666666</x:v>
      </x:c>
      <x:c r="G44" s="342" t="n">
        <x:f>IFERROR(D44/F44,0)</x:f>
        <x:v>0.23702830188679247</x:v>
      </x:c>
      <x:c r="H44" s="343" t="n">
        <x:f>IFERROR(E44/D44,0)</x:f>
        <x:v>12.417910447761194</x:v>
      </x:c>
      <x:c r="I44" s="340" t="str">
        <x:v>1991-2020</x:v>
      </x:c>
      <x:c r="J44" s="338" t="str">
        <x:v>GREEN - official NIWA normal</x:v>
      </x:c>
    </x:row>
    <x:row r="45">
      <x:c r="A45" s="340" t="str">
        <x:v>Tauranga</x:v>
      </x:c>
      <x:c r="B45" s="340" t="n">
        <x:v>3</x:v>
      </x:c>
      <x:c r="C45" s="340" t="str">
        <x:v>Mar</x:v>
      </x:c>
      <x:c r="D45" s="341" t="n">
        <x:v>8.066666666666666</x:v>
      </x:c>
      <x:c r="E45" s="341" t="n">
        <x:v>94.9</x:v>
      </x:c>
      <x:c r="F45" s="341" t="n">
        <x:v>31</x:v>
      </x:c>
      <x:c r="G45" s="342" t="n">
        <x:f>IFERROR(D45/F45,0)</x:f>
        <x:v>0.26021505376344084</x:v>
      </x:c>
      <x:c r="H45" s="343" t="n">
        <x:f>IFERROR(E45/D45,0)</x:f>
        <x:v>11.764462809917356</x:v>
      </x:c>
      <x:c r="I45" s="340" t="str">
        <x:v>1991-2020</x:v>
      </x:c>
      <x:c r="J45" s="338" t="str">
        <x:v>GREEN - official NIWA normal</x:v>
      </x:c>
    </x:row>
    <x:row r="46">
      <x:c r="A46" s="340" t="str">
        <x:v>Tauranga</x:v>
      </x:c>
      <x:c r="B46" s="340" t="n">
        <x:v>4</x:v>
      </x:c>
      <x:c r="C46" s="340" t="str">
        <x:v>Apr</x:v>
      </x:c>
      <x:c r="D46" s="341" t="n">
        <x:v>8.714285714285714</x:v>
      </x:c>
      <x:c r="E46" s="341" t="n">
        <x:v>132.1</x:v>
      </x:c>
      <x:c r="F46" s="341" t="n">
        <x:v>30</x:v>
      </x:c>
      <x:c r="G46" s="342" t="n">
        <x:f>IFERROR(D46/F46,0)</x:f>
        <x:v>0.29047619047619044</x:v>
      </x:c>
      <x:c r="H46" s="343" t="n">
        <x:f>IFERROR(E46/D46,0)</x:f>
        <x:v>15.159016393442624</x:v>
      </x:c>
      <x:c r="I46" s="340" t="str">
        <x:v>1991-2020</x:v>
      </x:c>
      <x:c r="J46" s="338" t="str">
        <x:v>GREEN - official NIWA normal</x:v>
      </x:c>
    </x:row>
    <x:row r="47">
      <x:c r="A47" s="340" t="str">
        <x:v>Tauranga</x:v>
      </x:c>
      <x:c r="B47" s="340" t="n">
        <x:v>5</x:v>
      </x:c>
      <x:c r="C47" s="340" t="str">
        <x:v>May</x:v>
      </x:c>
      <x:c r="D47" s="341" t="n">
        <x:v>9.586206896551724</x:v>
      </x:c>
      <x:c r="E47" s="341" t="n">
        <x:v>116.2</x:v>
      </x:c>
      <x:c r="F47" s="341" t="n">
        <x:v>31</x:v>
      </x:c>
      <x:c r="G47" s="342" t="n">
        <x:f>IFERROR(D47/F47,0)</x:f>
        <x:v>0.3092324805339266</x:v>
      </x:c>
      <x:c r="H47" s="343" t="n">
        <x:f>IFERROR(E47/D47,0)</x:f>
        <x:v>12.12158273381295</x:v>
      </x:c>
      <x:c r="I47" s="340" t="str">
        <x:v>1991-2020</x:v>
      </x:c>
      <x:c r="J47" s="338" t="str">
        <x:v>GREEN - official NIWA normal</x:v>
      </x:c>
    </x:row>
    <x:row r="48">
      <x:c r="A48" s="340" t="str">
        <x:v>Tauranga</x:v>
      </x:c>
      <x:c r="B48" s="340" t="n">
        <x:v>6</x:v>
      </x:c>
      <x:c r="C48" s="340" t="str">
        <x:v>Jun</x:v>
      </x:c>
      <x:c r="D48" s="341" t="n">
        <x:v>10.678571428571429</x:v>
      </x:c>
      <x:c r="E48" s="341" t="n">
        <x:v>120.6</x:v>
      </x:c>
      <x:c r="F48" s="341" t="n">
        <x:v>30</x:v>
      </x:c>
      <x:c r="G48" s="342" t="n">
        <x:f>IFERROR(D48/F48,0)</x:f>
        <x:v>0.35595238095238096</x:v>
      </x:c>
      <x:c r="H48" s="343" t="n">
        <x:f>IFERROR(E48/D48,0)</x:f>
        <x:v>11.293645484949831</x:v>
      </x:c>
      <x:c r="I48" s="340" t="str">
        <x:v>1991-2020</x:v>
      </x:c>
      <x:c r="J48" s="338" t="str">
        <x:v>GREEN - official NIWA normal</x:v>
      </x:c>
    </x:row>
    <x:row r="49">
      <x:c r="A49" s="340" t="str">
        <x:v>Tauranga</x:v>
      </x:c>
      <x:c r="B49" s="340" t="n">
        <x:v>7</x:v>
      </x:c>
      <x:c r="C49" s="340" t="str">
        <x:v>Jul</x:v>
      </x:c>
      <x:c r="D49" s="341" t="n">
        <x:v>11.655172413793103</x:v>
      </x:c>
      <x:c r="E49" s="341" t="n">
        <x:v>133.4</x:v>
      </x:c>
      <x:c r="F49" s="341" t="n">
        <x:v>31</x:v>
      </x:c>
      <x:c r="G49" s="342" t="n">
        <x:f>IFERROR(D49/F49,0)</x:f>
        <x:v>0.3759733036707453</x:v>
      </x:c>
      <x:c r="H49" s="343" t="n">
        <x:f>IFERROR(E49/D49,0)</x:f>
        <x:v>11.445562130177516</x:v>
      </x:c>
      <x:c r="I49" s="340" t="str">
        <x:v>1991-2020</x:v>
      </x:c>
      <x:c r="J49" s="338" t="str">
        <x:v>GREEN - official NIWA normal</x:v>
      </x:c>
    </x:row>
    <x:row r="50">
      <x:c r="A50" s="340" t="str">
        <x:v>Tauranga</x:v>
      </x:c>
      <x:c r="B50" s="340" t="n">
        <x:v>8</x:v>
      </x:c>
      <x:c r="C50" s="340" t="str">
        <x:v>Aug</x:v>
      </x:c>
      <x:c r="D50" s="341" t="n">
        <x:v>11.74074074074074</x:v>
      </x:c>
      <x:c r="E50" s="341" t="n">
        <x:v>111.6</x:v>
      </x:c>
      <x:c r="F50" s="341" t="n">
        <x:v>31</x:v>
      </x:c>
      <x:c r="G50" s="342" t="n">
        <x:f>IFERROR(D50/F50,0)</x:f>
        <x:v>0.37873357228195936</x:v>
      </x:c>
      <x:c r="H50" s="343" t="n">
        <x:f>IFERROR(E50/D50,0)</x:f>
        <x:v>9.505362776025237</x:v>
      </x:c>
      <x:c r="I50" s="340" t="str">
        <x:v>1991-2020</x:v>
      </x:c>
      <x:c r="J50" s="338" t="str">
        <x:v>GREEN - official NIWA normal</x:v>
      </x:c>
    </x:row>
    <x:row r="51">
      <x:c r="A51" s="340" t="str">
        <x:v>Tauranga</x:v>
      </x:c>
      <x:c r="B51" s="340" t="n">
        <x:v>9</x:v>
      </x:c>
      <x:c r="C51" s="340" t="str">
        <x:v>Sep</x:v>
      </x:c>
      <x:c r="D51" s="341" t="n">
        <x:v>10.714285714285714</x:v>
      </x:c>
      <x:c r="E51" s="341" t="n">
        <x:v>86.5</x:v>
      </x:c>
      <x:c r="F51" s="341" t="n">
        <x:v>30</x:v>
      </x:c>
      <x:c r="G51" s="342" t="n">
        <x:f>IFERROR(D51/F51,0)</x:f>
        <x:v>0.3571428571428571</x:v>
      </x:c>
      <x:c r="H51" s="343" t="n">
        <x:f>IFERROR(E51/D51,0)</x:f>
        <x:v>8.073333333333334</x:v>
      </x:c>
      <x:c r="I51" s="340" t="str">
        <x:v>1991-2020</x:v>
      </x:c>
      <x:c r="J51" s="338" t="str">
        <x:v>GREEN - official NIWA normal</x:v>
      </x:c>
    </x:row>
    <x:row r="52">
      <x:c r="A52" s="340" t="str">
        <x:v>Tauranga</x:v>
      </x:c>
      <x:c r="B52" s="340" t="n">
        <x:v>10</x:v>
      </x:c>
      <x:c r="C52" s="340" t="str">
        <x:v>Oct</x:v>
      </x:c>
      <x:c r="D52" s="341" t="n">
        <x:v>9.566666666666666</x:v>
      </x:c>
      <x:c r="E52" s="341" t="n">
        <x:v>80.4</x:v>
      </x:c>
      <x:c r="F52" s="341" t="n">
        <x:v>31</x:v>
      </x:c>
      <x:c r="G52" s="342" t="n">
        <x:f>IFERROR(D52/F52,0)</x:f>
        <x:v>0.3086021505376344</x:v>
      </x:c>
      <x:c r="H52" s="343" t="n">
        <x:f>IFERROR(E52/D52,0)</x:f>
        <x:v>8.40418118466899</x:v>
      </x:c>
      <x:c r="I52" s="340" t="str">
        <x:v>1991-2020</x:v>
      </x:c>
      <x:c r="J52" s="338" t="str">
        <x:v>GREEN - official NIWA normal</x:v>
      </x:c>
    </x:row>
    <x:row r="53">
      <x:c r="A53" s="340" t="str">
        <x:v>Tauranga</x:v>
      </x:c>
      <x:c r="B53" s="340" t="n">
        <x:v>11</x:v>
      </x:c>
      <x:c r="C53" s="340" t="str">
        <x:v>Nov</x:v>
      </x:c>
      <x:c r="D53" s="341" t="n">
        <x:v>8.566666666666666</x:v>
      </x:c>
      <x:c r="E53" s="341" t="n">
        <x:v>63.4</x:v>
      </x:c>
      <x:c r="F53" s="341" t="n">
        <x:v>30</x:v>
      </x:c>
      <x:c r="G53" s="342" t="n">
        <x:f>IFERROR(D53/F53,0)</x:f>
        <x:v>0.28555555555555556</x:v>
      </x:c>
      <x:c r="H53" s="343" t="n">
        <x:f>IFERROR(E53/D53,0)</x:f>
        <x:v>7.400778210116732</x:v>
      </x:c>
      <x:c r="I53" s="340" t="str">
        <x:v>1991-2020</x:v>
      </x:c>
      <x:c r="J53" s="338" t="str">
        <x:v>GREEN - official NIWA normal</x:v>
      </x:c>
    </x:row>
    <x:row r="54">
      <x:c r="A54" s="340" t="str">
        <x:v>Tauranga</x:v>
      </x:c>
      <x:c r="B54" s="340" t="n">
        <x:v>12</x:v>
      </x:c>
      <x:c r="C54" s="340" t="str">
        <x:v>Dec</x:v>
      </x:c>
      <x:c r="D54" s="341" t="n">
        <x:v>8.466666666666667</x:v>
      </x:c>
      <x:c r="E54" s="341" t="n">
        <x:v>103</x:v>
      </x:c>
      <x:c r="F54" s="341" t="n">
        <x:v>31</x:v>
      </x:c>
      <x:c r="G54" s="342" t="n">
        <x:f>IFERROR(D54/F54,0)</x:f>
        <x:v>0.2731182795698925</x:v>
      </x:c>
      <x:c r="H54" s="343" t="n">
        <x:f>IFERROR(E54/D54,0)</x:f>
        <x:v>12.165354330708661</x:v>
      </x:c>
      <x:c r="I54" s="340" t="str">
        <x:v>1991-2020</x:v>
      </x:c>
      <x:c r="J54" s="338" t="str">
        <x:v>GREEN - official NIWA normal</x:v>
      </x:c>
    </x:row>
    <x:row r="55">
      <x:c r="A55" s="340" t="str">
        <x:v>Hamilton</x:v>
      </x:c>
      <x:c r="B55" s="340" t="n">
        <x:v>1</x:v>
      </x:c>
      <x:c r="C55" s="340" t="str">
        <x:v>Jan</x:v>
      </x:c>
      <x:c r="D55" s="341" t="n">
        <x:v>6.6</x:v>
      </x:c>
      <x:c r="E55" s="341" t="n">
        <x:v>75.4</x:v>
      </x:c>
      <x:c r="F55" s="341" t="n">
        <x:v>31</x:v>
      </x:c>
      <x:c r="G55" s="342" t="n">
        <x:f>IFERROR(D55/F55,0)</x:f>
        <x:v>0.2129032258064516</x:v>
      </x:c>
      <x:c r="H55" s="343" t="n">
        <x:f>IFERROR(E55/D55,0)</x:f>
        <x:v>11.424242424242426</x:v>
      </x:c>
      <x:c r="I55" s="340" t="str">
        <x:v>1991-2020</x:v>
      </x:c>
      <x:c r="J55" s="338" t="str">
        <x:v>GREEN - official NIWA normal</x:v>
      </x:c>
    </x:row>
    <x:row r="56">
      <x:c r="A56" s="340" t="str">
        <x:v>Hamilton</x:v>
      </x:c>
      <x:c r="B56" s="340" t="n">
        <x:v>2</x:v>
      </x:c>
      <x:c r="C56" s="340" t="str">
        <x:v>Feb</x:v>
      </x:c>
      <x:c r="D56" s="341" t="n">
        <x:v>5.785714285714286</x:v>
      </x:c>
      <x:c r="E56" s="341" t="n">
        <x:v>65</x:v>
      </x:c>
      <x:c r="F56" s="341" t="n">
        <x:v>28.266666666666666</x:v>
      </x:c>
      <x:c r="G56" s="342" t="n">
        <x:f>IFERROR(D56/F56,0)</x:f>
        <x:v>0.2046832884097035</x:v>
      </x:c>
      <x:c r="H56" s="343" t="n">
        <x:f>IFERROR(E56/D56,0)</x:f>
        <x:v>11.234567901234568</x:v>
      </x:c>
      <x:c r="I56" s="340" t="str">
        <x:v>1991-2020</x:v>
      </x:c>
      <x:c r="J56" s="338" t="str">
        <x:v>GREEN - official NIWA normal</x:v>
      </x:c>
    </x:row>
    <x:row r="57">
      <x:c r="A57" s="340" t="str">
        <x:v>Hamilton</x:v>
      </x:c>
      <x:c r="B57" s="340" t="n">
        <x:v>3</x:v>
      </x:c>
      <x:c r="C57" s="340" t="str">
        <x:v>Mar</x:v>
      </x:c>
      <x:c r="D57" s="341" t="n">
        <x:v>6.142857142857143</x:v>
      </x:c>
      <x:c r="E57" s="341" t="n">
        <x:v>75.4</x:v>
      </x:c>
      <x:c r="F57" s="341" t="n">
        <x:v>31</x:v>
      </x:c>
      <x:c r="G57" s="342" t="n">
        <x:f>IFERROR(D57/F57,0)</x:f>
        <x:v>0.19815668202764977</x:v>
      </x:c>
      <x:c r="H57" s="343" t="n">
        <x:f>IFERROR(E57/D57,0)</x:f>
        <x:v>12.274418604651164</x:v>
      </x:c>
      <x:c r="I57" s="340" t="str">
        <x:v>1991-2020</x:v>
      </x:c>
      <x:c r="J57" s="338" t="str">
        <x:v>GREEN - official NIWA normal</x:v>
      </x:c>
    </x:row>
    <x:row r="58">
      <x:c r="A58" s="340" t="str">
        <x:v>Hamilton</x:v>
      </x:c>
      <x:c r="B58" s="340" t="n">
        <x:v>4</x:v>
      </x:c>
      <x:c r="C58" s="340" t="str">
        <x:v>Apr</x:v>
      </x:c>
      <x:c r="D58" s="341" t="n">
        <x:v>9.533333333333333</x:v>
      </x:c>
      <x:c r="E58" s="341" t="n">
        <x:v>92.3</x:v>
      </x:c>
      <x:c r="F58" s="341" t="n">
        <x:v>30</x:v>
      </x:c>
      <x:c r="G58" s="342" t="n">
        <x:f>IFERROR(D58/F58,0)</x:f>
        <x:v>0.31777777777777777</x:v>
      </x:c>
      <x:c r="H58" s="343" t="n">
        <x:f>IFERROR(E58/D58,0)</x:f>
        <x:v>9.681818181818182</x:v>
      </x:c>
      <x:c r="I58" s="340" t="str">
        <x:v>1991-2020</x:v>
      </x:c>
      <x:c r="J58" s="338" t="str">
        <x:v>GREEN - official NIWA normal</x:v>
      </x:c>
    </x:row>
    <x:row r="59">
      <x:c r="A59" s="340" t="str">
        <x:v>Hamilton</x:v>
      </x:c>
      <x:c r="B59" s="340" t="n">
        <x:v>5</x:v>
      </x:c>
      <x:c r="C59" s="340" t="str">
        <x:v>May</x:v>
      </x:c>
      <x:c r="D59" s="341" t="n">
        <x:v>11.4</x:v>
      </x:c>
      <x:c r="E59" s="341" t="n">
        <x:v>103.3</x:v>
      </x:c>
      <x:c r="F59" s="341" t="n">
        <x:v>31</x:v>
      </x:c>
      <x:c r="G59" s="342" t="n">
        <x:f>IFERROR(D59/F59,0)</x:f>
        <x:v>0.36774193548387096</x:v>
      </x:c>
      <x:c r="H59" s="343" t="n">
        <x:f>IFERROR(E59/D59,0)</x:f>
        <x:v>9.06140350877193</x:v>
      </x:c>
      <x:c r="I59" s="340" t="str">
        <x:v>1991-2020</x:v>
      </x:c>
      <x:c r="J59" s="338" t="str">
        <x:v>GREEN - official NIWA normal</x:v>
      </x:c>
    </x:row>
    <x:row r="60">
      <x:c r="A60" s="340" t="str">
        <x:v>Hamilton</x:v>
      </x:c>
      <x:c r="B60" s="340" t="n">
        <x:v>6</x:v>
      </x:c>
      <x:c r="C60" s="340" t="str">
        <x:v>Jun</x:v>
      </x:c>
      <x:c r="D60" s="341" t="n">
        <x:v>12.133333333333333</x:v>
      </x:c>
      <x:c r="E60" s="341" t="n">
        <x:v>117.8</x:v>
      </x:c>
      <x:c r="F60" s="341" t="n">
        <x:v>30</x:v>
      </x:c>
      <x:c r="G60" s="342" t="n">
        <x:f>IFERROR(D60/F60,0)</x:f>
        <x:v>0.40444444444444444</x:v>
      </x:c>
      <x:c r="H60" s="343" t="n">
        <x:f>IFERROR(E60/D60,0)</x:f>
        <x:v>9.708791208791208</x:v>
      </x:c>
      <x:c r="I60" s="340" t="str">
        <x:v>1991-2020</x:v>
      </x:c>
      <x:c r="J60" s="338" t="str">
        <x:v>GREEN - official NIWA normal</x:v>
      </x:c>
    </x:row>
    <x:row r="61">
      <x:c r="A61" s="340" t="str">
        <x:v>Hamilton</x:v>
      </x:c>
      <x:c r="B61" s="340" t="n">
        <x:v>7</x:v>
      </x:c>
      <x:c r="C61" s="340" t="str">
        <x:v>Jul</x:v>
      </x:c>
      <x:c r="D61" s="341" t="n">
        <x:v>12.733333333333333</x:v>
      </x:c>
      <x:c r="E61" s="341" t="n">
        <x:v>124.2</x:v>
      </x:c>
      <x:c r="F61" s="341" t="n">
        <x:v>31</x:v>
      </x:c>
      <x:c r="G61" s="342" t="n">
        <x:f>IFERROR(D61/F61,0)</x:f>
        <x:v>0.41075268817204297</x:v>
      </x:c>
      <x:c r="H61" s="343" t="n">
        <x:f>IFERROR(E61/D61,0)</x:f>
        <x:v>9.753926701570682</x:v>
      </x:c>
      <x:c r="I61" s="340" t="str">
        <x:v>1991-2020</x:v>
      </x:c>
      <x:c r="J61" s="338" t="str">
        <x:v>GREEN - official NIWA normal</x:v>
      </x:c>
    </x:row>
    <x:row r="62">
      <x:c r="A62" s="340" t="str">
        <x:v>Hamilton</x:v>
      </x:c>
      <x:c r="B62" s="340" t="n">
        <x:v>8</x:v>
      </x:c>
      <x:c r="C62" s="340" t="str">
        <x:v>Aug</x:v>
      </x:c>
      <x:c r="D62" s="341" t="n">
        <x:v>13.8</x:v>
      </x:c>
      <x:c r="E62" s="341" t="n">
        <x:v>106.5</x:v>
      </x:c>
      <x:c r="F62" s="341" t="n">
        <x:v>31</x:v>
      </x:c>
      <x:c r="G62" s="342" t="n">
        <x:f>IFERROR(D62/F62,0)</x:f>
        <x:v>0.44516129032258067</x:v>
      </x:c>
      <x:c r="H62" s="343" t="n">
        <x:f>IFERROR(E62/D62,0)</x:f>
        <x:v>7.717391304347825</x:v>
      </x:c>
      <x:c r="I62" s="340" t="str">
        <x:v>1991-2020</x:v>
      </x:c>
      <x:c r="J62" s="338" t="str">
        <x:v>GREEN - official NIWA normal</x:v>
      </x:c>
    </x:row>
    <x:row r="63">
      <x:c r="A63" s="340" t="str">
        <x:v>Hamilton</x:v>
      </x:c>
      <x:c r="B63" s="340" t="n">
        <x:v>9</x:v>
      </x:c>
      <x:c r="C63" s="340" t="str">
        <x:v>Sep</x:v>
      </x:c>
      <x:c r="D63" s="341" t="n">
        <x:v>12.8</x:v>
      </x:c>
      <x:c r="E63" s="341" t="n">
        <x:v>100.1</x:v>
      </x:c>
      <x:c r="F63" s="341" t="n">
        <x:v>30</x:v>
      </x:c>
      <x:c r="G63" s="342" t="n">
        <x:f>IFERROR(D63/F63,0)</x:f>
        <x:v>0.4266666666666667</x:v>
      </x:c>
      <x:c r="H63" s="343" t="n">
        <x:f>IFERROR(E63/D63,0)</x:f>
        <x:v>7.820312499999999</x:v>
      </x:c>
      <x:c r="I63" s="340" t="str">
        <x:v>1991-2020</x:v>
      </x:c>
      <x:c r="J63" s="338" t="str">
        <x:v>GREEN - official NIWA normal</x:v>
      </x:c>
    </x:row>
    <x:row r="64">
      <x:c r="A64" s="340" t="str">
        <x:v>Hamilton</x:v>
      </x:c>
      <x:c r="B64" s="340" t="n">
        <x:v>10</x:v>
      </x:c>
      <x:c r="C64" s="340" t="str">
        <x:v>Oct</x:v>
      </x:c>
      <x:c r="D64" s="341" t="n">
        <x:v>10.6</x:v>
      </x:c>
      <x:c r="E64" s="341" t="n">
        <x:v>86</x:v>
      </x:c>
      <x:c r="F64" s="341" t="n">
        <x:v>31</x:v>
      </x:c>
      <x:c r="G64" s="342" t="n">
        <x:f>IFERROR(D64/F64,0)</x:f>
        <x:v>0.3419354838709677</x:v>
      </x:c>
      <x:c r="H64" s="343" t="n">
        <x:f>IFERROR(E64/D64,0)</x:f>
        <x:v>8.11320754716981</x:v>
      </x:c>
      <x:c r="I64" s="340" t="str">
        <x:v>1991-2020</x:v>
      </x:c>
      <x:c r="J64" s="338" t="str">
        <x:v>GREEN - official NIWA normal</x:v>
      </x:c>
    </x:row>
    <x:row r="65">
      <x:c r="A65" s="340" t="str">
        <x:v>Hamilton</x:v>
      </x:c>
      <x:c r="B65" s="340" t="n">
        <x:v>11</x:v>
      </x:c>
      <x:c r="C65" s="340" t="str">
        <x:v>Nov</x:v>
      </x:c>
      <x:c r="D65" s="341" t="n">
        <x:v>9</x:v>
      </x:c>
      <x:c r="E65" s="341" t="n">
        <x:v>79</x:v>
      </x:c>
      <x:c r="F65" s="341" t="n">
        <x:v>30</x:v>
      </x:c>
      <x:c r="G65" s="342" t="n">
        <x:f>IFERROR(D65/F65,0)</x:f>
        <x:v>0.3</x:v>
      </x:c>
      <x:c r="H65" s="343" t="n">
        <x:f>IFERROR(E65/D65,0)</x:f>
        <x:v>8.777777777777779</x:v>
      </x:c>
      <x:c r="I65" s="340" t="str">
        <x:v>1991-2020</x:v>
      </x:c>
      <x:c r="J65" s="338" t="str">
        <x:v>GREEN - official NIWA normal</x:v>
      </x:c>
    </x:row>
    <x:row r="66">
      <x:c r="A66" s="340" t="str">
        <x:v>Hamilton</x:v>
      </x:c>
      <x:c r="B66" s="340" t="n">
        <x:v>12</x:v>
      </x:c>
      <x:c r="C66" s="340" t="str">
        <x:v>Dec</x:v>
      </x:c>
      <x:c r="D66" s="341" t="n">
        <x:v>9.0625</x:v>
      </x:c>
      <x:c r="E66" s="341" t="n">
        <x:v>99.2</x:v>
      </x:c>
      <x:c r="F66" s="341" t="n">
        <x:v>31</x:v>
      </x:c>
      <x:c r="G66" s="342" t="n">
        <x:f>IFERROR(D66/F66,0)</x:f>
        <x:v>0.2923387096774194</x:v>
      </x:c>
      <x:c r="H66" s="343" t="n">
        <x:f>IFERROR(E66/D66,0)</x:f>
        <x:v>10.946206896551724</x:v>
      </x:c>
      <x:c r="I66" s="340" t="str">
        <x:v>1991-2020</x:v>
      </x:c>
      <x:c r="J66" s="338" t="str">
        <x:v>GREEN - official NIWA normal</x:v>
      </x:c>
    </x:row>
    <x:row r="67">
      <x:c r="A67" s="340" t="str">
        <x:v>Rotorua</x:v>
      </x:c>
      <x:c r="B67" s="340" t="n">
        <x:v>1</x:v>
      </x:c>
      <x:c r="C67" s="340" t="str">
        <x:v>Jan</x:v>
      </x:c>
      <x:c r="D67" s="341" t="n">
        <x:v>7.714285714285714</x:v>
      </x:c>
      <x:c r="E67" s="341" t="n">
        <x:v>93.8</x:v>
      </x:c>
      <x:c r="F67" s="341" t="n">
        <x:v>31</x:v>
      </x:c>
      <x:c r="G67" s="342" t="n">
        <x:f>IFERROR(D67/F67,0)</x:f>
        <x:v>0.2488479262672811</x:v>
      </x:c>
      <x:c r="H67" s="343" t="n">
        <x:f>IFERROR(E67/D67,0)</x:f>
        <x:v>12.159259259259258</x:v>
      </x:c>
      <x:c r="I67" s="340" t="str">
        <x:v>1991-2020</x:v>
      </x:c>
      <x:c r="J67" s="338" t="str">
        <x:v>GREEN - official NIWA normal</x:v>
      </x:c>
    </x:row>
    <x:row r="68">
      <x:c r="A68" s="340" t="str">
        <x:v>Rotorua</x:v>
      </x:c>
      <x:c r="B68" s="340" t="n">
        <x:v>2</x:v>
      </x:c>
      <x:c r="C68" s="340" t="str">
        <x:v>Feb</x:v>
      </x:c>
      <x:c r="D68" s="341" t="n">
        <x:v>7.555555555555555</x:v>
      </x:c>
      <x:c r="E68" s="341" t="n">
        <x:v>100.4</x:v>
      </x:c>
      <x:c r="F68" s="341" t="n">
        <x:v>28.266666666666666</x:v>
      </x:c>
      <x:c r="G68" s="342" t="n">
        <x:f>IFERROR(D68/F68,0)</x:f>
        <x:v>0.2672955974842767</x:v>
      </x:c>
      <x:c r="H68" s="343" t="n">
        <x:f>IFERROR(E68/D68,0)</x:f>
        <x:v>13.288235294117648</x:v>
      </x:c>
      <x:c r="I68" s="340" t="str">
        <x:v>1991-2020</x:v>
      </x:c>
      <x:c r="J68" s="338" t="str">
        <x:v>GREEN - official NIWA normal</x:v>
      </x:c>
    </x:row>
    <x:row r="69">
      <x:c r="A69" s="340" t="str">
        <x:v>Rotorua</x:v>
      </x:c>
      <x:c r="B69" s="340" t="n">
        <x:v>3</x:v>
      </x:c>
      <x:c r="C69" s="340" t="str">
        <x:v>Mar</x:v>
      </x:c>
      <x:c r="D69" s="341" t="n">
        <x:v>8.137931034482758</x:v>
      </x:c>
      <x:c r="E69" s="341" t="n">
        <x:v>100.3</x:v>
      </x:c>
      <x:c r="F69" s="341" t="n">
        <x:v>31</x:v>
      </x:c>
      <x:c r="G69" s="342" t="n">
        <x:f>IFERROR(D69/F69,0)</x:f>
        <x:v>0.26251390433815347</x:v>
      </x:c>
      <x:c r="H69" s="343" t="n">
        <x:f>IFERROR(E69/D69,0)</x:f>
        <x:v>12.325000000000001</x:v>
      </x:c>
      <x:c r="I69" s="340" t="str">
        <x:v>1991-2020</x:v>
      </x:c>
      <x:c r="J69" s="338" t="str">
        <x:v>GREEN - official NIWA normal</x:v>
      </x:c>
    </x:row>
    <x:row r="70">
      <x:c r="A70" s="340" t="str">
        <x:v>Rotorua</x:v>
      </x:c>
      <x:c r="B70" s="340" t="n">
        <x:v>4</x:v>
      </x:c>
      <x:c r="C70" s="340" t="str">
        <x:v>Apr</x:v>
      </x:c>
      <x:c r="D70" s="341" t="n">
        <x:v>9.3</x:v>
      </x:c>
      <x:c r="E70" s="341" t="n">
        <x:v>133</x:v>
      </x:c>
      <x:c r="F70" s="341" t="n">
        <x:v>30</x:v>
      </x:c>
      <x:c r="G70" s="342" t="n">
        <x:f>IFERROR(D70/F70,0)</x:f>
        <x:v>0.31</x:v>
      </x:c>
      <x:c r="H70" s="343" t="n">
        <x:f>IFERROR(E70/D70,0)</x:f>
        <x:v>14.301075268817204</x:v>
      </x:c>
      <x:c r="I70" s="340" t="str">
        <x:v>1991-2020</x:v>
      </x:c>
      <x:c r="J70" s="338" t="str">
        <x:v>GREEN - official NIWA normal</x:v>
      </x:c>
    </x:row>
    <x:row r="71">
      <x:c r="A71" s="340" t="str">
        <x:v>Rotorua</x:v>
      </x:c>
      <x:c r="B71" s="340" t="n">
        <x:v>5</x:v>
      </x:c>
      <x:c r="C71" s="340" t="str">
        <x:v>May</x:v>
      </x:c>
      <x:c r="D71" s="341" t="n">
        <x:v>9.857142857142858</x:v>
      </x:c>
      <x:c r="E71" s="341" t="n">
        <x:v>130.2</x:v>
      </x:c>
      <x:c r="F71" s="341" t="n">
        <x:v>31</x:v>
      </x:c>
      <x:c r="G71" s="342" t="n">
        <x:f>IFERROR(D71/F71,0)</x:f>
        <x:v>0.31797235023041476</x:v>
      </x:c>
      <x:c r="H71" s="343" t="n">
        <x:f>IFERROR(E71/D71,0)</x:f>
        <x:v>13.208695652173912</x:v>
      </x:c>
      <x:c r="I71" s="340" t="str">
        <x:v>1991-2020</x:v>
      </x:c>
      <x:c r="J71" s="338" t="str">
        <x:v>GREEN - official NIWA normal</x:v>
      </x:c>
    </x:row>
    <x:row r="72">
      <x:c r="A72" s="340" t="str">
        <x:v>Rotorua</x:v>
      </x:c>
      <x:c r="B72" s="340" t="n">
        <x:v>6</x:v>
      </x:c>
      <x:c r="C72" s="340" t="str">
        <x:v>Jun</x:v>
      </x:c>
      <x:c r="D72" s="341" t="n">
        <x:v>10.862068965517242</x:v>
      </x:c>
      <x:c r="E72" s="341" t="n">
        <x:v>131.9</x:v>
      </x:c>
      <x:c r="F72" s="341" t="n">
        <x:v>30</x:v>
      </x:c>
      <x:c r="G72" s="342" t="n">
        <x:f>IFERROR(D72/F72,0)</x:f>
        <x:v>0.3620689655172414</x:v>
      </x:c>
      <x:c r="H72" s="343" t="n">
        <x:f>IFERROR(E72/D72,0)</x:f>
        <x:v>12.143174603174604</x:v>
      </x:c>
      <x:c r="I72" s="340" t="str">
        <x:v>1991-2020</x:v>
      </x:c>
      <x:c r="J72" s="338" t="str">
        <x:v>GREEN - official NIWA normal</x:v>
      </x:c>
    </x:row>
    <x:row r="73">
      <x:c r="A73" s="340" t="str">
        <x:v>Rotorua</x:v>
      </x:c>
      <x:c r="B73" s="340" t="n">
        <x:v>7</x:v>
      </x:c>
      <x:c r="C73" s="340" t="str">
        <x:v>Jul</x:v>
      </x:c>
      <x:c r="D73" s="341" t="n">
        <x:v>11.413793103448276</x:v>
      </x:c>
      <x:c r="E73" s="341" t="n">
        <x:v>137.4</x:v>
      </x:c>
      <x:c r="F73" s="341" t="n">
        <x:v>31</x:v>
      </x:c>
      <x:c r="G73" s="342" t="n">
        <x:f>IFERROR(D73/F73,0)</x:f>
        <x:v>0.3681868743047831</x:v>
      </x:c>
      <x:c r="H73" s="343" t="n">
        <x:f>IFERROR(E73/D73,0)</x:f>
        <x:v>12.038066465256799</x:v>
      </x:c>
      <x:c r="I73" s="340" t="str">
        <x:v>1991-2020</x:v>
      </x:c>
      <x:c r="J73" s="338" t="str">
        <x:v>GREEN - official NIWA normal</x:v>
      </x:c>
    </x:row>
    <x:row r="74">
      <x:c r="A74" s="340" t="str">
        <x:v>Rotorua</x:v>
      </x:c>
      <x:c r="B74" s="340" t="n">
        <x:v>8</x:v>
      </x:c>
      <x:c r="C74" s="340" t="str">
        <x:v>Aug</x:v>
      </x:c>
      <x:c r="D74" s="341" t="n">
        <x:v>12.107142857142858</x:v>
      </x:c>
      <x:c r="E74" s="341" t="n">
        <x:v>125.2</x:v>
      </x:c>
      <x:c r="F74" s="341" t="n">
        <x:v>31</x:v>
      </x:c>
      <x:c r="G74" s="342" t="n">
        <x:f>IFERROR(D74/F74,0)</x:f>
        <x:v>0.39055299539170507</x:v>
      </x:c>
      <x:c r="H74" s="343" t="n">
        <x:f>IFERROR(E74/D74,0)</x:f>
        <x:v>10.341002949852507</x:v>
      </x:c>
      <x:c r="I74" s="340" t="str">
        <x:v>1991-2020</x:v>
      </x:c>
      <x:c r="J74" s="338" t="str">
        <x:v>GREEN - official NIWA normal</x:v>
      </x:c>
    </x:row>
    <x:row r="75">
      <x:c r="A75" s="340" t="str">
        <x:v>Rotorua</x:v>
      </x:c>
      <x:c r="B75" s="340" t="n">
        <x:v>9</x:v>
      </x:c>
      <x:c r="C75" s="340" t="str">
        <x:v>Sep</x:v>
      </x:c>
      <x:c r="D75" s="341" t="n">
        <x:v>11.037037037037036</x:v>
      </x:c>
      <x:c r="E75" s="341" t="n">
        <x:v>106.6</x:v>
      </x:c>
      <x:c r="F75" s="341" t="n">
        <x:v>30</x:v>
      </x:c>
      <x:c r="G75" s="342" t="n">
        <x:f>IFERROR(D75/F75,0)</x:f>
        <x:v>0.3679012345679012</x:v>
      </x:c>
      <x:c r="H75" s="343" t="n">
        <x:f>IFERROR(E75/D75,0)</x:f>
        <x:v>9.658389261744967</x:v>
      </x:c>
      <x:c r="I75" s="340" t="str">
        <x:v>1991-2020</x:v>
      </x:c>
      <x:c r="J75" s="338" t="str">
        <x:v>GREEN - official NIWA normal</x:v>
      </x:c>
    </x:row>
    <x:row r="76">
      <x:c r="A76" s="340" t="str">
        <x:v>Rotorua</x:v>
      </x:c>
      <x:c r="B76" s="340" t="n">
        <x:v>10</x:v>
      </x:c>
      <x:c r="C76" s="340" t="str">
        <x:v>Oct</x:v>
      </x:c>
      <x:c r="D76" s="341" t="n">
        <x:v>10.321428571428571</x:v>
      </x:c>
      <x:c r="E76" s="341" t="n">
        <x:v>92.9</x:v>
      </x:c>
      <x:c r="F76" s="341" t="n">
        <x:v>31</x:v>
      </x:c>
      <x:c r="G76" s="342" t="n">
        <x:f>IFERROR(D76/F76,0)</x:f>
        <x:v>0.33294930875576034</x:v>
      </x:c>
      <x:c r="H76" s="343" t="n">
        <x:f>IFERROR(E76/D76,0)</x:f>
        <x:v>9.000692041522493</x:v>
      </x:c>
      <x:c r="I76" s="340" t="str">
        <x:v>1991-2020</x:v>
      </x:c>
      <x:c r="J76" s="338" t="str">
        <x:v>GREEN - official NIWA normal</x:v>
      </x:c>
    </x:row>
    <x:row r="77">
      <x:c r="A77" s="340" t="str">
        <x:v>Rotorua</x:v>
      </x:c>
      <x:c r="B77" s="340" t="n">
        <x:v>11</x:v>
      </x:c>
      <x:c r="C77" s="340" t="str">
        <x:v>Nov</x:v>
      </x:c>
      <x:c r="D77" s="341" t="n">
        <x:v>9.481481481481481</x:v>
      </x:c>
      <x:c r="E77" s="341" t="n">
        <x:v>86.8</x:v>
      </x:c>
      <x:c r="F77" s="341" t="n">
        <x:v>30</x:v>
      </x:c>
      <x:c r="G77" s="342" t="n">
        <x:f>IFERROR(D77/F77,0)</x:f>
        <x:v>0.3160493827160494</x:v>
      </x:c>
      <x:c r="H77" s="343" t="n">
        <x:f>IFERROR(E77/D77,0)</x:f>
        <x:v>9.1546875</x:v>
      </x:c>
      <x:c r="I77" s="340" t="str">
        <x:v>1991-2020</x:v>
      </x:c>
      <x:c r="J77" s="338" t="str">
        <x:v>GREEN - official NIWA normal</x:v>
      </x:c>
    </x:row>
    <x:row r="78">
      <x:c r="A78" s="340" t="str">
        <x:v>Rotorua</x:v>
      </x:c>
      <x:c r="B78" s="340" t="n">
        <x:v>12</x:v>
      </x:c>
      <x:c r="C78" s="340" t="str">
        <x:v>Dec</x:v>
      </x:c>
      <x:c r="D78" s="341" t="n">
        <x:v>10.75</x:v>
      </x:c>
      <x:c r="E78" s="341" t="n">
        <x:v>117.1</x:v>
      </x:c>
      <x:c r="F78" s="341" t="n">
        <x:v>31</x:v>
      </x:c>
      <x:c r="G78" s="342" t="n">
        <x:f>IFERROR(D78/F78,0)</x:f>
        <x:v>0.3467741935483871</x:v>
      </x:c>
      <x:c r="H78" s="343" t="n">
        <x:f>IFERROR(E78/D78,0)</x:f>
        <x:v>10.893023255813953</x:v>
      </x:c>
      <x:c r="I78" s="340" t="str">
        <x:v>1991-2020</x:v>
      </x:c>
      <x:c r="J78" s="338" t="str">
        <x:v>GREEN - official NIWA normal</x:v>
      </x:c>
    </x:row>
    <x:row r="79">
      <x:c r="A79" s="340" t="str">
        <x:v>Gisborne</x:v>
      </x:c>
      <x:c r="B79" s="340" t="n">
        <x:v>1</x:v>
      </x:c>
      <x:c r="C79" s="340" t="str">
        <x:v>Jan</x:v>
      </x:c>
      <x:c r="D79" s="341" t="n">
        <x:v>6.233333333333333</x:v>
      </x:c>
      <x:c r="E79" s="341" t="n">
        <x:v>71.4</x:v>
      </x:c>
      <x:c r="F79" s="341" t="n">
        <x:v>31</x:v>
      </x:c>
      <x:c r="G79" s="342" t="n">
        <x:f>IFERROR(D79/F79,0)</x:f>
        <x:v>0.2010752688172043</x:v>
      </x:c>
      <x:c r="H79" s="343" t="n">
        <x:f>IFERROR(E79/D79,0)</x:f>
        <x:v>11.454545454545455</x:v>
      </x:c>
      <x:c r="I79" s="340" t="str">
        <x:v>1991-2020</x:v>
      </x:c>
      <x:c r="J79" s="338" t="str">
        <x:v>GREEN - official NIWA normal</x:v>
      </x:c>
    </x:row>
    <x:row r="80">
      <x:c r="A80" s="340" t="str">
        <x:v>Gisborne</x:v>
      </x:c>
      <x:c r="B80" s="340" t="n">
        <x:v>2</x:v>
      </x:c>
      <x:c r="C80" s="340" t="str">
        <x:v>Feb</x:v>
      </x:c>
      <x:c r="D80" s="341" t="n">
        <x:v>7.566666666666666</x:v>
      </x:c>
      <x:c r="E80" s="341" t="n">
        <x:v>65.9</x:v>
      </x:c>
      <x:c r="F80" s="341" t="n">
        <x:v>28.266666666666666</x:v>
      </x:c>
      <x:c r="G80" s="342" t="n">
        <x:f>IFERROR(D80/F80,0)</x:f>
        <x:v>0.267688679245283</x:v>
      </x:c>
      <x:c r="H80" s="343" t="n">
        <x:f>IFERROR(E80/D80,0)</x:f>
        <x:v>8.709251101321588</x:v>
      </x:c>
      <x:c r="I80" s="340" t="str">
        <x:v>1991-2020</x:v>
      </x:c>
      <x:c r="J80" s="338" t="str">
        <x:v>GREEN - official NIWA normal</x:v>
      </x:c>
    </x:row>
    <x:row r="81">
      <x:c r="A81" s="340" t="str">
        <x:v>Gisborne</x:v>
      </x:c>
      <x:c r="B81" s="340" t="n">
        <x:v>3</x:v>
      </x:c>
      <x:c r="C81" s="340" t="str">
        <x:v>Mar</x:v>
      </x:c>
      <x:c r="D81" s="341" t="n">
        <x:v>9</x:v>
      </x:c>
      <x:c r="E81" s="341" t="n">
        <x:v>94</x:v>
      </x:c>
      <x:c r="F81" s="341" t="n">
        <x:v>31</x:v>
      </x:c>
      <x:c r="G81" s="342" t="n">
        <x:f>IFERROR(D81/F81,0)</x:f>
        <x:v>0.2903225806451613</x:v>
      </x:c>
      <x:c r="H81" s="343" t="n">
        <x:f>IFERROR(E81/D81,0)</x:f>
        <x:v>10.444444444444445</x:v>
      </x:c>
      <x:c r="I81" s="340" t="str">
        <x:v>1991-2020</x:v>
      </x:c>
      <x:c r="J81" s="338" t="str">
        <x:v>GREEN - official NIWA normal</x:v>
      </x:c>
    </x:row>
    <x:row r="82">
      <x:c r="A82" s="340" t="str">
        <x:v>Gisborne</x:v>
      </x:c>
      <x:c r="B82" s="340" t="n">
        <x:v>4</x:v>
      </x:c>
      <x:c r="C82" s="340" t="str">
        <x:v>Apr</x:v>
      </x:c>
      <x:c r="D82" s="341" t="n">
        <x:v>9.379310344827585</x:v>
      </x:c>
      <x:c r="E82" s="341" t="n">
        <x:v>107.1</x:v>
      </x:c>
      <x:c r="F82" s="341" t="n">
        <x:v>30</x:v>
      </x:c>
      <x:c r="G82" s="342" t="n">
        <x:f>IFERROR(D82/F82,0)</x:f>
        <x:v>0.31264367816091954</x:v>
      </x:c>
      <x:c r="H82" s="343" t="n">
        <x:f>IFERROR(E82/D82,0)</x:f>
        <x:v>11.418750000000001</x:v>
      </x:c>
      <x:c r="I82" s="340" t="str">
        <x:v>1991-2020</x:v>
      </x:c>
      <x:c r="J82" s="338" t="str">
        <x:v>GREEN - official NIWA normal</x:v>
      </x:c>
    </x:row>
    <x:row r="83">
      <x:c r="A83" s="340" t="str">
        <x:v>Gisborne</x:v>
      </x:c>
      <x:c r="B83" s="340" t="n">
        <x:v>5</x:v>
      </x:c>
      <x:c r="C83" s="340" t="str">
        <x:v>May</x:v>
      </x:c>
      <x:c r="D83" s="341" t="n">
        <x:v>9.931034482758621</x:v>
      </x:c>
      <x:c r="E83" s="341" t="n">
        <x:v>84</x:v>
      </x:c>
      <x:c r="F83" s="341" t="n">
        <x:v>31</x:v>
      </x:c>
      <x:c r="G83" s="342" t="n">
        <x:f>IFERROR(D83/F83,0)</x:f>
        <x:v>0.3203559510567297</x:v>
      </x:c>
      <x:c r="H83" s="343" t="n">
        <x:f>IFERROR(E83/D83,0)</x:f>
        <x:v>8.458333333333334</x:v>
      </x:c>
      <x:c r="I83" s="340" t="str">
        <x:v>1991-2020</x:v>
      </x:c>
      <x:c r="J83" s="338" t="str">
        <x:v>GREEN - official NIWA normal</x:v>
      </x:c>
    </x:row>
    <x:row r="84">
      <x:c r="A84" s="340" t="str">
        <x:v>Gisborne</x:v>
      </x:c>
      <x:c r="B84" s="340" t="n">
        <x:v>6</x:v>
      </x:c>
      <x:c r="C84" s="340" t="str">
        <x:v>Jun</x:v>
      </x:c>
      <x:c r="D84" s="341" t="n">
        <x:v>10.206896551724139</x:v>
      </x:c>
      <x:c r="E84" s="341" t="n">
        <x:v>107.4</x:v>
      </x:c>
      <x:c r="F84" s="341" t="n">
        <x:v>30</x:v>
      </x:c>
      <x:c r="G84" s="342" t="n">
        <x:f>IFERROR(D84/F84,0)</x:f>
        <x:v>0.3402298850574713</x:v>
      </x:c>
      <x:c r="H84" s="343" t="n">
        <x:f>IFERROR(E84/D84,0)</x:f>
        <x:v>10.522297297297296</x:v>
      </x:c>
      <x:c r="I84" s="340" t="str">
        <x:v>1991-2020</x:v>
      </x:c>
      <x:c r="J84" s="338" t="str">
        <x:v>GREEN - official NIWA normal</x:v>
      </x:c>
    </x:row>
    <x:row r="85">
      <x:c r="A85" s="340" t="str">
        <x:v>Gisborne</x:v>
      </x:c>
      <x:c r="B85" s="340" t="n">
        <x:v>7</x:v>
      </x:c>
      <x:c r="C85" s="340" t="str">
        <x:v>Jul</x:v>
      </x:c>
      <x:c r="D85" s="341" t="n">
        <x:v>12.392857142857142</x:v>
      </x:c>
      <x:c r="E85" s="341" t="n">
        <x:v>118.7</x:v>
      </x:c>
      <x:c r="F85" s="341" t="n">
        <x:v>31</x:v>
      </x:c>
      <x:c r="G85" s="342" t="n">
        <x:f>IFERROR(D85/F85,0)</x:f>
        <x:v>0.3997695852534562</x:v>
      </x:c>
      <x:c r="H85" s="343" t="n">
        <x:f>IFERROR(E85/D85,0)</x:f>
        <x:v>9.578097982708934</x:v>
      </x:c>
      <x:c r="I85" s="340" t="str">
        <x:v>1991-2020</x:v>
      </x:c>
      <x:c r="J85" s="338" t="str">
        <x:v>GREEN - official NIWA normal</x:v>
      </x:c>
    </x:row>
    <x:row r="86">
      <x:c r="A86" s="340" t="str">
        <x:v>Gisborne</x:v>
      </x:c>
      <x:c r="B86" s="340" t="n">
        <x:v>8</x:v>
      </x:c>
      <x:c r="C86" s="340" t="str">
        <x:v>Aug</x:v>
      </x:c>
      <x:c r="D86" s="341" t="n">
        <x:v>11.137931034482758</x:v>
      </x:c>
      <x:c r="E86" s="341" t="n">
        <x:v>78.1</x:v>
      </x:c>
      <x:c r="F86" s="341" t="n">
        <x:v>31</x:v>
      </x:c>
      <x:c r="G86" s="342" t="n">
        <x:f>IFERROR(D86/F86,0)</x:f>
        <x:v>0.3592880978865406</x:v>
      </x:c>
      <x:c r="H86" s="343" t="n">
        <x:f>IFERROR(E86/D86,0)</x:f>
        <x:v>7.012074303405573</x:v>
      </x:c>
      <x:c r="I86" s="340" t="str">
        <x:v>1991-2020</x:v>
      </x:c>
      <x:c r="J86" s="338" t="str">
        <x:v>GREEN - official NIWA normal</x:v>
      </x:c>
    </x:row>
    <x:row r="87">
      <x:c r="A87" s="340" t="str">
        <x:v>Gisborne</x:v>
      </x:c>
      <x:c r="B87" s="340" t="n">
        <x:v>9</x:v>
      </x:c>
      <x:c r="C87" s="340" t="str">
        <x:v>Sep</x:v>
      </x:c>
      <x:c r="D87" s="341" t="n">
        <x:v>8.714285714285714</x:v>
      </x:c>
      <x:c r="E87" s="341" t="n">
        <x:v>73.1</x:v>
      </x:c>
      <x:c r="F87" s="341" t="n">
        <x:v>30</x:v>
      </x:c>
      <x:c r="G87" s="342" t="n">
        <x:f>IFERROR(D87/F87,0)</x:f>
        <x:v>0.29047619047619044</x:v>
      </x:c>
      <x:c r="H87" s="343" t="n">
        <x:f>IFERROR(E87/D87,0)</x:f>
        <x:v>8.388524590163934</x:v>
      </x:c>
      <x:c r="I87" s="340" t="str">
        <x:v>1991-2020</x:v>
      </x:c>
      <x:c r="J87" s="338" t="str">
        <x:v>GREEN - official NIWA normal</x:v>
      </x:c>
    </x:row>
    <x:row r="88">
      <x:c r="A88" s="340" t="str">
        <x:v>Gisborne</x:v>
      </x:c>
      <x:c r="B88" s="340" t="n">
        <x:v>10</x:v>
      </x:c>
      <x:c r="C88" s="340" t="str">
        <x:v>Oct</x:v>
      </x:c>
      <x:c r="D88" s="341" t="n">
        <x:v>7.333333333333333</x:v>
      </x:c>
      <x:c r="E88" s="341" t="n">
        <x:v>76.1</x:v>
      </x:c>
      <x:c r="F88" s="341" t="n">
        <x:v>31</x:v>
      </x:c>
      <x:c r="G88" s="342" t="n">
        <x:f>IFERROR(D88/F88,0)</x:f>
        <x:v>0.23655913978494622</x:v>
      </x:c>
      <x:c r="H88" s="343" t="n">
        <x:f>IFERROR(E88/D88,0)</x:f>
        <x:v>10.377272727272727</x:v>
      </x:c>
      <x:c r="I88" s="340" t="str">
        <x:v>1991-2020</x:v>
      </x:c>
      <x:c r="J88" s="338" t="str">
        <x:v>GREEN - official NIWA normal</x:v>
      </x:c>
    </x:row>
    <x:row r="89">
      <x:c r="A89" s="340" t="str">
        <x:v>Gisborne</x:v>
      </x:c>
      <x:c r="B89" s="340" t="n">
        <x:v>11</x:v>
      </x:c>
      <x:c r="C89" s="340" t="str">
        <x:v>Nov</x:v>
      </x:c>
      <x:c r="D89" s="341" t="n">
        <x:v>7.8</x:v>
      </x:c>
      <x:c r="E89" s="341" t="n">
        <x:v>65.2</x:v>
      </x:c>
      <x:c r="F89" s="341" t="n">
        <x:v>30</x:v>
      </x:c>
      <x:c r="G89" s="342" t="n">
        <x:f>IFERROR(D89/F89,0)</x:f>
        <x:v>0.26</x:v>
      </x:c>
      <x:c r="H89" s="343" t="n">
        <x:f>IFERROR(E89/D89,0)</x:f>
        <x:v>8.35897435897436</x:v>
      </x:c>
      <x:c r="I89" s="340" t="str">
        <x:v>1991-2020</x:v>
      </x:c>
      <x:c r="J89" s="338" t="str">
        <x:v>GREEN - official NIWA normal</x:v>
      </x:c>
    </x:row>
    <x:row r="90">
      <x:c r="A90" s="340" t="str">
        <x:v>Gisborne</x:v>
      </x:c>
      <x:c r="B90" s="340" t="n">
        <x:v>12</x:v>
      </x:c>
      <x:c r="C90" s="340" t="str">
        <x:v>Dec</x:v>
      </x:c>
      <x:c r="D90" s="341" t="n">
        <x:v>7.241379310344827</x:v>
      </x:c>
      <x:c r="E90" s="341" t="n">
        <x:v>59.9</x:v>
      </x:c>
      <x:c r="F90" s="341" t="n">
        <x:v>31</x:v>
      </x:c>
      <x:c r="G90" s="342" t="n">
        <x:f>IFERROR(D90/F90,0)</x:f>
        <x:v>0.2335928809788654</x:v>
      </x:c>
      <x:c r="H90" s="343" t="n">
        <x:f>IFERROR(E90/D90,0)</x:f>
        <x:v>8.271904761904763</x:v>
      </x:c>
      <x:c r="I90" s="340" t="str">
        <x:v>1991-2020</x:v>
      </x:c>
      <x:c r="J90" s="338" t="str">
        <x:v>GREEN - official NIWA normal</x:v>
      </x:c>
    </x:row>
    <x:row r="91">
      <x:c r="A91" s="340" t="str">
        <x:v>Taupo</x:v>
      </x:c>
      <x:c r="B91" s="340" t="n">
        <x:v>1</x:v>
      </x:c>
      <x:c r="C91" s="340" t="str">
        <x:v>Jan</x:v>
      </x:c>
      <x:c r="D91" s="341" t="n">
        <x:v>6.933333333333334</x:v>
      </x:c>
      <x:c r="E91" s="341" t="n">
        <x:v>73.4</x:v>
      </x:c>
      <x:c r="F91" s="341" t="n">
        <x:v>31</x:v>
      </x:c>
      <x:c r="G91" s="342" t="n">
        <x:f>IFERROR(D91/F91,0)</x:f>
        <x:v>0.22365591397849463</x:v>
      </x:c>
      <x:c r="H91" s="343" t="n">
        <x:f>IFERROR(E91/D91,0)</x:f>
        <x:v>10.586538461538462</x:v>
      </x:c>
      <x:c r="I91" s="340" t="str">
        <x:v>1991-2020</x:v>
      </x:c>
      <x:c r="J91" s="338" t="str">
        <x:v>GREEN - official NIWA normal</x:v>
      </x:c>
    </x:row>
    <x:row r="92">
      <x:c r="A92" s="340" t="str">
        <x:v>Taupo</x:v>
      </x:c>
      <x:c r="B92" s="340" t="n">
        <x:v>2</x:v>
      </x:c>
      <x:c r="C92" s="340" t="str">
        <x:v>Feb</x:v>
      </x:c>
      <x:c r="D92" s="341" t="n">
        <x:v>6.3</x:v>
      </x:c>
      <x:c r="E92" s="341" t="n">
        <x:v>64.8</x:v>
      </x:c>
      <x:c r="F92" s="341" t="n">
        <x:v>28.266666666666666</x:v>
      </x:c>
      <x:c r="G92" s="342" t="n">
        <x:f>IFERROR(D92/F92,0)</x:f>
        <x:v>0.22287735849056603</x:v>
      </x:c>
      <x:c r="H92" s="343" t="n">
        <x:f>IFERROR(E92/D92,0)</x:f>
        <x:v>10.285714285714285</x:v>
      </x:c>
      <x:c r="I92" s="340" t="str">
        <x:v>1991-2020</x:v>
      </x:c>
      <x:c r="J92" s="338" t="str">
        <x:v>GREEN - official NIWA normal</x:v>
      </x:c>
    </x:row>
    <x:row r="93">
      <x:c r="A93" s="340" t="str">
        <x:v>Taupo</x:v>
      </x:c>
      <x:c r="B93" s="340" t="n">
        <x:v>3</x:v>
      </x:c>
      <x:c r="C93" s="340" t="str">
        <x:v>Mar</x:v>
      </x:c>
      <x:c r="D93" s="341" t="n">
        <x:v>7.1</x:v>
      </x:c>
      <x:c r="E93" s="341" t="n">
        <x:v>65.9</x:v>
      </x:c>
      <x:c r="F93" s="341" t="n">
        <x:v>31</x:v>
      </x:c>
      <x:c r="G93" s="342" t="n">
        <x:f>IFERROR(D93/F93,0)</x:f>
        <x:v>0.22903225806451613</x:v>
      </x:c>
      <x:c r="H93" s="343" t="n">
        <x:f>IFERROR(E93/D93,0)</x:f>
        <x:v>9.281690140845072</x:v>
      </x:c>
      <x:c r="I93" s="340" t="str">
        <x:v>1991-2020</x:v>
      </x:c>
      <x:c r="J93" s="338" t="str">
        <x:v>GREEN - official NIWA normal</x:v>
      </x:c>
    </x:row>
    <x:row r="94">
      <x:c r="A94" s="340" t="str">
        <x:v>Taupo</x:v>
      </x:c>
      <x:c r="B94" s="340" t="n">
        <x:v>4</x:v>
      </x:c>
      <x:c r="C94" s="340" t="str">
        <x:v>Apr</x:v>
      </x:c>
      <x:c r="D94" s="341" t="n">
        <x:v>8.206896551724139</x:v>
      </x:c>
      <x:c r="E94" s="341" t="n">
        <x:v>77.3</x:v>
      </x:c>
      <x:c r="F94" s="341" t="n">
        <x:v>30</x:v>
      </x:c>
      <x:c r="G94" s="342" t="n">
        <x:f>IFERROR(D94/F94,0)</x:f>
        <x:v>0.2735632183908046</x:v>
      </x:c>
      <x:c r="H94" s="343" t="n">
        <x:f>IFERROR(E94/D94,0)</x:f>
        <x:v>9.41890756302521</x:v>
      </x:c>
      <x:c r="I94" s="340" t="str">
        <x:v>1991-2020</x:v>
      </x:c>
      <x:c r="J94" s="338" t="str">
        <x:v>GREEN - official NIWA normal</x:v>
      </x:c>
    </x:row>
    <x:row r="95">
      <x:c r="A95" s="340" t="str">
        <x:v>Taupo</x:v>
      </x:c>
      <x:c r="B95" s="340" t="n">
        <x:v>5</x:v>
      </x:c>
      <x:c r="C95" s="340" t="str">
        <x:v>May</x:v>
      </x:c>
      <x:c r="D95" s="341" t="n">
        <x:v>8.833333333333334</x:v>
      </x:c>
      <x:c r="E95" s="341" t="n">
        <x:v>79.4</x:v>
      </x:c>
      <x:c r="F95" s="341" t="n">
        <x:v>31</x:v>
      </x:c>
      <x:c r="G95" s="342" t="n">
        <x:f>IFERROR(D95/F95,0)</x:f>
        <x:v>0.2849462365591398</x:v>
      </x:c>
      <x:c r="H95" s="343" t="n">
        <x:f>IFERROR(E95/D95,0)</x:f>
        <x:v>8.988679245283018</x:v>
      </x:c>
      <x:c r="I95" s="340" t="str">
        <x:v>1991-2020</x:v>
      </x:c>
      <x:c r="J95" s="338" t="str">
        <x:v>GREEN - official NIWA normal</x:v>
      </x:c>
    </x:row>
    <x:row r="96">
      <x:c r="A96" s="340" t="str">
        <x:v>Taupo</x:v>
      </x:c>
      <x:c r="B96" s="340" t="n">
        <x:v>6</x:v>
      </x:c>
      <x:c r="C96" s="340" t="str">
        <x:v>Jun</x:v>
      </x:c>
      <x:c r="D96" s="341" t="n">
        <x:v>10.533333333333333</x:v>
      </x:c>
      <x:c r="E96" s="341" t="n">
        <x:v>93</x:v>
      </x:c>
      <x:c r="F96" s="341" t="n">
        <x:v>30</x:v>
      </x:c>
      <x:c r="G96" s="342" t="n">
        <x:f>IFERROR(D96/F96,0)</x:f>
        <x:v>0.3511111111111111</x:v>
      </x:c>
      <x:c r="H96" s="343" t="n">
        <x:f>IFERROR(E96/D96,0)</x:f>
        <x:v>8.829113924050633</x:v>
      </x:c>
      <x:c r="I96" s="340" t="str">
        <x:v>1991-2020</x:v>
      </x:c>
      <x:c r="J96" s="338" t="str">
        <x:v>GREEN - official NIWA normal</x:v>
      </x:c>
    </x:row>
    <x:row r="97">
      <x:c r="A97" s="340" t="str">
        <x:v>Taupo</x:v>
      </x:c>
      <x:c r="B97" s="340" t="n">
        <x:v>7</x:v>
      </x:c>
      <x:c r="C97" s="340" t="str">
        <x:v>Jul</x:v>
      </x:c>
      <x:c r="D97" s="341" t="n">
        <x:v>11.2</x:v>
      </x:c>
      <x:c r="E97" s="341" t="n">
        <x:v>99.8</x:v>
      </x:c>
      <x:c r="F97" s="341" t="n">
        <x:v>31</x:v>
      </x:c>
      <x:c r="G97" s="342" t="n">
        <x:f>IFERROR(D97/F97,0)</x:f>
        <x:v>0.36129032258064514</x:v>
      </x:c>
      <x:c r="H97" s="343" t="n">
        <x:f>IFERROR(E97/D97,0)</x:f>
        <x:v>8.910714285714286</x:v>
      </x:c>
      <x:c r="I97" s="340" t="str">
        <x:v>1991-2020</x:v>
      </x:c>
      <x:c r="J97" s="338" t="str">
        <x:v>GREEN - official NIWA normal</x:v>
      </x:c>
    </x:row>
    <x:row r="98">
      <x:c r="A98" s="340" t="str">
        <x:v>Taupo</x:v>
      </x:c>
      <x:c r="B98" s="340" t="n">
        <x:v>8</x:v>
      </x:c>
      <x:c r="C98" s="340" t="str">
        <x:v>Aug</x:v>
      </x:c>
      <x:c r="D98" s="341" t="n">
        <x:v>11.666666666666666</x:v>
      </x:c>
      <x:c r="E98" s="341" t="n">
        <x:v>88.6</x:v>
      </x:c>
      <x:c r="F98" s="341" t="n">
        <x:v>31</x:v>
      </x:c>
      <x:c r="G98" s="342" t="n">
        <x:f>IFERROR(D98/F98,0)</x:f>
        <x:v>0.3763440860215054</x:v>
      </x:c>
      <x:c r="H98" s="343" t="n">
        <x:f>IFERROR(E98/D98,0)</x:f>
        <x:v>7.594285714285714</x:v>
      </x:c>
      <x:c r="I98" s="340" t="str">
        <x:v>1991-2020</x:v>
      </x:c>
      <x:c r="J98" s="338" t="str">
        <x:v>GREEN - official NIWA normal</x:v>
      </x:c>
    </x:row>
    <x:row r="99">
      <x:c r="A99" s="340" t="str">
        <x:v>Taupo</x:v>
      </x:c>
      <x:c r="B99" s="340" t="n">
        <x:v>9</x:v>
      </x:c>
      <x:c r="C99" s="340" t="str">
        <x:v>Sep</x:v>
      </x:c>
      <x:c r="D99" s="341" t="n">
        <x:v>10.8</x:v>
      </x:c>
      <x:c r="E99" s="341" t="n">
        <x:v>79</x:v>
      </x:c>
      <x:c r="F99" s="341" t="n">
        <x:v>30</x:v>
      </x:c>
      <x:c r="G99" s="342" t="n">
        <x:f>IFERROR(D99/F99,0)</x:f>
        <x:v>0.36000000000000004</x:v>
      </x:c>
      <x:c r="H99" s="343" t="n">
        <x:f>IFERROR(E99/D99,0)</x:f>
        <x:v>7.314814814814814</x:v>
      </x:c>
      <x:c r="I99" s="340" t="str">
        <x:v>1991-2020</x:v>
      </x:c>
      <x:c r="J99" s="338" t="str">
        <x:v>GREEN - official NIWA normal</x:v>
      </x:c>
    </x:row>
    <x:row r="100">
      <x:c r="A100" s="340" t="str">
        <x:v>Taupo</x:v>
      </x:c>
      <x:c r="B100" s="340" t="n">
        <x:v>10</x:v>
      </x:c>
      <x:c r="C100" s="340" t="str">
        <x:v>Oct</x:v>
      </x:c>
      <x:c r="D100" s="341" t="n">
        <x:v>10.1</x:v>
      </x:c>
      <x:c r="E100" s="341" t="n">
        <x:v>74.2</x:v>
      </x:c>
      <x:c r="F100" s="341" t="n">
        <x:v>31</x:v>
      </x:c>
      <x:c r="G100" s="342" t="n">
        <x:f>IFERROR(D100/F100,0)</x:f>
        <x:v>0.3258064516129032</x:v>
      </x:c>
      <x:c r="H100" s="343" t="n">
        <x:f>IFERROR(E100/D100,0)</x:f>
        <x:v>7.346534653465347</x:v>
      </x:c>
      <x:c r="I100" s="340" t="str">
        <x:v>1991-2020</x:v>
      </x:c>
      <x:c r="J100" s="338" t="str">
        <x:v>GREEN - official NIWA normal</x:v>
      </x:c>
    </x:row>
    <x:row r="101">
      <x:c r="A101" s="340" t="str">
        <x:v>Taupo</x:v>
      </x:c>
      <x:c r="B101" s="340" t="n">
        <x:v>11</x:v>
      </x:c>
      <x:c r="C101" s="340" t="str">
        <x:v>Nov</x:v>
      </x:c>
      <x:c r="D101" s="341" t="n">
        <x:v>8.666666666666666</x:v>
      </x:c>
      <x:c r="E101" s="341" t="n">
        <x:v>64.7</x:v>
      </x:c>
      <x:c r="F101" s="341" t="n">
        <x:v>30</x:v>
      </x:c>
      <x:c r="G101" s="342" t="n">
        <x:f>IFERROR(D101/F101,0)</x:f>
        <x:v>0.28888888888888886</x:v>
      </x:c>
      <x:c r="H101" s="343" t="n">
        <x:f>IFERROR(E101/D101,0)</x:f>
        <x:v>7.465384615384616</x:v>
      </x:c>
      <x:c r="I101" s="340" t="str">
        <x:v>1991-2020</x:v>
      </x:c>
      <x:c r="J101" s="338" t="str">
        <x:v>GREEN - official NIWA normal</x:v>
      </x:c>
    </x:row>
    <x:row r="102">
      <x:c r="A102" s="340" t="str">
        <x:v>Taupo</x:v>
      </x:c>
      <x:c r="B102" s="340" t="n">
        <x:v>12</x:v>
      </x:c>
      <x:c r="C102" s="340" t="str">
        <x:v>Dec</x:v>
      </x:c>
      <x:c r="D102" s="341" t="n">
        <x:v>9.5</x:v>
      </x:c>
      <x:c r="E102" s="341" t="n">
        <x:v>88</x:v>
      </x:c>
      <x:c r="F102" s="341" t="n">
        <x:v>31</x:v>
      </x:c>
      <x:c r="G102" s="342" t="n">
        <x:f>IFERROR(D102/F102,0)</x:f>
        <x:v>0.3064516129032258</x:v>
      </x:c>
      <x:c r="H102" s="343" t="n">
        <x:f>IFERROR(E102/D102,0)</x:f>
        <x:v>9.263157894736842</x:v>
      </x:c>
      <x:c r="I102" s="340" t="str">
        <x:v>1991-2020</x:v>
      </x:c>
      <x:c r="J102" s="338" t="str">
        <x:v>GREEN - official NIWA normal</x:v>
      </x:c>
    </x:row>
    <x:row r="103">
      <x:c r="A103" s="340" t="str">
        <x:v>New Plymouth</x:v>
      </x:c>
      <x:c r="B103" s="340" t="n">
        <x:v>1</x:v>
      </x:c>
      <x:c r="C103" s="340" t="str">
        <x:v>Jan</x:v>
      </x:c>
      <x:c r="D103" s="341" t="n">
        <x:v>8.137931034482758</x:v>
      </x:c>
      <x:c r="E103" s="341" t="n">
        <x:v>76.3</x:v>
      </x:c>
      <x:c r="F103" s="341" t="n">
        <x:v>31</x:v>
      </x:c>
      <x:c r="G103" s="342" t="n">
        <x:f>IFERROR(D103/F103,0)</x:f>
        <x:v>0.26251390433815347</x:v>
      </x:c>
      <x:c r="H103" s="343" t="n">
        <x:f>IFERROR(E103/D103,0)</x:f>
        <x:v>9.375847457627119</x:v>
      </x:c>
      <x:c r="I103" s="340" t="str">
        <x:v>1991-2020</x:v>
      </x:c>
      <x:c r="J103" s="338" t="str">
        <x:v>GREEN - official NIWA normal</x:v>
      </x:c>
    </x:row>
    <x:row r="104">
      <x:c r="A104" s="340" t="str">
        <x:v>New Plymouth</x:v>
      </x:c>
      <x:c r="B104" s="340" t="n">
        <x:v>2</x:v>
      </x:c>
      <x:c r="C104" s="340" t="str">
        <x:v>Feb</x:v>
      </x:c>
      <x:c r="D104" s="341" t="n">
        <x:v>7.827586206896552</x:v>
      </x:c>
      <x:c r="E104" s="341" t="n">
        <x:v>89.8</x:v>
      </x:c>
      <x:c r="F104" s="341" t="n">
        <x:v>28.266666666666666</x:v>
      </x:c>
      <x:c r="G104" s="342" t="n">
        <x:f>IFERROR(D104/F104,0)</x:f>
        <x:v>0.27691932335718933</x:v>
      </x:c>
      <x:c r="H104" s="343" t="n">
        <x:f>IFERROR(E104/D104,0)</x:f>
        <x:v>11.472246696035242</x:v>
      </x:c>
      <x:c r="I104" s="340" t="str">
        <x:v>1991-2020</x:v>
      </x:c>
      <x:c r="J104" s="338" t="str">
        <x:v>GREEN - official NIWA normal</x:v>
      </x:c>
    </x:row>
    <x:row r="105">
      <x:c r="A105" s="340" t="str">
        <x:v>New Plymouth</x:v>
      </x:c>
      <x:c r="B105" s="340" t="n">
        <x:v>3</x:v>
      </x:c>
      <x:c r="C105" s="340" t="str">
        <x:v>Mar</x:v>
      </x:c>
      <x:c r="D105" s="341" t="n">
        <x:v>8.551724137931034</x:v>
      </x:c>
      <x:c r="E105" s="341" t="n">
        <x:v>91.1</x:v>
      </x:c>
      <x:c r="F105" s="341" t="n">
        <x:v>31</x:v>
      </x:c>
      <x:c r="G105" s="342" t="n">
        <x:f>IFERROR(D105/F105,0)</x:f>
        <x:v>0.27586206896551724</x:v>
      </x:c>
      <x:c r="H105" s="343" t="n">
        <x:f>IFERROR(E105/D105,0)</x:f>
        <x:v>10.65282258064516</x:v>
      </x:c>
      <x:c r="I105" s="340" t="str">
        <x:v>1991-2020</x:v>
      </x:c>
      <x:c r="J105" s="338" t="str">
        <x:v>GREEN - official NIWA normal</x:v>
      </x:c>
    </x:row>
    <x:row r="106">
      <x:c r="A106" s="340" t="str">
        <x:v>New Plymouth</x:v>
      </x:c>
      <x:c r="B106" s="340" t="n">
        <x:v>4</x:v>
      </x:c>
      <x:c r="C106" s="340" t="str">
        <x:v>Apr</x:v>
      </x:c>
      <x:c r="D106" s="341" t="n">
        <x:v>10.344827586206897</x:v>
      </x:c>
      <x:c r="E106" s="341" t="n">
        <x:v>117.1</x:v>
      </x:c>
      <x:c r="F106" s="341" t="n">
        <x:v>30</x:v>
      </x:c>
      <x:c r="G106" s="342" t="n">
        <x:f>IFERROR(D106/F106,0)</x:f>
        <x:v>0.3448275862068966</x:v>
      </x:c>
      <x:c r="H106" s="343" t="n">
        <x:f>IFERROR(E106/D106,0)</x:f>
        <x:v>11.319666666666667</x:v>
      </x:c>
      <x:c r="I106" s="340" t="str">
        <x:v>1991-2020</x:v>
      </x:c>
      <x:c r="J106" s="338" t="str">
        <x:v>GREEN - official NIWA normal</x:v>
      </x:c>
    </x:row>
    <x:row r="107">
      <x:c r="A107" s="340" t="str">
        <x:v>New Plymouth</x:v>
      </x:c>
      <x:c r="B107" s="340" t="n">
        <x:v>5</x:v>
      </x:c>
      <x:c r="C107" s="340" t="str">
        <x:v>May</x:v>
      </x:c>
      <x:c r="D107" s="341" t="n">
        <x:v>13.592592592592593</x:v>
      </x:c>
      <x:c r="E107" s="341" t="n">
        <x:v>149.4</x:v>
      </x:c>
      <x:c r="F107" s="341" t="n">
        <x:v>31</x:v>
      </x:c>
      <x:c r="G107" s="342" t="n">
        <x:f>IFERROR(D107/F107,0)</x:f>
        <x:v>0.43847072879330945</x:v>
      </x:c>
      <x:c r="H107" s="343" t="n">
        <x:f>IFERROR(E107/D107,0)</x:f>
        <x:v>10.991280653950954</x:v>
      </x:c>
      <x:c r="I107" s="340" t="str">
        <x:v>1991-2020</x:v>
      </x:c>
      <x:c r="J107" s="338" t="str">
        <x:v>GREEN - official NIWA normal</x:v>
      </x:c>
    </x:row>
    <x:row r="108">
      <x:c r="A108" s="340" t="str">
        <x:v>New Plymouth</x:v>
      </x:c>
      <x:c r="B108" s="340" t="n">
        <x:v>6</x:v>
      </x:c>
      <x:c r="C108" s="340" t="str">
        <x:v>Jun</x:v>
      </x:c>
      <x:c r="D108" s="341" t="n">
        <x:v>14.62962962962963</x:v>
      </x:c>
      <x:c r="E108" s="341" t="n">
        <x:v>143.6</x:v>
      </x:c>
      <x:c r="F108" s="341" t="n">
        <x:v>30</x:v>
      </x:c>
      <x:c r="G108" s="342" t="n">
        <x:f>IFERROR(D108/F108,0)</x:f>
        <x:v>0.4876543209876543</x:v>
      </x:c>
      <x:c r="H108" s="343" t="n">
        <x:f>IFERROR(E108/D108,0)</x:f>
        <x:v>9.815696202531646</x:v>
      </x:c>
      <x:c r="I108" s="340" t="str">
        <x:v>1991-2020</x:v>
      </x:c>
      <x:c r="J108" s="338" t="str">
        <x:v>GREEN - official NIWA normal</x:v>
      </x:c>
    </x:row>
    <x:row r="109">
      <x:c r="A109" s="340" t="str">
        <x:v>New Plymouth</x:v>
      </x:c>
      <x:c r="B109" s="340" t="n">
        <x:v>7</x:v>
      </x:c>
      <x:c r="C109" s="340" t="str">
        <x:v>Jul</x:v>
      </x:c>
      <x:c r="D109" s="341" t="n">
        <x:v>14.5</x:v>
      </x:c>
      <x:c r="E109" s="341" t="n">
        <x:v>141.3</x:v>
      </x:c>
      <x:c r="F109" s="341" t="n">
        <x:v>31</x:v>
      </x:c>
      <x:c r="G109" s="342" t="n">
        <x:f>IFERROR(D109/F109,0)</x:f>
        <x:v>0.46774193548387094</x:v>
      </x:c>
      <x:c r="H109" s="343" t="n">
        <x:f>IFERROR(E109/D109,0)</x:f>
        <x:v>9.744827586206897</x:v>
      </x:c>
      <x:c r="I109" s="340" t="str">
        <x:v>1991-2020</x:v>
      </x:c>
      <x:c r="J109" s="338" t="str">
        <x:v>GREEN - official NIWA normal</x:v>
      </x:c>
    </x:row>
    <x:row r="110">
      <x:c r="A110" s="340" t="str">
        <x:v>New Plymouth</x:v>
      </x:c>
      <x:c r="B110" s="340" t="n">
        <x:v>8</x:v>
      </x:c>
      <x:c r="C110" s="340" t="str">
        <x:v>Aug</x:v>
      </x:c>
      <x:c r="D110" s="341" t="n">
        <x:v>14.785714285714286</x:v>
      </x:c>
      <x:c r="E110" s="341" t="n">
        <x:v>128.8</x:v>
      </x:c>
      <x:c r="F110" s="341" t="n">
        <x:v>31</x:v>
      </x:c>
      <x:c r="G110" s="342" t="n">
        <x:f>IFERROR(D110/F110,0)</x:f>
        <x:v>0.47695852534562216</x:v>
      </x:c>
      <x:c r="H110" s="343" t="n">
        <x:f>IFERROR(E110/D110,0)</x:f>
        <x:v>8.711111111111112</x:v>
      </x:c>
      <x:c r="I110" s="340" t="str">
        <x:v>1991-2020</x:v>
      </x:c>
      <x:c r="J110" s="338" t="str">
        <x:v>GREEN - official NIWA normal</x:v>
      </x:c>
    </x:row>
    <x:row r="111">
      <x:c r="A111" s="340" t="str">
        <x:v>New Plymouth</x:v>
      </x:c>
      <x:c r="B111" s="340" t="n">
        <x:v>9</x:v>
      </x:c>
      <x:c r="C111" s="340" t="str">
        <x:v>Sep</x:v>
      </x:c>
      <x:c r="D111" s="341" t="n">
        <x:v>14.241379310344827</x:v>
      </x:c>
      <x:c r="E111" s="341" t="n">
        <x:v>122.9</x:v>
      </x:c>
      <x:c r="F111" s="341" t="n">
        <x:v>30</x:v>
      </x:c>
      <x:c r="G111" s="342" t="n">
        <x:f>IFERROR(D111/F111,0)</x:f>
        <x:v>0.4747126436781609</x:v>
      </x:c>
      <x:c r="H111" s="343" t="n">
        <x:f>IFERROR(E111/D111,0)</x:f>
        <x:v>8.629782082324455</x:v>
      </x:c>
      <x:c r="I111" s="340" t="str">
        <x:v>1991-2020</x:v>
      </x:c>
      <x:c r="J111" s="338" t="str">
        <x:v>GREEN - official NIWA normal</x:v>
      </x:c>
    </x:row>
    <x:row r="112">
      <x:c r="A112" s="340" t="str">
        <x:v>New Plymouth</x:v>
      </x:c>
      <x:c r="B112" s="340" t="n">
        <x:v>10</x:v>
      </x:c>
      <x:c r="C112" s="340" t="str">
        <x:v>Oct</x:v>
      </x:c>
      <x:c r="D112" s="341" t="n">
        <x:v>12.89655172413793</x:v>
      </x:c>
      <x:c r="E112" s="341" t="n">
        <x:v>127</x:v>
      </x:c>
      <x:c r="F112" s="341" t="n">
        <x:v>31</x:v>
      </x:c>
      <x:c r="G112" s="342" t="n">
        <x:f>IFERROR(D112/F112,0)</x:f>
        <x:v>0.41601779755283647</x:v>
      </x:c>
      <x:c r="H112" s="343" t="n">
        <x:f>IFERROR(E112/D112,0)</x:f>
        <x:v>9.8475935828877</x:v>
      </x:c>
      <x:c r="I112" s="340" t="str">
        <x:v>1991-2020</x:v>
      </x:c>
      <x:c r="J112" s="338" t="str">
        <x:v>GREEN - official NIWA normal</x:v>
      </x:c>
    </x:row>
    <x:row r="113">
      <x:c r="A113" s="340" t="str">
        <x:v>New Plymouth</x:v>
      </x:c>
      <x:c r="B113" s="340" t="n">
        <x:v>11</x:v>
      </x:c>
      <x:c r="C113" s="340" t="str">
        <x:v>Nov</x:v>
      </x:c>
      <x:c r="D113" s="341" t="n">
        <x:v>10.933333333333334</x:v>
      </x:c>
      <x:c r="E113" s="341" t="n">
        <x:v>103.7</x:v>
      </x:c>
      <x:c r="F113" s="341" t="n">
        <x:v>30</x:v>
      </x:c>
      <x:c r="G113" s="342" t="n">
        <x:f>IFERROR(D113/F113,0)</x:f>
        <x:v>0.36444444444444446</x:v>
      </x:c>
      <x:c r="H113" s="343" t="n">
        <x:f>IFERROR(E113/D113,0)</x:f>
        <x:v>9.484756097560975</x:v>
      </x:c>
      <x:c r="I113" s="340" t="str">
        <x:v>1991-2020</x:v>
      </x:c>
      <x:c r="J113" s="338" t="str">
        <x:v>GREEN - official NIWA normal</x:v>
      </x:c>
    </x:row>
    <x:row r="114">
      <x:c r="A114" s="340" t="str">
        <x:v>New Plymouth</x:v>
      </x:c>
      <x:c r="B114" s="340" t="n">
        <x:v>12</x:v>
      </x:c>
      <x:c r="C114" s="340" t="str">
        <x:v>Dec</x:v>
      </x:c>
      <x:c r="D114" s="341" t="n">
        <x:v>11.482758620689655</x:v>
      </x:c>
      <x:c r="E114" s="341" t="n">
        <x:v>119.3</x:v>
      </x:c>
      <x:c r="F114" s="341" t="n">
        <x:v>31</x:v>
      </x:c>
      <x:c r="G114" s="342" t="n">
        <x:f>IFERROR(D114/F114,0)</x:f>
        <x:v>0.3704115684093437</x:v>
      </x:c>
      <x:c r="H114" s="343" t="n">
        <x:f>IFERROR(E114/D114,0)</x:f>
        <x:v>10.38948948948949</x:v>
      </x:c>
      <x:c r="I114" s="340" t="str">
        <x:v>1991-2020</x:v>
      </x:c>
      <x:c r="J114" s="338" t="str">
        <x:v>GREEN - official NIWA normal</x:v>
      </x:c>
    </x:row>
    <x:row r="115">
      <x:c r="A115" s="340" t="str">
        <x:v>Napier</x:v>
      </x:c>
      <x:c r="B115" s="340" t="n">
        <x:v>1</x:v>
      </x:c>
      <x:c r="C115" s="340" t="str">
        <x:v>Jan</x:v>
      </x:c>
      <x:c r="D115" s="341" t="n">
        <x:v>6.2</x:v>
      </x:c>
      <x:c r="E115" s="341" t="n">
        <x:v>63.8</x:v>
      </x:c>
      <x:c r="F115" s="341" t="n">
        <x:v>31</x:v>
      </x:c>
      <x:c r="G115" s="342" t="n">
        <x:f>IFERROR(D115/F115,0)</x:f>
        <x:v>0.2</x:v>
      </x:c>
      <x:c r="H115" s="343" t="n">
        <x:f>IFERROR(E115/D115,0)</x:f>
        <x:v>10.29032258064516</x:v>
      </x:c>
      <x:c r="I115" s="340" t="str">
        <x:v>1991-2020</x:v>
      </x:c>
      <x:c r="J115" s="338" t="str">
        <x:v>GREEN - official NIWA normal</x:v>
      </x:c>
    </x:row>
    <x:row r="116">
      <x:c r="A116" s="340" t="str">
        <x:v>Napier</x:v>
      </x:c>
      <x:c r="B116" s="340" t="n">
        <x:v>2</x:v>
      </x:c>
      <x:c r="C116" s="340" t="str">
        <x:v>Feb</x:v>
      </x:c>
      <x:c r="D116" s="341" t="n">
        <x:v>6.2</x:v>
      </x:c>
      <x:c r="E116" s="341" t="n">
        <x:v>54.1</x:v>
      </x:c>
      <x:c r="F116" s="341" t="n">
        <x:v>28.266666666666666</x:v>
      </x:c>
      <x:c r="G116" s="342" t="n">
        <x:f>IFERROR(D116/F116,0)</x:f>
        <x:v>0.21933962264150944</x:v>
      </x:c>
      <x:c r="H116" s="343" t="n">
        <x:f>IFERROR(E116/D116,0)</x:f>
        <x:v>8.725806451612904</x:v>
      </x:c>
      <x:c r="I116" s="340" t="str">
        <x:v>1991-2020</x:v>
      </x:c>
      <x:c r="J116" s="338" t="str">
        <x:v>GREEN - official NIWA normal</x:v>
      </x:c>
    </x:row>
    <x:row r="117">
      <x:c r="A117" s="340" t="str">
        <x:v>Napier</x:v>
      </x:c>
      <x:c r="B117" s="340" t="n">
        <x:v>3</x:v>
      </x:c>
      <x:c r="C117" s="340" t="str">
        <x:v>Mar</x:v>
      </x:c>
      <x:c r="D117" s="341" t="n">
        <x:v>7.366666666666666</x:v>
      </x:c>
      <x:c r="E117" s="341" t="n">
        <x:v>61.8</x:v>
      </x:c>
      <x:c r="F117" s="341" t="n">
        <x:v>31</x:v>
      </x:c>
      <x:c r="G117" s="342" t="n">
        <x:f>IFERROR(D117/F117,0)</x:f>
        <x:v>0.23763440860215052</x:v>
      </x:c>
      <x:c r="H117" s="343" t="n">
        <x:f>IFERROR(E117/D117,0)</x:f>
        <x:v>8.389140271493213</x:v>
      </x:c>
      <x:c r="I117" s="340" t="str">
        <x:v>1991-2020</x:v>
      </x:c>
      <x:c r="J117" s="338" t="str">
        <x:v>GREEN - official NIWA normal</x:v>
      </x:c>
    </x:row>
    <x:row r="118">
      <x:c r="A118" s="340" t="str">
        <x:v>Napier</x:v>
      </x:c>
      <x:c r="B118" s="340" t="n">
        <x:v>4</x:v>
      </x:c>
      <x:c r="C118" s="340" t="str">
        <x:v>Apr</x:v>
      </x:c>
      <x:c r="D118" s="341" t="n">
        <x:v>7.758620689655173</x:v>
      </x:c>
      <x:c r="E118" s="341" t="n">
        <x:v>81.2</x:v>
      </x:c>
      <x:c r="F118" s="341" t="n">
        <x:v>30</x:v>
      </x:c>
      <x:c r="G118" s="342" t="n">
        <x:f>IFERROR(D118/F118,0)</x:f>
        <x:v>0.25862068965517243</x:v>
      </x:c>
      <x:c r="H118" s="343" t="n">
        <x:f>IFERROR(E118/D118,0)</x:f>
        <x:v>10.465777777777777</x:v>
      </x:c>
      <x:c r="I118" s="340" t="str">
        <x:v>1991-2020</x:v>
      </x:c>
      <x:c r="J118" s="338" t="str">
        <x:v>GREEN - official NIWA normal</x:v>
      </x:c>
    </x:row>
    <x:row r="119">
      <x:c r="A119" s="340" t="str">
        <x:v>Napier</x:v>
      </x:c>
      <x:c r="B119" s="340" t="n">
        <x:v>5</x:v>
      </x:c>
      <x:c r="C119" s="340" t="str">
        <x:v>May</x:v>
      </x:c>
      <x:c r="D119" s="341" t="n">
        <x:v>6.862068965517241</x:v>
      </x:c>
      <x:c r="E119" s="341" t="n">
        <x:v>62.2</x:v>
      </x:c>
      <x:c r="F119" s="341" t="n">
        <x:v>31</x:v>
      </x:c>
      <x:c r="G119" s="342" t="n">
        <x:f>IFERROR(D119/F119,0)</x:f>
        <x:v>0.22135706340378197</x:v>
      </x:c>
      <x:c r="H119" s="343" t="n">
        <x:f>IFERROR(E119/D119,0)</x:f>
        <x:v>9.064321608040201</x:v>
      </x:c>
      <x:c r="I119" s="340" t="str">
        <x:v>1991-2020</x:v>
      </x:c>
      <x:c r="J119" s="338" t="str">
        <x:v>GREEN - official NIWA normal</x:v>
      </x:c>
    </x:row>
    <x:row r="120">
      <x:c r="A120" s="340" t="str">
        <x:v>Napier</x:v>
      </x:c>
      <x:c r="B120" s="340" t="n">
        <x:v>6</x:v>
      </x:c>
      <x:c r="C120" s="340" t="str">
        <x:v>Jun</x:v>
      </x:c>
      <x:c r="D120" s="341" t="n">
        <x:v>7.866666666666666</x:v>
      </x:c>
      <x:c r="E120" s="341" t="n">
        <x:v>78.5</x:v>
      </x:c>
      <x:c r="F120" s="341" t="n">
        <x:v>30</x:v>
      </x:c>
      <x:c r="G120" s="342" t="n">
        <x:f>IFERROR(D120/F120,0)</x:f>
        <x:v>0.2622222222222222</x:v>
      </x:c>
      <x:c r="H120" s="343" t="n">
        <x:f>IFERROR(E120/D120,0)</x:f>
        <x:v>9.978813559322035</x:v>
      </x:c>
      <x:c r="I120" s="340" t="str">
        <x:v>1991-2020</x:v>
      </x:c>
      <x:c r="J120" s="338" t="str">
        <x:v>GREEN - official NIWA normal</x:v>
      </x:c>
    </x:row>
    <x:row r="121">
      <x:c r="A121" s="340" t="str">
        <x:v>Napier</x:v>
      </x:c>
      <x:c r="B121" s="340" t="n">
        <x:v>7</x:v>
      </x:c>
      <x:c r="C121" s="340" t="str">
        <x:v>Jul</x:v>
      </x:c>
      <x:c r="D121" s="341" t="n">
        <x:v>8.833333333333334</x:v>
      </x:c>
      <x:c r="E121" s="341" t="n">
        <x:v>97</x:v>
      </x:c>
      <x:c r="F121" s="341" t="n">
        <x:v>31</x:v>
      </x:c>
      <x:c r="G121" s="342" t="n">
        <x:f>IFERROR(D121/F121,0)</x:f>
        <x:v>0.2849462365591398</x:v>
      </x:c>
      <x:c r="H121" s="343" t="n">
        <x:f>IFERROR(E121/D121,0)</x:f>
        <x:v>10.981132075471697</x:v>
      </x:c>
      <x:c r="I121" s="340" t="str">
        <x:v>1991-2020</x:v>
      </x:c>
      <x:c r="J121" s="338" t="str">
        <x:v>GREEN - official NIWA normal</x:v>
      </x:c>
    </x:row>
    <x:row r="122">
      <x:c r="A122" s="340" t="str">
        <x:v>Napier</x:v>
      </x:c>
      <x:c r="B122" s="340" t="n">
        <x:v>8</x:v>
      </x:c>
      <x:c r="C122" s="340" t="str">
        <x:v>Aug</x:v>
      </x:c>
      <x:c r="D122" s="341" t="n">
        <x:v>7.933333333333334</x:v>
      </x:c>
      <x:c r="E122" s="341" t="n">
        <x:v>57</x:v>
      </x:c>
      <x:c r="F122" s="341" t="n">
        <x:v>31</x:v>
      </x:c>
      <x:c r="G122" s="342" t="n">
        <x:f>IFERROR(D122/F122,0)</x:f>
        <x:v>0.25591397849462366</x:v>
      </x:c>
      <x:c r="H122" s="343" t="n">
        <x:f>IFERROR(E122/D122,0)</x:f>
        <x:v>7.184873949579831</x:v>
      </x:c>
      <x:c r="I122" s="340" t="str">
        <x:v>1991-2020</x:v>
      </x:c>
      <x:c r="J122" s="338" t="str">
        <x:v>GREEN - official NIWA normal</x:v>
      </x:c>
    </x:row>
    <x:row r="123">
      <x:c r="A123" s="340" t="str">
        <x:v>Napier</x:v>
      </x:c>
      <x:c r="B123" s="340" t="n">
        <x:v>9</x:v>
      </x:c>
      <x:c r="C123" s="340" t="str">
        <x:v>Sep</x:v>
      </x:c>
      <x:c r="D123" s="341" t="n">
        <x:v>7.466666666666667</x:v>
      </x:c>
      <x:c r="E123" s="341" t="n">
        <x:v>58.1</x:v>
      </x:c>
      <x:c r="F123" s="341" t="n">
        <x:v>30</x:v>
      </x:c>
      <x:c r="G123" s="342" t="n">
        <x:f>IFERROR(D123/F123,0)</x:f>
        <x:v>0.24888888888888888</x:v>
      </x:c>
      <x:c r="H123" s="343" t="n">
        <x:f>IFERROR(E123/D123,0)</x:f>
        <x:v>7.78125</x:v>
      </x:c>
      <x:c r="I123" s="340" t="str">
        <x:v>1991-2020</x:v>
      </x:c>
      <x:c r="J123" s="338" t="str">
        <x:v>GREEN - official NIWA normal</x:v>
      </x:c>
    </x:row>
    <x:row r="124">
      <x:c r="A124" s="340" t="str">
        <x:v>Napier</x:v>
      </x:c>
      <x:c r="B124" s="340" t="n">
        <x:v>10</x:v>
      </x:c>
      <x:c r="C124" s="340" t="str">
        <x:v>Oct</x:v>
      </x:c>
      <x:c r="D124" s="341" t="n">
        <x:v>7.433333333333334</x:v>
      </x:c>
      <x:c r="E124" s="341" t="n">
        <x:v>60.9</x:v>
      </x:c>
      <x:c r="F124" s="341" t="n">
        <x:v>31</x:v>
      </x:c>
      <x:c r="G124" s="342" t="n">
        <x:f>IFERROR(D124/F124,0)</x:f>
        <x:v>0.23978494623655916</x:v>
      </x:c>
      <x:c r="H124" s="343" t="n">
        <x:f>IFERROR(E124/D124,0)</x:f>
        <x:v>8.192825112107624</x:v>
      </x:c>
      <x:c r="I124" s="340" t="str">
        <x:v>1991-2020</x:v>
      </x:c>
      <x:c r="J124" s="338" t="str">
        <x:v>GREEN - official NIWA normal</x:v>
      </x:c>
    </x:row>
    <x:row r="125">
      <x:c r="A125" s="340" t="str">
        <x:v>Napier</x:v>
      </x:c>
      <x:c r="B125" s="340" t="n">
        <x:v>11</x:v>
      </x:c>
      <x:c r="C125" s="340" t="str">
        <x:v>Nov</x:v>
      </x:c>
      <x:c r="D125" s="341" t="n">
        <x:v>6.517241379310345</x:v>
      </x:c>
      <x:c r="E125" s="341" t="n">
        <x:v>57.3</x:v>
      </x:c>
      <x:c r="F125" s="341" t="n">
        <x:v>30</x:v>
      </x:c>
      <x:c r="G125" s="342" t="n">
        <x:f>IFERROR(D125/F125,0)</x:f>
        <x:v>0.21724137931034485</x:v>
      </x:c>
      <x:c r="H125" s="343" t="n">
        <x:f>IFERROR(E125/D125,0)</x:f>
        <x:v>8.792063492063491</x:v>
      </x:c>
      <x:c r="I125" s="340" t="str">
        <x:v>1991-2020</x:v>
      </x:c>
      <x:c r="J125" s="338" t="str">
        <x:v>GREEN - official NIWA normal</x:v>
      </x:c>
    </x:row>
    <x:row r="126">
      <x:c r="A126" s="340" t="str">
        <x:v>Napier</x:v>
      </x:c>
      <x:c r="B126" s="340" t="n">
        <x:v>12</x:v>
      </x:c>
      <x:c r="C126" s="340" t="str">
        <x:v>Dec</x:v>
      </x:c>
      <x:c r="D126" s="341" t="n">
        <x:v>6.933333333333334</x:v>
      </x:c>
      <x:c r="E126" s="341" t="n">
        <x:v>57.8</x:v>
      </x:c>
      <x:c r="F126" s="341" t="n">
        <x:v>31</x:v>
      </x:c>
      <x:c r="G126" s="342" t="n">
        <x:f>IFERROR(D126/F126,0)</x:f>
        <x:v>0.22365591397849463</x:v>
      </x:c>
      <x:c r="H126" s="343" t="n">
        <x:f>IFERROR(E126/D126,0)</x:f>
        <x:v>8.336538461538462</x:v>
      </x:c>
      <x:c r="I126" s="340" t="str">
        <x:v>1991-2020</x:v>
      </x:c>
      <x:c r="J126" s="338" t="str">
        <x:v>GREEN - official NIWA normal</x:v>
      </x:c>
    </x:row>
    <x:row r="127">
      <x:c r="A127" s="340" t="str">
        <x:v>Whanganui</x:v>
      </x:c>
      <x:c r="B127" s="340" t="n">
        <x:v>1</x:v>
      </x:c>
      <x:c r="C127" s="340" t="str">
        <x:v>Jan</x:v>
      </x:c>
      <x:c r="D127" s="341" t="n">
        <x:v>6.333333333333333</x:v>
      </x:c>
      <x:c r="E127" s="341" t="n">
        <x:v>58.1</x:v>
      </x:c>
      <x:c r="F127" s="341" t="n">
        <x:v>31</x:v>
      </x:c>
      <x:c r="G127" s="342" t="n">
        <x:f>IFERROR(D127/F127,0)</x:f>
        <x:v>0.2043010752688172</x:v>
      </x:c>
      <x:c r="H127" s="343" t="n">
        <x:f>IFERROR(E127/D127,0)</x:f>
        <x:v>9.173684210526316</x:v>
      </x:c>
      <x:c r="I127" s="340" t="str">
        <x:v>1991-2020</x:v>
      </x:c>
      <x:c r="J127" s="338" t="str">
        <x:v>GREEN - official NIWA normal</x:v>
      </x:c>
    </x:row>
    <x:row r="128">
      <x:c r="A128" s="340" t="str">
        <x:v>Whanganui</x:v>
      </x:c>
      <x:c r="B128" s="340" t="n">
        <x:v>2</x:v>
      </x:c>
      <x:c r="C128" s="340" t="str">
        <x:v>Feb</x:v>
      </x:c>
      <x:c r="D128" s="341" t="n">
        <x:v>6.357142857142857</x:v>
      </x:c>
      <x:c r="E128" s="341" t="n">
        <x:v>69.6</x:v>
      </x:c>
      <x:c r="F128" s="341" t="n">
        <x:v>28.266666666666666</x:v>
      </x:c>
      <x:c r="G128" s="342" t="n">
        <x:f>IFERROR(D128/F128,0)</x:f>
        <x:v>0.2248989218328841</x:v>
      </x:c>
      <x:c r="H128" s="343" t="n">
        <x:f>IFERROR(E128/D128,0)</x:f>
        <x:v>10.948314606741572</x:v>
      </x:c>
      <x:c r="I128" s="340" t="str">
        <x:v>1991-2020</x:v>
      </x:c>
      <x:c r="J128" s="338" t="str">
        <x:v>GREEN - official NIWA normal</x:v>
      </x:c>
    </x:row>
    <x:row r="129">
      <x:c r="A129" s="340" t="str">
        <x:v>Whanganui</x:v>
      </x:c>
      <x:c r="B129" s="340" t="n">
        <x:v>3</x:v>
      </x:c>
      <x:c r="C129" s="340" t="str">
        <x:v>Mar</x:v>
      </x:c>
      <x:c r="D129" s="341" t="n">
        <x:v>7.551724137931035</x:v>
      </x:c>
      <x:c r="E129" s="341" t="n">
        <x:v>60.5</x:v>
      </x:c>
      <x:c r="F129" s="341" t="n">
        <x:v>31</x:v>
      </x:c>
      <x:c r="G129" s="342" t="n">
        <x:f>IFERROR(D129/F129,0)</x:f>
        <x:v>0.2436040044493882</x:v>
      </x:c>
      <x:c r="H129" s="343" t="n">
        <x:f>IFERROR(E129/D129,0)</x:f>
        <x:v>8.011415525114154</x:v>
      </x:c>
      <x:c r="I129" s="340" t="str">
        <x:v>1991-2020</x:v>
      </x:c>
      <x:c r="J129" s="338" t="str">
        <x:v>GREEN - official NIWA normal</x:v>
      </x:c>
    </x:row>
    <x:row r="130">
      <x:c r="A130" s="340" t="str">
        <x:v>Whanganui</x:v>
      </x:c>
      <x:c r="B130" s="340" t="n">
        <x:v>4</x:v>
      </x:c>
      <x:c r="C130" s="340" t="str">
        <x:v>Apr</x:v>
      </x:c>
      <x:c r="D130" s="341" t="n">
        <x:v>8.931034482758621</x:v>
      </x:c>
      <x:c r="E130" s="341" t="n">
        <x:v>84.5</x:v>
      </x:c>
      <x:c r="F130" s="341" t="n">
        <x:v>30</x:v>
      </x:c>
      <x:c r="G130" s="342" t="n">
        <x:f>IFERROR(D130/F130,0)</x:f>
        <x:v>0.29770114942528736</x:v>
      </x:c>
      <x:c r="H130" s="343" t="n">
        <x:f>IFERROR(E130/D130,0)</x:f>
        <x:v>9.461389961389962</x:v>
      </x:c>
      <x:c r="I130" s="340" t="str">
        <x:v>1991-2020</x:v>
      </x:c>
      <x:c r="J130" s="338" t="str">
        <x:v>GREEN - official NIWA normal</x:v>
      </x:c>
    </x:row>
    <x:row r="131">
      <x:c r="A131" s="340" t="str">
        <x:v>Whanganui</x:v>
      </x:c>
      <x:c r="B131" s="340" t="n">
        <x:v>5</x:v>
      </x:c>
      <x:c r="C131" s="340" t="str">
        <x:v>May</x:v>
      </x:c>
      <x:c r="D131" s="341" t="n">
        <x:v>10</x:v>
      </x:c>
      <x:c r="E131" s="341" t="n">
        <x:v>80.8</x:v>
      </x:c>
      <x:c r="F131" s="341" t="n">
        <x:v>31</x:v>
      </x:c>
      <x:c r="G131" s="342" t="n">
        <x:f>IFERROR(D131/F131,0)</x:f>
        <x:v>0.3225806451612903</x:v>
      </x:c>
      <x:c r="H131" s="343" t="n">
        <x:f>IFERROR(E131/D131,0)</x:f>
        <x:v>8.08</x:v>
      </x:c>
      <x:c r="I131" s="340" t="str">
        <x:v>1991-2020</x:v>
      </x:c>
      <x:c r="J131" s="338" t="str">
        <x:v>GREEN - official NIWA normal</x:v>
      </x:c>
    </x:row>
    <x:row r="132">
      <x:c r="A132" s="340" t="str">
        <x:v>Whanganui</x:v>
      </x:c>
      <x:c r="B132" s="340" t="n">
        <x:v>6</x:v>
      </x:c>
      <x:c r="C132" s="340" t="str">
        <x:v>Jun</x:v>
      </x:c>
      <x:c r="D132" s="341" t="n">
        <x:v>11.6</x:v>
      </x:c>
      <x:c r="E132" s="341" t="n">
        <x:v>90.3</x:v>
      </x:c>
      <x:c r="F132" s="341" t="n">
        <x:v>30</x:v>
      </x:c>
      <x:c r="G132" s="342" t="n">
        <x:f>IFERROR(D132/F132,0)</x:f>
        <x:v>0.38666666666666666</x:v>
      </x:c>
      <x:c r="H132" s="343" t="n">
        <x:f>IFERROR(E132/D132,0)</x:f>
        <x:v>7.7844827586206895</x:v>
      </x:c>
      <x:c r="I132" s="340" t="str">
        <x:v>1991-2020</x:v>
      </x:c>
      <x:c r="J132" s="338" t="str">
        <x:v>GREEN - official NIWA normal</x:v>
      </x:c>
    </x:row>
    <x:row r="133">
      <x:c r="A133" s="340" t="str">
        <x:v>Whanganui</x:v>
      </x:c>
      <x:c r="B133" s="340" t="n">
        <x:v>7</x:v>
      </x:c>
      <x:c r="C133" s="340" t="str">
        <x:v>Jul</x:v>
      </x:c>
      <x:c r="D133" s="341" t="n">
        <x:v>11.3</x:v>
      </x:c>
      <x:c r="E133" s="341" t="n">
        <x:v>87</x:v>
      </x:c>
      <x:c r="F133" s="341" t="n">
        <x:v>31</x:v>
      </x:c>
      <x:c r="G133" s="342" t="n">
        <x:f>IFERROR(D133/F133,0)</x:f>
        <x:v>0.3645161290322581</x:v>
      </x:c>
      <x:c r="H133" s="343" t="n">
        <x:f>IFERROR(E133/D133,0)</x:f>
        <x:v>7.699115044247787</x:v>
      </x:c>
      <x:c r="I133" s="340" t="str">
        <x:v>1991-2020</x:v>
      </x:c>
      <x:c r="J133" s="338" t="str">
        <x:v>GREEN - official NIWA normal</x:v>
      </x:c>
    </x:row>
    <x:row r="134">
      <x:c r="A134" s="340" t="str">
        <x:v>Whanganui</x:v>
      </x:c>
      <x:c r="B134" s="340" t="n">
        <x:v>8</x:v>
      </x:c>
      <x:c r="C134" s="340" t="str">
        <x:v>Aug</x:v>
      </x:c>
      <x:c r="D134" s="341" t="n">
        <x:v>12.1</x:v>
      </x:c>
      <x:c r="E134" s="341" t="n">
        <x:v>83.5</x:v>
      </x:c>
      <x:c r="F134" s="341" t="n">
        <x:v>31</x:v>
      </x:c>
      <x:c r="G134" s="342" t="n">
        <x:f>IFERROR(D134/F134,0)</x:f>
        <x:v>0.3903225806451613</x:v>
      </x:c>
      <x:c r="H134" s="343" t="n">
        <x:f>IFERROR(E134/D134,0)</x:f>
        <x:v>6.900826446280992</x:v>
      </x:c>
      <x:c r="I134" s="340" t="str">
        <x:v>1991-2020</x:v>
      </x:c>
      <x:c r="J134" s="338" t="str">
        <x:v>GREEN - official NIWA normal</x:v>
      </x:c>
    </x:row>
    <x:row r="135">
      <x:c r="A135" s="340" t="str">
        <x:v>Whanganui</x:v>
      </x:c>
      <x:c r="B135" s="340" t="n">
        <x:v>9</x:v>
      </x:c>
      <x:c r="C135" s="340" t="str">
        <x:v>Sep</x:v>
      </x:c>
      <x:c r="D135" s="341" t="n">
        <x:v>10.5</x:v>
      </x:c>
      <x:c r="E135" s="341" t="n">
        <x:v>75.9</x:v>
      </x:c>
      <x:c r="F135" s="341" t="n">
        <x:v>30</x:v>
      </x:c>
      <x:c r="G135" s="342" t="n">
        <x:f>IFERROR(D135/F135,0)</x:f>
        <x:v>0.35</x:v>
      </x:c>
      <x:c r="H135" s="343" t="n">
        <x:f>IFERROR(E135/D135,0)</x:f>
        <x:v>7.2285714285714295</x:v>
      </x:c>
      <x:c r="I135" s="340" t="str">
        <x:v>1991-2020</x:v>
      </x:c>
      <x:c r="J135" s="338" t="str">
        <x:v>GREEN - official NIWA normal</x:v>
      </x:c>
    </x:row>
    <x:row r="136">
      <x:c r="A136" s="340" t="str">
        <x:v>Whanganui</x:v>
      </x:c>
      <x:c r="B136" s="340" t="n">
        <x:v>10</x:v>
      </x:c>
      <x:c r="C136" s="340" t="str">
        <x:v>Oct</x:v>
      </x:c>
      <x:c r="D136" s="341" t="n">
        <x:v>10.466666666666667</x:v>
      </x:c>
      <x:c r="E136" s="341" t="n">
        <x:v>89.1</x:v>
      </x:c>
      <x:c r="F136" s="341" t="n">
        <x:v>31</x:v>
      </x:c>
      <x:c r="G136" s="342" t="n">
        <x:f>IFERROR(D136/F136,0)</x:f>
        <x:v>0.33763440860215055</x:v>
      </x:c>
      <x:c r="H136" s="343" t="n">
        <x:f>IFERROR(E136/D136,0)</x:f>
        <x:v>8.512738853503183</x:v>
      </x:c>
      <x:c r="I136" s="340" t="str">
        <x:v>1991-2020</x:v>
      </x:c>
      <x:c r="J136" s="338" t="str">
        <x:v>GREEN - official NIWA normal</x:v>
      </x:c>
    </x:row>
    <x:row r="137">
      <x:c r="A137" s="340" t="str">
        <x:v>Whanganui</x:v>
      </x:c>
      <x:c r="B137" s="340" t="n">
        <x:v>11</x:v>
      </x:c>
      <x:c r="C137" s="340" t="str">
        <x:v>Nov</x:v>
      </x:c>
      <x:c r="D137" s="341" t="n">
        <x:v>9.2</x:v>
      </x:c>
      <x:c r="E137" s="341" t="n">
        <x:v>75.3</x:v>
      </x:c>
      <x:c r="F137" s="341" t="n">
        <x:v>30</x:v>
      </x:c>
      <x:c r="G137" s="342" t="n">
        <x:f>IFERROR(D137/F137,0)</x:f>
        <x:v>0.30666666666666664</x:v>
      </x:c>
      <x:c r="H137" s="343" t="n">
        <x:f>IFERROR(E137/D137,0)</x:f>
        <x:v>8.184782608695652</x:v>
      </x:c>
      <x:c r="I137" s="340" t="str">
        <x:v>1991-2020</x:v>
      </x:c>
      <x:c r="J137" s="338" t="str">
        <x:v>GREEN - official NIWA normal</x:v>
      </x:c>
    </x:row>
    <x:row r="138">
      <x:c r="A138" s="340" t="str">
        <x:v>Whanganui</x:v>
      </x:c>
      <x:c r="B138" s="340" t="n">
        <x:v>12</x:v>
      </x:c>
      <x:c r="C138" s="340" t="str">
        <x:v>Dec</x:v>
      </x:c>
      <x:c r="D138" s="341" t="n">
        <x:v>9.566666666666666</x:v>
      </x:c>
      <x:c r="E138" s="341" t="n">
        <x:v>89.5</x:v>
      </x:c>
      <x:c r="F138" s="341" t="n">
        <x:v>31</x:v>
      </x:c>
      <x:c r="G138" s="342" t="n">
        <x:f>IFERROR(D138/F138,0)</x:f>
        <x:v>0.3086021505376344</x:v>
      </x:c>
      <x:c r="H138" s="343" t="n">
        <x:f>IFERROR(E138/D138,0)</x:f>
        <x:v>9.355400696864113</x:v>
      </x:c>
      <x:c r="I138" s="340" t="str">
        <x:v>1991-2020</x:v>
      </x:c>
      <x:c r="J138" s="338" t="str">
        <x:v>GREEN - official NIWA normal</x:v>
      </x:c>
    </x:row>
    <x:row r="139">
      <x:c r="A139" s="340" t="str">
        <x:v>Palmerston North</x:v>
      </x:c>
      <x:c r="B139" s="340" t="n">
        <x:v>1</x:v>
      </x:c>
      <x:c r="C139" s="340" t="str">
        <x:v>Jan</x:v>
      </x:c>
      <x:c r="D139" s="341" t="n">
        <x:v>8.210526315789474</x:v>
      </x:c>
      <x:c r="E139" s="341" t="n">
        <x:v>58.7</x:v>
      </x:c>
      <x:c r="F139" s="341" t="n">
        <x:v>31</x:v>
      </x:c>
      <x:c r="G139" s="342" t="n">
        <x:f>IFERROR(D139/F139,0)</x:f>
        <x:v>0.26485568760611206</x:v>
      </x:c>
      <x:c r="H139" s="343" t="n">
        <x:f>IFERROR(E139/D139,0)</x:f>
        <x:v>7.149358974358974</x:v>
      </x:c>
      <x:c r="I139" s="340" t="str">
        <x:v>1991-2020</x:v>
      </x:c>
      <x:c r="J139" s="338" t="str">
        <x:v>GREEN - official NIWA normal</x:v>
      </x:c>
    </x:row>
    <x:row r="140">
      <x:c r="A140" s="340" t="str">
        <x:v>Palmerston North</x:v>
      </x:c>
      <x:c r="B140" s="340" t="n">
        <x:v>2</x:v>
      </x:c>
      <x:c r="C140" s="340" t="str">
        <x:v>Feb</x:v>
      </x:c>
      <x:c r="D140" s="341" t="n">
        <x:v>6.842105263157895</x:v>
      </x:c>
      <x:c r="E140" s="341" t="n">
        <x:v>68.6</x:v>
      </x:c>
      <x:c r="F140" s="341" t="n">
        <x:v>28.266666666666666</x:v>
      </x:c>
      <x:c r="G140" s="342" t="n">
        <x:f>IFERROR(D140/F140,0)</x:f>
        <x:v>0.24205561072492554</x:v>
      </x:c>
      <x:c r="H140" s="343" t="n">
        <x:f>IFERROR(E140/D140,0)</x:f>
        <x:v>10.026153846153845</x:v>
      </x:c>
      <x:c r="I140" s="340" t="str">
        <x:v>1991-2020</x:v>
      </x:c>
      <x:c r="J140" s="338" t="str">
        <x:v>GREEN - official NIWA normal</x:v>
      </x:c>
    </x:row>
    <x:row r="141">
      <x:c r="A141" s="340" t="str">
        <x:v>Palmerston North</x:v>
      </x:c>
      <x:c r="B141" s="340" t="n">
        <x:v>3</x:v>
      </x:c>
      <x:c r="C141" s="340" t="str">
        <x:v>Mar</x:v>
      </x:c>
      <x:c r="D141" s="341" t="n">
        <x:v>7.2631578947368425</x:v>
      </x:c>
      <x:c r="E141" s="341" t="n">
        <x:v>57.4</x:v>
      </x:c>
      <x:c r="F141" s="341" t="n">
        <x:v>31</x:v>
      </x:c>
      <x:c r="G141" s="342" t="n">
        <x:f>IFERROR(D141/F141,0)</x:f>
        <x:v>0.234295415959253</x:v>
      </x:c>
      <x:c r="H141" s="343" t="n">
        <x:f>IFERROR(E141/D141,0)</x:f>
        <x:v>7.902898550724637</x:v>
      </x:c>
      <x:c r="I141" s="340" t="str">
        <x:v>1991-2020</x:v>
      </x:c>
      <x:c r="J141" s="338" t="str">
        <x:v>GREEN - official NIWA normal</x:v>
      </x:c>
    </x:row>
    <x:row r="142">
      <x:c r="A142" s="340" t="str">
        <x:v>Palmerston North</x:v>
      </x:c>
      <x:c r="B142" s="340" t="n">
        <x:v>4</x:v>
      </x:c>
      <x:c r="C142" s="340" t="str">
        <x:v>Apr</x:v>
      </x:c>
      <x:c r="D142" s="341" t="n">
        <x:v>9.1</x:v>
      </x:c>
      <x:c r="E142" s="341" t="n">
        <x:v>83.6</x:v>
      </x:c>
      <x:c r="F142" s="341" t="n">
        <x:v>30</x:v>
      </x:c>
      <x:c r="G142" s="342" t="n">
        <x:f>IFERROR(D142/F142,0)</x:f>
        <x:v>0.30333333333333334</x:v>
      </x:c>
      <x:c r="H142" s="343" t="n">
        <x:f>IFERROR(E142/D142,0)</x:f>
        <x:v>9.186813186813186</x:v>
      </x:c>
      <x:c r="I142" s="340" t="str">
        <x:v>1991-2020</x:v>
      </x:c>
      <x:c r="J142" s="338" t="str">
        <x:v>GREEN - official NIWA normal</x:v>
      </x:c>
    </x:row>
    <x:row r="143">
      <x:c r="A143" s="340" t="str">
        <x:v>Palmerston North</x:v>
      </x:c>
      <x:c r="B143" s="340" t="n">
        <x:v>5</x:v>
      </x:c>
      <x:c r="C143" s="340" t="str">
        <x:v>May</x:v>
      </x:c>
      <x:c r="D143" s="341" t="n">
        <x:v>10.4</x:v>
      </x:c>
      <x:c r="E143" s="341" t="n">
        <x:v>87.2</x:v>
      </x:c>
      <x:c r="F143" s="341" t="n">
        <x:v>31</x:v>
      </x:c>
      <x:c r="G143" s="342" t="n">
        <x:f>IFERROR(D143/F143,0)</x:f>
        <x:v>0.33548387096774196</x:v>
      </x:c>
      <x:c r="H143" s="343" t="n">
        <x:f>IFERROR(E143/D143,0)</x:f>
        <x:v>8.384615384615385</x:v>
      </x:c>
      <x:c r="I143" s="340" t="str">
        <x:v>1991-2020</x:v>
      </x:c>
      <x:c r="J143" s="338" t="str">
        <x:v>GREEN - official NIWA normal</x:v>
      </x:c>
    </x:row>
    <x:row r="144">
      <x:c r="A144" s="340" t="str">
        <x:v>Palmerston North</x:v>
      </x:c>
      <x:c r="B144" s="340" t="n">
        <x:v>6</x:v>
      </x:c>
      <x:c r="C144" s="340" t="str">
        <x:v>Jun</x:v>
      </x:c>
      <x:c r="D144" s="341" t="n">
        <x:v>11.95</x:v>
      </x:c>
      <x:c r="E144" s="341" t="n">
        <x:v>95.5</x:v>
      </x:c>
      <x:c r="F144" s="341" t="n">
        <x:v>30</x:v>
      </x:c>
      <x:c r="G144" s="342" t="n">
        <x:f>IFERROR(D144/F144,0)</x:f>
        <x:v>0.3983333333333333</x:v>
      </x:c>
      <x:c r="H144" s="343" t="n">
        <x:f>IFERROR(E144/D144,0)</x:f>
        <x:v>7.99163179916318</x:v>
      </x:c>
      <x:c r="I144" s="340" t="str">
        <x:v>1991-2020</x:v>
      </x:c>
      <x:c r="J144" s="338" t="str">
        <x:v>GREEN - official NIWA normal</x:v>
      </x:c>
    </x:row>
    <x:row r="145">
      <x:c r="A145" s="340" t="str">
        <x:v>Palmerston North</x:v>
      </x:c>
      <x:c r="B145" s="340" t="n">
        <x:v>7</x:v>
      </x:c>
      <x:c r="C145" s="340" t="str">
        <x:v>Jul</x:v>
      </x:c>
      <x:c r="D145" s="341" t="n">
        <x:v>11.55</x:v>
      </x:c>
      <x:c r="E145" s="341" t="n">
        <x:v>87.5</x:v>
      </x:c>
      <x:c r="F145" s="341" t="n">
        <x:v>31</x:v>
      </x:c>
      <x:c r="G145" s="342" t="n">
        <x:f>IFERROR(D145/F145,0)</x:f>
        <x:v>0.37258064516129036</x:v>
      </x:c>
      <x:c r="H145" s="343" t="n">
        <x:f>IFERROR(E145/D145,0)</x:f>
        <x:v>7.575757575757575</x:v>
      </x:c>
      <x:c r="I145" s="340" t="str">
        <x:v>1991-2020</x:v>
      </x:c>
      <x:c r="J145" s="338" t="str">
        <x:v>GREEN - official NIWA normal</x:v>
      </x:c>
    </x:row>
    <x:row r="146">
      <x:c r="A146" s="340" t="str">
        <x:v>Palmerston North</x:v>
      </x:c>
      <x:c r="B146" s="340" t="n">
        <x:v>8</x:v>
      </x:c>
      <x:c r="C146" s="340" t="str">
        <x:v>Aug</x:v>
      </x:c>
      <x:c r="D146" s="341" t="n">
        <x:v>12.65</x:v>
      </x:c>
      <x:c r="E146" s="341" t="n">
        <x:v>83.5</x:v>
      </x:c>
      <x:c r="F146" s="341" t="n">
        <x:v>31</x:v>
      </x:c>
      <x:c r="G146" s="342" t="n">
        <x:f>IFERROR(D146/F146,0)</x:f>
        <x:v>0.4080645161290323</x:v>
      </x:c>
      <x:c r="H146" s="343" t="n">
        <x:f>IFERROR(E146/D146,0)</x:f>
        <x:v>6.600790513833992</x:v>
      </x:c>
      <x:c r="I146" s="340" t="str">
        <x:v>1991-2020</x:v>
      </x:c>
      <x:c r="J146" s="338" t="str">
        <x:v>GREEN - official NIWA normal</x:v>
      </x:c>
    </x:row>
    <x:row r="147">
      <x:c r="A147" s="340" t="str">
        <x:v>Palmerston North</x:v>
      </x:c>
      <x:c r="B147" s="340" t="n">
        <x:v>9</x:v>
      </x:c>
      <x:c r="C147" s="340" t="str">
        <x:v>Sep</x:v>
      </x:c>
      <x:c r="D147" s="341" t="n">
        <x:v>11.75</x:v>
      </x:c>
      <x:c r="E147" s="341" t="n">
        <x:v>89</x:v>
      </x:c>
      <x:c r="F147" s="341" t="n">
        <x:v>30</x:v>
      </x:c>
      <x:c r="G147" s="342" t="n">
        <x:f>IFERROR(D147/F147,0)</x:f>
        <x:v>0.39166666666666666</x:v>
      </x:c>
      <x:c r="H147" s="343" t="n">
        <x:f>IFERROR(E147/D147,0)</x:f>
        <x:v>7.574468085106383</x:v>
      </x:c>
      <x:c r="I147" s="340" t="str">
        <x:v>1991-2020</x:v>
      </x:c>
      <x:c r="J147" s="338" t="str">
        <x:v>GREEN - official NIWA normal</x:v>
      </x:c>
    </x:row>
    <x:row r="148">
      <x:c r="A148" s="340" t="str">
        <x:v>Palmerston North</x:v>
      </x:c>
      <x:c r="B148" s="340" t="n">
        <x:v>10</x:v>
      </x:c>
      <x:c r="C148" s="340" t="str">
        <x:v>Oct</x:v>
      </x:c>
      <x:c r="D148" s="341" t="n">
        <x:v>12.4</x:v>
      </x:c>
      <x:c r="E148" s="341" t="n">
        <x:v>96.3</x:v>
      </x:c>
      <x:c r="F148" s="341" t="n">
        <x:v>31</x:v>
      </x:c>
      <x:c r="G148" s="342" t="n">
        <x:f>IFERROR(D148/F148,0)</x:f>
        <x:v>0.4</x:v>
      </x:c>
      <x:c r="H148" s="343" t="n">
        <x:f>IFERROR(E148/D148,0)</x:f>
        <x:v>7.766129032258064</x:v>
      </x:c>
      <x:c r="I148" s="340" t="str">
        <x:v>1991-2020</x:v>
      </x:c>
      <x:c r="J148" s="338" t="str">
        <x:v>GREEN - official NIWA normal</x:v>
      </x:c>
    </x:row>
    <x:row r="149">
      <x:c r="A149" s="340" t="str">
        <x:v>Palmerston North</x:v>
      </x:c>
      <x:c r="B149" s="340" t="n">
        <x:v>11</x:v>
      </x:c>
      <x:c r="C149" s="340" t="str">
        <x:v>Nov</x:v>
      </x:c>
      <x:c r="D149" s="341" t="n">
        <x:v>9.85</x:v>
      </x:c>
      <x:c r="E149" s="341" t="n">
        <x:v>86.3</x:v>
      </x:c>
      <x:c r="F149" s="341" t="n">
        <x:v>30</x:v>
      </x:c>
      <x:c r="G149" s="342" t="n">
        <x:f>IFERROR(D149/F149,0)</x:f>
        <x:v>0.3283333333333333</x:v>
      </x:c>
      <x:c r="H149" s="343" t="n">
        <x:f>IFERROR(E149/D149,0)</x:f>
        <x:v>8.761421319796954</x:v>
      </x:c>
      <x:c r="I149" s="340" t="str">
        <x:v>1991-2020</x:v>
      </x:c>
      <x:c r="J149" s="338" t="str">
        <x:v>GREEN - official NIWA normal</x:v>
      </x:c>
    </x:row>
    <x:row r="150">
      <x:c r="A150" s="340" t="str">
        <x:v>Palmerston North</x:v>
      </x:c>
      <x:c r="B150" s="340" t="n">
        <x:v>12</x:v>
      </x:c>
      <x:c r="C150" s="340" t="str">
        <x:v>Dec</x:v>
      </x:c>
      <x:c r="D150" s="341" t="n">
        <x:v>10.2</x:v>
      </x:c>
      <x:c r="E150" s="341" t="n">
        <x:v>89.9</x:v>
      </x:c>
      <x:c r="F150" s="341" t="n">
        <x:v>31</x:v>
      </x:c>
      <x:c r="G150" s="342" t="n">
        <x:f>IFERROR(D150/F150,0)</x:f>
        <x:v>0.3290322580645161</x:v>
      </x:c>
      <x:c r="H150" s="343" t="n">
        <x:f>IFERROR(E150/D150,0)</x:f>
        <x:v>8.813725490196079</x:v>
      </x:c>
      <x:c r="I150" s="340" t="str">
        <x:v>1991-2020</x:v>
      </x:c>
      <x:c r="J150" s="338" t="str">
        <x:v>GREEN - official NIWA normal</x:v>
      </x:c>
    </x:row>
    <x:row r="151">
      <x:c r="A151" s="340" t="str">
        <x:v>Masterton</x:v>
      </x:c>
      <x:c r="B151" s="340" t="n">
        <x:v>1</x:v>
      </x:c>
      <x:c r="C151" s="340" t="str">
        <x:v>Jan</x:v>
      </x:c>
      <x:c r="D151" s="341" t="n">
        <x:v>5.2</x:v>
      </x:c>
      <x:c r="E151" s="341" t="n">
        <x:v>52.4</x:v>
      </x:c>
      <x:c r="F151" s="341" t="n">
        <x:v>31</x:v>
      </x:c>
      <x:c r="G151" s="342" t="n">
        <x:f>IFERROR(D151/F151,0)</x:f>
        <x:v>0.16774193548387098</x:v>
      </x:c>
      <x:c r="H151" s="343" t="n">
        <x:f>IFERROR(E151/D151,0)</x:f>
        <x:v>10.076923076923077</x:v>
      </x:c>
      <x:c r="I151" s="340" t="str">
        <x:v>1991-2020</x:v>
      </x:c>
      <x:c r="J151" s="338" t="str">
        <x:v>GREEN - official NIWA normal</x:v>
      </x:c>
    </x:row>
    <x:row r="152">
      <x:c r="A152" s="340" t="str">
        <x:v>Masterton</x:v>
      </x:c>
      <x:c r="B152" s="340" t="n">
        <x:v>2</x:v>
      </x:c>
      <x:c r="C152" s="340" t="str">
        <x:v>Feb</x:v>
      </x:c>
      <x:c r="D152" s="341" t="n">
        <x:v>4.7272727272727275</x:v>
      </x:c>
      <x:c r="E152" s="341" t="n">
        <x:v>48.5</x:v>
      </x:c>
      <x:c r="F152" s="341" t="n">
        <x:v>28.266666666666666</x:v>
      </x:c>
      <x:c r="G152" s="342" t="n">
        <x:f>IFERROR(D152/F152,0)</x:f>
        <x:v>0.1672384219554031</x:v>
      </x:c>
      <x:c r="H152" s="343" t="n">
        <x:f>IFERROR(E152/D152,0)</x:f>
        <x:v>10.259615384615383</x:v>
      </x:c>
      <x:c r="I152" s="340" t="str">
        <x:v>1991-2020</x:v>
      </x:c>
      <x:c r="J152" s="338" t="str">
        <x:v>GREEN - official NIWA normal</x:v>
      </x:c>
    </x:row>
    <x:row r="153">
      <x:c r="A153" s="340" t="str">
        <x:v>Masterton</x:v>
      </x:c>
      <x:c r="B153" s="340" t="n">
        <x:v>3</x:v>
      </x:c>
      <x:c r="C153" s="340" t="str">
        <x:v>Mar</x:v>
      </x:c>
      <x:c r="D153" s="341" t="n">
        <x:v>6.181818181818182</x:v>
      </x:c>
      <x:c r="E153" s="341" t="n">
        <x:v>69.9</x:v>
      </x:c>
      <x:c r="F153" s="341" t="n">
        <x:v>31</x:v>
      </x:c>
      <x:c r="G153" s="342" t="n">
        <x:f>IFERROR(D153/F153,0)</x:f>
        <x:v>0.19941348973607037</x:v>
      </x:c>
      <x:c r="H153" s="343" t="n">
        <x:f>IFERROR(E153/D153,0)</x:f>
        <x:v>11.307352941176472</x:v>
      </x:c>
      <x:c r="I153" s="340" t="str">
        <x:v>1991-2020</x:v>
      </x:c>
      <x:c r="J153" s="338" t="str">
        <x:v>GREEN - official NIWA normal</x:v>
      </x:c>
    </x:row>
    <x:row r="154">
      <x:c r="A154" s="340" t="str">
        <x:v>Masterton</x:v>
      </x:c>
      <x:c r="B154" s="340" t="n">
        <x:v>4</x:v>
      </x:c>
      <x:c r="C154" s="340" t="str">
        <x:v>Apr</x:v>
      </x:c>
      <x:c r="D154" s="341" t="n">
        <x:v>8.545454545454545</x:v>
      </x:c>
      <x:c r="E154" s="341" t="n">
        <x:v>71.5</x:v>
      </x:c>
      <x:c r="F154" s="341" t="n">
        <x:v>30</x:v>
      </x:c>
      <x:c r="G154" s="342" t="n">
        <x:f>IFERROR(D154/F154,0)</x:f>
        <x:v>0.28484848484848485</x:v>
      </x:c>
      <x:c r="H154" s="343" t="n">
        <x:f>IFERROR(E154/D154,0)</x:f>
        <x:v>8.367021276595745</x:v>
      </x:c>
      <x:c r="I154" s="340" t="str">
        <x:v>1991-2020</x:v>
      </x:c>
      <x:c r="J154" s="338" t="str">
        <x:v>GREEN - official NIWA normal</x:v>
      </x:c>
    </x:row>
    <x:row r="155">
      <x:c r="A155" s="340" t="str">
        <x:v>Masterton</x:v>
      </x:c>
      <x:c r="B155" s="340" t="n">
        <x:v>5</x:v>
      </x:c>
      <x:c r="C155" s="340" t="str">
        <x:v>May</x:v>
      </x:c>
      <x:c r="D155" s="341" t="n">
        <x:v>10.333333333333334</x:v>
      </x:c>
      <x:c r="E155" s="341" t="n">
        <x:v>72.9</x:v>
      </x:c>
      <x:c r="F155" s="341" t="n">
        <x:v>31</x:v>
      </x:c>
      <x:c r="G155" s="342" t="n">
        <x:f>IFERROR(D155/F155,0)</x:f>
        <x:v>0.33333333333333337</x:v>
      </x:c>
      <x:c r="H155" s="343" t="n">
        <x:f>IFERROR(E155/D155,0)</x:f>
        <x:v>7.054838709677419</x:v>
      </x:c>
      <x:c r="I155" s="340" t="str">
        <x:v>1991-2020</x:v>
      </x:c>
      <x:c r="J155" s="338" t="str">
        <x:v>GREEN - official NIWA normal</x:v>
      </x:c>
    </x:row>
    <x:row r="156">
      <x:c r="A156" s="340" t="str">
        <x:v>Masterton</x:v>
      </x:c>
      <x:c r="B156" s="340" t="n">
        <x:v>6</x:v>
      </x:c>
      <x:c r="C156" s="340" t="str">
        <x:v>Jun</x:v>
      </x:c>
      <x:c r="D156" s="341" t="n">
        <x:v>9.875</x:v>
      </x:c>
      <x:c r="E156" s="341" t="n">
        <x:v>91</x:v>
      </x:c>
      <x:c r="F156" s="341" t="n">
        <x:v>30</x:v>
      </x:c>
      <x:c r="G156" s="342" t="n">
        <x:f>IFERROR(D156/F156,0)</x:f>
        <x:v>0.32916666666666666</x:v>
      </x:c>
      <x:c r="H156" s="343" t="n">
        <x:f>IFERROR(E156/D156,0)</x:f>
        <x:v>9.215189873417721</x:v>
      </x:c>
      <x:c r="I156" s="340" t="str">
        <x:v>1991-2020</x:v>
      </x:c>
      <x:c r="J156" s="338" t="str">
        <x:v>GREEN - official NIWA normal</x:v>
      </x:c>
    </x:row>
    <x:row r="157">
      <x:c r="A157" s="340" t="str">
        <x:v>Masterton</x:v>
      </x:c>
      <x:c r="B157" s="340" t="n">
        <x:v>7</x:v>
      </x:c>
      <x:c r="C157" s="340" t="str">
        <x:v>Jul</x:v>
      </x:c>
      <x:c r="D157" s="341" t="n">
        <x:v>10.625</x:v>
      </x:c>
      <x:c r="E157" s="341" t="n">
        <x:v>113.6</x:v>
      </x:c>
      <x:c r="F157" s="341" t="n">
        <x:v>31</x:v>
      </x:c>
      <x:c r="G157" s="342" t="n">
        <x:f>IFERROR(D157/F157,0)</x:f>
        <x:v>0.34274193548387094</x:v>
      </x:c>
      <x:c r="H157" s="343" t="n">
        <x:f>IFERROR(E157/D157,0)</x:f>
        <x:v>10.691764705882353</x:v>
      </x:c>
      <x:c r="I157" s="340" t="str">
        <x:v>1991-2020</x:v>
      </x:c>
      <x:c r="J157" s="338" t="str">
        <x:v>GREEN - official NIWA normal</x:v>
      </x:c>
    </x:row>
    <x:row r="158">
      <x:c r="A158" s="340" t="str">
        <x:v>Masterton</x:v>
      </x:c>
      <x:c r="B158" s="340" t="n">
        <x:v>8</x:v>
      </x:c>
      <x:c r="C158" s="340" t="str">
        <x:v>Aug</x:v>
      </x:c>
      <x:c r="D158" s="341" t="n">
        <x:v>11.8</x:v>
      </x:c>
      <x:c r="E158" s="341" t="n">
        <x:v>81.7</x:v>
      </x:c>
      <x:c r="F158" s="341" t="n">
        <x:v>31</x:v>
      </x:c>
      <x:c r="G158" s="342" t="n">
        <x:f>IFERROR(D158/F158,0)</x:f>
        <x:v>0.3806451612903226</x:v>
      </x:c>
      <x:c r="H158" s="343" t="n">
        <x:f>IFERROR(E158/D158,0)</x:f>
        <x:v>6.923728813559322</x:v>
      </x:c>
      <x:c r="I158" s="340" t="str">
        <x:v>1991-2020</x:v>
      </x:c>
      <x:c r="J158" s="338" t="str">
        <x:v>GREEN - official NIWA normal</x:v>
      </x:c>
    </x:row>
    <x:row r="159">
      <x:c r="A159" s="340" t="str">
        <x:v>Masterton</x:v>
      </x:c>
      <x:c r="B159" s="340" t="n">
        <x:v>9</x:v>
      </x:c>
      <x:c r="C159" s="340" t="str">
        <x:v>Sep</x:v>
      </x:c>
      <x:c r="D159" s="341" t="n">
        <x:v>10.727272727272727</x:v>
      </x:c>
      <x:c r="E159" s="341" t="n">
        <x:v>73.2</x:v>
      </x:c>
      <x:c r="F159" s="341" t="n">
        <x:v>30</x:v>
      </x:c>
      <x:c r="G159" s="342" t="n">
        <x:f>IFERROR(D159/F159,0)</x:f>
        <x:v>0.35757575757575755</x:v>
      </x:c>
      <x:c r="H159" s="343" t="n">
        <x:f>IFERROR(E159/D159,0)</x:f>
        <x:v>6.823728813559323</x:v>
      </x:c>
      <x:c r="I159" s="340" t="str">
        <x:v>1991-2020</x:v>
      </x:c>
      <x:c r="J159" s="338" t="str">
        <x:v>GREEN - official NIWA normal</x:v>
      </x:c>
    </x:row>
    <x:row r="160">
      <x:c r="A160" s="340" t="str">
        <x:v>Masterton</x:v>
      </x:c>
      <x:c r="B160" s="340" t="n">
        <x:v>10</x:v>
      </x:c>
      <x:c r="C160" s="340" t="str">
        <x:v>Oct</x:v>
      </x:c>
      <x:c r="D160" s="341" t="n">
        <x:v>9.166666666666666</x:v>
      </x:c>
      <x:c r="E160" s="341" t="n">
        <x:v>82</x:v>
      </x:c>
      <x:c r="F160" s="341" t="n">
        <x:v>31</x:v>
      </x:c>
      <x:c r="G160" s="342" t="n">
        <x:f>IFERROR(D160/F160,0)</x:f>
        <x:v>0.29569892473118276</x:v>
      </x:c>
      <x:c r="H160" s="343" t="n">
        <x:f>IFERROR(E160/D160,0)</x:f>
        <x:v>8.945454545454545</x:v>
      </x:c>
      <x:c r="I160" s="340" t="str">
        <x:v>1991-2020</x:v>
      </x:c>
      <x:c r="J160" s="338" t="str">
        <x:v>GREEN - official NIWA normal</x:v>
      </x:c>
    </x:row>
    <x:row r="161">
      <x:c r="A161" s="340" t="str">
        <x:v>Masterton</x:v>
      </x:c>
      <x:c r="B161" s="340" t="n">
        <x:v>11</x:v>
      </x:c>
      <x:c r="C161" s="340" t="str">
        <x:v>Nov</x:v>
      </x:c>
      <x:c r="D161" s="341" t="n">
        <x:v>8.454545454545455</x:v>
      </x:c>
      <x:c r="E161" s="341" t="n">
        <x:v>71.9</x:v>
      </x:c>
      <x:c r="F161" s="341" t="n">
        <x:v>30</x:v>
      </x:c>
      <x:c r="G161" s="342" t="n">
        <x:f>IFERROR(D161/F161,0)</x:f>
        <x:v>0.28181818181818186</x:v>
      </x:c>
      <x:c r="H161" s="343" t="n">
        <x:f>IFERROR(E161/D161,0)</x:f>
        <x:v>8.504301075268817</x:v>
      </x:c>
      <x:c r="I161" s="340" t="str">
        <x:v>1991-2020</x:v>
      </x:c>
      <x:c r="J161" s="338" t="str">
        <x:v>GREEN - official NIWA normal</x:v>
      </x:c>
    </x:row>
    <x:row r="162">
      <x:c r="A162" s="340" t="str">
        <x:v>Masterton</x:v>
      </x:c>
      <x:c r="B162" s="340" t="n">
        <x:v>12</x:v>
      </x:c>
      <x:c r="C162" s="340" t="str">
        <x:v>Dec</x:v>
      </x:c>
      <x:c r="D162" s="341" t="n">
        <x:v>6.909090909090909</x:v>
      </x:c>
      <x:c r="E162" s="341" t="n">
        <x:v>60.6</x:v>
      </x:c>
      <x:c r="F162" s="341" t="n">
        <x:v>31</x:v>
      </x:c>
      <x:c r="G162" s="342" t="n">
        <x:f>IFERROR(D162/F162,0)</x:f>
        <x:v>0.22287390029325513</x:v>
      </x:c>
      <x:c r="H162" s="343" t="n">
        <x:f>IFERROR(E162/D162,0)</x:f>
        <x:v>8.771052631578948</x:v>
      </x:c>
      <x:c r="I162" s="340" t="str">
        <x:v>1991-2020</x:v>
      </x:c>
      <x:c r="J162" s="338" t="str">
        <x:v>GREEN - official NIWA normal</x:v>
      </x:c>
    </x:row>
    <x:row r="163">
      <x:c r="A163" s="340" t="str">
        <x:v>Wellington</x:v>
      </x:c>
      <x:c r="B163" s="340" t="n">
        <x:v>1</x:v>
      </x:c>
      <x:c r="C163" s="340" t="str">
        <x:v>Jan</x:v>
      </x:c>
      <x:c r="D163" s="341" t="n">
        <x:v>6.866666666666666</x:v>
      </x:c>
      <x:c r="E163" s="341" t="n">
        <x:v>79.2</x:v>
      </x:c>
      <x:c r="F163" s="341" t="n">
        <x:v>31</x:v>
      </x:c>
      <x:c r="G163" s="342" t="n">
        <x:f>IFERROR(D163/F163,0)</x:f>
        <x:v>0.221505376344086</x:v>
      </x:c>
      <x:c r="H163" s="343" t="n">
        <x:f>IFERROR(E163/D163,0)</x:f>
        <x:v>11.533980582524274</x:v>
      </x:c>
      <x:c r="I163" s="340" t="str">
        <x:v>1991-2020</x:v>
      </x:c>
      <x:c r="J163" s="338" t="str">
        <x:v>GREEN - official NIWA normal</x:v>
      </x:c>
    </x:row>
    <x:row r="164">
      <x:c r="A164" s="340" t="str">
        <x:v>Wellington</x:v>
      </x:c>
      <x:c r="B164" s="340" t="n">
        <x:v>2</x:v>
      </x:c>
      <x:c r="C164" s="340" t="str">
        <x:v>Feb</x:v>
      </x:c>
      <x:c r="D164" s="341" t="n">
        <x:v>6.9375</x:v>
      </x:c>
      <x:c r="E164" s="341" t="n">
        <x:v>55.5</x:v>
      </x:c>
      <x:c r="F164" s="341" t="n">
        <x:v>28.266666666666666</x:v>
      </x:c>
      <x:c r="G164" s="342" t="n">
        <x:f>IFERROR(D164/F164,0)</x:f>
        <x:v>0.24543042452830188</x:v>
      </x:c>
      <x:c r="H164" s="343" t="n">
        <x:f>IFERROR(E164/D164,0)</x:f>
        <x:v>8</x:v>
      </x:c>
      <x:c r="I164" s="340" t="str">
        <x:v>1991-2020</x:v>
      </x:c>
      <x:c r="J164" s="338" t="str">
        <x:v>GREEN - official NIWA normal</x:v>
      </x:c>
    </x:row>
    <x:row r="165">
      <x:c r="A165" s="340" t="str">
        <x:v>Wellington</x:v>
      </x:c>
      <x:c r="B165" s="340" t="n">
        <x:v>3</x:v>
      </x:c>
      <x:c r="C165" s="340" t="str">
        <x:v>Mar</x:v>
      </x:c>
      <x:c r="D165" s="341" t="n">
        <x:v>9.285714285714286</x:v>
      </x:c>
      <x:c r="E165" s="341" t="n">
        <x:v>99.6</x:v>
      </x:c>
      <x:c r="F165" s="341" t="n">
        <x:v>31</x:v>
      </x:c>
      <x:c r="G165" s="342" t="n">
        <x:f>IFERROR(D165/F165,0)</x:f>
        <x:v>0.2995391705069125</x:v>
      </x:c>
      <x:c r="H165" s="343" t="n">
        <x:f>IFERROR(E165/D165,0)</x:f>
        <x:v>10.726153846153844</x:v>
      </x:c>
      <x:c r="I165" s="340" t="str">
        <x:v>1991-2020</x:v>
      </x:c>
      <x:c r="J165" s="338" t="str">
        <x:v>GREEN - official NIWA normal</x:v>
      </x:c>
    </x:row>
    <x:row r="166">
      <x:c r="A166" s="340" t="str">
        <x:v>Wellington</x:v>
      </x:c>
      <x:c r="B166" s="340" t="n">
        <x:v>4</x:v>
      </x:c>
      <x:c r="C166" s="340" t="str">
        <x:v>Apr</x:v>
      </x:c>
      <x:c r="D166" s="341" t="n">
        <x:v>10.266666666666667</x:v>
      </x:c>
      <x:c r="E166" s="341" t="n">
        <x:v>126.7</x:v>
      </x:c>
      <x:c r="F166" s="341" t="n">
        <x:v>30</x:v>
      </x:c>
      <x:c r="G166" s="342" t="n">
        <x:f>IFERROR(D166/F166,0)</x:f>
        <x:v>0.34222222222222226</x:v>
      </x:c>
      <x:c r="H166" s="343" t="n">
        <x:f>IFERROR(E166/D166,0)</x:f>
        <x:v>12.34090909090909</x:v>
      </x:c>
      <x:c r="I166" s="340" t="str">
        <x:v>1991-2020</x:v>
      </x:c>
      <x:c r="J166" s="338" t="str">
        <x:v>GREEN - official NIWA normal</x:v>
      </x:c>
    </x:row>
    <x:row r="167">
      <x:c r="A167" s="340" t="str">
        <x:v>Wellington</x:v>
      </x:c>
      <x:c r="B167" s="340" t="n">
        <x:v>5</x:v>
      </x:c>
      <x:c r="C167" s="340" t="str">
        <x:v>May</x:v>
      </x:c>
      <x:c r="D167" s="341" t="n">
        <x:v>13.294117647058824</x:v>
      </x:c>
      <x:c r="E167" s="341" t="n">
        <x:v>144.9</x:v>
      </x:c>
      <x:c r="F167" s="341" t="n">
        <x:v>31</x:v>
      </x:c>
      <x:c r="G167" s="342" t="n">
        <x:f>IFERROR(D167/F167,0)</x:f>
        <x:v>0.42884250474383306</x:v>
      </x:c>
      <x:c r="H167" s="343" t="n">
        <x:f>IFERROR(E167/D167,0)</x:f>
        <x:v>10.899557522123894</x:v>
      </x:c>
      <x:c r="I167" s="340" t="str">
        <x:v>1991-2020</x:v>
      </x:c>
      <x:c r="J167" s="338" t="str">
        <x:v>GREEN - official NIWA normal</x:v>
      </x:c>
    </x:row>
    <x:row r="168">
      <x:c r="A168" s="340" t="str">
        <x:v>Wellington</x:v>
      </x:c>
      <x:c r="B168" s="340" t="n">
        <x:v>6</x:v>
      </x:c>
      <x:c r="C168" s="340" t="str">
        <x:v>Jun</x:v>
      </x:c>
      <x:c r="D168" s="341" t="n">
        <x:v>13.4375</x:v>
      </x:c>
      <x:c r="E168" s="341" t="n">
        <x:v>123.8</x:v>
      </x:c>
      <x:c r="F168" s="341" t="n">
        <x:v>30</x:v>
      </x:c>
      <x:c r="G168" s="342" t="n">
        <x:f>IFERROR(D168/F168,0)</x:f>
        <x:v>0.4479166666666667</x:v>
      </x:c>
      <x:c r="H168" s="343" t="n">
        <x:f>IFERROR(E168/D168,0)</x:f>
        <x:v>9.213023255813953</x:v>
      </x:c>
      <x:c r="I168" s="340" t="str">
        <x:v>1991-2020</x:v>
      </x:c>
      <x:c r="J168" s="338" t="str">
        <x:v>GREEN - official NIWA normal</x:v>
      </x:c>
    </x:row>
    <x:row r="169">
      <x:c r="A169" s="340" t="str">
        <x:v>Wellington</x:v>
      </x:c>
      <x:c r="B169" s="340" t="n">
        <x:v>7</x:v>
      </x:c>
      <x:c r="C169" s="340" t="str">
        <x:v>Jul</x:v>
      </x:c>
      <x:c r="D169" s="341" t="n">
        <x:v>12.8</x:v>
      </x:c>
      <x:c r="E169" s="341" t="n">
        <x:v>147.1</x:v>
      </x:c>
      <x:c r="F169" s="341" t="n">
        <x:v>31</x:v>
      </x:c>
      <x:c r="G169" s="342" t="n">
        <x:f>IFERROR(D169/F169,0)</x:f>
        <x:v>0.4129032258064516</x:v>
      </x:c>
      <x:c r="H169" s="343" t="n">
        <x:f>IFERROR(E169/D169,0)</x:f>
        <x:v>11.492187499999998</x:v>
      </x:c>
      <x:c r="I169" s="340" t="str">
        <x:v>1991-2020</x:v>
      </x:c>
      <x:c r="J169" s="338" t="str">
        <x:v>GREEN - official NIWA normal</x:v>
      </x:c>
    </x:row>
    <x:row r="170">
      <x:c r="A170" s="340" t="str">
        <x:v>Wellington</x:v>
      </x:c>
      <x:c r="B170" s="340" t="n">
        <x:v>8</x:v>
      </x:c>
      <x:c r="C170" s="340" t="str">
        <x:v>Aug</x:v>
      </x:c>
      <x:c r="D170" s="341" t="n">
        <x:v>12.461538461538462</x:v>
      </x:c>
      <x:c r="E170" s="341" t="n">
        <x:v>139.1</x:v>
      </x:c>
      <x:c r="F170" s="341" t="n">
        <x:v>31</x:v>
      </x:c>
      <x:c r="G170" s="342" t="n">
        <x:f>IFERROR(D170/F170,0)</x:f>
        <x:v>0.40198511166253104</x:v>
      </x:c>
      <x:c r="H170" s="343" t="n">
        <x:f>IFERROR(E170/D170,0)</x:f>
        <x:v>11.162345679012345</x:v>
      </x:c>
      <x:c r="I170" s="340" t="str">
        <x:v>1991-2020</x:v>
      </x:c>
      <x:c r="J170" s="338" t="str">
        <x:v>GREEN - official NIWA normal</x:v>
      </x:c>
    </x:row>
    <x:row r="171">
      <x:c r="A171" s="340" t="str">
        <x:v>Wellington</x:v>
      </x:c>
      <x:c r="B171" s="340" t="n">
        <x:v>9</x:v>
      </x:c>
      <x:c r="C171" s="340" t="str">
        <x:v>Sep</x:v>
      </x:c>
      <x:c r="D171" s="341" t="n">
        <x:v>10.882352941176471</x:v>
      </x:c>
      <x:c r="E171" s="341" t="n">
        <x:v>108</x:v>
      </x:c>
      <x:c r="F171" s="341" t="n">
        <x:v>30</x:v>
      </x:c>
      <x:c r="G171" s="342" t="n">
        <x:f>IFERROR(D171/F171,0)</x:f>
        <x:v>0.3627450980392157</x:v>
      </x:c>
      <x:c r="H171" s="343" t="n">
        <x:f>IFERROR(E171/D171,0)</x:f>
        <x:v>9.924324324324324</x:v>
      </x:c>
      <x:c r="I171" s="340" t="str">
        <x:v>1991-2020</x:v>
      </x:c>
      <x:c r="J171" s="338" t="str">
        <x:v>GREEN - official NIWA normal</x:v>
      </x:c>
    </x:row>
    <x:row r="172">
      <x:c r="A172" s="340" t="str">
        <x:v>Wellington</x:v>
      </x:c>
      <x:c r="B172" s="340" t="n">
        <x:v>10</x:v>
      </x:c>
      <x:c r="C172" s="340" t="str">
        <x:v>Oct</x:v>
      </x:c>
      <x:c r="D172" s="341" t="n">
        <x:v>12.4375</x:v>
      </x:c>
      <x:c r="E172" s="341" t="n">
        <x:v>118.7</x:v>
      </x:c>
      <x:c r="F172" s="341" t="n">
        <x:v>31</x:v>
      </x:c>
      <x:c r="G172" s="342" t="n">
        <x:f>IFERROR(D172/F172,0)</x:f>
        <x:v>0.4012096774193548</x:v>
      </x:c>
      <x:c r="H172" s="343" t="n">
        <x:f>IFERROR(E172/D172,0)</x:f>
        <x:v>9.543718592964824</x:v>
      </x:c>
      <x:c r="I172" s="340" t="str">
        <x:v>1991-2020</x:v>
      </x:c>
      <x:c r="J172" s="338" t="str">
        <x:v>GREEN - official NIWA normal</x:v>
      </x:c>
    </x:row>
    <x:row r="173">
      <x:c r="A173" s="340" t="str">
        <x:v>Wellington</x:v>
      </x:c>
      <x:c r="B173" s="340" t="n">
        <x:v>11</x:v>
      </x:c>
      <x:c r="C173" s="340" t="str">
        <x:v>Nov</x:v>
      </x:c>
      <x:c r="D173" s="341" t="n">
        <x:v>9.529411764705882</x:v>
      </x:c>
      <x:c r="E173" s="341" t="n">
        <x:v>85.4</x:v>
      </x:c>
      <x:c r="F173" s="341" t="n">
        <x:v>30</x:v>
      </x:c>
      <x:c r="G173" s="342" t="n">
        <x:f>IFERROR(D173/F173,0)</x:f>
        <x:v>0.3176470588235294</x:v>
      </x:c>
      <x:c r="H173" s="343" t="n">
        <x:f>IFERROR(E173/D173,0)</x:f>
        <x:v>8.96172839506173</x:v>
      </x:c>
      <x:c r="I173" s="340" t="str">
        <x:v>1991-2020</x:v>
      </x:c>
      <x:c r="J173" s="338" t="str">
        <x:v>GREEN - official NIWA normal</x:v>
      </x:c>
    </x:row>
    <x:row r="174">
      <x:c r="A174" s="340" t="str">
        <x:v>Wellington</x:v>
      </x:c>
      <x:c r="B174" s="340" t="n">
        <x:v>12</x:v>
      </x:c>
      <x:c r="C174" s="340" t="str">
        <x:v>Dec</x:v>
      </x:c>
      <x:c r="D174" s="341" t="n">
        <x:v>10</x:v>
      </x:c>
      <x:c r="E174" s="341" t="n">
        <x:v>91.1</x:v>
      </x:c>
      <x:c r="F174" s="341" t="n">
        <x:v>31</x:v>
      </x:c>
      <x:c r="G174" s="342" t="n">
        <x:f>IFERROR(D174/F174,0)</x:f>
        <x:v>0.3225806451612903</x:v>
      </x:c>
      <x:c r="H174" s="343" t="n">
        <x:f>IFERROR(E174/D174,0)</x:f>
        <x:v>9.11</x:v>
      </x:c>
      <x:c r="I174" s="340" t="str">
        <x:v>1991-2020</x:v>
      </x:c>
      <x:c r="J174" s="338" t="str">
        <x:v>GREEN - official NIWA normal</x:v>
      </x:c>
    </x:row>
    <x:row r="175">
      <x:c r="A175" s="340" t="str">
        <x:v>Nelson</x:v>
      </x:c>
      <x:c r="B175" s="340" t="n">
        <x:v>1</x:v>
      </x:c>
      <x:c r="C175" s="340" t="str">
        <x:v>Jan</x:v>
      </x:c>
      <x:c r="D175" s="341" t="n">
        <x:v>6.827586206896552</x:v>
      </x:c>
      <x:c r="E175" s="341" t="n">
        <x:v>73.2</x:v>
      </x:c>
      <x:c r="F175" s="341" t="n">
        <x:v>31</x:v>
      </x:c>
      <x:c r="G175" s="342" t="n">
        <x:f>IFERROR(D175/F175,0)</x:f>
        <x:v>0.22024471635150167</x:v>
      </x:c>
      <x:c r="H175" s="343" t="n">
        <x:f>IFERROR(E175/D175,0)</x:f>
        <x:v>10.721212121212123</x:v>
      </x:c>
      <x:c r="I175" s="340" t="str">
        <x:v>1991-2020</x:v>
      </x:c>
      <x:c r="J175" s="338" t="str">
        <x:v>GREEN - official NIWA normal</x:v>
      </x:c>
    </x:row>
    <x:row r="176">
      <x:c r="A176" s="340" t="str">
        <x:v>Nelson</x:v>
      </x:c>
      <x:c r="B176" s="340" t="n">
        <x:v>2</x:v>
      </x:c>
      <x:c r="C176" s="340" t="str">
        <x:v>Feb</x:v>
      </x:c>
      <x:c r="D176" s="341" t="n">
        <x:v>5.333333333333333</x:v>
      </x:c>
      <x:c r="E176" s="341" t="n">
        <x:v>62.8</x:v>
      </x:c>
      <x:c r="F176" s="341" t="n">
        <x:v>28.266666666666666</x:v>
      </x:c>
      <x:c r="G176" s="342" t="n">
        <x:f>IFERROR(D176/F176,0)</x:f>
        <x:v>0.18867924528301885</x:v>
      </x:c>
      <x:c r="H176" s="343" t="n">
        <x:f>IFERROR(E176/D176,0)</x:f>
        <x:v>11.775</x:v>
      </x:c>
      <x:c r="I176" s="340" t="str">
        <x:v>1991-2020</x:v>
      </x:c>
      <x:c r="J176" s="338" t="str">
        <x:v>GREEN - official NIWA normal</x:v>
      </x:c>
    </x:row>
    <x:row r="177">
      <x:c r="A177" s="340" t="str">
        <x:v>Nelson</x:v>
      </x:c>
      <x:c r="B177" s="340" t="n">
        <x:v>3</x:v>
      </x:c>
      <x:c r="C177" s="340" t="str">
        <x:v>Mar</x:v>
      </x:c>
      <x:c r="D177" s="341" t="n">
        <x:v>6.066666666666666</x:v>
      </x:c>
      <x:c r="E177" s="341" t="n">
        <x:v>71.1</x:v>
      </x:c>
      <x:c r="F177" s="341" t="n">
        <x:v>31</x:v>
      </x:c>
      <x:c r="G177" s="342" t="n">
        <x:f>IFERROR(D177/F177,0)</x:f>
        <x:v>0.19569892473118278</x:v>
      </x:c>
      <x:c r="H177" s="343" t="n">
        <x:f>IFERROR(E177/D177,0)</x:f>
        <x:v>11.719780219780219</x:v>
      </x:c>
      <x:c r="I177" s="340" t="str">
        <x:v>1991-2020</x:v>
      </x:c>
      <x:c r="J177" s="338" t="str">
        <x:v>GREEN - official NIWA normal</x:v>
      </x:c>
    </x:row>
    <x:row r="178">
      <x:c r="A178" s="340" t="str">
        <x:v>Nelson</x:v>
      </x:c>
      <x:c r="B178" s="340" t="n">
        <x:v>4</x:v>
      </x:c>
      <x:c r="C178" s="340" t="str">
        <x:v>Apr</x:v>
      </x:c>
      <x:c r="D178" s="341" t="n">
        <x:v>7.3</x:v>
      </x:c>
      <x:c r="E178" s="341" t="n">
        <x:v>84.9</x:v>
      </x:c>
      <x:c r="F178" s="341" t="n">
        <x:v>30</x:v>
      </x:c>
      <x:c r="G178" s="342" t="n">
        <x:f>IFERROR(D178/F178,0)</x:f>
        <x:v>0.24333333333333332</x:v>
      </x:c>
      <x:c r="H178" s="343" t="n">
        <x:f>IFERROR(E178/D178,0)</x:f>
        <x:v>11.630136986301371</x:v>
      </x:c>
      <x:c r="I178" s="340" t="str">
        <x:v>1991-2020</x:v>
      </x:c>
      <x:c r="J178" s="338" t="str">
        <x:v>GREEN - official NIWA normal</x:v>
      </x:c>
    </x:row>
    <x:row r="179">
      <x:c r="A179" s="340" t="str">
        <x:v>Nelson</x:v>
      </x:c>
      <x:c r="B179" s="340" t="n">
        <x:v>5</x:v>
      </x:c>
      <x:c r="C179" s="340" t="str">
        <x:v>May</x:v>
      </x:c>
      <x:c r="D179" s="341" t="n">
        <x:v>7.433333333333334</x:v>
      </x:c>
      <x:c r="E179" s="341" t="n">
        <x:v>87.7</x:v>
      </x:c>
      <x:c r="F179" s="341" t="n">
        <x:v>31</x:v>
      </x:c>
      <x:c r="G179" s="342" t="n">
        <x:f>IFERROR(D179/F179,0)</x:f>
        <x:v>0.23978494623655916</x:v>
      </x:c>
      <x:c r="H179" s="343" t="n">
        <x:f>IFERROR(E179/D179,0)</x:f>
        <x:v>11.798206278026905</x:v>
      </x:c>
      <x:c r="I179" s="340" t="str">
        <x:v>1991-2020</x:v>
      </x:c>
      <x:c r="J179" s="338" t="str">
        <x:v>GREEN - official NIWA normal</x:v>
      </x:c>
    </x:row>
    <x:row r="180">
      <x:c r="A180" s="340" t="str">
        <x:v>Nelson</x:v>
      </x:c>
      <x:c r="B180" s="340" t="n">
        <x:v>6</x:v>
      </x:c>
      <x:c r="C180" s="340" t="str">
        <x:v>Jun</x:v>
      </x:c>
      <x:c r="D180" s="341" t="n">
        <x:v>8.655172413793103</x:v>
      </x:c>
      <x:c r="E180" s="341" t="n">
        <x:v>99.5</x:v>
      </x:c>
      <x:c r="F180" s="341" t="n">
        <x:v>30</x:v>
      </x:c>
      <x:c r="G180" s="342" t="n">
        <x:f>IFERROR(D180/F180,0)</x:f>
        <x:v>0.2885057471264368</x:v>
      </x:c>
      <x:c r="H180" s="343" t="n">
        <x:f>IFERROR(E180/D180,0)</x:f>
        <x:v>11.496015936254981</x:v>
      </x:c>
      <x:c r="I180" s="340" t="str">
        <x:v>1991-2020</x:v>
      </x:c>
      <x:c r="J180" s="338" t="str">
        <x:v>GREEN - official NIWA normal</x:v>
      </x:c>
    </x:row>
    <x:row r="181">
      <x:c r="A181" s="340" t="str">
        <x:v>Nelson</x:v>
      </x:c>
      <x:c r="B181" s="340" t="n">
        <x:v>7</x:v>
      </x:c>
      <x:c r="C181" s="340" t="str">
        <x:v>Jul</x:v>
      </x:c>
      <x:c r="D181" s="341" t="n">
        <x:v>7.733333333333333</x:v>
      </x:c>
      <x:c r="E181" s="341" t="n">
        <x:v>78.6</x:v>
      </x:c>
      <x:c r="F181" s="341" t="n">
        <x:v>31</x:v>
      </x:c>
      <x:c r="G181" s="342" t="n">
        <x:f>IFERROR(D181/F181,0)</x:f>
        <x:v>0.24946236559139784</x:v>
      </x:c>
      <x:c r="H181" s="343" t="n">
        <x:f>IFERROR(E181/D181,0)</x:f>
        <x:v>10.163793103448276</x:v>
      </x:c>
      <x:c r="I181" s="340" t="str">
        <x:v>1991-2020</x:v>
      </x:c>
      <x:c r="J181" s="338" t="str">
        <x:v>GREEN - official NIWA normal</x:v>
      </x:c>
    </x:row>
    <x:row r="182">
      <x:c r="A182" s="340" t="str">
        <x:v>Nelson</x:v>
      </x:c>
      <x:c r="B182" s="340" t="n">
        <x:v>8</x:v>
      </x:c>
      <x:c r="C182" s="340" t="str">
        <x:v>Aug</x:v>
      </x:c>
      <x:c r="D182" s="341" t="n">
        <x:v>9.2</x:v>
      </x:c>
      <x:c r="E182" s="341" t="n">
        <x:v>83.8</x:v>
      </x:c>
      <x:c r="F182" s="341" t="n">
        <x:v>31</x:v>
      </x:c>
      <x:c r="G182" s="342" t="n">
        <x:f>IFERROR(D182/F182,0)</x:f>
        <x:v>0.2967741935483871</x:v>
      </x:c>
      <x:c r="H182" s="343" t="n">
        <x:f>IFERROR(E182/D182,0)</x:f>
        <x:v>9.108695652173914</x:v>
      </x:c>
      <x:c r="I182" s="340" t="str">
        <x:v>1991-2020</x:v>
      </x:c>
      <x:c r="J182" s="338" t="str">
        <x:v>GREEN - official NIWA normal</x:v>
      </x:c>
    </x:row>
    <x:row r="183">
      <x:c r="A183" s="340" t="str">
        <x:v>Nelson</x:v>
      </x:c>
      <x:c r="B183" s="340" t="n">
        <x:v>9</x:v>
      </x:c>
      <x:c r="C183" s="340" t="str">
        <x:v>Sep</x:v>
      </x:c>
      <x:c r="D183" s="341" t="n">
        <x:v>9.833333333333334</x:v>
      </x:c>
      <x:c r="E183" s="341" t="n">
        <x:v>84.6</x:v>
      </x:c>
      <x:c r="F183" s="341" t="n">
        <x:v>30</x:v>
      </x:c>
      <x:c r="G183" s="342" t="n">
        <x:f>IFERROR(D183/F183,0)</x:f>
        <x:v>0.3277777777777778</x:v>
      </x:c>
      <x:c r="H183" s="343" t="n">
        <x:f>IFERROR(E183/D183,0)</x:f>
        <x:v>8.603389830508473</x:v>
      </x:c>
      <x:c r="I183" s="340" t="str">
        <x:v>1991-2020</x:v>
      </x:c>
      <x:c r="J183" s="338" t="str">
        <x:v>GREEN - official NIWA normal</x:v>
      </x:c>
    </x:row>
    <x:row r="184">
      <x:c r="A184" s="340" t="str">
        <x:v>Nelson</x:v>
      </x:c>
      <x:c r="B184" s="340" t="n">
        <x:v>10</x:v>
      </x:c>
      <x:c r="C184" s="340" t="str">
        <x:v>Oct</x:v>
      </x:c>
      <x:c r="D184" s="341" t="n">
        <x:v>8.9</x:v>
      </x:c>
      <x:c r="E184" s="341" t="n">
        <x:v>89</x:v>
      </x:c>
      <x:c r="F184" s="341" t="n">
        <x:v>31</x:v>
      </x:c>
      <x:c r="G184" s="342" t="n">
        <x:f>IFERROR(D184/F184,0)</x:f>
        <x:v>0.2870967741935484</x:v>
      </x:c>
      <x:c r="H184" s="343" t="n">
        <x:f>IFERROR(E184/D184,0)</x:f>
        <x:v>10</x:v>
      </x:c>
      <x:c r="I184" s="340" t="str">
        <x:v>1991-2020</x:v>
      </x:c>
      <x:c r="J184" s="338" t="str">
        <x:v>GREEN - official NIWA normal</x:v>
      </x:c>
    </x:row>
    <x:row r="185">
      <x:c r="A185" s="340" t="str">
        <x:v>Nelson</x:v>
      </x:c>
      <x:c r="B185" s="340" t="n">
        <x:v>11</x:v>
      </x:c>
      <x:c r="C185" s="340" t="str">
        <x:v>Nov</x:v>
      </x:c>
      <x:c r="D185" s="341" t="n">
        <x:v>7.5</x:v>
      </x:c>
      <x:c r="E185" s="341" t="n">
        <x:v>67.9</x:v>
      </x:c>
      <x:c r="F185" s="341" t="n">
        <x:v>30</x:v>
      </x:c>
      <x:c r="G185" s="342" t="n">
        <x:f>IFERROR(D185/F185,0)</x:f>
        <x:v>0.25</x:v>
      </x:c>
      <x:c r="H185" s="343" t="n">
        <x:f>IFERROR(E185/D185,0)</x:f>
        <x:v>9.053333333333335</x:v>
      </x:c>
      <x:c r="I185" s="340" t="str">
        <x:v>1991-2020</x:v>
      </x:c>
      <x:c r="J185" s="338" t="str">
        <x:v>GREEN - official NIWA normal</x:v>
      </x:c>
    </x:row>
    <x:row r="186">
      <x:c r="A186" s="340" t="str">
        <x:v>Nelson</x:v>
      </x:c>
      <x:c r="B186" s="340" t="n">
        <x:v>12</x:v>
      </x:c>
      <x:c r="C186" s="340" t="str">
        <x:v>Dec</x:v>
      </x:c>
      <x:c r="D186" s="341" t="n">
        <x:v>8.633333333333333</x:v>
      </x:c>
      <x:c r="E186" s="341" t="n">
        <x:v>93</x:v>
      </x:c>
      <x:c r="F186" s="341" t="n">
        <x:v>31</x:v>
      </x:c>
      <x:c r="G186" s="342" t="n">
        <x:f>IFERROR(D186/F186,0)</x:f>
        <x:v>0.278494623655914</x:v>
      </x:c>
      <x:c r="H186" s="343" t="n">
        <x:f>IFERROR(E186/D186,0)</x:f>
        <x:v>10.772200772200772</x:v>
      </x:c>
      <x:c r="I186" s="340" t="str">
        <x:v>1991-2020</x:v>
      </x:c>
      <x:c r="J186" s="338" t="str">
        <x:v>GREEN - official NIWA normal</x:v>
      </x:c>
    </x:row>
    <x:row r="187">
      <x:c r="A187" s="340" t="str">
        <x:v>Blenheim</x:v>
      </x:c>
      <x:c r="B187" s="340" t="n">
        <x:v>1</x:v>
      </x:c>
      <x:c r="C187" s="340" t="str">
        <x:v>Jan</x:v>
      </x:c>
      <x:c r="D187" s="341" t="n">
        <x:v>4.791666666666667</x:v>
      </x:c>
      <x:c r="E187" s="341" t="n">
        <x:v>43</x:v>
      </x:c>
      <x:c r="F187" s="341" t="n">
        <x:v>31</x:v>
      </x:c>
      <x:c r="G187" s="342" t="n">
        <x:f>IFERROR(D187/F187,0)</x:f>
        <x:v>0.15456989247311828</x:v>
      </x:c>
      <x:c r="H187" s="343" t="n">
        <x:f>IFERROR(E187/D187,0)</x:f>
        <x:v>8.97391304347826</x:v>
      </x:c>
      <x:c r="I187" s="340" t="str">
        <x:v>1991-2020</x:v>
      </x:c>
      <x:c r="J187" s="338" t="str">
        <x:v>GREEN - official NIWA normal</x:v>
      </x:c>
    </x:row>
    <x:row r="188">
      <x:c r="A188" s="340" t="str">
        <x:v>Blenheim</x:v>
      </x:c>
      <x:c r="B188" s="340" t="n">
        <x:v>2</x:v>
      </x:c>
      <x:c r="C188" s="340" t="str">
        <x:v>Feb</x:v>
      </x:c>
      <x:c r="D188" s="341" t="n">
        <x:v>4.166666666666667</x:v>
      </x:c>
      <x:c r="E188" s="341" t="n">
        <x:v>44.6</x:v>
      </x:c>
      <x:c r="F188" s="341" t="n">
        <x:v>28.266666666666666</x:v>
      </x:c>
      <x:c r="G188" s="342" t="n">
        <x:f>IFERROR(D188/F188,0)</x:f>
        <x:v>0.1474056603773585</x:v>
      </x:c>
      <x:c r="H188" s="343" t="n">
        <x:f>IFERROR(E188/D188,0)</x:f>
        <x:v>10.703999999999999</x:v>
      </x:c>
      <x:c r="I188" s="340" t="str">
        <x:v>1991-2020</x:v>
      </x:c>
      <x:c r="J188" s="338" t="str">
        <x:v>GREEN - official NIWA normal</x:v>
      </x:c>
    </x:row>
    <x:row r="189">
      <x:c r="A189" s="340" t="str">
        <x:v>Blenheim</x:v>
      </x:c>
      <x:c r="B189" s="340" t="n">
        <x:v>3</x:v>
      </x:c>
      <x:c r="C189" s="340" t="str">
        <x:v>Mar</x:v>
      </x:c>
      <x:c r="D189" s="341" t="n">
        <x:v>4.666666666666667</x:v>
      </x:c>
      <x:c r="E189" s="341" t="n">
        <x:v>39.4</x:v>
      </x:c>
      <x:c r="F189" s="341" t="n">
        <x:v>31</x:v>
      </x:c>
      <x:c r="G189" s="342" t="n">
        <x:f>IFERROR(D189/F189,0)</x:f>
        <x:v>0.15053763440860216</x:v>
      </x:c>
      <x:c r="H189" s="343" t="n">
        <x:f>IFERROR(E189/D189,0)</x:f>
        <x:v>8.442857142857141</x:v>
      </x:c>
      <x:c r="I189" s="340" t="str">
        <x:v>1991-2020</x:v>
      </x:c>
      <x:c r="J189" s="338" t="str">
        <x:v>GREEN - official NIWA normal</x:v>
      </x:c>
    </x:row>
    <x:row r="190">
      <x:c r="A190" s="340" t="str">
        <x:v>Blenheim</x:v>
      </x:c>
      <x:c r="B190" s="340" t="n">
        <x:v>4</x:v>
      </x:c>
      <x:c r="C190" s="340" t="str">
        <x:v>Apr</x:v>
      </x:c>
      <x:c r="D190" s="341" t="n">
        <x:v>5.75</x:v>
      </x:c>
      <x:c r="E190" s="341" t="n">
        <x:v>53.8</x:v>
      </x:c>
      <x:c r="F190" s="341" t="n">
        <x:v>30</x:v>
      </x:c>
      <x:c r="G190" s="342" t="n">
        <x:f>IFERROR(D190/F190,0)</x:f>
        <x:v>0.19166666666666668</x:v>
      </x:c>
      <x:c r="H190" s="343" t="n">
        <x:f>IFERROR(E190/D190,0)</x:f>
        <x:v>9.356521739130434</x:v>
      </x:c>
      <x:c r="I190" s="340" t="str">
        <x:v>1991-2020</x:v>
      </x:c>
      <x:c r="J190" s="338" t="str">
        <x:v>GREEN - official NIWA normal</x:v>
      </x:c>
    </x:row>
    <x:row r="191">
      <x:c r="A191" s="340" t="str">
        <x:v>Blenheim</x:v>
      </x:c>
      <x:c r="B191" s="340" t="n">
        <x:v>5</x:v>
      </x:c>
      <x:c r="C191" s="340" t="str">
        <x:v>May</x:v>
      </x:c>
      <x:c r="D191" s="341" t="n">
        <x:v>7</x:v>
      </x:c>
      <x:c r="E191" s="341" t="n">
        <x:v>56.9</x:v>
      </x:c>
      <x:c r="F191" s="341" t="n">
        <x:v>31</x:v>
      </x:c>
      <x:c r="G191" s="342" t="n">
        <x:f>IFERROR(D191/F191,0)</x:f>
        <x:v>0.22580645161290322</x:v>
      </x:c>
      <x:c r="H191" s="343" t="n">
        <x:f>IFERROR(E191/D191,0)</x:f>
        <x:v>8.128571428571428</x:v>
      </x:c>
      <x:c r="I191" s="340" t="str">
        <x:v>1991-2020</x:v>
      </x:c>
      <x:c r="J191" s="338" t="str">
        <x:v>GREEN - official NIWA normal</x:v>
      </x:c>
    </x:row>
    <x:row r="192">
      <x:c r="A192" s="340" t="str">
        <x:v>Blenheim</x:v>
      </x:c>
      <x:c r="B192" s="340" t="n">
        <x:v>6</x:v>
      </x:c>
      <x:c r="C192" s="340" t="str">
        <x:v>Jun</x:v>
      </x:c>
      <x:c r="D192" s="341" t="n">
        <x:v>7.6</x:v>
      </x:c>
      <x:c r="E192" s="341" t="n">
        <x:v>68.6</x:v>
      </x:c>
      <x:c r="F192" s="341" t="n">
        <x:v>30</x:v>
      </x:c>
      <x:c r="G192" s="342" t="n">
        <x:f>IFERROR(D192/F192,0)</x:f>
        <x:v>0.2533333333333333</x:v>
      </x:c>
      <x:c r="H192" s="343" t="n">
        <x:f>IFERROR(E192/D192,0)</x:f>
        <x:v>9.026315789473683</x:v>
      </x:c>
      <x:c r="I192" s="340" t="str">
        <x:v>1991-2020</x:v>
      </x:c>
      <x:c r="J192" s="338" t="str">
        <x:v>GREEN - official NIWA normal</x:v>
      </x:c>
    </x:row>
    <x:row r="193">
      <x:c r="A193" s="340" t="str">
        <x:v>Blenheim</x:v>
      </x:c>
      <x:c r="B193" s="340" t="n">
        <x:v>7</x:v>
      </x:c>
      <x:c r="C193" s="340" t="str">
        <x:v>Jul</x:v>
      </x:c>
      <x:c r="D193" s="341" t="n">
        <x:v>7.2</x:v>
      </x:c>
      <x:c r="E193" s="341" t="n">
        <x:v>64.2</x:v>
      </x:c>
      <x:c r="F193" s="341" t="n">
        <x:v>31</x:v>
      </x:c>
      <x:c r="G193" s="342" t="n">
        <x:f>IFERROR(D193/F193,0)</x:f>
        <x:v>0.23225806451612904</x:v>
      </x:c>
      <x:c r="H193" s="343" t="n">
        <x:f>IFERROR(E193/D193,0)</x:f>
        <x:v>8.916666666666666</x:v>
      </x:c>
      <x:c r="I193" s="340" t="str">
        <x:v>1991-2020</x:v>
      </x:c>
      <x:c r="J193" s="338" t="str">
        <x:v>GREEN - official NIWA normal</x:v>
      </x:c>
    </x:row>
    <x:row r="194">
      <x:c r="A194" s="340" t="str">
        <x:v>Blenheim</x:v>
      </x:c>
      <x:c r="B194" s="340" t="n">
        <x:v>8</x:v>
      </x:c>
      <x:c r="C194" s="340" t="str">
        <x:v>Aug</x:v>
      </x:c>
      <x:c r="D194" s="341" t="n">
        <x:v>7.6</x:v>
      </x:c>
      <x:c r="E194" s="341" t="n">
        <x:v>57.9</x:v>
      </x:c>
      <x:c r="F194" s="341" t="n">
        <x:v>31</x:v>
      </x:c>
      <x:c r="G194" s="342" t="n">
        <x:f>IFERROR(D194/F194,0)</x:f>
        <x:v>0.24516129032258063</x:v>
      </x:c>
      <x:c r="H194" s="343" t="n">
        <x:f>IFERROR(E194/D194,0)</x:f>
        <x:v>7.618421052631579</x:v>
      </x:c>
      <x:c r="I194" s="340" t="str">
        <x:v>1991-2020</x:v>
      </x:c>
      <x:c r="J194" s="338" t="str">
        <x:v>GREEN - official NIWA normal</x:v>
      </x:c>
    </x:row>
    <x:row r="195">
      <x:c r="A195" s="340" t="str">
        <x:v>Blenheim</x:v>
      </x:c>
      <x:c r="B195" s="340" t="n">
        <x:v>9</x:v>
      </x:c>
      <x:c r="C195" s="340" t="str">
        <x:v>Sep</x:v>
      </x:c>
      <x:c r="D195" s="341" t="n">
        <x:v>7.44</x:v>
      </x:c>
      <x:c r="E195" s="341" t="n">
        <x:v>54.4</x:v>
      </x:c>
      <x:c r="F195" s="341" t="n">
        <x:v>30</x:v>
      </x:c>
      <x:c r="G195" s="342" t="n">
        <x:f>IFERROR(D195/F195,0)</x:f>
        <x:v>0.24800000000000003</x:v>
      </x:c>
      <x:c r="H195" s="343" t="n">
        <x:f>IFERROR(E195/D195,0)</x:f>
        <x:v>7.311827956989247</x:v>
      </x:c>
      <x:c r="I195" s="340" t="str">
        <x:v>1991-2020</x:v>
      </x:c>
      <x:c r="J195" s="338" t="str">
        <x:v>GREEN - official NIWA normal</x:v>
      </x:c>
    </x:row>
    <x:row r="196">
      <x:c r="A196" s="340" t="str">
        <x:v>Blenheim</x:v>
      </x:c>
      <x:c r="B196" s="340" t="n">
        <x:v>10</x:v>
      </x:c>
      <x:c r="C196" s="340" t="str">
        <x:v>Oct</x:v>
      </x:c>
      <x:c r="D196" s="341" t="n">
        <x:v>7.24</x:v>
      </x:c>
      <x:c r="E196" s="341" t="n">
        <x:v>57.2</x:v>
      </x:c>
      <x:c r="F196" s="341" t="n">
        <x:v>31</x:v>
      </x:c>
      <x:c r="G196" s="342" t="n">
        <x:f>IFERROR(D196/F196,0)</x:f>
        <x:v>0.2335483870967742</x:v>
      </x:c>
      <x:c r="H196" s="343" t="n">
        <x:f>IFERROR(E196/D196,0)</x:f>
        <x:v>7.900552486187846</x:v>
      </x:c>
      <x:c r="I196" s="340" t="str">
        <x:v>1991-2020</x:v>
      </x:c>
      <x:c r="J196" s="338" t="str">
        <x:v>GREEN - official NIWA normal</x:v>
      </x:c>
    </x:row>
    <x:row r="197">
      <x:c r="A197" s="340" t="str">
        <x:v>Blenheim</x:v>
      </x:c>
      <x:c r="B197" s="340" t="n">
        <x:v>11</x:v>
      </x:c>
      <x:c r="C197" s="340" t="str">
        <x:v>Nov</x:v>
      </x:c>
      <x:c r="D197" s="341" t="n">
        <x:v>6.28</x:v>
      </x:c>
      <x:c r="E197" s="341" t="n">
        <x:v>49.1</x:v>
      </x:c>
      <x:c r="F197" s="341" t="n">
        <x:v>30</x:v>
      </x:c>
      <x:c r="G197" s="342" t="n">
        <x:f>IFERROR(D197/F197,0)</x:f>
        <x:v>0.20933333333333334</x:v>
      </x:c>
      <x:c r="H197" s="343" t="n">
        <x:f>IFERROR(E197/D197,0)</x:f>
        <x:v>7.818471337579617</x:v>
      </x:c>
      <x:c r="I197" s="340" t="str">
        <x:v>1991-2020</x:v>
      </x:c>
      <x:c r="J197" s="338" t="str">
        <x:v>GREEN - official NIWA normal</x:v>
      </x:c>
    </x:row>
    <x:row r="198">
      <x:c r="A198" s="340" t="str">
        <x:v>Blenheim</x:v>
      </x:c>
      <x:c r="B198" s="340" t="n">
        <x:v>12</x:v>
      </x:c>
      <x:c r="C198" s="340" t="str">
        <x:v>Dec</x:v>
      </x:c>
      <x:c r="D198" s="341" t="n">
        <x:v>6.12</x:v>
      </x:c>
      <x:c r="E198" s="341" t="n">
        <x:v>49.7</x:v>
      </x:c>
      <x:c r="F198" s="341" t="n">
        <x:v>31</x:v>
      </x:c>
      <x:c r="G198" s="342" t="n">
        <x:f>IFERROR(D198/F198,0)</x:f>
        <x:v>0.19741935483870968</x:v>
      </x:c>
      <x:c r="H198" s="343" t="n">
        <x:f>IFERROR(E198/D198,0)</x:f>
        <x:v>8.120915032679738</x:v>
      </x:c>
      <x:c r="I198" s="340" t="str">
        <x:v>1991-2020</x:v>
      </x:c>
      <x:c r="J198" s="338" t="str">
        <x:v>GREEN - official NIWA normal</x:v>
      </x:c>
    </x:row>
    <x:row r="199">
      <x:c r="A199" s="340" t="str">
        <x:v>Westport</x:v>
      </x:c>
      <x:c r="B199" s="340" t="n">
        <x:v>1</x:v>
      </x:c>
      <x:c r="C199" s="340" t="str">
        <x:v>Jan</x:v>
      </x:c>
      <x:c r="D199" s="341" t="n">
        <x:v>11.962962962962964</x:v>
      </x:c>
      <x:c r="E199" s="341" t="n">
        <x:v>163.4</x:v>
      </x:c>
      <x:c r="F199" s="341" t="n">
        <x:v>31</x:v>
      </x:c>
      <x:c r="G199" s="342" t="n">
        <x:f>IFERROR(D199/F199,0)</x:f>
        <x:v>0.3859020310633214</x:v>
      </x:c>
      <x:c r="H199" s="343" t="n">
        <x:f>IFERROR(E199/D199,0)</x:f>
        <x:v>13.658823529411764</x:v>
      </x:c>
      <x:c r="I199" s="340" t="str">
        <x:v>1991-2020</x:v>
      </x:c>
      <x:c r="J199" s="338" t="str">
        <x:v>GREEN - official NIWA normal</x:v>
      </x:c>
    </x:row>
    <x:row r="200">
      <x:c r="A200" s="340" t="str">
        <x:v>Westport</x:v>
      </x:c>
      <x:c r="B200" s="340" t="n">
        <x:v>2</x:v>
      </x:c>
      <x:c r="C200" s="340" t="str">
        <x:v>Feb</x:v>
      </x:c>
      <x:c r="D200" s="341" t="n">
        <x:v>10.413793103448276</x:v>
      </x:c>
      <x:c r="E200" s="341" t="n">
        <x:v>121.4</x:v>
      </x:c>
      <x:c r="F200" s="341" t="n">
        <x:v>28.266666666666666</x:v>
      </x:c>
      <x:c r="G200" s="342" t="n">
        <x:f>IFERROR(D200/F200,0)</x:f>
        <x:v>0.36841249186727393</x:v>
      </x:c>
      <x:c r="H200" s="343" t="n">
        <x:f>IFERROR(E200/D200,0)</x:f>
        <x:v>11.657615894039736</x:v>
      </x:c>
      <x:c r="I200" s="340" t="str">
        <x:v>1991-2020</x:v>
      </x:c>
      <x:c r="J200" s="338" t="str">
        <x:v>GREEN - official NIWA normal</x:v>
      </x:c>
    </x:row>
    <x:row r="201">
      <x:c r="A201" s="340" t="str">
        <x:v>Westport</x:v>
      </x:c>
      <x:c r="B201" s="340" t="n">
        <x:v>3</x:v>
      </x:c>
      <x:c r="C201" s="340" t="str">
        <x:v>Mar</x:v>
      </x:c>
      <x:c r="D201" s="341" t="n">
        <x:v>11.642857142857142</x:v>
      </x:c>
      <x:c r="E201" s="341" t="n">
        <x:v>143.1</x:v>
      </x:c>
      <x:c r="F201" s="341" t="n">
        <x:v>31</x:v>
      </x:c>
      <x:c r="G201" s="342" t="n">
        <x:f>IFERROR(D201/F201,0)</x:f>
        <x:v>0.37557603686635943</x:v>
      </x:c>
      <x:c r="H201" s="343" t="n">
        <x:f>IFERROR(E201/D201,0)</x:f>
        <x:v>12.29079754601227</x:v>
      </x:c>
      <x:c r="I201" s="340" t="str">
        <x:v>1991-2020</x:v>
      </x:c>
      <x:c r="J201" s="338" t="str">
        <x:v>GREEN - official NIWA normal</x:v>
      </x:c>
    </x:row>
    <x:row r="202">
      <x:c r="A202" s="340" t="str">
        <x:v>Westport</x:v>
      </x:c>
      <x:c r="B202" s="340" t="n">
        <x:v>4</x:v>
      </x:c>
      <x:c r="C202" s="340" t="str">
        <x:v>Apr</x:v>
      </x:c>
      <x:c r="D202" s="341" t="n">
        <x:v>12.333333333333334</x:v>
      </x:c>
      <x:c r="E202" s="341" t="n">
        <x:v>163.8</x:v>
      </x:c>
      <x:c r="F202" s="341" t="n">
        <x:v>30</x:v>
      </x:c>
      <x:c r="G202" s="342" t="n">
        <x:f>IFERROR(D202/F202,0)</x:f>
        <x:v>0.41111111111111115</x:v>
      </x:c>
      <x:c r="H202" s="343" t="n">
        <x:f>IFERROR(E202/D202,0)</x:f>
        <x:v>13.281081081081082</x:v>
      </x:c>
      <x:c r="I202" s="340" t="str">
        <x:v>1991-2020</x:v>
      </x:c>
      <x:c r="J202" s="338" t="str">
        <x:v>GREEN - official NIWA normal</x:v>
      </x:c>
    </x:row>
    <x:row r="203">
      <x:c r="A203" s="340" t="str">
        <x:v>Westport</x:v>
      </x:c>
      <x:c r="B203" s="340" t="n">
        <x:v>5</x:v>
      </x:c>
      <x:c r="C203" s="340" t="str">
        <x:v>May</x:v>
      </x:c>
      <x:c r="D203" s="341" t="n">
        <x:v>15.321428571428571</x:v>
      </x:c>
      <x:c r="E203" s="341" t="n">
        <x:v>186.5</x:v>
      </x:c>
      <x:c r="F203" s="341" t="n">
        <x:v>31</x:v>
      </x:c>
      <x:c r="G203" s="342" t="n">
        <x:f>IFERROR(D203/F203,0)</x:f>
        <x:v>0.4942396313364055</x:v>
      </x:c>
      <x:c r="H203" s="343" t="n">
        <x:f>IFERROR(E203/D203,0)</x:f>
        <x:v>12.172494172494172</x:v>
      </x:c>
      <x:c r="I203" s="340" t="str">
        <x:v>1991-2020</x:v>
      </x:c>
      <x:c r="J203" s="338" t="str">
        <x:v>GREEN - official NIWA normal</x:v>
      </x:c>
    </x:row>
    <x:row r="204">
      <x:c r="A204" s="340" t="str">
        <x:v>Westport</x:v>
      </x:c>
      <x:c r="B204" s="340" t="n">
        <x:v>6</x:v>
      </x:c>
      <x:c r="C204" s="340" t="str">
        <x:v>Jun</x:v>
      </x:c>
      <x:c r="D204" s="341" t="n">
        <x:v>16.392857142857142</x:v>
      </x:c>
      <x:c r="E204" s="341" t="n">
        <x:v>199.5</x:v>
      </x:c>
      <x:c r="F204" s="341" t="n">
        <x:v>30</x:v>
      </x:c>
      <x:c r="G204" s="342" t="n">
        <x:f>IFERROR(D204/F204,0)</x:f>
        <x:v>0.5464285714285714</x:v>
      </x:c>
      <x:c r="H204" s="343" t="n">
        <x:f>IFERROR(E204/D204,0)</x:f>
        <x:v>12.169934640522877</x:v>
      </x:c>
      <x:c r="I204" s="340" t="str">
        <x:v>1991-2020</x:v>
      </x:c>
      <x:c r="J204" s="338" t="str">
        <x:v>GREEN - official NIWA normal</x:v>
      </x:c>
    </x:row>
    <x:row r="205">
      <x:c r="A205" s="340" t="str">
        <x:v>Westport</x:v>
      </x:c>
      <x:c r="B205" s="340" t="n">
        <x:v>7</x:v>
      </x:c>
      <x:c r="C205" s="340" t="str">
        <x:v>Jul</x:v>
      </x:c>
      <x:c r="D205" s="341" t="n">
        <x:v>14.115384615384615</x:v>
      </x:c>
      <x:c r="E205" s="341" t="n">
        <x:v>170.1</x:v>
      </x:c>
      <x:c r="F205" s="341" t="n">
        <x:v>31</x:v>
      </x:c>
      <x:c r="G205" s="342" t="n">
        <x:f>IFERROR(D205/F205,0)</x:f>
        <x:v>0.4553349875930521</x:v>
      </x:c>
      <x:c r="H205" s="343" t="n">
        <x:f>IFERROR(E205/D205,0)</x:f>
        <x:v>12.050681198910082</x:v>
      </x:c>
      <x:c r="I205" s="340" t="str">
        <x:v>1991-2020</x:v>
      </x:c>
      <x:c r="J205" s="338" t="str">
        <x:v>GREEN - official NIWA normal</x:v>
      </x:c>
    </x:row>
    <x:row r="206">
      <x:c r="A206" s="340" t="str">
        <x:v>Westport</x:v>
      </x:c>
      <x:c r="B206" s="340" t="n">
        <x:v>8</x:v>
      </x:c>
      <x:c r="C206" s="340" t="str">
        <x:v>Aug</x:v>
      </x:c>
      <x:c r="D206" s="341" t="n">
        <x:v>15.703703703703704</x:v>
      </x:c>
      <x:c r="E206" s="341" t="n">
        <x:v>187</x:v>
      </x:c>
      <x:c r="F206" s="341" t="n">
        <x:v>31</x:v>
      </x:c>
      <x:c r="G206" s="342" t="n">
        <x:f>IFERROR(D206/F206,0)</x:f>
        <x:v>0.5065710872162486</x:v>
      </x:c>
      <x:c r="H206" s="343" t="n">
        <x:f>IFERROR(E206/D206,0)</x:f>
        <x:v>11.908018867924527</x:v>
      </x:c>
      <x:c r="I206" s="340" t="str">
        <x:v>1991-2020</x:v>
      </x:c>
      <x:c r="J206" s="338" t="str">
        <x:v>GREEN - official NIWA normal</x:v>
      </x:c>
    </x:row>
    <x:row r="207">
      <x:c r="A207" s="340" t="str">
        <x:v>Westport</x:v>
      </x:c>
      <x:c r="B207" s="340" t="n">
        <x:v>9</x:v>
      </x:c>
      <x:c r="C207" s="340" t="str">
        <x:v>Sep</x:v>
      </x:c>
      <x:c r="D207" s="341" t="n">
        <x:v>16.96551724137931</x:v>
      </x:c>
      <x:c r="E207" s="341" t="n">
        <x:v>182.6</x:v>
      </x:c>
      <x:c r="F207" s="341" t="n">
        <x:v>30</x:v>
      </x:c>
      <x:c r="G207" s="342" t="n">
        <x:f>IFERROR(D207/F207,0)</x:f>
        <x:v>0.5655172413793104</x:v>
      </x:c>
      <x:c r="H207" s="343" t="n">
        <x:f>IFERROR(E207/D207,0)</x:f>
        <x:v>10.763008130081301</x:v>
      </x:c>
      <x:c r="I207" s="340" t="str">
        <x:v>1991-2020</x:v>
      </x:c>
      <x:c r="J207" s="338" t="str">
        <x:v>GREEN - official NIWA normal</x:v>
      </x:c>
    </x:row>
    <x:row r="208">
      <x:c r="A208" s="340" t="str">
        <x:v>Westport</x:v>
      </x:c>
      <x:c r="B208" s="340" t="n">
        <x:v>10</x:v>
      </x:c>
      <x:c r="C208" s="340" t="str">
        <x:v>Oct</x:v>
      </x:c>
      <x:c r="D208" s="341" t="n">
        <x:v>17.892857142857142</x:v>
      </x:c>
      <x:c r="E208" s="341" t="n">
        <x:v>202.2</x:v>
      </x:c>
      <x:c r="F208" s="341" t="n">
        <x:v>31</x:v>
      </x:c>
      <x:c r="G208" s="342" t="n">
        <x:f>IFERROR(D208/F208,0)</x:f>
        <x:v>0.5771889400921659</x:v>
      </x:c>
      <x:c r="H208" s="343" t="n">
        <x:f>IFERROR(E208/D208,0)</x:f>
        <x:v>11.300598802395209</x:v>
      </x:c>
      <x:c r="I208" s="340" t="str">
        <x:v>1991-2020</x:v>
      </x:c>
      <x:c r="J208" s="338" t="str">
        <x:v>GREEN - official NIWA normal</x:v>
      </x:c>
    </x:row>
    <x:row r="209">
      <x:c r="A209" s="340" t="str">
        <x:v>Westport</x:v>
      </x:c>
      <x:c r="B209" s="340" t="n">
        <x:v>11</x:v>
      </x:c>
      <x:c r="C209" s="340" t="str">
        <x:v>Nov</x:v>
      </x:c>
      <x:c r="D209" s="341" t="n">
        <x:v>14.586206896551724</x:v>
      </x:c>
      <x:c r="E209" s="341" t="n">
        <x:v>157.3</x:v>
      </x:c>
      <x:c r="F209" s="341" t="n">
        <x:v>30</x:v>
      </x:c>
      <x:c r="G209" s="342" t="n">
        <x:f>IFERROR(D209/F209,0)</x:f>
        <x:v>0.48620689655172417</x:v>
      </x:c>
      <x:c r="H209" s="343" t="n">
        <x:f>IFERROR(E209/D209,0)</x:f>
        <x:v>10.784160756501183</x:v>
      </x:c>
      <x:c r="I209" s="340" t="str">
        <x:v>1991-2020</x:v>
      </x:c>
      <x:c r="J209" s="338" t="str">
        <x:v>GREEN - official NIWA normal</x:v>
      </x:c>
    </x:row>
    <x:row r="210">
      <x:c r="A210" s="340" t="str">
        <x:v>Westport</x:v>
      </x:c>
      <x:c r="B210" s="340" t="n">
        <x:v>12</x:v>
      </x:c>
      <x:c r="C210" s="340" t="str">
        <x:v>Dec</x:v>
      </x:c>
      <x:c r="D210" s="341" t="n">
        <x:v>14.89655172413793</x:v>
      </x:c>
      <x:c r="E210" s="341" t="n">
        <x:v>196.9</x:v>
      </x:c>
      <x:c r="F210" s="341" t="n">
        <x:v>31</x:v>
      </x:c>
      <x:c r="G210" s="342" t="n">
        <x:f>IFERROR(D210/F210,0)</x:f>
        <x:v>0.48053392658509453</x:v>
      </x:c>
      <x:c r="H210" s="343" t="n">
        <x:f>IFERROR(E210/D210,0)</x:f>
        <x:v>13.217824074074075</x:v>
      </x:c>
      <x:c r="I210" s="340" t="str">
        <x:v>1991-2020</x:v>
      </x:c>
      <x:c r="J210" s="338" t="str">
        <x:v>GREEN - official NIWA normal</x:v>
      </x:c>
    </x:row>
    <x:row r="211">
      <x:c r="A211" s="340" t="str">
        <x:v>Kaikoura</x:v>
      </x:c>
      <x:c r="B211" s="340" t="n">
        <x:v>1</x:v>
      </x:c>
      <x:c r="C211" s="340" t="str">
        <x:v>Jan</x:v>
      </x:c>
      <x:c r="D211" s="341" t="n">
        <x:v>6.555555555555555</x:v>
      </x:c>
      <x:c r="E211" s="341" t="n">
        <x:v>47.4</x:v>
      </x:c>
      <x:c r="F211" s="341" t="n">
        <x:v>31</x:v>
      </x:c>
      <x:c r="G211" s="342" t="n">
        <x:f>IFERROR(D211/F211,0)</x:f>
        <x:v>0.2114695340501792</x:v>
      </x:c>
      <x:c r="H211" s="343" t="n">
        <x:f>IFERROR(E211/D211,0)</x:f>
        <x:v>7.230508474576271</x:v>
      </x:c>
      <x:c r="I211" s="340" t="str">
        <x:v>1991-2020</x:v>
      </x:c>
      <x:c r="J211" s="338" t="str">
        <x:v>GREEN - official NIWA normal</x:v>
      </x:c>
    </x:row>
    <x:row r="212">
      <x:c r="A212" s="340" t="str">
        <x:v>Kaikoura</x:v>
      </x:c>
      <x:c r="B212" s="340" t="n">
        <x:v>2</x:v>
      </x:c>
      <x:c r="C212" s="340" t="str">
        <x:v>Feb</x:v>
      </x:c>
      <x:c r="D212" s="341" t="n">
        <x:v>5.703703703703703</x:v>
      </x:c>
      <x:c r="E212" s="341" t="n">
        <x:v>39.3</x:v>
      </x:c>
      <x:c r="F212" s="341" t="n">
        <x:v>28.266666666666666</x:v>
      </x:c>
      <x:c r="G212" s="342" t="n">
        <x:f>IFERROR(D212/F212,0)</x:f>
        <x:v>0.20178197064989517</x:v>
      </x:c>
      <x:c r="H212" s="343" t="n">
        <x:f>IFERROR(E212/D212,0)</x:f>
        <x:v>6.89025974025974</x:v>
      </x:c>
      <x:c r="I212" s="340" t="str">
        <x:v>1991-2020</x:v>
      </x:c>
      <x:c r="J212" s="338" t="str">
        <x:v>GREEN - official NIWA normal</x:v>
      </x:c>
    </x:row>
    <x:row r="213">
      <x:c r="A213" s="340" t="str">
        <x:v>Kaikoura</x:v>
      </x:c>
      <x:c r="B213" s="340" t="n">
        <x:v>3</x:v>
      </x:c>
      <x:c r="C213" s="340" t="str">
        <x:v>Mar</x:v>
      </x:c>
      <x:c r="D213" s="341" t="n">
        <x:v>6.586206896551724</x:v>
      </x:c>
      <x:c r="E213" s="341" t="n">
        <x:v>66.1</x:v>
      </x:c>
      <x:c r="F213" s="341" t="n">
        <x:v>31</x:v>
      </x:c>
      <x:c r="G213" s="342" t="n">
        <x:f>IFERROR(D213/F213,0)</x:f>
        <x:v>0.21245828698553948</x:v>
      </x:c>
      <x:c r="H213" s="343" t="n">
        <x:f>IFERROR(E213/D213,0)</x:f>
        <x:v>10.036125654450261</x:v>
      </x:c>
      <x:c r="I213" s="340" t="str">
        <x:v>1991-2020</x:v>
      </x:c>
      <x:c r="J213" s="338" t="str">
        <x:v>GREEN - official NIWA normal</x:v>
      </x:c>
    </x:row>
    <x:row r="214">
      <x:c r="A214" s="340" t="str">
        <x:v>Kaikoura</x:v>
      </x:c>
      <x:c r="B214" s="340" t="n">
        <x:v>4</x:v>
      </x:c>
      <x:c r="C214" s="340" t="str">
        <x:v>Apr</x:v>
      </x:c>
      <x:c r="D214" s="341" t="n">
        <x:v>7.068965517241379</x:v>
      </x:c>
      <x:c r="E214" s="341" t="n">
        <x:v>66.6</x:v>
      </x:c>
      <x:c r="F214" s="341" t="n">
        <x:v>30</x:v>
      </x:c>
      <x:c r="G214" s="342" t="n">
        <x:f>IFERROR(D214/F214,0)</x:f>
        <x:v>0.23563218390804597</x:v>
      </x:c>
      <x:c r="H214" s="343" t="n">
        <x:f>IFERROR(E214/D214,0)</x:f>
        <x:v>9.421463414634147</x:v>
      </x:c>
      <x:c r="I214" s="340" t="str">
        <x:v>1991-2020</x:v>
      </x:c>
      <x:c r="J214" s="338" t="str">
        <x:v>GREEN - official NIWA normal</x:v>
      </x:c>
    </x:row>
    <x:row r="215">
      <x:c r="A215" s="340" t="str">
        <x:v>Kaikoura</x:v>
      </x:c>
      <x:c r="B215" s="340" t="n">
        <x:v>5</x:v>
      </x:c>
      <x:c r="C215" s="340" t="str">
        <x:v>May</x:v>
      </x:c>
      <x:c r="D215" s="341" t="n">
        <x:v>6.310344827586207</x:v>
      </x:c>
      <x:c r="E215" s="341" t="n">
        <x:v>51</x:v>
      </x:c>
      <x:c r="F215" s="341" t="n">
        <x:v>31</x:v>
      </x:c>
      <x:c r="G215" s="342" t="n">
        <x:f>IFERROR(D215/F215,0)</x:f>
        <x:v>0.20355951056729701</x:v>
      </x:c>
      <x:c r="H215" s="343" t="n">
        <x:f>IFERROR(E215/D215,0)</x:f>
        <x:v>8.081967213114753</x:v>
      </x:c>
      <x:c r="I215" s="340" t="str">
        <x:v>1991-2020</x:v>
      </x:c>
      <x:c r="J215" s="338" t="str">
        <x:v>GREEN - official NIWA normal</x:v>
      </x:c>
    </x:row>
    <x:row r="216">
      <x:c r="A216" s="340" t="str">
        <x:v>Kaikoura</x:v>
      </x:c>
      <x:c r="B216" s="340" t="n">
        <x:v>6</x:v>
      </x:c>
      <x:c r="C216" s="340" t="str">
        <x:v>Jun</x:v>
      </x:c>
      <x:c r="D216" s="341" t="n">
        <x:v>8.142857142857142</x:v>
      </x:c>
      <x:c r="E216" s="341" t="n">
        <x:v>73</x:v>
      </x:c>
      <x:c r="F216" s="341" t="n">
        <x:v>30</x:v>
      </x:c>
      <x:c r="G216" s="342" t="n">
        <x:f>IFERROR(D216/F216,0)</x:f>
        <x:v>0.2714285714285714</x:v>
      </x:c>
      <x:c r="H216" s="343" t="n">
        <x:f>IFERROR(E216/D216,0)</x:f>
        <x:v>8.964912280701755</x:v>
      </x:c>
      <x:c r="I216" s="340" t="str">
        <x:v>1991-2020</x:v>
      </x:c>
      <x:c r="J216" s="338" t="str">
        <x:v>GREEN - official NIWA normal</x:v>
      </x:c>
    </x:row>
    <x:row r="217">
      <x:c r="A217" s="340" t="str">
        <x:v>Kaikoura</x:v>
      </x:c>
      <x:c r="B217" s="340" t="n">
        <x:v>7</x:v>
      </x:c>
      <x:c r="C217" s="340" t="str">
        <x:v>Jul</x:v>
      </x:c>
      <x:c r="D217" s="341" t="n">
        <x:v>7.933333333333334</x:v>
      </x:c>
      <x:c r="E217" s="341" t="n">
        <x:v>86.5</x:v>
      </x:c>
      <x:c r="F217" s="341" t="n">
        <x:v>31</x:v>
      </x:c>
      <x:c r="G217" s="342" t="n">
        <x:f>IFERROR(D217/F217,0)</x:f>
        <x:v>0.25591397849462366</x:v>
      </x:c>
      <x:c r="H217" s="343" t="n">
        <x:f>IFERROR(E217/D217,0)</x:f>
        <x:v>10.903361344537815</x:v>
      </x:c>
      <x:c r="I217" s="340" t="str">
        <x:v>1991-2020</x:v>
      </x:c>
      <x:c r="J217" s="338" t="str">
        <x:v>GREEN - official NIWA normal</x:v>
      </x:c>
    </x:row>
    <x:row r="218">
      <x:c r="A218" s="340" t="str">
        <x:v>Kaikoura</x:v>
      </x:c>
      <x:c r="B218" s="340" t="n">
        <x:v>8</x:v>
      </x:c>
      <x:c r="C218" s="340" t="str">
        <x:v>Aug</x:v>
      </x:c>
      <x:c r="D218" s="341" t="n">
        <x:v>6.689655172413793</x:v>
      </x:c>
      <x:c r="E218" s="341" t="n">
        <x:v>59.1</x:v>
      </x:c>
      <x:c r="F218" s="341" t="n">
        <x:v>31</x:v>
      </x:c>
      <x:c r="G218" s="342" t="n">
        <x:f>IFERROR(D218/F218,0)</x:f>
        <x:v>0.21579532814238042</x:v>
      </x:c>
      <x:c r="H218" s="343" t="n">
        <x:f>IFERROR(E218/D218,0)</x:f>
        <x:v>8.834536082474228</x:v>
      </x:c>
      <x:c r="I218" s="340" t="str">
        <x:v>1991-2020</x:v>
      </x:c>
      <x:c r="J218" s="338" t="str">
        <x:v>GREEN - official NIWA normal</x:v>
      </x:c>
    </x:row>
    <x:row r="219">
      <x:c r="A219" s="340" t="str">
        <x:v>Kaikoura</x:v>
      </x:c>
      <x:c r="B219" s="340" t="n">
        <x:v>9</x:v>
      </x:c>
      <x:c r="C219" s="340" t="str">
        <x:v>Sep</x:v>
      </x:c>
      <x:c r="D219" s="341" t="n">
        <x:v>6.413793103448276</x:v>
      </x:c>
      <x:c r="E219" s="341" t="n">
        <x:v>53.6</x:v>
      </x:c>
      <x:c r="F219" s="341" t="n">
        <x:v>30</x:v>
      </x:c>
      <x:c r="G219" s="342" t="n">
        <x:f>IFERROR(D219/F219,0)</x:f>
        <x:v>0.21379310344827587</x:v>
      </x:c>
      <x:c r="H219" s="343" t="n">
        <x:f>IFERROR(E219/D219,0)</x:f>
        <x:v>8.356989247311828</x:v>
      </x:c>
      <x:c r="I219" s="340" t="str">
        <x:v>1991-2020</x:v>
      </x:c>
      <x:c r="J219" s="338" t="str">
        <x:v>GREEN - official NIWA normal</x:v>
      </x:c>
    </x:row>
    <x:row r="220">
      <x:c r="A220" s="340" t="str">
        <x:v>Kaikoura</x:v>
      </x:c>
      <x:c r="B220" s="340" t="n">
        <x:v>10</x:v>
      </x:c>
      <x:c r="C220" s="340" t="str">
        <x:v>Oct</x:v>
      </x:c>
      <x:c r="D220" s="341" t="n">
        <x:v>8.074074074074074</x:v>
      </x:c>
      <x:c r="E220" s="341" t="n">
        <x:v>64.4</x:v>
      </x:c>
      <x:c r="F220" s="341" t="n">
        <x:v>31</x:v>
      </x:c>
      <x:c r="G220" s="342" t="n">
        <x:f>IFERROR(D220/F220,0)</x:f>
        <x:v>0.2604540023894863</x:v>
      </x:c>
      <x:c r="H220" s="343" t="n">
        <x:f>IFERROR(E220/D220,0)</x:f>
        <x:v>7.976146788990826</x:v>
      </x:c>
      <x:c r="I220" s="340" t="str">
        <x:v>1991-2020</x:v>
      </x:c>
      <x:c r="J220" s="338" t="str">
        <x:v>GREEN - official NIWA normal</x:v>
      </x:c>
    </x:row>
    <x:row r="221">
      <x:c r="A221" s="340" t="str">
        <x:v>Kaikoura</x:v>
      </x:c>
      <x:c r="B221" s="340" t="n">
        <x:v>11</x:v>
      </x:c>
      <x:c r="C221" s="340" t="str">
        <x:v>Nov</x:v>
      </x:c>
      <x:c r="D221" s="341" t="n">
        <x:v>6.962962962962963</x:v>
      </x:c>
      <x:c r="E221" s="341" t="n">
        <x:v>58.8</x:v>
      </x:c>
      <x:c r="F221" s="341" t="n">
        <x:v>30</x:v>
      </x:c>
      <x:c r="G221" s="342" t="n">
        <x:f>IFERROR(D221/F221,0)</x:f>
        <x:v>0.23209876543209876</x:v>
      </x:c>
      <x:c r="H221" s="343" t="n">
        <x:f>IFERROR(E221/D221,0)</x:f>
        <x:v>8.44468085106383</x:v>
      </x:c>
      <x:c r="I221" s="340" t="str">
        <x:v>1991-2020</x:v>
      </x:c>
      <x:c r="J221" s="338" t="str">
        <x:v>GREEN - official NIWA normal</x:v>
      </x:c>
    </x:row>
    <x:row r="222">
      <x:c r="A222" s="340" t="str">
        <x:v>Kaikoura</x:v>
      </x:c>
      <x:c r="B222" s="340" t="n">
        <x:v>12</x:v>
      </x:c>
      <x:c r="C222" s="340" t="str">
        <x:v>Dec</x:v>
      </x:c>
      <x:c r="D222" s="341" t="n">
        <x:v>7.2592592592592595</x:v>
      </x:c>
      <x:c r="E222" s="341" t="n">
        <x:v>49.3</x:v>
      </x:c>
      <x:c r="F222" s="341" t="n">
        <x:v>31</x:v>
      </x:c>
      <x:c r="G222" s="342" t="n">
        <x:f>IFERROR(D222/F222,0)</x:f>
        <x:v>0.23416965352449223</x:v>
      </x:c>
      <x:c r="H222" s="343" t="n">
        <x:f>IFERROR(E222/D222,0)</x:f>
        <x:v>6.791326530612245</x:v>
      </x:c>
      <x:c r="I222" s="340" t="str">
        <x:v>1991-2020</x:v>
      </x:c>
      <x:c r="J222" s="338" t="str">
        <x:v>GREEN - official NIWA normal</x:v>
      </x:c>
    </x:row>
    <x:row r="223">
      <x:c r="A223" s="340" t="str">
        <x:v>Hokitika</x:v>
      </x:c>
      <x:c r="B223" s="340" t="n">
        <x:v>1</x:v>
      </x:c>
      <x:c r="C223" s="340" t="str">
        <x:v>Jan</x:v>
      </x:c>
      <x:c r="D223" s="341" t="n">
        <x:v>12.448275862068966</x:v>
      </x:c>
      <x:c r="E223" s="341" t="n">
        <x:v>257.4</x:v>
      </x:c>
      <x:c r="F223" s="341" t="n">
        <x:v>31</x:v>
      </x:c>
      <x:c r="G223" s="342" t="n">
        <x:f>IFERROR(D223/F223,0)</x:f>
        <x:v>0.40155728587319245</x:v>
      </x:c>
      <x:c r="H223" s="343" t="n">
        <x:f>IFERROR(E223/D223,0)</x:f>
        <x:v>20.677562326869804</x:v>
      </x:c>
      <x:c r="I223" s="340" t="str">
        <x:v>1991-2020</x:v>
      </x:c>
      <x:c r="J223" s="338" t="str">
        <x:v>GREEN - official NIWA normal</x:v>
      </x:c>
    </x:row>
    <x:row r="224">
      <x:c r="A224" s="340" t="str">
        <x:v>Hokitika</x:v>
      </x:c>
      <x:c r="B224" s="340" t="n">
        <x:v>2</x:v>
      </x:c>
      <x:c r="C224" s="340" t="str">
        <x:v>Feb</x:v>
      </x:c>
      <x:c r="D224" s="341" t="n">
        <x:v>10.8</x:v>
      </x:c>
      <x:c r="E224" s="341" t="n">
        <x:v>191.7</x:v>
      </x:c>
      <x:c r="F224" s="341" t="n">
        <x:v>28.266666666666666</x:v>
      </x:c>
      <x:c r="G224" s="342" t="n">
        <x:f>IFERROR(D224/F224,0)</x:f>
        <x:v>0.38207547169811323</x:v>
      </x:c>
      <x:c r="H224" s="343" t="n">
        <x:f>IFERROR(E224/D224,0)</x:f>
        <x:v>17.749999999999996</x:v>
      </x:c>
      <x:c r="I224" s="340" t="str">
        <x:v>1991-2020</x:v>
      </x:c>
      <x:c r="J224" s="338" t="str">
        <x:v>GREEN - official NIWA normal</x:v>
      </x:c>
    </x:row>
    <x:row r="225">
      <x:c r="A225" s="340" t="str">
        <x:v>Hokitika</x:v>
      </x:c>
      <x:c r="B225" s="340" t="n">
        <x:v>3</x:v>
      </x:c>
      <x:c r="C225" s="340" t="str">
        <x:v>Mar</x:v>
      </x:c>
      <x:c r="D225" s="341" t="n">
        <x:v>12.10344827586207</x:v>
      </x:c>
      <x:c r="E225" s="341" t="n">
        <x:v>213.4</x:v>
      </x:c>
      <x:c r="F225" s="341" t="n">
        <x:v>31</x:v>
      </x:c>
      <x:c r="G225" s="342" t="n">
        <x:f>IFERROR(D225/F225,0)</x:f>
        <x:v>0.39043381535038935</x:v>
      </x:c>
      <x:c r="H225" s="343" t="n">
        <x:f>IFERROR(E225/D225,0)</x:f>
        <x:v>17.63133903133903</x:v>
      </x:c>
      <x:c r="I225" s="340" t="str">
        <x:v>1991-2020</x:v>
      </x:c>
      <x:c r="J225" s="338" t="str">
        <x:v>GREEN - official NIWA normal</x:v>
      </x:c>
    </x:row>
    <x:row r="226">
      <x:c r="A226" s="340" t="str">
        <x:v>Hokitika</x:v>
      </x:c>
      <x:c r="B226" s="340" t="n">
        <x:v>4</x:v>
      </x:c>
      <x:c r="C226" s="340" t="str">
        <x:v>Apr</x:v>
      </x:c>
      <x:c r="D226" s="341" t="n">
        <x:v>13.1</x:v>
      </x:c>
      <x:c r="E226" s="341" t="n">
        <x:v>244.9</x:v>
      </x:c>
      <x:c r="F226" s="341" t="n">
        <x:v>30</x:v>
      </x:c>
      <x:c r="G226" s="342" t="n">
        <x:f>IFERROR(D226/F226,0)</x:f>
        <x:v>0.43666666666666665</x:v>
      </x:c>
      <x:c r="H226" s="343" t="n">
        <x:f>IFERROR(E226/D226,0)</x:f>
        <x:v>18.69465648854962</x:v>
      </x:c>
      <x:c r="I226" s="340" t="str">
        <x:v>1991-2020</x:v>
      </x:c>
      <x:c r="J226" s="338" t="str">
        <x:v>GREEN - official NIWA normal</x:v>
      </x:c>
    </x:row>
    <x:row r="227">
      <x:c r="A227" s="340" t="str">
        <x:v>Hokitika</x:v>
      </x:c>
      <x:c r="B227" s="340" t="n">
        <x:v>5</x:v>
      </x:c>
      <x:c r="C227" s="340" t="str">
        <x:v>May</x:v>
      </x:c>
      <x:c r="D227" s="341" t="n">
        <x:v>15</x:v>
      </x:c>
      <x:c r="E227" s="341" t="n">
        <x:v>252.8</x:v>
      </x:c>
      <x:c r="F227" s="341" t="n">
        <x:v>31</x:v>
      </x:c>
      <x:c r="G227" s="342" t="n">
        <x:f>IFERROR(D227/F227,0)</x:f>
        <x:v>0.4838709677419355</x:v>
      </x:c>
      <x:c r="H227" s="343" t="n">
        <x:f>IFERROR(E227/D227,0)</x:f>
        <x:v>16.853333333333335</x:v>
      </x:c>
      <x:c r="I227" s="340" t="str">
        <x:v>1991-2020</x:v>
      </x:c>
      <x:c r="J227" s="338" t="str">
        <x:v>GREEN - official NIWA normal</x:v>
      </x:c>
    </x:row>
    <x:row r="228">
      <x:c r="A228" s="340" t="str">
        <x:v>Hokitika</x:v>
      </x:c>
      <x:c r="B228" s="340" t="n">
        <x:v>6</x:v>
      </x:c>
      <x:c r="C228" s="340" t="str">
        <x:v>Jun</x:v>
      </x:c>
      <x:c r="D228" s="341" t="n">
        <x:v>14.766666666666667</x:v>
      </x:c>
      <x:c r="E228" s="341" t="n">
        <x:v>261.2</x:v>
      </x:c>
      <x:c r="F228" s="341" t="n">
        <x:v>30</x:v>
      </x:c>
      <x:c r="G228" s="342" t="n">
        <x:f>IFERROR(D228/F228,0)</x:f>
        <x:v>0.4922222222222222</x:v>
      </x:c>
      <x:c r="H228" s="343" t="n">
        <x:f>IFERROR(E228/D228,0)</x:f>
        <x:v>17.68848758465011</x:v>
      </x:c>
      <x:c r="I228" s="340" t="str">
        <x:v>1991-2020</x:v>
      </x:c>
      <x:c r="J228" s="338" t="str">
        <x:v>GREEN - official NIWA normal</x:v>
      </x:c>
    </x:row>
    <x:row r="229">
      <x:c r="A229" s="340" t="str">
        <x:v>Hokitika</x:v>
      </x:c>
      <x:c r="B229" s="340" t="n">
        <x:v>7</x:v>
      </x:c>
      <x:c r="C229" s="340" t="str">
        <x:v>Jul</x:v>
      </x:c>
      <x:c r="D229" s="341" t="n">
        <x:v>14.068965517241379</x:v>
      </x:c>
      <x:c r="E229" s="341" t="n">
        <x:v>228</x:v>
      </x:c>
      <x:c r="F229" s="341" t="n">
        <x:v>31</x:v>
      </x:c>
      <x:c r="G229" s="342" t="n">
        <x:f>IFERROR(D229/F229,0)</x:f>
        <x:v>0.45383759733036705</x:v>
      </x:c>
      <x:c r="H229" s="343" t="n">
        <x:f>IFERROR(E229/D229,0)</x:f>
        <x:v>16.205882352941178</x:v>
      </x:c>
      <x:c r="I229" s="340" t="str">
        <x:v>1991-2020</x:v>
      </x:c>
      <x:c r="J229" s="338" t="str">
        <x:v>GREEN - official NIWA normal</x:v>
      </x:c>
    </x:row>
    <x:row r="230">
      <x:c r="A230" s="340" t="str">
        <x:v>Hokitika</x:v>
      </x:c>
      <x:c r="B230" s="340" t="n">
        <x:v>8</x:v>
      </x:c>
      <x:c r="C230" s="340" t="str">
        <x:v>Aug</x:v>
      </x:c>
      <x:c r="D230" s="341" t="n">
        <x:v>15.333333333333334</x:v>
      </x:c>
      <x:c r="E230" s="341" t="n">
        <x:v>246.9</x:v>
      </x:c>
      <x:c r="F230" s="341" t="n">
        <x:v>31</x:v>
      </x:c>
      <x:c r="G230" s="342" t="n">
        <x:f>IFERROR(D230/F230,0)</x:f>
        <x:v>0.4946236559139785</x:v>
      </x:c>
      <x:c r="H230" s="343" t="n">
        <x:f>IFERROR(E230/D230,0)</x:f>
        <x:v>16.10217391304348</x:v>
      </x:c>
      <x:c r="I230" s="340" t="str">
        <x:v>1991-2020</x:v>
      </x:c>
      <x:c r="J230" s="338" t="str">
        <x:v>GREEN - official NIWA normal</x:v>
      </x:c>
    </x:row>
    <x:row r="231">
      <x:c r="A231" s="340" t="str">
        <x:v>Hokitika</x:v>
      </x:c>
      <x:c r="B231" s="340" t="n">
        <x:v>9</x:v>
      </x:c>
      <x:c r="C231" s="340" t="str">
        <x:v>Sep</x:v>
      </x:c>
      <x:c r="D231" s="341" t="n">
        <x:v>16.866666666666667</x:v>
      </x:c>
      <x:c r="E231" s="341" t="n">
        <x:v>244.7</x:v>
      </x:c>
      <x:c r="F231" s="341" t="n">
        <x:v>30</x:v>
      </x:c>
      <x:c r="G231" s="342" t="n">
        <x:f>IFERROR(D231/F231,0)</x:f>
        <x:v>0.5622222222222223</x:v>
      </x:c>
      <x:c r="H231" s="343" t="n">
        <x:f>IFERROR(E231/D231,0)</x:f>
        <x:v>14.50790513833992</x:v>
      </x:c>
      <x:c r="I231" s="340" t="str">
        <x:v>1991-2020</x:v>
      </x:c>
      <x:c r="J231" s="338" t="str">
        <x:v>GREEN - official NIWA normal</x:v>
      </x:c>
    </x:row>
    <x:row r="232">
      <x:c r="A232" s="340" t="str">
        <x:v>Hokitika</x:v>
      </x:c>
      <x:c r="B232" s="340" t="n">
        <x:v>10</x:v>
      </x:c>
      <x:c r="C232" s="340" t="str">
        <x:v>Oct</x:v>
      </x:c>
      <x:c r="D232" s="341" t="n">
        <x:v>17.733333333333334</x:v>
      </x:c>
      <x:c r="E232" s="341" t="n">
        <x:v>284.8</x:v>
      </x:c>
      <x:c r="F232" s="341" t="n">
        <x:v>31</x:v>
      </x:c>
      <x:c r="G232" s="342" t="n">
        <x:f>IFERROR(D232/F232,0)</x:f>
        <x:v>0.5720430107526882</x:v>
      </x:c>
      <x:c r="H232" s="343" t="n">
        <x:f>IFERROR(E232/D232,0)</x:f>
        <x:v>16.06015037593985</x:v>
      </x:c>
      <x:c r="I232" s="340" t="str">
        <x:v>1991-2020</x:v>
      </x:c>
      <x:c r="J232" s="338" t="str">
        <x:v>GREEN - official NIWA normal</x:v>
      </x:c>
    </x:row>
    <x:row r="233">
      <x:c r="A233" s="340" t="str">
        <x:v>Hokitika</x:v>
      </x:c>
      <x:c r="B233" s="340" t="n">
        <x:v>11</x:v>
      </x:c>
      <x:c r="C233" s="340" t="str">
        <x:v>Nov</x:v>
      </x:c>
      <x:c r="D233" s="341" t="n">
        <x:v>14.533333333333333</x:v>
      </x:c>
      <x:c r="E233" s="341" t="n">
        <x:v>222.9</x:v>
      </x:c>
      <x:c r="F233" s="341" t="n">
        <x:v>30</x:v>
      </x:c>
      <x:c r="G233" s="342" t="n">
        <x:f>IFERROR(D233/F233,0)</x:f>
        <x:v>0.48444444444444446</x:v>
      </x:c>
      <x:c r="H233" s="343" t="n">
        <x:f>IFERROR(E233/D233,0)</x:f>
        <x:v>15.337155963302752</x:v>
      </x:c>
      <x:c r="I233" s="340" t="str">
        <x:v>1991-2020</x:v>
      </x:c>
      <x:c r="J233" s="338" t="str">
        <x:v>GREEN - official NIWA normal</x:v>
      </x:c>
    </x:row>
    <x:row r="234">
      <x:c r="A234" s="340" t="str">
        <x:v>Hokitika</x:v>
      </x:c>
      <x:c r="B234" s="340" t="n">
        <x:v>12</x:v>
      </x:c>
      <x:c r="C234" s="340" t="str">
        <x:v>Dec</x:v>
      </x:c>
      <x:c r="D234" s="341" t="n">
        <x:v>15.655172413793103</x:v>
      </x:c>
      <x:c r="E234" s="341" t="n">
        <x:v>272.1</x:v>
      </x:c>
      <x:c r="F234" s="341" t="n">
        <x:v>31</x:v>
      </x:c>
      <x:c r="G234" s="342" t="n">
        <x:f>IFERROR(D234/F234,0)</x:f>
        <x:v>0.5050055617352613</x:v>
      </x:c>
      <x:c r="H234" s="343" t="n">
        <x:f>IFERROR(E234/D234,0)</x:f>
        <x:v>17.380837004405286</x:v>
      </x:c>
      <x:c r="I234" s="340" t="str">
        <x:v>1991-2020</x:v>
      </x:c>
      <x:c r="J234" s="338" t="str">
        <x:v>GREEN - official NIWA normal</x:v>
      </x:c>
    </x:row>
    <x:row r="235">
      <x:c r="A235" s="340" t="str">
        <x:v>Christchurch</x:v>
      </x:c>
      <x:c r="B235" s="340" t="n">
        <x:v>1</x:v>
      </x:c>
      <x:c r="C235" s="340" t="str">
        <x:v>Jan</x:v>
      </x:c>
      <x:c r="D235" s="341" t="n">
        <x:v>6.033333333333333</x:v>
      </x:c>
      <x:c r="E235" s="341" t="n">
        <x:v>42.4</x:v>
      </x:c>
      <x:c r="F235" s="341" t="n">
        <x:v>31</x:v>
      </x:c>
      <x:c r="G235" s="342" t="n">
        <x:f>IFERROR(D235/F235,0)</x:f>
        <x:v>0.19462365591397848</x:v>
      </x:c>
      <x:c r="H235" s="343" t="n">
        <x:f>IFERROR(E235/D235,0)</x:f>
        <x:v>7.027624309392265</x:v>
      </x:c>
      <x:c r="I235" s="340" t="str">
        <x:v>1991-2020</x:v>
      </x:c>
      <x:c r="J235" s="338" t="str">
        <x:v>GREEN - official NIWA normal</x:v>
      </x:c>
    </x:row>
    <x:row r="236">
      <x:c r="A236" s="340" t="str">
        <x:v>Christchurch</x:v>
      </x:c>
      <x:c r="B236" s="340" t="n">
        <x:v>2</x:v>
      </x:c>
      <x:c r="C236" s="340" t="str">
        <x:v>Feb</x:v>
      </x:c>
      <x:c r="D236" s="341" t="n">
        <x:v>5.333333333333333</x:v>
      </x:c>
      <x:c r="E236" s="341" t="n">
        <x:v>39.8</x:v>
      </x:c>
      <x:c r="F236" s="341" t="n">
        <x:v>28.266666666666666</x:v>
      </x:c>
      <x:c r="G236" s="342" t="n">
        <x:f>IFERROR(D236/F236,0)</x:f>
        <x:v>0.18867924528301885</x:v>
      </x:c>
      <x:c r="H236" s="343" t="n">
        <x:f>IFERROR(E236/D236,0)</x:f>
        <x:v>7.4624999999999995</x:v>
      </x:c>
      <x:c r="I236" s="340" t="str">
        <x:v>1991-2020</x:v>
      </x:c>
      <x:c r="J236" s="338" t="str">
        <x:v>GREEN - official NIWA normal</x:v>
      </x:c>
    </x:row>
    <x:row r="237">
      <x:c r="A237" s="340" t="str">
        <x:v>Christchurch</x:v>
      </x:c>
      <x:c r="B237" s="340" t="n">
        <x:v>3</x:v>
      </x:c>
      <x:c r="C237" s="340" t="str">
        <x:v>Mar</x:v>
      </x:c>
      <x:c r="D237" s="341" t="n">
        <x:v>5.733333333333333</x:v>
      </x:c>
      <x:c r="E237" s="341" t="n">
        <x:v>45.1</x:v>
      </x:c>
      <x:c r="F237" s="341" t="n">
        <x:v>31</x:v>
      </x:c>
      <x:c r="G237" s="342" t="n">
        <x:f>IFERROR(D237/F237,0)</x:f>
        <x:v>0.18494623655913978</x:v>
      </x:c>
      <x:c r="H237" s="343" t="n">
        <x:f>IFERROR(E237/D237,0)</x:f>
        <x:v>7.866279069767442</x:v>
      </x:c>
      <x:c r="I237" s="340" t="str">
        <x:v>1991-2020</x:v>
      </x:c>
      <x:c r="J237" s="338" t="str">
        <x:v>GREEN - official NIWA normal</x:v>
      </x:c>
    </x:row>
    <x:row r="238">
      <x:c r="A238" s="340" t="str">
        <x:v>Christchurch</x:v>
      </x:c>
      <x:c r="B238" s="340" t="n">
        <x:v>4</x:v>
      </x:c>
      <x:c r="C238" s="340" t="str">
        <x:v>Apr</x:v>
      </x:c>
      <x:c r="D238" s="341" t="n">
        <x:v>7.666666666666667</x:v>
      </x:c>
      <x:c r="E238" s="341" t="n">
        <x:v>57.5</x:v>
      </x:c>
      <x:c r="F238" s="341" t="n">
        <x:v>30</x:v>
      </x:c>
      <x:c r="G238" s="342" t="n">
        <x:f>IFERROR(D238/F238,0)</x:f>
        <x:v>0.2555555555555556</x:v>
      </x:c>
      <x:c r="H238" s="343" t="n">
        <x:f>IFERROR(E238/D238,0)</x:f>
        <x:v>7.5</x:v>
      </x:c>
      <x:c r="I238" s="340" t="str">
        <x:v>1991-2020</x:v>
      </x:c>
      <x:c r="J238" s="338" t="str">
        <x:v>GREEN - official NIWA normal</x:v>
      </x:c>
    </x:row>
    <x:row r="239">
      <x:c r="A239" s="340" t="str">
        <x:v>Christchurch</x:v>
      </x:c>
      <x:c r="B239" s="340" t="n">
        <x:v>5</x:v>
      </x:c>
      <x:c r="C239" s="340" t="str">
        <x:v>May</x:v>
      </x:c>
      <x:c r="D239" s="341" t="n">
        <x:v>7.133333333333334</x:v>
      </x:c>
      <x:c r="E239" s="341" t="n">
        <x:v>58.1</x:v>
      </x:c>
      <x:c r="F239" s="341" t="n">
        <x:v>31</x:v>
      </x:c>
      <x:c r="G239" s="342" t="n">
        <x:f>IFERROR(D239/F239,0)</x:f>
        <x:v>0.23010752688172045</x:v>
      </x:c>
      <x:c r="H239" s="343" t="n">
        <x:f>IFERROR(E239/D239,0)</x:f>
        <x:v>8.144859813084112</x:v>
      </x:c>
      <x:c r="I239" s="340" t="str">
        <x:v>1991-2020</x:v>
      </x:c>
      <x:c r="J239" s="338" t="str">
        <x:v>GREEN - official NIWA normal</x:v>
      </x:c>
    </x:row>
    <x:row r="240">
      <x:c r="A240" s="340" t="str">
        <x:v>Christchurch</x:v>
      </x:c>
      <x:c r="B240" s="340" t="n">
        <x:v>6</x:v>
      </x:c>
      <x:c r="C240" s="340" t="str">
        <x:v>Jun</x:v>
      </x:c>
      <x:c r="D240" s="341" t="n">
        <x:v>8.6</x:v>
      </x:c>
      <x:c r="E240" s="341" t="n">
        <x:v>68.3</x:v>
      </x:c>
      <x:c r="F240" s="341" t="n">
        <x:v>30</x:v>
      </x:c>
      <x:c r="G240" s="342" t="n">
        <x:f>IFERROR(D240/F240,0)</x:f>
        <x:v>0.2866666666666667</x:v>
      </x:c>
      <x:c r="H240" s="343" t="n">
        <x:f>IFERROR(E240/D240,0)</x:f>
        <x:v>7.941860465116279</x:v>
      </x:c>
      <x:c r="I240" s="340" t="str">
        <x:v>1991-2020</x:v>
      </x:c>
      <x:c r="J240" s="338" t="str">
        <x:v>GREEN - official NIWA normal</x:v>
      </x:c>
    </x:row>
    <x:row r="241">
      <x:c r="A241" s="340" t="str">
        <x:v>Christchurch</x:v>
      </x:c>
      <x:c r="B241" s="340" t="n">
        <x:v>7</x:v>
      </x:c>
      <x:c r="C241" s="340" t="str">
        <x:v>Jul</x:v>
      </x:c>
      <x:c r="D241" s="341" t="n">
        <x:v>7.666666666666667</x:v>
      </x:c>
      <x:c r="E241" s="341" t="n">
        <x:v>64.2</x:v>
      </x:c>
      <x:c r="F241" s="341" t="n">
        <x:v>31</x:v>
      </x:c>
      <x:c r="G241" s="342" t="n">
        <x:f>IFERROR(D241/F241,0)</x:f>
        <x:v>0.24731182795698925</x:v>
      </x:c>
      <x:c r="H241" s="343" t="n">
        <x:f>IFERROR(E241/D241,0)</x:f>
        <x:v>8.373913043478261</x:v>
      </x:c>
      <x:c r="I241" s="340" t="str">
        <x:v>1991-2020</x:v>
      </x:c>
      <x:c r="J241" s="338" t="str">
        <x:v>GREEN - official NIWA normal</x:v>
      </x:c>
    </x:row>
    <x:row r="242">
      <x:c r="A242" s="340" t="str">
        <x:v>Christchurch</x:v>
      </x:c>
      <x:c r="B242" s="340" t="n">
        <x:v>8</x:v>
      </x:c>
      <x:c r="C242" s="340" t="str">
        <x:v>Aug</x:v>
      </x:c>
      <x:c r="D242" s="341" t="n">
        <x:v>7.3</x:v>
      </x:c>
      <x:c r="E242" s="341" t="n">
        <x:v>58.1</x:v>
      </x:c>
      <x:c r="F242" s="341" t="n">
        <x:v>31</x:v>
      </x:c>
      <x:c r="G242" s="342" t="n">
        <x:f>IFERROR(D242/F242,0)</x:f>
        <x:v>0.23548387096774193</x:v>
      </x:c>
      <x:c r="H242" s="343" t="n">
        <x:f>IFERROR(E242/D242,0)</x:f>
        <x:v>7.958904109589041</x:v>
      </x:c>
      <x:c r="I242" s="340" t="str">
        <x:v>1991-2020</x:v>
      </x:c>
      <x:c r="J242" s="338" t="str">
        <x:v>GREEN - official NIWA normal</x:v>
      </x:c>
    </x:row>
    <x:row r="243">
      <x:c r="A243" s="340" t="str">
        <x:v>Christchurch</x:v>
      </x:c>
      <x:c r="B243" s="340" t="n">
        <x:v>9</x:v>
      </x:c>
      <x:c r="C243" s="340" t="str">
        <x:v>Sep</x:v>
      </x:c>
      <x:c r="D243" s="341" t="n">
        <x:v>6.2</x:v>
      </x:c>
      <x:c r="E243" s="341" t="n">
        <x:v>42.2</x:v>
      </x:c>
      <x:c r="F243" s="341" t="n">
        <x:v>30</x:v>
      </x:c>
      <x:c r="G243" s="342" t="n">
        <x:f>IFERROR(D243/F243,0)</x:f>
        <x:v>0.20666666666666667</x:v>
      </x:c>
      <x:c r="H243" s="343" t="n">
        <x:f>IFERROR(E243/D243,0)</x:f>
        <x:v>6.806451612903226</x:v>
      </x:c>
      <x:c r="I243" s="340" t="str">
        <x:v>1991-2020</x:v>
      </x:c>
      <x:c r="J243" s="338" t="str">
        <x:v>GREEN - official NIWA normal</x:v>
      </x:c>
    </x:row>
    <x:row r="244">
      <x:c r="A244" s="340" t="str">
        <x:v>Christchurch</x:v>
      </x:c>
      <x:c r="B244" s="340" t="n">
        <x:v>10</x:v>
      </x:c>
      <x:c r="C244" s="340" t="str">
        <x:v>Oct</x:v>
      </x:c>
      <x:c r="D244" s="341" t="n">
        <x:v>7.2</x:v>
      </x:c>
      <x:c r="E244" s="341" t="n">
        <x:v>49.1</x:v>
      </x:c>
      <x:c r="F244" s="341" t="n">
        <x:v>31</x:v>
      </x:c>
      <x:c r="G244" s="342" t="n">
        <x:f>IFERROR(D244/F244,0)</x:f>
        <x:v>0.23225806451612904</x:v>
      </x:c>
      <x:c r="H244" s="343" t="n">
        <x:f>IFERROR(E244/D244,0)</x:f>
        <x:v>6.819444444444445</x:v>
      </x:c>
      <x:c r="I244" s="340" t="str">
        <x:v>1991-2020</x:v>
      </x:c>
      <x:c r="J244" s="338" t="str">
        <x:v>GREEN - official NIWA normal</x:v>
      </x:c>
    </x:row>
    <x:row r="245">
      <x:c r="A245" s="340" t="str">
        <x:v>Christchurch</x:v>
      </x:c>
      <x:c r="B245" s="340" t="n">
        <x:v>11</x:v>
      </x:c>
      <x:c r="C245" s="340" t="str">
        <x:v>Nov</x:v>
      </x:c>
      <x:c r="D245" s="341" t="n">
        <x:v>7</x:v>
      </x:c>
      <x:c r="E245" s="341" t="n">
        <x:v>45.1</x:v>
      </x:c>
      <x:c r="F245" s="341" t="n">
        <x:v>30</x:v>
      </x:c>
      <x:c r="G245" s="342" t="n">
        <x:f>IFERROR(D245/F245,0)</x:f>
        <x:v>0.23333333333333334</x:v>
      </x:c>
      <x:c r="H245" s="343" t="n">
        <x:f>IFERROR(E245/D245,0)</x:f>
        <x:v>6.442857142857143</x:v>
      </x:c>
      <x:c r="I245" s="340" t="str">
        <x:v>1991-2020</x:v>
      </x:c>
      <x:c r="J245" s="338" t="str">
        <x:v>GREEN - official NIWA normal</x:v>
      </x:c>
    </x:row>
    <x:row r="246">
      <x:c r="A246" s="340" t="str">
        <x:v>Christchurch</x:v>
      </x:c>
      <x:c r="B246" s="340" t="n">
        <x:v>12</x:v>
      </x:c>
      <x:c r="C246" s="340" t="str">
        <x:v>Dec</x:v>
      </x:c>
      <x:c r="D246" s="341" t="n">
        <x:v>7.033333333333333</x:v>
      </x:c>
      <x:c r="E246" s="341" t="n">
        <x:v>47.8</x:v>
      </x:c>
      <x:c r="F246" s="341" t="n">
        <x:v>31</x:v>
      </x:c>
      <x:c r="G246" s="342" t="n">
        <x:f>IFERROR(D246/F246,0)</x:f>
        <x:v>0.22688172043010751</x:v>
      </x:c>
      <x:c r="H246" s="343" t="n">
        <x:f>IFERROR(E246/D246,0)</x:f>
        <x:v>6.7962085308056865</x:v>
      </x:c>
      <x:c r="I246" s="340" t="str">
        <x:v>1991-2020</x:v>
      </x:c>
      <x:c r="J246" s="338" t="str">
        <x:v>GREEN - official NIWA normal</x:v>
      </x:c>
    </x:row>
    <x:row r="247">
      <x:c r="A247" s="340" t="str">
        <x:v>Mt Cook</x:v>
      </x:c>
      <x:c r="B247" s="340" t="n">
        <x:v>1</x:v>
      </x:c>
      <x:c r="C247" s="340" t="str">
        <x:v>Jan</x:v>
      </x:c>
      <x:c r="D247" s="341" t="n">
        <x:v>11.25</x:v>
      </x:c>
      <x:c r="E247" s="341" t="n">
        <x:v>418.7</x:v>
      </x:c>
      <x:c r="F247" s="341" t="n">
        <x:v>31</x:v>
      </x:c>
      <x:c r="G247" s="342" t="n">
        <x:f>IFERROR(D247/F247,0)</x:f>
        <x:v>0.3629032258064516</x:v>
      </x:c>
      <x:c r="H247" s="343" t="n">
        <x:f>IFERROR(E247/D247,0)</x:f>
        <x:v>37.217777777777776</x:v>
      </x:c>
      <x:c r="I247" s="340" t="str">
        <x:v>1991-2020</x:v>
      </x:c>
      <x:c r="J247" s="338" t="str">
        <x:v>GREEN - official NIWA normal</x:v>
      </x:c>
    </x:row>
    <x:row r="248">
      <x:c r="A248" s="340" t="str">
        <x:v>Mt Cook</x:v>
      </x:c>
      <x:c r="B248" s="340" t="n">
        <x:v>2</x:v>
      </x:c>
      <x:c r="C248" s="340" t="str">
        <x:v>Feb</x:v>
      </x:c>
      <x:c r="D248" s="341" t="n">
        <x:v>8.95</x:v>
      </x:c>
      <x:c r="E248" s="341" t="n">
        <x:v>272</x:v>
      </x:c>
      <x:c r="F248" s="341" t="n">
        <x:v>28.266666666666666</x:v>
      </x:c>
      <x:c r="G248" s="342" t="n">
        <x:f>IFERROR(D248/F248,0)</x:f>
        <x:v>0.316627358490566</x:v>
      </x:c>
      <x:c r="H248" s="343" t="n">
        <x:f>IFERROR(E248/D248,0)</x:f>
        <x:v>30.39106145251397</x:v>
      </x:c>
      <x:c r="I248" s="340" t="str">
        <x:v>1991-2020</x:v>
      </x:c>
      <x:c r="J248" s="338" t="str">
        <x:v>GREEN - official NIWA normal</x:v>
      </x:c>
    </x:row>
    <x:row r="249">
      <x:c r="A249" s="340" t="str">
        <x:v>Mt Cook</x:v>
      </x:c>
      <x:c r="B249" s="340" t="n">
        <x:v>3</x:v>
      </x:c>
      <x:c r="C249" s="340" t="str">
        <x:v>Mar</x:v>
      </x:c>
      <x:c r="D249" s="341" t="n">
        <x:v>10</x:v>
      </x:c>
      <x:c r="E249" s="341" t="n">
        <x:v>315</x:v>
      </x:c>
      <x:c r="F249" s="341" t="n">
        <x:v>31</x:v>
      </x:c>
      <x:c r="G249" s="342" t="n">
        <x:f>IFERROR(D249/F249,0)</x:f>
        <x:v>0.3225806451612903</x:v>
      </x:c>
      <x:c r="H249" s="343" t="n">
        <x:f>IFERROR(E249/D249,0)</x:f>
        <x:v>31.5</x:v>
      </x:c>
      <x:c r="I249" s="340" t="str">
        <x:v>1991-2020</x:v>
      </x:c>
      <x:c r="J249" s="338" t="str">
        <x:v>GREEN - official NIWA normal</x:v>
      </x:c>
    </x:row>
    <x:row r="250">
      <x:c r="A250" s="340" t="str">
        <x:v>Mt Cook</x:v>
      </x:c>
      <x:c r="B250" s="340" t="n">
        <x:v>4</x:v>
      </x:c>
      <x:c r="C250" s="340" t="str">
        <x:v>Apr</x:v>
      </x:c>
      <x:c r="D250" s="341" t="n">
        <x:v>11.523809523809524</x:v>
      </x:c>
      <x:c r="E250" s="341" t="n">
        <x:v>336.5</x:v>
      </x:c>
      <x:c r="F250" s="341" t="n">
        <x:v>30</x:v>
      </x:c>
      <x:c r="G250" s="342" t="n">
        <x:f>IFERROR(D250/F250,0)</x:f>
        <x:v>0.38412698412698415</x:v>
      </x:c>
      <x:c r="H250" s="343" t="n">
        <x:f>IFERROR(E250/D250,0)</x:f>
        <x:v>29.200413223140497</x:v>
      </x:c>
      <x:c r="I250" s="340" t="str">
        <x:v>1991-2020</x:v>
      </x:c>
      <x:c r="J250" s="338" t="str">
        <x:v>GREEN - official NIWA normal</x:v>
      </x:c>
    </x:row>
    <x:row r="251">
      <x:c r="A251" s="340" t="str">
        <x:v>Mt Cook</x:v>
      </x:c>
      <x:c r="B251" s="340" t="n">
        <x:v>5</x:v>
      </x:c>
      <x:c r="C251" s="340" t="str">
        <x:v>May</x:v>
      </x:c>
      <x:c r="D251" s="341" t="n">
        <x:v>15.238095238095237</x:v>
      </x:c>
      <x:c r="E251" s="341" t="n">
        <x:v>377.8</x:v>
      </x:c>
      <x:c r="F251" s="341" t="n">
        <x:v>31</x:v>
      </x:c>
      <x:c r="G251" s="342" t="n">
        <x:f>IFERROR(D251/F251,0)</x:f>
        <x:v>0.4915514592933948</x:v>
      </x:c>
      <x:c r="H251" s="343" t="n">
        <x:f>IFERROR(E251/D251,0)</x:f>
        <x:v>24.793125000000003</x:v>
      </x:c>
      <x:c r="I251" s="340" t="str">
        <x:v>1991-2020</x:v>
      </x:c>
      <x:c r="J251" s="338" t="str">
        <x:v>GREEN - official NIWA normal</x:v>
      </x:c>
    </x:row>
    <x:row r="252">
      <x:c r="A252" s="340" t="str">
        <x:v>Mt Cook</x:v>
      </x:c>
      <x:c r="B252" s="340" t="n">
        <x:v>6</x:v>
      </x:c>
      <x:c r="C252" s="340" t="str">
        <x:v>Jun</x:v>
      </x:c>
      <x:c r="D252" s="341" t="n">
        <x:v>14.19047619047619</x:v>
      </x:c>
      <x:c r="E252" s="341" t="n">
        <x:v>291</x:v>
      </x:c>
      <x:c r="F252" s="341" t="n">
        <x:v>30</x:v>
      </x:c>
      <x:c r="G252" s="342" t="n">
        <x:f>IFERROR(D252/F252,0)</x:f>
        <x:v>0.473015873015873</x:v>
      </x:c>
      <x:c r="H252" s="343" t="n">
        <x:f>IFERROR(E252/D252,0)</x:f>
        <x:v>20.506711409395972</x:v>
      </x:c>
      <x:c r="I252" s="340" t="str">
        <x:v>1991-2020</x:v>
      </x:c>
      <x:c r="J252" s="338" t="str">
        <x:v>GREEN - official NIWA normal</x:v>
      </x:c>
    </x:row>
    <x:row r="253">
      <x:c r="A253" s="340" t="str">
        <x:v>Mt Cook</x:v>
      </x:c>
      <x:c r="B253" s="340" t="n">
        <x:v>7</x:v>
      </x:c>
      <x:c r="C253" s="340" t="str">
        <x:v>Jul</x:v>
      </x:c>
      <x:c r="D253" s="341" t="n">
        <x:v>13.15</x:v>
      </x:c>
      <x:c r="E253" s="341" t="n">
        <x:v>288.6</x:v>
      </x:c>
      <x:c r="F253" s="341" t="n">
        <x:v>31</x:v>
      </x:c>
      <x:c r="G253" s="342" t="n">
        <x:f>IFERROR(D253/F253,0)</x:f>
        <x:v>0.4241935483870968</x:v>
      </x:c>
      <x:c r="H253" s="343" t="n">
        <x:f>IFERROR(E253/D253,0)</x:f>
        <x:v>21.946768060836504</x:v>
      </x:c>
      <x:c r="I253" s="340" t="str">
        <x:v>1991-2020</x:v>
      </x:c>
      <x:c r="J253" s="338" t="str">
        <x:v>GREEN - official NIWA normal</x:v>
      </x:c>
    </x:row>
    <x:row r="254">
      <x:c r="A254" s="340" t="str">
        <x:v>Mt Cook</x:v>
      </x:c>
      <x:c r="B254" s="340" t="n">
        <x:v>8</x:v>
      </x:c>
      <x:c r="C254" s="340" t="str">
        <x:v>Aug</x:v>
      </x:c>
      <x:c r="D254" s="341" t="n">
        <x:v>13.55</x:v>
      </x:c>
      <x:c r="E254" s="341" t="n">
        <x:v>283.8</x:v>
      </x:c>
      <x:c r="F254" s="341" t="n">
        <x:v>31</x:v>
      </x:c>
      <x:c r="G254" s="342" t="n">
        <x:f>IFERROR(D254/F254,0)</x:f>
        <x:v>0.4370967741935484</x:v>
      </x:c>
      <x:c r="H254" s="343" t="n">
        <x:f>IFERROR(E254/D254,0)</x:f>
        <x:v>20.944649446494466</x:v>
      </x:c>
      <x:c r="I254" s="340" t="str">
        <x:v>1991-2020</x:v>
      </x:c>
      <x:c r="J254" s="338" t="str">
        <x:v>GREEN - official NIWA normal</x:v>
      </x:c>
    </x:row>
    <x:row r="255">
      <x:c r="A255" s="340" t="str">
        <x:v>Mt Cook</x:v>
      </x:c>
      <x:c r="B255" s="340" t="n">
        <x:v>9</x:v>
      </x:c>
      <x:c r="C255" s="340" t="str">
        <x:v>Sep</x:v>
      </x:c>
      <x:c r="D255" s="341" t="n">
        <x:v>15</x:v>
      </x:c>
      <x:c r="E255" s="341" t="n">
        <x:v>361</x:v>
      </x:c>
      <x:c r="F255" s="341" t="n">
        <x:v>30</x:v>
      </x:c>
      <x:c r="G255" s="342" t="n">
        <x:f>IFERROR(D255/F255,0)</x:f>
        <x:v>0.5</x:v>
      </x:c>
      <x:c r="H255" s="343" t="n">
        <x:f>IFERROR(E255/D255,0)</x:f>
        <x:v>24.066666666666666</x:v>
      </x:c>
      <x:c r="I255" s="340" t="str">
        <x:v>1991-2020</x:v>
      </x:c>
      <x:c r="J255" s="338" t="str">
        <x:v>GREEN - official NIWA normal</x:v>
      </x:c>
    </x:row>
    <x:row r="256">
      <x:c r="A256" s="340" t="str">
        <x:v>Mt Cook</x:v>
      </x:c>
      <x:c r="B256" s="340" t="n">
        <x:v>10</x:v>
      </x:c>
      <x:c r="C256" s="340" t="str">
        <x:v>Oct</x:v>
      </x:c>
      <x:c r="D256" s="341" t="n">
        <x:v>15.80952380952381</x:v>
      </x:c>
      <x:c r="E256" s="341" t="n">
        <x:v>394.4</x:v>
      </x:c>
      <x:c r="F256" s="341" t="n">
        <x:v>31</x:v>
      </x:c>
      <x:c r="G256" s="342" t="n">
        <x:f>IFERROR(D256/F256,0)</x:f>
        <x:v>0.5099846390168971</x:v>
      </x:c>
      <x:c r="H256" s="343" t="n">
        <x:f>IFERROR(E256/D256,0)</x:f>
        <x:v>24.946987951807227</x:v>
      </x:c>
      <x:c r="I256" s="340" t="str">
        <x:v>1991-2020</x:v>
      </x:c>
      <x:c r="J256" s="338" t="str">
        <x:v>GREEN - official NIWA normal</x:v>
      </x:c>
    </x:row>
    <x:row r="257">
      <x:c r="A257" s="340" t="str">
        <x:v>Mt Cook</x:v>
      </x:c>
      <x:c r="B257" s="340" t="n">
        <x:v>11</x:v>
      </x:c>
      <x:c r="C257" s="340" t="str">
        <x:v>Nov</x:v>
      </x:c>
      <x:c r="D257" s="341" t="n">
        <x:v>13.523809523809524</x:v>
      </x:c>
      <x:c r="E257" s="341" t="n">
        <x:v>367.6</x:v>
      </x:c>
      <x:c r="F257" s="341" t="n">
        <x:v>30</x:v>
      </x:c>
      <x:c r="G257" s="342" t="n">
        <x:f>IFERROR(D257/F257,0)</x:f>
        <x:v>0.4507936507936508</x:v>
      </x:c>
      <x:c r="H257" s="343" t="n">
        <x:f>IFERROR(E257/D257,0)</x:f>
        <x:v>27.181690140845074</x:v>
      </x:c>
      <x:c r="I257" s="340" t="str">
        <x:v>1991-2020</x:v>
      </x:c>
      <x:c r="J257" s="338" t="str">
        <x:v>GREEN - official NIWA normal</x:v>
      </x:c>
    </x:row>
    <x:row r="258">
      <x:c r="A258" s="340" t="str">
        <x:v>Mt Cook</x:v>
      </x:c>
      <x:c r="B258" s="340" t="n">
        <x:v>12</x:v>
      </x:c>
      <x:c r="C258" s="340" t="str">
        <x:v>Dec</x:v>
      </x:c>
      <x:c r="D258" s="341" t="n">
        <x:v>13.80952380952381</x:v>
      </x:c>
      <x:c r="E258" s="341" t="n">
        <x:v>425.9</x:v>
      </x:c>
      <x:c r="F258" s="341" t="n">
        <x:v>31</x:v>
      </x:c>
      <x:c r="G258" s="342" t="n">
        <x:f>IFERROR(D258/F258,0)</x:f>
        <x:v>0.44546850998463905</x:v>
      </x:c>
      <x:c r="H258" s="343" t="n">
        <x:f>IFERROR(E258/D258,0)</x:f>
        <x:v>30.841034482758616</x:v>
      </x:c>
      <x:c r="I258" s="340" t="str">
        <x:v>1991-2020</x:v>
      </x:c>
      <x:c r="J258" s="338" t="str">
        <x:v>GREEN - official NIWA normal</x:v>
      </x:c>
    </x:row>
    <x:row r="259">
      <x:c r="A259" s="340" t="str">
        <x:v>Lake Tekapo</x:v>
      </x:c>
      <x:c r="B259" s="340" t="n">
        <x:v>1</x:v>
      </x:c>
      <x:c r="C259" s="340" t="str">
        <x:v>Jan</x:v>
      </x:c>
      <x:c r="D259" s="341" t="n">
        <x:v>4.9411764705882355</x:v>
      </x:c>
      <x:c r="E259" s="341" t="n">
        <x:v>38.1</x:v>
      </x:c>
      <x:c r="F259" s="341" t="n">
        <x:v>31</x:v>
      </x:c>
      <x:c r="G259" s="342" t="n">
        <x:f>IFERROR(D259/F259,0)</x:f>
        <x:v>0.15939278937381404</x:v>
      </x:c>
      <x:c r="H259" s="343" t="n">
        <x:f>IFERROR(E259/D259,0)</x:f>
        <x:v>7.710714285714285</x:v>
      </x:c>
      <x:c r="I259" s="340" t="str">
        <x:v>1991-2020</x:v>
      </x:c>
      <x:c r="J259" s="338" t="str">
        <x:v>GREEN - official NIWA normal</x:v>
      </x:c>
    </x:row>
    <x:row r="260">
      <x:c r="A260" s="340" t="str">
        <x:v>Lake Tekapo</x:v>
      </x:c>
      <x:c r="B260" s="340" t="n">
        <x:v>2</x:v>
      </x:c>
      <x:c r="C260" s="340" t="str">
        <x:v>Feb</x:v>
      </x:c>
      <x:c r="D260" s="341" t="n">
        <x:v>4.411764705882353</x:v>
      </x:c>
      <x:c r="E260" s="341" t="n">
        <x:v>42.2</x:v>
      </x:c>
      <x:c r="F260" s="341" t="n">
        <x:v>28.266666666666666</x:v>
      </x:c>
      <x:c r="G260" s="342" t="n">
        <x:f>IFERROR(D260/F260,0)</x:f>
        <x:v>0.15607658157602666</x:v>
      </x:c>
      <x:c r="H260" s="343" t="n">
        <x:f>IFERROR(E260/D260,0)</x:f>
        <x:v>9.565333333333333</x:v>
      </x:c>
      <x:c r="I260" s="340" t="str">
        <x:v>1991-2020</x:v>
      </x:c>
      <x:c r="J260" s="338" t="str">
        <x:v>GREEN - official NIWA normal</x:v>
      </x:c>
    </x:row>
    <x:row r="261">
      <x:c r="A261" s="340" t="str">
        <x:v>Lake Tekapo</x:v>
      </x:c>
      <x:c r="B261" s="340" t="n">
        <x:v>3</x:v>
      </x:c>
      <x:c r="C261" s="340" t="str">
        <x:v>Mar</x:v>
      </x:c>
      <x:c r="D261" s="341" t="n">
        <x:v>4.764705882352941</x:v>
      </x:c>
      <x:c r="E261" s="341" t="n">
        <x:v>29.2</x:v>
      </x:c>
      <x:c r="F261" s="341" t="n">
        <x:v>31</x:v>
      </x:c>
      <x:c r="G261" s="342" t="n">
        <x:f>IFERROR(D261/F261,0)</x:f>
        <x:v>0.15370018975332067</x:v>
      </x:c>
      <x:c r="H261" s="343" t="n">
        <x:f>IFERROR(E261/D261,0)</x:f>
        <x:v>6.128395061728395</x:v>
      </x:c>
      <x:c r="I261" s="340" t="str">
        <x:v>1991-2020</x:v>
      </x:c>
      <x:c r="J261" s="338" t="str">
        <x:v>GREEN - official NIWA normal</x:v>
      </x:c>
    </x:row>
    <x:row r="262">
      <x:c r="A262" s="340" t="str">
        <x:v>Lake Tekapo</x:v>
      </x:c>
      <x:c r="B262" s="340" t="n">
        <x:v>4</x:v>
      </x:c>
      <x:c r="C262" s="340" t="str">
        <x:v>Apr</x:v>
      </x:c>
      <x:c r="D262" s="341" t="n">
        <x:v>5.9411764705882355</x:v>
      </x:c>
      <x:c r="E262" s="341" t="n">
        <x:v>51</x:v>
      </x:c>
      <x:c r="F262" s="341" t="n">
        <x:v>30</x:v>
      </x:c>
      <x:c r="G262" s="342" t="n">
        <x:f>IFERROR(D262/F262,0)</x:f>
        <x:v>0.19803921568627453</x:v>
      </x:c>
      <x:c r="H262" s="343" t="n">
        <x:f>IFERROR(E262/D262,0)</x:f>
        <x:v>8.584158415841584</x:v>
      </x:c>
      <x:c r="I262" s="340" t="str">
        <x:v>1991-2020</x:v>
      </x:c>
      <x:c r="J262" s="338" t="str">
        <x:v>GREEN - official NIWA normal</x:v>
      </x:c>
    </x:row>
    <x:row r="263">
      <x:c r="A263" s="340" t="str">
        <x:v>Lake Tekapo</x:v>
      </x:c>
      <x:c r="B263" s="340" t="n">
        <x:v>5</x:v>
      </x:c>
      <x:c r="C263" s="340" t="str">
        <x:v>May</x:v>
      </x:c>
      <x:c r="D263" s="341" t="n">
        <x:v>7.764705882352941</x:v>
      </x:c>
      <x:c r="E263" s="341" t="n">
        <x:v>71.6</x:v>
      </x:c>
      <x:c r="F263" s="341" t="n">
        <x:v>31</x:v>
      </x:c>
      <x:c r="G263" s="342" t="n">
        <x:f>IFERROR(D263/F263,0)</x:f>
        <x:v>0.2504743833017078</x:v>
      </x:c>
      <x:c r="H263" s="343" t="n">
        <x:f>IFERROR(E263/D263,0)</x:f>
        <x:v>9.22121212121212</x:v>
      </x:c>
      <x:c r="I263" s="340" t="str">
        <x:v>1991-2020</x:v>
      </x:c>
      <x:c r="J263" s="338" t="str">
        <x:v>GREEN - official NIWA normal</x:v>
      </x:c>
    </x:row>
    <x:row r="264">
      <x:c r="A264" s="340" t="str">
        <x:v>Lake Tekapo</x:v>
      </x:c>
      <x:c r="B264" s="340" t="n">
        <x:v>6</x:v>
      </x:c>
      <x:c r="C264" s="340" t="str">
        <x:v>Jun</x:v>
      </x:c>
      <x:c r="D264" s="341" t="n">
        <x:v>7.235294117647059</x:v>
      </x:c>
      <x:c r="E264" s="341" t="n">
        <x:v>52.1</x:v>
      </x:c>
      <x:c r="F264" s="341" t="n">
        <x:v>30</x:v>
      </x:c>
      <x:c r="G264" s="342" t="n">
        <x:f>IFERROR(D264/F264,0)</x:f>
        <x:v>0.2411764705882353</x:v>
      </x:c>
      <x:c r="H264" s="343" t="n">
        <x:f>IFERROR(E264/D264,0)</x:f>
        <x:v>7.200813008130082</x:v>
      </x:c>
      <x:c r="I264" s="340" t="str">
        <x:v>1991-2020</x:v>
      </x:c>
      <x:c r="J264" s="338" t="str">
        <x:v>GREEN - official NIWA normal</x:v>
      </x:c>
    </x:row>
    <x:row r="265">
      <x:c r="A265" s="340" t="str">
        <x:v>Lake Tekapo</x:v>
      </x:c>
      <x:c r="B265" s="340" t="n">
        <x:v>7</x:v>
      </x:c>
      <x:c r="C265" s="340" t="str">
        <x:v>Jul</x:v>
      </x:c>
      <x:c r="D265" s="341" t="n">
        <x:v>6.777777777777778</x:v>
      </x:c>
      <x:c r="E265" s="341" t="n">
        <x:v>50.3</x:v>
      </x:c>
      <x:c r="F265" s="341" t="n">
        <x:v>31</x:v>
      </x:c>
      <x:c r="G265" s="342" t="n">
        <x:f>IFERROR(D265/F265,0)</x:f>
        <x:v>0.21863799283154123</x:v>
      </x:c>
      <x:c r="H265" s="343" t="n">
        <x:f>IFERROR(E265/D265,0)</x:f>
        <x:v>7.421311475409836</x:v>
      </x:c>
      <x:c r="I265" s="340" t="str">
        <x:v>1991-2020</x:v>
      </x:c>
      <x:c r="J265" s="338" t="str">
        <x:v>GREEN - official NIWA normal</x:v>
      </x:c>
    </x:row>
    <x:row r="266">
      <x:c r="A266" s="340" t="str">
        <x:v>Lake Tekapo</x:v>
      </x:c>
      <x:c r="B266" s="340" t="n">
        <x:v>8</x:v>
      </x:c>
      <x:c r="C266" s="340" t="str">
        <x:v>Aug</x:v>
      </x:c>
      <x:c r="D266" s="341" t="n">
        <x:v>7.176470588235294</x:v>
      </x:c>
      <x:c r="E266" s="341" t="n">
        <x:v>38.2</x:v>
      </x:c>
      <x:c r="F266" s="341" t="n">
        <x:v>31</x:v>
      </x:c>
      <x:c r="G266" s="342" t="n">
        <x:f>IFERROR(D266/F266,0)</x:f>
        <x:v>0.2314990512333966</x:v>
      </x:c>
      <x:c r="H266" s="343" t="n">
        <x:f>IFERROR(E266/D266,0)</x:f>
        <x:v>5.322950819672132</x:v>
      </x:c>
      <x:c r="I266" s="340" t="str">
        <x:v>1991-2020</x:v>
      </x:c>
      <x:c r="J266" s="338" t="str">
        <x:v>GREEN - official NIWA normal</x:v>
      </x:c>
    </x:row>
    <x:row r="267">
      <x:c r="A267" s="340" t="str">
        <x:v>Lake Tekapo</x:v>
      </x:c>
      <x:c r="B267" s="340" t="n">
        <x:v>9</x:v>
      </x:c>
      <x:c r="C267" s="340" t="str">
        <x:v>Sep</x:v>
      </x:c>
      <x:c r="D267" s="341" t="n">
        <x:v>6.411764705882353</x:v>
      </x:c>
      <x:c r="E267" s="341" t="n">
        <x:v>33.8</x:v>
      </x:c>
      <x:c r="F267" s="341" t="n">
        <x:v>30</x:v>
      </x:c>
      <x:c r="G267" s="342" t="n">
        <x:f>IFERROR(D267/F267,0)</x:f>
        <x:v>0.21372549019607845</x:v>
      </x:c>
      <x:c r="H267" s="343" t="n">
        <x:f>IFERROR(E267/D267,0)</x:f>
        <x:v>5.271559633027522</x:v>
      </x:c>
      <x:c r="I267" s="340" t="str">
        <x:v>1991-2020</x:v>
      </x:c>
      <x:c r="J267" s="338" t="str">
        <x:v>GREEN - official NIWA normal</x:v>
      </x:c>
    </x:row>
    <x:row r="268">
      <x:c r="A268" s="340" t="str">
        <x:v>Lake Tekapo</x:v>
      </x:c>
      <x:c r="B268" s="340" t="n">
        <x:v>10</x:v>
      </x:c>
      <x:c r="C268" s="340" t="str">
        <x:v>Oct</x:v>
      </x:c>
      <x:c r="D268" s="341" t="n">
        <x:v>7.333333333333333</x:v>
      </x:c>
      <x:c r="E268" s="341" t="n">
        <x:v>44.9</x:v>
      </x:c>
      <x:c r="F268" s="341" t="n">
        <x:v>31</x:v>
      </x:c>
      <x:c r="G268" s="342" t="n">
        <x:f>IFERROR(D268/F268,0)</x:f>
        <x:v>0.23655913978494622</x:v>
      </x:c>
      <x:c r="H268" s="343" t="n">
        <x:f>IFERROR(E268/D268,0)</x:f>
        <x:v>6.122727272727273</x:v>
      </x:c>
      <x:c r="I268" s="340" t="str">
        <x:v>1991-2020</x:v>
      </x:c>
      <x:c r="J268" s="338" t="str">
        <x:v>GREEN - official NIWA normal</x:v>
      </x:c>
    </x:row>
    <x:row r="269">
      <x:c r="A269" s="340" t="str">
        <x:v>Lake Tekapo</x:v>
      </x:c>
      <x:c r="B269" s="340" t="n">
        <x:v>11</x:v>
      </x:c>
      <x:c r="C269" s="340" t="str">
        <x:v>Nov</x:v>
      </x:c>
      <x:c r="D269" s="341" t="n">
        <x:v>5.888888888888889</x:v>
      </x:c>
      <x:c r="E269" s="341" t="n">
        <x:v>42.3</x:v>
      </x:c>
      <x:c r="F269" s="341" t="n">
        <x:v>30</x:v>
      </x:c>
      <x:c r="G269" s="342" t="n">
        <x:f>IFERROR(D269/F269,0)</x:f>
        <x:v>0.1962962962962963</x:v>
      </x:c>
      <x:c r="H269" s="343" t="n">
        <x:f>IFERROR(E269/D269,0)</x:f>
        <x:v>7.1830188679245275</x:v>
      </x:c>
      <x:c r="I269" s="340" t="str">
        <x:v>1991-2020</x:v>
      </x:c>
      <x:c r="J269" s="338" t="str">
        <x:v>GREEN - official NIWA normal</x:v>
      </x:c>
    </x:row>
    <x:row r="270">
      <x:c r="A270" s="340" t="str">
        <x:v>Lake Tekapo</x:v>
      </x:c>
      <x:c r="B270" s="340" t="n">
        <x:v>12</x:v>
      </x:c>
      <x:c r="C270" s="340" t="str">
        <x:v>Dec</x:v>
      </x:c>
      <x:c r="D270" s="341" t="n">
        <x:v>6.166666666666667</x:v>
      </x:c>
      <x:c r="E270" s="341" t="n">
        <x:v>41.1</x:v>
      </x:c>
      <x:c r="F270" s="341" t="n">
        <x:v>31</x:v>
      </x:c>
      <x:c r="G270" s="342" t="n">
        <x:f>IFERROR(D270/F270,0)</x:f>
        <x:v>0.19892473118279572</x:v>
      </x:c>
      <x:c r="H270" s="343" t="n">
        <x:f>IFERROR(E270/D270,0)</x:f>
        <x:v>6.664864864864865</x:v>
      </x:c>
      <x:c r="I270" s="340" t="str">
        <x:v>1991-2020</x:v>
      </x:c>
      <x:c r="J270" s="338" t="str">
        <x:v>GREEN - official NIWA normal</x:v>
      </x:c>
    </x:row>
    <x:row r="271">
      <x:c r="A271" s="340" t="str">
        <x:v>Timaru</x:v>
      </x:c>
      <x:c r="B271" s="340" t="n">
        <x:v>1</x:v>
      </x:c>
      <x:c r="C271" s="340" t="str">
        <x:v>Jan</x:v>
      </x:c>
      <x:c r="D271" s="341" t="n">
        <x:v>7.636363636363637</x:v>
      </x:c>
      <x:c r="E271" s="341" t="n">
        <x:v>50.3</x:v>
      </x:c>
      <x:c r="F271" s="341" t="n">
        <x:v>31</x:v>
      </x:c>
      <x:c r="G271" s="342" t="n">
        <x:f>IFERROR(D271/F271,0)</x:f>
        <x:v>0.24633431085043989</x:v>
      </x:c>
      <x:c r="H271" s="343" t="n">
        <x:f>IFERROR(E271/D271,0)</x:f>
        <x:v>6.586904761904761</x:v>
      </x:c>
      <x:c r="I271" s="340" t="str">
        <x:v>1991-2020</x:v>
      </x:c>
      <x:c r="J271" s="338" t="str">
        <x:v>GREEN - official NIWA normal</x:v>
      </x:c>
    </x:row>
    <x:row r="272">
      <x:c r="A272" s="340" t="str">
        <x:v>Timaru</x:v>
      </x:c>
      <x:c r="B272" s="340" t="n">
        <x:v>2</x:v>
      </x:c>
      <x:c r="C272" s="340" t="str">
        <x:v>Feb</x:v>
      </x:c>
      <x:c r="D272" s="341" t="n">
        <x:v>6</x:v>
      </x:c>
      <x:c r="E272" s="341" t="n">
        <x:v>52.3</x:v>
      </x:c>
      <x:c r="F272" s="341" t="n">
        <x:v>28.266666666666666</x:v>
      </x:c>
      <x:c r="G272" s="342" t="n">
        <x:f>IFERROR(D272/F272,0)</x:f>
        <x:v>0.21226415094339623</x:v>
      </x:c>
      <x:c r="H272" s="343" t="n">
        <x:f>IFERROR(E272/D272,0)</x:f>
        <x:v>8.716666666666667</x:v>
      </x:c>
      <x:c r="I272" s="340" t="str">
        <x:v>1991-2020</x:v>
      </x:c>
      <x:c r="J272" s="338" t="str">
        <x:v>GREEN - official NIWA normal</x:v>
      </x:c>
    </x:row>
    <x:row r="273">
      <x:c r="A273" s="340" t="str">
        <x:v>Timaru</x:v>
      </x:c>
      <x:c r="B273" s="340" t="n">
        <x:v>3</x:v>
      </x:c>
      <x:c r="C273" s="340" t="str">
        <x:v>Mar</x:v>
      </x:c>
      <x:c r="D273" s="341" t="n">
        <x:v>5.75</x:v>
      </x:c>
      <x:c r="E273" s="341" t="n">
        <x:v>38.6</x:v>
      </x:c>
      <x:c r="F273" s="341" t="n">
        <x:v>31</x:v>
      </x:c>
      <x:c r="G273" s="342" t="n">
        <x:f>IFERROR(D273/F273,0)</x:f>
        <x:v>0.18548387096774194</x:v>
      </x:c>
      <x:c r="H273" s="343" t="n">
        <x:f>IFERROR(E273/D273,0)</x:f>
        <x:v>6.71304347826087</x:v>
      </x:c>
      <x:c r="I273" s="340" t="str">
        <x:v>1991-2020</x:v>
      </x:c>
      <x:c r="J273" s="338" t="str">
        <x:v>GREEN - official NIWA normal</x:v>
      </x:c>
    </x:row>
    <x:row r="274">
      <x:c r="A274" s="340" t="str">
        <x:v>Timaru</x:v>
      </x:c>
      <x:c r="B274" s="340" t="n">
        <x:v>4</x:v>
      </x:c>
      <x:c r="C274" s="340" t="str">
        <x:v>Apr</x:v>
      </x:c>
      <x:c r="D274" s="341" t="n">
        <x:v>7.333333333333333</x:v>
      </x:c>
      <x:c r="E274" s="341" t="n">
        <x:v>49.3</x:v>
      </x:c>
      <x:c r="F274" s="341" t="n">
        <x:v>30</x:v>
      </x:c>
      <x:c r="G274" s="342" t="n">
        <x:f>IFERROR(D274/F274,0)</x:f>
        <x:v>0.24444444444444444</x:v>
      </x:c>
      <x:c r="H274" s="343" t="n">
        <x:f>IFERROR(E274/D274,0)</x:f>
        <x:v>6.722727272727273</x:v>
      </x:c>
      <x:c r="I274" s="340" t="str">
        <x:v>1991-2020</x:v>
      </x:c>
      <x:c r="J274" s="338" t="str">
        <x:v>GREEN - official NIWA normal</x:v>
      </x:c>
    </x:row>
    <x:row r="275">
      <x:c r="A275" s="340" t="str">
        <x:v>Timaru</x:v>
      </x:c>
      <x:c r="B275" s="340" t="n">
        <x:v>5</x:v>
      </x:c>
      <x:c r="C275" s="340" t="str">
        <x:v>May</x:v>
      </x:c>
      <x:c r="D275" s="341" t="n">
        <x:v>6.416666666666667</x:v>
      </x:c>
      <x:c r="E275" s="341" t="n">
        <x:v>39.7</x:v>
      </x:c>
      <x:c r="F275" s="341" t="n">
        <x:v>31</x:v>
      </x:c>
      <x:c r="G275" s="342" t="n">
        <x:f>IFERROR(D275/F275,0)</x:f>
        <x:v>0.20698924731182797</x:v>
      </x:c>
      <x:c r="H275" s="343" t="n">
        <x:f>IFERROR(E275/D275,0)</x:f>
        <x:v>6.187012987012987</x:v>
      </x:c>
      <x:c r="I275" s="340" t="str">
        <x:v>1991-2020</x:v>
      </x:c>
      <x:c r="J275" s="338" t="str">
        <x:v>GREEN - official NIWA normal</x:v>
      </x:c>
    </x:row>
    <x:row r="276">
      <x:c r="A276" s="340" t="str">
        <x:v>Timaru</x:v>
      </x:c>
      <x:c r="B276" s="340" t="n">
        <x:v>6</x:v>
      </x:c>
      <x:c r="C276" s="340" t="str">
        <x:v>Jun</x:v>
      </x:c>
      <x:c r="D276" s="341" t="n">
        <x:v>5.25</x:v>
      </x:c>
      <x:c r="E276" s="341" t="n">
        <x:v>39.4</x:v>
      </x:c>
      <x:c r="F276" s="341" t="n">
        <x:v>30</x:v>
      </x:c>
      <x:c r="G276" s="342" t="n">
        <x:f>IFERROR(D276/F276,0)</x:f>
        <x:v>0.175</x:v>
      </x:c>
      <x:c r="H276" s="343" t="n">
        <x:f>IFERROR(E276/D276,0)</x:f>
        <x:v>7.504761904761905</x:v>
      </x:c>
      <x:c r="I276" s="340" t="str">
        <x:v>1991-2020</x:v>
      </x:c>
      <x:c r="J276" s="338" t="str">
        <x:v>GREEN - official NIWA normal</x:v>
      </x:c>
    </x:row>
    <x:row r="277">
      <x:c r="A277" s="340" t="str">
        <x:v>Timaru</x:v>
      </x:c>
      <x:c r="B277" s="340" t="n">
        <x:v>7</x:v>
      </x:c>
      <x:c r="C277" s="340" t="str">
        <x:v>Jul</x:v>
      </x:c>
      <x:c r="D277" s="341" t="n">
        <x:v>5</x:v>
      </x:c>
      <x:c r="E277" s="341" t="n">
        <x:v>42</x:v>
      </x:c>
      <x:c r="F277" s="341" t="n">
        <x:v>31</x:v>
      </x:c>
      <x:c r="G277" s="342" t="n">
        <x:f>IFERROR(D277/F277,0)</x:f>
        <x:v>0.16129032258064516</x:v>
      </x:c>
      <x:c r="H277" s="343" t="n">
        <x:f>IFERROR(E277/D277,0)</x:f>
        <x:v>8.4</x:v>
      </x:c>
      <x:c r="I277" s="340" t="str">
        <x:v>1991-2020</x:v>
      </x:c>
      <x:c r="J277" s="338" t="str">
        <x:v>GREEN - official NIWA normal</x:v>
      </x:c>
    </x:row>
    <x:row r="278">
      <x:c r="A278" s="340" t="str">
        <x:v>Timaru</x:v>
      </x:c>
      <x:c r="B278" s="340" t="n">
        <x:v>8</x:v>
      </x:c>
      <x:c r="C278" s="340" t="str">
        <x:v>Aug</x:v>
      </x:c>
      <x:c r="D278" s="341" t="n">
        <x:v>5.615384615384615</x:v>
      </x:c>
      <x:c r="E278" s="341" t="n">
        <x:v>44.6</x:v>
      </x:c>
      <x:c r="F278" s="341" t="n">
        <x:v>31</x:v>
      </x:c>
      <x:c r="G278" s="342" t="n">
        <x:f>IFERROR(D278/F278,0)</x:f>
        <x:v>0.18114143920595532</x:v>
      </x:c>
      <x:c r="H278" s="343" t="n">
        <x:f>IFERROR(E278/D278,0)</x:f>
        <x:v>7.942465753424658</x:v>
      </x:c>
      <x:c r="I278" s="340" t="str">
        <x:v>1991-2020</x:v>
      </x:c>
      <x:c r="J278" s="338" t="str">
        <x:v>GREEN - official NIWA normal</x:v>
      </x:c>
    </x:row>
    <x:row r="279">
      <x:c r="A279" s="340" t="str">
        <x:v>Timaru</x:v>
      </x:c>
      <x:c r="B279" s="340" t="n">
        <x:v>9</x:v>
      </x:c>
      <x:c r="C279" s="340" t="str">
        <x:v>Sep</x:v>
      </x:c>
      <x:c r="D279" s="341" t="n">
        <x:v>5.384615384615385</x:v>
      </x:c>
      <x:c r="E279" s="341" t="n">
        <x:v>33.5</x:v>
      </x:c>
      <x:c r="F279" s="341" t="n">
        <x:v>30</x:v>
      </x:c>
      <x:c r="G279" s="342" t="n">
        <x:f>IFERROR(D279/F279,0)</x:f>
        <x:v>0.1794871794871795</x:v>
      </x:c>
      <x:c r="H279" s="343" t="n">
        <x:f>IFERROR(E279/D279,0)</x:f>
        <x:v>6.221428571428571</x:v>
      </x:c>
      <x:c r="I279" s="340" t="str">
        <x:v>1991-2020</x:v>
      </x:c>
      <x:c r="J279" s="338" t="str">
        <x:v>GREEN - official NIWA normal</x:v>
      </x:c>
    </x:row>
    <x:row r="280">
      <x:c r="A280" s="340" t="str">
        <x:v>Timaru</x:v>
      </x:c>
      <x:c r="B280" s="340" t="n">
        <x:v>10</x:v>
      </x:c>
      <x:c r="C280" s="340" t="str">
        <x:v>Oct</x:v>
      </x:c>
      <x:c r="D280" s="341" t="n">
        <x:v>8.076923076923077</x:v>
      </x:c>
      <x:c r="E280" s="341" t="n">
        <x:v>47.8</x:v>
      </x:c>
      <x:c r="F280" s="341" t="n">
        <x:v>31</x:v>
      </x:c>
      <x:c r="G280" s="342" t="n">
        <x:f>IFERROR(D280/F280,0)</x:f>
        <x:v>0.26054590570719605</x:v>
      </x:c>
      <x:c r="H280" s="343" t="n">
        <x:f>IFERROR(E280/D280,0)</x:f>
        <x:v>5.918095238095238</x:v>
      </x:c>
      <x:c r="I280" s="340" t="str">
        <x:v>1991-2020</x:v>
      </x:c>
      <x:c r="J280" s="338" t="str">
        <x:v>GREEN - official NIWA normal</x:v>
      </x:c>
    </x:row>
    <x:row r="281">
      <x:c r="A281" s="340" t="str">
        <x:v>Timaru</x:v>
      </x:c>
      <x:c r="B281" s="340" t="n">
        <x:v>11</x:v>
      </x:c>
      <x:c r="C281" s="340" t="str">
        <x:v>Nov</x:v>
      </x:c>
      <x:c r="D281" s="341" t="n">
        <x:v>7.230769230769231</x:v>
      </x:c>
      <x:c r="E281" s="341" t="n">
        <x:v>51.5</x:v>
      </x:c>
      <x:c r="F281" s="341" t="n">
        <x:v>30</x:v>
      </x:c>
      <x:c r="G281" s="342" t="n">
        <x:f>IFERROR(D281/F281,0)</x:f>
        <x:v>0.24102564102564103</x:v>
      </x:c>
      <x:c r="H281" s="343" t="n">
        <x:f>IFERROR(E281/D281,0)</x:f>
        <x:v>7.122340425531915</x:v>
      </x:c>
      <x:c r="I281" s="340" t="str">
        <x:v>1991-2020</x:v>
      </x:c>
      <x:c r="J281" s="338" t="str">
        <x:v>GREEN - official NIWA normal</x:v>
      </x:c>
    </x:row>
    <x:row r="282">
      <x:c r="A282" s="340" t="str">
        <x:v>Timaru</x:v>
      </x:c>
      <x:c r="B282" s="340" t="n">
        <x:v>12</x:v>
      </x:c>
      <x:c r="C282" s="340" t="str">
        <x:v>Dec</x:v>
      </x:c>
      <x:c r="D282" s="341" t="n">
        <x:v>7</x:v>
      </x:c>
      <x:c r="E282" s="341" t="n">
        <x:v>54</x:v>
      </x:c>
      <x:c r="F282" s="341" t="n">
        <x:v>31</x:v>
      </x:c>
      <x:c r="G282" s="342" t="n">
        <x:f>IFERROR(D282/F282,0)</x:f>
        <x:v>0.22580645161290322</x:v>
      </x:c>
      <x:c r="H282" s="343" t="n">
        <x:f>IFERROR(E282/D282,0)</x:f>
        <x:v>7.714285714285714</x:v>
      </x:c>
      <x:c r="I282" s="340" t="str">
        <x:v>1991-2020</x:v>
      </x:c>
      <x:c r="J282" s="338" t="str">
        <x:v>GREEN - official NIWA normal</x:v>
      </x:c>
    </x:row>
    <x:row r="283">
      <x:c r="A283" s="340" t="str">
        <x:v>Milford Sound</x:v>
      </x:c>
      <x:c r="B283" s="340" t="n">
        <x:v>1</x:v>
      </x:c>
      <x:c r="C283" s="340" t="str">
        <x:v>Jan</x:v>
      </x:c>
      <x:c r="D283" s="341" t="n">
        <x:v>16.294117647058822</x:v>
      </x:c>
      <x:c r="E283" s="341" t="n">
        <x:v>667.2</x:v>
      </x:c>
      <x:c r="F283" s="341" t="n">
        <x:v>31</x:v>
      </x:c>
      <x:c r="G283" s="342" t="n">
        <x:f>IFERROR(D283/F283,0)</x:f>
        <x:v>0.5256166982922201</x:v>
      </x:c>
      <x:c r="H283" s="343" t="n">
        <x:f>IFERROR(E283/D283,0)</x:f>
        <x:v>40.94729241877257</x:v>
      </x:c>
      <x:c r="I283" s="340" t="str">
        <x:v>1991-2020</x:v>
      </x:c>
      <x:c r="J283" s="338" t="str">
        <x:v>GREEN - official NIWA normal</x:v>
      </x:c>
    </x:row>
    <x:row r="284">
      <x:c r="A284" s="340" t="str">
        <x:v>Milford Sound</x:v>
      </x:c>
      <x:c r="B284" s="340" t="n">
        <x:v>2</x:v>
      </x:c>
      <x:c r="C284" s="340" t="str">
        <x:v>Feb</x:v>
      </x:c>
      <x:c r="D284" s="341" t="n">
        <x:v>12.842105263157896</x:v>
      </x:c>
      <x:c r="E284" s="341" t="n">
        <x:v>466.6</x:v>
      </x:c>
      <x:c r="F284" s="341" t="n">
        <x:v>28.266666666666666</x:v>
      </x:c>
      <x:c r="G284" s="342" t="n">
        <x:f>IFERROR(D284/F284,0)</x:f>
        <x:v>0.4543197616683218</x:v>
      </x:c>
      <x:c r="H284" s="343" t="n">
        <x:f>IFERROR(E284/D284,0)</x:f>
        <x:v>36.333606557377045</x:v>
      </x:c>
      <x:c r="I284" s="340" t="str">
        <x:v>1991-2020</x:v>
      </x:c>
      <x:c r="J284" s="338" t="str">
        <x:v>GREEN - official NIWA normal</x:v>
      </x:c>
    </x:row>
    <x:row r="285">
      <x:c r="A285" s="340" t="str">
        <x:v>Milford Sound</x:v>
      </x:c>
      <x:c r="B285" s="340" t="n">
        <x:v>3</x:v>
      </x:c>
      <x:c r="C285" s="340" t="str">
        <x:v>Mar</x:v>
      </x:c>
      <x:c r="D285" s="341" t="n">
        <x:v>14.38888888888889</x:v>
      </x:c>
      <x:c r="E285" s="341" t="n">
        <x:v>571.3</x:v>
      </x:c>
      <x:c r="F285" s="341" t="n">
        <x:v>31</x:v>
      </x:c>
      <x:c r="G285" s="342" t="n">
        <x:f>IFERROR(D285/F285,0)</x:f>
        <x:v>0.46415770609318996</x:v>
      </x:c>
      <x:c r="H285" s="343" t="n">
        <x:f>IFERROR(E285/D285,0)</x:f>
        <x:v>39.7042471042471</x:v>
      </x:c>
      <x:c r="I285" s="340" t="str">
        <x:v>1991-2020</x:v>
      </x:c>
      <x:c r="J285" s="338" t="str">
        <x:v>GREEN - official NIWA normal</x:v>
      </x:c>
    </x:row>
    <x:row r="286">
      <x:c r="A286" s="340" t="str">
        <x:v>Milford Sound</x:v>
      </x:c>
      <x:c r="B286" s="340" t="n">
        <x:v>4</x:v>
      </x:c>
      <x:c r="C286" s="340" t="str">
        <x:v>Apr</x:v>
      </x:c>
      <x:c r="D286" s="341" t="n">
        <x:v>13.333333333333334</x:v>
      </x:c>
      <x:c r="E286" s="341" t="n">
        <x:v>528.2</x:v>
      </x:c>
      <x:c r="F286" s="341" t="n">
        <x:v>30</x:v>
      </x:c>
      <x:c r="G286" s="342" t="n">
        <x:f>IFERROR(D286/F286,0)</x:f>
        <x:v>0.4444444444444445</x:v>
      </x:c>
      <x:c r="H286" s="343" t="n">
        <x:f>IFERROR(E286/D286,0)</x:f>
        <x:v>39.615</x:v>
      </x:c>
      <x:c r="I286" s="340" t="str">
        <x:v>1991-2020</x:v>
      </x:c>
      <x:c r="J286" s="338" t="str">
        <x:v>GREEN - official NIWA normal</x:v>
      </x:c>
    </x:row>
    <x:row r="287">
      <x:c r="A287" s="340" t="str">
        <x:v>Milford Sound</x:v>
      </x:c>
      <x:c r="B287" s="340" t="n">
        <x:v>5</x:v>
      </x:c>
      <x:c r="C287" s="340" t="str">
        <x:v>May</x:v>
      </x:c>
      <x:c r="D287" s="341" t="n">
        <x:v>15.642857142857142</x:v>
      </x:c>
      <x:c r="E287" s="341" t="n">
        <x:v>645.1</x:v>
      </x:c>
      <x:c r="F287" s="341" t="n">
        <x:v>31</x:v>
      </x:c>
      <x:c r="G287" s="342" t="n">
        <x:f>IFERROR(D287/F287,0)</x:f>
        <x:v>0.5046082949308756</x:v>
      </x:c>
      <x:c r="H287" s="343" t="n">
        <x:f>IFERROR(E287/D287,0)</x:f>
        <x:v>41.239269406392694</x:v>
      </x:c>
      <x:c r="I287" s="340" t="str">
        <x:v>1991-2020</x:v>
      </x:c>
      <x:c r="J287" s="338" t="str">
        <x:v>GREEN - official NIWA normal</x:v>
      </x:c>
    </x:row>
    <x:row r="288">
      <x:c r="A288" s="340" t="str">
        <x:v>Milford Sound</x:v>
      </x:c>
      <x:c r="B288" s="340" t="n">
        <x:v>6</x:v>
      </x:c>
      <x:c r="C288" s="340" t="str">
        <x:v>Jun</x:v>
      </x:c>
      <x:c r="D288" s="341" t="n">
        <x:v>14.555555555555555</x:v>
      </x:c>
      <x:c r="E288" s="341" t="n">
        <x:v>440.4</x:v>
      </x:c>
      <x:c r="F288" s="341" t="n">
        <x:v>30</x:v>
      </x:c>
      <x:c r="G288" s="342" t="n">
        <x:f>IFERROR(D288/F288,0)</x:f>
        <x:v>0.48518518518518516</x:v>
      </x:c>
      <x:c r="H288" s="343" t="n">
        <x:f>IFERROR(E288/D288,0)</x:f>
        <x:v>30.256488549618318</x:v>
      </x:c>
      <x:c r="I288" s="340" t="str">
        <x:v>1991-2020</x:v>
      </x:c>
      <x:c r="J288" s="338" t="str">
        <x:v>GREEN - official NIWA normal</x:v>
      </x:c>
    </x:row>
    <x:row r="289">
      <x:c r="A289" s="340" t="str">
        <x:v>Milford Sound</x:v>
      </x:c>
      <x:c r="B289" s="340" t="n">
        <x:v>7</x:v>
      </x:c>
      <x:c r="C289" s="340" t="str">
        <x:v>Jul</x:v>
      </x:c>
      <x:c r="D289" s="341" t="n">
        <x:v>14.352941176470589</x:v>
      </x:c>
      <x:c r="E289" s="341" t="n">
        <x:v>468</x:v>
      </x:c>
      <x:c r="F289" s="341" t="n">
        <x:v>31</x:v>
      </x:c>
      <x:c r="G289" s="342" t="n">
        <x:f>IFERROR(D289/F289,0)</x:f>
        <x:v>0.4629981024667932</x:v>
      </x:c>
      <x:c r="H289" s="343" t="n">
        <x:f>IFERROR(E289/D289,0)</x:f>
        <x:v>32.60655737704918</x:v>
      </x:c>
      <x:c r="I289" s="340" t="str">
        <x:v>1991-2020</x:v>
      </x:c>
      <x:c r="J289" s="338" t="str">
        <x:v>GREEN - official NIWA normal</x:v>
      </x:c>
    </x:row>
    <x:row r="290">
      <x:c r="A290" s="340" t="str">
        <x:v>Milford Sound</x:v>
      </x:c>
      <x:c r="B290" s="340" t="n">
        <x:v>8</x:v>
      </x:c>
      <x:c r="C290" s="340" t="str">
        <x:v>Aug</x:v>
      </x:c>
      <x:c r="D290" s="341" t="n">
        <x:v>16</x:v>
      </x:c>
      <x:c r="E290" s="341" t="n">
        <x:v>457</x:v>
      </x:c>
      <x:c r="F290" s="341" t="n">
        <x:v>31</x:v>
      </x:c>
      <x:c r="G290" s="342" t="n">
        <x:f>IFERROR(D290/F290,0)</x:f>
        <x:v>0.5161290322580645</x:v>
      </x:c>
      <x:c r="H290" s="343" t="n">
        <x:f>IFERROR(E290/D290,0)</x:f>
        <x:v>28.5625</x:v>
      </x:c>
      <x:c r="I290" s="340" t="str">
        <x:v>1991-2020</x:v>
      </x:c>
      <x:c r="J290" s="338" t="str">
        <x:v>GREEN - official NIWA normal</x:v>
      </x:c>
    </x:row>
    <x:row r="291">
      <x:c r="A291" s="340" t="str">
        <x:v>Milford Sound</x:v>
      </x:c>
      <x:c r="B291" s="340" t="n">
        <x:v>9</x:v>
      </x:c>
      <x:c r="C291" s="340" t="str">
        <x:v>Sep</x:v>
      </x:c>
      <x:c r="D291" s="341" t="n">
        <x:v>17.571428571428573</x:v>
      </x:c>
      <x:c r="E291" s="341" t="n">
        <x:v>541.3</x:v>
      </x:c>
      <x:c r="F291" s="341" t="n">
        <x:v>30</x:v>
      </x:c>
      <x:c r="G291" s="342" t="n">
        <x:f>IFERROR(D291/F291,0)</x:f>
        <x:v>0.5857142857142857</x:v>
      </x:c>
      <x:c r="H291" s="343" t="n">
        <x:f>IFERROR(E291/D291,0)</x:f>
        <x:v>30.805691056910565</x:v>
      </x:c>
      <x:c r="I291" s="340" t="str">
        <x:v>1991-2020</x:v>
      </x:c>
      <x:c r="J291" s="338" t="str">
        <x:v>GREEN - official NIWA normal</x:v>
      </x:c>
    </x:row>
    <x:row r="292">
      <x:c r="A292" s="340" t="str">
        <x:v>Milford Sound</x:v>
      </x:c>
      <x:c r="B292" s="340" t="n">
        <x:v>10</x:v>
      </x:c>
      <x:c r="C292" s="340" t="str">
        <x:v>Oct</x:v>
      </x:c>
      <x:c r="D292" s="341" t="n">
        <x:v>17.61111111111111</x:v>
      </x:c>
      <x:c r="E292" s="341" t="n">
        <x:v>617.2</x:v>
      </x:c>
      <x:c r="F292" s="341" t="n">
        <x:v>31</x:v>
      </x:c>
      <x:c r="G292" s="342" t="n">
        <x:f>IFERROR(D292/F292,0)</x:f>
        <x:v>0.568100358422939</x:v>
      </x:c>
      <x:c r="H292" s="343" t="n">
        <x:f>IFERROR(E292/D292,0)</x:f>
        <x:v>35.04605678233439</x:v>
      </x:c>
      <x:c r="I292" s="340" t="str">
        <x:v>1991-2020</x:v>
      </x:c>
      <x:c r="J292" s="338" t="str">
        <x:v>GREEN - official NIWA normal</x:v>
      </x:c>
    </x:row>
    <x:row r="293">
      <x:c r="A293" s="340" t="str">
        <x:v>Milford Sound</x:v>
      </x:c>
      <x:c r="B293" s="340" t="n">
        <x:v>11</x:v>
      </x:c>
      <x:c r="C293" s="340" t="str">
        <x:v>Nov</x:v>
      </x:c>
      <x:c r="D293" s="341" t="n">
        <x:v>15.333333333333334</x:v>
      </x:c>
      <x:c r="E293" s="341" t="n">
        <x:v>557.7</x:v>
      </x:c>
      <x:c r="F293" s="341" t="n">
        <x:v>30</x:v>
      </x:c>
      <x:c r="G293" s="342" t="n">
        <x:f>IFERROR(D293/F293,0)</x:f>
        <x:v>0.5111111111111112</x:v>
      </x:c>
      <x:c r="H293" s="343" t="n">
        <x:f>IFERROR(E293/D293,0)</x:f>
        <x:v>36.37173913043478</x:v>
      </x:c>
      <x:c r="I293" s="340" t="str">
        <x:v>1991-2020</x:v>
      </x:c>
      <x:c r="J293" s="338" t="str">
        <x:v>GREEN - official NIWA normal</x:v>
      </x:c>
    </x:row>
    <x:row r="294">
      <x:c r="A294" s="340" t="str">
        <x:v>Milford Sound</x:v>
      </x:c>
      <x:c r="B294" s="340" t="n">
        <x:v>12</x:v>
      </x:c>
      <x:c r="C294" s="340" t="str">
        <x:v>Dec</x:v>
      </x:c>
      <x:c r="D294" s="341" t="n">
        <x:v>16.9</x:v>
      </x:c>
      <x:c r="E294" s="341" t="n">
        <x:v>585.1</x:v>
      </x:c>
      <x:c r="F294" s="341" t="n">
        <x:v>31</x:v>
      </x:c>
      <x:c r="G294" s="342" t="n">
        <x:f>IFERROR(D294/F294,0)</x:f>
        <x:v>0.5451612903225806</x:v>
      </x:c>
      <x:c r="H294" s="343" t="n">
        <x:f>IFERROR(E294/D294,0)</x:f>
        <x:v>34.621301775147934</x:v>
      </x:c>
      <x:c r="I294" s="340" t="str">
        <x:v>1991-2020</x:v>
      </x:c>
      <x:c r="J294" s="338" t="str">
        <x:v>GREEN - official NIWA normal</x:v>
      </x:c>
    </x:row>
    <x:row r="295">
      <x:c r="A295" s="340" t="str">
        <x:v>Queenstown</x:v>
      </x:c>
      <x:c r="B295" s="340" t="n">
        <x:v>1</x:v>
      </x:c>
      <x:c r="C295" s="340" t="str">
        <x:v>Jan</x:v>
      </x:c>
      <x:c r="D295" s="341" t="n">
        <x:v>7.571428571428571</x:v>
      </x:c>
      <x:c r="E295" s="341" t="n">
        <x:v>71.6</x:v>
      </x:c>
      <x:c r="F295" s="341" t="n">
        <x:v>31</x:v>
      </x:c>
      <x:c r="G295" s="342" t="n">
        <x:f>IFERROR(D295/F295,0)</x:f>
        <x:v>0.24423963133640553</x:v>
      </x:c>
      <x:c r="H295" s="343" t="n">
        <x:f>IFERROR(E295/D295,0)</x:f>
        <x:v>9.456603773584906</x:v>
      </x:c>
      <x:c r="I295" s="340" t="str">
        <x:v>1991-2020</x:v>
      </x:c>
      <x:c r="J295" s="338" t="str">
        <x:v>GREEN - official NIWA normal</x:v>
      </x:c>
    </x:row>
    <x:row r="296">
      <x:c r="A296" s="340" t="str">
        <x:v>Queenstown</x:v>
      </x:c>
      <x:c r="B296" s="340" t="n">
        <x:v>2</x:v>
      </x:c>
      <x:c r="C296" s="340" t="str">
        <x:v>Feb</x:v>
      </x:c>
      <x:c r="D296" s="341" t="n">
        <x:v>6.535714285714286</x:v>
      </x:c>
      <x:c r="E296" s="341" t="n">
        <x:v>51</x:v>
      </x:c>
      <x:c r="F296" s="341" t="n">
        <x:v>28.266666666666666</x:v>
      </x:c>
      <x:c r="G296" s="342" t="n">
        <x:f>IFERROR(D296/F296,0)</x:f>
        <x:v>0.23121630727762804</x:v>
      </x:c>
      <x:c r="H296" s="343" t="n">
        <x:f>IFERROR(E296/D296,0)</x:f>
        <x:v>7.80327868852459</x:v>
      </x:c>
      <x:c r="I296" s="340" t="str">
        <x:v>1991-2020</x:v>
      </x:c>
      <x:c r="J296" s="338" t="str">
        <x:v>GREEN - official NIWA normal</x:v>
      </x:c>
    </x:row>
    <x:row r="297">
      <x:c r="A297" s="340" t="str">
        <x:v>Queenstown</x:v>
      </x:c>
      <x:c r="B297" s="340" t="n">
        <x:v>3</x:v>
      </x:c>
      <x:c r="C297" s="340" t="str">
        <x:v>Mar</x:v>
      </x:c>
      <x:c r="D297" s="341" t="n">
        <x:v>7.3</x:v>
      </x:c>
      <x:c r="E297" s="341" t="n">
        <x:v>49.3</x:v>
      </x:c>
      <x:c r="F297" s="341" t="n">
        <x:v>31</x:v>
      </x:c>
      <x:c r="G297" s="342" t="n">
        <x:f>IFERROR(D297/F297,0)</x:f>
        <x:v>0.23548387096774193</x:v>
      </x:c>
      <x:c r="H297" s="343" t="n">
        <x:f>IFERROR(E297/D297,0)</x:f>
        <x:v>6.7534246575342465</x:v>
      </x:c>
      <x:c r="I297" s="340" t="str">
        <x:v>1991-2020</x:v>
      </x:c>
      <x:c r="J297" s="338" t="str">
        <x:v>GREEN - official NIWA normal</x:v>
      </x:c>
    </x:row>
    <x:row r="298">
      <x:c r="A298" s="340" t="str">
        <x:v>Queenstown</x:v>
      </x:c>
      <x:c r="B298" s="340" t="n">
        <x:v>4</x:v>
      </x:c>
      <x:c r="C298" s="340" t="str">
        <x:v>Apr</x:v>
      </x:c>
      <x:c r="D298" s="341" t="n">
        <x:v>7.266666666666667</x:v>
      </x:c>
      <x:c r="E298" s="341" t="n">
        <x:v>57.5</x:v>
      </x:c>
      <x:c r="F298" s="341" t="n">
        <x:v>30</x:v>
      </x:c>
      <x:c r="G298" s="342" t="n">
        <x:f>IFERROR(D298/F298,0)</x:f>
        <x:v>0.24222222222222223</x:v>
      </x:c>
      <x:c r="H298" s="343" t="n">
        <x:f>IFERROR(E298/D298,0)</x:f>
        <x:v>7.912844036697248</x:v>
      </x:c>
      <x:c r="I298" s="340" t="str">
        <x:v>1991-2020</x:v>
      </x:c>
      <x:c r="J298" s="338" t="str">
        <x:v>GREEN - official NIWA normal</x:v>
      </x:c>
    </x:row>
    <x:row r="299">
      <x:c r="A299" s="340" t="str">
        <x:v>Queenstown</x:v>
      </x:c>
      <x:c r="B299" s="340" t="n">
        <x:v>5</x:v>
      </x:c>
      <x:c r="C299" s="340" t="str">
        <x:v>May</x:v>
      </x:c>
      <x:c r="D299" s="341" t="n">
        <x:v>9.655172413793103</x:v>
      </x:c>
      <x:c r="E299" s="341" t="n">
        <x:v>75.1</x:v>
      </x:c>
      <x:c r="F299" s="341" t="n">
        <x:v>31</x:v>
      </x:c>
      <x:c r="G299" s="342" t="n">
        <x:f>IFERROR(D299/F299,0)</x:f>
        <x:v>0.3114571746384872</x:v>
      </x:c>
      <x:c r="H299" s="343" t="n">
        <x:f>IFERROR(E299/D299,0)</x:f>
        <x:v>7.778214285714285</x:v>
      </x:c>
      <x:c r="I299" s="340" t="str">
        <x:v>1991-2020</x:v>
      </x:c>
      <x:c r="J299" s="338" t="str">
        <x:v>GREEN - official NIWA normal</x:v>
      </x:c>
    </x:row>
    <x:row r="300">
      <x:c r="A300" s="340" t="str">
        <x:v>Queenstown</x:v>
      </x:c>
      <x:c r="B300" s="340" t="n">
        <x:v>6</x:v>
      </x:c>
      <x:c r="C300" s="340" t="str">
        <x:v>Jun</x:v>
      </x:c>
      <x:c r="D300" s="341" t="n">
        <x:v>8.571428571428571</x:v>
      </x:c>
      <x:c r="E300" s="341" t="n">
        <x:v>62.2</x:v>
      </x:c>
      <x:c r="F300" s="341" t="n">
        <x:v>30</x:v>
      </x:c>
      <x:c r="G300" s="342" t="n">
        <x:f>IFERROR(D300/F300,0)</x:f>
        <x:v>0.2857142857142857</x:v>
      </x:c>
      <x:c r="H300" s="343" t="n">
        <x:f>IFERROR(E300/D300,0)</x:f>
        <x:v>7.256666666666667</x:v>
      </x:c>
      <x:c r="I300" s="340" t="str">
        <x:v>1991-2020</x:v>
      </x:c>
      <x:c r="J300" s="338" t="str">
        <x:v>GREEN - official NIWA normal</x:v>
      </x:c>
    </x:row>
    <x:row r="301">
      <x:c r="A301" s="340" t="str">
        <x:v>Queenstown</x:v>
      </x:c>
      <x:c r="B301" s="340" t="n">
        <x:v>7</x:v>
      </x:c>
      <x:c r="C301" s="340" t="str">
        <x:v>Jul</x:v>
      </x:c>
      <x:c r="D301" s="341" t="n">
        <x:v>7.793103448275862</x:v>
      </x:c>
      <x:c r="E301" s="341" t="n">
        <x:v>55.8</x:v>
      </x:c>
      <x:c r="F301" s="341" t="n">
        <x:v>31</x:v>
      </x:c>
      <x:c r="G301" s="342" t="n">
        <x:f>IFERROR(D301/F301,0)</x:f>
        <x:v>0.25139043381535037</x:v>
      </x:c>
      <x:c r="H301" s="343" t="n">
        <x:f>IFERROR(E301/D301,0)</x:f>
        <x:v>7.1601769911504425</x:v>
      </x:c>
      <x:c r="I301" s="340" t="str">
        <x:v>1991-2020</x:v>
      </x:c>
      <x:c r="J301" s="338" t="str">
        <x:v>GREEN - official NIWA normal</x:v>
      </x:c>
    </x:row>
    <x:row r="302">
      <x:c r="A302" s="340" t="str">
        <x:v>Queenstown</x:v>
      </x:c>
      <x:c r="B302" s="340" t="n">
        <x:v>8</x:v>
      </x:c>
      <x:c r="C302" s="340" t="str">
        <x:v>Aug</x:v>
      </x:c>
      <x:c r="D302" s="341" t="n">
        <x:v>8.068965517241379</x:v>
      </x:c>
      <x:c r="E302" s="341" t="n">
        <x:v>52.8</x:v>
      </x:c>
      <x:c r="F302" s="341" t="n">
        <x:v>31</x:v>
      </x:c>
      <x:c r="G302" s="342" t="n">
        <x:f>IFERROR(D302/F302,0)</x:f>
        <x:v>0.26028921023359286</x:v>
      </x:c>
      <x:c r="H302" s="343" t="n">
        <x:f>IFERROR(E302/D302,0)</x:f>
        <x:v>6.543589743589743</x:v>
      </x:c>
      <x:c r="I302" s="340" t="str">
        <x:v>1991-2020</x:v>
      </x:c>
      <x:c r="J302" s="338" t="str">
        <x:v>GREEN - official NIWA normal</x:v>
      </x:c>
    </x:row>
    <x:row r="303">
      <x:c r="A303" s="340" t="str">
        <x:v>Queenstown</x:v>
      </x:c>
      <x:c r="B303" s="340" t="n">
        <x:v>9</x:v>
      </x:c>
      <x:c r="C303" s="340" t="str">
        <x:v>Sep</x:v>
      </x:c>
      <x:c r="D303" s="341" t="n">
        <x:v>8.344827586206897</x:v>
      </x:c>
      <x:c r="E303" s="341" t="n">
        <x:v>62.3</x:v>
      </x:c>
      <x:c r="F303" s="341" t="n">
        <x:v>30</x:v>
      </x:c>
      <x:c r="G303" s="342" t="n">
        <x:f>IFERROR(D303/F303,0)</x:f>
        <x:v>0.27816091954022987</x:v>
      </x:c>
      <x:c r="H303" s="343" t="n">
        <x:f>IFERROR(E303/D303,0)</x:f>
        <x:v>7.465702479338843</x:v>
      </x:c>
      <x:c r="I303" s="340" t="str">
        <x:v>1991-2020</x:v>
      </x:c>
      <x:c r="J303" s="338" t="str">
        <x:v>GREEN - official NIWA normal</x:v>
      </x:c>
    </x:row>
    <x:row r="304">
      <x:c r="A304" s="340" t="str">
        <x:v>Queenstown</x:v>
      </x:c>
      <x:c r="B304" s="340" t="n">
        <x:v>10</x:v>
      </x:c>
      <x:c r="C304" s="340" t="str">
        <x:v>Oct</x:v>
      </x:c>
      <x:c r="D304" s="341" t="n">
        <x:v>8.428571428571429</x:v>
      </x:c>
      <x:c r="E304" s="341" t="n">
        <x:v>62.4</x:v>
      </x:c>
      <x:c r="F304" s="341" t="n">
        <x:v>31</x:v>
      </x:c>
      <x:c r="G304" s="342" t="n">
        <x:f>IFERROR(D304/F304,0)</x:f>
        <x:v>0.271889400921659</x:v>
      </x:c>
      <x:c r="H304" s="343" t="n">
        <x:f>IFERROR(E304/D304,0)</x:f>
        <x:v>7.403389830508474</x:v>
      </x:c>
      <x:c r="I304" s="340" t="str">
        <x:v>1991-2020</x:v>
      </x:c>
      <x:c r="J304" s="338" t="str">
        <x:v>GREEN - official NIWA normal</x:v>
      </x:c>
    </x:row>
    <x:row r="305">
      <x:c r="A305" s="340" t="str">
        <x:v>Queenstown</x:v>
      </x:c>
      <x:c r="B305" s="340" t="n">
        <x:v>11</x:v>
      </x:c>
      <x:c r="C305" s="340" t="str">
        <x:v>Nov</x:v>
      </x:c>
      <x:c r="D305" s="341" t="n">
        <x:v>7.7</x:v>
      </x:c>
      <x:c r="E305" s="341" t="n">
        <x:v>60.7</x:v>
      </x:c>
      <x:c r="F305" s="341" t="n">
        <x:v>30</x:v>
      </x:c>
      <x:c r="G305" s="342" t="n">
        <x:f>IFERROR(D305/F305,0)</x:f>
        <x:v>0.25666666666666665</x:v>
      </x:c>
      <x:c r="H305" s="343" t="n">
        <x:f>IFERROR(E305/D305,0)</x:f>
        <x:v>7.883116883116883</x:v>
      </x:c>
      <x:c r="I305" s="340" t="str">
        <x:v>1991-2020</x:v>
      </x:c>
      <x:c r="J305" s="338" t="str">
        <x:v>GREEN - official NIWA normal</x:v>
      </x:c>
    </x:row>
    <x:row r="306">
      <x:c r="A306" s="340" t="str">
        <x:v>Queenstown</x:v>
      </x:c>
      <x:c r="B306" s="340" t="n">
        <x:v>12</x:v>
      </x:c>
      <x:c r="C306" s="340" t="str">
        <x:v>Dec</x:v>
      </x:c>
      <x:c r="D306" s="341" t="n">
        <x:v>8.689655172413794</x:v>
      </x:c>
      <x:c r="E306" s="341" t="n">
        <x:v>60.3</x:v>
      </x:c>
      <x:c r="F306" s="341" t="n">
        <x:v>31</x:v>
      </x:c>
      <x:c r="G306" s="342" t="n">
        <x:f>IFERROR(D306/F306,0)</x:f>
        <x:v>0.2803114571746385</x:v>
      </x:c>
      <x:c r="H306" s="343" t="n">
        <x:f>IFERROR(E306/D306,0)</x:f>
        <x:v>6.939285714285713</x:v>
      </x:c>
      <x:c r="I306" s="340" t="str">
        <x:v>1991-2020</x:v>
      </x:c>
      <x:c r="J306" s="338" t="str">
        <x:v>GREEN - official NIWA normal</x:v>
      </x:c>
    </x:row>
    <x:row r="307">
      <x:c r="A307" s="340" t="str">
        <x:v>Alexandra</x:v>
      </x:c>
      <x:c r="B307" s="340" t="n">
        <x:v>1</x:v>
      </x:c>
      <x:c r="C307" s="340" t="str">
        <x:v>Jan</x:v>
      </x:c>
      <x:c r="D307" s="341" t="n">
        <x:v>5.904761904761905</x:v>
      </x:c>
      <x:c r="E307" s="341" t="n">
        <x:v>46.9</x:v>
      </x:c>
      <x:c r="F307" s="341" t="n">
        <x:v>31</x:v>
      </x:c>
      <x:c r="G307" s="342" t="n">
        <x:f>IFERROR(D307/F307,0)</x:f>
        <x:v>0.1904761904761905</x:v>
      </x:c>
      <x:c r="H307" s="343" t="n">
        <x:f>IFERROR(E307/D307,0)</x:f>
        <x:v>7.942741935483871</x:v>
      </x:c>
      <x:c r="I307" s="340" t="str">
        <x:v>1991-2020</x:v>
      </x:c>
      <x:c r="J307" s="338" t="str">
        <x:v>GREEN - official NIWA normal</x:v>
      </x:c>
    </x:row>
    <x:row r="308">
      <x:c r="A308" s="340" t="str">
        <x:v>Alexandra</x:v>
      </x:c>
      <x:c r="B308" s="340" t="n">
        <x:v>2</x:v>
      </x:c>
      <x:c r="C308" s="340" t="str">
        <x:v>Feb</x:v>
      </x:c>
      <x:c r="D308" s="341" t="n">
        <x:v>5.2272727272727275</x:v>
      </x:c>
      <x:c r="E308" s="341" t="n">
        <x:v>41.1</x:v>
      </x:c>
      <x:c r="F308" s="341" t="n">
        <x:v>28.266666666666666</x:v>
      </x:c>
      <x:c r="G308" s="342" t="n">
        <x:f>IFERROR(D308/F308,0)</x:f>
        <x:v>0.18492710120068612</x:v>
      </x:c>
      <x:c r="H308" s="343" t="n">
        <x:f>IFERROR(E308/D308,0)</x:f>
        <x:v>7.862608695652174</x:v>
      </x:c>
      <x:c r="I308" s="340" t="str">
        <x:v>1991-2020</x:v>
      </x:c>
      <x:c r="J308" s="338" t="str">
        <x:v>GREEN - official NIWA normal</x:v>
      </x:c>
    </x:row>
    <x:row r="309">
      <x:c r="A309" s="340" t="str">
        <x:v>Alexandra</x:v>
      </x:c>
      <x:c r="B309" s="340" t="n">
        <x:v>3</x:v>
      </x:c>
      <x:c r="C309" s="340" t="str">
        <x:v>Mar</x:v>
      </x:c>
      <x:c r="D309" s="341" t="n">
        <x:v>5.2</x:v>
      </x:c>
      <x:c r="E309" s="341" t="n">
        <x:v>31.2</x:v>
      </x:c>
      <x:c r="F309" s="341" t="n">
        <x:v>31</x:v>
      </x:c>
      <x:c r="G309" s="342" t="n">
        <x:f>IFERROR(D309/F309,0)</x:f>
        <x:v>0.16774193548387098</x:v>
      </x:c>
      <x:c r="H309" s="343" t="n">
        <x:f>IFERROR(E309/D309,0)</x:f>
        <x:v>6</x:v>
      </x:c>
      <x:c r="I309" s="340" t="str">
        <x:v>1991-2020</x:v>
      </x:c>
      <x:c r="J309" s="338" t="str">
        <x:v>GREEN - official NIWA normal</x:v>
      </x:c>
    </x:row>
    <x:row r="310">
      <x:c r="A310" s="340" t="str">
        <x:v>Alexandra</x:v>
      </x:c>
      <x:c r="B310" s="340" t="n">
        <x:v>4</x:v>
      </x:c>
      <x:c r="C310" s="340" t="str">
        <x:v>Apr</x:v>
      </x:c>
      <x:c r="D310" s="341" t="n">
        <x:v>4.85</x:v>
      </x:c>
      <x:c r="E310" s="341" t="n">
        <x:v>22</x:v>
      </x:c>
      <x:c r="F310" s="341" t="n">
        <x:v>30</x:v>
      </x:c>
      <x:c r="G310" s="342" t="n">
        <x:f>IFERROR(D310/F310,0)</x:f>
        <x:v>0.16166666666666665</x:v>
      </x:c>
      <x:c r="H310" s="343" t="n">
        <x:f>IFERROR(E310/D310,0)</x:f>
        <x:v>4.536082474226805</x:v>
      </x:c>
      <x:c r="I310" s="340" t="str">
        <x:v>1991-2020</x:v>
      </x:c>
      <x:c r="J310" s="338" t="str">
        <x:v>GREEN - official NIWA normal</x:v>
      </x:c>
    </x:row>
    <x:row r="311">
      <x:c r="A311" s="340" t="str">
        <x:v>Alexandra</x:v>
      </x:c>
      <x:c r="B311" s="340" t="n">
        <x:v>5</x:v>
      </x:c>
      <x:c r="C311" s="340" t="str">
        <x:v>May</x:v>
      </x:c>
      <x:c r="D311" s="341" t="n">
        <x:v>6.75</x:v>
      </x:c>
      <x:c r="E311" s="341" t="n">
        <x:v>34.3</x:v>
      </x:c>
      <x:c r="F311" s="341" t="n">
        <x:v>31</x:v>
      </x:c>
      <x:c r="G311" s="342" t="n">
        <x:f>IFERROR(D311/F311,0)</x:f>
        <x:v>0.21774193548387097</x:v>
      </x:c>
      <x:c r="H311" s="343" t="n">
        <x:f>IFERROR(E311/D311,0)</x:f>
        <x:v>5.0814814814814815</x:v>
      </x:c>
      <x:c r="I311" s="340" t="str">
        <x:v>1991-2020</x:v>
      </x:c>
      <x:c r="J311" s="338" t="str">
        <x:v>GREEN - official NIWA normal</x:v>
      </x:c>
    </x:row>
    <x:row r="312">
      <x:c r="A312" s="340" t="str">
        <x:v>Alexandra</x:v>
      </x:c>
      <x:c r="B312" s="340" t="n">
        <x:v>6</x:v>
      </x:c>
      <x:c r="C312" s="340" t="str">
        <x:v>Jun</x:v>
      </x:c>
      <x:c r="D312" s="341" t="n">
        <x:v>5.4</x:v>
      </x:c>
      <x:c r="E312" s="341" t="n">
        <x:v>30.9</x:v>
      </x:c>
      <x:c r="F312" s="341" t="n">
        <x:v>30</x:v>
      </x:c>
      <x:c r="G312" s="342" t="n">
        <x:f>IFERROR(D312/F312,0)</x:f>
        <x:v>0.18000000000000002</x:v>
      </x:c>
      <x:c r="H312" s="343" t="n">
        <x:f>IFERROR(E312/D312,0)</x:f>
        <x:v>5.722222222222221</x:v>
      </x:c>
      <x:c r="I312" s="340" t="str">
        <x:v>1991-2020</x:v>
      </x:c>
      <x:c r="J312" s="338" t="str">
        <x:v>GREEN - official NIWA normal</x:v>
      </x:c>
    </x:row>
    <x:row r="313">
      <x:c r="A313" s="340" t="str">
        <x:v>Alexandra</x:v>
      </x:c>
      <x:c r="B313" s="340" t="n">
        <x:v>7</x:v>
      </x:c>
      <x:c r="C313" s="340" t="str">
        <x:v>Jul</x:v>
      </x:c>
      <x:c r="D313" s="341" t="n">
        <x:v>4.863636363636363</x:v>
      </x:c>
      <x:c r="E313" s="341" t="n">
        <x:v>25.2</x:v>
      </x:c>
      <x:c r="F313" s="341" t="n">
        <x:v>31</x:v>
      </x:c>
      <x:c r="G313" s="342" t="n">
        <x:f>IFERROR(D313/F313,0)</x:f>
        <x:v>0.15689149560117302</x:v>
      </x:c>
      <x:c r="H313" s="343" t="n">
        <x:f>IFERROR(E313/D313,0)</x:f>
        <x:v>5.181308411214953</x:v>
      </x:c>
      <x:c r="I313" s="340" t="str">
        <x:v>1991-2020</x:v>
      </x:c>
      <x:c r="J313" s="338" t="str">
        <x:v>GREEN - official NIWA normal</x:v>
      </x:c>
    </x:row>
    <x:row r="314">
      <x:c r="A314" s="340" t="str">
        <x:v>Alexandra</x:v>
      </x:c>
      <x:c r="B314" s="340" t="n">
        <x:v>8</x:v>
      </x:c>
      <x:c r="C314" s="340" t="str">
        <x:v>Aug</x:v>
      </x:c>
      <x:c r="D314" s="341" t="n">
        <x:v>4.24</x:v>
      </x:c>
      <x:c r="E314" s="341" t="n">
        <x:v>15.4</x:v>
      </x:c>
      <x:c r="F314" s="341" t="n">
        <x:v>31</x:v>
      </x:c>
      <x:c r="G314" s="342" t="n">
        <x:f>IFERROR(D314/F314,0)</x:f>
        <x:v>0.1367741935483871</x:v>
      </x:c>
      <x:c r="H314" s="343" t="n">
        <x:f>IFERROR(E314/D314,0)</x:f>
        <x:v>3.632075471698113</x:v>
      </x:c>
      <x:c r="I314" s="340" t="str">
        <x:v>1991-2020</x:v>
      </x:c>
      <x:c r="J314" s="338" t="str">
        <x:v>GREEN - official NIWA normal</x:v>
      </x:c>
    </x:row>
    <x:row r="315">
      <x:c r="A315" s="340" t="str">
        <x:v>Alexandra</x:v>
      </x:c>
      <x:c r="B315" s="340" t="n">
        <x:v>9</x:v>
      </x:c>
      <x:c r="C315" s="340" t="str">
        <x:v>Sep</x:v>
      </x:c>
      <x:c r="D315" s="341" t="n">
        <x:v>5.0476190476190474</x:v>
      </x:c>
      <x:c r="E315" s="341" t="n">
        <x:v>21.3</x:v>
      </x:c>
      <x:c r="F315" s="341" t="n">
        <x:v>30</x:v>
      </x:c>
      <x:c r="G315" s="342" t="n">
        <x:f>IFERROR(D315/F315,0)</x:f>
        <x:v>0.16825396825396824</x:v>
      </x:c>
      <x:c r="H315" s="343" t="n">
        <x:f>IFERROR(E315/D315,0)</x:f>
        <x:v>4.219811320754717</x:v>
      </x:c>
      <x:c r="I315" s="340" t="str">
        <x:v>1991-2020</x:v>
      </x:c>
      <x:c r="J315" s="338" t="str">
        <x:v>GREEN - official NIWA normal</x:v>
      </x:c>
    </x:row>
    <x:row r="316">
      <x:c r="A316" s="340" t="str">
        <x:v>Alexandra</x:v>
      </x:c>
      <x:c r="B316" s="340" t="n">
        <x:v>10</x:v>
      </x:c>
      <x:c r="C316" s="340" t="str">
        <x:v>Oct</x:v>
      </x:c>
      <x:c r="D316" s="341" t="n">
        <x:v>6.238095238095238</x:v>
      </x:c>
      <x:c r="E316" s="341" t="n">
        <x:v>29.6</x:v>
      </x:c>
      <x:c r="F316" s="341" t="n">
        <x:v>31</x:v>
      </x:c>
      <x:c r="G316" s="342" t="n">
        <x:f>IFERROR(D316/F316,0)</x:f>
        <x:v>0.2012288786482335</x:v>
      </x:c>
      <x:c r="H316" s="343" t="n">
        <x:f>IFERROR(E316/D316,0)</x:f>
        <x:v>4.745038167938931</x:v>
      </x:c>
      <x:c r="I316" s="340" t="str">
        <x:v>1991-2020</x:v>
      </x:c>
      <x:c r="J316" s="338" t="str">
        <x:v>GREEN - official NIWA normal</x:v>
      </x:c>
    </x:row>
    <x:row r="317">
      <x:c r="A317" s="340" t="str">
        <x:v>Alexandra</x:v>
      </x:c>
      <x:c r="B317" s="340" t="n">
        <x:v>11</x:v>
      </x:c>
      <x:c r="C317" s="340" t="str">
        <x:v>Nov</x:v>
      </x:c>
      <x:c r="D317" s="341" t="n">
        <x:v>5.523809523809524</x:v>
      </x:c>
      <x:c r="E317" s="341" t="n">
        <x:v>32.7</x:v>
      </x:c>
      <x:c r="F317" s="341" t="n">
        <x:v>30</x:v>
      </x:c>
      <x:c r="G317" s="342" t="n">
        <x:f>IFERROR(D317/F317,0)</x:f>
        <x:v>0.1841269841269841</x:v>
      </x:c>
      <x:c r="H317" s="343" t="n">
        <x:f>IFERROR(E317/D317,0)</x:f>
        <x:v>5.919827586206897</x:v>
      </x:c>
      <x:c r="I317" s="340" t="str">
        <x:v>1991-2020</x:v>
      </x:c>
      <x:c r="J317" s="338" t="str">
        <x:v>GREEN - official NIWA normal</x:v>
      </x:c>
    </x:row>
    <x:row r="318">
      <x:c r="A318" s="340" t="str">
        <x:v>Alexandra</x:v>
      </x:c>
      <x:c r="B318" s="340" t="n">
        <x:v>12</x:v>
      </x:c>
      <x:c r="C318" s="340" t="str">
        <x:v>Dec</x:v>
      </x:c>
      <x:c r="D318" s="341" t="n">
        <x:v>7</x:v>
      </x:c>
      <x:c r="E318" s="341" t="n">
        <x:v>34.5</x:v>
      </x:c>
      <x:c r="F318" s="341" t="n">
        <x:v>31</x:v>
      </x:c>
      <x:c r="G318" s="342" t="n">
        <x:f>IFERROR(D318/F318,0)</x:f>
        <x:v>0.22580645161290322</x:v>
      </x:c>
      <x:c r="H318" s="343" t="n">
        <x:f>IFERROR(E318/D318,0)</x:f>
        <x:v>4.928571428571429</x:v>
      </x:c>
      <x:c r="I318" s="340" t="str">
        <x:v>1991-2020</x:v>
      </x:c>
      <x:c r="J318" s="338" t="str">
        <x:v>GREEN - official NIWA normal</x:v>
      </x:c>
    </x:row>
    <x:row r="319">
      <x:c r="A319" s="340" t="str">
        <x:v>Manapouri</x:v>
      </x:c>
      <x:c r="B319" s="340" t="n">
        <x:v>1</x:v>
      </x:c>
      <x:c r="C319" s="340" t="str">
        <x:v>Jan</x:v>
      </x:c>
      <x:c r="D319" s="341" t="n">
        <x:v>9.5</x:v>
      </x:c>
      <x:c r="E319" s="341" t="n">
        <x:v>88.6</x:v>
      </x:c>
      <x:c r="F319" s="341" t="n">
        <x:v>31</x:v>
      </x:c>
      <x:c r="G319" s="342" t="n">
        <x:f>IFERROR(D319/F319,0)</x:f>
        <x:v>0.3064516129032258</x:v>
      </x:c>
      <x:c r="H319" s="343" t="n">
        <x:f>IFERROR(E319/D319,0)</x:f>
        <x:v>9.326315789473684</x:v>
      </x:c>
      <x:c r="I319" s="340" t="str">
        <x:v>1991-2020</x:v>
      </x:c>
      <x:c r="J319" s="338" t="str">
        <x:v>GREEN - official NIWA normal</x:v>
      </x:c>
    </x:row>
    <x:row r="320">
      <x:c r="A320" s="340" t="str">
        <x:v>Manapouri</x:v>
      </x:c>
      <x:c r="B320" s="340" t="n">
        <x:v>2</x:v>
      </x:c>
      <x:c r="C320" s="340" t="str">
        <x:v>Feb</x:v>
      </x:c>
      <x:c r="D320" s="341" t="n">
        <x:v>8.035714285714286</x:v>
      </x:c>
      <x:c r="E320" s="341" t="n">
        <x:v>85.3</x:v>
      </x:c>
      <x:c r="F320" s="341" t="n">
        <x:v>28.266666666666666</x:v>
      </x:c>
      <x:c r="G320" s="342" t="n">
        <x:f>IFERROR(D320/F320,0)</x:f>
        <x:v>0.2842823450134771</x:v>
      </x:c>
      <x:c r="H320" s="343" t="n">
        <x:f>IFERROR(E320/D320,0)</x:f>
        <x:v>10.61511111111111</x:v>
      </x:c>
      <x:c r="I320" s="340" t="str">
        <x:v>1991-2020</x:v>
      </x:c>
      <x:c r="J320" s="338" t="str">
        <x:v>GREEN - official NIWA normal</x:v>
      </x:c>
    </x:row>
    <x:row r="321">
      <x:c r="A321" s="340" t="str">
        <x:v>Manapouri</x:v>
      </x:c>
      <x:c r="B321" s="340" t="n">
        <x:v>3</x:v>
      </x:c>
      <x:c r="C321" s="340" t="str">
        <x:v>Mar</x:v>
      </x:c>
      <x:c r="D321" s="341" t="n">
        <x:v>9.642857142857142</x:v>
      </x:c>
      <x:c r="E321" s="341" t="n">
        <x:v>82.7</x:v>
      </x:c>
      <x:c r="F321" s="341" t="n">
        <x:v>31</x:v>
      </x:c>
      <x:c r="G321" s="342" t="n">
        <x:f>IFERROR(D321/F321,0)</x:f>
        <x:v>0.31105990783410137</x:v>
      </x:c>
      <x:c r="H321" s="343" t="n">
        <x:f>IFERROR(E321/D321,0)</x:f>
        <x:v>8.576296296296297</x:v>
      </x:c>
      <x:c r="I321" s="340" t="str">
        <x:v>1991-2020</x:v>
      </x:c>
      <x:c r="J321" s="338" t="str">
        <x:v>GREEN - official NIWA normal</x:v>
      </x:c>
    </x:row>
    <x:row r="322">
      <x:c r="A322" s="340" t="str">
        <x:v>Manapouri</x:v>
      </x:c>
      <x:c r="B322" s="340" t="n">
        <x:v>4</x:v>
      </x:c>
      <x:c r="C322" s="340" t="str">
        <x:v>Apr</x:v>
      </x:c>
      <x:c r="D322" s="341" t="n">
        <x:v>10.214285714285714</x:v>
      </x:c>
      <x:c r="E322" s="341" t="n">
        <x:v>85</x:v>
      </x:c>
      <x:c r="F322" s="341" t="n">
        <x:v>30</x:v>
      </x:c>
      <x:c r="G322" s="342" t="n">
        <x:f>IFERROR(D322/F322,0)</x:f>
        <x:v>0.34047619047619043</x:v>
      </x:c>
      <x:c r="H322" s="343" t="n">
        <x:f>IFERROR(E322/D322,0)</x:f>
        <x:v>8.321678321678322</x:v>
      </x:c>
      <x:c r="I322" s="340" t="str">
        <x:v>1991-2020</x:v>
      </x:c>
      <x:c r="J322" s="338" t="str">
        <x:v>GREEN - official NIWA normal</x:v>
      </x:c>
    </x:row>
    <x:row r="323">
      <x:c r="A323" s="340" t="str">
        <x:v>Manapouri</x:v>
      </x:c>
      <x:c r="B323" s="340" t="n">
        <x:v>5</x:v>
      </x:c>
      <x:c r="C323" s="340" t="str">
        <x:v>May</x:v>
      </x:c>
      <x:c r="D323" s="341" t="n">
        <x:v>12.25925925925926</x:v>
      </x:c>
      <x:c r="E323" s="341" t="n">
        <x:v>104.4</x:v>
      </x:c>
      <x:c r="F323" s="341" t="n">
        <x:v>31</x:v>
      </x:c>
      <x:c r="G323" s="342" t="n">
        <x:f>IFERROR(D323/F323,0)</x:f>
        <x:v>0.3954599761051374</x:v>
      </x:c>
      <x:c r="H323" s="343" t="n">
        <x:f>IFERROR(E323/D323,0)</x:f>
        <x:v>8.516012084592145</x:v>
      </x:c>
      <x:c r="I323" s="340" t="str">
        <x:v>1991-2020</x:v>
      </x:c>
      <x:c r="J323" s="338" t="str">
        <x:v>GREEN - official NIWA normal</x:v>
      </x:c>
    </x:row>
    <x:row r="324">
      <x:c r="A324" s="340" t="str">
        <x:v>Manapouri</x:v>
      </x:c>
      <x:c r="B324" s="340" t="n">
        <x:v>6</x:v>
      </x:c>
      <x:c r="C324" s="340" t="str">
        <x:v>Jun</x:v>
      </x:c>
      <x:c r="D324" s="341" t="n">
        <x:v>11.928571428571429</x:v>
      </x:c>
      <x:c r="E324" s="341" t="n">
        <x:v>91.4</x:v>
      </x:c>
      <x:c r="F324" s="341" t="n">
        <x:v>30</x:v>
      </x:c>
      <x:c r="G324" s="342" t="n">
        <x:f>IFERROR(D324/F324,0)</x:f>
        <x:v>0.39761904761904765</x:v>
      </x:c>
      <x:c r="H324" s="343" t="n">
        <x:f>IFERROR(E324/D324,0)</x:f>
        <x:v>7.662275449101797</x:v>
      </x:c>
      <x:c r="I324" s="340" t="str">
        <x:v>1991-2020</x:v>
      </x:c>
      <x:c r="J324" s="338" t="str">
        <x:v>GREEN - official NIWA normal</x:v>
      </x:c>
    </x:row>
    <x:row r="325">
      <x:c r="A325" s="340" t="str">
        <x:v>Manapouri</x:v>
      </x:c>
      <x:c r="B325" s="340" t="n">
        <x:v>7</x:v>
      </x:c>
      <x:c r="C325" s="340" t="str">
        <x:v>Jul</x:v>
      </x:c>
      <x:c r="D325" s="341" t="n">
        <x:v>11.714285714285714</x:v>
      </x:c>
      <x:c r="E325" s="341" t="n">
        <x:v>94.2</x:v>
      </x:c>
      <x:c r="F325" s="341" t="n">
        <x:v>31</x:v>
      </x:c>
      <x:c r="G325" s="342" t="n">
        <x:f>IFERROR(D325/F325,0)</x:f>
        <x:v>0.3778801843317972</x:v>
      </x:c>
      <x:c r="H325" s="343" t="n">
        <x:f>IFERROR(E325/D325,0)</x:f>
        <x:v>8.041463414634148</x:v>
      </x:c>
      <x:c r="I325" s="340" t="str">
        <x:v>1991-2020</x:v>
      </x:c>
      <x:c r="J325" s="338" t="str">
        <x:v>GREEN - official NIWA normal</x:v>
      </x:c>
    </x:row>
    <x:row r="326">
      <x:c r="A326" s="340" t="str">
        <x:v>Manapouri</x:v>
      </x:c>
      <x:c r="B326" s="340" t="n">
        <x:v>8</x:v>
      </x:c>
      <x:c r="C326" s="340" t="str">
        <x:v>Aug</x:v>
      </x:c>
      <x:c r="D326" s="341" t="n">
        <x:v>10.892857142857142</x:v>
      </x:c>
      <x:c r="E326" s="341" t="n">
        <x:v>82</x:v>
      </x:c>
      <x:c r="F326" s="341" t="n">
        <x:v>31</x:v>
      </x:c>
      <x:c r="G326" s="342" t="n">
        <x:f>IFERROR(D326/F326,0)</x:f>
        <x:v>0.3513824884792627</x:v>
      </x:c>
      <x:c r="H326" s="343" t="n">
        <x:f>IFERROR(E326/D326,0)</x:f>
        <x:v>7.527868852459017</x:v>
      </x:c>
      <x:c r="I326" s="340" t="str">
        <x:v>1991-2020</x:v>
      </x:c>
      <x:c r="J326" s="338" t="str">
        <x:v>GREEN - official NIWA normal</x:v>
      </x:c>
    </x:row>
    <x:row r="327">
      <x:c r="A327" s="340" t="str">
        <x:v>Manapouri</x:v>
      </x:c>
      <x:c r="B327" s="340" t="n">
        <x:v>9</x:v>
      </x:c>
      <x:c r="C327" s="340" t="str">
        <x:v>Sep</x:v>
      </x:c>
      <x:c r="D327" s="341" t="n">
        <x:v>12.035714285714286</x:v>
      </x:c>
      <x:c r="E327" s="341" t="n">
        <x:v>106.2</x:v>
      </x:c>
      <x:c r="F327" s="341" t="n">
        <x:v>30</x:v>
      </x:c>
      <x:c r="G327" s="342" t="n">
        <x:f>IFERROR(D327/F327,0)</x:f>
        <x:v>0.4011904761904762</x:v>
      </x:c>
      <x:c r="H327" s="343" t="n">
        <x:f>IFERROR(E327/D327,0)</x:f>
        <x:v>8.82373887240356</x:v>
      </x:c>
      <x:c r="I327" s="340" t="str">
        <x:v>1991-2020</x:v>
      </x:c>
      <x:c r="J327" s="338" t="str">
        <x:v>GREEN - official NIWA normal</x:v>
      </x:c>
    </x:row>
    <x:row r="328">
      <x:c r="A328" s="340" t="str">
        <x:v>Manapouri</x:v>
      </x:c>
      <x:c r="B328" s="340" t="n">
        <x:v>10</x:v>
      </x:c>
      <x:c r="C328" s="340" t="str">
        <x:v>Oct</x:v>
      </x:c>
      <x:c r="D328" s="341" t="n">
        <x:v>12.724137931034482</x:v>
      </x:c>
      <x:c r="E328" s="341" t="n">
        <x:v>113</x:v>
      </x:c>
      <x:c r="F328" s="341" t="n">
        <x:v>31</x:v>
      </x:c>
      <x:c r="G328" s="342" t="n">
        <x:f>IFERROR(D328/F328,0)</x:f>
        <x:v>0.4104560622914349</x:v>
      </x:c>
      <x:c r="H328" s="343" t="n">
        <x:f>IFERROR(E328/D328,0)</x:f>
        <x:v>8.880758807588077</x:v>
      </x:c>
      <x:c r="I328" s="340" t="str">
        <x:v>1991-2020</x:v>
      </x:c>
      <x:c r="J328" s="338" t="str">
        <x:v>GREEN - official NIWA normal</x:v>
      </x:c>
    </x:row>
    <x:row r="329">
      <x:c r="A329" s="340" t="str">
        <x:v>Manapouri</x:v>
      </x:c>
      <x:c r="B329" s="340" t="n">
        <x:v>11</x:v>
      </x:c>
      <x:c r="C329" s="340" t="str">
        <x:v>Nov</x:v>
      </x:c>
      <x:c r="D329" s="341" t="n">
        <x:v>10.535714285714286</x:v>
      </x:c>
      <x:c r="E329" s="341" t="n">
        <x:v>95.7</x:v>
      </x:c>
      <x:c r="F329" s="341" t="n">
        <x:v>30</x:v>
      </x:c>
      <x:c r="G329" s="342" t="n">
        <x:f>IFERROR(D329/F329,0)</x:f>
        <x:v>0.3511904761904762</x:v>
      </x:c>
      <x:c r="H329" s="343" t="n">
        <x:f>IFERROR(E329/D329,0)</x:f>
        <x:v>9.083389830508475</x:v>
      </x:c>
      <x:c r="I329" s="340" t="str">
        <x:v>1991-2020</x:v>
      </x:c>
      <x:c r="J329" s="338" t="str">
        <x:v>GREEN - official NIWA normal</x:v>
      </x:c>
    </x:row>
    <x:row r="330">
      <x:c r="A330" s="340" t="str">
        <x:v>Manapouri</x:v>
      </x:c>
      <x:c r="B330" s="340" t="n">
        <x:v>12</x:v>
      </x:c>
      <x:c r="C330" s="340" t="str">
        <x:v>Dec</x:v>
      </x:c>
      <x:c r="D330" s="341" t="n">
        <x:v>11.03448275862069</x:v>
      </x:c>
      <x:c r="E330" s="341" t="n">
        <x:v>97.4</x:v>
      </x:c>
      <x:c r="F330" s="341" t="n">
        <x:v>31</x:v>
      </x:c>
      <x:c r="G330" s="342" t="n">
        <x:f>IFERROR(D330/F330,0)</x:f>
        <x:v>0.3559510567296997</x:v>
      </x:c>
      <x:c r="H330" s="343" t="n">
        <x:f>IFERROR(E330/D330,0)</x:f>
        <x:v>8.826875</x:v>
      </x:c>
      <x:c r="I330" s="340" t="str">
        <x:v>1991-2020</x:v>
      </x:c>
      <x:c r="J330" s="338" t="str">
        <x:v>GREEN - official NIWA normal</x:v>
      </x:c>
    </x:row>
    <x:row r="331">
      <x:c r="A331" s="340" t="str">
        <x:v>Dunedin</x:v>
      </x:c>
      <x:c r="B331" s="340" t="n">
        <x:v>1</x:v>
      </x:c>
      <x:c r="C331" s="340" t="str">
        <x:v>Jan</x:v>
      </x:c>
      <x:c r="D331" s="341" t="n">
        <x:v>9.130434782608695</x:v>
      </x:c>
      <x:c r="E331" s="341" t="n">
        <x:v>70.5</x:v>
      </x:c>
      <x:c r="F331" s="341" t="n">
        <x:v>31</x:v>
      </x:c>
      <x:c r="G331" s="342" t="n">
        <x:f>IFERROR(D331/F331,0)</x:f>
        <x:v>0.29453015427769985</x:v>
      </x:c>
      <x:c r="H331" s="343" t="n">
        <x:f>IFERROR(E331/D331,0)</x:f>
        <x:v>7.7214285714285715</x:v>
      </x:c>
      <x:c r="I331" s="340" t="str">
        <x:v>1991-2020</x:v>
      </x:c>
      <x:c r="J331" s="338" t="str">
        <x:v>GREEN - official NIWA normal</x:v>
      </x:c>
    </x:row>
    <x:row r="332">
      <x:c r="A332" s="340" t="str">
        <x:v>Dunedin</x:v>
      </x:c>
      <x:c r="B332" s="340" t="n">
        <x:v>2</x:v>
      </x:c>
      <x:c r="C332" s="340" t="str">
        <x:v>Feb</x:v>
      </x:c>
      <x:c r="D332" s="341" t="n">
        <x:v>7.478260869565218</x:v>
      </x:c>
      <x:c r="E332" s="341" t="n">
        <x:v>69.9</x:v>
      </x:c>
      <x:c r="F332" s="341" t="n">
        <x:v>28.266666666666666</x:v>
      </x:c>
      <x:c r="G332" s="342" t="n">
        <x:f>IFERROR(D332/F332,0)</x:f>
        <x:v>0.2645611156685808</x:v>
      </x:c>
      <x:c r="H332" s="343" t="n">
        <x:f>IFERROR(E332/D332,0)</x:f>
        <x:v>9.347093023255814</x:v>
      </x:c>
      <x:c r="I332" s="340" t="str">
        <x:v>1991-2020</x:v>
      </x:c>
      <x:c r="J332" s="338" t="str">
        <x:v>GREEN - official NIWA normal</x:v>
      </x:c>
    </x:row>
    <x:row r="333">
      <x:c r="A333" s="340" t="str">
        <x:v>Dunedin</x:v>
      </x:c>
      <x:c r="B333" s="340" t="n">
        <x:v>3</x:v>
      </x:c>
      <x:c r="C333" s="340" t="str">
        <x:v>Mar</x:v>
      </x:c>
      <x:c r="D333" s="341" t="n">
        <x:v>7.608695652173913</x:v>
      </x:c>
      <x:c r="E333" s="341" t="n">
        <x:v>53.9</x:v>
      </x:c>
      <x:c r="F333" s="341" t="n">
        <x:v>31</x:v>
      </x:c>
      <x:c r="G333" s="342" t="n">
        <x:f>IFERROR(D333/F333,0)</x:f>
        <x:v>0.24544179523141654</x:v>
      </x:c>
      <x:c r="H333" s="343" t="n">
        <x:f>IFERROR(E333/D333,0)</x:f>
        <x:v>7.084</x:v>
      </x:c>
      <x:c r="I333" s="340" t="str">
        <x:v>1991-2020</x:v>
      </x:c>
      <x:c r="J333" s="338" t="str">
        <x:v>GREEN - official NIWA normal</x:v>
      </x:c>
    </x:row>
    <x:row r="334">
      <x:c r="A334" s="340" t="str">
        <x:v>Dunedin</x:v>
      </x:c>
      <x:c r="B334" s="340" t="n">
        <x:v>4</x:v>
      </x:c>
      <x:c r="C334" s="340" t="str">
        <x:v>Apr</x:v>
      </x:c>
      <x:c r="D334" s="341" t="n">
        <x:v>8.043478260869565</x:v>
      </x:c>
      <x:c r="E334" s="341" t="n">
        <x:v>60.8</x:v>
      </x:c>
      <x:c r="F334" s="341" t="n">
        <x:v>30</x:v>
      </x:c>
      <x:c r="G334" s="342" t="n">
        <x:f>IFERROR(D334/F334,0)</x:f>
        <x:v>0.2681159420289855</x:v>
      </x:c>
      <x:c r="H334" s="343" t="n">
        <x:f>IFERROR(E334/D334,0)</x:f>
        <x:v>7.558918918918919</x:v>
      </x:c>
      <x:c r="I334" s="340" t="str">
        <x:v>1991-2020</x:v>
      </x:c>
      <x:c r="J334" s="338" t="str">
        <x:v>GREEN - official NIWA normal</x:v>
      </x:c>
    </x:row>
    <x:row r="335">
      <x:c r="A335" s="340" t="str">
        <x:v>Dunedin</x:v>
      </x:c>
      <x:c r="B335" s="340" t="n">
        <x:v>5</x:v>
      </x:c>
      <x:c r="C335" s="340" t="str">
        <x:v>May</x:v>
      </x:c>
      <x:c r="D335" s="341" t="n">
        <x:v>9.681818181818182</x:v>
      </x:c>
      <x:c r="E335" s="341" t="n">
        <x:v>63.6</x:v>
      </x:c>
      <x:c r="F335" s="341" t="n">
        <x:v>31</x:v>
      </x:c>
      <x:c r="G335" s="342" t="n">
        <x:f>IFERROR(D335/F335,0)</x:f>
        <x:v>0.312316715542522</x:v>
      </x:c>
      <x:c r="H335" s="343" t="n">
        <x:f>IFERROR(E335/D335,0)</x:f>
        <x:v>6.569014084507042</x:v>
      </x:c>
      <x:c r="I335" s="340" t="str">
        <x:v>1991-2020</x:v>
      </x:c>
      <x:c r="J335" s="338" t="str">
        <x:v>GREEN - official NIWA normal</x:v>
      </x:c>
    </x:row>
    <x:row r="336">
      <x:c r="A336" s="340" t="str">
        <x:v>Dunedin</x:v>
      </x:c>
      <x:c r="B336" s="340" t="n">
        <x:v>6</x:v>
      </x:c>
      <x:c r="C336" s="340" t="str">
        <x:v>Jun</x:v>
      </x:c>
      <x:c r="D336" s="341" t="n">
        <x:v>8.521739130434783</x:v>
      </x:c>
      <x:c r="E336" s="341" t="n">
        <x:v>58.5</x:v>
      </x:c>
      <x:c r="F336" s="341" t="n">
        <x:v>30</x:v>
      </x:c>
      <x:c r="G336" s="342" t="n">
        <x:f>IFERROR(D336/F336,0)</x:f>
        <x:v>0.28405797101449276</x:v>
      </x:c>
      <x:c r="H336" s="343" t="n">
        <x:f>IFERROR(E336/D336,0)</x:f>
        <x:v>6.864795918367347</x:v>
      </x:c>
      <x:c r="I336" s="340" t="str">
        <x:v>1991-2020</x:v>
      </x:c>
      <x:c r="J336" s="338" t="str">
        <x:v>GREEN - official NIWA normal</x:v>
      </x:c>
    </x:row>
    <x:row r="337">
      <x:c r="A337" s="340" t="str">
        <x:v>Dunedin</x:v>
      </x:c>
      <x:c r="B337" s="340" t="n">
        <x:v>7</x:v>
      </x:c>
      <x:c r="C337" s="340" t="str">
        <x:v>Jul</x:v>
      </x:c>
      <x:c r="D337" s="341" t="n">
        <x:v>7.782608695652174</x:v>
      </x:c>
      <x:c r="E337" s="341" t="n">
        <x:v>51.7</x:v>
      </x:c>
      <x:c r="F337" s="341" t="n">
        <x:v>31</x:v>
      </x:c>
      <x:c r="G337" s="342" t="n">
        <x:f>IFERROR(D337/F337,0)</x:f>
        <x:v>0.25105189340813466</x:v>
      </x:c>
      <x:c r="H337" s="343" t="n">
        <x:f>IFERROR(E337/D337,0)</x:f>
        <x:v>6.643016759776537</x:v>
      </x:c>
      <x:c r="I337" s="340" t="str">
        <x:v>1991-2020</x:v>
      </x:c>
      <x:c r="J337" s="338" t="str">
        <x:v>GREEN - official NIWA normal</x:v>
      </x:c>
    </x:row>
    <x:row r="338">
      <x:c r="A338" s="340" t="str">
        <x:v>Dunedin</x:v>
      </x:c>
      <x:c r="B338" s="340" t="n">
        <x:v>8</x:v>
      </x:c>
      <x:c r="C338" s="340" t="str">
        <x:v>Aug</x:v>
      </x:c>
      <x:c r="D338" s="341" t="n">
        <x:v>8.652173913043478</x:v>
      </x:c>
      <x:c r="E338" s="341" t="n">
        <x:v>54.7</x:v>
      </x:c>
      <x:c r="F338" s="341" t="n">
        <x:v>31</x:v>
      </x:c>
      <x:c r="G338" s="342" t="n">
        <x:f>IFERROR(D338/F338,0)</x:f>
        <x:v>0.2791023842917251</x:v>
      </x:c>
      <x:c r="H338" s="343" t="n">
        <x:f>IFERROR(E338/D338,0)</x:f>
        <x:v>6.322110552763819</x:v>
      </x:c>
      <x:c r="I338" s="340" t="str">
        <x:v>1991-2020</x:v>
      </x:c>
      <x:c r="J338" s="338" t="str">
        <x:v>GREEN - official NIWA normal</x:v>
      </x:c>
    </x:row>
    <x:row r="339">
      <x:c r="A339" s="340" t="str">
        <x:v>Dunedin</x:v>
      </x:c>
      <x:c r="B339" s="340" t="n">
        <x:v>9</x:v>
      </x:c>
      <x:c r="C339" s="340" t="str">
        <x:v>Sep</x:v>
      </x:c>
      <x:c r="D339" s="341" t="n">
        <x:v>8.166666666666666</x:v>
      </x:c>
      <x:c r="E339" s="341" t="n">
        <x:v>47.1</x:v>
      </x:c>
      <x:c r="F339" s="341" t="n">
        <x:v>30</x:v>
      </x:c>
      <x:c r="G339" s="342" t="n">
        <x:f>IFERROR(D339/F339,0)</x:f>
        <x:v>0.2722222222222222</x:v>
      </x:c>
      <x:c r="H339" s="343" t="n">
        <x:f>IFERROR(E339/D339,0)</x:f>
        <x:v>5.7673469387755105</x:v>
      </x:c>
      <x:c r="I339" s="340" t="str">
        <x:v>1991-2020</x:v>
      </x:c>
      <x:c r="J339" s="338" t="str">
        <x:v>GREEN - official NIWA normal</x:v>
      </x:c>
    </x:row>
    <x:row r="340">
      <x:c r="A340" s="340" t="str">
        <x:v>Dunedin</x:v>
      </x:c>
      <x:c r="B340" s="340" t="n">
        <x:v>10</x:v>
      </x:c>
      <x:c r="C340" s="340" t="str">
        <x:v>Oct</x:v>
      </x:c>
      <x:c r="D340" s="341" t="n">
        <x:v>10.541666666666666</x:v>
      </x:c>
      <x:c r="E340" s="341" t="n">
        <x:v>60.1</x:v>
      </x:c>
      <x:c r="F340" s="341" t="n">
        <x:v>31</x:v>
      </x:c>
      <x:c r="G340" s="342" t="n">
        <x:f>IFERROR(D340/F340,0)</x:f>
        <x:v>0.3400537634408602</x:v>
      </x:c>
      <x:c r="H340" s="343" t="n">
        <x:f>IFERROR(E340/D340,0)</x:f>
        <x:v>5.701185770750989</x:v>
      </x:c>
      <x:c r="I340" s="340" t="str">
        <x:v>1991-2020</x:v>
      </x:c>
      <x:c r="J340" s="338" t="str">
        <x:v>GREEN - official NIWA normal</x:v>
      </x:c>
    </x:row>
    <x:row r="341">
      <x:c r="A341" s="340" t="str">
        <x:v>Dunedin</x:v>
      </x:c>
      <x:c r="B341" s="340" t="n">
        <x:v>11</x:v>
      </x:c>
      <x:c r="C341" s="340" t="str">
        <x:v>Nov</x:v>
      </x:c>
      <x:c r="D341" s="341" t="n">
        <x:v>9.625</x:v>
      </x:c>
      <x:c r="E341" s="341" t="n">
        <x:v>62.5</x:v>
      </x:c>
      <x:c r="F341" s="341" t="n">
        <x:v>30</x:v>
      </x:c>
      <x:c r="G341" s="342" t="n">
        <x:f>IFERROR(D341/F341,0)</x:f>
        <x:v>0.32083333333333336</x:v>
      </x:c>
      <x:c r="H341" s="343" t="n">
        <x:f>IFERROR(E341/D341,0)</x:f>
        <x:v>6.4935064935064934</x:v>
      </x:c>
      <x:c r="I341" s="340" t="str">
        <x:v>1991-2020</x:v>
      </x:c>
      <x:c r="J341" s="338" t="str">
        <x:v>GREEN - official NIWA normal</x:v>
      </x:c>
    </x:row>
    <x:row r="342">
      <x:c r="A342" s="340" t="str">
        <x:v>Dunedin</x:v>
      </x:c>
      <x:c r="B342" s="340" t="n">
        <x:v>12</x:v>
      </x:c>
      <x:c r="C342" s="340" t="str">
        <x:v>Dec</x:v>
      </x:c>
      <x:c r="D342" s="341" t="n">
        <x:v>10.375</x:v>
      </x:c>
      <x:c r="E342" s="341" t="n">
        <x:v>70.8</x:v>
      </x:c>
      <x:c r="F342" s="341" t="n">
        <x:v>31</x:v>
      </x:c>
      <x:c r="G342" s="342" t="n">
        <x:f>IFERROR(D342/F342,0)</x:f>
        <x:v>0.3346774193548387</x:v>
      </x:c>
      <x:c r="H342" s="343" t="n">
        <x:f>IFERROR(E342/D342,0)</x:f>
        <x:v>6.824096385542169</x:v>
      </x:c>
      <x:c r="I342" s="340" t="str">
        <x:v>1991-2020</x:v>
      </x:c>
      <x:c r="J342" s="338" t="str">
        <x:v>GREEN - official NIWA normal</x:v>
      </x:c>
    </x:row>
    <x:row r="343">
      <x:c r="A343" s="340" t="str">
        <x:v>Invercargill</x:v>
      </x:c>
      <x:c r="B343" s="340" t="n">
        <x:v>1</x:v>
      </x:c>
      <x:c r="C343" s="340" t="str">
        <x:v>Jan</x:v>
      </x:c>
      <x:c r="D343" s="341" t="n">
        <x:v>12.56</x:v>
      </x:c>
      <x:c r="E343" s="341" t="n">
        <x:v>88.7</x:v>
      </x:c>
      <x:c r="F343" s="341" t="n">
        <x:v>31</x:v>
      </x:c>
      <x:c r="G343" s="342" t="n">
        <x:f>IFERROR(D343/F343,0)</x:f>
        <x:v>0.40516129032258064</x:v>
      </x:c>
      <x:c r="H343" s="343" t="n">
        <x:f>IFERROR(E343/D343,0)</x:f>
        <x:v>7.062101910828026</x:v>
      </x:c>
      <x:c r="I343" s="340" t="str">
        <x:v>1991-2020</x:v>
      </x:c>
      <x:c r="J343" s="338" t="str">
        <x:v>GREEN - official NIWA normal</x:v>
      </x:c>
    </x:row>
    <x:row r="344">
      <x:c r="A344" s="340" t="str">
        <x:v>Invercargill</x:v>
      </x:c>
      <x:c r="B344" s="340" t="n">
        <x:v>2</x:v>
      </x:c>
      <x:c r="C344" s="340" t="str">
        <x:v>Feb</x:v>
      </x:c>
      <x:c r="D344" s="341" t="n">
        <x:v>10.56</x:v>
      </x:c>
      <x:c r="E344" s="341" t="n">
        <x:v>74.2</x:v>
      </x:c>
      <x:c r="F344" s="341" t="n">
        <x:v>28.266666666666666</x:v>
      </x:c>
      <x:c r="G344" s="342" t="n">
        <x:f>IFERROR(D344/F344,0)</x:f>
        <x:v>0.3735849056603774</x:v>
      </x:c>
      <x:c r="H344" s="343" t="n">
        <x:f>IFERROR(E344/D344,0)</x:f>
        <x:v>7.026515151515151</x:v>
      </x:c>
      <x:c r="I344" s="340" t="str">
        <x:v>1991-2020</x:v>
      </x:c>
      <x:c r="J344" s="338" t="str">
        <x:v>GREEN - official NIWA normal</x:v>
      </x:c>
    </x:row>
    <x:row r="345">
      <x:c r="A345" s="340" t="str">
        <x:v>Invercargill</x:v>
      </x:c>
      <x:c r="B345" s="340" t="n">
        <x:v>3</x:v>
      </x:c>
      <x:c r="C345" s="340" t="str">
        <x:v>Mar</x:v>
      </x:c>
      <x:c r="D345" s="341" t="n">
        <x:v>11.92</x:v>
      </x:c>
      <x:c r="E345" s="341" t="n">
        <x:v>91.8</x:v>
      </x:c>
      <x:c r="F345" s="341" t="n">
        <x:v>31</x:v>
      </x:c>
      <x:c r="G345" s="342" t="n">
        <x:f>IFERROR(D345/F345,0)</x:f>
        <x:v>0.38451612903225807</x:v>
      </x:c>
      <x:c r="H345" s="343" t="n">
        <x:f>IFERROR(E345/D345,0)</x:f>
        <x:v>7.701342281879194</x:v>
      </x:c>
      <x:c r="I345" s="340" t="str">
        <x:v>1991-2020</x:v>
      </x:c>
      <x:c r="J345" s="338" t="str">
        <x:v>GREEN - official NIWA normal</x:v>
      </x:c>
    </x:row>
    <x:row r="346">
      <x:c r="A346" s="340" t="str">
        <x:v>Invercargill</x:v>
      </x:c>
      <x:c r="B346" s="340" t="n">
        <x:v>4</x:v>
      </x:c>
      <x:c r="C346" s="340" t="str">
        <x:v>Apr</x:v>
      </x:c>
      <x:c r="D346" s="341" t="n">
        <x:v>12.115384615384615</x:v>
      </x:c>
      <x:c r="E346" s="341" t="n">
        <x:v>89.5</x:v>
      </x:c>
      <x:c r="F346" s="341" t="n">
        <x:v>30</x:v>
      </x:c>
      <x:c r="G346" s="342" t="n">
        <x:f>IFERROR(D346/F346,0)</x:f>
        <x:v>0.40384615384615385</x:v>
      </x:c>
      <x:c r="H346" s="343" t="n">
        <x:f>IFERROR(E346/D346,0)</x:f>
        <x:v>7.387301587301588</x:v>
      </x:c>
      <x:c r="I346" s="340" t="str">
        <x:v>1991-2020</x:v>
      </x:c>
      <x:c r="J346" s="338" t="str">
        <x:v>GREEN - official NIWA normal</x:v>
      </x:c>
    </x:row>
    <x:row r="347">
      <x:c r="A347" s="340" t="str">
        <x:v>Invercargill</x:v>
      </x:c>
      <x:c r="B347" s="340" t="n">
        <x:v>5</x:v>
      </x:c>
      <x:c r="C347" s="340" t="str">
        <x:v>May</x:v>
      </x:c>
      <x:c r="D347" s="341" t="n">
        <x:v>14.68</x:v>
      </x:c>
      <x:c r="E347" s="341" t="n">
        <x:v>108.4</x:v>
      </x:c>
      <x:c r="F347" s="341" t="n">
        <x:v>31</x:v>
      </x:c>
      <x:c r="G347" s="342" t="n">
        <x:f>IFERROR(D347/F347,0)</x:f>
        <x:v>0.47354838709677416</x:v>
      </x:c>
      <x:c r="H347" s="343" t="n">
        <x:f>IFERROR(E347/D347,0)</x:f>
        <x:v>7.384196185286104</x:v>
      </x:c>
      <x:c r="I347" s="340" t="str">
        <x:v>1991-2020</x:v>
      </x:c>
      <x:c r="J347" s="338" t="str">
        <x:v>GREEN - official NIWA normal</x:v>
      </x:c>
    </x:row>
    <x:row r="348">
      <x:c r="A348" s="340" t="str">
        <x:v>Invercargill</x:v>
      </x:c>
      <x:c r="B348" s="340" t="n">
        <x:v>6</x:v>
      </x:c>
      <x:c r="C348" s="340" t="str">
        <x:v>Jun</x:v>
      </x:c>
      <x:c r="D348" s="341" t="n">
        <x:v>15.423076923076923</x:v>
      </x:c>
      <x:c r="E348" s="341" t="n">
        <x:v>95.1</x:v>
      </x:c>
      <x:c r="F348" s="341" t="n">
        <x:v>30</x:v>
      </x:c>
      <x:c r="G348" s="342" t="n">
        <x:f>IFERROR(D348/F348,0)</x:f>
        <x:v>0.5141025641025642</x:v>
      </x:c>
      <x:c r="H348" s="343" t="n">
        <x:f>IFERROR(E348/D348,0)</x:f>
        <x:v>6.1660847880299245</x:v>
      </x:c>
      <x:c r="I348" s="340" t="str">
        <x:v>1991-2020</x:v>
      </x:c>
      <x:c r="J348" s="338" t="str">
        <x:v>GREEN - official NIWA normal</x:v>
      </x:c>
    </x:row>
    <x:row r="349">
      <x:c r="A349" s="340" t="str">
        <x:v>Invercargill</x:v>
      </x:c>
      <x:c r="B349" s="340" t="n">
        <x:v>7</x:v>
      </x:c>
      <x:c r="C349" s="340" t="str">
        <x:v>Jul</x:v>
      </x:c>
      <x:c r="D349" s="341" t="n">
        <x:v>14.423076923076923</x:v>
      </x:c>
      <x:c r="E349" s="341" t="n">
        <x:v>88</x:v>
      </x:c>
      <x:c r="F349" s="341" t="n">
        <x:v>31</x:v>
      </x:c>
      <x:c r="G349" s="342" t="n">
        <x:f>IFERROR(D349/F349,0)</x:f>
        <x:v>0.4652605459057072</x:v>
      </x:c>
      <x:c r="H349" s="343" t="n">
        <x:f>IFERROR(E349/D349,0)</x:f>
        <x:v>6.101333333333333</x:v>
      </x:c>
      <x:c r="I349" s="340" t="str">
        <x:v>1991-2020</x:v>
      </x:c>
      <x:c r="J349" s="338" t="str">
        <x:v>GREEN - official NIWA normal</x:v>
      </x:c>
    </x:row>
    <x:row r="350">
      <x:c r="A350" s="340" t="str">
        <x:v>Invercargill</x:v>
      </x:c>
      <x:c r="B350" s="340" t="n">
        <x:v>8</x:v>
      </x:c>
      <x:c r="C350" s="340" t="str">
        <x:v>Aug</x:v>
      </x:c>
      <x:c r="D350" s="341" t="n">
        <x:v>12.26923076923077</x:v>
      </x:c>
      <x:c r="E350" s="341" t="n">
        <x:v>70.4</x:v>
      </x:c>
      <x:c r="F350" s="341" t="n">
        <x:v>31</x:v>
      </x:c>
      <x:c r="G350" s="342" t="n">
        <x:f>IFERROR(D350/F350,0)</x:f>
        <x:v>0.3957816377171216</x:v>
      </x:c>
      <x:c r="H350" s="343" t="n">
        <x:f>IFERROR(E350/D350,0)</x:f>
        <x:v>5.7379310344827585</x:v>
      </x:c>
      <x:c r="I350" s="340" t="str">
        <x:v>1991-2020</x:v>
      </x:c>
      <x:c r="J350" s="338" t="str">
        <x:v>GREEN - official NIWA normal</x:v>
      </x:c>
    </x:row>
    <x:row r="351">
      <x:c r="A351" s="340" t="str">
        <x:v>Invercargill</x:v>
      </x:c>
      <x:c r="B351" s="340" t="n">
        <x:v>9</x:v>
      </x:c>
      <x:c r="C351" s="340" t="str">
        <x:v>Sep</x:v>
      </x:c>
      <x:c r="D351" s="341" t="n">
        <x:v>13.48</x:v>
      </x:c>
      <x:c r="E351" s="341" t="n">
        <x:v>90.4</x:v>
      </x:c>
      <x:c r="F351" s="341" t="n">
        <x:v>30</x:v>
      </x:c>
      <x:c r="G351" s="342" t="n">
        <x:f>IFERROR(D351/F351,0)</x:f>
        <x:v>0.44933333333333336</x:v>
      </x:c>
      <x:c r="H351" s="343" t="n">
        <x:f>IFERROR(E351/D351,0)</x:f>
        <x:v>6.706231454005935</x:v>
      </x:c>
      <x:c r="I351" s="340" t="str">
        <x:v>1991-2020</x:v>
      </x:c>
      <x:c r="J351" s="338" t="str">
        <x:v>GREEN - official NIWA normal</x:v>
      </x:c>
    </x:row>
    <x:row r="352">
      <x:c r="A352" s="340" t="str">
        <x:v>Invercargill</x:v>
      </x:c>
      <x:c r="B352" s="340" t="n">
        <x:v>10</x:v>
      </x:c>
      <x:c r="C352" s="340" t="str">
        <x:v>Oct</x:v>
      </x:c>
      <x:c r="D352" s="341" t="n">
        <x:v>15.423076923076923</x:v>
      </x:c>
      <x:c r="E352" s="341" t="n">
        <x:v>106.2</x:v>
      </x:c>
      <x:c r="F352" s="341" t="n">
        <x:v>31</x:v>
      </x:c>
      <x:c r="G352" s="342" t="n">
        <x:f>IFERROR(D352/F352,0)</x:f>
        <x:v>0.49751861042183626</x:v>
      </x:c>
      <x:c r="H352" s="343" t="n">
        <x:f>IFERROR(E352/D352,0)</x:f>
        <x:v>6.885785536159601</x:v>
      </x:c>
      <x:c r="I352" s="340" t="str">
        <x:v>1991-2020</x:v>
      </x:c>
      <x:c r="J352" s="338" t="str">
        <x:v>GREEN - official NIWA normal</x:v>
      </x:c>
    </x:row>
    <x:row r="353">
      <x:c r="A353" s="340" t="str">
        <x:v>Invercargill</x:v>
      </x:c>
      <x:c r="B353" s="340" t="n">
        <x:v>11</x:v>
      </x:c>
      <x:c r="C353" s="340" t="str">
        <x:v>Nov</x:v>
      </x:c>
      <x:c r="D353" s="341" t="n">
        <x:v>14.423076923076923</x:v>
      </x:c>
      <x:c r="E353" s="341" t="n">
        <x:v>101.7</x:v>
      </x:c>
      <x:c r="F353" s="341" t="n">
        <x:v>30</x:v>
      </x:c>
      <x:c r="G353" s="342" t="n">
        <x:f>IFERROR(D353/F353,0)</x:f>
        <x:v>0.4807692307692308</x:v>
      </x:c>
      <x:c r="H353" s="343" t="n">
        <x:f>IFERROR(E353/D353,0)</x:f>
        <x:v>7.0512</x:v>
      </x:c>
      <x:c r="I353" s="340" t="str">
        <x:v>1991-2020</x:v>
      </x:c>
      <x:c r="J353" s="338" t="str">
        <x:v>GREEN - official NIWA normal</x:v>
      </x:c>
    </x:row>
    <x:row r="354">
      <x:c r="A354" s="340" t="str">
        <x:v>Invercargill</x:v>
      </x:c>
      <x:c r="B354" s="340" t="n">
        <x:v>12</x:v>
      </x:c>
      <x:c r="C354" s="340" t="str">
        <x:v>Dec</x:v>
      </x:c>
      <x:c r="D354" s="341" t="n">
        <x:v>13.346153846153847</x:v>
      </x:c>
      <x:c r="E354" s="341" t="n">
        <x:v>92.9</x:v>
      </x:c>
      <x:c r="F354" s="341" t="n">
        <x:v>31</x:v>
      </x:c>
      <x:c r="G354" s="342" t="n">
        <x:f>IFERROR(D354/F354,0)</x:f>
        <x:v>0.4305210918114144</x:v>
      </x:c>
      <x:c r="H354" s="343" t="n">
        <x:f>IFERROR(E354/D354,0)</x:f>
        <x:v>6.960806916426513</x:v>
      </x:c>
      <x:c r="I354" s="340" t="str">
        <x:v>1991-2020</x:v>
      </x:c>
      <x:c r="J354" s="338" t="str">
        <x:v>GREEN - official NIWA normal</x:v>
      </x:c>
    </x:row>
    <x:row r="355">
      <x:c r="A355" s="340" t="str">
        <x:v>Chatham Islands</x:v>
      </x:c>
      <x:c r="B355" s="340" t="n">
        <x:v>1</x:v>
      </x:c>
      <x:c r="C355" s="340" t="str">
        <x:v>Jan</x:v>
      </x:c>
      <x:c r="D355" s="341" t="n">
        <x:v>6.833333333333333</x:v>
      </x:c>
      <x:c r="E355" s="341" t="n">
        <x:v>49.2</x:v>
      </x:c>
      <x:c r="F355" s="341" t="n">
        <x:v>31</x:v>
      </x:c>
      <x:c r="G355" s="342" t="n">
        <x:f>IFERROR(D355/F355,0)</x:f>
        <x:v>0.22043010752688172</x:v>
      </x:c>
      <x:c r="H355" s="343" t="n">
        <x:f>IFERROR(E355/D355,0)</x:f>
        <x:v>7.200000000000001</x:v>
      </x:c>
      <x:c r="I355" s="340" t="str">
        <x:v>1991-2020</x:v>
      </x:c>
      <x:c r="J355" s="338" t="str">
        <x:v>GREEN - official NIWA normal</x:v>
      </x:c>
    </x:row>
    <x:row r="356">
      <x:c r="A356" s="340" t="str">
        <x:v>Chatham Islands</x:v>
      </x:c>
      <x:c r="B356" s="340" t="n">
        <x:v>2</x:v>
      </x:c>
      <x:c r="C356" s="340" t="str">
        <x:v>Feb</x:v>
      </x:c>
      <x:c r="D356" s="341" t="n">
        <x:v>7</x:v>
      </x:c>
      <x:c r="E356" s="341" t="n">
        <x:v>64</x:v>
      </x:c>
      <x:c r="F356" s="341" t="n">
        <x:v>28.266666666666666</x:v>
      </x:c>
      <x:c r="G356" s="342" t="n">
        <x:f>IFERROR(D356/F356,0)</x:f>
        <x:v>0.24764150943396226</x:v>
      </x:c>
      <x:c r="H356" s="343" t="n">
        <x:f>IFERROR(E356/D356,0)</x:f>
        <x:v>9.142857142857142</x:v>
      </x:c>
      <x:c r="I356" s="340" t="str">
        <x:v>1991-2020</x:v>
      </x:c>
      <x:c r="J356" s="338" t="str">
        <x:v>GREEN - official NIWA normal</x:v>
      </x:c>
    </x:row>
    <x:row r="357">
      <x:c r="A357" s="340" t="str">
        <x:v>Chatham Islands</x:v>
      </x:c>
      <x:c r="B357" s="340" t="n">
        <x:v>3</x:v>
      </x:c>
      <x:c r="C357" s="340" t="str">
        <x:v>Mar</x:v>
      </x:c>
      <x:c r="D357" s="341" t="n">
        <x:v>8.571428571428571</x:v>
      </x:c>
      <x:c r="E357" s="341" t="n">
        <x:v>75.7</x:v>
      </x:c>
      <x:c r="F357" s="341" t="n">
        <x:v>31</x:v>
      </x:c>
      <x:c r="G357" s="342" t="n">
        <x:f>IFERROR(D357/F357,0)</x:f>
        <x:v>0.27649769585253453</x:v>
      </x:c>
      <x:c r="H357" s="343" t="n">
        <x:f>IFERROR(E357/D357,0)</x:f>
        <x:v>8.831666666666667</x:v>
      </x:c>
      <x:c r="I357" s="340" t="str">
        <x:v>1991-2020</x:v>
      </x:c>
      <x:c r="J357" s="338" t="str">
        <x:v>GREEN - official NIWA normal</x:v>
      </x:c>
    </x:row>
    <x:row r="358">
      <x:c r="A358" s="340" t="str">
        <x:v>Chatham Islands</x:v>
      </x:c>
      <x:c r="B358" s="340" t="n">
        <x:v>4</x:v>
      </x:c>
      <x:c r="C358" s="340" t="str">
        <x:v>Apr</x:v>
      </x:c>
      <x:c r="D358" s="341" t="n">
        <x:v>11.714285714285714</x:v>
      </x:c>
      <x:c r="E358" s="341" t="n">
        <x:v>79</x:v>
      </x:c>
      <x:c r="F358" s="341" t="n">
        <x:v>30</x:v>
      </x:c>
      <x:c r="G358" s="342" t="n">
        <x:f>IFERROR(D358/F358,0)</x:f>
        <x:v>0.3904761904761905</x:v>
      </x:c>
      <x:c r="H358" s="343" t="n">
        <x:f>IFERROR(E358/D358,0)</x:f>
        <x:v>6.7439024390243905</x:v>
      </x:c>
      <x:c r="I358" s="340" t="str">
        <x:v>1991-2020</x:v>
      </x:c>
      <x:c r="J358" s="338" t="str">
        <x:v>GREEN - official NIWA normal</x:v>
      </x:c>
    </x:row>
    <x:row r="359">
      <x:c r="A359" s="340" t="str">
        <x:v>Chatham Islands</x:v>
      </x:c>
      <x:c r="B359" s="340" t="n">
        <x:v>5</x:v>
      </x:c>
      <x:c r="C359" s="340" t="str">
        <x:v>May</x:v>
      </x:c>
      <x:c r="D359" s="341" t="n">
        <x:v>14.4</x:v>
      </x:c>
      <x:c r="E359" s="341" t="n">
        <x:v>88.3</x:v>
      </x:c>
      <x:c r="F359" s="341" t="n">
        <x:v>31</x:v>
      </x:c>
      <x:c r="G359" s="342" t="n">
        <x:f>IFERROR(D359/F359,0)</x:f>
        <x:v>0.4645161290322581</x:v>
      </x:c>
      <x:c r="H359" s="343" t="n">
        <x:f>IFERROR(E359/D359,0)</x:f>
        <x:v>6.131944444444444</x:v>
      </x:c>
      <x:c r="I359" s="340" t="str">
        <x:v>1991-2020</x:v>
      </x:c>
      <x:c r="J359" s="338" t="str">
        <x:v>GREEN - official NIWA normal</x:v>
      </x:c>
    </x:row>
    <x:row r="360">
      <x:c r="A360" s="340" t="str">
        <x:v>Chatham Islands</x:v>
      </x:c>
      <x:c r="B360" s="340" t="n">
        <x:v>6</x:v>
      </x:c>
      <x:c r="C360" s="340" t="str">
        <x:v>Jun</x:v>
      </x:c>
      <x:c r="D360" s="341" t="n">
        <x:v>15.4</x:v>
      </x:c>
      <x:c r="E360" s="341" t="n">
        <x:v>93.7</x:v>
      </x:c>
      <x:c r="F360" s="341" t="n">
        <x:v>30</x:v>
      </x:c>
      <x:c r="G360" s="342" t="n">
        <x:f>IFERROR(D360/F360,0)</x:f>
        <x:v>0.5133333333333333</x:v>
      </x:c>
      <x:c r="H360" s="343" t="n">
        <x:f>IFERROR(E360/D360,0)</x:f>
        <x:v>6.084415584415584</x:v>
      </x:c>
      <x:c r="I360" s="340" t="str">
        <x:v>1991-2020</x:v>
      </x:c>
      <x:c r="J360" s="338" t="str">
        <x:v>GREEN - official NIWA normal</x:v>
      </x:c>
    </x:row>
    <x:row r="361">
      <x:c r="A361" s="340" t="str">
        <x:v>Chatham Islands</x:v>
      </x:c>
      <x:c r="B361" s="340" t="n">
        <x:v>7</x:v>
      </x:c>
      <x:c r="C361" s="340" t="str">
        <x:v>Jul</x:v>
      </x:c>
      <x:c r="D361" s="341" t="n">
        <x:v>15.333333333333334</x:v>
      </x:c>
      <x:c r="E361" s="341" t="n">
        <x:v>72.3</x:v>
      </x:c>
      <x:c r="F361" s="341" t="n">
        <x:v>31</x:v>
      </x:c>
      <x:c r="G361" s="342" t="n">
        <x:f>IFERROR(D361/F361,0)</x:f>
        <x:v>0.4946236559139785</x:v>
      </x:c>
      <x:c r="H361" s="343" t="n">
        <x:f>IFERROR(E361/D361,0)</x:f>
        <x:v>4.715217391304347</x:v>
      </x:c>
      <x:c r="I361" s="340" t="str">
        <x:v>1991-2020</x:v>
      </x:c>
      <x:c r="J361" s="338" t="str">
        <x:v>GREEN - official NIWA normal</x:v>
      </x:c>
    </x:row>
    <x:row r="362">
      <x:c r="A362" s="340" t="str">
        <x:v>Chatham Islands</x:v>
      </x:c>
      <x:c r="B362" s="340" t="n">
        <x:v>8</x:v>
      </x:c>
      <x:c r="C362" s="340" t="str">
        <x:v>Aug</x:v>
      </x:c>
      <x:c r="D362" s="341" t="n">
        <x:v>12.833333333333334</x:v>
      </x:c>
      <x:c r="E362" s="341" t="n">
        <x:v>71</x:v>
      </x:c>
      <x:c r="F362" s="341" t="n">
        <x:v>31</x:v>
      </x:c>
      <x:c r="G362" s="342" t="n">
        <x:f>IFERROR(D362/F362,0)</x:f>
        <x:v>0.41397849462365593</x:v>
      </x:c>
      <x:c r="H362" s="343" t="n">
        <x:f>IFERROR(E362/D362,0)</x:f>
        <x:v>5.532467532467532</x:v>
      </x:c>
      <x:c r="I362" s="340" t="str">
        <x:v>1991-2020</x:v>
      </x:c>
      <x:c r="J362" s="338" t="str">
        <x:v>GREEN - official NIWA normal</x:v>
      </x:c>
    </x:row>
    <x:row r="363">
      <x:c r="A363" s="340" t="str">
        <x:v>Chatham Islands</x:v>
      </x:c>
      <x:c r="B363" s="340" t="n">
        <x:v>9</x:v>
      </x:c>
      <x:c r="C363" s="340" t="str">
        <x:v>Sep</x:v>
      </x:c>
      <x:c r="D363" s="341" t="n">
        <x:v>12</x:v>
      </x:c>
      <x:c r="E363" s="341" t="n">
        <x:v>71.3</x:v>
      </x:c>
      <x:c r="F363" s="341" t="n">
        <x:v>30</x:v>
      </x:c>
      <x:c r="G363" s="342" t="n">
        <x:f>IFERROR(D363/F363,0)</x:f>
        <x:v>0.4</x:v>
      </x:c>
      <x:c r="H363" s="343" t="n">
        <x:f>IFERROR(E363/D363,0)</x:f>
        <x:v>5.941666666666666</x:v>
      </x:c>
      <x:c r="I363" s="340" t="str">
        <x:v>1991-2020</x:v>
      </x:c>
      <x:c r="J363" s="338" t="str">
        <x:v>GREEN - official NIWA normal</x:v>
      </x:c>
    </x:row>
    <x:row r="364">
      <x:c r="A364" s="340" t="str">
        <x:v>Chatham Islands</x:v>
      </x:c>
      <x:c r="B364" s="340" t="n">
        <x:v>10</x:v>
      </x:c>
      <x:c r="C364" s="340" t="str">
        <x:v>Oct</x:v>
      </x:c>
      <x:c r="D364" s="341" t="n">
        <x:v>10.666666666666666</x:v>
      </x:c>
      <x:c r="E364" s="341" t="n">
        <x:v>56.2</x:v>
      </x:c>
      <x:c r="F364" s="341" t="n">
        <x:v>31</x:v>
      </x:c>
      <x:c r="G364" s="342" t="n">
        <x:f>IFERROR(D364/F364,0)</x:f>
        <x:v>0.3440860215053763</x:v>
      </x:c>
      <x:c r="H364" s="343" t="n">
        <x:f>IFERROR(E364/D364,0)</x:f>
        <x:v>5.268750000000001</x:v>
      </x:c>
      <x:c r="I364" s="340" t="str">
        <x:v>1991-2020</x:v>
      </x:c>
      <x:c r="J364" s="338" t="str">
        <x:v>GREEN - official NIWA normal</x:v>
      </x:c>
    </x:row>
    <x:row r="365">
      <x:c r="A365" s="340" t="str">
        <x:v>Chatham Islands</x:v>
      </x:c>
      <x:c r="B365" s="340" t="n">
        <x:v>11</x:v>
      </x:c>
      <x:c r="C365" s="340" t="str">
        <x:v>Nov</x:v>
      </x:c>
      <x:c r="D365" s="341" t="n">
        <x:v>8.4</x:v>
      </x:c>
      <x:c r="E365" s="341" t="n">
        <x:v>53.5</x:v>
      </x:c>
      <x:c r="F365" s="341" t="n">
        <x:v>30</x:v>
      </x:c>
      <x:c r="G365" s="342" t="n">
        <x:f>IFERROR(D365/F365,0)</x:f>
        <x:v>0.28</x:v>
      </x:c>
      <x:c r="H365" s="343" t="n">
        <x:f>IFERROR(E365/D365,0)</x:f>
        <x:v>6.369047619047619</x:v>
      </x:c>
      <x:c r="I365" s="340" t="str">
        <x:v>1991-2020</x:v>
      </x:c>
      <x:c r="J365" s="338" t="str">
        <x:v>GREEN - official NIWA normal</x:v>
      </x:c>
    </x:row>
    <x:row r="366">
      <x:c r="A366" s="340" t="str">
        <x:v>Chatham Islands</x:v>
      </x:c>
      <x:c r="B366" s="340" t="n">
        <x:v>12</x:v>
      </x:c>
      <x:c r="C366" s="340" t="str">
        <x:v>Dec</x:v>
      </x:c>
      <x:c r="D366" s="341" t="n">
        <x:v>10.125</x:v>
      </x:c>
      <x:c r="E366" s="341" t="n">
        <x:v>62.9</x:v>
      </x:c>
      <x:c r="F366" s="341" t="n">
        <x:v>31</x:v>
      </x:c>
      <x:c r="G366" s="342" t="n">
        <x:f>IFERROR(D366/F366,0)</x:f>
        <x:v>0.32661290322580644</x:v>
      </x:c>
      <x:c r="H366" s="343" t="n">
        <x:f>IFERROR(E366/D366,0)</x:f>
        <x:v>6.212345679012346</x:v>
      </x:c>
      <x:c r="I366" s="340" t="str">
        <x:v>1991-2020</x:v>
      </x:c>
      <x:c r="J366" s="338" t="str">
        <x:v>GREEN - official NIWA normal</x:v>
      </x:c>
    </x:row>
  </x:sheetData>
  <x:mergeCells>
    <x:mergeCell ref="A1:J1"/>
    <x:mergeCell ref="A3:J4"/>
  </x:mergeCells>
  <x:conditionalFormatting sqref="J7:J366">
    <x:cfRule type="containsText" dxfId="0" priority="1" operator="containsText" text="GREEN"/>
    <x:cfRule type="containsText" dxfId="1" priority="2" operator="containsText" text="AMBER"/>
    <x:cfRule type="containsText" dxfId="2" priority="3" operator="containsText" text="RED"/>
    <x:cfRule type="containsText" dxfId="3" priority="4" operator="containsText" text="UNCALIBRA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28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16" t="str">
        <x:v>NIWA Station Register - 1991-2020 Climate Normals</x:v>
      </x:c>
      <x:c r="B1" s="268" t="str">
        <x:v>NIWA Station Register - 1991-2020 Climate Normals</x:v>
      </x:c>
      <x:c r="C1" s="268" t="str">
        <x:v>NIWA Station Register - 1991-2020 Climate Normals</x:v>
      </x:c>
      <x:c r="D1" s="268" t="str">
        <x:v>NIWA Station Register - 1991-2020 Climate Normals</x:v>
      </x:c>
      <x:c r="E1" s="268" t="str">
        <x:v>NIWA Station Register - 1991-2020 Climate Normals</x:v>
      </x:c>
      <x:c r="F1" s="268" t="str">
        <x:v>NIWA Station Register - 1991-2020 Climate Normals</x:v>
      </x:c>
      <x:c r="G1" s="268" t="str">
        <x:v>NIWA Station Register - 1991-2020 Climate Normals</x:v>
      </x:c>
      <x:c r="H1" s="268" t="str">
        <x:v>NIWA Station Register - 1991-2020 Climate Normals</x:v>
      </x:c>
    </x:row>
    <x:row r="2">
      <x:c r="A2" s="269"/>
      <x:c r="B2" s="269"/>
      <x:c r="C2" s="269"/>
      <x:c r="D2" s="269"/>
      <x:c r="E2" s="269"/>
      <x:c r="F2" s="269"/>
      <x:c r="G2" s="269"/>
      <x:c r="H2" s="269"/>
    </x:row>
    <x:row r="3">
      <x:c r="A3" s="339" t="str">
        <x:v>Use the nearest representative station, then record any local site factor and its basis. Rainfall and wet-day station records are shown separately where NIWA used different stations.</x:v>
      </x:c>
      <x:c r="B3" s="339"/>
      <x:c r="C3" s="339"/>
      <x:c r="D3" s="339"/>
      <x:c r="E3" s="339"/>
      <x:c r="F3" s="339"/>
      <x:c r="G3" s="339"/>
      <x:c r="H3" s="339"/>
    </x:row>
    <x:row r="4">
      <x:c r="A4" s="339"/>
      <x:c r="B4" s="339"/>
      <x:c r="C4" s="339"/>
      <x:c r="D4" s="339"/>
      <x:c r="E4" s="339"/>
      <x:c r="F4" s="339"/>
      <x:c r="G4" s="339"/>
      <x:c r="H4" s="339"/>
    </x:row>
    <x:row r="5">
      <x:c r="A5" s="269"/>
      <x:c r="B5" s="269"/>
      <x:c r="C5" s="269"/>
      <x:c r="D5" s="269"/>
      <x:c r="E5" s="269"/>
      <x:c r="F5" s="269"/>
      <x:c r="G5" s="269"/>
      <x:c r="H5" s="269"/>
    </x:row>
    <x:row r="6">
      <x:c r="A6" s="320" t="str">
        <x:v>Location Selector</x:v>
      </x:c>
      <x:c r="B6" s="320" t="str">
        <x:v>Rain Station</x:v>
      </x:c>
      <x:c r="C6" s="320" t="str">
        <x:v>Rain Network</x:v>
      </x:c>
      <x:c r="D6" s="320" t="str">
        <x:v>Wet-Day Station</x:v>
      </x:c>
      <x:c r="E6" s="320" t="str">
        <x:v>Wet-Day Network</x:v>
      </x:c>
      <x:c r="F6" s="320" t="str">
        <x:v>Latitude</x:v>
      </x:c>
      <x:c r="G6" s="320" t="str">
        <x:v>Longitude</x:v>
      </x:c>
      <x:c r="H6" s="320" t="str">
        <x:v>Height (m)</x:v>
      </x:c>
    </x:row>
    <x:row r="7">
      <x:c r="A7" s="340" t="str">
        <x:v>Kaitaia</x:v>
      </x:c>
      <x:c r="B7" s="340" t="str">
        <x:v>Kaitaia Ews</x:v>
      </x:c>
      <x:c r="C7" s="340" t="str">
        <x:v>A53127</x:v>
      </x:c>
      <x:c r="D7" s="340" t="str">
        <x:v>Kaitaia Ews</x:v>
      </x:c>
      <x:c r="E7" s="340" t="str">
        <x:v>A53127</x:v>
      </x:c>
      <x:c r="F7" s="344" t="n">
        <x:v>-35.13352</x:v>
      </x:c>
      <x:c r="G7" s="344" t="n">
        <x:v>173.26294</x:v>
      </x:c>
      <x:c r="H7" s="345" t="n">
        <x:v>85</x:v>
      </x:c>
    </x:row>
    <x:row r="8">
      <x:c r="A8" s="340" t="str">
        <x:v>Whangarei</x:v>
      </x:c>
      <x:c r="B8" s="340" t="str">
        <x:v>Whangarei Aero Aws</x:v>
      </x:c>
      <x:c r="C8" s="340" t="str">
        <x:v>A54737</x:v>
      </x:c>
      <x:c r="D8" s="340" t="str">
        <x:v>Whangarei Aero Aws</x:v>
      </x:c>
      <x:c r="E8" s="340" t="str">
        <x:v>A54737</x:v>
      </x:c>
      <x:c r="F8" s="344" t="n">
        <x:v>-35.77062</x:v>
      </x:c>
      <x:c r="G8" s="344" t="n">
        <x:v>174.36285</x:v>
      </x:c>
      <x:c r="H8" s="345" t="n">
        <x:v>37</x:v>
      </x:c>
    </x:row>
    <x:row r="9">
      <x:c r="A9" s="340" t="str">
        <x:v>Auckland</x:v>
      </x:c>
      <x:c r="B9" s="340" t="str">
        <x:v>Auckland Aero</x:v>
      </x:c>
      <x:c r="C9" s="340" t="str">
        <x:v>C74082</x:v>
      </x:c>
      <x:c r="D9" s="340" t="str">
        <x:v>Auckland Aero</x:v>
      </x:c>
      <x:c r="E9" s="340" t="str">
        <x:v>C74082</x:v>
      </x:c>
      <x:c r="F9" s="344" t="n">
        <x:v>-37.00813</x:v>
      </x:c>
      <x:c r="G9" s="344" t="n">
        <x:v>174.78873</x:v>
      </x:c>
      <x:c r="H9" s="345" t="n">
        <x:v>7</x:v>
      </x:c>
    </x:row>
    <x:row r="10">
      <x:c r="A10" s="340" t="str">
        <x:v>Tauranga</x:v>
      </x:c>
      <x:c r="B10" s="340" t="str">
        <x:v>Tauranga Aero Aws</x:v>
      </x:c>
      <x:c r="C10" s="340" t="str">
        <x:v>B76624</x:v>
      </x:c>
      <x:c r="D10" s="340" t="str">
        <x:v>Tauranga Aero Aws</x:v>
      </x:c>
      <x:c r="E10" s="340" t="str">
        <x:v>B76624</x:v>
      </x:c>
      <x:c r="F10" s="344" t="n">
        <x:v>-37.675</x:v>
      </x:c>
      <x:c r="G10" s="344" t="n">
        <x:v>176.192</x:v>
      </x:c>
      <x:c r="H10" s="345" t="n">
        <x:v>2</x:v>
      </x:c>
    </x:row>
    <x:row r="11">
      <x:c r="A11" s="340" t="str">
        <x:v>Hamilton</x:v>
      </x:c>
      <x:c r="B11" s="340" t="str">
        <x:v>Hamilton, Ruakura 2 Ews</x:v>
      </x:c>
      <x:c r="C11" s="340" t="str">
        <x:v>C75734</x:v>
      </x:c>
      <x:c r="D11" s="340" t="str">
        <x:v>Hamilton, Ruakura 2 Ews</x:v>
      </x:c>
      <x:c r="E11" s="340" t="str">
        <x:v>C75734</x:v>
      </x:c>
      <x:c r="F11" s="344" t="n">
        <x:v>-37.77389</x:v>
      </x:c>
      <x:c r="G11" s="344" t="n">
        <x:v>175.30517</x:v>
      </x:c>
      <x:c r="H11" s="345" t="n">
        <x:v>45</x:v>
      </x:c>
    </x:row>
    <x:row r="12">
      <x:c r="A12" s="340" t="str">
        <x:v>Rotorua</x:v>
      </x:c>
      <x:c r="B12" s="340" t="str">
        <x:v>Rotorua Aero Aws</x:v>
      </x:c>
      <x:c r="C12" s="340" t="str">
        <x:v>B86133</x:v>
      </x:c>
      <x:c r="D12" s="340" t="str">
        <x:v>Rotorua Aero Aws</x:v>
      </x:c>
      <x:c r="E12" s="340" t="str">
        <x:v>B86133</x:v>
      </x:c>
      <x:c r="F12" s="344" t="n">
        <x:v>-38.10592</x:v>
      </x:c>
      <x:c r="G12" s="344" t="n">
        <x:v>176.31481</x:v>
      </x:c>
      <x:c r="H12" s="345" t="n">
        <x:v>286</x:v>
      </x:c>
    </x:row>
    <x:row r="13">
      <x:c r="A13" s="340" t="str">
        <x:v>Gisborne</x:v>
      </x:c>
      <x:c r="B13" s="340" t="str">
        <x:v>Gisborne Ews</x:v>
      </x:c>
      <x:c r="C13" s="340" t="str">
        <x:v>D87697</x:v>
      </x:c>
      <x:c r="D13" s="340" t="str">
        <x:v>Gisborne Aero Aws</x:v>
      </x:c>
      <x:c r="E13" s="340" t="str">
        <x:v>D87695</x:v>
      </x:c>
      <x:c r="F13" s="344" t="n">
        <x:v>-38.6586</x:v>
      </x:c>
      <x:c r="G13" s="344" t="n">
        <x:v>177.98513</x:v>
      </x:c>
      <x:c r="H13" s="345" t="n">
        <x:v>5</x:v>
      </x:c>
    </x:row>
    <x:row r="14">
      <x:c r="A14" s="340" t="str">
        <x:v>Taupo</x:v>
      </x:c>
      <x:c r="B14" s="340" t="str">
        <x:v>Taupo Aero Aws</x:v>
      </x:c>
      <x:c r="C14" s="340" t="str">
        <x:v>B86704</x:v>
      </x:c>
      <x:c r="D14" s="340" t="str">
        <x:v>Taupo Aero Aws</x:v>
      </x:c>
      <x:c r="E14" s="340" t="str">
        <x:v>B86704</x:v>
      </x:c>
      <x:c r="F14" s="344" t="n">
        <x:v>-38.74252</x:v>
      </x:c>
      <x:c r="G14" s="344" t="n">
        <x:v>176.08105</x:v>
      </x:c>
      <x:c r="H14" s="345" t="n">
        <x:v>402</x:v>
      </x:c>
    </x:row>
    <x:row r="15">
      <x:c r="A15" s="340" t="str">
        <x:v>New Plymouth</x:v>
      </x:c>
      <x:c r="B15" s="340" t="str">
        <x:v>New Plymouth Aero Aws</x:v>
      </x:c>
      <x:c r="C15" s="340" t="str">
        <x:v>C94012</x:v>
      </x:c>
      <x:c r="D15" s="340" t="str">
        <x:v>New Plymouth Aero Aws</x:v>
      </x:c>
      <x:c r="E15" s="340" t="str">
        <x:v>C94012</x:v>
      </x:c>
      <x:c r="F15" s="344" t="n">
        <x:v>-39.00786</x:v>
      </x:c>
      <x:c r="G15" s="344" t="n">
        <x:v>174.18382</x:v>
      </x:c>
      <x:c r="H15" s="345" t="n">
        <x:v>28</x:v>
      </x:c>
    </x:row>
    <x:row r="16">
      <x:c r="A16" s="340" t="str">
        <x:v>Napier</x:v>
      </x:c>
      <x:c r="B16" s="340" t="str">
        <x:v>Napier Aero Aws</x:v>
      </x:c>
      <x:c r="C16" s="340" t="str">
        <x:v>D96484</x:v>
      </x:c>
      <x:c r="D16" s="340" t="str">
        <x:v>Napier Aero Aws</x:v>
      </x:c>
      <x:c r="E16" s="340" t="str">
        <x:v>D96484</x:v>
      </x:c>
      <x:c r="F16" s="344" t="n">
        <x:v>-39.47033</x:v>
      </x:c>
      <x:c r="G16" s="344" t="n">
        <x:v>176.86463</x:v>
      </x:c>
      <x:c r="H16" s="345" t="n">
        <x:v>3</x:v>
      </x:c>
    </x:row>
    <x:row r="17">
      <x:c r="A17" s="340" t="str">
        <x:v>Whanganui</x:v>
      </x:c>
      <x:c r="B17" s="340" t="str">
        <x:v>Whanganui, Spriggens Park Ews</x:v>
      </x:c>
      <x:c r="C17" s="340" t="str">
        <x:v>E95902</x:v>
      </x:c>
      <x:c r="D17" s="340" t="str">
        <x:v>Whanganui, Spriggens Park Ews</x:v>
      </x:c>
      <x:c r="E17" s="340" t="str">
        <x:v>E95902</x:v>
      </x:c>
      <x:c r="F17" s="344" t="n">
        <x:v>-39.93704</x:v>
      </x:c>
      <x:c r="G17" s="344" t="n">
        <x:v>175.04509</x:v>
      </x:c>
      <x:c r="H17" s="345" t="n">
        <x:v>15</x:v>
      </x:c>
    </x:row>
    <x:row r="18">
      <x:c r="A18" s="340" t="str">
        <x:v>Palmerston North</x:v>
      </x:c>
      <x:c r="B18" s="340" t="str">
        <x:v>Palmerston North Ews</x:v>
      </x:c>
      <x:c r="C18" s="340" t="str">
        <x:v>E0536D</x:v>
      </x:c>
      <x:c r="D18" s="340" t="str">
        <x:v>Palmerston North Ews</x:v>
      </x:c>
      <x:c r="E18" s="340" t="str">
        <x:v>E0536D</x:v>
      </x:c>
      <x:c r="F18" s="344" t="n">
        <x:v>-40.38195</x:v>
      </x:c>
      <x:c r="G18" s="344" t="n">
        <x:v>175.60915</x:v>
      </x:c>
      <x:c r="H18" s="345" t="n">
        <x:v>21</x:v>
      </x:c>
    </x:row>
    <x:row r="19">
      <x:c r="A19" s="340" t="str">
        <x:v>Masterton</x:v>
      </x:c>
      <x:c r="B19" s="340" t="str">
        <x:v>Masterton, Te Ore Ore Cws</x:v>
      </x:c>
      <x:c r="C19" s="340" t="str">
        <x:v>D05974</x:v>
      </x:c>
      <x:c r="D19" s="340" t="str">
        <x:v>Masterton, Te Ore Ore Cws</x:v>
      </x:c>
      <x:c r="E19" s="340" t="str">
        <x:v>D05974</x:v>
      </x:c>
      <x:c r="F19" s="344" t="n">
        <x:v>-40.957</x:v>
      </x:c>
      <x:c r="G19" s="344" t="n">
        <x:v>175.707</x:v>
      </x:c>
      <x:c r="H19" s="345" t="n">
        <x:v>110</x:v>
      </x:c>
    </x:row>
    <x:row r="20">
      <x:c r="A20" s="340" t="str">
        <x:v>Wellington</x:v>
      </x:c>
      <x:c r="B20" s="340" t="str">
        <x:v>Wellington, Kelburn Aws</x:v>
      </x:c>
      <x:c r="C20" s="340" t="str">
        <x:v>E1427P</x:v>
      </x:c>
      <x:c r="D20" s="340" t="str">
        <x:v>Wellington, Kelburn Aws</x:v>
      </x:c>
      <x:c r="E20" s="340" t="str">
        <x:v>E1427P</x:v>
      </x:c>
      <x:c r="F20" s="344" t="n">
        <x:v>-41.28445</x:v>
      </x:c>
      <x:c r="G20" s="344" t="n">
        <x:v>174.76794</x:v>
      </x:c>
      <x:c r="H20" s="345" t="n">
        <x:v>125</x:v>
      </x:c>
    </x:row>
    <x:row r="21">
      <x:c r="A21" s="340" t="str">
        <x:v>Nelson</x:v>
      </x:c>
      <x:c r="B21" s="340" t="str">
        <x:v>Nelson Aero</x:v>
      </x:c>
      <x:c r="C21" s="340" t="str">
        <x:v>G13222</x:v>
      </x:c>
      <x:c r="D21" s="340" t="str">
        <x:v>Nelson Aero</x:v>
      </x:c>
      <x:c r="E21" s="340" t="str">
        <x:v>G13222</x:v>
      </x:c>
      <x:c r="F21" s="344" t="n">
        <x:v>-41.299</x:v>
      </x:c>
      <x:c r="G21" s="344" t="n">
        <x:v>173.226</x:v>
      </x:c>
      <x:c r="H21" s="345" t="n">
        <x:v>2</x:v>
      </x:c>
    </x:row>
    <x:row r="22">
      <x:c r="A22" s="340" t="str">
        <x:v>Blenheim</x:v>
      </x:c>
      <x:c r="B22" s="340" t="str">
        <x:v>Blenheim Research Ews</x:v>
      </x:c>
      <x:c r="C22" s="340" t="str">
        <x:v>G13495</x:v>
      </x:c>
      <x:c r="D22" s="340" t="str">
        <x:v>Blenheim Research Ews</x:v>
      </x:c>
      <x:c r="E22" s="340" t="str">
        <x:v>G13495</x:v>
      </x:c>
      <x:c r="F22" s="344" t="n">
        <x:v>-41.49891</x:v>
      </x:c>
      <x:c r="G22" s="344" t="n">
        <x:v>173.96285</x:v>
      </x:c>
      <x:c r="H22" s="345" t="n">
        <x:v>4</x:v>
      </x:c>
    </x:row>
    <x:row r="23">
      <x:c r="A23" s="340" t="str">
        <x:v>Westport</x:v>
      </x:c>
      <x:c r="B23" s="340" t="str">
        <x:v>Westport Aero Aws</x:v>
      </x:c>
      <x:c r="C23" s="340" t="str">
        <x:v>F11754</x:v>
      </x:c>
      <x:c r="D23" s="340" t="str">
        <x:v>Westport Aero Aws</x:v>
      </x:c>
      <x:c r="E23" s="340" t="str">
        <x:v>F11754</x:v>
      </x:c>
      <x:c r="F23" s="344" t="n">
        <x:v>-41.74075</x:v>
      </x:c>
      <x:c r="G23" s="344" t="n">
        <x:v>171.57985</x:v>
      </x:c>
      <x:c r="H23" s="345" t="n">
        <x:v>5</x:v>
      </x:c>
    </x:row>
    <x:row r="24">
      <x:c r="A24" s="340" t="str">
        <x:v>Kaikoura</x:v>
      </x:c>
      <x:c r="B24" s="340" t="str">
        <x:v>Kaikoura Aws</x:v>
      </x:c>
      <x:c r="C24" s="340" t="str">
        <x:v>G23464</x:v>
      </x:c>
      <x:c r="D24" s="340" t="str">
        <x:v>Kaikoura Aws</x:v>
      </x:c>
      <x:c r="E24" s="340" t="str">
        <x:v>G23464</x:v>
      </x:c>
      <x:c r="F24" s="344" t="n">
        <x:v>-42.42038</x:v>
      </x:c>
      <x:c r="G24" s="344" t="n">
        <x:v>173.69627</x:v>
      </x:c>
      <x:c r="H24" s="345" t="n">
        <x:v>108</x:v>
      </x:c>
    </x:row>
    <x:row r="25">
      <x:c r="A25" s="340" t="str">
        <x:v>Hokitika</x:v>
      </x:c>
      <x:c r="B25" s="340" t="str">
        <x:v>Hokitika Aero</x:v>
      </x:c>
      <x:c r="C25" s="340" t="str">
        <x:v>F20793</x:v>
      </x:c>
      <x:c r="D25" s="340" t="str">
        <x:v>Hokitika Aero</x:v>
      </x:c>
      <x:c r="E25" s="340" t="str">
        <x:v>F20793</x:v>
      </x:c>
      <x:c r="F25" s="344" t="n">
        <x:v>-42.712</x:v>
      </x:c>
      <x:c r="G25" s="344" t="n">
        <x:v>170.984</x:v>
      </x:c>
      <x:c r="H25" s="345" t="n">
        <x:v>39</x:v>
      </x:c>
    </x:row>
    <x:row r="26">
      <x:c r="A26" s="340" t="str">
        <x:v>Christchurch</x:v>
      </x:c>
      <x:c r="B26" s="340" t="str">
        <x:v>Christchurch Aero</x:v>
      </x:c>
      <x:c r="C26" s="340" t="str">
        <x:v>H32451</x:v>
      </x:c>
      <x:c r="D26" s="340" t="str">
        <x:v>Christchurch Aero</x:v>
      </x:c>
      <x:c r="E26" s="340" t="str">
        <x:v>H32451</x:v>
      </x:c>
      <x:c r="F26" s="344" t="n">
        <x:v>-43.493</x:v>
      </x:c>
      <x:c r="G26" s="344" t="n">
        <x:v>172.537</x:v>
      </x:c>
      <x:c r="H26" s="345" t="n">
        <x:v>37</x:v>
      </x:c>
    </x:row>
    <x:row r="27">
      <x:c r="A27" s="340" t="str">
        <x:v>Mt Cook</x:v>
      </x:c>
      <x:c r="B27" s="340" t="str">
        <x:v>Mt Cook Ews</x:v>
      </x:c>
      <x:c r="C27" s="340" t="str">
        <x:v>H30706</x:v>
      </x:c>
      <x:c r="D27" s="340" t="str">
        <x:v>Mt Cook Ews</x:v>
      </x:c>
      <x:c r="E27" s="340" t="str">
        <x:v>H30706</x:v>
      </x:c>
      <x:c r="F27" s="344" t="n">
        <x:v>-43.73633</x:v>
      </x:c>
      <x:c r="G27" s="344" t="n">
        <x:v>170.0977</x:v>
      </x:c>
      <x:c r="H27" s="345" t="n">
        <x:v>730</x:v>
      </x:c>
    </x:row>
    <x:row r="28">
      <x:c r="A28" s="340" t="str">
        <x:v>Lake Tekapo</x:v>
      </x:c>
      <x:c r="B28" s="340" t="str">
        <x:v>Lake Tekapo Ews</x:v>
      </x:c>
      <x:c r="C28" s="340" t="str">
        <x:v>H40042</x:v>
      </x:c>
      <x:c r="D28" s="340" t="str">
        <x:v>Lake Tekapo Ews</x:v>
      </x:c>
      <x:c r="E28" s="340" t="str">
        <x:v>H40042</x:v>
      </x:c>
      <x:c r="F28" s="344" t="n">
        <x:v>-44.00173</x:v>
      </x:c>
      <x:c r="G28" s="344" t="n">
        <x:v>170.44319</x:v>
      </x:c>
      <x:c r="H28" s="345" t="n">
        <x:v>762</x:v>
      </x:c>
    </x:row>
    <x:row r="29">
      <x:c r="A29" s="340" t="str">
        <x:v>Timaru</x:v>
      </x:c>
      <x:c r="B29" s="340" t="str">
        <x:v>Timaru Ews</x:v>
      </x:c>
      <x:c r="C29" s="340" t="str">
        <x:v>H41425</x:v>
      </x:c>
      <x:c r="D29" s="340" t="str">
        <x:v>Timaru Ews</x:v>
      </x:c>
      <x:c r="E29" s="340" t="str">
        <x:v>H41425</x:v>
      </x:c>
      <x:c r="F29" s="344" t="n">
        <x:v>-44.40882</x:v>
      </x:c>
      <x:c r="G29" s="344" t="n">
        <x:v>171.25434</x:v>
      </x:c>
      <x:c r="H29" s="345" t="n">
        <x:v>17</x:v>
      </x:c>
    </x:row>
    <x:row r="30">
      <x:c r="A30" s="340" t="str">
        <x:v>Milford Sound</x:v>
      </x:c>
      <x:c r="B30" s="340" t="str">
        <x:v>Milford Sound Aws</x:v>
      </x:c>
      <x:c r="C30" s="340" t="str">
        <x:v>F47693</x:v>
      </x:c>
      <x:c r="D30" s="340" t="str">
        <x:v>Milford Sound Aws</x:v>
      </x:c>
      <x:c r="E30" s="340" t="str">
        <x:v>F47693</x:v>
      </x:c>
      <x:c r="F30" s="344" t="n">
        <x:v>-44.6733</x:v>
      </x:c>
      <x:c r="G30" s="344" t="n">
        <x:v>167.9243</x:v>
      </x:c>
      <x:c r="H30" s="345" t="n">
        <x:v>3</x:v>
      </x:c>
    </x:row>
    <x:row r="31">
      <x:c r="A31" s="340" t="str">
        <x:v>Queenstown</x:v>
      </x:c>
      <x:c r="B31" s="340" t="str">
        <x:v>Queenstown Aero Aws</x:v>
      </x:c>
      <x:c r="C31" s="340" t="str">
        <x:v>I58075</x:v>
      </x:c>
      <x:c r="D31" s="340" t="str">
        <x:v>Queenstown Aero Aws</x:v>
      </x:c>
      <x:c r="E31" s="340" t="str">
        <x:v>I58075</x:v>
      </x:c>
      <x:c r="F31" s="344" t="n">
        <x:v>-45.01762</x:v>
      </x:c>
      <x:c r="G31" s="344" t="n">
        <x:v>168.7402</x:v>
      </x:c>
      <x:c r="H31" s="345" t="n">
        <x:v>357</x:v>
      </x:c>
    </x:row>
    <x:row r="32">
      <x:c r="A32" s="340" t="str">
        <x:v>Alexandra</x:v>
      </x:c>
      <x:c r="B32" s="340" t="str">
        <x:v>Alexandra</x:v>
      </x:c>
      <x:c r="C32" s="340" t="str">
        <x:v>I59236</x:v>
      </x:c>
      <x:c r="D32" s="340" t="str">
        <x:v>Alexandra</x:v>
      </x:c>
      <x:c r="E32" s="340" t="str">
        <x:v>I59236</x:v>
      </x:c>
      <x:c r="F32" s="344" t="n">
        <x:v>-45.246</x:v>
      </x:c>
      <x:c r="G32" s="344" t="n">
        <x:v>169.38956</x:v>
      </x:c>
      <x:c r="H32" s="345" t="n">
        <x:v>150</x:v>
      </x:c>
    </x:row>
    <x:row r="33">
      <x:c r="A33" s="340" t="str">
        <x:v>Manapouri</x:v>
      </x:c>
      <x:c r="B33" s="340" t="str">
        <x:v>Manapouri Aero Aws</x:v>
      </x:c>
      <x:c r="C33" s="340" t="str">
        <x:v>I57563</x:v>
      </x:c>
      <x:c r="D33" s="340" t="str">
        <x:v>Manapouri Aero Aws</x:v>
      </x:c>
      <x:c r="E33" s="340" t="str">
        <x:v>I57563</x:v>
      </x:c>
      <x:c r="F33" s="344" t="n">
        <x:v>-45.53285</x:v>
      </x:c>
      <x:c r="G33" s="344" t="n">
        <x:v>167.64162</x:v>
      </x:c>
      <x:c r="H33" s="345" t="n">
        <x:v>209</x:v>
      </x:c>
    </x:row>
    <x:row r="34">
      <x:c r="A34" s="340" t="str">
        <x:v>Dunedin</x:v>
      </x:c>
      <x:c r="B34" s="340" t="str">
        <x:v>Dunedin, Musselburgh Ews</x:v>
      </x:c>
      <x:c r="C34" s="340" t="str">
        <x:v>I50954</x:v>
      </x:c>
      <x:c r="D34" s="340" t="str">
        <x:v>Dunedin, Musselburgh Ews</x:v>
      </x:c>
      <x:c r="E34" s="340" t="str">
        <x:v>I50954</x:v>
      </x:c>
      <x:c r="F34" s="344" t="n">
        <x:v>-45.90129</x:v>
      </x:c>
      <x:c r="G34" s="344" t="n">
        <x:v>170.5147</x:v>
      </x:c>
      <x:c r="H34" s="345" t="n">
        <x:v>4</x:v>
      </x:c>
    </x:row>
    <x:row r="35">
      <x:c r="A35" s="340" t="str">
        <x:v>Invercargill</x:v>
      </x:c>
      <x:c r="B35" s="340" t="str">
        <x:v>Invercargill Aero Aws</x:v>
      </x:c>
      <x:c r="C35" s="340" t="str">
        <x:v>I68435</x:v>
      </x:c>
      <x:c r="D35" s="340" t="str">
        <x:v>Invercargill Aero Aws</x:v>
      </x:c>
      <x:c r="E35" s="340" t="str">
        <x:v>I68435</x:v>
      </x:c>
      <x:c r="F35" s="344" t="n">
        <x:v>-46.41104</x:v>
      </x:c>
      <x:c r="G35" s="344" t="n">
        <x:v>168.31779</x:v>
      </x:c>
      <x:c r="H35" s="345" t="n">
        <x:v>3</x:v>
      </x:c>
    </x:row>
    <x:row r="36">
      <x:c r="A36" s="340" t="str">
        <x:v>Chatham Islands</x:v>
      </x:c>
      <x:c r="B36" s="340" t="str">
        <x:v>Chatham Island Aero Aws</x:v>
      </x:c>
      <x:c r="C36" s="340" t="str">
        <x:v>K98617</x:v>
      </x:c>
      <x:c r="D36" s="340" t="str">
        <x:v>Chatham Island Aero Aws</x:v>
      </x:c>
      <x:c r="E36" s="340" t="str">
        <x:v>K98617</x:v>
      </x:c>
      <x:c r="F36" s="344" t="n">
        <x:v>-43.81676</x:v>
      </x:c>
      <x:c r="G36" s="344" t="n">
        <x:v>-176.47502</x:v>
      </x:c>
      <x:c r="H36" s="345" t="n">
        <x:v>12</x:v>
      </x:c>
    </x:row>
  </x:sheetData>
  <x:mergeCells>
    <x:mergeCell ref="A1:H1"/>
    <x:mergeCell ref="A3:H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65" hidden="0" customWidth="1"/>
  </x:cols>
  <x:sheetData>
    <x:row r="1" ht="26" customHeight="1">
      <x:c r="A1" s="316" t="str">
        <x:v>Auckland Wind-Day Proxy - Optional and AMBER</x:v>
      </x:c>
      <x:c r="B1" s="268" t="str">
        <x:v>Auckland Wind-Day Proxy - Optional and AMBER</x:v>
      </x:c>
      <x:c r="C1" s="268" t="str">
        <x:v>Auckland Wind-Day Proxy - Optional and AMBER</x:v>
      </x:c>
      <x:c r="D1" s="268" t="str">
        <x:v>Auckland Wind-Day Proxy - Optional and AMBER</x:v>
      </x:c>
      <x:c r="E1" s="268" t="str">
        <x:v>Auckland Wind-Day Proxy - Optional and AMBER</x:v>
      </x:c>
      <x:c r="F1" s="268" t="str">
        <x:v>Auckland Wind-Day Proxy - Optional and AMBER</x:v>
      </x:c>
      <x:c r="G1" s="268" t="str">
        <x:v>Auckland Wind-Day Proxy - Optional and AMBER</x:v>
      </x:c>
      <x:c r="H1" s="268" t="str">
        <x:v>Auckland Wind-Day Proxy - Optional and AMBER</x:v>
      </x:c>
      <x:c r="I1" s="268" t="str">
        <x:v>Auckland Wind-Day Proxy - Optional and AMBER</x:v>
      </x:c>
      <x:c r="J1" s="268" t="str">
        <x:v>Auckland Wind-Day Proxy - Optional and AMBER</x:v>
      </x:c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</x:row>
    <x:row r="3">
      <x:c r="A3" s="319" t="str">
        <x:v>This is not a current 1991-2020 monthly wind-day normal. It is an explicit proxy for Auckland only: NIWA reports 55 days/year with gusts above 63 km/h at Auckland Airport. Those days are distributed by NIWA's seasonal share of strong winds and normalised to 100%. Use only where the task threshold is comparable, or enter a project-specific wind probability override.</x:v>
      </x:c>
      <x:c r="B3" s="319"/>
      <x:c r="C3" s="319"/>
      <x:c r="D3" s="319"/>
      <x:c r="E3" s="319"/>
      <x:c r="F3" s="319"/>
      <x:c r="G3" s="319"/>
      <x:c r="H3" s="319"/>
      <x:c r="I3" s="319"/>
      <x:c r="J3" s="319"/>
    </x:row>
    <x:row r="4">
      <x:c r="A4" s="319"/>
      <x:c r="B4" s="319"/>
      <x:c r="C4" s="319"/>
      <x:c r="D4" s="319"/>
      <x:c r="E4" s="319"/>
      <x:c r="F4" s="319"/>
      <x:c r="G4" s="319"/>
      <x:c r="H4" s="319"/>
      <x:c r="I4" s="319"/>
      <x:c r="J4" s="319"/>
    </x:row>
    <x:row r="5">
      <x:c r="A5" s="319"/>
      <x:c r="B5" s="319"/>
      <x:c r="C5" s="319"/>
      <x:c r="D5" s="319"/>
      <x:c r="E5" s="319"/>
      <x:c r="F5" s="319"/>
      <x:c r="G5" s="319"/>
      <x:c r="H5" s="319"/>
      <x:c r="I5" s="319"/>
      <x:c r="J5" s="319"/>
    </x:row>
    <x:row r="6">
      <x:c r="A6" s="269"/>
      <x:c r="B6" s="269"/>
      <x:c r="C6" s="269"/>
      <x:c r="D6" s="269"/>
      <x:c r="E6" s="269"/>
      <x:c r="F6" s="269"/>
      <x:c r="G6" s="269"/>
      <x:c r="H6" s="269"/>
      <x:c r="I6" s="269"/>
      <x:c r="J6" s="269"/>
    </x:row>
    <x:row r="7">
      <x:c r="A7" s="320" t="str">
        <x:v>Location</x:v>
      </x:c>
      <x:c r="B7" s="320" t="str">
        <x:v>Month #</x:v>
      </x:c>
      <x:c r="C7" s="320" t="str">
        <x:v>Month</x:v>
      </x:c>
      <x:c r="D7" s="320" t="str">
        <x:v>Season</x:v>
      </x:c>
      <x:c r="E7" s="320" t="str">
        <x:v>Season Share</x:v>
      </x:c>
      <x:c r="F7" s="320" t="str">
        <x:v>Annual Gust Days &gt;63 km/h</x:v>
      </x:c>
      <x:c r="G7" s="320" t="str">
        <x:v>Proxy Days in Month</x:v>
      </x:c>
      <x:c r="H7" s="320" t="str">
        <x:v>Daily Wind Event Probability</x:v>
      </x:c>
      <x:c r="I7" s="320" t="str">
        <x:v>Status</x:v>
      </x:c>
      <x:c r="J7" s="320" t="str">
        <x:v>Basis</x:v>
      </x:c>
    </x:row>
    <x:row r="8">
      <x:c r="A8" s="340" t="str">
        <x:v>Auckland</x:v>
      </x:c>
      <x:c r="B8" s="340" t="n">
        <x:v>1</x:v>
      </x:c>
      <x:c r="C8" s="340" t="str">
        <x:v>Jan</x:v>
      </x:c>
      <x:c r="D8" s="340" t="str">
        <x:v>Summer</x:v>
      </x:c>
      <x:c r="E8" s="342" t="n">
        <x:v>0.21</x:v>
      </x:c>
      <x:c r="F8" s="341" t="n">
        <x:v>55</x:v>
      </x:c>
      <x:c r="G8" s="341" t="n">
        <x:f>F8*(E8/SUM($E$8,$E$11,$E$14,$E$17))/3</x:f>
        <x:v>3.8888888888888893</x:v>
      </x:c>
      <x:c r="H8" s="342" t="n">
        <x:f>G8/SUMIFS('Climate Data'!$F$7:$F$366,'Climate Data'!$A$7:$A$366,A8,'Climate Data'!$B$7:$B$366,B8)</x:f>
        <x:v>0.12544802867383514</x:v>
      </x:c>
      <x:c r="I8" s="338" t="str">
        <x:v>AMBER - legacy proxy</x:v>
      </x:c>
      <x:c r="J8" s="340" t="str">
        <x:v>Inference: 55 annual gust days allocated using seasonal strong-wind shares; not direct monthly observations.</x:v>
      </x:c>
    </x:row>
    <x:row r="9">
      <x:c r="A9" s="340" t="str">
        <x:v>Auckland</x:v>
      </x:c>
      <x:c r="B9" s="340" t="n">
        <x:v>2</x:v>
      </x:c>
      <x:c r="C9" s="340" t="str">
        <x:v>Feb</x:v>
      </x:c>
      <x:c r="D9" s="340" t="str">
        <x:v>Summer</x:v>
      </x:c>
      <x:c r="E9" s="342" t="n">
        <x:v>0.21</x:v>
      </x:c>
      <x:c r="F9" s="341" t="n">
        <x:v>55</x:v>
      </x:c>
      <x:c r="G9" s="341" t="n">
        <x:f>F9*(E9/SUM($E$8,$E$11,$E$14,$E$17))/3</x:f>
        <x:v>3.8888888888888893</x:v>
      </x:c>
      <x:c r="H9" s="342" t="n">
        <x:f>G9/SUMIFS('Climate Data'!$F$7:$F$366,'Climate Data'!$A$7:$A$366,A9,'Climate Data'!$B$7:$B$366,B9)</x:f>
        <x:v>0.13757861635220128</x:v>
      </x:c>
      <x:c r="I9" s="338" t="str">
        <x:v>AMBER - legacy proxy</x:v>
      </x:c>
      <x:c r="J9" s="340" t="str">
        <x:v>Inference: 55 annual gust days allocated using seasonal strong-wind shares; not direct monthly observations.</x:v>
      </x:c>
    </x:row>
    <x:row r="10">
      <x:c r="A10" s="340" t="str">
        <x:v>Auckland</x:v>
      </x:c>
      <x:c r="B10" s="340" t="n">
        <x:v>3</x:v>
      </x:c>
      <x:c r="C10" s="340" t="str">
        <x:v>Mar</x:v>
      </x:c>
      <x:c r="D10" s="340" t="str">
        <x:v>Autumn</x:v>
      </x:c>
      <x:c r="E10" s="342" t="n">
        <x:v>0.19</x:v>
      </x:c>
      <x:c r="F10" s="341" t="n">
        <x:v>55</x:v>
      </x:c>
      <x:c r="G10" s="341" t="n">
        <x:f>F10*(E10/SUM($E$8,$E$11,$E$14,$E$17))/3</x:f>
        <x:v>3.518518518518519</x:v>
      </x:c>
      <x:c r="H10" s="342" t="n">
        <x:f>G10/SUMIFS('Climate Data'!$F$7:$F$366,'Climate Data'!$A$7:$A$366,A10,'Climate Data'!$B$7:$B$366,B10)</x:f>
        <x:v>0.11350059737156513</x:v>
      </x:c>
      <x:c r="I10" s="338" t="str">
        <x:v>AMBER - legacy proxy</x:v>
      </x:c>
      <x:c r="J10" s="340" t="str">
        <x:v>Inference: 55 annual gust days allocated using seasonal strong-wind shares; not direct monthly observations.</x:v>
      </x:c>
    </x:row>
    <x:row r="11">
      <x:c r="A11" s="340" t="str">
        <x:v>Auckland</x:v>
      </x:c>
      <x:c r="B11" s="340" t="n">
        <x:v>4</x:v>
      </x:c>
      <x:c r="C11" s="340" t="str">
        <x:v>Apr</x:v>
      </x:c>
      <x:c r="D11" s="340" t="str">
        <x:v>Autumn</x:v>
      </x:c>
      <x:c r="E11" s="342" t="n">
        <x:v>0.19</x:v>
      </x:c>
      <x:c r="F11" s="341" t="n">
        <x:v>55</x:v>
      </x:c>
      <x:c r="G11" s="341" t="n">
        <x:f>F11*(E11/SUM($E$8,$E$11,$E$14,$E$17))/3</x:f>
        <x:v>3.518518518518519</x:v>
      </x:c>
      <x:c r="H11" s="342" t="n">
        <x:f>G11/SUMIFS('Climate Data'!$F$7:$F$366,'Climate Data'!$A$7:$A$366,A11,'Climate Data'!$B$7:$B$366,B11)</x:f>
        <x:v>0.11728395061728397</x:v>
      </x:c>
      <x:c r="I11" s="338" t="str">
        <x:v>AMBER - legacy proxy</x:v>
      </x:c>
      <x:c r="J11" s="340" t="str">
        <x:v>Inference: 55 annual gust days allocated using seasonal strong-wind shares; not direct monthly observations.</x:v>
      </x:c>
    </x:row>
    <x:row r="12">
      <x:c r="A12" s="340" t="str">
        <x:v>Auckland</x:v>
      </x:c>
      <x:c r="B12" s="340" t="n">
        <x:v>5</x:v>
      </x:c>
      <x:c r="C12" s="340" t="str">
        <x:v>May</x:v>
      </x:c>
      <x:c r="D12" s="340" t="str">
        <x:v>Autumn</x:v>
      </x:c>
      <x:c r="E12" s="342" t="n">
        <x:v>0.19</x:v>
      </x:c>
      <x:c r="F12" s="341" t="n">
        <x:v>55</x:v>
      </x:c>
      <x:c r="G12" s="341" t="n">
        <x:f>F12*(E12/SUM($E$8,$E$11,$E$14,$E$17))/3</x:f>
        <x:v>3.518518518518519</x:v>
      </x:c>
      <x:c r="H12" s="342" t="n">
        <x:f>G12/SUMIFS('Climate Data'!$F$7:$F$366,'Climate Data'!$A$7:$A$366,A12,'Climate Data'!$B$7:$B$366,B12)</x:f>
        <x:v>0.11350059737156513</x:v>
      </x:c>
      <x:c r="I12" s="338" t="str">
        <x:v>AMBER - legacy proxy</x:v>
      </x:c>
      <x:c r="J12" s="340" t="str">
        <x:v>Inference: 55 annual gust days allocated using seasonal strong-wind shares; not direct monthly observations.</x:v>
      </x:c>
    </x:row>
    <x:row r="13">
      <x:c r="A13" s="340" t="str">
        <x:v>Auckland</x:v>
      </x:c>
      <x:c r="B13" s="340" t="n">
        <x:v>6</x:v>
      </x:c>
      <x:c r="C13" s="340" t="str">
        <x:v>Jun</x:v>
      </x:c>
      <x:c r="D13" s="340" t="str">
        <x:v>Winter</x:v>
      </x:c>
      <x:c r="E13" s="342" t="n">
        <x:v>0.23</x:v>
      </x:c>
      <x:c r="F13" s="341" t="n">
        <x:v>55</x:v>
      </x:c>
      <x:c r="G13" s="341" t="n">
        <x:f>F13*(E13/SUM($E$8,$E$11,$E$14,$E$17))/3</x:f>
        <x:v>4.2592592592592595</x:v>
      </x:c>
      <x:c r="H13" s="342" t="n">
        <x:f>G13/SUMIFS('Climate Data'!$F$7:$F$366,'Climate Data'!$A$7:$A$366,A13,'Climate Data'!$B$7:$B$366,B13)</x:f>
        <x:v>0.14197530864197533</x:v>
      </x:c>
      <x:c r="I13" s="338" t="str">
        <x:v>AMBER - legacy proxy</x:v>
      </x:c>
      <x:c r="J13" s="340" t="str">
        <x:v>Inference: 55 annual gust days allocated using seasonal strong-wind shares; not direct monthly observations.</x:v>
      </x:c>
    </x:row>
    <x:row r="14">
      <x:c r="A14" s="340" t="str">
        <x:v>Auckland</x:v>
      </x:c>
      <x:c r="B14" s="340" t="n">
        <x:v>7</x:v>
      </x:c>
      <x:c r="C14" s="340" t="str">
        <x:v>Jul</x:v>
      </x:c>
      <x:c r="D14" s="340" t="str">
        <x:v>Winter</x:v>
      </x:c>
      <x:c r="E14" s="342" t="n">
        <x:v>0.23</x:v>
      </x:c>
      <x:c r="F14" s="341" t="n">
        <x:v>55</x:v>
      </x:c>
      <x:c r="G14" s="341" t="n">
        <x:f>F14*(E14/SUM($E$8,$E$11,$E$14,$E$17))/3</x:f>
        <x:v>4.2592592592592595</x:v>
      </x:c>
      <x:c r="H14" s="342" t="n">
        <x:f>G14/SUMIFS('Climate Data'!$F$7:$F$366,'Climate Data'!$A$7:$A$366,A14,'Climate Data'!$B$7:$B$366,B14)</x:f>
        <x:v>0.13739545997610514</x:v>
      </x:c>
      <x:c r="I14" s="338" t="str">
        <x:v>AMBER - legacy proxy</x:v>
      </x:c>
      <x:c r="J14" s="340" t="str">
        <x:v>Inference: 55 annual gust days allocated using seasonal strong-wind shares; not direct monthly observations.</x:v>
      </x:c>
    </x:row>
    <x:row r="15">
      <x:c r="A15" s="340" t="str">
        <x:v>Auckland</x:v>
      </x:c>
      <x:c r="B15" s="340" t="n">
        <x:v>8</x:v>
      </x:c>
      <x:c r="C15" s="340" t="str">
        <x:v>Aug</x:v>
      </x:c>
      <x:c r="D15" s="340" t="str">
        <x:v>Winter</x:v>
      </x:c>
      <x:c r="E15" s="342" t="n">
        <x:v>0.23</x:v>
      </x:c>
      <x:c r="F15" s="341" t="n">
        <x:v>55</x:v>
      </x:c>
      <x:c r="G15" s="341" t="n">
        <x:f>F15*(E15/SUM($E$8,$E$11,$E$14,$E$17))/3</x:f>
        <x:v>4.2592592592592595</x:v>
      </x:c>
      <x:c r="H15" s="342" t="n">
        <x:f>G15/SUMIFS('Climate Data'!$F$7:$F$366,'Climate Data'!$A$7:$A$366,A15,'Climate Data'!$B$7:$B$366,B15)</x:f>
        <x:v>0.13739545997610514</x:v>
      </x:c>
      <x:c r="I15" s="338" t="str">
        <x:v>AMBER - legacy proxy</x:v>
      </x:c>
      <x:c r="J15" s="340" t="str">
        <x:v>Inference: 55 annual gust days allocated using seasonal strong-wind shares; not direct monthly observations.</x:v>
      </x:c>
    </x:row>
    <x:row r="16">
      <x:c r="A16" s="340" t="str">
        <x:v>Auckland</x:v>
      </x:c>
      <x:c r="B16" s="340" t="n">
        <x:v>9</x:v>
      </x:c>
      <x:c r="C16" s="340" t="str">
        <x:v>Sep</x:v>
      </x:c>
      <x:c r="D16" s="340" t="str">
        <x:v>Spring</x:v>
      </x:c>
      <x:c r="E16" s="342" t="n">
        <x:v>0.36</x:v>
      </x:c>
      <x:c r="F16" s="341" t="n">
        <x:v>55</x:v>
      </x:c>
      <x:c r="G16" s="341" t="n">
        <x:f>F16*(E16/SUM($E$8,$E$11,$E$14,$E$17))/3</x:f>
        <x:v>6.666666666666667</x:v>
      </x:c>
      <x:c r="H16" s="342" t="n">
        <x:f>G16/SUMIFS('Climate Data'!$F$7:$F$366,'Climate Data'!$A$7:$A$366,A16,'Climate Data'!$B$7:$B$366,B16)</x:f>
        <x:v>0.22222222222222224</x:v>
      </x:c>
      <x:c r="I16" s="338" t="str">
        <x:v>AMBER - legacy proxy</x:v>
      </x:c>
      <x:c r="J16" s="340" t="str">
        <x:v>Inference: 55 annual gust days allocated using seasonal strong-wind shares; not direct monthly observations.</x:v>
      </x:c>
    </x:row>
    <x:row r="17">
      <x:c r="A17" s="340" t="str">
        <x:v>Auckland</x:v>
      </x:c>
      <x:c r="B17" s="340" t="n">
        <x:v>10</x:v>
      </x:c>
      <x:c r="C17" s="340" t="str">
        <x:v>Oct</x:v>
      </x:c>
      <x:c r="D17" s="340" t="str">
        <x:v>Spring</x:v>
      </x:c>
      <x:c r="E17" s="342" t="n">
        <x:v>0.36</x:v>
      </x:c>
      <x:c r="F17" s="341" t="n">
        <x:v>55</x:v>
      </x:c>
      <x:c r="G17" s="341" t="n">
        <x:f>F17*(E17/SUM($E$8,$E$11,$E$14,$E$17))/3</x:f>
        <x:v>6.666666666666667</x:v>
      </x:c>
      <x:c r="H17" s="342" t="n">
        <x:f>G17/SUMIFS('Climate Data'!$F$7:$F$366,'Climate Data'!$A$7:$A$366,A17,'Climate Data'!$B$7:$B$366,B17)</x:f>
        <x:v>0.21505376344086022</x:v>
      </x:c>
      <x:c r="I17" s="338" t="str">
        <x:v>AMBER - legacy proxy</x:v>
      </x:c>
      <x:c r="J17" s="340" t="str">
        <x:v>Inference: 55 annual gust days allocated using seasonal strong-wind shares; not direct monthly observations.</x:v>
      </x:c>
    </x:row>
    <x:row r="18">
      <x:c r="A18" s="340" t="str">
        <x:v>Auckland</x:v>
      </x:c>
      <x:c r="B18" s="340" t="n">
        <x:v>11</x:v>
      </x:c>
      <x:c r="C18" s="340" t="str">
        <x:v>Nov</x:v>
      </x:c>
      <x:c r="D18" s="340" t="str">
        <x:v>Spring</x:v>
      </x:c>
      <x:c r="E18" s="342" t="n">
        <x:v>0.36</x:v>
      </x:c>
      <x:c r="F18" s="341" t="n">
        <x:v>55</x:v>
      </x:c>
      <x:c r="G18" s="341" t="n">
        <x:f>F18*(E18/SUM($E$8,$E$11,$E$14,$E$17))/3</x:f>
        <x:v>6.666666666666667</x:v>
      </x:c>
      <x:c r="H18" s="342" t="n">
        <x:f>G18/SUMIFS('Climate Data'!$F$7:$F$366,'Climate Data'!$A$7:$A$366,A18,'Climate Data'!$B$7:$B$366,B18)</x:f>
        <x:v>0.22222222222222224</x:v>
      </x:c>
      <x:c r="I18" s="338" t="str">
        <x:v>AMBER - legacy proxy</x:v>
      </x:c>
      <x:c r="J18" s="340" t="str">
        <x:v>Inference: 55 annual gust days allocated using seasonal strong-wind shares; not direct monthly observations.</x:v>
      </x:c>
    </x:row>
    <x:row r="19">
      <x:c r="A19" s="340" t="str">
        <x:v>Auckland</x:v>
      </x:c>
      <x:c r="B19" s="340" t="n">
        <x:v>12</x:v>
      </x:c>
      <x:c r="C19" s="340" t="str">
        <x:v>Dec</x:v>
      </x:c>
      <x:c r="D19" s="340" t="str">
        <x:v>Summer</x:v>
      </x:c>
      <x:c r="E19" s="342" t="n">
        <x:v>0.21</x:v>
      </x:c>
      <x:c r="F19" s="341" t="n">
        <x:v>55</x:v>
      </x:c>
      <x:c r="G19" s="341" t="n">
        <x:f>F19*(E19/SUM($E$8,$E$11,$E$14,$E$17))/3</x:f>
        <x:v>3.8888888888888893</x:v>
      </x:c>
      <x:c r="H19" s="342" t="n">
        <x:f>G19/SUMIFS('Climate Data'!$F$7:$F$366,'Climate Data'!$A$7:$A$366,A19,'Climate Data'!$B$7:$B$366,B19)</x:f>
        <x:v>0.12544802867383514</x:v>
      </x:c>
      <x:c r="I19" s="338" t="str">
        <x:v>AMBER - legacy proxy</x:v>
      </x:c>
      <x:c r="J19" s="340" t="str">
        <x:v>Inference: 55 annual gust days allocated using seasonal strong-wind shares; not direct monthly observations.</x:v>
      </x:c>
    </x:row>
  </x:sheetData>
  <x:mergeCells>
    <x:mergeCell ref="A1:J1"/>
    <x:mergeCell ref="A3:J5"/>
  </x:mergeCells>
  <x:conditionalFormatting sqref="I8:I19">
    <x:cfRule type="containsText" dxfId="4" priority="1" operator="containsText" text="GREEN"/>
    <x:cfRule type="containsText" dxfId="5" priority="2" operator="containsText" text="AMBER"/>
    <x:cfRule type="containsText" dxfId="6" priority="3" operator="containsText" text="RED"/>
    <x:cfRule type="containsText" dxfId="7" priority="4" operator="containsText" text="UNCALIBRAT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0" hidden="0" customWidth="1"/>
    <x:col min="14" max="14" width="40" hidden="0" customWidth="1"/>
    <x:col min="15" max="15" width="18" hidden="0" customWidth="1"/>
  </x:cols>
  <x:sheetData>
    <x:row r="1" ht="26" customHeight="1">
      <x:c r="A1" s="316" t="str">
        <x:v>Actual Project Weather Log - Calibration Evidence</x:v>
      </x:c>
      <x:c r="B1" s="268" t="str">
        <x:v>Actual Project Weather Log - Calibration Evidence</x:v>
      </x:c>
      <x:c r="C1" s="268" t="str">
        <x:v>Actual Project Weather Log - Calibration Evidence</x:v>
      </x:c>
      <x:c r="D1" s="268" t="str">
        <x:v>Actual Project Weather Log - Calibration Evidence</x:v>
      </x:c>
      <x:c r="E1" s="268" t="str">
        <x:v>Actual Project Weather Log - Calibration Evidence</x:v>
      </x:c>
      <x:c r="F1" s="268" t="str">
        <x:v>Actual Project Weather Log - Calibration Evidence</x:v>
      </x:c>
      <x:c r="G1" s="268" t="str">
        <x:v>Actual Project Weather Log - Calibration Evidence</x:v>
      </x:c>
      <x:c r="H1" s="268" t="str">
        <x:v>Actual Project Weather Log - Calibration Evidence</x:v>
      </x:c>
      <x:c r="I1" s="268" t="str">
        <x:v>Actual Project Weather Log - Calibration Evidence</x:v>
      </x:c>
      <x:c r="J1" s="268" t="str">
        <x:v>Actual Project Weather Log - Calibration Evidence</x:v>
      </x:c>
      <x:c r="K1" s="268" t="str">
        <x:v>Actual Project Weather Log - Calibration Evidence</x:v>
      </x:c>
      <x:c r="L1" s="268" t="str">
        <x:v>Actual Project Weather Log - Calibration Evidence</x:v>
      </x:c>
      <x:c r="M1" s="268" t="str">
        <x:v>Actual Project Weather Log - Calibration Evidence</x:v>
      </x:c>
      <x:c r="N1" s="268" t="str">
        <x:v>Actual Project Weather Log - Calibration Evidence</x:v>
      </x:c>
      <x:c r="O1" s="268" t="str">
        <x:v>Actual Project Weather Log - Calibration Evidence</x:v>
      </x:c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  <x:c r="K2" s="269"/>
      <x:c r="L2" s="269"/>
      <x:c r="M2" s="269"/>
      <x:c r="N2" s="269"/>
      <x:c r="O2" s="269"/>
    </x:row>
    <x:row r="3">
      <x:c r="A3" s="339" t="str">
        <x:v>Record actual planned and lost crew hours by cause. Do not rewrite Task Library defaults automatically; review the evidence, normalise the job context, then approve any update under change control.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339"/>
      <x:c r="B4" s="339"/>
      <x:c r="C4" s="339"/>
      <x:c r="D4" s="339"/>
      <x:c r="E4" s="339"/>
      <x:c r="F4" s="339"/>
      <x:c r="G4" s="339"/>
      <x:c r="H4" s="339"/>
      <x:c r="I4" s="339"/>
      <x:c r="J4" s="339"/>
      <x:c r="K4" s="339"/>
      <x:c r="L4" s="339"/>
      <x:c r="M4" s="339"/>
      <x:c r="N4" s="339"/>
      <x:c r="O4" s="339"/>
    </x:row>
    <x:row r="5">
      <x:c r="A5" s="269"/>
      <x:c r="B5" s="269"/>
      <x:c r="C5" s="269"/>
      <x:c r="D5" s="269"/>
      <x:c r="E5" s="269"/>
      <x:c r="F5" s="269"/>
      <x:c r="G5" s="269"/>
      <x:c r="H5" s="269"/>
      <x:c r="I5" s="269"/>
      <x:c r="J5" s="269"/>
      <x:c r="K5" s="269"/>
      <x:c r="L5" s="269"/>
      <x:c r="M5" s="269"/>
      <x:c r="N5" s="269"/>
      <x:c r="O5" s="269"/>
    </x:row>
    <x:row r="6">
      <x:c r="A6" s="291" t="str">
        <x:v>Project ID</x:v>
      </x:c>
      <x:c r="B6" s="291" t="str">
        <x:v>Date</x:v>
      </x:c>
      <x:c r="C6" s="291" t="str">
        <x:v>Location</x:v>
      </x:c>
      <x:c r="D6" s="291" t="str">
        <x:v>Task</x:v>
      </x:c>
      <x:c r="E6" s="291" t="str">
        <x:v>Planned Crew Hours</x:v>
      </x:c>
      <x:c r="F6" s="291" t="str">
        <x:v>Lost Hours - Rain</x:v>
      </x:c>
      <x:c r="G6" s="291" t="str">
        <x:v>Lost Hours - Wet Ground</x:v>
      </x:c>
      <x:c r="H6" s="291" t="str">
        <x:v>Lost Hours - Wind</x:v>
      </x:c>
      <x:c r="I6" s="291" t="str">
        <x:v>Recovered / Resequenced Hours</x:v>
      </x:c>
      <x:c r="J6" s="291" t="str">
        <x:v>Net Lost Hours</x:v>
      </x:c>
      <x:c r="K6" s="291" t="str">
        <x:v>Programme Delay Hours</x:v>
      </x:c>
      <x:c r="L6" s="291" t="str">
        <x:v>Direct Cost Impact $</x:v>
      </x:c>
      <x:c r="M6" s="291" t="str">
        <x:v>Evidence / Daily Record</x:v>
      </x:c>
      <x:c r="N6" s="291" t="str">
        <x:v>Notes</x:v>
      </x:c>
      <x:c r="O6" s="291" t="str">
        <x:v>Reviewed By</x:v>
      </x:c>
    </x:row>
    <x:row r="7">
      <x:c r="A7" s="346"/>
      <x:c r="B7" s="347"/>
      <x:c r="C7" s="348"/>
      <x:c r="D7" s="348"/>
      <x:c r="E7" s="349"/>
      <x:c r="F7" s="349"/>
      <x:c r="G7" s="349"/>
      <x:c r="H7" s="349"/>
      <x:c r="I7" s="350"/>
      <x:c r="J7" s="351" t="str">
        <x:f>IF(E7="","",MAX(0,F7+G7+H7-I7))</x:f>
      </x:c>
      <x:c r="K7" s="352"/>
      <x:c r="L7" s="353"/>
      <x:c r="M7" s="348"/>
      <x:c r="N7" s="348"/>
      <x:c r="O7" s="354"/>
    </x:row>
    <x:row r="8">
      <x:c r="A8" s="355"/>
      <x:c r="B8" s="356"/>
      <x:c r="C8" s="357"/>
      <x:c r="D8" s="357"/>
      <x:c r="E8" s="358"/>
      <x:c r="F8" s="358"/>
      <x:c r="G8" s="358"/>
      <x:c r="H8" s="358"/>
      <x:c r="I8" s="359"/>
      <x:c r="J8" s="360" t="str">
        <x:f>IF(E8="","",MAX(0,F8+G8+H8-I8))</x:f>
      </x:c>
      <x:c r="K8" s="361"/>
      <x:c r="L8" s="362"/>
      <x:c r="M8" s="357"/>
      <x:c r="N8" s="357"/>
      <x:c r="O8" s="363"/>
    </x:row>
    <x:row r="9">
      <x:c r="A9" s="355"/>
      <x:c r="B9" s="356"/>
      <x:c r="C9" s="357"/>
      <x:c r="D9" s="357"/>
      <x:c r="E9" s="358"/>
      <x:c r="F9" s="358"/>
      <x:c r="G9" s="358"/>
      <x:c r="H9" s="358"/>
      <x:c r="I9" s="359"/>
      <x:c r="J9" s="360" t="str">
        <x:f>IF(E9="","",MAX(0,F9+G9+H9-I9))</x:f>
      </x:c>
      <x:c r="K9" s="361"/>
      <x:c r="L9" s="362"/>
      <x:c r="M9" s="357"/>
      <x:c r="N9" s="357"/>
      <x:c r="O9" s="363"/>
    </x:row>
    <x:row r="10">
      <x:c r="A10" s="355"/>
      <x:c r="B10" s="356"/>
      <x:c r="C10" s="357"/>
      <x:c r="D10" s="357"/>
      <x:c r="E10" s="358"/>
      <x:c r="F10" s="358"/>
      <x:c r="G10" s="358"/>
      <x:c r="H10" s="358"/>
      <x:c r="I10" s="359"/>
      <x:c r="J10" s="360" t="str">
        <x:f>IF(E10="","",MAX(0,F10+G10+H10-I10))</x:f>
      </x:c>
      <x:c r="K10" s="361"/>
      <x:c r="L10" s="362"/>
      <x:c r="M10" s="357"/>
      <x:c r="N10" s="357"/>
      <x:c r="O10" s="363"/>
    </x:row>
    <x:row r="11">
      <x:c r="A11" s="355"/>
      <x:c r="B11" s="356"/>
      <x:c r="C11" s="357"/>
      <x:c r="D11" s="357"/>
      <x:c r="E11" s="358"/>
      <x:c r="F11" s="358"/>
      <x:c r="G11" s="358"/>
      <x:c r="H11" s="358"/>
      <x:c r="I11" s="359"/>
      <x:c r="J11" s="360" t="str">
        <x:f>IF(E11="","",MAX(0,F11+G11+H11-I11))</x:f>
      </x:c>
      <x:c r="K11" s="361"/>
      <x:c r="L11" s="362"/>
      <x:c r="M11" s="357"/>
      <x:c r="N11" s="357"/>
      <x:c r="O11" s="363"/>
    </x:row>
    <x:row r="12">
      <x:c r="A12" s="355"/>
      <x:c r="B12" s="356"/>
      <x:c r="C12" s="357"/>
      <x:c r="D12" s="357"/>
      <x:c r="E12" s="358"/>
      <x:c r="F12" s="358"/>
      <x:c r="G12" s="358"/>
      <x:c r="H12" s="358"/>
      <x:c r="I12" s="359"/>
      <x:c r="J12" s="360" t="str">
        <x:f>IF(E12="","",MAX(0,F12+G12+H12-I12))</x:f>
      </x:c>
      <x:c r="K12" s="361"/>
      <x:c r="L12" s="362"/>
      <x:c r="M12" s="357"/>
      <x:c r="N12" s="357"/>
      <x:c r="O12" s="363"/>
    </x:row>
    <x:row r="13">
      <x:c r="A13" s="355"/>
      <x:c r="B13" s="356"/>
      <x:c r="C13" s="357"/>
      <x:c r="D13" s="357"/>
      <x:c r="E13" s="358"/>
      <x:c r="F13" s="358"/>
      <x:c r="G13" s="358"/>
      <x:c r="H13" s="358"/>
      <x:c r="I13" s="359"/>
      <x:c r="J13" s="360" t="str">
        <x:f>IF(E13="","",MAX(0,F13+G13+H13-I13))</x:f>
      </x:c>
      <x:c r="K13" s="361"/>
      <x:c r="L13" s="362"/>
      <x:c r="M13" s="357"/>
      <x:c r="N13" s="357"/>
      <x:c r="O13" s="363"/>
    </x:row>
    <x:row r="14">
      <x:c r="A14" s="355"/>
      <x:c r="B14" s="356"/>
      <x:c r="C14" s="357"/>
      <x:c r="D14" s="357"/>
      <x:c r="E14" s="358"/>
      <x:c r="F14" s="358"/>
      <x:c r="G14" s="358"/>
      <x:c r="H14" s="358"/>
      <x:c r="I14" s="359"/>
      <x:c r="J14" s="360" t="str">
        <x:f>IF(E14="","",MAX(0,F14+G14+H14-I14))</x:f>
      </x:c>
      <x:c r="K14" s="361"/>
      <x:c r="L14" s="362"/>
      <x:c r="M14" s="357"/>
      <x:c r="N14" s="357"/>
      <x:c r="O14" s="363"/>
    </x:row>
    <x:row r="15">
      <x:c r="A15" s="355"/>
      <x:c r="B15" s="356"/>
      <x:c r="C15" s="357"/>
      <x:c r="D15" s="357"/>
      <x:c r="E15" s="358"/>
      <x:c r="F15" s="358"/>
      <x:c r="G15" s="358"/>
      <x:c r="H15" s="358"/>
      <x:c r="I15" s="359"/>
      <x:c r="J15" s="360" t="str">
        <x:f>IF(E15="","",MAX(0,F15+G15+H15-I15))</x:f>
      </x:c>
      <x:c r="K15" s="361"/>
      <x:c r="L15" s="362"/>
      <x:c r="M15" s="357"/>
      <x:c r="N15" s="357"/>
      <x:c r="O15" s="363"/>
    </x:row>
    <x:row r="16">
      <x:c r="A16" s="355"/>
      <x:c r="B16" s="356"/>
      <x:c r="C16" s="357"/>
      <x:c r="D16" s="357"/>
      <x:c r="E16" s="358"/>
      <x:c r="F16" s="358"/>
      <x:c r="G16" s="358"/>
      <x:c r="H16" s="358"/>
      <x:c r="I16" s="359"/>
      <x:c r="J16" s="360" t="str">
        <x:f>IF(E16="","",MAX(0,F16+G16+H16-I16))</x:f>
      </x:c>
      <x:c r="K16" s="361"/>
      <x:c r="L16" s="362"/>
      <x:c r="M16" s="357"/>
      <x:c r="N16" s="357"/>
      <x:c r="O16" s="363"/>
    </x:row>
    <x:row r="17">
      <x:c r="A17" s="355"/>
      <x:c r="B17" s="356"/>
      <x:c r="C17" s="357"/>
      <x:c r="D17" s="357"/>
      <x:c r="E17" s="358"/>
      <x:c r="F17" s="358"/>
      <x:c r="G17" s="358"/>
      <x:c r="H17" s="358"/>
      <x:c r="I17" s="359"/>
      <x:c r="J17" s="360" t="str">
        <x:f>IF(E17="","",MAX(0,F17+G17+H17-I17))</x:f>
      </x:c>
      <x:c r="K17" s="361"/>
      <x:c r="L17" s="362"/>
      <x:c r="M17" s="357"/>
      <x:c r="N17" s="357"/>
      <x:c r="O17" s="363"/>
    </x:row>
    <x:row r="18">
      <x:c r="A18" s="355"/>
      <x:c r="B18" s="356"/>
      <x:c r="C18" s="357"/>
      <x:c r="D18" s="357"/>
      <x:c r="E18" s="358"/>
      <x:c r="F18" s="358"/>
      <x:c r="G18" s="358"/>
      <x:c r="H18" s="358"/>
      <x:c r="I18" s="359"/>
      <x:c r="J18" s="360" t="str">
        <x:f>IF(E18="","",MAX(0,F18+G18+H18-I18))</x:f>
      </x:c>
      <x:c r="K18" s="361"/>
      <x:c r="L18" s="362"/>
      <x:c r="M18" s="357"/>
      <x:c r="N18" s="357"/>
      <x:c r="O18" s="363"/>
    </x:row>
    <x:row r="19">
      <x:c r="A19" s="355"/>
      <x:c r="B19" s="356"/>
      <x:c r="C19" s="357"/>
      <x:c r="D19" s="357"/>
      <x:c r="E19" s="358"/>
      <x:c r="F19" s="358"/>
      <x:c r="G19" s="358"/>
      <x:c r="H19" s="358"/>
      <x:c r="I19" s="359"/>
      <x:c r="J19" s="360" t="str">
        <x:f>IF(E19="","",MAX(0,F19+G19+H19-I19))</x:f>
      </x:c>
      <x:c r="K19" s="361"/>
      <x:c r="L19" s="362"/>
      <x:c r="M19" s="357"/>
      <x:c r="N19" s="357"/>
      <x:c r="O19" s="363"/>
    </x:row>
    <x:row r="20">
      <x:c r="A20" s="355"/>
      <x:c r="B20" s="356"/>
      <x:c r="C20" s="357"/>
      <x:c r="D20" s="357"/>
      <x:c r="E20" s="358"/>
      <x:c r="F20" s="358"/>
      <x:c r="G20" s="358"/>
      <x:c r="H20" s="358"/>
      <x:c r="I20" s="359"/>
      <x:c r="J20" s="360" t="str">
        <x:f>IF(E20="","",MAX(0,F20+G20+H20-I20))</x:f>
      </x:c>
      <x:c r="K20" s="361"/>
      <x:c r="L20" s="362"/>
      <x:c r="M20" s="357"/>
      <x:c r="N20" s="357"/>
      <x:c r="O20" s="363"/>
    </x:row>
    <x:row r="21">
      <x:c r="A21" s="355"/>
      <x:c r="B21" s="356"/>
      <x:c r="C21" s="357"/>
      <x:c r="D21" s="357"/>
      <x:c r="E21" s="358"/>
      <x:c r="F21" s="358"/>
      <x:c r="G21" s="358"/>
      <x:c r="H21" s="358"/>
      <x:c r="I21" s="359"/>
      <x:c r="J21" s="360" t="str">
        <x:f>IF(E21="","",MAX(0,F21+G21+H21-I21))</x:f>
      </x:c>
      <x:c r="K21" s="361"/>
      <x:c r="L21" s="362"/>
      <x:c r="M21" s="357"/>
      <x:c r="N21" s="357"/>
      <x:c r="O21" s="363"/>
    </x:row>
    <x:row r="22">
      <x:c r="A22" s="355"/>
      <x:c r="B22" s="356"/>
      <x:c r="C22" s="357"/>
      <x:c r="D22" s="357"/>
      <x:c r="E22" s="358"/>
      <x:c r="F22" s="358"/>
      <x:c r="G22" s="358"/>
      <x:c r="H22" s="358"/>
      <x:c r="I22" s="359"/>
      <x:c r="J22" s="360" t="str">
        <x:f>IF(E22="","",MAX(0,F22+G22+H22-I22))</x:f>
      </x:c>
      <x:c r="K22" s="361"/>
      <x:c r="L22" s="362"/>
      <x:c r="M22" s="357"/>
      <x:c r="N22" s="357"/>
      <x:c r="O22" s="363"/>
    </x:row>
    <x:row r="23">
      <x:c r="A23" s="355"/>
      <x:c r="B23" s="356"/>
      <x:c r="C23" s="357"/>
      <x:c r="D23" s="357"/>
      <x:c r="E23" s="358"/>
      <x:c r="F23" s="358"/>
      <x:c r="G23" s="358"/>
      <x:c r="H23" s="358"/>
      <x:c r="I23" s="359"/>
      <x:c r="J23" s="360" t="str">
        <x:f>IF(E23="","",MAX(0,F23+G23+H23-I23))</x:f>
      </x:c>
      <x:c r="K23" s="361"/>
      <x:c r="L23" s="362"/>
      <x:c r="M23" s="357"/>
      <x:c r="N23" s="357"/>
      <x:c r="O23" s="363"/>
    </x:row>
    <x:row r="24">
      <x:c r="A24" s="355"/>
      <x:c r="B24" s="356"/>
      <x:c r="C24" s="357"/>
      <x:c r="D24" s="357"/>
      <x:c r="E24" s="358"/>
      <x:c r="F24" s="358"/>
      <x:c r="G24" s="358"/>
      <x:c r="H24" s="358"/>
      <x:c r="I24" s="359"/>
      <x:c r="J24" s="360" t="str">
        <x:f>IF(E24="","",MAX(0,F24+G24+H24-I24))</x:f>
      </x:c>
      <x:c r="K24" s="361"/>
      <x:c r="L24" s="362"/>
      <x:c r="M24" s="357"/>
      <x:c r="N24" s="357"/>
      <x:c r="O24" s="363"/>
    </x:row>
    <x:row r="25">
      <x:c r="A25" s="355"/>
      <x:c r="B25" s="356"/>
      <x:c r="C25" s="357"/>
      <x:c r="D25" s="357"/>
      <x:c r="E25" s="358"/>
      <x:c r="F25" s="358"/>
      <x:c r="G25" s="358"/>
      <x:c r="H25" s="358"/>
      <x:c r="I25" s="359"/>
      <x:c r="J25" s="360" t="str">
        <x:f>IF(E25="","",MAX(0,F25+G25+H25-I25))</x:f>
      </x:c>
      <x:c r="K25" s="361"/>
      <x:c r="L25" s="362"/>
      <x:c r="M25" s="357"/>
      <x:c r="N25" s="357"/>
      <x:c r="O25" s="363"/>
    </x:row>
    <x:row r="26">
      <x:c r="A26" s="355"/>
      <x:c r="B26" s="356"/>
      <x:c r="C26" s="357"/>
      <x:c r="D26" s="357"/>
      <x:c r="E26" s="358"/>
      <x:c r="F26" s="358"/>
      <x:c r="G26" s="358"/>
      <x:c r="H26" s="358"/>
      <x:c r="I26" s="359"/>
      <x:c r="J26" s="360" t="str">
        <x:f>IF(E26="","",MAX(0,F26+G26+H26-I26))</x:f>
      </x:c>
      <x:c r="K26" s="361"/>
      <x:c r="L26" s="362"/>
      <x:c r="M26" s="357"/>
      <x:c r="N26" s="357"/>
      <x:c r="O26" s="363"/>
    </x:row>
    <x:row r="27">
      <x:c r="A27" s="355"/>
      <x:c r="B27" s="356"/>
      <x:c r="C27" s="357"/>
      <x:c r="D27" s="357"/>
      <x:c r="E27" s="358"/>
      <x:c r="F27" s="358"/>
      <x:c r="G27" s="358"/>
      <x:c r="H27" s="358"/>
      <x:c r="I27" s="359"/>
      <x:c r="J27" s="360" t="str">
        <x:f>IF(E27="","",MAX(0,F27+G27+H27-I27))</x:f>
      </x:c>
      <x:c r="K27" s="361"/>
      <x:c r="L27" s="362"/>
      <x:c r="M27" s="357"/>
      <x:c r="N27" s="357"/>
      <x:c r="O27" s="363"/>
    </x:row>
    <x:row r="28">
      <x:c r="A28" s="355"/>
      <x:c r="B28" s="356"/>
      <x:c r="C28" s="357"/>
      <x:c r="D28" s="357"/>
      <x:c r="E28" s="358"/>
      <x:c r="F28" s="358"/>
      <x:c r="G28" s="358"/>
      <x:c r="H28" s="358"/>
      <x:c r="I28" s="359"/>
      <x:c r="J28" s="360" t="str">
        <x:f>IF(E28="","",MAX(0,F28+G28+H28-I28))</x:f>
      </x:c>
      <x:c r="K28" s="361"/>
      <x:c r="L28" s="362"/>
      <x:c r="M28" s="357"/>
      <x:c r="N28" s="357"/>
      <x:c r="O28" s="363"/>
    </x:row>
    <x:row r="29">
      <x:c r="A29" s="355"/>
      <x:c r="B29" s="356"/>
      <x:c r="C29" s="357"/>
      <x:c r="D29" s="357"/>
      <x:c r="E29" s="358"/>
      <x:c r="F29" s="358"/>
      <x:c r="G29" s="358"/>
      <x:c r="H29" s="358"/>
      <x:c r="I29" s="359"/>
      <x:c r="J29" s="360" t="str">
        <x:f>IF(E29="","",MAX(0,F29+G29+H29-I29))</x:f>
      </x:c>
      <x:c r="K29" s="361"/>
      <x:c r="L29" s="362"/>
      <x:c r="M29" s="357"/>
      <x:c r="N29" s="357"/>
      <x:c r="O29" s="363"/>
    </x:row>
    <x:row r="30">
      <x:c r="A30" s="355"/>
      <x:c r="B30" s="356"/>
      <x:c r="C30" s="357"/>
      <x:c r="D30" s="357"/>
      <x:c r="E30" s="358"/>
      <x:c r="F30" s="358"/>
      <x:c r="G30" s="358"/>
      <x:c r="H30" s="358"/>
      <x:c r="I30" s="359"/>
      <x:c r="J30" s="360" t="str">
        <x:f>IF(E30="","",MAX(0,F30+G30+H30-I30))</x:f>
      </x:c>
      <x:c r="K30" s="361"/>
      <x:c r="L30" s="362"/>
      <x:c r="M30" s="357"/>
      <x:c r="N30" s="357"/>
      <x:c r="O30" s="363"/>
    </x:row>
    <x:row r="31">
      <x:c r="A31" s="355"/>
      <x:c r="B31" s="356"/>
      <x:c r="C31" s="357"/>
      <x:c r="D31" s="357"/>
      <x:c r="E31" s="358"/>
      <x:c r="F31" s="358"/>
      <x:c r="G31" s="358"/>
      <x:c r="H31" s="358"/>
      <x:c r="I31" s="359"/>
      <x:c r="J31" s="360" t="str">
        <x:f>IF(E31="","",MAX(0,F31+G31+H31-I31))</x:f>
      </x:c>
      <x:c r="K31" s="361"/>
      <x:c r="L31" s="362"/>
      <x:c r="M31" s="357"/>
      <x:c r="N31" s="357"/>
      <x:c r="O31" s="363"/>
    </x:row>
    <x:row r="32">
      <x:c r="A32" s="355"/>
      <x:c r="B32" s="356"/>
      <x:c r="C32" s="357"/>
      <x:c r="D32" s="357"/>
      <x:c r="E32" s="358"/>
      <x:c r="F32" s="358"/>
      <x:c r="G32" s="358"/>
      <x:c r="H32" s="358"/>
      <x:c r="I32" s="359"/>
      <x:c r="J32" s="360" t="str">
        <x:f>IF(E32="","",MAX(0,F32+G32+H32-I32))</x:f>
      </x:c>
      <x:c r="K32" s="361"/>
      <x:c r="L32" s="362"/>
      <x:c r="M32" s="357"/>
      <x:c r="N32" s="357"/>
      <x:c r="O32" s="363"/>
    </x:row>
    <x:row r="33">
      <x:c r="A33" s="355"/>
      <x:c r="B33" s="356"/>
      <x:c r="C33" s="357"/>
      <x:c r="D33" s="357"/>
      <x:c r="E33" s="358"/>
      <x:c r="F33" s="358"/>
      <x:c r="G33" s="358"/>
      <x:c r="H33" s="358"/>
      <x:c r="I33" s="359"/>
      <x:c r="J33" s="360" t="str">
        <x:f>IF(E33="","",MAX(0,F33+G33+H33-I33))</x:f>
      </x:c>
      <x:c r="K33" s="361"/>
      <x:c r="L33" s="362"/>
      <x:c r="M33" s="357"/>
      <x:c r="N33" s="357"/>
      <x:c r="O33" s="363"/>
    </x:row>
    <x:row r="34">
      <x:c r="A34" s="355"/>
      <x:c r="B34" s="356"/>
      <x:c r="C34" s="357"/>
      <x:c r="D34" s="357"/>
      <x:c r="E34" s="358"/>
      <x:c r="F34" s="358"/>
      <x:c r="G34" s="358"/>
      <x:c r="H34" s="358"/>
      <x:c r="I34" s="359"/>
      <x:c r="J34" s="360" t="str">
        <x:f>IF(E34="","",MAX(0,F34+G34+H34-I34))</x:f>
      </x:c>
      <x:c r="K34" s="361"/>
      <x:c r="L34" s="362"/>
      <x:c r="M34" s="357"/>
      <x:c r="N34" s="357"/>
      <x:c r="O34" s="363"/>
    </x:row>
    <x:row r="35">
      <x:c r="A35" s="355"/>
      <x:c r="B35" s="356"/>
      <x:c r="C35" s="357"/>
      <x:c r="D35" s="357"/>
      <x:c r="E35" s="358"/>
      <x:c r="F35" s="358"/>
      <x:c r="G35" s="358"/>
      <x:c r="H35" s="358"/>
      <x:c r="I35" s="359"/>
      <x:c r="J35" s="360" t="str">
        <x:f>IF(E35="","",MAX(0,F35+G35+H35-I35))</x:f>
      </x:c>
      <x:c r="K35" s="361"/>
      <x:c r="L35" s="362"/>
      <x:c r="M35" s="357"/>
      <x:c r="N35" s="357"/>
      <x:c r="O35" s="363"/>
    </x:row>
    <x:row r="36">
      <x:c r="A36" s="355"/>
      <x:c r="B36" s="356"/>
      <x:c r="C36" s="357"/>
      <x:c r="D36" s="357"/>
      <x:c r="E36" s="358"/>
      <x:c r="F36" s="358"/>
      <x:c r="G36" s="358"/>
      <x:c r="H36" s="358"/>
      <x:c r="I36" s="359"/>
      <x:c r="J36" s="360" t="str">
        <x:f>IF(E36="","",MAX(0,F36+G36+H36-I36))</x:f>
      </x:c>
      <x:c r="K36" s="361"/>
      <x:c r="L36" s="362"/>
      <x:c r="M36" s="357"/>
      <x:c r="N36" s="357"/>
      <x:c r="O36" s="363"/>
    </x:row>
    <x:row r="37">
      <x:c r="A37" s="355"/>
      <x:c r="B37" s="356"/>
      <x:c r="C37" s="357"/>
      <x:c r="D37" s="357"/>
      <x:c r="E37" s="358"/>
      <x:c r="F37" s="358"/>
      <x:c r="G37" s="358"/>
      <x:c r="H37" s="358"/>
      <x:c r="I37" s="359"/>
      <x:c r="J37" s="360" t="str">
        <x:f>IF(E37="","",MAX(0,F37+G37+H37-I37))</x:f>
      </x:c>
      <x:c r="K37" s="361"/>
      <x:c r="L37" s="362"/>
      <x:c r="M37" s="357"/>
      <x:c r="N37" s="357"/>
      <x:c r="O37" s="363"/>
    </x:row>
    <x:row r="38">
      <x:c r="A38" s="355"/>
      <x:c r="B38" s="356"/>
      <x:c r="C38" s="357"/>
      <x:c r="D38" s="357"/>
      <x:c r="E38" s="358"/>
      <x:c r="F38" s="358"/>
      <x:c r="G38" s="358"/>
      <x:c r="H38" s="358"/>
      <x:c r="I38" s="359"/>
      <x:c r="J38" s="360" t="str">
        <x:f>IF(E38="","",MAX(0,F38+G38+H38-I38))</x:f>
      </x:c>
      <x:c r="K38" s="361"/>
      <x:c r="L38" s="362"/>
      <x:c r="M38" s="357"/>
      <x:c r="N38" s="357"/>
      <x:c r="O38" s="363"/>
    </x:row>
    <x:row r="39">
      <x:c r="A39" s="355"/>
      <x:c r="B39" s="356"/>
      <x:c r="C39" s="357"/>
      <x:c r="D39" s="357"/>
      <x:c r="E39" s="358"/>
      <x:c r="F39" s="358"/>
      <x:c r="G39" s="358"/>
      <x:c r="H39" s="358"/>
      <x:c r="I39" s="359"/>
      <x:c r="J39" s="360" t="str">
        <x:f>IF(E39="","",MAX(0,F39+G39+H39-I39))</x:f>
      </x:c>
      <x:c r="K39" s="361"/>
      <x:c r="L39" s="362"/>
      <x:c r="M39" s="357"/>
      <x:c r="N39" s="357"/>
      <x:c r="O39" s="363"/>
    </x:row>
    <x:row r="40">
      <x:c r="A40" s="355"/>
      <x:c r="B40" s="356"/>
      <x:c r="C40" s="357"/>
      <x:c r="D40" s="357"/>
      <x:c r="E40" s="358"/>
      <x:c r="F40" s="358"/>
      <x:c r="G40" s="358"/>
      <x:c r="H40" s="358"/>
      <x:c r="I40" s="359"/>
      <x:c r="J40" s="360" t="str">
        <x:f>IF(E40="","",MAX(0,F40+G40+H40-I40))</x:f>
      </x:c>
      <x:c r="K40" s="361"/>
      <x:c r="L40" s="362"/>
      <x:c r="M40" s="357"/>
      <x:c r="N40" s="357"/>
      <x:c r="O40" s="363"/>
    </x:row>
    <x:row r="41">
      <x:c r="A41" s="355"/>
      <x:c r="B41" s="356"/>
      <x:c r="C41" s="357"/>
      <x:c r="D41" s="357"/>
      <x:c r="E41" s="358"/>
      <x:c r="F41" s="358"/>
      <x:c r="G41" s="358"/>
      <x:c r="H41" s="358"/>
      <x:c r="I41" s="359"/>
      <x:c r="J41" s="360" t="str">
        <x:f>IF(E41="","",MAX(0,F41+G41+H41-I41))</x:f>
      </x:c>
      <x:c r="K41" s="361"/>
      <x:c r="L41" s="362"/>
      <x:c r="M41" s="357"/>
      <x:c r="N41" s="357"/>
      <x:c r="O41" s="363"/>
    </x:row>
    <x:row r="42">
      <x:c r="A42" s="355"/>
      <x:c r="B42" s="356"/>
      <x:c r="C42" s="357"/>
      <x:c r="D42" s="357"/>
      <x:c r="E42" s="358"/>
      <x:c r="F42" s="358"/>
      <x:c r="G42" s="358"/>
      <x:c r="H42" s="358"/>
      <x:c r="I42" s="359"/>
      <x:c r="J42" s="360" t="str">
        <x:f>IF(E42="","",MAX(0,F42+G42+H42-I42))</x:f>
      </x:c>
      <x:c r="K42" s="361"/>
      <x:c r="L42" s="362"/>
      <x:c r="M42" s="357"/>
      <x:c r="N42" s="357"/>
      <x:c r="O42" s="363"/>
    </x:row>
    <x:row r="43">
      <x:c r="A43" s="355"/>
      <x:c r="B43" s="356"/>
      <x:c r="C43" s="357"/>
      <x:c r="D43" s="357"/>
      <x:c r="E43" s="358"/>
      <x:c r="F43" s="358"/>
      <x:c r="G43" s="358"/>
      <x:c r="H43" s="358"/>
      <x:c r="I43" s="359"/>
      <x:c r="J43" s="360" t="str">
        <x:f>IF(E43="","",MAX(0,F43+G43+H43-I43))</x:f>
      </x:c>
      <x:c r="K43" s="361"/>
      <x:c r="L43" s="362"/>
      <x:c r="M43" s="357"/>
      <x:c r="N43" s="357"/>
      <x:c r="O43" s="363"/>
    </x:row>
    <x:row r="44">
      <x:c r="A44" s="355"/>
      <x:c r="B44" s="356"/>
      <x:c r="C44" s="357"/>
      <x:c r="D44" s="357"/>
      <x:c r="E44" s="358"/>
      <x:c r="F44" s="358"/>
      <x:c r="G44" s="358"/>
      <x:c r="H44" s="358"/>
      <x:c r="I44" s="359"/>
      <x:c r="J44" s="360" t="str">
        <x:f>IF(E44="","",MAX(0,F44+G44+H44-I44))</x:f>
      </x:c>
      <x:c r="K44" s="361"/>
      <x:c r="L44" s="362"/>
      <x:c r="M44" s="357"/>
      <x:c r="N44" s="357"/>
      <x:c r="O44" s="363"/>
    </x:row>
    <x:row r="45">
      <x:c r="A45" s="355"/>
      <x:c r="B45" s="356"/>
      <x:c r="C45" s="357"/>
      <x:c r="D45" s="357"/>
      <x:c r="E45" s="358"/>
      <x:c r="F45" s="358"/>
      <x:c r="G45" s="358"/>
      <x:c r="H45" s="358"/>
      <x:c r="I45" s="359"/>
      <x:c r="J45" s="360" t="str">
        <x:f>IF(E45="","",MAX(0,F45+G45+H45-I45))</x:f>
      </x:c>
      <x:c r="K45" s="361"/>
      <x:c r="L45" s="362"/>
      <x:c r="M45" s="357"/>
      <x:c r="N45" s="357"/>
      <x:c r="O45" s="363"/>
    </x:row>
    <x:row r="46">
      <x:c r="A46" s="355"/>
      <x:c r="B46" s="356"/>
      <x:c r="C46" s="357"/>
      <x:c r="D46" s="357"/>
      <x:c r="E46" s="358"/>
      <x:c r="F46" s="358"/>
      <x:c r="G46" s="358"/>
      <x:c r="H46" s="358"/>
      <x:c r="I46" s="359"/>
      <x:c r="J46" s="360" t="str">
        <x:f>IF(E46="","",MAX(0,F46+G46+H46-I46))</x:f>
      </x:c>
      <x:c r="K46" s="361"/>
      <x:c r="L46" s="362"/>
      <x:c r="M46" s="357"/>
      <x:c r="N46" s="357"/>
      <x:c r="O46" s="363"/>
    </x:row>
    <x:row r="47">
      <x:c r="A47" s="355"/>
      <x:c r="B47" s="356"/>
      <x:c r="C47" s="357"/>
      <x:c r="D47" s="357"/>
      <x:c r="E47" s="358"/>
      <x:c r="F47" s="358"/>
      <x:c r="G47" s="358"/>
      <x:c r="H47" s="358"/>
      <x:c r="I47" s="359"/>
      <x:c r="J47" s="360" t="str">
        <x:f>IF(E47="","",MAX(0,F47+G47+H47-I47))</x:f>
      </x:c>
      <x:c r="K47" s="361"/>
      <x:c r="L47" s="362"/>
      <x:c r="M47" s="357"/>
      <x:c r="N47" s="357"/>
      <x:c r="O47" s="363"/>
    </x:row>
    <x:row r="48">
      <x:c r="A48" s="355"/>
      <x:c r="B48" s="356"/>
      <x:c r="C48" s="357"/>
      <x:c r="D48" s="357"/>
      <x:c r="E48" s="358"/>
      <x:c r="F48" s="358"/>
      <x:c r="G48" s="358"/>
      <x:c r="H48" s="358"/>
      <x:c r="I48" s="359"/>
      <x:c r="J48" s="360" t="str">
        <x:f>IF(E48="","",MAX(0,F48+G48+H48-I48))</x:f>
      </x:c>
      <x:c r="K48" s="361"/>
      <x:c r="L48" s="362"/>
      <x:c r="M48" s="357"/>
      <x:c r="N48" s="357"/>
      <x:c r="O48" s="363"/>
    </x:row>
    <x:row r="49">
      <x:c r="A49" s="355"/>
      <x:c r="B49" s="356"/>
      <x:c r="C49" s="357"/>
      <x:c r="D49" s="357"/>
      <x:c r="E49" s="358"/>
      <x:c r="F49" s="358"/>
      <x:c r="G49" s="358"/>
      <x:c r="H49" s="358"/>
      <x:c r="I49" s="359"/>
      <x:c r="J49" s="360" t="str">
        <x:f>IF(E49="","",MAX(0,F49+G49+H49-I49))</x:f>
      </x:c>
      <x:c r="K49" s="361"/>
      <x:c r="L49" s="362"/>
      <x:c r="M49" s="357"/>
      <x:c r="N49" s="357"/>
      <x:c r="O49" s="363"/>
    </x:row>
    <x:row r="50">
      <x:c r="A50" s="355"/>
      <x:c r="B50" s="356"/>
      <x:c r="C50" s="357"/>
      <x:c r="D50" s="357"/>
      <x:c r="E50" s="358"/>
      <x:c r="F50" s="358"/>
      <x:c r="G50" s="358"/>
      <x:c r="H50" s="358"/>
      <x:c r="I50" s="359"/>
      <x:c r="J50" s="360" t="str">
        <x:f>IF(E50="","",MAX(0,F50+G50+H50-I50))</x:f>
      </x:c>
      <x:c r="K50" s="361"/>
      <x:c r="L50" s="362"/>
      <x:c r="M50" s="357"/>
      <x:c r="N50" s="357"/>
      <x:c r="O50" s="363"/>
    </x:row>
    <x:row r="51">
      <x:c r="A51" s="355"/>
      <x:c r="B51" s="356"/>
      <x:c r="C51" s="357"/>
      <x:c r="D51" s="357"/>
      <x:c r="E51" s="358"/>
      <x:c r="F51" s="358"/>
      <x:c r="G51" s="358"/>
      <x:c r="H51" s="358"/>
      <x:c r="I51" s="359"/>
      <x:c r="J51" s="360" t="str">
        <x:f>IF(E51="","",MAX(0,F51+G51+H51-I51))</x:f>
      </x:c>
      <x:c r="K51" s="361"/>
      <x:c r="L51" s="362"/>
      <x:c r="M51" s="357"/>
      <x:c r="N51" s="357"/>
      <x:c r="O51" s="363"/>
    </x:row>
    <x:row r="52">
      <x:c r="A52" s="355"/>
      <x:c r="B52" s="356"/>
      <x:c r="C52" s="357"/>
      <x:c r="D52" s="357"/>
      <x:c r="E52" s="358"/>
      <x:c r="F52" s="358"/>
      <x:c r="G52" s="358"/>
      <x:c r="H52" s="358"/>
      <x:c r="I52" s="359"/>
      <x:c r="J52" s="360" t="str">
        <x:f>IF(E52="","",MAX(0,F52+G52+H52-I52))</x:f>
      </x:c>
      <x:c r="K52" s="361"/>
      <x:c r="L52" s="362"/>
      <x:c r="M52" s="357"/>
      <x:c r="N52" s="357"/>
      <x:c r="O52" s="363"/>
    </x:row>
    <x:row r="53">
      <x:c r="A53" s="355"/>
      <x:c r="B53" s="356"/>
      <x:c r="C53" s="357"/>
      <x:c r="D53" s="357"/>
      <x:c r="E53" s="358"/>
      <x:c r="F53" s="358"/>
      <x:c r="G53" s="358"/>
      <x:c r="H53" s="358"/>
      <x:c r="I53" s="359"/>
      <x:c r="J53" s="360" t="str">
        <x:f>IF(E53="","",MAX(0,F53+G53+H53-I53))</x:f>
      </x:c>
      <x:c r="K53" s="361"/>
      <x:c r="L53" s="362"/>
      <x:c r="M53" s="357"/>
      <x:c r="N53" s="357"/>
      <x:c r="O53" s="363"/>
    </x:row>
    <x:row r="54">
      <x:c r="A54" s="355"/>
      <x:c r="B54" s="356"/>
      <x:c r="C54" s="357"/>
      <x:c r="D54" s="357"/>
      <x:c r="E54" s="358"/>
      <x:c r="F54" s="358"/>
      <x:c r="G54" s="358"/>
      <x:c r="H54" s="358"/>
      <x:c r="I54" s="359"/>
      <x:c r="J54" s="360" t="str">
        <x:f>IF(E54="","",MAX(0,F54+G54+H54-I54))</x:f>
      </x:c>
      <x:c r="K54" s="361"/>
      <x:c r="L54" s="362"/>
      <x:c r="M54" s="357"/>
      <x:c r="N54" s="357"/>
      <x:c r="O54" s="363"/>
    </x:row>
    <x:row r="55">
      <x:c r="A55" s="355"/>
      <x:c r="B55" s="356"/>
      <x:c r="C55" s="357"/>
      <x:c r="D55" s="357"/>
      <x:c r="E55" s="358"/>
      <x:c r="F55" s="358"/>
      <x:c r="G55" s="358"/>
      <x:c r="H55" s="358"/>
      <x:c r="I55" s="359"/>
      <x:c r="J55" s="360" t="str">
        <x:f>IF(E55="","",MAX(0,F55+G55+H55-I55))</x:f>
      </x:c>
      <x:c r="K55" s="361"/>
      <x:c r="L55" s="362"/>
      <x:c r="M55" s="357"/>
      <x:c r="N55" s="357"/>
      <x:c r="O55" s="363"/>
    </x:row>
    <x:row r="56">
      <x:c r="A56" s="355"/>
      <x:c r="B56" s="356"/>
      <x:c r="C56" s="357"/>
      <x:c r="D56" s="357"/>
      <x:c r="E56" s="358"/>
      <x:c r="F56" s="358"/>
      <x:c r="G56" s="358"/>
      <x:c r="H56" s="358"/>
      <x:c r="I56" s="359"/>
      <x:c r="J56" s="360" t="str">
        <x:f>IF(E56="","",MAX(0,F56+G56+H56-I56))</x:f>
      </x:c>
      <x:c r="K56" s="361"/>
      <x:c r="L56" s="362"/>
      <x:c r="M56" s="357"/>
      <x:c r="N56" s="357"/>
      <x:c r="O56" s="363"/>
    </x:row>
    <x:row r="57">
      <x:c r="A57" s="355"/>
      <x:c r="B57" s="356"/>
      <x:c r="C57" s="357"/>
      <x:c r="D57" s="357"/>
      <x:c r="E57" s="358"/>
      <x:c r="F57" s="358"/>
      <x:c r="G57" s="358"/>
      <x:c r="H57" s="358"/>
      <x:c r="I57" s="359"/>
      <x:c r="J57" s="360" t="str">
        <x:f>IF(E57="","",MAX(0,F57+G57+H57-I57))</x:f>
      </x:c>
      <x:c r="K57" s="361"/>
      <x:c r="L57" s="362"/>
      <x:c r="M57" s="357"/>
      <x:c r="N57" s="357"/>
      <x:c r="O57" s="363"/>
    </x:row>
    <x:row r="58">
      <x:c r="A58" s="355"/>
      <x:c r="B58" s="356"/>
      <x:c r="C58" s="357"/>
      <x:c r="D58" s="357"/>
      <x:c r="E58" s="358"/>
      <x:c r="F58" s="358"/>
      <x:c r="G58" s="358"/>
      <x:c r="H58" s="358"/>
      <x:c r="I58" s="359"/>
      <x:c r="J58" s="360" t="str">
        <x:f>IF(E58="","",MAX(0,F58+G58+H58-I58))</x:f>
      </x:c>
      <x:c r="K58" s="361"/>
      <x:c r="L58" s="362"/>
      <x:c r="M58" s="357"/>
      <x:c r="N58" s="357"/>
      <x:c r="O58" s="363"/>
    </x:row>
    <x:row r="59">
      <x:c r="A59" s="355"/>
      <x:c r="B59" s="356"/>
      <x:c r="C59" s="357"/>
      <x:c r="D59" s="357"/>
      <x:c r="E59" s="358"/>
      <x:c r="F59" s="358"/>
      <x:c r="G59" s="358"/>
      <x:c r="H59" s="358"/>
      <x:c r="I59" s="359"/>
      <x:c r="J59" s="360" t="str">
        <x:f>IF(E59="","",MAX(0,F59+G59+H59-I59))</x:f>
      </x:c>
      <x:c r="K59" s="361"/>
      <x:c r="L59" s="362"/>
      <x:c r="M59" s="357"/>
      <x:c r="N59" s="357"/>
      <x:c r="O59" s="363"/>
    </x:row>
    <x:row r="60">
      <x:c r="A60" s="355"/>
      <x:c r="B60" s="356"/>
      <x:c r="C60" s="357"/>
      <x:c r="D60" s="357"/>
      <x:c r="E60" s="358"/>
      <x:c r="F60" s="358"/>
      <x:c r="G60" s="358"/>
      <x:c r="H60" s="358"/>
      <x:c r="I60" s="359"/>
      <x:c r="J60" s="360" t="str">
        <x:f>IF(E60="","",MAX(0,F60+G60+H60-I60))</x:f>
      </x:c>
      <x:c r="K60" s="361"/>
      <x:c r="L60" s="362"/>
      <x:c r="M60" s="357"/>
      <x:c r="N60" s="357"/>
      <x:c r="O60" s="363"/>
    </x:row>
    <x:row r="61">
      <x:c r="A61" s="355"/>
      <x:c r="B61" s="356"/>
      <x:c r="C61" s="357"/>
      <x:c r="D61" s="357"/>
      <x:c r="E61" s="358"/>
      <x:c r="F61" s="358"/>
      <x:c r="G61" s="358"/>
      <x:c r="H61" s="358"/>
      <x:c r="I61" s="359"/>
      <x:c r="J61" s="360" t="str">
        <x:f>IF(E61="","",MAX(0,F61+G61+H61-I61))</x:f>
      </x:c>
      <x:c r="K61" s="361"/>
      <x:c r="L61" s="362"/>
      <x:c r="M61" s="357"/>
      <x:c r="N61" s="357"/>
      <x:c r="O61" s="363"/>
    </x:row>
    <x:row r="62">
      <x:c r="A62" s="355"/>
      <x:c r="B62" s="356"/>
      <x:c r="C62" s="357"/>
      <x:c r="D62" s="357"/>
      <x:c r="E62" s="358"/>
      <x:c r="F62" s="358"/>
      <x:c r="G62" s="358"/>
      <x:c r="H62" s="358"/>
      <x:c r="I62" s="359"/>
      <x:c r="J62" s="360" t="str">
        <x:f>IF(E62="","",MAX(0,F62+G62+H62-I62))</x:f>
      </x:c>
      <x:c r="K62" s="361"/>
      <x:c r="L62" s="362"/>
      <x:c r="M62" s="357"/>
      <x:c r="N62" s="357"/>
      <x:c r="O62" s="363"/>
    </x:row>
    <x:row r="63">
      <x:c r="A63" s="355"/>
      <x:c r="B63" s="356"/>
      <x:c r="C63" s="357"/>
      <x:c r="D63" s="357"/>
      <x:c r="E63" s="358"/>
      <x:c r="F63" s="358"/>
      <x:c r="G63" s="358"/>
      <x:c r="H63" s="358"/>
      <x:c r="I63" s="359"/>
      <x:c r="J63" s="360" t="str">
        <x:f>IF(E63="","",MAX(0,F63+G63+H63-I63))</x:f>
      </x:c>
      <x:c r="K63" s="361"/>
      <x:c r="L63" s="362"/>
      <x:c r="M63" s="357"/>
      <x:c r="N63" s="357"/>
      <x:c r="O63" s="363"/>
    </x:row>
    <x:row r="64">
      <x:c r="A64" s="355"/>
      <x:c r="B64" s="356"/>
      <x:c r="C64" s="357"/>
      <x:c r="D64" s="357"/>
      <x:c r="E64" s="358"/>
      <x:c r="F64" s="358"/>
      <x:c r="G64" s="358"/>
      <x:c r="H64" s="358"/>
      <x:c r="I64" s="359"/>
      <x:c r="J64" s="360" t="str">
        <x:f>IF(E64="","",MAX(0,F64+G64+H64-I64))</x:f>
      </x:c>
      <x:c r="K64" s="361"/>
      <x:c r="L64" s="362"/>
      <x:c r="M64" s="357"/>
      <x:c r="N64" s="357"/>
      <x:c r="O64" s="363"/>
    </x:row>
    <x:row r="65">
      <x:c r="A65" s="355"/>
      <x:c r="B65" s="356"/>
      <x:c r="C65" s="357"/>
      <x:c r="D65" s="357"/>
      <x:c r="E65" s="358"/>
      <x:c r="F65" s="358"/>
      <x:c r="G65" s="358"/>
      <x:c r="H65" s="358"/>
      <x:c r="I65" s="359"/>
      <x:c r="J65" s="360" t="str">
        <x:f>IF(E65="","",MAX(0,F65+G65+H65-I65))</x:f>
      </x:c>
      <x:c r="K65" s="361"/>
      <x:c r="L65" s="362"/>
      <x:c r="M65" s="357"/>
      <x:c r="N65" s="357"/>
      <x:c r="O65" s="363"/>
    </x:row>
    <x:row r="66">
      <x:c r="A66" s="355"/>
      <x:c r="B66" s="356"/>
      <x:c r="C66" s="357"/>
      <x:c r="D66" s="357"/>
      <x:c r="E66" s="358"/>
      <x:c r="F66" s="358"/>
      <x:c r="G66" s="358"/>
      <x:c r="H66" s="358"/>
      <x:c r="I66" s="359"/>
      <x:c r="J66" s="360" t="str">
        <x:f>IF(E66="","",MAX(0,F66+G66+H66-I66))</x:f>
      </x:c>
      <x:c r="K66" s="361"/>
      <x:c r="L66" s="362"/>
      <x:c r="M66" s="357"/>
      <x:c r="N66" s="357"/>
      <x:c r="O66" s="363"/>
    </x:row>
    <x:row r="67">
      <x:c r="A67" s="355"/>
      <x:c r="B67" s="356"/>
      <x:c r="C67" s="357"/>
      <x:c r="D67" s="357"/>
      <x:c r="E67" s="358"/>
      <x:c r="F67" s="358"/>
      <x:c r="G67" s="358"/>
      <x:c r="H67" s="358"/>
      <x:c r="I67" s="359"/>
      <x:c r="J67" s="360" t="str">
        <x:f>IF(E67="","",MAX(0,F67+G67+H67-I67))</x:f>
      </x:c>
      <x:c r="K67" s="361"/>
      <x:c r="L67" s="362"/>
      <x:c r="M67" s="357"/>
      <x:c r="N67" s="357"/>
      <x:c r="O67" s="363"/>
    </x:row>
    <x:row r="68">
      <x:c r="A68" s="355"/>
      <x:c r="B68" s="356"/>
      <x:c r="C68" s="357"/>
      <x:c r="D68" s="357"/>
      <x:c r="E68" s="358"/>
      <x:c r="F68" s="358"/>
      <x:c r="G68" s="358"/>
      <x:c r="H68" s="358"/>
      <x:c r="I68" s="359"/>
      <x:c r="J68" s="360" t="str">
        <x:f>IF(E68="","",MAX(0,F68+G68+H68-I68))</x:f>
      </x:c>
      <x:c r="K68" s="361"/>
      <x:c r="L68" s="362"/>
      <x:c r="M68" s="357"/>
      <x:c r="N68" s="357"/>
      <x:c r="O68" s="363"/>
    </x:row>
    <x:row r="69">
      <x:c r="A69" s="355"/>
      <x:c r="B69" s="356"/>
      <x:c r="C69" s="357"/>
      <x:c r="D69" s="357"/>
      <x:c r="E69" s="358"/>
      <x:c r="F69" s="358"/>
      <x:c r="G69" s="358"/>
      <x:c r="H69" s="358"/>
      <x:c r="I69" s="359"/>
      <x:c r="J69" s="360" t="str">
        <x:f>IF(E69="","",MAX(0,F69+G69+H69-I69))</x:f>
      </x:c>
      <x:c r="K69" s="361"/>
      <x:c r="L69" s="362"/>
      <x:c r="M69" s="357"/>
      <x:c r="N69" s="357"/>
      <x:c r="O69" s="363"/>
    </x:row>
    <x:row r="70">
      <x:c r="A70" s="355"/>
      <x:c r="B70" s="356"/>
      <x:c r="C70" s="357"/>
      <x:c r="D70" s="357"/>
      <x:c r="E70" s="358"/>
      <x:c r="F70" s="358"/>
      <x:c r="G70" s="358"/>
      <x:c r="H70" s="358"/>
      <x:c r="I70" s="359"/>
      <x:c r="J70" s="360" t="str">
        <x:f>IF(E70="","",MAX(0,F70+G70+H70-I70))</x:f>
      </x:c>
      <x:c r="K70" s="361"/>
      <x:c r="L70" s="362"/>
      <x:c r="M70" s="357"/>
      <x:c r="N70" s="357"/>
      <x:c r="O70" s="363"/>
    </x:row>
    <x:row r="71">
      <x:c r="A71" s="355"/>
      <x:c r="B71" s="356"/>
      <x:c r="C71" s="357"/>
      <x:c r="D71" s="357"/>
      <x:c r="E71" s="358"/>
      <x:c r="F71" s="358"/>
      <x:c r="G71" s="358"/>
      <x:c r="H71" s="358"/>
      <x:c r="I71" s="359"/>
      <x:c r="J71" s="360" t="str">
        <x:f>IF(E71="","",MAX(0,F71+G71+H71-I71))</x:f>
      </x:c>
      <x:c r="K71" s="361"/>
      <x:c r="L71" s="362"/>
      <x:c r="M71" s="357"/>
      <x:c r="N71" s="357"/>
      <x:c r="O71" s="363"/>
    </x:row>
    <x:row r="72">
      <x:c r="A72" s="355"/>
      <x:c r="B72" s="356"/>
      <x:c r="C72" s="357"/>
      <x:c r="D72" s="357"/>
      <x:c r="E72" s="358"/>
      <x:c r="F72" s="358"/>
      <x:c r="G72" s="358"/>
      <x:c r="H72" s="358"/>
      <x:c r="I72" s="359"/>
      <x:c r="J72" s="360" t="str">
        <x:f>IF(E72="","",MAX(0,F72+G72+H72-I72))</x:f>
      </x:c>
      <x:c r="K72" s="361"/>
      <x:c r="L72" s="362"/>
      <x:c r="M72" s="357"/>
      <x:c r="N72" s="357"/>
      <x:c r="O72" s="363"/>
    </x:row>
    <x:row r="73">
      <x:c r="A73" s="355"/>
      <x:c r="B73" s="356"/>
      <x:c r="C73" s="357"/>
      <x:c r="D73" s="357"/>
      <x:c r="E73" s="358"/>
      <x:c r="F73" s="358"/>
      <x:c r="G73" s="358"/>
      <x:c r="H73" s="358"/>
      <x:c r="I73" s="359"/>
      <x:c r="J73" s="360" t="str">
        <x:f>IF(E73="","",MAX(0,F73+G73+H73-I73))</x:f>
      </x:c>
      <x:c r="K73" s="361"/>
      <x:c r="L73" s="362"/>
      <x:c r="M73" s="357"/>
      <x:c r="N73" s="357"/>
      <x:c r="O73" s="363"/>
    </x:row>
    <x:row r="74">
      <x:c r="A74" s="355"/>
      <x:c r="B74" s="356"/>
      <x:c r="C74" s="357"/>
      <x:c r="D74" s="357"/>
      <x:c r="E74" s="358"/>
      <x:c r="F74" s="358"/>
      <x:c r="G74" s="358"/>
      <x:c r="H74" s="358"/>
      <x:c r="I74" s="359"/>
      <x:c r="J74" s="360" t="str">
        <x:f>IF(E74="","",MAX(0,F74+G74+H74-I74))</x:f>
      </x:c>
      <x:c r="K74" s="361"/>
      <x:c r="L74" s="362"/>
      <x:c r="M74" s="357"/>
      <x:c r="N74" s="357"/>
      <x:c r="O74" s="363"/>
    </x:row>
    <x:row r="75">
      <x:c r="A75" s="355"/>
      <x:c r="B75" s="356"/>
      <x:c r="C75" s="357"/>
      <x:c r="D75" s="357"/>
      <x:c r="E75" s="358"/>
      <x:c r="F75" s="358"/>
      <x:c r="G75" s="358"/>
      <x:c r="H75" s="358"/>
      <x:c r="I75" s="359"/>
      <x:c r="J75" s="360" t="str">
        <x:f>IF(E75="","",MAX(0,F75+G75+H75-I75))</x:f>
      </x:c>
      <x:c r="K75" s="361"/>
      <x:c r="L75" s="362"/>
      <x:c r="M75" s="357"/>
      <x:c r="N75" s="357"/>
      <x:c r="O75" s="363"/>
    </x:row>
    <x:row r="76">
      <x:c r="A76" s="355"/>
      <x:c r="B76" s="356"/>
      <x:c r="C76" s="357"/>
      <x:c r="D76" s="357"/>
      <x:c r="E76" s="358"/>
      <x:c r="F76" s="358"/>
      <x:c r="G76" s="358"/>
      <x:c r="H76" s="358"/>
      <x:c r="I76" s="359"/>
      <x:c r="J76" s="360" t="str">
        <x:f>IF(E76="","",MAX(0,F76+G76+H76-I76))</x:f>
      </x:c>
      <x:c r="K76" s="361"/>
      <x:c r="L76" s="362"/>
      <x:c r="M76" s="357"/>
      <x:c r="N76" s="357"/>
      <x:c r="O76" s="363"/>
    </x:row>
    <x:row r="77">
      <x:c r="A77" s="355"/>
      <x:c r="B77" s="356"/>
      <x:c r="C77" s="357"/>
      <x:c r="D77" s="357"/>
      <x:c r="E77" s="358"/>
      <x:c r="F77" s="358"/>
      <x:c r="G77" s="358"/>
      <x:c r="H77" s="358"/>
      <x:c r="I77" s="359"/>
      <x:c r="J77" s="360" t="str">
        <x:f>IF(E77="","",MAX(0,F77+G77+H77-I77))</x:f>
      </x:c>
      <x:c r="K77" s="361"/>
      <x:c r="L77" s="362"/>
      <x:c r="M77" s="357"/>
      <x:c r="N77" s="357"/>
      <x:c r="O77" s="363"/>
    </x:row>
    <x:row r="78">
      <x:c r="A78" s="355"/>
      <x:c r="B78" s="356"/>
      <x:c r="C78" s="357"/>
      <x:c r="D78" s="357"/>
      <x:c r="E78" s="358"/>
      <x:c r="F78" s="358"/>
      <x:c r="G78" s="358"/>
      <x:c r="H78" s="358"/>
      <x:c r="I78" s="359"/>
      <x:c r="J78" s="360" t="str">
        <x:f>IF(E78="","",MAX(0,F78+G78+H78-I78))</x:f>
      </x:c>
      <x:c r="K78" s="361"/>
      <x:c r="L78" s="362"/>
      <x:c r="M78" s="357"/>
      <x:c r="N78" s="357"/>
      <x:c r="O78" s="363"/>
    </x:row>
    <x:row r="79">
      <x:c r="A79" s="355"/>
      <x:c r="B79" s="356"/>
      <x:c r="C79" s="357"/>
      <x:c r="D79" s="357"/>
      <x:c r="E79" s="358"/>
      <x:c r="F79" s="358"/>
      <x:c r="G79" s="358"/>
      <x:c r="H79" s="358"/>
      <x:c r="I79" s="359"/>
      <x:c r="J79" s="360" t="str">
        <x:f>IF(E79="","",MAX(0,F79+G79+H79-I79))</x:f>
      </x:c>
      <x:c r="K79" s="361"/>
      <x:c r="L79" s="362"/>
      <x:c r="M79" s="357"/>
      <x:c r="N79" s="357"/>
      <x:c r="O79" s="363"/>
    </x:row>
    <x:row r="80">
      <x:c r="A80" s="355"/>
      <x:c r="B80" s="356"/>
      <x:c r="C80" s="357"/>
      <x:c r="D80" s="357"/>
      <x:c r="E80" s="358"/>
      <x:c r="F80" s="358"/>
      <x:c r="G80" s="358"/>
      <x:c r="H80" s="358"/>
      <x:c r="I80" s="359"/>
      <x:c r="J80" s="360" t="str">
        <x:f>IF(E80="","",MAX(0,F80+G80+H80-I80))</x:f>
      </x:c>
      <x:c r="K80" s="361"/>
      <x:c r="L80" s="362"/>
      <x:c r="M80" s="357"/>
      <x:c r="N80" s="357"/>
      <x:c r="O80" s="363"/>
    </x:row>
    <x:row r="81">
      <x:c r="A81" s="355"/>
      <x:c r="B81" s="356"/>
      <x:c r="C81" s="357"/>
      <x:c r="D81" s="357"/>
      <x:c r="E81" s="358"/>
      <x:c r="F81" s="358"/>
      <x:c r="G81" s="358"/>
      <x:c r="H81" s="358"/>
      <x:c r="I81" s="359"/>
      <x:c r="J81" s="360" t="str">
        <x:f>IF(E81="","",MAX(0,F81+G81+H81-I81))</x:f>
      </x:c>
      <x:c r="K81" s="361"/>
      <x:c r="L81" s="362"/>
      <x:c r="M81" s="357"/>
      <x:c r="N81" s="357"/>
      <x:c r="O81" s="363"/>
    </x:row>
    <x:row r="82">
      <x:c r="A82" s="355"/>
      <x:c r="B82" s="356"/>
      <x:c r="C82" s="357"/>
      <x:c r="D82" s="357"/>
      <x:c r="E82" s="358"/>
      <x:c r="F82" s="358"/>
      <x:c r="G82" s="358"/>
      <x:c r="H82" s="358"/>
      <x:c r="I82" s="359"/>
      <x:c r="J82" s="360" t="str">
        <x:f>IF(E82="","",MAX(0,F82+G82+H82-I82))</x:f>
      </x:c>
      <x:c r="K82" s="361"/>
      <x:c r="L82" s="362"/>
      <x:c r="M82" s="357"/>
      <x:c r="N82" s="357"/>
      <x:c r="O82" s="363"/>
    </x:row>
    <x:row r="83">
      <x:c r="A83" s="355"/>
      <x:c r="B83" s="356"/>
      <x:c r="C83" s="357"/>
      <x:c r="D83" s="357"/>
      <x:c r="E83" s="358"/>
      <x:c r="F83" s="358"/>
      <x:c r="G83" s="358"/>
      <x:c r="H83" s="358"/>
      <x:c r="I83" s="359"/>
      <x:c r="J83" s="360" t="str">
        <x:f>IF(E83="","",MAX(0,F83+G83+H83-I83))</x:f>
      </x:c>
      <x:c r="K83" s="361"/>
      <x:c r="L83" s="362"/>
      <x:c r="M83" s="357"/>
      <x:c r="N83" s="357"/>
      <x:c r="O83" s="363"/>
    </x:row>
    <x:row r="84">
      <x:c r="A84" s="355"/>
      <x:c r="B84" s="356"/>
      <x:c r="C84" s="357"/>
      <x:c r="D84" s="357"/>
      <x:c r="E84" s="358"/>
      <x:c r="F84" s="358"/>
      <x:c r="G84" s="358"/>
      <x:c r="H84" s="358"/>
      <x:c r="I84" s="359"/>
      <x:c r="J84" s="360" t="str">
        <x:f>IF(E84="","",MAX(0,F84+G84+H84-I84))</x:f>
      </x:c>
      <x:c r="K84" s="361"/>
      <x:c r="L84" s="362"/>
      <x:c r="M84" s="357"/>
      <x:c r="N84" s="357"/>
      <x:c r="O84" s="363"/>
    </x:row>
    <x:row r="85">
      <x:c r="A85" s="355"/>
      <x:c r="B85" s="356"/>
      <x:c r="C85" s="357"/>
      <x:c r="D85" s="357"/>
      <x:c r="E85" s="358"/>
      <x:c r="F85" s="358"/>
      <x:c r="G85" s="358"/>
      <x:c r="H85" s="358"/>
      <x:c r="I85" s="359"/>
      <x:c r="J85" s="360" t="str">
        <x:f>IF(E85="","",MAX(0,F85+G85+H85-I85))</x:f>
      </x:c>
      <x:c r="K85" s="361"/>
      <x:c r="L85" s="362"/>
      <x:c r="M85" s="357"/>
      <x:c r="N85" s="357"/>
      <x:c r="O85" s="363"/>
    </x:row>
    <x:row r="86">
      <x:c r="A86" s="355"/>
      <x:c r="B86" s="356"/>
      <x:c r="C86" s="357"/>
      <x:c r="D86" s="357"/>
      <x:c r="E86" s="358"/>
      <x:c r="F86" s="358"/>
      <x:c r="G86" s="358"/>
      <x:c r="H86" s="358"/>
      <x:c r="I86" s="359"/>
      <x:c r="J86" s="360" t="str">
        <x:f>IF(E86="","",MAX(0,F86+G86+H86-I86))</x:f>
      </x:c>
      <x:c r="K86" s="361"/>
      <x:c r="L86" s="362"/>
      <x:c r="M86" s="357"/>
      <x:c r="N86" s="357"/>
      <x:c r="O86" s="363"/>
    </x:row>
    <x:row r="87">
      <x:c r="A87" s="355"/>
      <x:c r="B87" s="356"/>
      <x:c r="C87" s="357"/>
      <x:c r="D87" s="357"/>
      <x:c r="E87" s="358"/>
      <x:c r="F87" s="358"/>
      <x:c r="G87" s="358"/>
      <x:c r="H87" s="358"/>
      <x:c r="I87" s="359"/>
      <x:c r="J87" s="360" t="str">
        <x:f>IF(E87="","",MAX(0,F87+G87+H87-I87))</x:f>
      </x:c>
      <x:c r="K87" s="361"/>
      <x:c r="L87" s="362"/>
      <x:c r="M87" s="357"/>
      <x:c r="N87" s="357"/>
      <x:c r="O87" s="363"/>
    </x:row>
    <x:row r="88">
      <x:c r="A88" s="355"/>
      <x:c r="B88" s="356"/>
      <x:c r="C88" s="357"/>
      <x:c r="D88" s="357"/>
      <x:c r="E88" s="358"/>
      <x:c r="F88" s="358"/>
      <x:c r="G88" s="358"/>
      <x:c r="H88" s="358"/>
      <x:c r="I88" s="359"/>
      <x:c r="J88" s="360" t="str">
        <x:f>IF(E88="","",MAX(0,F88+G88+H88-I88))</x:f>
      </x:c>
      <x:c r="K88" s="361"/>
      <x:c r="L88" s="362"/>
      <x:c r="M88" s="357"/>
      <x:c r="N88" s="357"/>
      <x:c r="O88" s="363"/>
    </x:row>
    <x:row r="89">
      <x:c r="A89" s="355"/>
      <x:c r="B89" s="356"/>
      <x:c r="C89" s="357"/>
      <x:c r="D89" s="357"/>
      <x:c r="E89" s="358"/>
      <x:c r="F89" s="358"/>
      <x:c r="G89" s="358"/>
      <x:c r="H89" s="358"/>
      <x:c r="I89" s="359"/>
      <x:c r="J89" s="360" t="str">
        <x:f>IF(E89="","",MAX(0,F89+G89+H89-I89))</x:f>
      </x:c>
      <x:c r="K89" s="361"/>
      <x:c r="L89" s="362"/>
      <x:c r="M89" s="357"/>
      <x:c r="N89" s="357"/>
      <x:c r="O89" s="363"/>
    </x:row>
    <x:row r="90">
      <x:c r="A90" s="355"/>
      <x:c r="B90" s="356"/>
      <x:c r="C90" s="357"/>
      <x:c r="D90" s="357"/>
      <x:c r="E90" s="358"/>
      <x:c r="F90" s="358"/>
      <x:c r="G90" s="358"/>
      <x:c r="H90" s="358"/>
      <x:c r="I90" s="359"/>
      <x:c r="J90" s="360" t="str">
        <x:f>IF(E90="","",MAX(0,F90+G90+H90-I90))</x:f>
      </x:c>
      <x:c r="K90" s="361"/>
      <x:c r="L90" s="362"/>
      <x:c r="M90" s="357"/>
      <x:c r="N90" s="357"/>
      <x:c r="O90" s="363"/>
    </x:row>
    <x:row r="91">
      <x:c r="A91" s="355"/>
      <x:c r="B91" s="356"/>
      <x:c r="C91" s="357"/>
      <x:c r="D91" s="357"/>
      <x:c r="E91" s="358"/>
      <x:c r="F91" s="358"/>
      <x:c r="G91" s="358"/>
      <x:c r="H91" s="358"/>
      <x:c r="I91" s="359"/>
      <x:c r="J91" s="360" t="str">
        <x:f>IF(E91="","",MAX(0,F91+G91+H91-I91))</x:f>
      </x:c>
      <x:c r="K91" s="361"/>
      <x:c r="L91" s="362"/>
      <x:c r="M91" s="357"/>
      <x:c r="N91" s="357"/>
      <x:c r="O91" s="363"/>
    </x:row>
    <x:row r="92">
      <x:c r="A92" s="355"/>
      <x:c r="B92" s="356"/>
      <x:c r="C92" s="357"/>
      <x:c r="D92" s="357"/>
      <x:c r="E92" s="358"/>
      <x:c r="F92" s="358"/>
      <x:c r="G92" s="358"/>
      <x:c r="H92" s="358"/>
      <x:c r="I92" s="359"/>
      <x:c r="J92" s="360" t="str">
        <x:f>IF(E92="","",MAX(0,F92+G92+H92-I92))</x:f>
      </x:c>
      <x:c r="K92" s="361"/>
      <x:c r="L92" s="362"/>
      <x:c r="M92" s="357"/>
      <x:c r="N92" s="357"/>
      <x:c r="O92" s="363"/>
    </x:row>
    <x:row r="93">
      <x:c r="A93" s="355"/>
      <x:c r="B93" s="356"/>
      <x:c r="C93" s="357"/>
      <x:c r="D93" s="357"/>
      <x:c r="E93" s="358"/>
      <x:c r="F93" s="358"/>
      <x:c r="G93" s="358"/>
      <x:c r="H93" s="358"/>
      <x:c r="I93" s="359"/>
      <x:c r="J93" s="360" t="str">
        <x:f>IF(E93="","",MAX(0,F93+G93+H93-I93))</x:f>
      </x:c>
      <x:c r="K93" s="361"/>
      <x:c r="L93" s="362"/>
      <x:c r="M93" s="357"/>
      <x:c r="N93" s="357"/>
      <x:c r="O93" s="363"/>
    </x:row>
    <x:row r="94">
      <x:c r="A94" s="355"/>
      <x:c r="B94" s="356"/>
      <x:c r="C94" s="357"/>
      <x:c r="D94" s="357"/>
      <x:c r="E94" s="358"/>
      <x:c r="F94" s="358"/>
      <x:c r="G94" s="358"/>
      <x:c r="H94" s="358"/>
      <x:c r="I94" s="359"/>
      <x:c r="J94" s="360" t="str">
        <x:f>IF(E94="","",MAX(0,F94+G94+H94-I94))</x:f>
      </x:c>
      <x:c r="K94" s="361"/>
      <x:c r="L94" s="362"/>
      <x:c r="M94" s="357"/>
      <x:c r="N94" s="357"/>
      <x:c r="O94" s="363"/>
    </x:row>
    <x:row r="95">
      <x:c r="A95" s="355"/>
      <x:c r="B95" s="356"/>
      <x:c r="C95" s="357"/>
      <x:c r="D95" s="357"/>
      <x:c r="E95" s="358"/>
      <x:c r="F95" s="358"/>
      <x:c r="G95" s="358"/>
      <x:c r="H95" s="358"/>
      <x:c r="I95" s="359"/>
      <x:c r="J95" s="360" t="str">
        <x:f>IF(E95="","",MAX(0,F95+G95+H95-I95))</x:f>
      </x:c>
      <x:c r="K95" s="361"/>
      <x:c r="L95" s="362"/>
      <x:c r="M95" s="357"/>
      <x:c r="N95" s="357"/>
      <x:c r="O95" s="363"/>
    </x:row>
    <x:row r="96">
      <x:c r="A96" s="355"/>
      <x:c r="B96" s="356"/>
      <x:c r="C96" s="357"/>
      <x:c r="D96" s="357"/>
      <x:c r="E96" s="358"/>
      <x:c r="F96" s="358"/>
      <x:c r="G96" s="358"/>
      <x:c r="H96" s="358"/>
      <x:c r="I96" s="359"/>
      <x:c r="J96" s="360" t="str">
        <x:f>IF(E96="","",MAX(0,F96+G96+H96-I96))</x:f>
      </x:c>
      <x:c r="K96" s="361"/>
      <x:c r="L96" s="362"/>
      <x:c r="M96" s="357"/>
      <x:c r="N96" s="357"/>
      <x:c r="O96" s="363"/>
    </x:row>
    <x:row r="97">
      <x:c r="A97" s="355"/>
      <x:c r="B97" s="356"/>
      <x:c r="C97" s="357"/>
      <x:c r="D97" s="357"/>
      <x:c r="E97" s="358"/>
      <x:c r="F97" s="358"/>
      <x:c r="G97" s="358"/>
      <x:c r="H97" s="358"/>
      <x:c r="I97" s="359"/>
      <x:c r="J97" s="360" t="str">
        <x:f>IF(E97="","",MAX(0,F97+G97+H97-I97))</x:f>
      </x:c>
      <x:c r="K97" s="361"/>
      <x:c r="L97" s="362"/>
      <x:c r="M97" s="357"/>
      <x:c r="N97" s="357"/>
      <x:c r="O97" s="363"/>
    </x:row>
    <x:row r="98">
      <x:c r="A98" s="355"/>
      <x:c r="B98" s="356"/>
      <x:c r="C98" s="357"/>
      <x:c r="D98" s="357"/>
      <x:c r="E98" s="358"/>
      <x:c r="F98" s="358"/>
      <x:c r="G98" s="358"/>
      <x:c r="H98" s="358"/>
      <x:c r="I98" s="359"/>
      <x:c r="J98" s="360" t="str">
        <x:f>IF(E98="","",MAX(0,F98+G98+H98-I98))</x:f>
      </x:c>
      <x:c r="K98" s="361"/>
      <x:c r="L98" s="362"/>
      <x:c r="M98" s="357"/>
      <x:c r="N98" s="357"/>
      <x:c r="O98" s="363"/>
    </x:row>
    <x:row r="99">
      <x:c r="A99" s="355"/>
      <x:c r="B99" s="356"/>
      <x:c r="C99" s="357"/>
      <x:c r="D99" s="357"/>
      <x:c r="E99" s="358"/>
      <x:c r="F99" s="358"/>
      <x:c r="G99" s="358"/>
      <x:c r="H99" s="358"/>
      <x:c r="I99" s="359"/>
      <x:c r="J99" s="360" t="str">
        <x:f>IF(E99="","",MAX(0,F99+G99+H99-I99))</x:f>
      </x:c>
      <x:c r="K99" s="361"/>
      <x:c r="L99" s="362"/>
      <x:c r="M99" s="357"/>
      <x:c r="N99" s="357"/>
      <x:c r="O99" s="363"/>
    </x:row>
    <x:row r="100">
      <x:c r="A100" s="355"/>
      <x:c r="B100" s="356"/>
      <x:c r="C100" s="357"/>
      <x:c r="D100" s="357"/>
      <x:c r="E100" s="358"/>
      <x:c r="F100" s="358"/>
      <x:c r="G100" s="358"/>
      <x:c r="H100" s="358"/>
      <x:c r="I100" s="359"/>
      <x:c r="J100" s="360" t="str">
        <x:f>IF(E100="","",MAX(0,F100+G100+H100-I100))</x:f>
      </x:c>
      <x:c r="K100" s="361"/>
      <x:c r="L100" s="362"/>
      <x:c r="M100" s="357"/>
      <x:c r="N100" s="357"/>
      <x:c r="O100" s="363"/>
    </x:row>
    <x:row r="101">
      <x:c r="A101" s="355"/>
      <x:c r="B101" s="356"/>
      <x:c r="C101" s="357"/>
      <x:c r="D101" s="357"/>
      <x:c r="E101" s="358"/>
      <x:c r="F101" s="358"/>
      <x:c r="G101" s="358"/>
      <x:c r="H101" s="358"/>
      <x:c r="I101" s="359"/>
      <x:c r="J101" s="360" t="str">
        <x:f>IF(E101="","",MAX(0,F101+G101+H101-I101))</x:f>
      </x:c>
      <x:c r="K101" s="361"/>
      <x:c r="L101" s="362"/>
      <x:c r="M101" s="357"/>
      <x:c r="N101" s="357"/>
      <x:c r="O101" s="363"/>
    </x:row>
    <x:row r="102">
      <x:c r="A102" s="355"/>
      <x:c r="B102" s="356"/>
      <x:c r="C102" s="357"/>
      <x:c r="D102" s="357"/>
      <x:c r="E102" s="358"/>
      <x:c r="F102" s="358"/>
      <x:c r="G102" s="358"/>
      <x:c r="H102" s="358"/>
      <x:c r="I102" s="359"/>
      <x:c r="J102" s="360" t="str">
        <x:f>IF(E102="","",MAX(0,F102+G102+H102-I102))</x:f>
      </x:c>
      <x:c r="K102" s="361"/>
      <x:c r="L102" s="362"/>
      <x:c r="M102" s="357"/>
      <x:c r="N102" s="357"/>
      <x:c r="O102" s="363"/>
    </x:row>
    <x:row r="103">
      <x:c r="A103" s="355"/>
      <x:c r="B103" s="356"/>
      <x:c r="C103" s="357"/>
      <x:c r="D103" s="357"/>
      <x:c r="E103" s="358"/>
      <x:c r="F103" s="358"/>
      <x:c r="G103" s="358"/>
      <x:c r="H103" s="358"/>
      <x:c r="I103" s="359"/>
      <x:c r="J103" s="360" t="str">
        <x:f>IF(E103="","",MAX(0,F103+G103+H103-I103))</x:f>
      </x:c>
      <x:c r="K103" s="361"/>
      <x:c r="L103" s="362"/>
      <x:c r="M103" s="357"/>
      <x:c r="N103" s="357"/>
      <x:c r="O103" s="363"/>
    </x:row>
    <x:row r="104">
      <x:c r="A104" s="355"/>
      <x:c r="B104" s="356"/>
      <x:c r="C104" s="357"/>
      <x:c r="D104" s="357"/>
      <x:c r="E104" s="358"/>
      <x:c r="F104" s="358"/>
      <x:c r="G104" s="358"/>
      <x:c r="H104" s="358"/>
      <x:c r="I104" s="359"/>
      <x:c r="J104" s="360" t="str">
        <x:f>IF(E104="","",MAX(0,F104+G104+H104-I104))</x:f>
      </x:c>
      <x:c r="K104" s="361"/>
      <x:c r="L104" s="362"/>
      <x:c r="M104" s="357"/>
      <x:c r="N104" s="357"/>
      <x:c r="O104" s="363"/>
    </x:row>
    <x:row r="105">
      <x:c r="A105" s="355"/>
      <x:c r="B105" s="356"/>
      <x:c r="C105" s="357"/>
      <x:c r="D105" s="357"/>
      <x:c r="E105" s="358"/>
      <x:c r="F105" s="358"/>
      <x:c r="G105" s="358"/>
      <x:c r="H105" s="358"/>
      <x:c r="I105" s="359"/>
      <x:c r="J105" s="360" t="str">
        <x:f>IF(E105="","",MAX(0,F105+G105+H105-I105))</x:f>
      </x:c>
      <x:c r="K105" s="361"/>
      <x:c r="L105" s="362"/>
      <x:c r="M105" s="357"/>
      <x:c r="N105" s="357"/>
      <x:c r="O105" s="363"/>
    </x:row>
    <x:row r="106">
      <x:c r="A106" s="355"/>
      <x:c r="B106" s="356"/>
      <x:c r="C106" s="357"/>
      <x:c r="D106" s="357"/>
      <x:c r="E106" s="358"/>
      <x:c r="F106" s="358"/>
      <x:c r="G106" s="358"/>
      <x:c r="H106" s="358"/>
      <x:c r="I106" s="359"/>
      <x:c r="J106" s="360" t="str">
        <x:f>IF(E106="","",MAX(0,F106+G106+H106-I106))</x:f>
      </x:c>
      <x:c r="K106" s="361"/>
      <x:c r="L106" s="362"/>
      <x:c r="M106" s="357"/>
      <x:c r="N106" s="357"/>
      <x:c r="O106" s="363"/>
    </x:row>
    <x:row r="107">
      <x:c r="A107" s="355"/>
      <x:c r="B107" s="356"/>
      <x:c r="C107" s="357"/>
      <x:c r="D107" s="357"/>
      <x:c r="E107" s="358"/>
      <x:c r="F107" s="358"/>
      <x:c r="G107" s="358"/>
      <x:c r="H107" s="358"/>
      <x:c r="I107" s="359"/>
      <x:c r="J107" s="360" t="str">
        <x:f>IF(E107="","",MAX(0,F107+G107+H107-I107))</x:f>
      </x:c>
      <x:c r="K107" s="361"/>
      <x:c r="L107" s="362"/>
      <x:c r="M107" s="357"/>
      <x:c r="N107" s="357"/>
      <x:c r="O107" s="363"/>
    </x:row>
    <x:row r="108">
      <x:c r="A108" s="355"/>
      <x:c r="B108" s="356"/>
      <x:c r="C108" s="357"/>
      <x:c r="D108" s="357"/>
      <x:c r="E108" s="358"/>
      <x:c r="F108" s="358"/>
      <x:c r="G108" s="358"/>
      <x:c r="H108" s="358"/>
      <x:c r="I108" s="359"/>
      <x:c r="J108" s="360" t="str">
        <x:f>IF(E108="","",MAX(0,F108+G108+H108-I108))</x:f>
      </x:c>
      <x:c r="K108" s="361"/>
      <x:c r="L108" s="362"/>
      <x:c r="M108" s="357"/>
      <x:c r="N108" s="357"/>
      <x:c r="O108" s="363"/>
    </x:row>
    <x:row r="109">
      <x:c r="A109" s="355"/>
      <x:c r="B109" s="356"/>
      <x:c r="C109" s="357"/>
      <x:c r="D109" s="357"/>
      <x:c r="E109" s="358"/>
      <x:c r="F109" s="358"/>
      <x:c r="G109" s="358"/>
      <x:c r="H109" s="358"/>
      <x:c r="I109" s="359"/>
      <x:c r="J109" s="360" t="str">
        <x:f>IF(E109="","",MAX(0,F109+G109+H109-I109))</x:f>
      </x:c>
      <x:c r="K109" s="361"/>
      <x:c r="L109" s="362"/>
      <x:c r="M109" s="357"/>
      <x:c r="N109" s="357"/>
      <x:c r="O109" s="363"/>
    </x:row>
    <x:row r="110">
      <x:c r="A110" s="355"/>
      <x:c r="B110" s="356"/>
      <x:c r="C110" s="357"/>
      <x:c r="D110" s="357"/>
      <x:c r="E110" s="358"/>
      <x:c r="F110" s="358"/>
      <x:c r="G110" s="358"/>
      <x:c r="H110" s="358"/>
      <x:c r="I110" s="359"/>
      <x:c r="J110" s="360" t="str">
        <x:f>IF(E110="","",MAX(0,F110+G110+H110-I110))</x:f>
      </x:c>
      <x:c r="K110" s="361"/>
      <x:c r="L110" s="362"/>
      <x:c r="M110" s="357"/>
      <x:c r="N110" s="357"/>
      <x:c r="O110" s="363"/>
    </x:row>
    <x:row r="111">
      <x:c r="A111" s="355"/>
      <x:c r="B111" s="356"/>
      <x:c r="C111" s="357"/>
      <x:c r="D111" s="357"/>
      <x:c r="E111" s="358"/>
      <x:c r="F111" s="358"/>
      <x:c r="G111" s="358"/>
      <x:c r="H111" s="358"/>
      <x:c r="I111" s="359"/>
      <x:c r="J111" s="360" t="str">
        <x:f>IF(E111="","",MAX(0,F111+G111+H111-I111))</x:f>
      </x:c>
      <x:c r="K111" s="361"/>
      <x:c r="L111" s="362"/>
      <x:c r="M111" s="357"/>
      <x:c r="N111" s="357"/>
      <x:c r="O111" s="363"/>
    </x:row>
    <x:row r="112">
      <x:c r="A112" s="355"/>
      <x:c r="B112" s="356"/>
      <x:c r="C112" s="357"/>
      <x:c r="D112" s="357"/>
      <x:c r="E112" s="358"/>
      <x:c r="F112" s="358"/>
      <x:c r="G112" s="358"/>
      <x:c r="H112" s="358"/>
      <x:c r="I112" s="359"/>
      <x:c r="J112" s="360" t="str">
        <x:f>IF(E112="","",MAX(0,F112+G112+H112-I112))</x:f>
      </x:c>
      <x:c r="K112" s="361"/>
      <x:c r="L112" s="362"/>
      <x:c r="M112" s="357"/>
      <x:c r="N112" s="357"/>
      <x:c r="O112" s="363"/>
    </x:row>
    <x:row r="113">
      <x:c r="A113" s="355"/>
      <x:c r="B113" s="356"/>
      <x:c r="C113" s="357"/>
      <x:c r="D113" s="357"/>
      <x:c r="E113" s="358"/>
      <x:c r="F113" s="358"/>
      <x:c r="G113" s="358"/>
      <x:c r="H113" s="358"/>
      <x:c r="I113" s="359"/>
      <x:c r="J113" s="360" t="str">
        <x:f>IF(E113="","",MAX(0,F113+G113+H113-I113))</x:f>
      </x:c>
      <x:c r="K113" s="361"/>
      <x:c r="L113" s="362"/>
      <x:c r="M113" s="357"/>
      <x:c r="N113" s="357"/>
      <x:c r="O113" s="363"/>
    </x:row>
    <x:row r="114">
      <x:c r="A114" s="355"/>
      <x:c r="B114" s="356"/>
      <x:c r="C114" s="357"/>
      <x:c r="D114" s="357"/>
      <x:c r="E114" s="358"/>
      <x:c r="F114" s="358"/>
      <x:c r="G114" s="358"/>
      <x:c r="H114" s="358"/>
      <x:c r="I114" s="359"/>
      <x:c r="J114" s="360" t="str">
        <x:f>IF(E114="","",MAX(0,F114+G114+H114-I114))</x:f>
      </x:c>
      <x:c r="K114" s="361"/>
      <x:c r="L114" s="362"/>
      <x:c r="M114" s="357"/>
      <x:c r="N114" s="357"/>
      <x:c r="O114" s="363"/>
    </x:row>
    <x:row r="115">
      <x:c r="A115" s="355"/>
      <x:c r="B115" s="356"/>
      <x:c r="C115" s="357"/>
      <x:c r="D115" s="357"/>
      <x:c r="E115" s="358"/>
      <x:c r="F115" s="358"/>
      <x:c r="G115" s="358"/>
      <x:c r="H115" s="358"/>
      <x:c r="I115" s="359"/>
      <x:c r="J115" s="360" t="str">
        <x:f>IF(E115="","",MAX(0,F115+G115+H115-I115))</x:f>
      </x:c>
      <x:c r="K115" s="361"/>
      <x:c r="L115" s="362"/>
      <x:c r="M115" s="357"/>
      <x:c r="N115" s="357"/>
      <x:c r="O115" s="363"/>
    </x:row>
    <x:row r="116">
      <x:c r="A116" s="355"/>
      <x:c r="B116" s="356"/>
      <x:c r="C116" s="357"/>
      <x:c r="D116" s="357"/>
      <x:c r="E116" s="358"/>
      <x:c r="F116" s="358"/>
      <x:c r="G116" s="358"/>
      <x:c r="H116" s="358"/>
      <x:c r="I116" s="359"/>
      <x:c r="J116" s="360" t="str">
        <x:f>IF(E116="","",MAX(0,F116+G116+H116-I116))</x:f>
      </x:c>
      <x:c r="K116" s="361"/>
      <x:c r="L116" s="362"/>
      <x:c r="M116" s="357"/>
      <x:c r="N116" s="357"/>
      <x:c r="O116" s="363"/>
    </x:row>
    <x:row r="117">
      <x:c r="A117" s="355"/>
      <x:c r="B117" s="356"/>
      <x:c r="C117" s="357"/>
      <x:c r="D117" s="357"/>
      <x:c r="E117" s="358"/>
      <x:c r="F117" s="358"/>
      <x:c r="G117" s="358"/>
      <x:c r="H117" s="358"/>
      <x:c r="I117" s="359"/>
      <x:c r="J117" s="360" t="str">
        <x:f>IF(E117="","",MAX(0,F117+G117+H117-I117))</x:f>
      </x:c>
      <x:c r="K117" s="361"/>
      <x:c r="L117" s="362"/>
      <x:c r="M117" s="357"/>
      <x:c r="N117" s="357"/>
      <x:c r="O117" s="363"/>
    </x:row>
    <x:row r="118">
      <x:c r="A118" s="355"/>
      <x:c r="B118" s="356"/>
      <x:c r="C118" s="357"/>
      <x:c r="D118" s="357"/>
      <x:c r="E118" s="358"/>
      <x:c r="F118" s="358"/>
      <x:c r="G118" s="358"/>
      <x:c r="H118" s="358"/>
      <x:c r="I118" s="359"/>
      <x:c r="J118" s="360" t="str">
        <x:f>IF(E118="","",MAX(0,F118+G118+H118-I118))</x:f>
      </x:c>
      <x:c r="K118" s="361"/>
      <x:c r="L118" s="362"/>
      <x:c r="M118" s="357"/>
      <x:c r="N118" s="357"/>
      <x:c r="O118" s="363"/>
    </x:row>
    <x:row r="119">
      <x:c r="A119" s="355"/>
      <x:c r="B119" s="356"/>
      <x:c r="C119" s="357"/>
      <x:c r="D119" s="357"/>
      <x:c r="E119" s="358"/>
      <x:c r="F119" s="358"/>
      <x:c r="G119" s="358"/>
      <x:c r="H119" s="358"/>
      <x:c r="I119" s="359"/>
      <x:c r="J119" s="360" t="str">
        <x:f>IF(E119="","",MAX(0,F119+G119+H119-I119))</x:f>
      </x:c>
      <x:c r="K119" s="361"/>
      <x:c r="L119" s="362"/>
      <x:c r="M119" s="357"/>
      <x:c r="N119" s="357"/>
      <x:c r="O119" s="363"/>
    </x:row>
    <x:row r="120">
      <x:c r="A120" s="355"/>
      <x:c r="B120" s="356"/>
      <x:c r="C120" s="357"/>
      <x:c r="D120" s="357"/>
      <x:c r="E120" s="358"/>
      <x:c r="F120" s="358"/>
      <x:c r="G120" s="358"/>
      <x:c r="H120" s="358"/>
      <x:c r="I120" s="359"/>
      <x:c r="J120" s="360" t="str">
        <x:f>IF(E120="","",MAX(0,F120+G120+H120-I120))</x:f>
      </x:c>
      <x:c r="K120" s="361"/>
      <x:c r="L120" s="362"/>
      <x:c r="M120" s="357"/>
      <x:c r="N120" s="357"/>
      <x:c r="O120" s="363"/>
    </x:row>
    <x:row r="121">
      <x:c r="A121" s="355"/>
      <x:c r="B121" s="356"/>
      <x:c r="C121" s="357"/>
      <x:c r="D121" s="357"/>
      <x:c r="E121" s="358"/>
      <x:c r="F121" s="358"/>
      <x:c r="G121" s="358"/>
      <x:c r="H121" s="358"/>
      <x:c r="I121" s="359"/>
      <x:c r="J121" s="360" t="str">
        <x:f>IF(E121="","",MAX(0,F121+G121+H121-I121))</x:f>
      </x:c>
      <x:c r="K121" s="361"/>
      <x:c r="L121" s="362"/>
      <x:c r="M121" s="357"/>
      <x:c r="N121" s="357"/>
      <x:c r="O121" s="363"/>
    </x:row>
    <x:row r="122">
      <x:c r="A122" s="355"/>
      <x:c r="B122" s="356"/>
      <x:c r="C122" s="357"/>
      <x:c r="D122" s="357"/>
      <x:c r="E122" s="358"/>
      <x:c r="F122" s="358"/>
      <x:c r="G122" s="358"/>
      <x:c r="H122" s="358"/>
      <x:c r="I122" s="359"/>
      <x:c r="J122" s="360" t="str">
        <x:f>IF(E122="","",MAX(0,F122+G122+H122-I122))</x:f>
      </x:c>
      <x:c r="K122" s="361"/>
      <x:c r="L122" s="362"/>
      <x:c r="M122" s="357"/>
      <x:c r="N122" s="357"/>
      <x:c r="O122" s="363"/>
    </x:row>
    <x:row r="123">
      <x:c r="A123" s="355"/>
      <x:c r="B123" s="356"/>
      <x:c r="C123" s="357"/>
      <x:c r="D123" s="357"/>
      <x:c r="E123" s="358"/>
      <x:c r="F123" s="358"/>
      <x:c r="G123" s="358"/>
      <x:c r="H123" s="358"/>
      <x:c r="I123" s="359"/>
      <x:c r="J123" s="360" t="str">
        <x:f>IF(E123="","",MAX(0,F123+G123+H123-I123))</x:f>
      </x:c>
      <x:c r="K123" s="361"/>
      <x:c r="L123" s="362"/>
      <x:c r="M123" s="357"/>
      <x:c r="N123" s="357"/>
      <x:c r="O123" s="363"/>
    </x:row>
    <x:row r="124">
      <x:c r="A124" s="355"/>
      <x:c r="B124" s="356"/>
      <x:c r="C124" s="357"/>
      <x:c r="D124" s="357"/>
      <x:c r="E124" s="358"/>
      <x:c r="F124" s="358"/>
      <x:c r="G124" s="358"/>
      <x:c r="H124" s="358"/>
      <x:c r="I124" s="359"/>
      <x:c r="J124" s="360" t="str">
        <x:f>IF(E124="","",MAX(0,F124+G124+H124-I124))</x:f>
      </x:c>
      <x:c r="K124" s="361"/>
      <x:c r="L124" s="362"/>
      <x:c r="M124" s="357"/>
      <x:c r="N124" s="357"/>
      <x:c r="O124" s="363"/>
    </x:row>
    <x:row r="125">
      <x:c r="A125" s="355"/>
      <x:c r="B125" s="356"/>
      <x:c r="C125" s="357"/>
      <x:c r="D125" s="357"/>
      <x:c r="E125" s="358"/>
      <x:c r="F125" s="358"/>
      <x:c r="G125" s="358"/>
      <x:c r="H125" s="358"/>
      <x:c r="I125" s="359"/>
      <x:c r="J125" s="360" t="str">
        <x:f>IF(E125="","",MAX(0,F125+G125+H125-I125))</x:f>
      </x:c>
      <x:c r="K125" s="361"/>
      <x:c r="L125" s="362"/>
      <x:c r="M125" s="357"/>
      <x:c r="N125" s="357"/>
      <x:c r="O125" s="363"/>
    </x:row>
    <x:row r="126">
      <x:c r="A126" s="355"/>
      <x:c r="B126" s="356"/>
      <x:c r="C126" s="357"/>
      <x:c r="D126" s="357"/>
      <x:c r="E126" s="358"/>
      <x:c r="F126" s="358"/>
      <x:c r="G126" s="358"/>
      <x:c r="H126" s="358"/>
      <x:c r="I126" s="359"/>
      <x:c r="J126" s="360" t="str">
        <x:f>IF(E126="","",MAX(0,F126+G126+H126-I126))</x:f>
      </x:c>
      <x:c r="K126" s="361"/>
      <x:c r="L126" s="362"/>
      <x:c r="M126" s="357"/>
      <x:c r="N126" s="357"/>
      <x:c r="O126" s="363"/>
    </x:row>
    <x:row r="127">
      <x:c r="A127" s="355"/>
      <x:c r="B127" s="356"/>
      <x:c r="C127" s="357"/>
      <x:c r="D127" s="357"/>
      <x:c r="E127" s="358"/>
      <x:c r="F127" s="358"/>
      <x:c r="G127" s="358"/>
      <x:c r="H127" s="358"/>
      <x:c r="I127" s="359"/>
      <x:c r="J127" s="360" t="str">
        <x:f>IF(E127="","",MAX(0,F127+G127+H127-I127))</x:f>
      </x:c>
      <x:c r="K127" s="361"/>
      <x:c r="L127" s="362"/>
      <x:c r="M127" s="357"/>
      <x:c r="N127" s="357"/>
      <x:c r="O127" s="363"/>
    </x:row>
    <x:row r="128">
      <x:c r="A128" s="355"/>
      <x:c r="B128" s="356"/>
      <x:c r="C128" s="357"/>
      <x:c r="D128" s="357"/>
      <x:c r="E128" s="358"/>
      <x:c r="F128" s="358"/>
      <x:c r="G128" s="358"/>
      <x:c r="H128" s="358"/>
      <x:c r="I128" s="359"/>
      <x:c r="J128" s="360" t="str">
        <x:f>IF(E128="","",MAX(0,F128+G128+H128-I128))</x:f>
      </x:c>
      <x:c r="K128" s="361"/>
      <x:c r="L128" s="362"/>
      <x:c r="M128" s="357"/>
      <x:c r="N128" s="357"/>
      <x:c r="O128" s="363"/>
    </x:row>
    <x:row r="129">
      <x:c r="A129" s="355"/>
      <x:c r="B129" s="356"/>
      <x:c r="C129" s="357"/>
      <x:c r="D129" s="357"/>
      <x:c r="E129" s="358"/>
      <x:c r="F129" s="358"/>
      <x:c r="G129" s="358"/>
      <x:c r="H129" s="358"/>
      <x:c r="I129" s="359"/>
      <x:c r="J129" s="360" t="str">
        <x:f>IF(E129="","",MAX(0,F129+G129+H129-I129))</x:f>
      </x:c>
      <x:c r="K129" s="361"/>
      <x:c r="L129" s="362"/>
      <x:c r="M129" s="357"/>
      <x:c r="N129" s="357"/>
      <x:c r="O129" s="363"/>
    </x:row>
    <x:row r="130">
      <x:c r="A130" s="355"/>
      <x:c r="B130" s="356"/>
      <x:c r="C130" s="357"/>
      <x:c r="D130" s="357"/>
      <x:c r="E130" s="358"/>
      <x:c r="F130" s="358"/>
      <x:c r="G130" s="358"/>
      <x:c r="H130" s="358"/>
      <x:c r="I130" s="359"/>
      <x:c r="J130" s="360" t="str">
        <x:f>IF(E130="","",MAX(0,F130+G130+H130-I130))</x:f>
      </x:c>
      <x:c r="K130" s="361"/>
      <x:c r="L130" s="362"/>
      <x:c r="M130" s="357"/>
      <x:c r="N130" s="357"/>
      <x:c r="O130" s="363"/>
    </x:row>
    <x:row r="131">
      <x:c r="A131" s="355"/>
      <x:c r="B131" s="356"/>
      <x:c r="C131" s="357"/>
      <x:c r="D131" s="357"/>
      <x:c r="E131" s="358"/>
      <x:c r="F131" s="358"/>
      <x:c r="G131" s="358"/>
      <x:c r="H131" s="358"/>
      <x:c r="I131" s="359"/>
      <x:c r="J131" s="360" t="str">
        <x:f>IF(E131="","",MAX(0,F131+G131+H131-I131))</x:f>
      </x:c>
      <x:c r="K131" s="361"/>
      <x:c r="L131" s="362"/>
      <x:c r="M131" s="357"/>
      <x:c r="N131" s="357"/>
      <x:c r="O131" s="363"/>
    </x:row>
    <x:row r="132">
      <x:c r="A132" s="355"/>
      <x:c r="B132" s="356"/>
      <x:c r="C132" s="357"/>
      <x:c r="D132" s="357"/>
      <x:c r="E132" s="358"/>
      <x:c r="F132" s="358"/>
      <x:c r="G132" s="358"/>
      <x:c r="H132" s="358"/>
      <x:c r="I132" s="359"/>
      <x:c r="J132" s="360" t="str">
        <x:f>IF(E132="","",MAX(0,F132+G132+H132-I132))</x:f>
      </x:c>
      <x:c r="K132" s="361"/>
      <x:c r="L132" s="362"/>
      <x:c r="M132" s="357"/>
      <x:c r="N132" s="357"/>
      <x:c r="O132" s="363"/>
    </x:row>
    <x:row r="133">
      <x:c r="A133" s="355"/>
      <x:c r="B133" s="356"/>
      <x:c r="C133" s="357"/>
      <x:c r="D133" s="357"/>
      <x:c r="E133" s="358"/>
      <x:c r="F133" s="358"/>
      <x:c r="G133" s="358"/>
      <x:c r="H133" s="358"/>
      <x:c r="I133" s="359"/>
      <x:c r="J133" s="360" t="str">
        <x:f>IF(E133="","",MAX(0,F133+G133+H133-I133))</x:f>
      </x:c>
      <x:c r="K133" s="361"/>
      <x:c r="L133" s="362"/>
      <x:c r="M133" s="357"/>
      <x:c r="N133" s="357"/>
      <x:c r="O133" s="363"/>
    </x:row>
    <x:row r="134">
      <x:c r="A134" s="355"/>
      <x:c r="B134" s="356"/>
      <x:c r="C134" s="357"/>
      <x:c r="D134" s="357"/>
      <x:c r="E134" s="358"/>
      <x:c r="F134" s="358"/>
      <x:c r="G134" s="358"/>
      <x:c r="H134" s="358"/>
      <x:c r="I134" s="359"/>
      <x:c r="J134" s="360" t="str">
        <x:f>IF(E134="","",MAX(0,F134+G134+H134-I134))</x:f>
      </x:c>
      <x:c r="K134" s="361"/>
      <x:c r="L134" s="362"/>
      <x:c r="M134" s="357"/>
      <x:c r="N134" s="357"/>
      <x:c r="O134" s="363"/>
    </x:row>
    <x:row r="135">
      <x:c r="A135" s="355"/>
      <x:c r="B135" s="356"/>
      <x:c r="C135" s="357"/>
      <x:c r="D135" s="357"/>
      <x:c r="E135" s="358"/>
      <x:c r="F135" s="358"/>
      <x:c r="G135" s="358"/>
      <x:c r="H135" s="358"/>
      <x:c r="I135" s="359"/>
      <x:c r="J135" s="360" t="str">
        <x:f>IF(E135="","",MAX(0,F135+G135+H135-I135))</x:f>
      </x:c>
      <x:c r="K135" s="361"/>
      <x:c r="L135" s="362"/>
      <x:c r="M135" s="357"/>
      <x:c r="N135" s="357"/>
      <x:c r="O135" s="363"/>
    </x:row>
    <x:row r="136">
      <x:c r="A136" s="355"/>
      <x:c r="B136" s="356"/>
      <x:c r="C136" s="357"/>
      <x:c r="D136" s="357"/>
      <x:c r="E136" s="358"/>
      <x:c r="F136" s="358"/>
      <x:c r="G136" s="358"/>
      <x:c r="H136" s="358"/>
      <x:c r="I136" s="359"/>
      <x:c r="J136" s="360" t="str">
        <x:f>IF(E136="","",MAX(0,F136+G136+H136-I136))</x:f>
      </x:c>
      <x:c r="K136" s="361"/>
      <x:c r="L136" s="362"/>
      <x:c r="M136" s="357"/>
      <x:c r="N136" s="357"/>
      <x:c r="O136" s="363"/>
    </x:row>
    <x:row r="137">
      <x:c r="A137" s="355"/>
      <x:c r="B137" s="356"/>
      <x:c r="C137" s="357"/>
      <x:c r="D137" s="357"/>
      <x:c r="E137" s="358"/>
      <x:c r="F137" s="358"/>
      <x:c r="G137" s="358"/>
      <x:c r="H137" s="358"/>
      <x:c r="I137" s="359"/>
      <x:c r="J137" s="360" t="str">
        <x:f>IF(E137="","",MAX(0,F137+G137+H137-I137))</x:f>
      </x:c>
      <x:c r="K137" s="361"/>
      <x:c r="L137" s="362"/>
      <x:c r="M137" s="357"/>
      <x:c r="N137" s="357"/>
      <x:c r="O137" s="363"/>
    </x:row>
    <x:row r="138">
      <x:c r="A138" s="355"/>
      <x:c r="B138" s="356"/>
      <x:c r="C138" s="357"/>
      <x:c r="D138" s="357"/>
      <x:c r="E138" s="358"/>
      <x:c r="F138" s="358"/>
      <x:c r="G138" s="358"/>
      <x:c r="H138" s="358"/>
      <x:c r="I138" s="359"/>
      <x:c r="J138" s="360" t="str">
        <x:f>IF(E138="","",MAX(0,F138+G138+H138-I138))</x:f>
      </x:c>
      <x:c r="K138" s="361"/>
      <x:c r="L138" s="362"/>
      <x:c r="M138" s="357"/>
      <x:c r="N138" s="357"/>
      <x:c r="O138" s="363"/>
    </x:row>
    <x:row r="139">
      <x:c r="A139" s="355"/>
      <x:c r="B139" s="356"/>
      <x:c r="C139" s="357"/>
      <x:c r="D139" s="357"/>
      <x:c r="E139" s="358"/>
      <x:c r="F139" s="358"/>
      <x:c r="G139" s="358"/>
      <x:c r="H139" s="358"/>
      <x:c r="I139" s="359"/>
      <x:c r="J139" s="360" t="str">
        <x:f>IF(E139="","",MAX(0,F139+G139+H139-I139))</x:f>
      </x:c>
      <x:c r="K139" s="361"/>
      <x:c r="L139" s="362"/>
      <x:c r="M139" s="357"/>
      <x:c r="N139" s="357"/>
      <x:c r="O139" s="363"/>
    </x:row>
    <x:row r="140">
      <x:c r="A140" s="355"/>
      <x:c r="B140" s="356"/>
      <x:c r="C140" s="357"/>
      <x:c r="D140" s="357"/>
      <x:c r="E140" s="358"/>
      <x:c r="F140" s="358"/>
      <x:c r="G140" s="358"/>
      <x:c r="H140" s="358"/>
      <x:c r="I140" s="359"/>
      <x:c r="J140" s="360" t="str">
        <x:f>IF(E140="","",MAX(0,F140+G140+H140-I140))</x:f>
      </x:c>
      <x:c r="K140" s="361"/>
      <x:c r="L140" s="362"/>
      <x:c r="M140" s="357"/>
      <x:c r="N140" s="357"/>
      <x:c r="O140" s="363"/>
    </x:row>
    <x:row r="141">
      <x:c r="A141" s="355"/>
      <x:c r="B141" s="356"/>
      <x:c r="C141" s="357"/>
      <x:c r="D141" s="357"/>
      <x:c r="E141" s="358"/>
      <x:c r="F141" s="358"/>
      <x:c r="G141" s="358"/>
      <x:c r="H141" s="358"/>
      <x:c r="I141" s="359"/>
      <x:c r="J141" s="360" t="str">
        <x:f>IF(E141="","",MAX(0,F141+G141+H141-I141))</x:f>
      </x:c>
      <x:c r="K141" s="361"/>
      <x:c r="L141" s="362"/>
      <x:c r="M141" s="357"/>
      <x:c r="N141" s="357"/>
      <x:c r="O141" s="363"/>
    </x:row>
    <x:row r="142">
      <x:c r="A142" s="355"/>
      <x:c r="B142" s="356"/>
      <x:c r="C142" s="357"/>
      <x:c r="D142" s="357"/>
      <x:c r="E142" s="358"/>
      <x:c r="F142" s="358"/>
      <x:c r="G142" s="358"/>
      <x:c r="H142" s="358"/>
      <x:c r="I142" s="359"/>
      <x:c r="J142" s="360" t="str">
        <x:f>IF(E142="","",MAX(0,F142+G142+H142-I142))</x:f>
      </x:c>
      <x:c r="K142" s="361"/>
      <x:c r="L142" s="362"/>
      <x:c r="M142" s="357"/>
      <x:c r="N142" s="357"/>
      <x:c r="O142" s="363"/>
    </x:row>
    <x:row r="143">
      <x:c r="A143" s="355"/>
      <x:c r="B143" s="356"/>
      <x:c r="C143" s="357"/>
      <x:c r="D143" s="357"/>
      <x:c r="E143" s="358"/>
      <x:c r="F143" s="358"/>
      <x:c r="G143" s="358"/>
      <x:c r="H143" s="358"/>
      <x:c r="I143" s="359"/>
      <x:c r="J143" s="360" t="str">
        <x:f>IF(E143="","",MAX(0,F143+G143+H143-I143))</x:f>
      </x:c>
      <x:c r="K143" s="361"/>
      <x:c r="L143" s="362"/>
      <x:c r="M143" s="357"/>
      <x:c r="N143" s="357"/>
      <x:c r="O143" s="363"/>
    </x:row>
    <x:row r="144">
      <x:c r="A144" s="355"/>
      <x:c r="B144" s="356"/>
      <x:c r="C144" s="357"/>
      <x:c r="D144" s="357"/>
      <x:c r="E144" s="358"/>
      <x:c r="F144" s="358"/>
      <x:c r="G144" s="358"/>
      <x:c r="H144" s="358"/>
      <x:c r="I144" s="359"/>
      <x:c r="J144" s="360" t="str">
        <x:f>IF(E144="","",MAX(0,F144+G144+H144-I144))</x:f>
      </x:c>
      <x:c r="K144" s="361"/>
      <x:c r="L144" s="362"/>
      <x:c r="M144" s="357"/>
      <x:c r="N144" s="357"/>
      <x:c r="O144" s="363"/>
    </x:row>
    <x:row r="145">
      <x:c r="A145" s="355"/>
      <x:c r="B145" s="356"/>
      <x:c r="C145" s="357"/>
      <x:c r="D145" s="357"/>
      <x:c r="E145" s="358"/>
      <x:c r="F145" s="358"/>
      <x:c r="G145" s="358"/>
      <x:c r="H145" s="358"/>
      <x:c r="I145" s="359"/>
      <x:c r="J145" s="360" t="str">
        <x:f>IF(E145="","",MAX(0,F145+G145+H145-I145))</x:f>
      </x:c>
      <x:c r="K145" s="361"/>
      <x:c r="L145" s="362"/>
      <x:c r="M145" s="357"/>
      <x:c r="N145" s="357"/>
      <x:c r="O145" s="363"/>
    </x:row>
    <x:row r="146">
      <x:c r="A146" s="355"/>
      <x:c r="B146" s="356"/>
      <x:c r="C146" s="357"/>
      <x:c r="D146" s="357"/>
      <x:c r="E146" s="358"/>
      <x:c r="F146" s="358"/>
      <x:c r="G146" s="358"/>
      <x:c r="H146" s="358"/>
      <x:c r="I146" s="359"/>
      <x:c r="J146" s="360" t="str">
        <x:f>IF(E146="","",MAX(0,F146+G146+H146-I146))</x:f>
      </x:c>
      <x:c r="K146" s="361"/>
      <x:c r="L146" s="362"/>
      <x:c r="M146" s="357"/>
      <x:c r="N146" s="357"/>
      <x:c r="O146" s="363"/>
    </x:row>
    <x:row r="147">
      <x:c r="A147" s="355"/>
      <x:c r="B147" s="356"/>
      <x:c r="C147" s="357"/>
      <x:c r="D147" s="357"/>
      <x:c r="E147" s="358"/>
      <x:c r="F147" s="358"/>
      <x:c r="G147" s="358"/>
      <x:c r="H147" s="358"/>
      <x:c r="I147" s="359"/>
      <x:c r="J147" s="360" t="str">
        <x:f>IF(E147="","",MAX(0,F147+G147+H147-I147))</x:f>
      </x:c>
      <x:c r="K147" s="361"/>
      <x:c r="L147" s="362"/>
      <x:c r="M147" s="357"/>
      <x:c r="N147" s="357"/>
      <x:c r="O147" s="363"/>
    </x:row>
    <x:row r="148">
      <x:c r="A148" s="355"/>
      <x:c r="B148" s="356"/>
      <x:c r="C148" s="357"/>
      <x:c r="D148" s="357"/>
      <x:c r="E148" s="358"/>
      <x:c r="F148" s="358"/>
      <x:c r="G148" s="358"/>
      <x:c r="H148" s="358"/>
      <x:c r="I148" s="359"/>
      <x:c r="J148" s="360" t="str">
        <x:f>IF(E148="","",MAX(0,F148+G148+H148-I148))</x:f>
      </x:c>
      <x:c r="K148" s="361"/>
      <x:c r="L148" s="362"/>
      <x:c r="M148" s="357"/>
      <x:c r="N148" s="357"/>
      <x:c r="O148" s="363"/>
    </x:row>
    <x:row r="149">
      <x:c r="A149" s="355"/>
      <x:c r="B149" s="356"/>
      <x:c r="C149" s="357"/>
      <x:c r="D149" s="357"/>
      <x:c r="E149" s="358"/>
      <x:c r="F149" s="358"/>
      <x:c r="G149" s="358"/>
      <x:c r="H149" s="358"/>
      <x:c r="I149" s="359"/>
      <x:c r="J149" s="360" t="str">
        <x:f>IF(E149="","",MAX(0,F149+G149+H149-I149))</x:f>
      </x:c>
      <x:c r="K149" s="361"/>
      <x:c r="L149" s="362"/>
      <x:c r="M149" s="357"/>
      <x:c r="N149" s="357"/>
      <x:c r="O149" s="363"/>
    </x:row>
    <x:row r="150">
      <x:c r="A150" s="355"/>
      <x:c r="B150" s="356"/>
      <x:c r="C150" s="357"/>
      <x:c r="D150" s="357"/>
      <x:c r="E150" s="358"/>
      <x:c r="F150" s="358"/>
      <x:c r="G150" s="358"/>
      <x:c r="H150" s="358"/>
      <x:c r="I150" s="359"/>
      <x:c r="J150" s="360" t="str">
        <x:f>IF(E150="","",MAX(0,F150+G150+H150-I150))</x:f>
      </x:c>
      <x:c r="K150" s="361"/>
      <x:c r="L150" s="362"/>
      <x:c r="M150" s="357"/>
      <x:c r="N150" s="357"/>
      <x:c r="O150" s="363"/>
    </x:row>
    <x:row r="151">
      <x:c r="A151" s="355"/>
      <x:c r="B151" s="356"/>
      <x:c r="C151" s="357"/>
      <x:c r="D151" s="357"/>
      <x:c r="E151" s="358"/>
      <x:c r="F151" s="358"/>
      <x:c r="G151" s="358"/>
      <x:c r="H151" s="358"/>
      <x:c r="I151" s="359"/>
      <x:c r="J151" s="360" t="str">
        <x:f>IF(E151="","",MAX(0,F151+G151+H151-I151))</x:f>
      </x:c>
      <x:c r="K151" s="361"/>
      <x:c r="L151" s="362"/>
      <x:c r="M151" s="357"/>
      <x:c r="N151" s="357"/>
      <x:c r="O151" s="363"/>
    </x:row>
    <x:row r="152">
      <x:c r="A152" s="355"/>
      <x:c r="B152" s="356"/>
      <x:c r="C152" s="357"/>
      <x:c r="D152" s="357"/>
      <x:c r="E152" s="358"/>
      <x:c r="F152" s="358"/>
      <x:c r="G152" s="358"/>
      <x:c r="H152" s="358"/>
      <x:c r="I152" s="359"/>
      <x:c r="J152" s="360" t="str">
        <x:f>IF(E152="","",MAX(0,F152+G152+H152-I152))</x:f>
      </x:c>
      <x:c r="K152" s="361"/>
      <x:c r="L152" s="362"/>
      <x:c r="M152" s="357"/>
      <x:c r="N152" s="357"/>
      <x:c r="O152" s="363"/>
    </x:row>
    <x:row r="153">
      <x:c r="A153" s="355"/>
      <x:c r="B153" s="356"/>
      <x:c r="C153" s="357"/>
      <x:c r="D153" s="357"/>
      <x:c r="E153" s="358"/>
      <x:c r="F153" s="358"/>
      <x:c r="G153" s="358"/>
      <x:c r="H153" s="358"/>
      <x:c r="I153" s="359"/>
      <x:c r="J153" s="360" t="str">
        <x:f>IF(E153="","",MAX(0,F153+G153+H153-I153))</x:f>
      </x:c>
      <x:c r="K153" s="361"/>
      <x:c r="L153" s="362"/>
      <x:c r="M153" s="357"/>
      <x:c r="N153" s="357"/>
      <x:c r="O153" s="363"/>
    </x:row>
    <x:row r="154">
      <x:c r="A154" s="355"/>
      <x:c r="B154" s="356"/>
      <x:c r="C154" s="357"/>
      <x:c r="D154" s="357"/>
      <x:c r="E154" s="358"/>
      <x:c r="F154" s="358"/>
      <x:c r="G154" s="358"/>
      <x:c r="H154" s="358"/>
      <x:c r="I154" s="359"/>
      <x:c r="J154" s="360" t="str">
        <x:f>IF(E154="","",MAX(0,F154+G154+H154-I154))</x:f>
      </x:c>
      <x:c r="K154" s="361"/>
      <x:c r="L154" s="362"/>
      <x:c r="M154" s="357"/>
      <x:c r="N154" s="357"/>
      <x:c r="O154" s="363"/>
    </x:row>
    <x:row r="155">
      <x:c r="A155" s="355"/>
      <x:c r="B155" s="356"/>
      <x:c r="C155" s="357"/>
      <x:c r="D155" s="357"/>
      <x:c r="E155" s="358"/>
      <x:c r="F155" s="358"/>
      <x:c r="G155" s="358"/>
      <x:c r="H155" s="358"/>
      <x:c r="I155" s="359"/>
      <x:c r="J155" s="360" t="str">
        <x:f>IF(E155="","",MAX(0,F155+G155+H155-I155))</x:f>
      </x:c>
      <x:c r="K155" s="361"/>
      <x:c r="L155" s="362"/>
      <x:c r="M155" s="357"/>
      <x:c r="N155" s="357"/>
      <x:c r="O155" s="363"/>
    </x:row>
    <x:row r="156">
      <x:c r="A156" s="355"/>
      <x:c r="B156" s="356"/>
      <x:c r="C156" s="357"/>
      <x:c r="D156" s="357"/>
      <x:c r="E156" s="358"/>
      <x:c r="F156" s="358"/>
      <x:c r="G156" s="358"/>
      <x:c r="H156" s="358"/>
      <x:c r="I156" s="359"/>
      <x:c r="J156" s="360" t="str">
        <x:f>IF(E156="","",MAX(0,F156+G156+H156-I156))</x:f>
      </x:c>
      <x:c r="K156" s="361"/>
      <x:c r="L156" s="362"/>
      <x:c r="M156" s="357"/>
      <x:c r="N156" s="357"/>
      <x:c r="O156" s="363"/>
    </x:row>
    <x:row r="157">
      <x:c r="A157" s="355"/>
      <x:c r="B157" s="356"/>
      <x:c r="C157" s="357"/>
      <x:c r="D157" s="357"/>
      <x:c r="E157" s="358"/>
      <x:c r="F157" s="358"/>
      <x:c r="G157" s="358"/>
      <x:c r="H157" s="358"/>
      <x:c r="I157" s="359"/>
      <x:c r="J157" s="360" t="str">
        <x:f>IF(E157="","",MAX(0,F157+G157+H157-I157))</x:f>
      </x:c>
      <x:c r="K157" s="361"/>
      <x:c r="L157" s="362"/>
      <x:c r="M157" s="357"/>
      <x:c r="N157" s="357"/>
      <x:c r="O157" s="363"/>
    </x:row>
    <x:row r="158">
      <x:c r="A158" s="355"/>
      <x:c r="B158" s="356"/>
      <x:c r="C158" s="357"/>
      <x:c r="D158" s="357"/>
      <x:c r="E158" s="358"/>
      <x:c r="F158" s="358"/>
      <x:c r="G158" s="358"/>
      <x:c r="H158" s="358"/>
      <x:c r="I158" s="359"/>
      <x:c r="J158" s="360" t="str">
        <x:f>IF(E158="","",MAX(0,F158+G158+H158-I158))</x:f>
      </x:c>
      <x:c r="K158" s="361"/>
      <x:c r="L158" s="362"/>
      <x:c r="M158" s="357"/>
      <x:c r="N158" s="357"/>
      <x:c r="O158" s="363"/>
    </x:row>
    <x:row r="159">
      <x:c r="A159" s="355"/>
      <x:c r="B159" s="356"/>
      <x:c r="C159" s="357"/>
      <x:c r="D159" s="357"/>
      <x:c r="E159" s="358"/>
      <x:c r="F159" s="358"/>
      <x:c r="G159" s="358"/>
      <x:c r="H159" s="358"/>
      <x:c r="I159" s="359"/>
      <x:c r="J159" s="360" t="str">
        <x:f>IF(E159="","",MAX(0,F159+G159+H159-I159))</x:f>
      </x:c>
      <x:c r="K159" s="361"/>
      <x:c r="L159" s="362"/>
      <x:c r="M159" s="357"/>
      <x:c r="N159" s="357"/>
      <x:c r="O159" s="363"/>
    </x:row>
    <x:row r="160">
      <x:c r="A160" s="355"/>
      <x:c r="B160" s="356"/>
      <x:c r="C160" s="357"/>
      <x:c r="D160" s="357"/>
      <x:c r="E160" s="358"/>
      <x:c r="F160" s="358"/>
      <x:c r="G160" s="358"/>
      <x:c r="H160" s="358"/>
      <x:c r="I160" s="359"/>
      <x:c r="J160" s="360" t="str">
        <x:f>IF(E160="","",MAX(0,F160+G160+H160-I160))</x:f>
      </x:c>
      <x:c r="K160" s="361"/>
      <x:c r="L160" s="362"/>
      <x:c r="M160" s="357"/>
      <x:c r="N160" s="357"/>
      <x:c r="O160" s="363"/>
    </x:row>
    <x:row r="161">
      <x:c r="A161" s="355"/>
      <x:c r="B161" s="356"/>
      <x:c r="C161" s="357"/>
      <x:c r="D161" s="357"/>
      <x:c r="E161" s="358"/>
      <x:c r="F161" s="358"/>
      <x:c r="G161" s="358"/>
      <x:c r="H161" s="358"/>
      <x:c r="I161" s="359"/>
      <x:c r="J161" s="360" t="str">
        <x:f>IF(E161="","",MAX(0,F161+G161+H161-I161))</x:f>
      </x:c>
      <x:c r="K161" s="361"/>
      <x:c r="L161" s="362"/>
      <x:c r="M161" s="357"/>
      <x:c r="N161" s="357"/>
      <x:c r="O161" s="363"/>
    </x:row>
    <x:row r="162">
      <x:c r="A162" s="355"/>
      <x:c r="B162" s="356"/>
      <x:c r="C162" s="357"/>
      <x:c r="D162" s="357"/>
      <x:c r="E162" s="358"/>
      <x:c r="F162" s="358"/>
      <x:c r="G162" s="358"/>
      <x:c r="H162" s="358"/>
      <x:c r="I162" s="359"/>
      <x:c r="J162" s="360" t="str">
        <x:f>IF(E162="","",MAX(0,F162+G162+H162-I162))</x:f>
      </x:c>
      <x:c r="K162" s="361"/>
      <x:c r="L162" s="362"/>
      <x:c r="M162" s="357"/>
      <x:c r="N162" s="357"/>
      <x:c r="O162" s="363"/>
    </x:row>
    <x:row r="163">
      <x:c r="A163" s="355"/>
      <x:c r="B163" s="356"/>
      <x:c r="C163" s="357"/>
      <x:c r="D163" s="357"/>
      <x:c r="E163" s="358"/>
      <x:c r="F163" s="358"/>
      <x:c r="G163" s="358"/>
      <x:c r="H163" s="358"/>
      <x:c r="I163" s="359"/>
      <x:c r="J163" s="360" t="str">
        <x:f>IF(E163="","",MAX(0,F163+G163+H163-I163))</x:f>
      </x:c>
      <x:c r="K163" s="361"/>
      <x:c r="L163" s="362"/>
      <x:c r="M163" s="357"/>
      <x:c r="N163" s="357"/>
      <x:c r="O163" s="363"/>
    </x:row>
    <x:row r="164">
      <x:c r="A164" s="355"/>
      <x:c r="B164" s="356"/>
      <x:c r="C164" s="357"/>
      <x:c r="D164" s="357"/>
      <x:c r="E164" s="358"/>
      <x:c r="F164" s="358"/>
      <x:c r="G164" s="358"/>
      <x:c r="H164" s="358"/>
      <x:c r="I164" s="359"/>
      <x:c r="J164" s="360" t="str">
        <x:f>IF(E164="","",MAX(0,F164+G164+H164-I164))</x:f>
      </x:c>
      <x:c r="K164" s="361"/>
      <x:c r="L164" s="362"/>
      <x:c r="M164" s="357"/>
      <x:c r="N164" s="357"/>
      <x:c r="O164" s="363"/>
    </x:row>
    <x:row r="165">
      <x:c r="A165" s="355"/>
      <x:c r="B165" s="356"/>
      <x:c r="C165" s="357"/>
      <x:c r="D165" s="357"/>
      <x:c r="E165" s="358"/>
      <x:c r="F165" s="358"/>
      <x:c r="G165" s="358"/>
      <x:c r="H165" s="358"/>
      <x:c r="I165" s="359"/>
      <x:c r="J165" s="360" t="str">
        <x:f>IF(E165="","",MAX(0,F165+G165+H165-I165))</x:f>
      </x:c>
      <x:c r="K165" s="361"/>
      <x:c r="L165" s="362"/>
      <x:c r="M165" s="357"/>
      <x:c r="N165" s="357"/>
      <x:c r="O165" s="363"/>
    </x:row>
    <x:row r="166">
      <x:c r="A166" s="355"/>
      <x:c r="B166" s="356"/>
      <x:c r="C166" s="357"/>
      <x:c r="D166" s="357"/>
      <x:c r="E166" s="358"/>
      <x:c r="F166" s="358"/>
      <x:c r="G166" s="358"/>
      <x:c r="H166" s="358"/>
      <x:c r="I166" s="359"/>
      <x:c r="J166" s="360" t="str">
        <x:f>IF(E166="","",MAX(0,F166+G166+H166-I166))</x:f>
      </x:c>
      <x:c r="K166" s="361"/>
      <x:c r="L166" s="362"/>
      <x:c r="M166" s="357"/>
      <x:c r="N166" s="357"/>
      <x:c r="O166" s="363"/>
    </x:row>
    <x:row r="167">
      <x:c r="A167" s="355"/>
      <x:c r="B167" s="356"/>
      <x:c r="C167" s="357"/>
      <x:c r="D167" s="357"/>
      <x:c r="E167" s="358"/>
      <x:c r="F167" s="358"/>
      <x:c r="G167" s="358"/>
      <x:c r="H167" s="358"/>
      <x:c r="I167" s="359"/>
      <x:c r="J167" s="360" t="str">
        <x:f>IF(E167="","",MAX(0,F167+G167+H167-I167))</x:f>
      </x:c>
      <x:c r="K167" s="361"/>
      <x:c r="L167" s="362"/>
      <x:c r="M167" s="357"/>
      <x:c r="N167" s="357"/>
      <x:c r="O167" s="363"/>
    </x:row>
    <x:row r="168">
      <x:c r="A168" s="355"/>
      <x:c r="B168" s="356"/>
      <x:c r="C168" s="357"/>
      <x:c r="D168" s="357"/>
      <x:c r="E168" s="358"/>
      <x:c r="F168" s="358"/>
      <x:c r="G168" s="358"/>
      <x:c r="H168" s="358"/>
      <x:c r="I168" s="359"/>
      <x:c r="J168" s="360" t="str">
        <x:f>IF(E168="","",MAX(0,F168+G168+H168-I168))</x:f>
      </x:c>
      <x:c r="K168" s="361"/>
      <x:c r="L168" s="362"/>
      <x:c r="M168" s="357"/>
      <x:c r="N168" s="357"/>
      <x:c r="O168" s="363"/>
    </x:row>
    <x:row r="169">
      <x:c r="A169" s="355"/>
      <x:c r="B169" s="356"/>
      <x:c r="C169" s="357"/>
      <x:c r="D169" s="357"/>
      <x:c r="E169" s="358"/>
      <x:c r="F169" s="358"/>
      <x:c r="G169" s="358"/>
      <x:c r="H169" s="358"/>
      <x:c r="I169" s="359"/>
      <x:c r="J169" s="360" t="str">
        <x:f>IF(E169="","",MAX(0,F169+G169+H169-I169))</x:f>
      </x:c>
      <x:c r="K169" s="361"/>
      <x:c r="L169" s="362"/>
      <x:c r="M169" s="357"/>
      <x:c r="N169" s="357"/>
      <x:c r="O169" s="363"/>
    </x:row>
    <x:row r="170">
      <x:c r="A170" s="355"/>
      <x:c r="B170" s="356"/>
      <x:c r="C170" s="357"/>
      <x:c r="D170" s="357"/>
      <x:c r="E170" s="358"/>
      <x:c r="F170" s="358"/>
      <x:c r="G170" s="358"/>
      <x:c r="H170" s="358"/>
      <x:c r="I170" s="359"/>
      <x:c r="J170" s="360" t="str">
        <x:f>IF(E170="","",MAX(0,F170+G170+H170-I170))</x:f>
      </x:c>
      <x:c r="K170" s="361"/>
      <x:c r="L170" s="362"/>
      <x:c r="M170" s="357"/>
      <x:c r="N170" s="357"/>
      <x:c r="O170" s="363"/>
    </x:row>
    <x:row r="171">
      <x:c r="A171" s="355"/>
      <x:c r="B171" s="356"/>
      <x:c r="C171" s="357"/>
      <x:c r="D171" s="357"/>
      <x:c r="E171" s="358"/>
      <x:c r="F171" s="358"/>
      <x:c r="G171" s="358"/>
      <x:c r="H171" s="358"/>
      <x:c r="I171" s="359"/>
      <x:c r="J171" s="360" t="str">
        <x:f>IF(E171="","",MAX(0,F171+G171+H171-I171))</x:f>
      </x:c>
      <x:c r="K171" s="361"/>
      <x:c r="L171" s="362"/>
      <x:c r="M171" s="357"/>
      <x:c r="N171" s="357"/>
      <x:c r="O171" s="363"/>
    </x:row>
    <x:row r="172">
      <x:c r="A172" s="355"/>
      <x:c r="B172" s="356"/>
      <x:c r="C172" s="357"/>
      <x:c r="D172" s="357"/>
      <x:c r="E172" s="358"/>
      <x:c r="F172" s="358"/>
      <x:c r="G172" s="358"/>
      <x:c r="H172" s="358"/>
      <x:c r="I172" s="359"/>
      <x:c r="J172" s="360" t="str">
        <x:f>IF(E172="","",MAX(0,F172+G172+H172-I172))</x:f>
      </x:c>
      <x:c r="K172" s="361"/>
      <x:c r="L172" s="362"/>
      <x:c r="M172" s="357"/>
      <x:c r="N172" s="357"/>
      <x:c r="O172" s="363"/>
    </x:row>
    <x:row r="173">
      <x:c r="A173" s="355"/>
      <x:c r="B173" s="356"/>
      <x:c r="C173" s="357"/>
      <x:c r="D173" s="357"/>
      <x:c r="E173" s="358"/>
      <x:c r="F173" s="358"/>
      <x:c r="G173" s="358"/>
      <x:c r="H173" s="358"/>
      <x:c r="I173" s="359"/>
      <x:c r="J173" s="360" t="str">
        <x:f>IF(E173="","",MAX(0,F173+G173+H173-I173))</x:f>
      </x:c>
      <x:c r="K173" s="361"/>
      <x:c r="L173" s="362"/>
      <x:c r="M173" s="357"/>
      <x:c r="N173" s="357"/>
      <x:c r="O173" s="363"/>
    </x:row>
    <x:row r="174">
      <x:c r="A174" s="355"/>
      <x:c r="B174" s="356"/>
      <x:c r="C174" s="357"/>
      <x:c r="D174" s="357"/>
      <x:c r="E174" s="358"/>
      <x:c r="F174" s="358"/>
      <x:c r="G174" s="358"/>
      <x:c r="H174" s="358"/>
      <x:c r="I174" s="359"/>
      <x:c r="J174" s="360" t="str">
        <x:f>IF(E174="","",MAX(0,F174+G174+H174-I174))</x:f>
      </x:c>
      <x:c r="K174" s="361"/>
      <x:c r="L174" s="362"/>
      <x:c r="M174" s="357"/>
      <x:c r="N174" s="357"/>
      <x:c r="O174" s="363"/>
    </x:row>
    <x:row r="175">
      <x:c r="A175" s="355"/>
      <x:c r="B175" s="356"/>
      <x:c r="C175" s="357"/>
      <x:c r="D175" s="357"/>
      <x:c r="E175" s="358"/>
      <x:c r="F175" s="358"/>
      <x:c r="G175" s="358"/>
      <x:c r="H175" s="358"/>
      <x:c r="I175" s="359"/>
      <x:c r="J175" s="360" t="str">
        <x:f>IF(E175="","",MAX(0,F175+G175+H175-I175))</x:f>
      </x:c>
      <x:c r="K175" s="361"/>
      <x:c r="L175" s="362"/>
      <x:c r="M175" s="357"/>
      <x:c r="N175" s="357"/>
      <x:c r="O175" s="363"/>
    </x:row>
    <x:row r="176">
      <x:c r="A176" s="355"/>
      <x:c r="B176" s="356"/>
      <x:c r="C176" s="357"/>
      <x:c r="D176" s="357"/>
      <x:c r="E176" s="358"/>
      <x:c r="F176" s="358"/>
      <x:c r="G176" s="358"/>
      <x:c r="H176" s="358"/>
      <x:c r="I176" s="359"/>
      <x:c r="J176" s="360" t="str">
        <x:f>IF(E176="","",MAX(0,F176+G176+H176-I176))</x:f>
      </x:c>
      <x:c r="K176" s="361"/>
      <x:c r="L176" s="362"/>
      <x:c r="M176" s="357"/>
      <x:c r="N176" s="357"/>
      <x:c r="O176" s="363"/>
    </x:row>
    <x:row r="177">
      <x:c r="A177" s="355"/>
      <x:c r="B177" s="356"/>
      <x:c r="C177" s="357"/>
      <x:c r="D177" s="357"/>
      <x:c r="E177" s="358"/>
      <x:c r="F177" s="358"/>
      <x:c r="G177" s="358"/>
      <x:c r="H177" s="358"/>
      <x:c r="I177" s="359"/>
      <x:c r="J177" s="360" t="str">
        <x:f>IF(E177="","",MAX(0,F177+G177+H177-I177))</x:f>
      </x:c>
      <x:c r="K177" s="361"/>
      <x:c r="L177" s="362"/>
      <x:c r="M177" s="357"/>
      <x:c r="N177" s="357"/>
      <x:c r="O177" s="363"/>
    </x:row>
    <x:row r="178">
      <x:c r="A178" s="355"/>
      <x:c r="B178" s="356"/>
      <x:c r="C178" s="357"/>
      <x:c r="D178" s="357"/>
      <x:c r="E178" s="358"/>
      <x:c r="F178" s="358"/>
      <x:c r="G178" s="358"/>
      <x:c r="H178" s="358"/>
      <x:c r="I178" s="359"/>
      <x:c r="J178" s="360" t="str">
        <x:f>IF(E178="","",MAX(0,F178+G178+H178-I178))</x:f>
      </x:c>
      <x:c r="K178" s="361"/>
      <x:c r="L178" s="362"/>
      <x:c r="M178" s="357"/>
      <x:c r="N178" s="357"/>
      <x:c r="O178" s="363"/>
    </x:row>
    <x:row r="179">
      <x:c r="A179" s="355"/>
      <x:c r="B179" s="356"/>
      <x:c r="C179" s="357"/>
      <x:c r="D179" s="357"/>
      <x:c r="E179" s="358"/>
      <x:c r="F179" s="358"/>
      <x:c r="G179" s="358"/>
      <x:c r="H179" s="358"/>
      <x:c r="I179" s="359"/>
      <x:c r="J179" s="360" t="str">
        <x:f>IF(E179="","",MAX(0,F179+G179+H179-I179))</x:f>
      </x:c>
      <x:c r="K179" s="361"/>
      <x:c r="L179" s="362"/>
      <x:c r="M179" s="357"/>
      <x:c r="N179" s="357"/>
      <x:c r="O179" s="363"/>
    </x:row>
    <x:row r="180">
      <x:c r="A180" s="355"/>
      <x:c r="B180" s="356"/>
      <x:c r="C180" s="357"/>
      <x:c r="D180" s="357"/>
      <x:c r="E180" s="358"/>
      <x:c r="F180" s="358"/>
      <x:c r="G180" s="358"/>
      <x:c r="H180" s="358"/>
      <x:c r="I180" s="359"/>
      <x:c r="J180" s="360" t="str">
        <x:f>IF(E180="","",MAX(0,F180+G180+H180-I180))</x:f>
      </x:c>
      <x:c r="K180" s="361"/>
      <x:c r="L180" s="362"/>
      <x:c r="M180" s="357"/>
      <x:c r="N180" s="357"/>
      <x:c r="O180" s="363"/>
    </x:row>
    <x:row r="181">
      <x:c r="A181" s="355"/>
      <x:c r="B181" s="356"/>
      <x:c r="C181" s="357"/>
      <x:c r="D181" s="357"/>
      <x:c r="E181" s="358"/>
      <x:c r="F181" s="358"/>
      <x:c r="G181" s="358"/>
      <x:c r="H181" s="358"/>
      <x:c r="I181" s="359"/>
      <x:c r="J181" s="360" t="str">
        <x:f>IF(E181="","",MAX(0,F181+G181+H181-I181))</x:f>
      </x:c>
      <x:c r="K181" s="361"/>
      <x:c r="L181" s="362"/>
      <x:c r="M181" s="357"/>
      <x:c r="N181" s="357"/>
      <x:c r="O181" s="363"/>
    </x:row>
    <x:row r="182">
      <x:c r="A182" s="355"/>
      <x:c r="B182" s="356"/>
      <x:c r="C182" s="357"/>
      <x:c r="D182" s="357"/>
      <x:c r="E182" s="358"/>
      <x:c r="F182" s="358"/>
      <x:c r="G182" s="358"/>
      <x:c r="H182" s="358"/>
      <x:c r="I182" s="359"/>
      <x:c r="J182" s="360" t="str">
        <x:f>IF(E182="","",MAX(0,F182+G182+H182-I182))</x:f>
      </x:c>
      <x:c r="K182" s="361"/>
      <x:c r="L182" s="362"/>
      <x:c r="M182" s="357"/>
      <x:c r="N182" s="357"/>
      <x:c r="O182" s="363"/>
    </x:row>
    <x:row r="183">
      <x:c r="A183" s="355"/>
      <x:c r="B183" s="356"/>
      <x:c r="C183" s="357"/>
      <x:c r="D183" s="357"/>
      <x:c r="E183" s="358"/>
      <x:c r="F183" s="358"/>
      <x:c r="G183" s="358"/>
      <x:c r="H183" s="358"/>
      <x:c r="I183" s="359"/>
      <x:c r="J183" s="360" t="str">
        <x:f>IF(E183="","",MAX(0,F183+G183+H183-I183))</x:f>
      </x:c>
      <x:c r="K183" s="361"/>
      <x:c r="L183" s="362"/>
      <x:c r="M183" s="357"/>
      <x:c r="N183" s="357"/>
      <x:c r="O183" s="363"/>
    </x:row>
    <x:row r="184">
      <x:c r="A184" s="355"/>
      <x:c r="B184" s="356"/>
      <x:c r="C184" s="357"/>
      <x:c r="D184" s="357"/>
      <x:c r="E184" s="358"/>
      <x:c r="F184" s="358"/>
      <x:c r="G184" s="358"/>
      <x:c r="H184" s="358"/>
      <x:c r="I184" s="359"/>
      <x:c r="J184" s="360" t="str">
        <x:f>IF(E184="","",MAX(0,F184+G184+H184-I184))</x:f>
      </x:c>
      <x:c r="K184" s="361"/>
      <x:c r="L184" s="362"/>
      <x:c r="M184" s="357"/>
      <x:c r="N184" s="357"/>
      <x:c r="O184" s="363"/>
    </x:row>
    <x:row r="185">
      <x:c r="A185" s="355"/>
      <x:c r="B185" s="356"/>
      <x:c r="C185" s="357"/>
      <x:c r="D185" s="357"/>
      <x:c r="E185" s="358"/>
      <x:c r="F185" s="358"/>
      <x:c r="G185" s="358"/>
      <x:c r="H185" s="358"/>
      <x:c r="I185" s="359"/>
      <x:c r="J185" s="360" t="str">
        <x:f>IF(E185="","",MAX(0,F185+G185+H185-I185))</x:f>
      </x:c>
      <x:c r="K185" s="361"/>
      <x:c r="L185" s="362"/>
      <x:c r="M185" s="357"/>
      <x:c r="N185" s="357"/>
      <x:c r="O185" s="363"/>
    </x:row>
    <x:row r="186">
      <x:c r="A186" s="355"/>
      <x:c r="B186" s="356"/>
      <x:c r="C186" s="357"/>
      <x:c r="D186" s="357"/>
      <x:c r="E186" s="358"/>
      <x:c r="F186" s="358"/>
      <x:c r="G186" s="358"/>
      <x:c r="H186" s="358"/>
      <x:c r="I186" s="359"/>
      <x:c r="J186" s="360" t="str">
        <x:f>IF(E186="","",MAX(0,F186+G186+H186-I186))</x:f>
      </x:c>
      <x:c r="K186" s="361"/>
      <x:c r="L186" s="362"/>
      <x:c r="M186" s="357"/>
      <x:c r="N186" s="357"/>
      <x:c r="O186" s="363"/>
    </x:row>
    <x:row r="187">
      <x:c r="A187" s="355"/>
      <x:c r="B187" s="356"/>
      <x:c r="C187" s="357"/>
      <x:c r="D187" s="357"/>
      <x:c r="E187" s="358"/>
      <x:c r="F187" s="358"/>
      <x:c r="G187" s="358"/>
      <x:c r="H187" s="358"/>
      <x:c r="I187" s="359"/>
      <x:c r="J187" s="360" t="str">
        <x:f>IF(E187="","",MAX(0,F187+G187+H187-I187))</x:f>
      </x:c>
      <x:c r="K187" s="361"/>
      <x:c r="L187" s="362"/>
      <x:c r="M187" s="357"/>
      <x:c r="N187" s="357"/>
      <x:c r="O187" s="363"/>
    </x:row>
    <x:row r="188">
      <x:c r="A188" s="355"/>
      <x:c r="B188" s="356"/>
      <x:c r="C188" s="357"/>
      <x:c r="D188" s="357"/>
      <x:c r="E188" s="358"/>
      <x:c r="F188" s="358"/>
      <x:c r="G188" s="358"/>
      <x:c r="H188" s="358"/>
      <x:c r="I188" s="359"/>
      <x:c r="J188" s="360" t="str">
        <x:f>IF(E188="","",MAX(0,F188+G188+H188-I188))</x:f>
      </x:c>
      <x:c r="K188" s="361"/>
      <x:c r="L188" s="362"/>
      <x:c r="M188" s="357"/>
      <x:c r="N188" s="357"/>
      <x:c r="O188" s="363"/>
    </x:row>
    <x:row r="189">
      <x:c r="A189" s="355"/>
      <x:c r="B189" s="356"/>
      <x:c r="C189" s="357"/>
      <x:c r="D189" s="357"/>
      <x:c r="E189" s="358"/>
      <x:c r="F189" s="358"/>
      <x:c r="G189" s="358"/>
      <x:c r="H189" s="358"/>
      <x:c r="I189" s="359"/>
      <x:c r="J189" s="360" t="str">
        <x:f>IF(E189="","",MAX(0,F189+G189+H189-I189))</x:f>
      </x:c>
      <x:c r="K189" s="361"/>
      <x:c r="L189" s="362"/>
      <x:c r="M189" s="357"/>
      <x:c r="N189" s="357"/>
      <x:c r="O189" s="363"/>
    </x:row>
    <x:row r="190">
      <x:c r="A190" s="355"/>
      <x:c r="B190" s="356"/>
      <x:c r="C190" s="357"/>
      <x:c r="D190" s="357"/>
      <x:c r="E190" s="358"/>
      <x:c r="F190" s="358"/>
      <x:c r="G190" s="358"/>
      <x:c r="H190" s="358"/>
      <x:c r="I190" s="359"/>
      <x:c r="J190" s="360" t="str">
        <x:f>IF(E190="","",MAX(0,F190+G190+H190-I190))</x:f>
      </x:c>
      <x:c r="K190" s="361"/>
      <x:c r="L190" s="362"/>
      <x:c r="M190" s="357"/>
      <x:c r="N190" s="357"/>
      <x:c r="O190" s="363"/>
    </x:row>
    <x:row r="191">
      <x:c r="A191" s="355"/>
      <x:c r="B191" s="356"/>
      <x:c r="C191" s="357"/>
      <x:c r="D191" s="357"/>
      <x:c r="E191" s="358"/>
      <x:c r="F191" s="358"/>
      <x:c r="G191" s="358"/>
      <x:c r="H191" s="358"/>
      <x:c r="I191" s="359"/>
      <x:c r="J191" s="360" t="str">
        <x:f>IF(E191="","",MAX(0,F191+G191+H191-I191))</x:f>
      </x:c>
      <x:c r="K191" s="361"/>
      <x:c r="L191" s="362"/>
      <x:c r="M191" s="357"/>
      <x:c r="N191" s="357"/>
      <x:c r="O191" s="363"/>
    </x:row>
    <x:row r="192">
      <x:c r="A192" s="355"/>
      <x:c r="B192" s="356"/>
      <x:c r="C192" s="357"/>
      <x:c r="D192" s="357"/>
      <x:c r="E192" s="358"/>
      <x:c r="F192" s="358"/>
      <x:c r="G192" s="358"/>
      <x:c r="H192" s="358"/>
      <x:c r="I192" s="359"/>
      <x:c r="J192" s="360" t="str">
        <x:f>IF(E192="","",MAX(0,F192+G192+H192-I192))</x:f>
      </x:c>
      <x:c r="K192" s="361"/>
      <x:c r="L192" s="362"/>
      <x:c r="M192" s="357"/>
      <x:c r="N192" s="357"/>
      <x:c r="O192" s="363"/>
    </x:row>
    <x:row r="193">
      <x:c r="A193" s="355"/>
      <x:c r="B193" s="356"/>
      <x:c r="C193" s="357"/>
      <x:c r="D193" s="357"/>
      <x:c r="E193" s="358"/>
      <x:c r="F193" s="358"/>
      <x:c r="G193" s="358"/>
      <x:c r="H193" s="358"/>
      <x:c r="I193" s="359"/>
      <x:c r="J193" s="360" t="str">
        <x:f>IF(E193="","",MAX(0,F193+G193+H193-I193))</x:f>
      </x:c>
      <x:c r="K193" s="361"/>
      <x:c r="L193" s="362"/>
      <x:c r="M193" s="357"/>
      <x:c r="N193" s="357"/>
      <x:c r="O193" s="363"/>
    </x:row>
    <x:row r="194">
      <x:c r="A194" s="355"/>
      <x:c r="B194" s="356"/>
      <x:c r="C194" s="357"/>
      <x:c r="D194" s="357"/>
      <x:c r="E194" s="358"/>
      <x:c r="F194" s="358"/>
      <x:c r="G194" s="358"/>
      <x:c r="H194" s="358"/>
      <x:c r="I194" s="359"/>
      <x:c r="J194" s="360" t="str">
        <x:f>IF(E194="","",MAX(0,F194+G194+H194-I194))</x:f>
      </x:c>
      <x:c r="K194" s="361"/>
      <x:c r="L194" s="362"/>
      <x:c r="M194" s="357"/>
      <x:c r="N194" s="357"/>
      <x:c r="O194" s="363"/>
    </x:row>
    <x:row r="195">
      <x:c r="A195" s="355"/>
      <x:c r="B195" s="356"/>
      <x:c r="C195" s="357"/>
      <x:c r="D195" s="357"/>
      <x:c r="E195" s="358"/>
      <x:c r="F195" s="358"/>
      <x:c r="G195" s="358"/>
      <x:c r="H195" s="358"/>
      <x:c r="I195" s="359"/>
      <x:c r="J195" s="360" t="str">
        <x:f>IF(E195="","",MAX(0,F195+G195+H195-I195))</x:f>
      </x:c>
      <x:c r="K195" s="361"/>
      <x:c r="L195" s="362"/>
      <x:c r="M195" s="357"/>
      <x:c r="N195" s="357"/>
      <x:c r="O195" s="363"/>
    </x:row>
    <x:row r="196">
      <x:c r="A196" s="355"/>
      <x:c r="B196" s="356"/>
      <x:c r="C196" s="357"/>
      <x:c r="D196" s="357"/>
      <x:c r="E196" s="358"/>
      <x:c r="F196" s="358"/>
      <x:c r="G196" s="358"/>
      <x:c r="H196" s="358"/>
      <x:c r="I196" s="359"/>
      <x:c r="J196" s="360" t="str">
        <x:f>IF(E196="","",MAX(0,F196+G196+H196-I196))</x:f>
      </x:c>
      <x:c r="K196" s="361"/>
      <x:c r="L196" s="362"/>
      <x:c r="M196" s="357"/>
      <x:c r="N196" s="357"/>
      <x:c r="O196" s="363"/>
    </x:row>
    <x:row r="197">
      <x:c r="A197" s="355"/>
      <x:c r="B197" s="356"/>
      <x:c r="C197" s="357"/>
      <x:c r="D197" s="357"/>
      <x:c r="E197" s="358"/>
      <x:c r="F197" s="358"/>
      <x:c r="G197" s="358"/>
      <x:c r="H197" s="358"/>
      <x:c r="I197" s="359"/>
      <x:c r="J197" s="360" t="str">
        <x:f>IF(E197="","",MAX(0,F197+G197+H197-I197))</x:f>
      </x:c>
      <x:c r="K197" s="361"/>
      <x:c r="L197" s="362"/>
      <x:c r="M197" s="357"/>
      <x:c r="N197" s="357"/>
      <x:c r="O197" s="363"/>
    </x:row>
    <x:row r="198">
      <x:c r="A198" s="355"/>
      <x:c r="B198" s="356"/>
      <x:c r="C198" s="357"/>
      <x:c r="D198" s="357"/>
      <x:c r="E198" s="358"/>
      <x:c r="F198" s="358"/>
      <x:c r="G198" s="358"/>
      <x:c r="H198" s="358"/>
      <x:c r="I198" s="359"/>
      <x:c r="J198" s="360" t="str">
        <x:f>IF(E198="","",MAX(0,F198+G198+H198-I198))</x:f>
      </x:c>
      <x:c r="K198" s="361"/>
      <x:c r="L198" s="362"/>
      <x:c r="M198" s="357"/>
      <x:c r="N198" s="357"/>
      <x:c r="O198" s="363"/>
    </x:row>
    <x:row r="199">
      <x:c r="A199" s="355"/>
      <x:c r="B199" s="356"/>
      <x:c r="C199" s="357"/>
      <x:c r="D199" s="357"/>
      <x:c r="E199" s="358"/>
      <x:c r="F199" s="358"/>
      <x:c r="G199" s="358"/>
      <x:c r="H199" s="358"/>
      <x:c r="I199" s="359"/>
      <x:c r="J199" s="360" t="str">
        <x:f>IF(E199="","",MAX(0,F199+G199+H199-I199))</x:f>
      </x:c>
      <x:c r="K199" s="361"/>
      <x:c r="L199" s="362"/>
      <x:c r="M199" s="357"/>
      <x:c r="N199" s="357"/>
      <x:c r="O199" s="363"/>
    </x:row>
    <x:row r="200">
      <x:c r="A200" s="355"/>
      <x:c r="B200" s="356"/>
      <x:c r="C200" s="357"/>
      <x:c r="D200" s="357"/>
      <x:c r="E200" s="358"/>
      <x:c r="F200" s="358"/>
      <x:c r="G200" s="358"/>
      <x:c r="H200" s="358"/>
      <x:c r="I200" s="359"/>
      <x:c r="J200" s="360" t="str">
        <x:f>IF(E200="","",MAX(0,F200+G200+H200-I200))</x:f>
      </x:c>
      <x:c r="K200" s="361"/>
      <x:c r="L200" s="362"/>
      <x:c r="M200" s="357"/>
      <x:c r="N200" s="357"/>
      <x:c r="O200" s="363"/>
    </x:row>
    <x:row r="201">
      <x:c r="A201" s="355"/>
      <x:c r="B201" s="356"/>
      <x:c r="C201" s="357"/>
      <x:c r="D201" s="357"/>
      <x:c r="E201" s="358"/>
      <x:c r="F201" s="358"/>
      <x:c r="G201" s="358"/>
      <x:c r="H201" s="358"/>
      <x:c r="I201" s="359"/>
      <x:c r="J201" s="360" t="str">
        <x:f>IF(E201="","",MAX(0,F201+G201+H201-I201))</x:f>
      </x:c>
      <x:c r="K201" s="361"/>
      <x:c r="L201" s="362"/>
      <x:c r="M201" s="357"/>
      <x:c r="N201" s="357"/>
      <x:c r="O201" s="363"/>
    </x:row>
    <x:row r="202">
      <x:c r="A202" s="355"/>
      <x:c r="B202" s="356"/>
      <x:c r="C202" s="357"/>
      <x:c r="D202" s="357"/>
      <x:c r="E202" s="358"/>
      <x:c r="F202" s="358"/>
      <x:c r="G202" s="358"/>
      <x:c r="H202" s="358"/>
      <x:c r="I202" s="359"/>
      <x:c r="J202" s="360" t="str">
        <x:f>IF(E202="","",MAX(0,F202+G202+H202-I202))</x:f>
      </x:c>
      <x:c r="K202" s="361"/>
      <x:c r="L202" s="362"/>
      <x:c r="M202" s="357"/>
      <x:c r="N202" s="357"/>
      <x:c r="O202" s="363"/>
    </x:row>
    <x:row r="203">
      <x:c r="A203" s="355"/>
      <x:c r="B203" s="356"/>
      <x:c r="C203" s="357"/>
      <x:c r="D203" s="357"/>
      <x:c r="E203" s="358"/>
      <x:c r="F203" s="358"/>
      <x:c r="G203" s="358"/>
      <x:c r="H203" s="358"/>
      <x:c r="I203" s="359"/>
      <x:c r="J203" s="360" t="str">
        <x:f>IF(E203="","",MAX(0,F203+G203+H203-I203))</x:f>
      </x:c>
      <x:c r="K203" s="361"/>
      <x:c r="L203" s="362"/>
      <x:c r="M203" s="357"/>
      <x:c r="N203" s="357"/>
      <x:c r="O203" s="363"/>
    </x:row>
    <x:row r="204">
      <x:c r="A204" s="355"/>
      <x:c r="B204" s="356"/>
      <x:c r="C204" s="357"/>
      <x:c r="D204" s="357"/>
      <x:c r="E204" s="358"/>
      <x:c r="F204" s="358"/>
      <x:c r="G204" s="358"/>
      <x:c r="H204" s="358"/>
      <x:c r="I204" s="359"/>
      <x:c r="J204" s="360" t="str">
        <x:f>IF(E204="","",MAX(0,F204+G204+H204-I204))</x:f>
      </x:c>
      <x:c r="K204" s="361"/>
      <x:c r="L204" s="362"/>
      <x:c r="M204" s="357"/>
      <x:c r="N204" s="357"/>
      <x:c r="O204" s="363"/>
    </x:row>
    <x:row r="205">
      <x:c r="A205" s="355"/>
      <x:c r="B205" s="356"/>
      <x:c r="C205" s="357"/>
      <x:c r="D205" s="357"/>
      <x:c r="E205" s="358"/>
      <x:c r="F205" s="358"/>
      <x:c r="G205" s="358"/>
      <x:c r="H205" s="358"/>
      <x:c r="I205" s="359"/>
      <x:c r="J205" s="360" t="str">
        <x:f>IF(E205="","",MAX(0,F205+G205+H205-I205))</x:f>
      </x:c>
      <x:c r="K205" s="361"/>
      <x:c r="L205" s="362"/>
      <x:c r="M205" s="357"/>
      <x:c r="N205" s="357"/>
      <x:c r="O205" s="363"/>
    </x:row>
    <x:row r="206">
      <x:c r="A206" s="364"/>
      <x:c r="B206" s="365"/>
      <x:c r="C206" s="366"/>
      <x:c r="D206" s="366"/>
      <x:c r="E206" s="367"/>
      <x:c r="F206" s="367"/>
      <x:c r="G206" s="367"/>
      <x:c r="H206" s="367"/>
      <x:c r="I206" s="368"/>
      <x:c r="J206" s="369" t="str">
        <x:f>IF(E206="","",MAX(0,F206+G206+H206-I206))</x:f>
      </x:c>
      <x:c r="K206" s="370"/>
      <x:c r="L206" s="371"/>
      <x:c r="M206" s="366"/>
      <x:c r="N206" s="366"/>
      <x:c r="O206" s="372"/>
    </x:row>
  </x:sheetData>
  <x:mergeCells>
    <x:mergeCell ref="A1:O1"/>
    <x:mergeCell ref="A3:O4"/>
  </x:mergeCells>
  <x:dataValidations count="2">
    <x:dataValidation type="list" sqref="C7:C206">
      <x:formula1>'Station Register'!$A$7:$A$36</x:formula1>
    </x:dataValidation>
    <x:dataValidation type="list" sqref="D7:D206">
      <x:formula1>'Task Library'!$A$7:$A$45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6" hidden="0" customWidth="1"/>
    <x:col min="13" max="13" width="44" hidden="0" customWidth="1"/>
  </x:cols>
  <x:sheetData>
    <x:row r="1" ht="26" customHeight="1">
      <x:c r="A1" s="316" t="str">
        <x:v>Weather Calibration Summary by Task</x:v>
      </x:c>
      <x:c r="B1" s="268" t="str">
        <x:v>Weather Calibration Summary by Task</x:v>
      </x:c>
      <x:c r="C1" s="268" t="str">
        <x:v>Weather Calibration Summary by Task</x:v>
      </x:c>
      <x:c r="D1" s="268" t="str">
        <x:v>Weather Calibration Summary by Task</x:v>
      </x:c>
      <x:c r="E1" s="268" t="str">
        <x:v>Weather Calibration Summary by Task</x:v>
      </x:c>
      <x:c r="F1" s="268" t="str">
        <x:v>Weather Calibration Summary by Task</x:v>
      </x:c>
      <x:c r="G1" s="268" t="str">
        <x:v>Weather Calibration Summary by Task</x:v>
      </x:c>
      <x:c r="H1" s="268" t="str">
        <x:v>Weather Calibration Summary by Task</x:v>
      </x:c>
      <x:c r="I1" s="268" t="str">
        <x:v>Weather Calibration Summary by Task</x:v>
      </x:c>
      <x:c r="J1" s="268" t="str">
        <x:v>Weather Calibration Summary by Task</x:v>
      </x:c>
      <x:c r="K1" s="268" t="str">
        <x:v>Weather Calibration Summary by Task</x:v>
      </x:c>
      <x:c r="L1" s="268" t="str">
        <x:v>Weather Calibration Summary by Task</x:v>
      </x:c>
      <x:c r="M1" s="268" t="str">
        <x:v>Weather Calibration Summary by Task</x:v>
      </x:c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  <x:c r="K2" s="269"/>
      <x:c r="L2" s="269"/>
      <x:c r="M2" s="269"/>
    </x:row>
    <x:row r="3">
      <x:c r="A3" s="339" t="str">
        <x:v>Observed records improve the company defaults, but record count alone does not make a factor GREEN. Review project comparability, causes, recovery, crew composition and independent evidence before approving a library change.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</x:row>
    <x:row r="4">
      <x:c r="A4" s="339"/>
      <x:c r="B4" s="339"/>
      <x:c r="C4" s="339"/>
      <x:c r="D4" s="339"/>
      <x:c r="E4" s="339"/>
      <x:c r="F4" s="339"/>
      <x:c r="G4" s="339"/>
      <x:c r="H4" s="339"/>
      <x:c r="I4" s="339"/>
      <x:c r="J4" s="339"/>
      <x:c r="K4" s="339"/>
      <x:c r="L4" s="339"/>
      <x:c r="M4" s="339"/>
    </x:row>
    <x:row r="5">
      <x:c r="A5" s="269"/>
      <x:c r="B5" s="269"/>
      <x:c r="C5" s="269"/>
      <x:c r="D5" s="269"/>
      <x:c r="E5" s="269"/>
      <x:c r="F5" s="269"/>
      <x:c r="G5" s="269"/>
      <x:c r="H5" s="269"/>
      <x:c r="I5" s="269"/>
      <x:c r="J5" s="269"/>
      <x:c r="K5" s="269"/>
      <x:c r="L5" s="269"/>
      <x:c r="M5" s="269"/>
    </x:row>
    <x:row r="6">
      <x:c r="A6" s="320" t="str">
        <x:v>Task</x:v>
      </x:c>
      <x:c r="B6" s="320" t="str">
        <x:v>Category</x:v>
      </x:c>
      <x:c r="C6" s="320" t="str">
        <x:v>Records</x:v>
      </x:c>
      <x:c r="D6" s="320" t="str">
        <x:v>Planned Hours</x:v>
      </x:c>
      <x:c r="E6" s="320" t="str">
        <x:v>Rain Lost Hours</x:v>
      </x:c>
      <x:c r="F6" s="320" t="str">
        <x:v>Wet-Ground Lost Hours</x:v>
      </x:c>
      <x:c r="G6" s="320" t="str">
        <x:v>Wind Lost Hours</x:v>
      </x:c>
      <x:c r="H6" s="320" t="str">
        <x:v>Recovered Hours</x:v>
      </x:c>
      <x:c r="I6" s="320" t="str">
        <x:v>Net Lost Hours</x:v>
      </x:c>
      <x:c r="J6" s="320" t="str">
        <x:v>Observed Net Loss %</x:v>
      </x:c>
      <x:c r="K6" s="320" t="str">
        <x:v>Programme Delay Hours</x:v>
      </x:c>
      <x:c r="L6" s="320" t="str">
        <x:v>Calibration Status</x:v>
      </x:c>
      <x:c r="M6" s="320" t="str">
        <x:v>Action</x:v>
      </x:c>
    </x:row>
    <x:row r="7">
      <x:c r="A7" s="340" t="str">
        <x:v>Site establishment / temp fencing</x:v>
      </x:c>
      <x:c r="B7" s="340" t="str">
        <x:v>Civil</x:v>
      </x:c>
      <x:c r="C7" s="341" t="n">
        <x:f>COUNTIF('Weather Log'!$D$7:$D$206,A7)</x:f>
        <x:v>0</x:v>
      </x:c>
      <x:c r="D7" s="341" t="n">
        <x:f>SUMIF('Weather Log'!$D$7:$D$206,A7,'Weather Log'!$E$7:$E$206)</x:f>
        <x:v>0</x:v>
      </x:c>
      <x:c r="E7" s="341" t="n">
        <x:f>SUMIF('Weather Log'!$D$7:$D$206,A7,'Weather Log'!$F$7:$F$206)</x:f>
        <x:v>0</x:v>
      </x:c>
      <x:c r="F7" s="341" t="n">
        <x:f>SUMIF('Weather Log'!$D$7:$D$206,A7,'Weather Log'!$G$7:$G$206)</x:f>
        <x:v>0</x:v>
      </x:c>
      <x:c r="G7" s="341" t="n">
        <x:f>SUMIF('Weather Log'!$D$7:$D$206,A7,'Weather Log'!$H$7:$H$206)</x:f>
        <x:v>0</x:v>
      </x:c>
      <x:c r="H7" s="341" t="n">
        <x:f>SUMIF('Weather Log'!$D$7:$D$206,A7,'Weather Log'!$I$7:$I$206)</x:f>
        <x:v>0</x:v>
      </x:c>
      <x:c r="I7" s="341" t="n">
        <x:f>SUMIF('Weather Log'!$D$7:$D$206,A7,'Weather Log'!$J$7:$J$206)</x:f>
        <x:v>0</x:v>
      </x:c>
      <x:c r="J7" s="342" t="n">
        <x:f>IFERROR(I7/D7,0)</x:f>
        <x:v>0</x:v>
      </x:c>
      <x:c r="K7" s="341" t="n">
        <x:f>SUMIF('Weather Log'!$D$7:$D$206,A7,'Weather Log'!$K$7:$K$206)</x:f>
        <x:v>0</x:v>
      </x:c>
      <x:c r="L7" s="338" t="str">
        <x:f>IF(C7=0,"UNCALIBRATED",IF(C7&lt;5,"PARTIAL - fewer than 5 records",IF(C7&lt;10,"AMBER - 5 to 9 records","REVIEW FOR GREEN - 10+ records")))</x:f>
        <x:v>UNCALIBRATED</x:v>
      </x:c>
      <x:c r="M7" s="340" t="str">
        <x:f>IF(C7=0,"Collect actual project records",IF(C7&lt;10,"Continue collecting and review outliers","Estimator/PM review plus independent benchmark required"))</x:f>
        <x:v>Collect actual project records</x:v>
      </x:c>
    </x:row>
    <x:row r="8">
      <x:c r="A8" s="340" t="str">
        <x:v>Erosion &amp; sediment controls</x:v>
      </x:c>
      <x:c r="B8" s="340" t="str">
        <x:v>Civil</x:v>
      </x:c>
      <x:c r="C8" s="341" t="n">
        <x:f>COUNTIF('Weather Log'!$D$7:$D$206,A8)</x:f>
        <x:v>0</x:v>
      </x:c>
      <x:c r="D8" s="341" t="n">
        <x:f>SUMIF('Weather Log'!$D$7:$D$206,A8,'Weather Log'!$E$7:$E$206)</x:f>
        <x:v>0</x:v>
      </x:c>
      <x:c r="E8" s="341" t="n">
        <x:f>SUMIF('Weather Log'!$D$7:$D$206,A8,'Weather Log'!$F$7:$F$206)</x:f>
        <x:v>0</x:v>
      </x:c>
      <x:c r="F8" s="341" t="n">
        <x:f>SUMIF('Weather Log'!$D$7:$D$206,A8,'Weather Log'!$G$7:$G$206)</x:f>
        <x:v>0</x:v>
      </x:c>
      <x:c r="G8" s="341" t="n">
        <x:f>SUMIF('Weather Log'!$D$7:$D$206,A8,'Weather Log'!$H$7:$H$206)</x:f>
        <x:v>0</x:v>
      </x:c>
      <x:c r="H8" s="341" t="n">
        <x:f>SUMIF('Weather Log'!$D$7:$D$206,A8,'Weather Log'!$I$7:$I$206)</x:f>
        <x:v>0</x:v>
      </x:c>
      <x:c r="I8" s="341" t="n">
        <x:f>SUMIF('Weather Log'!$D$7:$D$206,A8,'Weather Log'!$J$7:$J$206)</x:f>
        <x:v>0</x:v>
      </x:c>
      <x:c r="J8" s="342" t="n">
        <x:f>IFERROR(I8/D8,0)</x:f>
        <x:v>0</x:v>
      </x:c>
      <x:c r="K8" s="341" t="n">
        <x:f>SUMIF('Weather Log'!$D$7:$D$206,A8,'Weather Log'!$K$7:$K$206)</x:f>
        <x:v>0</x:v>
      </x:c>
      <x:c r="L8" s="338" t="str">
        <x:f>IF(C8=0,"UNCALIBRATED",IF(C8&lt;5,"PARTIAL - fewer than 5 records",IF(C8&lt;10,"AMBER - 5 to 9 records","REVIEW FOR GREEN - 10+ records")))</x:f>
        <x:v>UNCALIBRATED</x:v>
      </x:c>
      <x:c r="M8" s="340" t="str">
        <x:f>IF(C8=0,"Collect actual project records",IF(C8&lt;10,"Continue collecting and review outliers","Estimator/PM review plus independent benchmark required"))</x:f>
        <x:v>Collect actual project records</x:v>
      </x:c>
    </x:row>
    <x:row r="9">
      <x:c r="A9" s="340" t="str">
        <x:v>Bulk earthworks</x:v>
      </x:c>
      <x:c r="B9" s="340" t="str">
        <x:v>Civil</x:v>
      </x:c>
      <x:c r="C9" s="341" t="n">
        <x:f>COUNTIF('Weather Log'!$D$7:$D$206,A9)</x:f>
        <x:v>0</x:v>
      </x:c>
      <x:c r="D9" s="341" t="n">
        <x:f>SUMIF('Weather Log'!$D$7:$D$206,A9,'Weather Log'!$E$7:$E$206)</x:f>
        <x:v>0</x:v>
      </x:c>
      <x:c r="E9" s="341" t="n">
        <x:f>SUMIF('Weather Log'!$D$7:$D$206,A9,'Weather Log'!$F$7:$F$206)</x:f>
        <x:v>0</x:v>
      </x:c>
      <x:c r="F9" s="341" t="n">
        <x:f>SUMIF('Weather Log'!$D$7:$D$206,A9,'Weather Log'!$G$7:$G$206)</x:f>
        <x:v>0</x:v>
      </x:c>
      <x:c r="G9" s="341" t="n">
        <x:f>SUMIF('Weather Log'!$D$7:$D$206,A9,'Weather Log'!$H$7:$H$206)</x:f>
        <x:v>0</x:v>
      </x:c>
      <x:c r="H9" s="341" t="n">
        <x:f>SUMIF('Weather Log'!$D$7:$D$206,A9,'Weather Log'!$I$7:$I$206)</x:f>
        <x:v>0</x:v>
      </x:c>
      <x:c r="I9" s="341" t="n">
        <x:f>SUMIF('Weather Log'!$D$7:$D$206,A9,'Weather Log'!$J$7:$J$206)</x:f>
        <x:v>0</x:v>
      </x:c>
      <x:c r="J9" s="342" t="n">
        <x:f>IFERROR(I9/D9,0)</x:f>
        <x:v>0</x:v>
      </x:c>
      <x:c r="K9" s="341" t="n">
        <x:f>SUMIF('Weather Log'!$D$7:$D$206,A9,'Weather Log'!$K$7:$K$206)</x:f>
        <x:v>0</x:v>
      </x:c>
      <x:c r="L9" s="338" t="str">
        <x:f>IF(C9=0,"UNCALIBRATED",IF(C9&lt;5,"PARTIAL - fewer than 5 records",IF(C9&lt;10,"AMBER - 5 to 9 records","REVIEW FOR GREEN - 10+ records")))</x:f>
        <x:v>UNCALIBRATED</x:v>
      </x:c>
      <x:c r="M9" s="340" t="str">
        <x:f>IF(C9=0,"Collect actual project records",IF(C9&lt;10,"Continue collecting and review outliers","Estimator/PM review plus independent benchmark required"))</x:f>
        <x:v>Collect actual project records</x:v>
      </x:c>
    </x:row>
    <x:row r="10">
      <x:c r="A10" s="340" t="str">
        <x:v>Detailed earthworks / trim subgrade</x:v>
      </x:c>
      <x:c r="B10" s="340" t="str">
        <x:v>Civil</x:v>
      </x:c>
      <x:c r="C10" s="341" t="n">
        <x:f>COUNTIF('Weather Log'!$D$7:$D$206,A10)</x:f>
        <x:v>0</x:v>
      </x:c>
      <x:c r="D10" s="341" t="n">
        <x:f>SUMIF('Weather Log'!$D$7:$D$206,A10,'Weather Log'!$E$7:$E$206)</x:f>
        <x:v>0</x:v>
      </x:c>
      <x:c r="E10" s="341" t="n">
        <x:f>SUMIF('Weather Log'!$D$7:$D$206,A10,'Weather Log'!$F$7:$F$206)</x:f>
        <x:v>0</x:v>
      </x:c>
      <x:c r="F10" s="341" t="n">
        <x:f>SUMIF('Weather Log'!$D$7:$D$206,A10,'Weather Log'!$G$7:$G$206)</x:f>
        <x:v>0</x:v>
      </x:c>
      <x:c r="G10" s="341" t="n">
        <x:f>SUMIF('Weather Log'!$D$7:$D$206,A10,'Weather Log'!$H$7:$H$206)</x:f>
        <x:v>0</x:v>
      </x:c>
      <x:c r="H10" s="341" t="n">
        <x:f>SUMIF('Weather Log'!$D$7:$D$206,A10,'Weather Log'!$I$7:$I$206)</x:f>
        <x:v>0</x:v>
      </x:c>
      <x:c r="I10" s="341" t="n">
        <x:f>SUMIF('Weather Log'!$D$7:$D$206,A10,'Weather Log'!$J$7:$J$206)</x:f>
        <x:v>0</x:v>
      </x:c>
      <x:c r="J10" s="342" t="n">
        <x:f>IFERROR(I10/D10,0)</x:f>
        <x:v>0</x:v>
      </x:c>
      <x:c r="K10" s="341" t="n">
        <x:f>SUMIF('Weather Log'!$D$7:$D$206,A10,'Weather Log'!$K$7:$K$206)</x:f>
        <x:v>0</x:v>
      </x:c>
      <x:c r="L10" s="338" t="str">
        <x:f>IF(C10=0,"UNCALIBRATED",IF(C10&lt;5,"PARTIAL - fewer than 5 records",IF(C10&lt;10,"AMBER - 5 to 9 records","REVIEW FOR GREEN - 10+ records")))</x:f>
        <x:v>UNCALIBRATED</x:v>
      </x:c>
      <x:c r="M10" s="340" t="str">
        <x:f>IF(C10=0,"Collect actual project records",IF(C10&lt;10,"Continue collecting and review outliers","Estimator/PM review plus independent benchmark required"))</x:f>
        <x:v>Collect actual project records</x:v>
      </x:c>
    </x:row>
    <x:row r="11">
      <x:c r="A11" s="340" t="str">
        <x:v>Cut to fill / cartage</x:v>
      </x:c>
      <x:c r="B11" s="340" t="str">
        <x:v>Civil</x:v>
      </x:c>
      <x:c r="C11" s="341" t="n">
        <x:f>COUNTIF('Weather Log'!$D$7:$D$206,A11)</x:f>
        <x:v>0</x:v>
      </x:c>
      <x:c r="D11" s="341" t="n">
        <x:f>SUMIF('Weather Log'!$D$7:$D$206,A11,'Weather Log'!$E$7:$E$206)</x:f>
        <x:v>0</x:v>
      </x:c>
      <x:c r="E11" s="341" t="n">
        <x:f>SUMIF('Weather Log'!$D$7:$D$206,A11,'Weather Log'!$F$7:$F$206)</x:f>
        <x:v>0</x:v>
      </x:c>
      <x:c r="F11" s="341" t="n">
        <x:f>SUMIF('Weather Log'!$D$7:$D$206,A11,'Weather Log'!$G$7:$G$206)</x:f>
        <x:v>0</x:v>
      </x:c>
      <x:c r="G11" s="341" t="n">
        <x:f>SUMIF('Weather Log'!$D$7:$D$206,A11,'Weather Log'!$H$7:$H$206)</x:f>
        <x:v>0</x:v>
      </x:c>
      <x:c r="H11" s="341" t="n">
        <x:f>SUMIF('Weather Log'!$D$7:$D$206,A11,'Weather Log'!$I$7:$I$206)</x:f>
        <x:v>0</x:v>
      </x:c>
      <x:c r="I11" s="341" t="n">
        <x:f>SUMIF('Weather Log'!$D$7:$D$206,A11,'Weather Log'!$J$7:$J$206)</x:f>
        <x:v>0</x:v>
      </x:c>
      <x:c r="J11" s="342" t="n">
        <x:f>IFERROR(I11/D11,0)</x:f>
        <x:v>0</x:v>
      </x:c>
      <x:c r="K11" s="341" t="n">
        <x:f>SUMIF('Weather Log'!$D$7:$D$206,A11,'Weather Log'!$K$7:$K$206)</x:f>
        <x:v>0</x:v>
      </x:c>
      <x:c r="L11" s="338" t="str">
        <x:f>IF(C11=0,"UNCALIBRATED",IF(C11&lt;5,"PARTIAL - fewer than 5 records",IF(C11&lt;10,"AMBER - 5 to 9 records","REVIEW FOR GREEN - 10+ records")))</x:f>
        <x:v>UNCALIBRATED</x:v>
      </x:c>
      <x:c r="M11" s="340" t="str">
        <x:f>IF(C11=0,"Collect actual project records",IF(C11&lt;10,"Continue collecting and review outliers","Estimator/PM review plus independent benchmark required"))</x:f>
        <x:v>Collect actual project records</x:v>
      </x:c>
    </x:row>
    <x:row r="12">
      <x:c r="A12" s="340" t="str">
        <x:v>Building platform / pad prep</x:v>
      </x:c>
      <x:c r="B12" s="340" t="str">
        <x:v>Civil</x:v>
      </x:c>
      <x:c r="C12" s="341" t="n">
        <x:f>COUNTIF('Weather Log'!$D$7:$D$206,A12)</x:f>
        <x:v>0</x:v>
      </x:c>
      <x:c r="D12" s="341" t="n">
        <x:f>SUMIF('Weather Log'!$D$7:$D$206,A12,'Weather Log'!$E$7:$E$206)</x:f>
        <x:v>0</x:v>
      </x:c>
      <x:c r="E12" s="341" t="n">
        <x:f>SUMIF('Weather Log'!$D$7:$D$206,A12,'Weather Log'!$F$7:$F$206)</x:f>
        <x:v>0</x:v>
      </x:c>
      <x:c r="F12" s="341" t="n">
        <x:f>SUMIF('Weather Log'!$D$7:$D$206,A12,'Weather Log'!$G$7:$G$206)</x:f>
        <x:v>0</x:v>
      </x:c>
      <x:c r="G12" s="341" t="n">
        <x:f>SUMIF('Weather Log'!$D$7:$D$206,A12,'Weather Log'!$H$7:$H$206)</x:f>
        <x:v>0</x:v>
      </x:c>
      <x:c r="H12" s="341" t="n">
        <x:f>SUMIF('Weather Log'!$D$7:$D$206,A12,'Weather Log'!$I$7:$I$206)</x:f>
        <x:v>0</x:v>
      </x:c>
      <x:c r="I12" s="341" t="n">
        <x:f>SUMIF('Weather Log'!$D$7:$D$206,A12,'Weather Log'!$J$7:$J$206)</x:f>
        <x:v>0</x:v>
      </x:c>
      <x:c r="J12" s="342" t="n">
        <x:f>IFERROR(I12/D12,0)</x:f>
        <x:v>0</x:v>
      </x:c>
      <x:c r="K12" s="341" t="n">
        <x:f>SUMIF('Weather Log'!$D$7:$D$206,A12,'Weather Log'!$K$7:$K$206)</x:f>
        <x:v>0</x:v>
      </x:c>
      <x:c r="L12" s="338" t="str">
        <x:f>IF(C12=0,"UNCALIBRATED",IF(C12&lt;5,"PARTIAL - fewer than 5 records",IF(C12&lt;10,"AMBER - 5 to 9 records","REVIEW FOR GREEN - 10+ records")))</x:f>
        <x:v>UNCALIBRATED</x:v>
      </x:c>
      <x:c r="M12" s="340" t="str">
        <x:f>IF(C12=0,"Collect actual project records",IF(C12&lt;10,"Continue collecting and review outliers","Estimator/PM review plus independent benchmark required"))</x:f>
        <x:v>Collect actual project records</x:v>
      </x:c>
    </x:row>
    <x:row r="13">
      <x:c r="A13" s="340" t="str">
        <x:v>Drainage trenching</x:v>
      </x:c>
      <x:c r="B13" s="340" t="str">
        <x:v>Civil</x:v>
      </x:c>
      <x:c r="C13" s="341" t="n">
        <x:f>COUNTIF('Weather Log'!$D$7:$D$206,A13)</x:f>
        <x:v>0</x:v>
      </x:c>
      <x:c r="D13" s="341" t="n">
        <x:f>SUMIF('Weather Log'!$D$7:$D$206,A13,'Weather Log'!$E$7:$E$206)</x:f>
        <x:v>0</x:v>
      </x:c>
      <x:c r="E13" s="341" t="n">
        <x:f>SUMIF('Weather Log'!$D$7:$D$206,A13,'Weather Log'!$F$7:$F$206)</x:f>
        <x:v>0</x:v>
      </x:c>
      <x:c r="F13" s="341" t="n">
        <x:f>SUMIF('Weather Log'!$D$7:$D$206,A13,'Weather Log'!$G$7:$G$206)</x:f>
        <x:v>0</x:v>
      </x:c>
      <x:c r="G13" s="341" t="n">
        <x:f>SUMIF('Weather Log'!$D$7:$D$206,A13,'Weather Log'!$H$7:$H$206)</x:f>
        <x:v>0</x:v>
      </x:c>
      <x:c r="H13" s="341" t="n">
        <x:f>SUMIF('Weather Log'!$D$7:$D$206,A13,'Weather Log'!$I$7:$I$206)</x:f>
        <x:v>0</x:v>
      </x:c>
      <x:c r="I13" s="341" t="n">
        <x:f>SUMIF('Weather Log'!$D$7:$D$206,A13,'Weather Log'!$J$7:$J$206)</x:f>
        <x:v>0</x:v>
      </x:c>
      <x:c r="J13" s="342" t="n">
        <x:f>IFERROR(I13/D13,0)</x:f>
        <x:v>0</x:v>
      </x:c>
      <x:c r="K13" s="341" t="n">
        <x:f>SUMIF('Weather Log'!$D$7:$D$206,A13,'Weather Log'!$K$7:$K$206)</x:f>
        <x:v>0</x:v>
      </x:c>
      <x:c r="L13" s="338" t="str">
        <x:f>IF(C13=0,"UNCALIBRATED",IF(C13&lt;5,"PARTIAL - fewer than 5 records",IF(C13&lt;10,"AMBER - 5 to 9 records","REVIEW FOR GREEN - 10+ records")))</x:f>
        <x:v>UNCALIBRATED</x:v>
      </x:c>
      <x:c r="M13" s="340" t="str">
        <x:f>IF(C13=0,"Collect actual project records",IF(C13&lt;10,"Continue collecting and review outliers","Estimator/PM review plus independent benchmark required"))</x:f>
        <x:v>Collect actual project records</x:v>
      </x:c>
    </x:row>
    <x:row r="14">
      <x:c r="A14" s="340" t="str">
        <x:v>Manholes / chambers</x:v>
      </x:c>
      <x:c r="B14" s="340" t="str">
        <x:v>Civil</x:v>
      </x:c>
      <x:c r="C14" s="341" t="n">
        <x:f>COUNTIF('Weather Log'!$D$7:$D$206,A14)</x:f>
        <x:v>0</x:v>
      </x:c>
      <x:c r="D14" s="341" t="n">
        <x:f>SUMIF('Weather Log'!$D$7:$D$206,A14,'Weather Log'!$E$7:$E$206)</x:f>
        <x:v>0</x:v>
      </x:c>
      <x:c r="E14" s="341" t="n">
        <x:f>SUMIF('Weather Log'!$D$7:$D$206,A14,'Weather Log'!$F$7:$F$206)</x:f>
        <x:v>0</x:v>
      </x:c>
      <x:c r="F14" s="341" t="n">
        <x:f>SUMIF('Weather Log'!$D$7:$D$206,A14,'Weather Log'!$G$7:$G$206)</x:f>
        <x:v>0</x:v>
      </x:c>
      <x:c r="G14" s="341" t="n">
        <x:f>SUMIF('Weather Log'!$D$7:$D$206,A14,'Weather Log'!$H$7:$H$206)</x:f>
        <x:v>0</x:v>
      </x:c>
      <x:c r="H14" s="341" t="n">
        <x:f>SUMIF('Weather Log'!$D$7:$D$206,A14,'Weather Log'!$I$7:$I$206)</x:f>
        <x:v>0</x:v>
      </x:c>
      <x:c r="I14" s="341" t="n">
        <x:f>SUMIF('Weather Log'!$D$7:$D$206,A14,'Weather Log'!$J$7:$J$206)</x:f>
        <x:v>0</x:v>
      </x:c>
      <x:c r="J14" s="342" t="n">
        <x:f>IFERROR(I14/D14,0)</x:f>
        <x:v>0</x:v>
      </x:c>
      <x:c r="K14" s="341" t="n">
        <x:f>SUMIF('Weather Log'!$D$7:$D$206,A14,'Weather Log'!$K$7:$K$206)</x:f>
        <x:v>0</x:v>
      </x:c>
      <x:c r="L14" s="338" t="str">
        <x:f>IF(C14=0,"UNCALIBRATED",IF(C14&lt;5,"PARTIAL - fewer than 5 records",IF(C14&lt;10,"AMBER - 5 to 9 records","REVIEW FOR GREEN - 10+ records")))</x:f>
        <x:v>UNCALIBRATED</x:v>
      </x:c>
      <x:c r="M14" s="340" t="str">
        <x:f>IF(C14=0,"Collect actual project records",IF(C14&lt;10,"Continue collecting and review outliers","Estimator/PM review plus independent benchmark required"))</x:f>
        <x:v>Collect actual project records</x:v>
      </x:c>
    </x:row>
    <x:row r="15">
      <x:c r="A15" s="340" t="str">
        <x:v>Service trenches / ducting</x:v>
      </x:c>
      <x:c r="B15" s="340" t="str">
        <x:v>Civil</x:v>
      </x:c>
      <x:c r="C15" s="341" t="n">
        <x:f>COUNTIF('Weather Log'!$D$7:$D$206,A15)</x:f>
        <x:v>0</x:v>
      </x:c>
      <x:c r="D15" s="341" t="n">
        <x:f>SUMIF('Weather Log'!$D$7:$D$206,A15,'Weather Log'!$E$7:$E$206)</x:f>
        <x:v>0</x:v>
      </x:c>
      <x:c r="E15" s="341" t="n">
        <x:f>SUMIF('Weather Log'!$D$7:$D$206,A15,'Weather Log'!$F$7:$F$206)</x:f>
        <x:v>0</x:v>
      </x:c>
      <x:c r="F15" s="341" t="n">
        <x:f>SUMIF('Weather Log'!$D$7:$D$206,A15,'Weather Log'!$G$7:$G$206)</x:f>
        <x:v>0</x:v>
      </x:c>
      <x:c r="G15" s="341" t="n">
        <x:f>SUMIF('Weather Log'!$D$7:$D$206,A15,'Weather Log'!$H$7:$H$206)</x:f>
        <x:v>0</x:v>
      </x:c>
      <x:c r="H15" s="341" t="n">
        <x:f>SUMIF('Weather Log'!$D$7:$D$206,A15,'Weather Log'!$I$7:$I$206)</x:f>
        <x:v>0</x:v>
      </x:c>
      <x:c r="I15" s="341" t="n">
        <x:f>SUMIF('Weather Log'!$D$7:$D$206,A15,'Weather Log'!$J$7:$J$206)</x:f>
        <x:v>0</x:v>
      </x:c>
      <x:c r="J15" s="342" t="n">
        <x:f>IFERROR(I15/D15,0)</x:f>
        <x:v>0</x:v>
      </x:c>
      <x:c r="K15" s="341" t="n">
        <x:f>SUMIF('Weather Log'!$D$7:$D$206,A15,'Weather Log'!$K$7:$K$206)</x:f>
        <x:v>0</x:v>
      </x:c>
      <x:c r="L15" s="338" t="str">
        <x:f>IF(C15=0,"UNCALIBRATED",IF(C15&lt;5,"PARTIAL - fewer than 5 records",IF(C15&lt;10,"AMBER - 5 to 9 records","REVIEW FOR GREEN - 10+ records")))</x:f>
        <x:v>UNCALIBRATED</x:v>
      </x:c>
      <x:c r="M15" s="340" t="str">
        <x:f>IF(C15=0,"Collect actual project records",IF(C15&lt;10,"Continue collecting and review outliers","Estimator/PM review plus independent benchmark required"))</x:f>
        <x:v>Collect actual project records</x:v>
      </x:c>
    </x:row>
    <x:row r="16">
      <x:c r="A16" s="340" t="str">
        <x:v>Bored piles / drilled holes</x:v>
      </x:c>
      <x:c r="B16" s="340" t="str">
        <x:v>Civil</x:v>
      </x:c>
      <x:c r="C16" s="341" t="n">
        <x:f>COUNTIF('Weather Log'!$D$7:$D$206,A16)</x:f>
        <x:v>0</x:v>
      </x:c>
      <x:c r="D16" s="341" t="n">
        <x:f>SUMIF('Weather Log'!$D$7:$D$206,A16,'Weather Log'!$E$7:$E$206)</x:f>
        <x:v>0</x:v>
      </x:c>
      <x:c r="E16" s="341" t="n">
        <x:f>SUMIF('Weather Log'!$D$7:$D$206,A16,'Weather Log'!$F$7:$F$206)</x:f>
        <x:v>0</x:v>
      </x:c>
      <x:c r="F16" s="341" t="n">
        <x:f>SUMIF('Weather Log'!$D$7:$D$206,A16,'Weather Log'!$G$7:$G$206)</x:f>
        <x:v>0</x:v>
      </x:c>
      <x:c r="G16" s="341" t="n">
        <x:f>SUMIF('Weather Log'!$D$7:$D$206,A16,'Weather Log'!$H$7:$H$206)</x:f>
        <x:v>0</x:v>
      </x:c>
      <x:c r="H16" s="341" t="n">
        <x:f>SUMIF('Weather Log'!$D$7:$D$206,A16,'Weather Log'!$I$7:$I$206)</x:f>
        <x:v>0</x:v>
      </x:c>
      <x:c r="I16" s="341" t="n">
        <x:f>SUMIF('Weather Log'!$D$7:$D$206,A16,'Weather Log'!$J$7:$J$206)</x:f>
        <x:v>0</x:v>
      </x:c>
      <x:c r="J16" s="342" t="n">
        <x:f>IFERROR(I16/D16,0)</x:f>
        <x:v>0</x:v>
      </x:c>
      <x:c r="K16" s="341" t="n">
        <x:f>SUMIF('Weather Log'!$D$7:$D$206,A16,'Weather Log'!$K$7:$K$206)</x:f>
        <x:v>0</x:v>
      </x:c>
      <x:c r="L16" s="338" t="str">
        <x:f>IF(C16=0,"UNCALIBRATED",IF(C16&lt;5,"PARTIAL - fewer than 5 records",IF(C16&lt;10,"AMBER - 5 to 9 records","REVIEW FOR GREEN - 10+ records")))</x:f>
        <x:v>UNCALIBRATED</x:v>
      </x:c>
      <x:c r="M16" s="340" t="str">
        <x:f>IF(C16=0,"Collect actual project records",IF(C16&lt;10,"Continue collecting and review outliers","Estimator/PM review plus independent benchmark required"))</x:f>
        <x:v>Collect actual project records</x:v>
      </x:c>
    </x:row>
    <x:row r="17">
      <x:c r="A17" s="340" t="str">
        <x:v>Driven poles / posts</x:v>
      </x:c>
      <x:c r="B17" s="340" t="str">
        <x:v>Civil</x:v>
      </x:c>
      <x:c r="C17" s="341" t="n">
        <x:f>COUNTIF('Weather Log'!$D$7:$D$206,A17)</x:f>
        <x:v>0</x:v>
      </x:c>
      <x:c r="D17" s="341" t="n">
        <x:f>SUMIF('Weather Log'!$D$7:$D$206,A17,'Weather Log'!$E$7:$E$206)</x:f>
        <x:v>0</x:v>
      </x:c>
      <x:c r="E17" s="341" t="n">
        <x:f>SUMIF('Weather Log'!$D$7:$D$206,A17,'Weather Log'!$F$7:$F$206)</x:f>
        <x:v>0</x:v>
      </x:c>
      <x:c r="F17" s="341" t="n">
        <x:f>SUMIF('Weather Log'!$D$7:$D$206,A17,'Weather Log'!$G$7:$G$206)</x:f>
        <x:v>0</x:v>
      </x:c>
      <x:c r="G17" s="341" t="n">
        <x:f>SUMIF('Weather Log'!$D$7:$D$206,A17,'Weather Log'!$H$7:$H$206)</x:f>
        <x:v>0</x:v>
      </x:c>
      <x:c r="H17" s="341" t="n">
        <x:f>SUMIF('Weather Log'!$D$7:$D$206,A17,'Weather Log'!$I$7:$I$206)</x:f>
        <x:v>0</x:v>
      </x:c>
      <x:c r="I17" s="341" t="n">
        <x:f>SUMIF('Weather Log'!$D$7:$D$206,A17,'Weather Log'!$J$7:$J$206)</x:f>
        <x:v>0</x:v>
      </x:c>
      <x:c r="J17" s="342" t="n">
        <x:f>IFERROR(I17/D17,0)</x:f>
        <x:v>0</x:v>
      </x:c>
      <x:c r="K17" s="341" t="n">
        <x:f>SUMIF('Weather Log'!$D$7:$D$206,A17,'Weather Log'!$K$7:$K$206)</x:f>
        <x:v>0</x:v>
      </x:c>
      <x:c r="L17" s="338" t="str">
        <x:f>IF(C17=0,"UNCALIBRATED",IF(C17&lt;5,"PARTIAL - fewer than 5 records",IF(C17&lt;10,"AMBER - 5 to 9 records","REVIEW FOR GREEN - 10+ records")))</x:f>
        <x:v>UNCALIBRATED</x:v>
      </x:c>
      <x:c r="M17" s="340" t="str">
        <x:f>IF(C17=0,"Collect actual project records",IF(C17&lt;10,"Continue collecting and review outliers","Estimator/PM review plus independent benchmark required"))</x:f>
        <x:v>Collect actual project records</x:v>
      </x:c>
    </x:row>
    <x:row r="18">
      <x:c r="A18" s="340" t="str">
        <x:v>Retaining wall excavation</x:v>
      </x:c>
      <x:c r="B18" s="340" t="str">
        <x:v>Civil</x:v>
      </x:c>
      <x:c r="C18" s="341" t="n">
        <x:f>COUNTIF('Weather Log'!$D$7:$D$206,A18)</x:f>
        <x:v>0</x:v>
      </x:c>
      <x:c r="D18" s="341" t="n">
        <x:f>SUMIF('Weather Log'!$D$7:$D$206,A18,'Weather Log'!$E$7:$E$206)</x:f>
        <x:v>0</x:v>
      </x:c>
      <x:c r="E18" s="341" t="n">
        <x:f>SUMIF('Weather Log'!$D$7:$D$206,A18,'Weather Log'!$F$7:$F$206)</x:f>
        <x:v>0</x:v>
      </x:c>
      <x:c r="F18" s="341" t="n">
        <x:f>SUMIF('Weather Log'!$D$7:$D$206,A18,'Weather Log'!$G$7:$G$206)</x:f>
        <x:v>0</x:v>
      </x:c>
      <x:c r="G18" s="341" t="n">
        <x:f>SUMIF('Weather Log'!$D$7:$D$206,A18,'Weather Log'!$H$7:$H$206)</x:f>
        <x:v>0</x:v>
      </x:c>
      <x:c r="H18" s="341" t="n">
        <x:f>SUMIF('Weather Log'!$D$7:$D$206,A18,'Weather Log'!$I$7:$I$206)</x:f>
        <x:v>0</x:v>
      </x:c>
      <x:c r="I18" s="341" t="n">
        <x:f>SUMIF('Weather Log'!$D$7:$D$206,A18,'Weather Log'!$J$7:$J$206)</x:f>
        <x:v>0</x:v>
      </x:c>
      <x:c r="J18" s="342" t="n">
        <x:f>IFERROR(I18/D18,0)</x:f>
        <x:v>0</x:v>
      </x:c>
      <x:c r="K18" s="341" t="n">
        <x:f>SUMIF('Weather Log'!$D$7:$D$206,A18,'Weather Log'!$K$7:$K$206)</x:f>
        <x:v>0</x:v>
      </x:c>
      <x:c r="L18" s="338" t="str">
        <x:f>IF(C18=0,"UNCALIBRATED",IF(C18&lt;5,"PARTIAL - fewer than 5 records",IF(C18&lt;10,"AMBER - 5 to 9 records","REVIEW FOR GREEN - 10+ records")))</x:f>
        <x:v>UNCALIBRATED</x:v>
      </x:c>
      <x:c r="M18" s="340" t="str">
        <x:f>IF(C18=0,"Collect actual project records",IF(C18&lt;10,"Continue collecting and review outliers","Estimator/PM review plus independent benchmark required"))</x:f>
        <x:v>Collect actual project records</x:v>
      </x:c>
    </x:row>
    <x:row r="19">
      <x:c r="A19" s="340" t="str">
        <x:v>Retaining wall installation</x:v>
      </x:c>
      <x:c r="B19" s="340" t="str">
        <x:v>Civil</x:v>
      </x:c>
      <x:c r="C19" s="341" t="n">
        <x:f>COUNTIF('Weather Log'!$D$7:$D$206,A19)</x:f>
        <x:v>0</x:v>
      </x:c>
      <x:c r="D19" s="341" t="n">
        <x:f>SUMIF('Weather Log'!$D$7:$D$206,A19,'Weather Log'!$E$7:$E$206)</x:f>
        <x:v>0</x:v>
      </x:c>
      <x:c r="E19" s="341" t="n">
        <x:f>SUMIF('Weather Log'!$D$7:$D$206,A19,'Weather Log'!$F$7:$F$206)</x:f>
        <x:v>0</x:v>
      </x:c>
      <x:c r="F19" s="341" t="n">
        <x:f>SUMIF('Weather Log'!$D$7:$D$206,A19,'Weather Log'!$G$7:$G$206)</x:f>
        <x:v>0</x:v>
      </x:c>
      <x:c r="G19" s="341" t="n">
        <x:f>SUMIF('Weather Log'!$D$7:$D$206,A19,'Weather Log'!$H$7:$H$206)</x:f>
        <x:v>0</x:v>
      </x:c>
      <x:c r="H19" s="341" t="n">
        <x:f>SUMIF('Weather Log'!$D$7:$D$206,A19,'Weather Log'!$I$7:$I$206)</x:f>
        <x:v>0</x:v>
      </x:c>
      <x:c r="I19" s="341" t="n">
        <x:f>SUMIF('Weather Log'!$D$7:$D$206,A19,'Weather Log'!$J$7:$J$206)</x:f>
        <x:v>0</x:v>
      </x:c>
      <x:c r="J19" s="342" t="n">
        <x:f>IFERROR(I19/D19,0)</x:f>
        <x:v>0</x:v>
      </x:c>
      <x:c r="K19" s="341" t="n">
        <x:f>SUMIF('Weather Log'!$D$7:$D$206,A19,'Weather Log'!$K$7:$K$206)</x:f>
        <x:v>0</x:v>
      </x:c>
      <x:c r="L19" s="338" t="str">
        <x:f>IF(C19=0,"UNCALIBRATED",IF(C19&lt;5,"PARTIAL - fewer than 5 records",IF(C19&lt;10,"AMBER - 5 to 9 records","REVIEW FOR GREEN - 10+ records")))</x:f>
        <x:v>UNCALIBRATED</x:v>
      </x:c>
      <x:c r="M19" s="340" t="str">
        <x:f>IF(C19=0,"Collect actual project records",IF(C19&lt;10,"Continue collecting and review outliers","Estimator/PM review plus independent benchmark required"))</x:f>
        <x:v>Collect actual project records</x:v>
      </x:c>
    </x:row>
    <x:row r="20">
      <x:c r="A20" s="340" t="str">
        <x:v>External concrete placing</x:v>
      </x:c>
      <x:c r="B20" s="340" t="str">
        <x:v>Civil</x:v>
      </x:c>
      <x:c r="C20" s="341" t="n">
        <x:f>COUNTIF('Weather Log'!$D$7:$D$206,A20)</x:f>
        <x:v>0</x:v>
      </x:c>
      <x:c r="D20" s="341" t="n">
        <x:f>SUMIF('Weather Log'!$D$7:$D$206,A20,'Weather Log'!$E$7:$E$206)</x:f>
        <x:v>0</x:v>
      </x:c>
      <x:c r="E20" s="341" t="n">
        <x:f>SUMIF('Weather Log'!$D$7:$D$206,A20,'Weather Log'!$F$7:$F$206)</x:f>
        <x:v>0</x:v>
      </x:c>
      <x:c r="F20" s="341" t="n">
        <x:f>SUMIF('Weather Log'!$D$7:$D$206,A20,'Weather Log'!$G$7:$G$206)</x:f>
        <x:v>0</x:v>
      </x:c>
      <x:c r="G20" s="341" t="n">
        <x:f>SUMIF('Weather Log'!$D$7:$D$206,A20,'Weather Log'!$H$7:$H$206)</x:f>
        <x:v>0</x:v>
      </x:c>
      <x:c r="H20" s="341" t="n">
        <x:f>SUMIF('Weather Log'!$D$7:$D$206,A20,'Weather Log'!$I$7:$I$206)</x:f>
        <x:v>0</x:v>
      </x:c>
      <x:c r="I20" s="341" t="n">
        <x:f>SUMIF('Weather Log'!$D$7:$D$206,A20,'Weather Log'!$J$7:$J$206)</x:f>
        <x:v>0</x:v>
      </x:c>
      <x:c r="J20" s="342" t="n">
        <x:f>IFERROR(I20/D20,0)</x:f>
        <x:v>0</x:v>
      </x:c>
      <x:c r="K20" s="341" t="n">
        <x:f>SUMIF('Weather Log'!$D$7:$D$206,A20,'Weather Log'!$K$7:$K$206)</x:f>
        <x:v>0</x:v>
      </x:c>
      <x:c r="L20" s="338" t="str">
        <x:f>IF(C20=0,"UNCALIBRATED",IF(C20&lt;5,"PARTIAL - fewer than 5 records",IF(C20&lt;10,"AMBER - 5 to 9 records","REVIEW FOR GREEN - 10+ records")))</x:f>
        <x:v>UNCALIBRATED</x:v>
      </x:c>
      <x:c r="M20" s="340" t="str">
        <x:f>IF(C20=0,"Collect actual project records",IF(C20&lt;10,"Continue collecting and review outliers","Estimator/PM review plus independent benchmark required"))</x:f>
        <x:v>Collect actual project records</x:v>
      </x:c>
    </x:row>
    <x:row r="21">
      <x:c r="A21" s="340" t="str">
        <x:v>External concrete finishing</x:v>
      </x:c>
      <x:c r="B21" s="340" t="str">
        <x:v>Civil</x:v>
      </x:c>
      <x:c r="C21" s="341" t="n">
        <x:f>COUNTIF('Weather Log'!$D$7:$D$206,A21)</x:f>
        <x:v>0</x:v>
      </x:c>
      <x:c r="D21" s="341" t="n">
        <x:f>SUMIF('Weather Log'!$D$7:$D$206,A21,'Weather Log'!$E$7:$E$206)</x:f>
        <x:v>0</x:v>
      </x:c>
      <x:c r="E21" s="341" t="n">
        <x:f>SUMIF('Weather Log'!$D$7:$D$206,A21,'Weather Log'!$F$7:$F$206)</x:f>
        <x:v>0</x:v>
      </x:c>
      <x:c r="F21" s="341" t="n">
        <x:f>SUMIF('Weather Log'!$D$7:$D$206,A21,'Weather Log'!$G$7:$G$206)</x:f>
        <x:v>0</x:v>
      </x:c>
      <x:c r="G21" s="341" t="n">
        <x:f>SUMIF('Weather Log'!$D$7:$D$206,A21,'Weather Log'!$H$7:$H$206)</x:f>
        <x:v>0</x:v>
      </x:c>
      <x:c r="H21" s="341" t="n">
        <x:f>SUMIF('Weather Log'!$D$7:$D$206,A21,'Weather Log'!$I$7:$I$206)</x:f>
        <x:v>0</x:v>
      </x:c>
      <x:c r="I21" s="341" t="n">
        <x:f>SUMIF('Weather Log'!$D$7:$D$206,A21,'Weather Log'!$J$7:$J$206)</x:f>
        <x:v>0</x:v>
      </x:c>
      <x:c r="J21" s="342" t="n">
        <x:f>IFERROR(I21/D21,0)</x:f>
        <x:v>0</x:v>
      </x:c>
      <x:c r="K21" s="341" t="n">
        <x:f>SUMIF('Weather Log'!$D$7:$D$206,A21,'Weather Log'!$K$7:$K$206)</x:f>
        <x:v>0</x:v>
      </x:c>
      <x:c r="L21" s="338" t="str">
        <x:f>IF(C21=0,"UNCALIBRATED",IF(C21&lt;5,"PARTIAL - fewer than 5 records",IF(C21&lt;10,"AMBER - 5 to 9 records","REVIEW FOR GREEN - 10+ records")))</x:f>
        <x:v>UNCALIBRATED</x:v>
      </x:c>
      <x:c r="M21" s="340" t="str">
        <x:f>IF(C21=0,"Collect actual project records",IF(C21&lt;10,"Continue collecting and review outliers","Estimator/PM review plus independent benchmark required"))</x:f>
        <x:v>Collect actual project records</x:v>
      </x:c>
    </x:row>
    <x:row r="22">
      <x:c r="A22" s="340" t="str">
        <x:v>Kerb &amp; channel</x:v>
      </x:c>
      <x:c r="B22" s="340" t="str">
        <x:v>Civil</x:v>
      </x:c>
      <x:c r="C22" s="341" t="n">
        <x:f>COUNTIF('Weather Log'!$D$7:$D$206,A22)</x:f>
        <x:v>0</x:v>
      </x:c>
      <x:c r="D22" s="341" t="n">
        <x:f>SUMIF('Weather Log'!$D$7:$D$206,A22,'Weather Log'!$E$7:$E$206)</x:f>
        <x:v>0</x:v>
      </x:c>
      <x:c r="E22" s="341" t="n">
        <x:f>SUMIF('Weather Log'!$D$7:$D$206,A22,'Weather Log'!$F$7:$F$206)</x:f>
        <x:v>0</x:v>
      </x:c>
      <x:c r="F22" s="341" t="n">
        <x:f>SUMIF('Weather Log'!$D$7:$D$206,A22,'Weather Log'!$G$7:$G$206)</x:f>
        <x:v>0</x:v>
      </x:c>
      <x:c r="G22" s="341" t="n">
        <x:f>SUMIF('Weather Log'!$D$7:$D$206,A22,'Weather Log'!$H$7:$H$206)</x:f>
        <x:v>0</x:v>
      </x:c>
      <x:c r="H22" s="341" t="n">
        <x:f>SUMIF('Weather Log'!$D$7:$D$206,A22,'Weather Log'!$I$7:$I$206)</x:f>
        <x:v>0</x:v>
      </x:c>
      <x:c r="I22" s="341" t="n">
        <x:f>SUMIF('Weather Log'!$D$7:$D$206,A22,'Weather Log'!$J$7:$J$206)</x:f>
        <x:v>0</x:v>
      </x:c>
      <x:c r="J22" s="342" t="n">
        <x:f>IFERROR(I22/D22,0)</x:f>
        <x:v>0</x:v>
      </x:c>
      <x:c r="K22" s="341" t="n">
        <x:f>SUMIF('Weather Log'!$D$7:$D$206,A22,'Weather Log'!$K$7:$K$206)</x:f>
        <x:v>0</x:v>
      </x:c>
      <x:c r="L22" s="338" t="str">
        <x:f>IF(C22=0,"UNCALIBRATED",IF(C22&lt;5,"PARTIAL - fewer than 5 records",IF(C22&lt;10,"AMBER - 5 to 9 records","REVIEW FOR GREEN - 10+ records")))</x:f>
        <x:v>UNCALIBRATED</x:v>
      </x:c>
      <x:c r="M22" s="340" t="str">
        <x:f>IF(C22=0,"Collect actual project records",IF(C22&lt;10,"Continue collecting and review outliers","Estimator/PM review plus independent benchmark required"))</x:f>
        <x:v>Collect actual project records</x:v>
      </x:c>
    </x:row>
    <x:row r="23">
      <x:c r="A23" s="340" t="str">
        <x:v>Subbase / pavement prep</x:v>
      </x:c>
      <x:c r="B23" s="340" t="str">
        <x:v>Civil</x:v>
      </x:c>
      <x:c r="C23" s="341" t="n">
        <x:f>COUNTIF('Weather Log'!$D$7:$D$206,A23)</x:f>
        <x:v>0</x:v>
      </x:c>
      <x:c r="D23" s="341" t="n">
        <x:f>SUMIF('Weather Log'!$D$7:$D$206,A23,'Weather Log'!$E$7:$E$206)</x:f>
        <x:v>0</x:v>
      </x:c>
      <x:c r="E23" s="341" t="n">
        <x:f>SUMIF('Weather Log'!$D$7:$D$206,A23,'Weather Log'!$F$7:$F$206)</x:f>
        <x:v>0</x:v>
      </x:c>
      <x:c r="F23" s="341" t="n">
        <x:f>SUMIF('Weather Log'!$D$7:$D$206,A23,'Weather Log'!$G$7:$G$206)</x:f>
        <x:v>0</x:v>
      </x:c>
      <x:c r="G23" s="341" t="n">
        <x:f>SUMIF('Weather Log'!$D$7:$D$206,A23,'Weather Log'!$H$7:$H$206)</x:f>
        <x:v>0</x:v>
      </x:c>
      <x:c r="H23" s="341" t="n">
        <x:f>SUMIF('Weather Log'!$D$7:$D$206,A23,'Weather Log'!$I$7:$I$206)</x:f>
        <x:v>0</x:v>
      </x:c>
      <x:c r="I23" s="341" t="n">
        <x:f>SUMIF('Weather Log'!$D$7:$D$206,A23,'Weather Log'!$J$7:$J$206)</x:f>
        <x:v>0</x:v>
      </x:c>
      <x:c r="J23" s="342" t="n">
        <x:f>IFERROR(I23/D23,0)</x:f>
        <x:v>0</x:v>
      </x:c>
      <x:c r="K23" s="341" t="n">
        <x:f>SUMIF('Weather Log'!$D$7:$D$206,A23,'Weather Log'!$K$7:$K$206)</x:f>
        <x:v>0</x:v>
      </x:c>
      <x:c r="L23" s="338" t="str">
        <x:f>IF(C23=0,"UNCALIBRATED",IF(C23&lt;5,"PARTIAL - fewer than 5 records",IF(C23&lt;10,"AMBER - 5 to 9 records","REVIEW FOR GREEN - 10+ records")))</x:f>
        <x:v>UNCALIBRATED</x:v>
      </x:c>
      <x:c r="M23" s="340" t="str">
        <x:f>IF(C23=0,"Collect actual project records",IF(C23&lt;10,"Continue collecting and review outliers","Estimator/PM review plus independent benchmark required"))</x:f>
        <x:v>Collect actual project records</x:v>
      </x:c>
    </x:row>
    <x:row r="24">
      <x:c r="A24" s="340" t="str">
        <x:v>Asphalt / sealing</x:v>
      </x:c>
      <x:c r="B24" s="340" t="str">
        <x:v>Civil</x:v>
      </x:c>
      <x:c r="C24" s="341" t="n">
        <x:f>COUNTIF('Weather Log'!$D$7:$D$206,A24)</x:f>
        <x:v>0</x:v>
      </x:c>
      <x:c r="D24" s="341" t="n">
        <x:f>SUMIF('Weather Log'!$D$7:$D$206,A24,'Weather Log'!$E$7:$E$206)</x:f>
        <x:v>0</x:v>
      </x:c>
      <x:c r="E24" s="341" t="n">
        <x:f>SUMIF('Weather Log'!$D$7:$D$206,A24,'Weather Log'!$F$7:$F$206)</x:f>
        <x:v>0</x:v>
      </x:c>
      <x:c r="F24" s="341" t="n">
        <x:f>SUMIF('Weather Log'!$D$7:$D$206,A24,'Weather Log'!$G$7:$G$206)</x:f>
        <x:v>0</x:v>
      </x:c>
      <x:c r="G24" s="341" t="n">
        <x:f>SUMIF('Weather Log'!$D$7:$D$206,A24,'Weather Log'!$H$7:$H$206)</x:f>
        <x:v>0</x:v>
      </x:c>
      <x:c r="H24" s="341" t="n">
        <x:f>SUMIF('Weather Log'!$D$7:$D$206,A24,'Weather Log'!$I$7:$I$206)</x:f>
        <x:v>0</x:v>
      </x:c>
      <x:c r="I24" s="341" t="n">
        <x:f>SUMIF('Weather Log'!$D$7:$D$206,A24,'Weather Log'!$J$7:$J$206)</x:f>
        <x:v>0</x:v>
      </x:c>
      <x:c r="J24" s="342" t="n">
        <x:f>IFERROR(I24/D24,0)</x:f>
        <x:v>0</x:v>
      </x:c>
      <x:c r="K24" s="341" t="n">
        <x:f>SUMIF('Weather Log'!$D$7:$D$206,A24,'Weather Log'!$K$7:$K$206)</x:f>
        <x:v>0</x:v>
      </x:c>
      <x:c r="L24" s="338" t="str">
        <x:f>IF(C24=0,"UNCALIBRATED",IF(C24&lt;5,"PARTIAL - fewer than 5 records",IF(C24&lt;10,"AMBER - 5 to 9 records","REVIEW FOR GREEN - 10+ records")))</x:f>
        <x:v>UNCALIBRATED</x:v>
      </x:c>
      <x:c r="M24" s="340" t="str">
        <x:f>IF(C24=0,"Collect actual project records",IF(C24&lt;10,"Continue collecting and review outliers","Estimator/PM review plus independent benchmark required"))</x:f>
        <x:v>Collect actual project records</x:v>
      </x:c>
    </x:row>
    <x:row r="25">
      <x:c r="A25" s="340" t="str">
        <x:v>Landscaping / topsoil / grassing</x:v>
      </x:c>
      <x:c r="B25" s="340" t="str">
        <x:v>Civil</x:v>
      </x:c>
      <x:c r="C25" s="341" t="n">
        <x:f>COUNTIF('Weather Log'!$D$7:$D$206,A25)</x:f>
        <x:v>0</x:v>
      </x:c>
      <x:c r="D25" s="341" t="n">
        <x:f>SUMIF('Weather Log'!$D$7:$D$206,A25,'Weather Log'!$E$7:$E$206)</x:f>
        <x:v>0</x:v>
      </x:c>
      <x:c r="E25" s="341" t="n">
        <x:f>SUMIF('Weather Log'!$D$7:$D$206,A25,'Weather Log'!$F$7:$F$206)</x:f>
        <x:v>0</x:v>
      </x:c>
      <x:c r="F25" s="341" t="n">
        <x:f>SUMIF('Weather Log'!$D$7:$D$206,A25,'Weather Log'!$G$7:$G$206)</x:f>
        <x:v>0</x:v>
      </x:c>
      <x:c r="G25" s="341" t="n">
        <x:f>SUMIF('Weather Log'!$D$7:$D$206,A25,'Weather Log'!$H$7:$H$206)</x:f>
        <x:v>0</x:v>
      </x:c>
      <x:c r="H25" s="341" t="n">
        <x:f>SUMIF('Weather Log'!$D$7:$D$206,A25,'Weather Log'!$I$7:$I$206)</x:f>
        <x:v>0</x:v>
      </x:c>
      <x:c r="I25" s="341" t="n">
        <x:f>SUMIF('Weather Log'!$D$7:$D$206,A25,'Weather Log'!$J$7:$J$206)</x:f>
        <x:v>0</x:v>
      </x:c>
      <x:c r="J25" s="342" t="n">
        <x:f>IFERROR(I25/D25,0)</x:f>
        <x:v>0</x:v>
      </x:c>
      <x:c r="K25" s="341" t="n">
        <x:f>SUMIF('Weather Log'!$D$7:$D$206,A25,'Weather Log'!$K$7:$K$206)</x:f>
        <x:v>0</x:v>
      </x:c>
      <x:c r="L25" s="338" t="str">
        <x:f>IF(C25=0,"UNCALIBRATED",IF(C25&lt;5,"PARTIAL - fewer than 5 records",IF(C25&lt;10,"AMBER - 5 to 9 records","REVIEW FOR GREEN - 10+ records")))</x:f>
        <x:v>UNCALIBRATED</x:v>
      </x:c>
      <x:c r="M25" s="340" t="str">
        <x:f>IF(C25=0,"Collect actual project records",IF(C25&lt;10,"Continue collecting and review outliers","Estimator/PM review plus independent benchmark required"))</x:f>
        <x:v>Collect actual project records</x:v>
      </x:c>
    </x:row>
    <x:row r="26">
      <x:c r="A26" s="340" t="str">
        <x:v>Roof framing</x:v>
      </x:c>
      <x:c r="B26" s="340" t="str">
        <x:v>Building</x:v>
      </x:c>
      <x:c r="C26" s="341" t="n">
        <x:f>COUNTIF('Weather Log'!$D$7:$D$206,A26)</x:f>
        <x:v>0</x:v>
      </x:c>
      <x:c r="D26" s="341" t="n">
        <x:f>SUMIF('Weather Log'!$D$7:$D$206,A26,'Weather Log'!$E$7:$E$206)</x:f>
        <x:v>0</x:v>
      </x:c>
      <x:c r="E26" s="341" t="n">
        <x:f>SUMIF('Weather Log'!$D$7:$D$206,A26,'Weather Log'!$F$7:$F$206)</x:f>
        <x:v>0</x:v>
      </x:c>
      <x:c r="F26" s="341" t="n">
        <x:f>SUMIF('Weather Log'!$D$7:$D$206,A26,'Weather Log'!$G$7:$G$206)</x:f>
        <x:v>0</x:v>
      </x:c>
      <x:c r="G26" s="341" t="n">
        <x:f>SUMIF('Weather Log'!$D$7:$D$206,A26,'Weather Log'!$H$7:$H$206)</x:f>
        <x:v>0</x:v>
      </x:c>
      <x:c r="H26" s="341" t="n">
        <x:f>SUMIF('Weather Log'!$D$7:$D$206,A26,'Weather Log'!$I$7:$I$206)</x:f>
        <x:v>0</x:v>
      </x:c>
      <x:c r="I26" s="341" t="n">
        <x:f>SUMIF('Weather Log'!$D$7:$D$206,A26,'Weather Log'!$J$7:$J$206)</x:f>
        <x:v>0</x:v>
      </x:c>
      <x:c r="J26" s="342" t="n">
        <x:f>IFERROR(I26/D26,0)</x:f>
        <x:v>0</x:v>
      </x:c>
      <x:c r="K26" s="341" t="n">
        <x:f>SUMIF('Weather Log'!$D$7:$D$206,A26,'Weather Log'!$K$7:$K$206)</x:f>
        <x:v>0</x:v>
      </x:c>
      <x:c r="L26" s="338" t="str">
        <x:f>IF(C26=0,"UNCALIBRATED",IF(C26&lt;5,"PARTIAL - fewer than 5 records",IF(C26&lt;10,"AMBER - 5 to 9 records","REVIEW FOR GREEN - 10+ records")))</x:f>
        <x:v>UNCALIBRATED</x:v>
      </x:c>
      <x:c r="M26" s="340" t="str">
        <x:f>IF(C26=0,"Collect actual project records",IF(C26&lt;10,"Continue collecting and review outliers","Estimator/PM review plus independent benchmark required"))</x:f>
        <x:v>Collect actual project records</x:v>
      </x:c>
    </x:row>
    <x:row r="27">
      <x:c r="A27" s="340" t="str">
        <x:v>Roofing</x:v>
      </x:c>
      <x:c r="B27" s="340" t="str">
        <x:v>Building</x:v>
      </x:c>
      <x:c r="C27" s="341" t="n">
        <x:f>COUNTIF('Weather Log'!$D$7:$D$206,A27)</x:f>
        <x:v>0</x:v>
      </x:c>
      <x:c r="D27" s="341" t="n">
        <x:f>SUMIF('Weather Log'!$D$7:$D$206,A27,'Weather Log'!$E$7:$E$206)</x:f>
        <x:v>0</x:v>
      </x:c>
      <x:c r="E27" s="341" t="n">
        <x:f>SUMIF('Weather Log'!$D$7:$D$206,A27,'Weather Log'!$F$7:$F$206)</x:f>
        <x:v>0</x:v>
      </x:c>
      <x:c r="F27" s="341" t="n">
        <x:f>SUMIF('Weather Log'!$D$7:$D$206,A27,'Weather Log'!$G$7:$G$206)</x:f>
        <x:v>0</x:v>
      </x:c>
      <x:c r="G27" s="341" t="n">
        <x:f>SUMIF('Weather Log'!$D$7:$D$206,A27,'Weather Log'!$H$7:$H$206)</x:f>
        <x:v>0</x:v>
      </x:c>
      <x:c r="H27" s="341" t="n">
        <x:f>SUMIF('Weather Log'!$D$7:$D$206,A27,'Weather Log'!$I$7:$I$206)</x:f>
        <x:v>0</x:v>
      </x:c>
      <x:c r="I27" s="341" t="n">
        <x:f>SUMIF('Weather Log'!$D$7:$D$206,A27,'Weather Log'!$J$7:$J$206)</x:f>
        <x:v>0</x:v>
      </x:c>
      <x:c r="J27" s="342" t="n">
        <x:f>IFERROR(I27/D27,0)</x:f>
        <x:v>0</x:v>
      </x:c>
      <x:c r="K27" s="341" t="n">
        <x:f>SUMIF('Weather Log'!$D$7:$D$206,A27,'Weather Log'!$K$7:$K$206)</x:f>
        <x:v>0</x:v>
      </x:c>
      <x:c r="L27" s="338" t="str">
        <x:f>IF(C27=0,"UNCALIBRATED",IF(C27&lt;5,"PARTIAL - fewer than 5 records",IF(C27&lt;10,"AMBER - 5 to 9 records","REVIEW FOR GREEN - 10+ records")))</x:f>
        <x:v>UNCALIBRATED</x:v>
      </x:c>
      <x:c r="M27" s="340" t="str">
        <x:f>IF(C27=0,"Collect actual project records",IF(C27&lt;10,"Continue collecting and review outliers","Estimator/PM review plus independent benchmark required"))</x:f>
        <x:v>Collect actual project records</x:v>
      </x:c>
    </x:row>
    <x:row r="28">
      <x:c r="A28" s="340" t="str">
        <x:v>Wall framing (open structure)</x:v>
      </x:c>
      <x:c r="B28" s="340" t="str">
        <x:v>Building</x:v>
      </x:c>
      <x:c r="C28" s="341" t="n">
        <x:f>COUNTIF('Weather Log'!$D$7:$D$206,A28)</x:f>
        <x:v>0</x:v>
      </x:c>
      <x:c r="D28" s="341" t="n">
        <x:f>SUMIF('Weather Log'!$D$7:$D$206,A28,'Weather Log'!$E$7:$E$206)</x:f>
        <x:v>0</x:v>
      </x:c>
      <x:c r="E28" s="341" t="n">
        <x:f>SUMIF('Weather Log'!$D$7:$D$206,A28,'Weather Log'!$F$7:$F$206)</x:f>
        <x:v>0</x:v>
      </x:c>
      <x:c r="F28" s="341" t="n">
        <x:f>SUMIF('Weather Log'!$D$7:$D$206,A28,'Weather Log'!$G$7:$G$206)</x:f>
        <x:v>0</x:v>
      </x:c>
      <x:c r="G28" s="341" t="n">
        <x:f>SUMIF('Weather Log'!$D$7:$D$206,A28,'Weather Log'!$H$7:$H$206)</x:f>
        <x:v>0</x:v>
      </x:c>
      <x:c r="H28" s="341" t="n">
        <x:f>SUMIF('Weather Log'!$D$7:$D$206,A28,'Weather Log'!$I$7:$I$206)</x:f>
        <x:v>0</x:v>
      </x:c>
      <x:c r="I28" s="341" t="n">
        <x:f>SUMIF('Weather Log'!$D$7:$D$206,A28,'Weather Log'!$J$7:$J$206)</x:f>
        <x:v>0</x:v>
      </x:c>
      <x:c r="J28" s="342" t="n">
        <x:f>IFERROR(I28/D28,0)</x:f>
        <x:v>0</x:v>
      </x:c>
      <x:c r="K28" s="341" t="n">
        <x:f>SUMIF('Weather Log'!$D$7:$D$206,A28,'Weather Log'!$K$7:$K$206)</x:f>
        <x:v>0</x:v>
      </x:c>
      <x:c r="L28" s="338" t="str">
        <x:f>IF(C28=0,"UNCALIBRATED",IF(C28&lt;5,"PARTIAL - fewer than 5 records",IF(C28&lt;10,"AMBER - 5 to 9 records","REVIEW FOR GREEN - 10+ records")))</x:f>
        <x:v>UNCALIBRATED</x:v>
      </x:c>
      <x:c r="M28" s="340" t="str">
        <x:f>IF(C28=0,"Collect actual project records",IF(C28&lt;10,"Continue collecting and review outliers","Estimator/PM review plus independent benchmark required"))</x:f>
        <x:v>Collect actual project records</x:v>
      </x:c>
    </x:row>
    <x:row r="29">
      <x:c r="A29" s="340" t="str">
        <x:v>Cladding</x:v>
      </x:c>
      <x:c r="B29" s="340" t="str">
        <x:v>Building</x:v>
      </x:c>
      <x:c r="C29" s="341" t="n">
        <x:f>COUNTIF('Weather Log'!$D$7:$D$206,A29)</x:f>
        <x:v>0</x:v>
      </x:c>
      <x:c r="D29" s="341" t="n">
        <x:f>SUMIF('Weather Log'!$D$7:$D$206,A29,'Weather Log'!$E$7:$E$206)</x:f>
        <x:v>0</x:v>
      </x:c>
      <x:c r="E29" s="341" t="n">
        <x:f>SUMIF('Weather Log'!$D$7:$D$206,A29,'Weather Log'!$F$7:$F$206)</x:f>
        <x:v>0</x:v>
      </x:c>
      <x:c r="F29" s="341" t="n">
        <x:f>SUMIF('Weather Log'!$D$7:$D$206,A29,'Weather Log'!$G$7:$G$206)</x:f>
        <x:v>0</x:v>
      </x:c>
      <x:c r="G29" s="341" t="n">
        <x:f>SUMIF('Weather Log'!$D$7:$D$206,A29,'Weather Log'!$H$7:$H$206)</x:f>
        <x:v>0</x:v>
      </x:c>
      <x:c r="H29" s="341" t="n">
        <x:f>SUMIF('Weather Log'!$D$7:$D$206,A29,'Weather Log'!$I$7:$I$206)</x:f>
        <x:v>0</x:v>
      </x:c>
      <x:c r="I29" s="341" t="n">
        <x:f>SUMIF('Weather Log'!$D$7:$D$206,A29,'Weather Log'!$J$7:$J$206)</x:f>
        <x:v>0</x:v>
      </x:c>
      <x:c r="J29" s="342" t="n">
        <x:f>IFERROR(I29/D29,0)</x:f>
        <x:v>0</x:v>
      </x:c>
      <x:c r="K29" s="341" t="n">
        <x:f>SUMIF('Weather Log'!$D$7:$D$206,A29,'Weather Log'!$K$7:$K$206)</x:f>
        <x:v>0</x:v>
      </x:c>
      <x:c r="L29" s="338" t="str">
        <x:f>IF(C29=0,"UNCALIBRATED",IF(C29&lt;5,"PARTIAL - fewer than 5 records",IF(C29&lt;10,"AMBER - 5 to 9 records","REVIEW FOR GREEN - 10+ records")))</x:f>
        <x:v>UNCALIBRATED</x:v>
      </x:c>
      <x:c r="M29" s="340" t="str">
        <x:f>IF(C29=0,"Collect actual project records",IF(C29&lt;10,"Continue collecting and review outliers","Estimator/PM review plus independent benchmark required"))</x:f>
        <x:v>Collect actual project records</x:v>
      </x:c>
    </x:row>
    <x:row r="30">
      <x:c r="A30" s="340" t="str">
        <x:v>Exterior windows / joinery</x:v>
      </x:c>
      <x:c r="B30" s="340" t="str">
        <x:v>Building</x:v>
      </x:c>
      <x:c r="C30" s="341" t="n">
        <x:f>COUNTIF('Weather Log'!$D$7:$D$206,A30)</x:f>
        <x:v>0</x:v>
      </x:c>
      <x:c r="D30" s="341" t="n">
        <x:f>SUMIF('Weather Log'!$D$7:$D$206,A30,'Weather Log'!$E$7:$E$206)</x:f>
        <x:v>0</x:v>
      </x:c>
      <x:c r="E30" s="341" t="n">
        <x:f>SUMIF('Weather Log'!$D$7:$D$206,A30,'Weather Log'!$F$7:$F$206)</x:f>
        <x:v>0</x:v>
      </x:c>
      <x:c r="F30" s="341" t="n">
        <x:f>SUMIF('Weather Log'!$D$7:$D$206,A30,'Weather Log'!$G$7:$G$206)</x:f>
        <x:v>0</x:v>
      </x:c>
      <x:c r="G30" s="341" t="n">
        <x:f>SUMIF('Weather Log'!$D$7:$D$206,A30,'Weather Log'!$H$7:$H$206)</x:f>
        <x:v>0</x:v>
      </x:c>
      <x:c r="H30" s="341" t="n">
        <x:f>SUMIF('Weather Log'!$D$7:$D$206,A30,'Weather Log'!$I$7:$I$206)</x:f>
        <x:v>0</x:v>
      </x:c>
      <x:c r="I30" s="341" t="n">
        <x:f>SUMIF('Weather Log'!$D$7:$D$206,A30,'Weather Log'!$J$7:$J$206)</x:f>
        <x:v>0</x:v>
      </x:c>
      <x:c r="J30" s="342" t="n">
        <x:f>IFERROR(I30/D30,0)</x:f>
        <x:v>0</x:v>
      </x:c>
      <x:c r="K30" s="341" t="n">
        <x:f>SUMIF('Weather Log'!$D$7:$D$206,A30,'Weather Log'!$K$7:$K$206)</x:f>
        <x:v>0</x:v>
      </x:c>
      <x:c r="L30" s="338" t="str">
        <x:f>IF(C30=0,"UNCALIBRATED",IF(C30&lt;5,"PARTIAL - fewer than 5 records",IF(C30&lt;10,"AMBER - 5 to 9 records","REVIEW FOR GREEN - 10+ records")))</x:f>
        <x:v>UNCALIBRATED</x:v>
      </x:c>
      <x:c r="M30" s="340" t="str">
        <x:f>IF(C30=0,"Collect actual project records",IF(C30&lt;10,"Continue collecting and review outliers","Estimator/PM review plus independent benchmark required"))</x:f>
        <x:v>Collect actual project records</x:v>
      </x:c>
    </x:row>
    <x:row r="31">
      <x:c r="A31" s="340" t="str">
        <x:v>Deck framing</x:v>
      </x:c>
      <x:c r="B31" s="340" t="str">
        <x:v>Building</x:v>
      </x:c>
      <x:c r="C31" s="341" t="n">
        <x:f>COUNTIF('Weather Log'!$D$7:$D$206,A31)</x:f>
        <x:v>0</x:v>
      </x:c>
      <x:c r="D31" s="341" t="n">
        <x:f>SUMIF('Weather Log'!$D$7:$D$206,A31,'Weather Log'!$E$7:$E$206)</x:f>
        <x:v>0</x:v>
      </x:c>
      <x:c r="E31" s="341" t="n">
        <x:f>SUMIF('Weather Log'!$D$7:$D$206,A31,'Weather Log'!$F$7:$F$206)</x:f>
        <x:v>0</x:v>
      </x:c>
      <x:c r="F31" s="341" t="n">
        <x:f>SUMIF('Weather Log'!$D$7:$D$206,A31,'Weather Log'!$G$7:$G$206)</x:f>
        <x:v>0</x:v>
      </x:c>
      <x:c r="G31" s="341" t="n">
        <x:f>SUMIF('Weather Log'!$D$7:$D$206,A31,'Weather Log'!$H$7:$H$206)</x:f>
        <x:v>0</x:v>
      </x:c>
      <x:c r="H31" s="341" t="n">
        <x:f>SUMIF('Weather Log'!$D$7:$D$206,A31,'Weather Log'!$I$7:$I$206)</x:f>
        <x:v>0</x:v>
      </x:c>
      <x:c r="I31" s="341" t="n">
        <x:f>SUMIF('Weather Log'!$D$7:$D$206,A31,'Weather Log'!$J$7:$J$206)</x:f>
        <x:v>0</x:v>
      </x:c>
      <x:c r="J31" s="342" t="n">
        <x:f>IFERROR(I31/D31,0)</x:f>
        <x:v>0</x:v>
      </x:c>
      <x:c r="K31" s="341" t="n">
        <x:f>SUMIF('Weather Log'!$D$7:$D$206,A31,'Weather Log'!$K$7:$K$206)</x:f>
        <x:v>0</x:v>
      </x:c>
      <x:c r="L31" s="338" t="str">
        <x:f>IF(C31=0,"UNCALIBRATED",IF(C31&lt;5,"PARTIAL - fewer than 5 records",IF(C31&lt;10,"AMBER - 5 to 9 records","REVIEW FOR GREEN - 10+ records")))</x:f>
        <x:v>UNCALIBRATED</x:v>
      </x:c>
      <x:c r="M31" s="340" t="str">
        <x:f>IF(C31=0,"Collect actual project records",IF(C31&lt;10,"Continue collecting and review outliers","Estimator/PM review plus independent benchmark required"))</x:f>
        <x:v>Collect actual project records</x:v>
      </x:c>
    </x:row>
    <x:row r="32">
      <x:c r="A32" s="340" t="str">
        <x:v>Decking</x:v>
      </x:c>
      <x:c r="B32" s="340" t="str">
        <x:v>Building</x:v>
      </x:c>
      <x:c r="C32" s="341" t="n">
        <x:f>COUNTIF('Weather Log'!$D$7:$D$206,A32)</x:f>
        <x:v>0</x:v>
      </x:c>
      <x:c r="D32" s="341" t="n">
        <x:f>SUMIF('Weather Log'!$D$7:$D$206,A32,'Weather Log'!$E$7:$E$206)</x:f>
        <x:v>0</x:v>
      </x:c>
      <x:c r="E32" s="341" t="n">
        <x:f>SUMIF('Weather Log'!$D$7:$D$206,A32,'Weather Log'!$F$7:$F$206)</x:f>
        <x:v>0</x:v>
      </x:c>
      <x:c r="F32" s="341" t="n">
        <x:f>SUMIF('Weather Log'!$D$7:$D$206,A32,'Weather Log'!$G$7:$G$206)</x:f>
        <x:v>0</x:v>
      </x:c>
      <x:c r="G32" s="341" t="n">
        <x:f>SUMIF('Weather Log'!$D$7:$D$206,A32,'Weather Log'!$H$7:$H$206)</x:f>
        <x:v>0</x:v>
      </x:c>
      <x:c r="H32" s="341" t="n">
        <x:f>SUMIF('Weather Log'!$D$7:$D$206,A32,'Weather Log'!$I$7:$I$206)</x:f>
        <x:v>0</x:v>
      </x:c>
      <x:c r="I32" s="341" t="n">
        <x:f>SUMIF('Weather Log'!$D$7:$D$206,A32,'Weather Log'!$J$7:$J$206)</x:f>
        <x:v>0</x:v>
      </x:c>
      <x:c r="J32" s="342" t="n">
        <x:f>IFERROR(I32/D32,0)</x:f>
        <x:v>0</x:v>
      </x:c>
      <x:c r="K32" s="341" t="n">
        <x:f>SUMIF('Weather Log'!$D$7:$D$206,A32,'Weather Log'!$K$7:$K$206)</x:f>
        <x:v>0</x:v>
      </x:c>
      <x:c r="L32" s="338" t="str">
        <x:f>IF(C32=0,"UNCALIBRATED",IF(C32&lt;5,"PARTIAL - fewer than 5 records",IF(C32&lt;10,"AMBER - 5 to 9 records","REVIEW FOR GREEN - 10+ records")))</x:f>
        <x:v>UNCALIBRATED</x:v>
      </x:c>
      <x:c r="M32" s="340" t="str">
        <x:f>IF(C32=0,"Collect actual project records",IF(C32&lt;10,"Continue collecting and review outliers","Estimator/PM review plus independent benchmark required"))</x:f>
        <x:v>Collect actual project records</x:v>
      </x:c>
    </x:row>
    <x:row r="33">
      <x:c r="A33" s="340" t="str">
        <x:v>Scaffolding</x:v>
      </x:c>
      <x:c r="B33" s="340" t="str">
        <x:v>Building</x:v>
      </x:c>
      <x:c r="C33" s="341" t="n">
        <x:f>COUNTIF('Weather Log'!$D$7:$D$206,A33)</x:f>
        <x:v>0</x:v>
      </x:c>
      <x:c r="D33" s="341" t="n">
        <x:f>SUMIF('Weather Log'!$D$7:$D$206,A33,'Weather Log'!$E$7:$E$206)</x:f>
        <x:v>0</x:v>
      </x:c>
      <x:c r="E33" s="341" t="n">
        <x:f>SUMIF('Weather Log'!$D$7:$D$206,A33,'Weather Log'!$F$7:$F$206)</x:f>
        <x:v>0</x:v>
      </x:c>
      <x:c r="F33" s="341" t="n">
        <x:f>SUMIF('Weather Log'!$D$7:$D$206,A33,'Weather Log'!$G$7:$G$206)</x:f>
        <x:v>0</x:v>
      </x:c>
      <x:c r="G33" s="341" t="n">
        <x:f>SUMIF('Weather Log'!$D$7:$D$206,A33,'Weather Log'!$H$7:$H$206)</x:f>
        <x:v>0</x:v>
      </x:c>
      <x:c r="H33" s="341" t="n">
        <x:f>SUMIF('Weather Log'!$D$7:$D$206,A33,'Weather Log'!$I$7:$I$206)</x:f>
        <x:v>0</x:v>
      </x:c>
      <x:c r="I33" s="341" t="n">
        <x:f>SUMIF('Weather Log'!$D$7:$D$206,A33,'Weather Log'!$J$7:$J$206)</x:f>
        <x:v>0</x:v>
      </x:c>
      <x:c r="J33" s="342" t="n">
        <x:f>IFERROR(I33/D33,0)</x:f>
        <x:v>0</x:v>
      </x:c>
      <x:c r="K33" s="341" t="n">
        <x:f>SUMIF('Weather Log'!$D$7:$D$206,A33,'Weather Log'!$K$7:$K$206)</x:f>
        <x:v>0</x:v>
      </x:c>
      <x:c r="L33" s="338" t="str">
        <x:f>IF(C33=0,"UNCALIBRATED",IF(C33&lt;5,"PARTIAL - fewer than 5 records",IF(C33&lt;10,"AMBER - 5 to 9 records","REVIEW FOR GREEN - 10+ records")))</x:f>
        <x:v>UNCALIBRATED</x:v>
      </x:c>
      <x:c r="M33" s="340" t="str">
        <x:f>IF(C33=0,"Collect actual project records",IF(C33&lt;10,"Continue collecting and review outliers","Estimator/PM review plus independent benchmark required"))</x:f>
        <x:v>Collect actual project records</x:v>
      </x:c>
    </x:row>
    <x:row r="34">
      <x:c r="A34" s="340" t="str">
        <x:v>Steel erection / crane lifts</x:v>
      </x:c>
      <x:c r="B34" s="340" t="str">
        <x:v>Building</x:v>
      </x:c>
      <x:c r="C34" s="341" t="n">
        <x:f>COUNTIF('Weather Log'!$D$7:$D$206,A34)</x:f>
        <x:v>0</x:v>
      </x:c>
      <x:c r="D34" s="341" t="n">
        <x:f>SUMIF('Weather Log'!$D$7:$D$206,A34,'Weather Log'!$E$7:$E$206)</x:f>
        <x:v>0</x:v>
      </x:c>
      <x:c r="E34" s="341" t="n">
        <x:f>SUMIF('Weather Log'!$D$7:$D$206,A34,'Weather Log'!$F$7:$F$206)</x:f>
        <x:v>0</x:v>
      </x:c>
      <x:c r="F34" s="341" t="n">
        <x:f>SUMIF('Weather Log'!$D$7:$D$206,A34,'Weather Log'!$G$7:$G$206)</x:f>
        <x:v>0</x:v>
      </x:c>
      <x:c r="G34" s="341" t="n">
        <x:f>SUMIF('Weather Log'!$D$7:$D$206,A34,'Weather Log'!$H$7:$H$206)</x:f>
        <x:v>0</x:v>
      </x:c>
      <x:c r="H34" s="341" t="n">
        <x:f>SUMIF('Weather Log'!$D$7:$D$206,A34,'Weather Log'!$I$7:$I$206)</x:f>
        <x:v>0</x:v>
      </x:c>
      <x:c r="I34" s="341" t="n">
        <x:f>SUMIF('Weather Log'!$D$7:$D$206,A34,'Weather Log'!$J$7:$J$206)</x:f>
        <x:v>0</x:v>
      </x:c>
      <x:c r="J34" s="342" t="n">
        <x:f>IFERROR(I34/D34,0)</x:f>
        <x:v>0</x:v>
      </x:c>
      <x:c r="K34" s="341" t="n">
        <x:f>SUMIF('Weather Log'!$D$7:$D$206,A34,'Weather Log'!$K$7:$K$206)</x:f>
        <x:v>0</x:v>
      </x:c>
      <x:c r="L34" s="338" t="str">
        <x:f>IF(C34=0,"UNCALIBRATED",IF(C34&lt;5,"PARTIAL - fewer than 5 records",IF(C34&lt;10,"AMBER - 5 to 9 records","REVIEW FOR GREEN - 10+ records")))</x:f>
        <x:v>UNCALIBRATED</x:v>
      </x:c>
      <x:c r="M34" s="340" t="str">
        <x:f>IF(C34=0,"Collect actual project records",IF(C34&lt;10,"Continue collecting and review outliers","Estimator/PM review plus independent benchmark required"))</x:f>
        <x:v>Collect actual project records</x:v>
      </x:c>
    </x:row>
    <x:row r="35">
      <x:c r="A35" s="340" t="str">
        <x:v>External block / brick laying</x:v>
      </x:c>
      <x:c r="B35" s="340" t="str">
        <x:v>Building</x:v>
      </x:c>
      <x:c r="C35" s="341" t="n">
        <x:f>COUNTIF('Weather Log'!$D$7:$D$206,A35)</x:f>
        <x:v>0</x:v>
      </x:c>
      <x:c r="D35" s="341" t="n">
        <x:f>SUMIF('Weather Log'!$D$7:$D$206,A35,'Weather Log'!$E$7:$E$206)</x:f>
        <x:v>0</x:v>
      </x:c>
      <x:c r="E35" s="341" t="n">
        <x:f>SUMIF('Weather Log'!$D$7:$D$206,A35,'Weather Log'!$F$7:$F$206)</x:f>
        <x:v>0</x:v>
      </x:c>
      <x:c r="F35" s="341" t="n">
        <x:f>SUMIF('Weather Log'!$D$7:$D$206,A35,'Weather Log'!$G$7:$G$206)</x:f>
        <x:v>0</x:v>
      </x:c>
      <x:c r="G35" s="341" t="n">
        <x:f>SUMIF('Weather Log'!$D$7:$D$206,A35,'Weather Log'!$H$7:$H$206)</x:f>
        <x:v>0</x:v>
      </x:c>
      <x:c r="H35" s="341" t="n">
        <x:f>SUMIF('Weather Log'!$D$7:$D$206,A35,'Weather Log'!$I$7:$I$206)</x:f>
        <x:v>0</x:v>
      </x:c>
      <x:c r="I35" s="341" t="n">
        <x:f>SUMIF('Weather Log'!$D$7:$D$206,A35,'Weather Log'!$J$7:$J$206)</x:f>
        <x:v>0</x:v>
      </x:c>
      <x:c r="J35" s="342" t="n">
        <x:f>IFERROR(I35/D35,0)</x:f>
        <x:v>0</x:v>
      </x:c>
      <x:c r="K35" s="341" t="n">
        <x:f>SUMIF('Weather Log'!$D$7:$D$206,A35,'Weather Log'!$K$7:$K$206)</x:f>
        <x:v>0</x:v>
      </x:c>
      <x:c r="L35" s="338" t="str">
        <x:f>IF(C35=0,"UNCALIBRATED",IF(C35&lt;5,"PARTIAL - fewer than 5 records",IF(C35&lt;10,"AMBER - 5 to 9 records","REVIEW FOR GREEN - 10+ records")))</x:f>
        <x:v>UNCALIBRATED</x:v>
      </x:c>
      <x:c r="M35" s="340" t="str">
        <x:f>IF(C35=0,"Collect actual project records",IF(C35&lt;10,"Continue collecting and review outliers","Estimator/PM review plus independent benchmark required"))</x:f>
        <x:v>Collect actual project records</x:v>
      </x:c>
    </x:row>
    <x:row r="36">
      <x:c r="A36" s="340" t="str">
        <x:v>External painting / coatings</x:v>
      </x:c>
      <x:c r="B36" s="340" t="str">
        <x:v>Building</x:v>
      </x:c>
      <x:c r="C36" s="341" t="n">
        <x:f>COUNTIF('Weather Log'!$D$7:$D$206,A36)</x:f>
        <x:v>0</x:v>
      </x:c>
      <x:c r="D36" s="341" t="n">
        <x:f>SUMIF('Weather Log'!$D$7:$D$206,A36,'Weather Log'!$E$7:$E$206)</x:f>
        <x:v>0</x:v>
      </x:c>
      <x:c r="E36" s="341" t="n">
        <x:f>SUMIF('Weather Log'!$D$7:$D$206,A36,'Weather Log'!$F$7:$F$206)</x:f>
        <x:v>0</x:v>
      </x:c>
      <x:c r="F36" s="341" t="n">
        <x:f>SUMIF('Weather Log'!$D$7:$D$206,A36,'Weather Log'!$G$7:$G$206)</x:f>
        <x:v>0</x:v>
      </x:c>
      <x:c r="G36" s="341" t="n">
        <x:f>SUMIF('Weather Log'!$D$7:$D$206,A36,'Weather Log'!$H$7:$H$206)</x:f>
        <x:v>0</x:v>
      </x:c>
      <x:c r="H36" s="341" t="n">
        <x:f>SUMIF('Weather Log'!$D$7:$D$206,A36,'Weather Log'!$I$7:$I$206)</x:f>
        <x:v>0</x:v>
      </x:c>
      <x:c r="I36" s="341" t="n">
        <x:f>SUMIF('Weather Log'!$D$7:$D$206,A36,'Weather Log'!$J$7:$J$206)</x:f>
        <x:v>0</x:v>
      </x:c>
      <x:c r="J36" s="342" t="n">
        <x:f>IFERROR(I36/D36,0)</x:f>
        <x:v>0</x:v>
      </x:c>
      <x:c r="K36" s="341" t="n">
        <x:f>SUMIF('Weather Log'!$D$7:$D$206,A36,'Weather Log'!$K$7:$K$206)</x:f>
        <x:v>0</x:v>
      </x:c>
      <x:c r="L36" s="338" t="str">
        <x:f>IF(C36=0,"UNCALIBRATED",IF(C36&lt;5,"PARTIAL - fewer than 5 records",IF(C36&lt;10,"AMBER - 5 to 9 records","REVIEW FOR GREEN - 10+ records")))</x:f>
        <x:v>UNCALIBRATED</x:v>
      </x:c>
      <x:c r="M36" s="340" t="str">
        <x:f>IF(C36=0,"Collect actual project records",IF(C36&lt;10,"Continue collecting and review outliers","Estimator/PM review plus independent benchmark required"))</x:f>
        <x:v>Collect actual project records</x:v>
      </x:c>
    </x:row>
    <x:row r="37">
      <x:c r="A37" s="340" t="str">
        <x:v>Internal framing</x:v>
      </x:c>
      <x:c r="B37" s="340" t="str">
        <x:v>Building</x:v>
      </x:c>
      <x:c r="C37" s="341" t="n">
        <x:f>COUNTIF('Weather Log'!$D$7:$D$206,A37)</x:f>
        <x:v>0</x:v>
      </x:c>
      <x:c r="D37" s="341" t="n">
        <x:f>SUMIF('Weather Log'!$D$7:$D$206,A37,'Weather Log'!$E$7:$E$206)</x:f>
        <x:v>0</x:v>
      </x:c>
      <x:c r="E37" s="341" t="n">
        <x:f>SUMIF('Weather Log'!$D$7:$D$206,A37,'Weather Log'!$F$7:$F$206)</x:f>
        <x:v>0</x:v>
      </x:c>
      <x:c r="F37" s="341" t="n">
        <x:f>SUMIF('Weather Log'!$D$7:$D$206,A37,'Weather Log'!$G$7:$G$206)</x:f>
        <x:v>0</x:v>
      </x:c>
      <x:c r="G37" s="341" t="n">
        <x:f>SUMIF('Weather Log'!$D$7:$D$206,A37,'Weather Log'!$H$7:$H$206)</x:f>
        <x:v>0</x:v>
      </x:c>
      <x:c r="H37" s="341" t="n">
        <x:f>SUMIF('Weather Log'!$D$7:$D$206,A37,'Weather Log'!$I$7:$I$206)</x:f>
        <x:v>0</x:v>
      </x:c>
      <x:c r="I37" s="341" t="n">
        <x:f>SUMIF('Weather Log'!$D$7:$D$206,A37,'Weather Log'!$J$7:$J$206)</x:f>
        <x:v>0</x:v>
      </x:c>
      <x:c r="J37" s="342" t="n">
        <x:f>IFERROR(I37/D37,0)</x:f>
        <x:v>0</x:v>
      </x:c>
      <x:c r="K37" s="341" t="n">
        <x:f>SUMIF('Weather Log'!$D$7:$D$206,A37,'Weather Log'!$K$7:$K$206)</x:f>
        <x:v>0</x:v>
      </x:c>
      <x:c r="L37" s="338" t="str">
        <x:f>IF(C37=0,"UNCALIBRATED",IF(C37&lt;5,"PARTIAL - fewer than 5 records",IF(C37&lt;10,"AMBER - 5 to 9 records","REVIEW FOR GREEN - 10+ records")))</x:f>
        <x:v>UNCALIBRATED</x:v>
      </x:c>
      <x:c r="M37" s="340" t="str">
        <x:f>IF(C37=0,"Collect actual project records",IF(C37&lt;10,"Continue collecting and review outliers","Estimator/PM review plus independent benchmark required"))</x:f>
        <x:v>Collect actual project records</x:v>
      </x:c>
    </x:row>
    <x:row r="38">
      <x:c r="A38" s="340" t="str">
        <x:v>Internal linings / plasterboard</x:v>
      </x:c>
      <x:c r="B38" s="340" t="str">
        <x:v>Building</x:v>
      </x:c>
      <x:c r="C38" s="341" t="n">
        <x:f>COUNTIF('Weather Log'!$D$7:$D$206,A38)</x:f>
        <x:v>0</x:v>
      </x:c>
      <x:c r="D38" s="341" t="n">
        <x:f>SUMIF('Weather Log'!$D$7:$D$206,A38,'Weather Log'!$E$7:$E$206)</x:f>
        <x:v>0</x:v>
      </x:c>
      <x:c r="E38" s="341" t="n">
        <x:f>SUMIF('Weather Log'!$D$7:$D$206,A38,'Weather Log'!$F$7:$F$206)</x:f>
        <x:v>0</x:v>
      </x:c>
      <x:c r="F38" s="341" t="n">
        <x:f>SUMIF('Weather Log'!$D$7:$D$206,A38,'Weather Log'!$G$7:$G$206)</x:f>
        <x:v>0</x:v>
      </x:c>
      <x:c r="G38" s="341" t="n">
        <x:f>SUMIF('Weather Log'!$D$7:$D$206,A38,'Weather Log'!$H$7:$H$206)</x:f>
        <x:v>0</x:v>
      </x:c>
      <x:c r="H38" s="341" t="n">
        <x:f>SUMIF('Weather Log'!$D$7:$D$206,A38,'Weather Log'!$I$7:$I$206)</x:f>
        <x:v>0</x:v>
      </x:c>
      <x:c r="I38" s="341" t="n">
        <x:f>SUMIF('Weather Log'!$D$7:$D$206,A38,'Weather Log'!$J$7:$J$206)</x:f>
        <x:v>0</x:v>
      </x:c>
      <x:c r="J38" s="342" t="n">
        <x:f>IFERROR(I38/D38,0)</x:f>
        <x:v>0</x:v>
      </x:c>
      <x:c r="K38" s="341" t="n">
        <x:f>SUMIF('Weather Log'!$D$7:$D$206,A38,'Weather Log'!$K$7:$K$206)</x:f>
        <x:v>0</x:v>
      </x:c>
      <x:c r="L38" s="338" t="str">
        <x:f>IF(C38=0,"UNCALIBRATED",IF(C38&lt;5,"PARTIAL - fewer than 5 records",IF(C38&lt;10,"AMBER - 5 to 9 records","REVIEW FOR GREEN - 10+ records")))</x:f>
        <x:v>UNCALIBRATED</x:v>
      </x:c>
      <x:c r="M38" s="340" t="str">
        <x:f>IF(C38=0,"Collect actual project records",IF(C38&lt;10,"Continue collecting and review outliers","Estimator/PM review plus independent benchmark required"))</x:f>
        <x:v>Collect actual project records</x:v>
      </x:c>
    </x:row>
    <x:row r="39">
      <x:c r="A39" s="340" t="str">
        <x:v>Internal plastering / stopping</x:v>
      </x:c>
      <x:c r="B39" s="340" t="str">
        <x:v>Building</x:v>
      </x:c>
      <x:c r="C39" s="341" t="n">
        <x:f>COUNTIF('Weather Log'!$D$7:$D$206,A39)</x:f>
        <x:v>0</x:v>
      </x:c>
      <x:c r="D39" s="341" t="n">
        <x:f>SUMIF('Weather Log'!$D$7:$D$206,A39,'Weather Log'!$E$7:$E$206)</x:f>
        <x:v>0</x:v>
      </x:c>
      <x:c r="E39" s="341" t="n">
        <x:f>SUMIF('Weather Log'!$D$7:$D$206,A39,'Weather Log'!$F$7:$F$206)</x:f>
        <x:v>0</x:v>
      </x:c>
      <x:c r="F39" s="341" t="n">
        <x:f>SUMIF('Weather Log'!$D$7:$D$206,A39,'Weather Log'!$G$7:$G$206)</x:f>
        <x:v>0</x:v>
      </x:c>
      <x:c r="G39" s="341" t="n">
        <x:f>SUMIF('Weather Log'!$D$7:$D$206,A39,'Weather Log'!$H$7:$H$206)</x:f>
        <x:v>0</x:v>
      </x:c>
      <x:c r="H39" s="341" t="n">
        <x:f>SUMIF('Weather Log'!$D$7:$D$206,A39,'Weather Log'!$I$7:$I$206)</x:f>
        <x:v>0</x:v>
      </x:c>
      <x:c r="I39" s="341" t="n">
        <x:f>SUMIF('Weather Log'!$D$7:$D$206,A39,'Weather Log'!$J$7:$J$206)</x:f>
        <x:v>0</x:v>
      </x:c>
      <x:c r="J39" s="342" t="n">
        <x:f>IFERROR(I39/D39,0)</x:f>
        <x:v>0</x:v>
      </x:c>
      <x:c r="K39" s="341" t="n">
        <x:f>SUMIF('Weather Log'!$D$7:$D$206,A39,'Weather Log'!$K$7:$K$206)</x:f>
        <x:v>0</x:v>
      </x:c>
      <x:c r="L39" s="338" t="str">
        <x:f>IF(C39=0,"UNCALIBRATED",IF(C39&lt;5,"PARTIAL - fewer than 5 records",IF(C39&lt;10,"AMBER - 5 to 9 records","REVIEW FOR GREEN - 10+ records")))</x:f>
        <x:v>UNCALIBRATED</x:v>
      </x:c>
      <x:c r="M39" s="340" t="str">
        <x:f>IF(C39=0,"Collect actual project records",IF(C39&lt;10,"Continue collecting and review outliers","Estimator/PM review plus independent benchmark required"))</x:f>
        <x:v>Collect actual project records</x:v>
      </x:c>
    </x:row>
    <x:row r="40">
      <x:c r="A40" s="340" t="str">
        <x:v>Internal painting</x:v>
      </x:c>
      <x:c r="B40" s="340" t="str">
        <x:v>Building</x:v>
      </x:c>
      <x:c r="C40" s="341" t="n">
        <x:f>COUNTIF('Weather Log'!$D$7:$D$206,A40)</x:f>
        <x:v>0</x:v>
      </x:c>
      <x:c r="D40" s="341" t="n">
        <x:f>SUMIF('Weather Log'!$D$7:$D$206,A40,'Weather Log'!$E$7:$E$206)</x:f>
        <x:v>0</x:v>
      </x:c>
      <x:c r="E40" s="341" t="n">
        <x:f>SUMIF('Weather Log'!$D$7:$D$206,A40,'Weather Log'!$F$7:$F$206)</x:f>
        <x:v>0</x:v>
      </x:c>
      <x:c r="F40" s="341" t="n">
        <x:f>SUMIF('Weather Log'!$D$7:$D$206,A40,'Weather Log'!$G$7:$G$206)</x:f>
        <x:v>0</x:v>
      </x:c>
      <x:c r="G40" s="341" t="n">
        <x:f>SUMIF('Weather Log'!$D$7:$D$206,A40,'Weather Log'!$H$7:$H$206)</x:f>
        <x:v>0</x:v>
      </x:c>
      <x:c r="H40" s="341" t="n">
        <x:f>SUMIF('Weather Log'!$D$7:$D$206,A40,'Weather Log'!$I$7:$I$206)</x:f>
        <x:v>0</x:v>
      </x:c>
      <x:c r="I40" s="341" t="n">
        <x:f>SUMIF('Weather Log'!$D$7:$D$206,A40,'Weather Log'!$J$7:$J$206)</x:f>
        <x:v>0</x:v>
      </x:c>
      <x:c r="J40" s="342" t="n">
        <x:f>IFERROR(I40/D40,0)</x:f>
        <x:v>0</x:v>
      </x:c>
      <x:c r="K40" s="341" t="n">
        <x:f>SUMIF('Weather Log'!$D$7:$D$206,A40,'Weather Log'!$K$7:$K$206)</x:f>
        <x:v>0</x:v>
      </x:c>
      <x:c r="L40" s="338" t="str">
        <x:f>IF(C40=0,"UNCALIBRATED",IF(C40&lt;5,"PARTIAL - fewer than 5 records",IF(C40&lt;10,"AMBER - 5 to 9 records","REVIEW FOR GREEN - 10+ records")))</x:f>
        <x:v>UNCALIBRATED</x:v>
      </x:c>
      <x:c r="M40" s="340" t="str">
        <x:f>IF(C40=0,"Collect actual project records",IF(C40&lt;10,"Continue collecting and review outliers","Estimator/PM review plus independent benchmark required"))</x:f>
        <x:v>Collect actual project records</x:v>
      </x:c>
    </x:row>
    <x:row r="41">
      <x:c r="A41" s="340" t="str">
        <x:v>Fitout / cabinetry / joinery</x:v>
      </x:c>
      <x:c r="B41" s="340" t="str">
        <x:v>Building</x:v>
      </x:c>
      <x:c r="C41" s="341" t="n">
        <x:f>COUNTIF('Weather Log'!$D$7:$D$206,A41)</x:f>
        <x:v>0</x:v>
      </x:c>
      <x:c r="D41" s="341" t="n">
        <x:f>SUMIF('Weather Log'!$D$7:$D$206,A41,'Weather Log'!$E$7:$E$206)</x:f>
        <x:v>0</x:v>
      </x:c>
      <x:c r="E41" s="341" t="n">
        <x:f>SUMIF('Weather Log'!$D$7:$D$206,A41,'Weather Log'!$F$7:$F$206)</x:f>
        <x:v>0</x:v>
      </x:c>
      <x:c r="F41" s="341" t="n">
        <x:f>SUMIF('Weather Log'!$D$7:$D$206,A41,'Weather Log'!$G$7:$G$206)</x:f>
        <x:v>0</x:v>
      </x:c>
      <x:c r="G41" s="341" t="n">
        <x:f>SUMIF('Weather Log'!$D$7:$D$206,A41,'Weather Log'!$H$7:$H$206)</x:f>
        <x:v>0</x:v>
      </x:c>
      <x:c r="H41" s="341" t="n">
        <x:f>SUMIF('Weather Log'!$D$7:$D$206,A41,'Weather Log'!$I$7:$I$206)</x:f>
        <x:v>0</x:v>
      </x:c>
      <x:c r="I41" s="341" t="n">
        <x:f>SUMIF('Weather Log'!$D$7:$D$206,A41,'Weather Log'!$J$7:$J$206)</x:f>
        <x:v>0</x:v>
      </x:c>
      <x:c r="J41" s="342" t="n">
        <x:f>IFERROR(I41/D41,0)</x:f>
        <x:v>0</x:v>
      </x:c>
      <x:c r="K41" s="341" t="n">
        <x:f>SUMIF('Weather Log'!$D$7:$D$206,A41,'Weather Log'!$K$7:$K$206)</x:f>
        <x:v>0</x:v>
      </x:c>
      <x:c r="L41" s="338" t="str">
        <x:f>IF(C41=0,"UNCALIBRATED",IF(C41&lt;5,"PARTIAL - fewer than 5 records",IF(C41&lt;10,"AMBER - 5 to 9 records","REVIEW FOR GREEN - 10+ records")))</x:f>
        <x:v>UNCALIBRATED</x:v>
      </x:c>
      <x:c r="M41" s="340" t="str">
        <x:f>IF(C41=0,"Collect actual project records",IF(C41&lt;10,"Continue collecting and review outliers","Estimator/PM review plus independent benchmark required"))</x:f>
        <x:v>Collect actual project records</x:v>
      </x:c>
    </x:row>
    <x:row r="42">
      <x:c r="A42" s="340" t="str">
        <x:v>Internal tiling / wet areas</x:v>
      </x:c>
      <x:c r="B42" s="340" t="str">
        <x:v>Building</x:v>
      </x:c>
      <x:c r="C42" s="341" t="n">
        <x:f>COUNTIF('Weather Log'!$D$7:$D$206,A42)</x:f>
        <x:v>0</x:v>
      </x:c>
      <x:c r="D42" s="341" t="n">
        <x:f>SUMIF('Weather Log'!$D$7:$D$206,A42,'Weather Log'!$E$7:$E$206)</x:f>
        <x:v>0</x:v>
      </x:c>
      <x:c r="E42" s="341" t="n">
        <x:f>SUMIF('Weather Log'!$D$7:$D$206,A42,'Weather Log'!$F$7:$F$206)</x:f>
        <x:v>0</x:v>
      </x:c>
      <x:c r="F42" s="341" t="n">
        <x:f>SUMIF('Weather Log'!$D$7:$D$206,A42,'Weather Log'!$G$7:$G$206)</x:f>
        <x:v>0</x:v>
      </x:c>
      <x:c r="G42" s="341" t="n">
        <x:f>SUMIF('Weather Log'!$D$7:$D$206,A42,'Weather Log'!$H$7:$H$206)</x:f>
        <x:v>0</x:v>
      </x:c>
      <x:c r="H42" s="341" t="n">
        <x:f>SUMIF('Weather Log'!$D$7:$D$206,A42,'Weather Log'!$I$7:$I$206)</x:f>
        <x:v>0</x:v>
      </x:c>
      <x:c r="I42" s="341" t="n">
        <x:f>SUMIF('Weather Log'!$D$7:$D$206,A42,'Weather Log'!$J$7:$J$206)</x:f>
        <x:v>0</x:v>
      </x:c>
      <x:c r="J42" s="342" t="n">
        <x:f>IFERROR(I42/D42,0)</x:f>
        <x:v>0</x:v>
      </x:c>
      <x:c r="K42" s="341" t="n">
        <x:f>SUMIF('Weather Log'!$D$7:$D$206,A42,'Weather Log'!$K$7:$K$206)</x:f>
        <x:v>0</x:v>
      </x:c>
      <x:c r="L42" s="338" t="str">
        <x:f>IF(C42=0,"UNCALIBRATED",IF(C42&lt;5,"PARTIAL - fewer than 5 records",IF(C42&lt;10,"AMBER - 5 to 9 records","REVIEW FOR GREEN - 10+ records")))</x:f>
        <x:v>UNCALIBRATED</x:v>
      </x:c>
      <x:c r="M42" s="340" t="str">
        <x:f>IF(C42=0,"Collect actual project records",IF(C42&lt;10,"Continue collecting and review outliers","Estimator/PM review plus independent benchmark required"))</x:f>
        <x:v>Collect actual project records</x:v>
      </x:c>
    </x:row>
    <x:row r="43">
      <x:c r="A43" s="340" t="str">
        <x:v>Internal flooring</x:v>
      </x:c>
      <x:c r="B43" s="340" t="str">
        <x:v>Building</x:v>
      </x:c>
      <x:c r="C43" s="341" t="n">
        <x:f>COUNTIF('Weather Log'!$D$7:$D$206,A43)</x:f>
        <x:v>0</x:v>
      </x:c>
      <x:c r="D43" s="341" t="n">
        <x:f>SUMIF('Weather Log'!$D$7:$D$206,A43,'Weather Log'!$E$7:$E$206)</x:f>
        <x:v>0</x:v>
      </x:c>
      <x:c r="E43" s="341" t="n">
        <x:f>SUMIF('Weather Log'!$D$7:$D$206,A43,'Weather Log'!$F$7:$F$206)</x:f>
        <x:v>0</x:v>
      </x:c>
      <x:c r="F43" s="341" t="n">
        <x:f>SUMIF('Weather Log'!$D$7:$D$206,A43,'Weather Log'!$G$7:$G$206)</x:f>
        <x:v>0</x:v>
      </x:c>
      <x:c r="G43" s="341" t="n">
        <x:f>SUMIF('Weather Log'!$D$7:$D$206,A43,'Weather Log'!$H$7:$H$206)</x:f>
        <x:v>0</x:v>
      </x:c>
      <x:c r="H43" s="341" t="n">
        <x:f>SUMIF('Weather Log'!$D$7:$D$206,A43,'Weather Log'!$I$7:$I$206)</x:f>
        <x:v>0</x:v>
      </x:c>
      <x:c r="I43" s="341" t="n">
        <x:f>SUMIF('Weather Log'!$D$7:$D$206,A43,'Weather Log'!$J$7:$J$206)</x:f>
        <x:v>0</x:v>
      </x:c>
      <x:c r="J43" s="342" t="n">
        <x:f>IFERROR(I43/D43,0)</x:f>
        <x:v>0</x:v>
      </x:c>
      <x:c r="K43" s="341" t="n">
        <x:f>SUMIF('Weather Log'!$D$7:$D$206,A43,'Weather Log'!$K$7:$K$206)</x:f>
        <x:v>0</x:v>
      </x:c>
      <x:c r="L43" s="338" t="str">
        <x:f>IF(C43=0,"UNCALIBRATED",IF(C43&lt;5,"PARTIAL - fewer than 5 records",IF(C43&lt;10,"AMBER - 5 to 9 records","REVIEW FOR GREEN - 10+ records")))</x:f>
        <x:v>UNCALIBRATED</x:v>
      </x:c>
      <x:c r="M43" s="340" t="str">
        <x:f>IF(C43=0,"Collect actual project records",IF(C43&lt;10,"Continue collecting and review outliers","Estimator/PM review plus independent benchmark required"))</x:f>
        <x:v>Collect actual project records</x:v>
      </x:c>
    </x:row>
    <x:row r="44">
      <x:c r="A44" s="340" t="str">
        <x:v>Internal MEP rough-in / fit-off</x:v>
      </x:c>
      <x:c r="B44" s="340" t="str">
        <x:v>Building</x:v>
      </x:c>
      <x:c r="C44" s="341" t="n">
        <x:f>COUNTIF('Weather Log'!$D$7:$D$206,A44)</x:f>
        <x:v>0</x:v>
      </x:c>
      <x:c r="D44" s="341" t="n">
        <x:f>SUMIF('Weather Log'!$D$7:$D$206,A44,'Weather Log'!$E$7:$E$206)</x:f>
        <x:v>0</x:v>
      </x:c>
      <x:c r="E44" s="341" t="n">
        <x:f>SUMIF('Weather Log'!$D$7:$D$206,A44,'Weather Log'!$F$7:$F$206)</x:f>
        <x:v>0</x:v>
      </x:c>
      <x:c r="F44" s="341" t="n">
        <x:f>SUMIF('Weather Log'!$D$7:$D$206,A44,'Weather Log'!$G$7:$G$206)</x:f>
        <x:v>0</x:v>
      </x:c>
      <x:c r="G44" s="341" t="n">
        <x:f>SUMIF('Weather Log'!$D$7:$D$206,A44,'Weather Log'!$H$7:$H$206)</x:f>
        <x:v>0</x:v>
      </x:c>
      <x:c r="H44" s="341" t="n">
        <x:f>SUMIF('Weather Log'!$D$7:$D$206,A44,'Weather Log'!$I$7:$I$206)</x:f>
        <x:v>0</x:v>
      </x:c>
      <x:c r="I44" s="341" t="n">
        <x:f>SUMIF('Weather Log'!$D$7:$D$206,A44,'Weather Log'!$J$7:$J$206)</x:f>
        <x:v>0</x:v>
      </x:c>
      <x:c r="J44" s="342" t="n">
        <x:f>IFERROR(I44/D44,0)</x:f>
        <x:v>0</x:v>
      </x:c>
      <x:c r="K44" s="341" t="n">
        <x:f>SUMIF('Weather Log'!$D$7:$D$206,A44,'Weather Log'!$K$7:$K$206)</x:f>
        <x:v>0</x:v>
      </x:c>
      <x:c r="L44" s="338" t="str">
        <x:f>IF(C44=0,"UNCALIBRATED",IF(C44&lt;5,"PARTIAL - fewer than 5 records",IF(C44&lt;10,"AMBER - 5 to 9 records","REVIEW FOR GREEN - 10+ records")))</x:f>
        <x:v>UNCALIBRATED</x:v>
      </x:c>
      <x:c r="M44" s="340" t="str">
        <x:f>IF(C44=0,"Collect actual project records",IF(C44&lt;10,"Continue collecting and review outliers","Estimator/PM review plus independent benchmark required"))</x:f>
        <x:v>Collect actual project records</x:v>
      </x:c>
    </x:row>
    <x:row r="45">
      <x:c r="A45" s="340" t="str">
        <x:v>Workshop fabrication / sheltered prep</x:v>
      </x:c>
      <x:c r="B45" s="340" t="str">
        <x:v>Building</x:v>
      </x:c>
      <x:c r="C45" s="341" t="n">
        <x:f>COUNTIF('Weather Log'!$D$7:$D$206,A45)</x:f>
        <x:v>0</x:v>
      </x:c>
      <x:c r="D45" s="341" t="n">
        <x:f>SUMIF('Weather Log'!$D$7:$D$206,A45,'Weather Log'!$E$7:$E$206)</x:f>
        <x:v>0</x:v>
      </x:c>
      <x:c r="E45" s="341" t="n">
        <x:f>SUMIF('Weather Log'!$D$7:$D$206,A45,'Weather Log'!$F$7:$F$206)</x:f>
        <x:v>0</x:v>
      </x:c>
      <x:c r="F45" s="341" t="n">
        <x:f>SUMIF('Weather Log'!$D$7:$D$206,A45,'Weather Log'!$G$7:$G$206)</x:f>
        <x:v>0</x:v>
      </x:c>
      <x:c r="G45" s="341" t="n">
        <x:f>SUMIF('Weather Log'!$D$7:$D$206,A45,'Weather Log'!$H$7:$H$206)</x:f>
        <x:v>0</x:v>
      </x:c>
      <x:c r="H45" s="341" t="n">
        <x:f>SUMIF('Weather Log'!$D$7:$D$206,A45,'Weather Log'!$I$7:$I$206)</x:f>
        <x:v>0</x:v>
      </x:c>
      <x:c r="I45" s="341" t="n">
        <x:f>SUMIF('Weather Log'!$D$7:$D$206,A45,'Weather Log'!$J$7:$J$206)</x:f>
        <x:v>0</x:v>
      </x:c>
      <x:c r="J45" s="342" t="n">
        <x:f>IFERROR(I45/D45,0)</x:f>
        <x:v>0</x:v>
      </x:c>
      <x:c r="K45" s="341" t="n">
        <x:f>SUMIF('Weather Log'!$D$7:$D$206,A45,'Weather Log'!$K$7:$K$206)</x:f>
        <x:v>0</x:v>
      </x:c>
      <x:c r="L45" s="338" t="str">
        <x:f>IF(C45=0,"UNCALIBRATED",IF(C45&lt;5,"PARTIAL - fewer than 5 records",IF(C45&lt;10,"AMBER - 5 to 9 records","REVIEW FOR GREEN - 10+ records")))</x:f>
        <x:v>UNCALIBRATED</x:v>
      </x:c>
      <x:c r="M45" s="340" t="str">
        <x:f>IF(C45=0,"Collect actual project records",IF(C45&lt;10,"Continue collecting and review outliers","Estimator/PM review plus independent benchmark required"))</x:f>
        <x:v>Collect actual project records</x:v>
      </x:c>
    </x:row>
  </x:sheetData>
  <x:mergeCells>
    <x:mergeCell ref="A1:M1"/>
    <x:mergeCell ref="A3:M4"/>
  </x:mergeCells>
  <x:conditionalFormatting sqref="L7:L45">
    <x:cfRule type="containsText" dxfId="12" priority="1" operator="containsText" text="GREEN"/>
    <x:cfRule type="containsText" dxfId="13" priority="2" operator="containsText" text="AMBER"/>
    <x:cfRule type="containsText" dxfId="14" priority="3" operator="containsText" text="RED"/>
    <x:cfRule type="containsText" dxfId="15" priority="4" operator="containsText" text="UNCALIBRAT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</x:cols>
  <x:sheetData>
    <x:row r="1" ht="26" customHeight="1">
      <x:c r="A1" s="316" t="str">
        <x:v>Weather Model Calculation Audit and Release Gate</x:v>
      </x:c>
      <x:c r="B1" s="268" t="str">
        <x:v>Weather Model Calculation Audit and Release Gate</x:v>
      </x:c>
      <x:c r="C1" s="268" t="str">
        <x:v>Weather Model Calculation Audit and Release Gate</x:v>
      </x:c>
      <x:c r="D1" s="268" t="str">
        <x:v>Weather Model Calculation Audit and Release Gate</x:v>
      </x:c>
      <x:c r="E1" s="268" t="str">
        <x:v>Weather Model Calculation Audit and Release Gate</x:v>
      </x:c>
      <x:c r="F1" s="268" t="str">
        <x:v>Weather Model Calculation Audit and Release Gate</x:v>
      </x:c>
    </x:row>
    <x:row r="2">
      <x:c r="A2" s="269"/>
      <x:c r="B2" s="269"/>
      <x:c r="C2" s="269"/>
      <x:c r="D2" s="269"/>
      <x:c r="E2" s="269"/>
      <x:c r="F2" s="269"/>
    </x:row>
    <x:row r="3">
      <x:c r="A3" s="291" t="str">
        <x:v>Check</x:v>
      </x:c>
      <x:c r="B3" s="291" t="str">
        <x:v>Expected</x:v>
      </x:c>
      <x:c r="C3" s="291" t="str">
        <x:v>Actual</x:v>
      </x:c>
      <x:c r="D3" s="291" t="str">
        <x:v>Status</x:v>
      </x:c>
      <x:c r="E3" s="291" t="str">
        <x:v>Why It Matters</x:v>
      </x:c>
      <x:c r="F3" s="291" t="str">
        <x:v>Action if Not OK</x:v>
      </x:c>
    </x:row>
    <x:row r="4">
      <x:c r="A4" s="338" t="str">
        <x:v>NIWA location count</x:v>
      </x:c>
      <x:c r="B4" s="338" t="n">
        <x:v>30</x:v>
      </x:c>
      <x:c r="C4" s="338" t="n">
        <x:f>COUNTA('Station Register'!$A$7:$A$36)</x:f>
        <x:v>30</x:v>
      </x:c>
      <x:c r="D4" s="338" t="str">
        <x:f>IF(C4=B4,"GREEN - OK","RED - CHECK")</x:f>
        <x:v>GREEN - OK</x:v>
      </x:c>
      <x:c r="E4" s="338" t="str">
        <x:v>Location selector completeness</x:v>
      </x:c>
      <x:c r="F4" s="338" t="str">
        <x:v>Reload official source data</x:v>
      </x:c>
    </x:row>
    <x:row r="5">
      <x:c r="A5" s="338" t="str">
        <x:v>Climate data rows</x:v>
      </x:c>
      <x:c r="B5" s="338" t="n">
        <x:v>360</x:v>
      </x:c>
      <x:c r="C5" s="338" t="n">
        <x:f>COUNTA('Climate Data'!$A$7:$A$366)</x:f>
        <x:v>360</x:v>
      </x:c>
      <x:c r="D5" s="338" t="str">
        <x:f>IF(C5=B5,"GREEN - OK","RED - CHECK")</x:f>
        <x:v>GREEN - OK</x:v>
      </x:c>
      <x:c r="E5" s="338" t="str">
        <x:v>12 months per location</x:v>
      </x:c>
      <x:c r="F5" s="338" t="str">
        <x:v>Repair missing station/month rows</x:v>
      </x:c>
    </x:row>
    <x:row r="6">
      <x:c r="A6" s="338" t="str">
        <x:v>Missing wet-day values</x:v>
      </x:c>
      <x:c r="B6" s="338" t="n">
        <x:v>0</x:v>
      </x:c>
      <x:c r="C6" s="338" t="n">
        <x:f>COUNTBLANK('Climate Data'!$D$7:$D$366)</x:f>
        <x:v>0</x:v>
      </x:c>
      <x:c r="D6" s="338" t="str">
        <x:f>IF(C6=B6,"GREEN - OK","RED - CHECK")</x:f>
        <x:v>GREEN - OK</x:v>
      </x:c>
      <x:c r="E6" s="338" t="str">
        <x:v>Prevents unsupported probabilities</x:v>
      </x:c>
      <x:c r="F6" s="338" t="str">
        <x:v>Stop use and reload source</x:v>
      </x:c>
    </x:row>
    <x:row r="7">
      <x:c r="A7" s="338" t="str">
        <x:v>Missing rainfall values</x:v>
      </x:c>
      <x:c r="B7" s="338" t="n">
        <x:v>0</x:v>
      </x:c>
      <x:c r="C7" s="338" t="n">
        <x:f>COUNTBLANK('Climate Data'!$E$7:$E$366)</x:f>
        <x:v>0</x:v>
      </x:c>
      <x:c r="D7" s="338" t="str">
        <x:f>IF(C7=B7,"GREEN - OK","RED - CHECK")</x:f>
        <x:v>GREEN - OK</x:v>
      </x:c>
      <x:c r="E7" s="338" t="str">
        <x:v>Source completeness</x:v>
      </x:c>
      <x:c r="F7" s="338" t="str">
        <x:v>Stop use and reload source</x:v>
      </x:c>
    </x:row>
    <x:row r="8">
      <x:c r="A8" s="338" t="str">
        <x:v>Wet-day probability outside 0-100%</x:v>
      </x:c>
      <x:c r="B8" s="338" t="n">
        <x:v>0</x:v>
      </x:c>
      <x:c r="C8" s="338" t="n">
        <x:f>COUNTIF('Climate Data'!$G$7:$G$366,"&lt;0")+COUNTIF('Climate Data'!$G$7:$G$366,"&gt;1")</x:f>
        <x:v>0</x:v>
      </x:c>
      <x:c r="D8" s="338" t="str">
        <x:f>IF(C8=B8,"GREEN - OK","RED - CHECK")</x:f>
        <x:v>GREEN - OK</x:v>
      </x:c>
      <x:c r="E8" s="338" t="str">
        <x:v>Probability validity</x:v>
      </x:c>
      <x:c r="F8" s="338" t="str">
        <x:v>Repair source/formula</x:v>
      </x:c>
    </x:row>
    <x:row r="9">
      <x:c r="A9" s="338" t="str">
        <x:v>Task library rows</x:v>
      </x:c>
      <x:c r="B9" s="338" t="n">
        <x:v>39</x:v>
      </x:c>
      <x:c r="C9" s="338" t="n">
        <x:f>COUNTA('Task Library'!$A$7:$A$45)</x:f>
        <x:v>39</x:v>
      </x:c>
      <x:c r="D9" s="338" t="str">
        <x:f>IF(C9=B9,"GREEN - OK","RED - CHECK")</x:f>
        <x:v>GREEN - OK</x:v>
      </x:c>
      <x:c r="E9" s="338" t="str">
        <x:v>Original task coverage retained</x:v>
      </x:c>
      <x:c r="F9" s="338" t="str">
        <x:v>Review task import</x:v>
      </x:c>
    </x:row>
    <x:row r="10">
      <x:c r="A10" s="338" t="str">
        <x:v>Date engine start</x:v>
      </x:c>
      <x:c r="B10" s="373" t="n">
        <x:v>45658</x:v>
      </x:c>
      <x:c r="C10" s="373" t="n">
        <x:f>MIN('Date Engine'!$A$7:$A$5850)</x:f>
        <x:v>45658</x:v>
      </x:c>
      <x:c r="D10" s="338" t="str">
        <x:f>IF(C10=B10,"GREEN - OK","RED - CHECK")</x:f>
        <x:v>GREEN - OK</x:v>
      </x:c>
      <x:c r="E10" s="338" t="str">
        <x:v>Input coverage</x:v>
      </x:c>
      <x:c r="F10" s="338" t="str">
        <x:v>Extend engine</x:v>
      </x:c>
    </x:row>
    <x:row r="11">
      <x:c r="A11" s="338" t="str">
        <x:v>Date engine finish</x:v>
      </x:c>
      <x:c r="B11" s="373" t="n">
        <x:v>51501</x:v>
      </x:c>
      <x:c r="C11" s="373" t="n">
        <x:f>MAX('Date Engine'!$A$7:$A$5850)</x:f>
        <x:v>51501</x:v>
      </x:c>
      <x:c r="D11" s="338" t="str">
        <x:f>IF(C11=B11,"GREEN - OK","RED - CHECK")</x:f>
        <x:v>GREEN - OK</x:v>
      </x:c>
      <x:c r="E11" s="338" t="str">
        <x:v>Input coverage</x:v>
      </x:c>
      <x:c r="F11" s="338" t="str">
        <x:v>Extend engine</x:v>
      </x:c>
    </x:row>
    <x:row r="12">
      <x:c r="A12" s="338" t="str">
        <x:v>Active Estimator RED controls</x:v>
      </x:c>
      <x:c r="B12" s="338" t="n">
        <x:v>0</x:v>
      </x:c>
      <x:c r="C12" s="338" t="n">
        <x:f>IF(LEFT('Estimator'!$H$29,3)="RED",1,0)</x:f>
        <x:v>0</x:v>
      </x:c>
      <x:c r="D12" s="338" t="str">
        <x:f>IF(C12=B12,"GREEN - OK","RED - CHECK")</x:f>
        <x:v>GREEN - OK</x:v>
      </x:c>
      <x:c r="E12" s="338" t="str">
        <x:v>Blocks unsupported issue</x:v>
      </x:c>
      <x:c r="F12" s="338" t="str">
        <x:v>Resolve inputs or qualify/exclude</x:v>
      </x:c>
    </x:row>
    <x:row r="13">
      <x:c r="A13" s="338" t="str">
        <x:v>Activity Allowances RED rows</x:v>
      </x:c>
      <x:c r="B13" s="338" t="n">
        <x:v>0</x:v>
      </x:c>
      <x:c r="C13" s="338" t="n">
        <x:f>COUNTIF('Activity Allowances'!$AK$7:$AK$36,"RED - date input")+COUNTIF('Activity Allowances'!$AK$7:$AK$36,"RED - wind input")</x:f>
        <x:v>0</x:v>
      </x:c>
      <x:c r="D13" s="338" t="str">
        <x:f>IF(C13=B13,"GREEN - OK","RED - CHECK")</x:f>
        <x:v>GREEN - OK</x:v>
      </x:c>
      <x:c r="E13" s="338" t="str">
        <x:v>Blocks unsupported issue</x:v>
      </x:c>
      <x:c r="F13" s="338" t="str">
        <x:v>Resolve task dates/wind data</x:v>
      </x:c>
    </x:row>
    <x:row r="14">
      <x:c r="A14" s="272"/>
      <x:c r="B14" s="272"/>
      <x:c r="C14" s="272"/>
      <x:c r="D14" s="272"/>
      <x:c r="E14" s="272"/>
      <x:c r="F14" s="272"/>
    </x:row>
    <x:row r="15">
      <x:c r="A15" s="272"/>
      <x:c r="B15" s="272"/>
      <x:c r="C15" s="272"/>
      <x:c r="D15" s="272"/>
      <x:c r="E15" s="272"/>
      <x:c r="F15" s="272"/>
    </x:row>
    <x:row r="16">
      <x:c r="A16" s="374" t="str">
        <x:v>Source and Assumption Release Status</x:v>
      </x:c>
      <x:c r="B16" s="375" t="str">
        <x:v>Source and Assumption Release Status</x:v>
      </x:c>
      <x:c r="C16" s="375" t="str">
        <x:v>Source and Assumption Release Status</x:v>
      </x:c>
      <x:c r="D16" s="375" t="str">
        <x:v>Source and Assumption Release Status</x:v>
      </x:c>
      <x:c r="E16" s="375" t="str">
        <x:v>Source and Assumption Release Status</x:v>
      </x:c>
      <x:c r="F16" s="376" t="str">
        <x:v>Source and Assumption Release Status</x:v>
      </x:c>
    </x:row>
    <x:row r="17">
      <x:c r="A17" s="291" t="str">
        <x:v>Component</x:v>
      </x:c>
      <x:c r="B17" s="291" t="str">
        <x:v>Status</x:v>
      </x:c>
      <x:c r="C17" s="291" t="str">
        <x:v>Reason</x:v>
      </x:c>
      <x:c r="D17" s="272"/>
      <x:c r="E17" s="272"/>
      <x:c r="F17" s="272"/>
    </x:row>
    <x:row r="18">
      <x:c r="A18" s="338" t="str">
        <x:v>NIWA 1991-2020 wet-day and rainfall data</x:v>
      </x:c>
      <x:c r="B18" s="338" t="str">
        <x:v>GREEN</x:v>
      </x:c>
      <x:c r="C18" s="338" t="str">
        <x:v>Current official published climate normals</x:v>
      </x:c>
      <x:c r="D18" s="272"/>
      <x:c r="E18" s="272"/>
      <x:c r="F18" s="272"/>
    </x:row>
    <x:row r="19">
      <x:c r="A19" s="338" t="str">
        <x:v>Task sensitivity defaults</x:v>
      </x:c>
      <x:c r="B19" s="338" t="str">
        <x:v>AMBER</x:v>
      </x:c>
      <x:c r="C19" s="338" t="str">
        <x:v>Company judgement pending actual-project calibration</x:v>
      </x:c>
      <x:c r="D19" s="272"/>
      <x:c r="E19" s="272"/>
      <x:c r="F19" s="272"/>
    </x:row>
    <x:row r="20">
      <x:c r="A20" s="338" t="str">
        <x:v>Auckland wind proxy</x:v>
      </x:c>
      <x:c r="B20" s="338" t="str">
        <x:v>AMBER</x:v>
      </x:c>
      <x:c r="C20" s="338" t="str">
        <x:v>Legacy proxy and inferred monthly allocation</x:v>
      </x:c>
      <x:c r="D20" s="272"/>
      <x:c r="E20" s="272"/>
      <x:c r="F20" s="272"/>
    </x:row>
    <x:row r="21">
      <x:c r="A21" s="338" t="str">
        <x:v>Non-Auckland wind inputs</x:v>
      </x:c>
      <x:c r="B21" s="338" t="str">
        <x:v>RED if material</x:v>
      </x:c>
      <x:c r="C21" s="338" t="str">
        <x:v>No public threshold-aligned frequency loaded</x:v>
      </x:c>
      <x:c r="D21" s="272"/>
      <x:c r="E21" s="272"/>
      <x:c r="F21" s="272"/>
    </x:row>
    <x:row r="22">
      <x:c r="A22" s="272"/>
      <x:c r="B22" s="272"/>
      <x:c r="C22" s="272"/>
      <x:c r="D22" s="272"/>
      <x:c r="E22" s="272"/>
      <x:c r="F22" s="272"/>
    </x:row>
    <x:row r="23">
      <x:c r="A23" s="272"/>
      <x:c r="B23" s="272"/>
      <x:c r="C23" s="272"/>
      <x:c r="D23" s="272"/>
      <x:c r="E23" s="272"/>
      <x:c r="F23" s="272"/>
    </x:row>
    <x:row r="24">
      <x:c r="A24" s="272" t="str">
        <x:v>Tool release gate</x:v>
      </x:c>
      <x:c r="B24" s="338" t="str">
        <x:f>IF(COUNTIF(D4:D13,"RED - CHECK")&gt;0,"RED - DO NOT ISSUE ACTIVE OUTPUT","AMBER - TOOL USABLE WITH DISCLOSURES")</x:f>
        <x:v>AMBER - TOOL USABLE WITH DISCLOSURES</x:v>
      </x:c>
      <x:c r="C24" s="272"/>
      <x:c r="D24" s="272"/>
      <x:c r="E24" s="272"/>
      <x:c r="F24" s="272"/>
    </x:row>
  </x:sheetData>
  <x:mergeCells>
    <x:mergeCell ref="A1:F1"/>
    <x:mergeCell ref="A16:F16"/>
  </x:mergeCells>
  <x:conditionalFormatting sqref="D4:D13">
    <x:cfRule type="containsText" dxfId="32" priority="1" operator="containsText" text="GREEN"/>
    <x:cfRule type="containsText" dxfId="33" priority="2" operator="containsText" text="AMBER"/>
    <x:cfRule type="containsText" dxfId="34" priority="3" operator="containsText" text="RED"/>
    <x:cfRule type="containsText" dxfId="35" priority="4" operator="containsText" text="UNCALIBRATED"/>
  </x:conditionalFormatting>
  <x:conditionalFormatting sqref="B18:B21">
    <x:cfRule type="containsText" dxfId="36" priority="5" operator="containsText" text="GREEN"/>
    <x:cfRule type="containsText" dxfId="37" priority="6" operator="containsText" text="AMBER"/>
    <x:cfRule type="containsText" dxfId="38" priority="7" operator="containsText" text="RED"/>
    <x:cfRule type="containsText" dxfId="39" priority="8" operator="containsText" text="UNCALIBRATED"/>
  </x:conditionalFormatting>
  <x:conditionalFormatting sqref="B24:B24">
    <x:cfRule type="containsText" dxfId="40" priority="9" operator="containsText" text="GREEN"/>
    <x:cfRule type="containsText" dxfId="41" priority="10" operator="containsText" text="AMBER"/>
    <x:cfRule type="containsText" dxfId="42" priority="11" operator="containsText" text="RED"/>
    <x:cfRule type="containsText" dxfId="43" priority="12" operator="containsText" text="UNCALIBRAT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32" hidden="0" customWidth="1"/>
    <x:col min="4" max="4" width="22" hidden="0" customWidth="1"/>
    <x:col min="5" max="5" width="18" hidden="0" customWidth="1"/>
    <x:col min="6" max="6" width="18" hidden="0" customWidth="1"/>
    <x:col min="7" max="7" width="72" hidden="0" customWidth="1"/>
    <x:col min="8" max="8" width="72" hidden="0" customWidth="1"/>
  </x:cols>
  <x:sheetData>
    <x:row r="1" ht="26" customHeight="1">
      <x:c r="A1" s="316" t="str">
        <x:v>Source Register and Model Limitations</x:v>
      </x:c>
      <x:c r="B1" s="268" t="str">
        <x:v>Source Register and Model Limitations</x:v>
      </x:c>
      <x:c r="C1" s="268" t="str">
        <x:v>Source Register and Model Limitations</x:v>
      </x:c>
      <x:c r="D1" s="268" t="str">
        <x:v>Source Register and Model Limitations</x:v>
      </x:c>
      <x:c r="E1" s="268" t="str">
        <x:v>Source Register and Model Limitations</x:v>
      </x:c>
      <x:c r="F1" s="268" t="str">
        <x:v>Source Register and Model Limitations</x:v>
      </x:c>
      <x:c r="G1" s="268" t="str">
        <x:v>Source Register and Model Limitations</x:v>
      </x:c>
      <x:c r="H1" s="268" t="str">
        <x:v>Source Register and Model Limitations</x:v>
      </x:c>
    </x:row>
    <x:row r="2">
      <x:c r="A2" s="269"/>
      <x:c r="B2" s="269"/>
      <x:c r="C2" s="269"/>
      <x:c r="D2" s="269"/>
      <x:c r="E2" s="269"/>
      <x:c r="F2" s="269"/>
      <x:c r="G2" s="269"/>
      <x:c r="H2" s="269"/>
    </x:row>
    <x:row r="3">
      <x:c r="A3" s="291" t="str">
        <x:v>Source ID</x:v>
      </x:c>
      <x:c r="B3" s="291" t="str">
        <x:v>Variable / Use</x:v>
      </x:c>
      <x:c r="C3" s="291" t="str">
        <x:v>Source</x:v>
      </x:c>
      <x:c r="D3" s="291" t="str">
        <x:v>Period / Version</x:v>
      </x:c>
      <x:c r="E3" s="291" t="str">
        <x:v>Accessed</x:v>
      </x:c>
      <x:c r="F3" s="291" t="str">
        <x:v>Status</x:v>
      </x:c>
      <x:c r="G3" s="291" t="str">
        <x:v>Source URL</x:v>
      </x:c>
      <x:c r="H3" s="291" t="str">
        <x:v>Limitations / Required Action</x:v>
      </x:c>
    </x:row>
    <x:row r="4">
      <x:c r="A4" s="338" t="str">
        <x:v>SRC-WX-001</x:v>
      </x:c>
      <x:c r="B4" s="338" t="str">
        <x:v>Mean monthly wet days &gt;=1 mm</x:v>
      </x:c>
      <x:c r="C4" s="338" t="str">
        <x:v>NIWA / Earth Sciences New Zealand</x:v>
      </x:c>
      <x:c r="D4" s="338" t="str">
        <x:v>1991-2020 normals</x:v>
      </x:c>
      <x:c r="E4" s="373" t="n">
        <x:v>46248</x:v>
      </x:c>
      <x:c r="F4" s="338" t="str">
        <x:v>GREEN</x:v>
      </x:c>
      <x:c r="G4" s="338" t="str">
        <x:v>https://niwa.co.nz/sites/default/files/inline-images/wet_days_1991-2020_1.xlsx</x:v>
      </x:c>
      <x:c r="H4" s="338" t="str">
        <x:v>Official climate normal. A wet day is not automatically a construction lost day.</x:v>
      </x:c>
    </x:row>
    <x:row r="5">
      <x:c r="A5" s="338" t="str">
        <x:v>SRC-WX-002</x:v>
      </x:c>
      <x:c r="B5" s="338" t="str">
        <x:v>Mean monthly rainfall and rain per wet day context</x:v>
      </x:c>
      <x:c r="C5" s="338" t="str">
        <x:v>NIWA / Earth Sciences New Zealand</x:v>
      </x:c>
      <x:c r="D5" s="338" t="str">
        <x:v>1991-2020 normals</x:v>
      </x:c>
      <x:c r="E5" s="373" t="n">
        <x:v>46248</x:v>
      </x:c>
      <x:c r="F5" s="338" t="str">
        <x:v>GREEN</x:v>
      </x:c>
      <x:c r="G5" s="338" t="str">
        <x:v>https://niwa.co.nz/sites/default/files/inline-images/mean_monthly_rainfall_1991-2020_1.xlsx</x:v>
      </x:c>
      <x:c r="H5" s="338" t="str">
        <x:v>Rainfall intensity is shown as context and does not directly set lost days.</x:v>
      </x:c>
    </x:row>
    <x:row r="6">
      <x:c r="A6" s="338" t="str">
        <x:v>SRC-WX-003</x:v>
      </x:c>
      <x:c r="B6" s="338" t="str">
        <x:v>Climate data landing page and reuse licence</x:v>
      </x:c>
      <x:c r="C6" s="338" t="str">
        <x:v>NIWA / Earth Sciences New Zealand</x:v>
      </x:c>
      <x:c r="D6" s="338" t="str">
        <x:v>Current page</x:v>
      </x:c>
      <x:c r="E6" s="373" t="n">
        <x:v>46248</x:v>
      </x:c>
      <x:c r="F6" s="338" t="str">
        <x:v>GREEN</x:v>
      </x:c>
      <x:c r="G6" s="338" t="str">
        <x:v>https://niwa.co.nz/climate-and-weather/climate-data-and-activities</x:v>
      </x:c>
      <x:c r="H6" s="338" t="str">
        <x:v>Downloads are published under Creative Commons Attribution 4.0.</x:v>
      </x:c>
    </x:row>
    <x:row r="7">
      <x:c r="A7" s="338" t="str">
        <x:v>SRC-WX-004</x:v>
      </x:c>
      <x:c r="B7" s="338" t="str">
        <x:v>Auckland gust-day proxy</x:v>
      </x:c>
      <x:c r="C7" s="338" t="str">
        <x:v>NIWA Auckland climate report</x:v>
      </x:c>
      <x:c r="D7" s="338" t="str">
        <x:v>Legacy regional climatology</x:v>
      </x:c>
      <x:c r="E7" s="373" t="n">
        <x:v>46248</x:v>
      </x:c>
      <x:c r="F7" s="338" t="str">
        <x:v>AMBER</x:v>
      </x:c>
      <x:c r="G7" s="338" t="str">
        <x:v>https://webstatic.niwa.co.nz/static/web/Auckland_Climate_NIWA.pdf</x:v>
      </x:c>
      <x:c r="H7" s="338" t="str">
        <x:v>55 days/year with gusts &gt;63 km/h. Monthly allocation is inferred from seasonal strong-wind shares; replace with threshold-aligned data where wind is material.</x:v>
      </x:c>
    </x:row>
    <x:row r="8">
      <x:c r="A8" s="338" t="str">
        <x:v>SRC-WX-005</x:v>
      </x:c>
      <x:c r="B8" s="338" t="str">
        <x:v>Task exposure, productivity, carryover and recovery factors</x:v>
      </x:c>
      <x:c r="C8" s="338" t="str">
        <x:v>Company estimating judgement</x:v>
      </x:c>
      <x:c r="D8" s="338" t="str">
        <x:v>Rev2 initial defaults</x:v>
      </x:c>
      <x:c r="E8" s="373" t="n">
        <x:v>46248</x:v>
      </x:c>
      <x:c r="F8" s="338" t="str">
        <x:v>AMBER</x:v>
      </x:c>
      <x:c r="G8" s="338" t="str">
        <x:v>Internal Task Library</x:v>
      </x:c>
      <x:c r="H8" s="338" t="str">
        <x:v>Uncalibrated starting points. Improve from Weather Log and independent review.</x:v>
      </x:c>
    </x:row>
    <x:row r="9">
      <x:c r="A9" s="338" t="str">
        <x:v>SRC-WX-006</x:v>
      </x:c>
      <x:c r="B9" s="338" t="str">
        <x:v>Local wet-day factor</x:v>
      </x:c>
      <x:c r="C9" s="338" t="str">
        <x:v>Project-specific evidence</x:v>
      </x:c>
      <x:c r="D9" s="338" t="str">
        <x:v>User input</x:v>
      </x:c>
      <x:c r="E9" s="373"/>
      <x:c r="F9" s="338" t="str">
        <x:v>RED until sourced when not 1.00</x:v>
      </x:c>
      <x:c r="G9" s="338" t="str">
        <x:v>Estimator input</x:v>
      </x:c>
      <x:c r="H9" s="338" t="str">
        <x:v>Record topography, station comparison, site history or other defensible basis.</x:v>
      </x:c>
    </x:row>
    <x:row r="10">
      <x:c r="A10" s="269"/>
      <x:c r="B10" s="269"/>
      <x:c r="C10" s="269"/>
      <x:c r="D10" s="269"/>
      <x:c r="E10" s="269"/>
      <x:c r="F10" s="269"/>
      <x:c r="G10" s="269"/>
      <x:c r="H10" s="269"/>
    </x:row>
    <x:row r="11">
      <x:c r="A11" s="269"/>
      <x:c r="B11" s="269"/>
      <x:c r="C11" s="269"/>
      <x:c r="D11" s="269"/>
      <x:c r="E11" s="269"/>
      <x:c r="F11" s="269"/>
      <x:c r="G11" s="269"/>
      <x:c r="H11" s="269"/>
    </x:row>
    <x:row r="12">
      <x:c r="A12" s="270" t="str">
        <x:v>Model Interpretation Rules</x:v>
      </x:c>
      <x:c r="B12" s="297" t="str">
        <x:v>Model Interpretation Rules</x:v>
      </x:c>
      <x:c r="C12" s="297" t="str">
        <x:v>Model Interpretation Rules</x:v>
      </x:c>
      <x:c r="D12" s="297" t="str">
        <x:v>Model Interpretation Rules</x:v>
      </x:c>
      <x:c r="E12" s="297" t="str">
        <x:v>Model Interpretation Rules</x:v>
      </x:c>
      <x:c r="F12" s="297" t="str">
        <x:v>Model Interpretation Rules</x:v>
      </x:c>
      <x:c r="G12" s="297" t="str">
        <x:v>Model Interpretation Rules</x:v>
      </x:c>
      <x:c r="H12" s="271" t="str">
        <x:v>Model Interpretation Rules</x:v>
      </x:c>
    </x:row>
    <x:row r="13">
      <x:c r="A13" s="377" t="str">
        <x:v>1</x:v>
      </x:c>
      <x:c r="B13" s="377" t="str">
        <x:v>The output is a planning allowance based on long-run climate normals, not a weather forecast or guaranteed loss.</x:v>
      </x:c>
      <x:c r="C13" s="377"/>
      <x:c r="D13" s="377"/>
      <x:c r="E13" s="377"/>
      <x:c r="F13" s="377"/>
      <x:c r="G13" s="377"/>
      <x:c r="H13" s="377"/>
    </x:row>
    <x:row r="14">
      <x:c r="A14" s="377" t="str">
        <x:v>2</x:v>
      </x:c>
      <x:c r="B14" s="377" t="str">
        <x:v>Dates determine the monthly climate weighting and workday count. They do not predict weather on a particular day.</x:v>
      </x:c>
      <x:c r="C14" s="377"/>
      <x:c r="D14" s="377"/>
      <x:c r="E14" s="377"/>
      <x:c r="F14" s="377"/>
      <x:c r="G14" s="377"/>
      <x:c r="H14" s="377"/>
    </x:row>
    <x:row r="15">
      <x:c r="A15" s="377" t="str">
        <x:v>3</x:v>
      </x:c>
      <x:c r="B15" s="377" t="str">
        <x:v>Rain, wet-ground carryover, wind, direct productivity, critical-path delay, time-related preliminaries, hire and recovery are separate cost drivers.</x:v>
      </x:c>
      <x:c r="C15" s="377"/>
      <x:c r="D15" s="377"/>
      <x:c r="E15" s="377"/>
      <x:c r="F15" s="377"/>
      <x:c r="G15" s="377"/>
      <x:c r="H15" s="377"/>
    </x:row>
    <x:row r="16">
      <x:c r="A16" s="377" t="str">
        <x:v>4</x:v>
      </x:c>
      <x:c r="B16" s="377" t="str">
        <x:v>Do not sum programme delay across concurrent tasks. Use only the verified critical path from the programme.</x:v>
      </x:c>
      <x:c r="C16" s="377"/>
      <x:c r="D16" s="377"/>
      <x:c r="E16" s="377"/>
      <x:c r="F16" s="377"/>
      <x:c r="G16" s="377"/>
      <x:c r="H16" s="377"/>
    </x:row>
    <x:row r="17">
      <x:c r="A17" s="377" t="str">
        <x:v>5</x:v>
      </x:c>
      <x:c r="B17" s="377" t="str">
        <x:v>Task factors are AMBER until actual company data and an independent review support change control.</x:v>
      </x:c>
      <x:c r="C17" s="377"/>
      <x:c r="D17" s="377"/>
      <x:c r="E17" s="377"/>
      <x:c r="F17" s="377"/>
      <x:c r="G17" s="377"/>
      <x:c r="H17" s="377"/>
    </x:row>
    <x:row r="18">
      <x:c r="A18" s="377" t="str">
        <x:v>6</x:v>
      </x:c>
      <x:c r="B18" s="377" t="str">
        <x:v>If the site is outside 2025-2040 date-engine coverage, update the engine before use.</x:v>
      </x:c>
      <x:c r="C18" s="377"/>
      <x:c r="D18" s="377"/>
      <x:c r="E18" s="377"/>
      <x:c r="F18" s="377"/>
      <x:c r="G18" s="377"/>
      <x:c r="H18" s="377"/>
    </x:row>
    <x:row r="19">
      <x:c r="A19" s="377" t="str">
        <x:v>7</x:v>
      </x:c>
      <x:c r="B19" s="377" t="str">
        <x:v>If the selected location is not Auckland and wind is material, supply threshold-aligned wind data or exclude / qualify the wind risk.</x:v>
      </x:c>
      <x:c r="C19" s="377"/>
      <x:c r="D19" s="377"/>
      <x:c r="E19" s="377"/>
      <x:c r="F19" s="377"/>
      <x:c r="G19" s="377"/>
      <x:c r="H19" s="377"/>
    </x:row>
  </x:sheetData>
  <x:mergeCells>
    <x:mergeCell ref="A1:H1"/>
    <x:mergeCell ref="A12:H12"/>
    <x:mergeCell ref="B13:H13"/>
    <x:mergeCell ref="B14:H14"/>
    <x:mergeCell ref="B15:H15"/>
    <x:mergeCell ref="B16:H16"/>
    <x:mergeCell ref="B17:H17"/>
    <x:mergeCell ref="B18:H18"/>
    <x:mergeCell ref="B19:H19"/>
  </x:mergeCells>
  <x:conditionalFormatting sqref="F4:F9">
    <x:cfRule type="containsText" dxfId="28" priority="1" operator="containsText" text="GREEN"/>
    <x:cfRule type="containsText" dxfId="29" priority="2" operator="containsText" text="AMBER"/>
    <x:cfRule type="containsText" dxfId="30" priority="3" operator="containsText" text="RED"/>
    <x:cfRule type="containsText" dxfId="31" priority="4" operator="containsText" text="UNCALIBRAT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316" t="str">
        <x:v>Date Engine - 2025 to 2040</x:v>
      </x:c>
      <x:c r="B1" s="268" t="str">
        <x:v>Date Engine - 2025 to 2040</x:v>
      </x:c>
      <x:c r="C1" s="268" t="str">
        <x:v>Date Engine - 2025 to 2040</x:v>
      </x:c>
      <x:c r="D1" s="268" t="str">
        <x:v>Date Engine - 2025 to 2040</x:v>
      </x:c>
      <x:c r="E1" s="268" t="str">
        <x:v>Date Engine - 2025 to 2040</x:v>
      </x:c>
      <x:c r="F1" s="268" t="str">
        <x:v>Date Engine - 2025 to 2040</x:v>
      </x:c>
      <x:c r="G1" s="268" t="str">
        <x:v>Date Engine - 2025 to 2040</x:v>
      </x:c>
      <x:c r="H1" s="268" t="str">
        <x:v>Date Engine - 2025 to 2040</x:v>
      </x:c>
      <x:c r="I1" s="268" t="str">
        <x:v>Date Engine - 2025 to 2040</x:v>
      </x:c>
      <x:c r="J1" s="268" t="str">
        <x:v>Date Engine - 2025 to 2040</x:v>
      </x:c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</x:row>
    <x:row r="3">
      <x:c r="A3" s="339" t="str">
        <x:v>Calculation support sheet. Workday flags follow the Estimator working-days-per-week input. Public holidays and shutdowns are not included; use the working-days override once the contract calendar is known.</x:v>
      </x:c>
      <x:c r="B3" s="339"/>
      <x:c r="C3" s="339"/>
      <x:c r="D3" s="339"/>
      <x:c r="E3" s="339"/>
      <x:c r="F3" s="339"/>
      <x:c r="G3" s="339"/>
      <x:c r="H3" s="339"/>
      <x:c r="I3" s="339"/>
      <x:c r="J3" s="339"/>
    </x:row>
    <x:row r="4">
      <x:c r="A4" s="339"/>
      <x:c r="B4" s="339"/>
      <x:c r="C4" s="339"/>
      <x:c r="D4" s="339"/>
      <x:c r="E4" s="339"/>
      <x:c r="F4" s="339"/>
      <x:c r="G4" s="339"/>
      <x:c r="H4" s="339"/>
      <x:c r="I4" s="339"/>
      <x:c r="J4" s="339"/>
    </x:row>
    <x:row r="5">
      <x:c r="A5" s="269"/>
      <x:c r="B5" s="269"/>
      <x:c r="C5" s="269"/>
      <x:c r="D5" s="269"/>
      <x:c r="E5" s="269"/>
      <x:c r="F5" s="269"/>
      <x:c r="G5" s="269"/>
      <x:c r="H5" s="269"/>
      <x:c r="I5" s="269"/>
      <x:c r="J5" s="269"/>
    </x:row>
    <x:row r="6">
      <x:c r="A6" s="378" t="str">
        <x:v>Date</x:v>
      </x:c>
      <x:c r="B6" s="378" t="str">
        <x:v>Year</x:v>
      </x:c>
      <x:c r="C6" s="378" t="str">
        <x:v>Month #</x:v>
      </x:c>
      <x:c r="D6" s="378" t="str">
        <x:v>Month</x:v>
      </x:c>
      <x:c r="E6" s="378" t="str">
        <x:v>Day</x:v>
      </x:c>
      <x:c r="F6" s="378" t="str">
        <x:v>Weekday #</x:v>
      </x:c>
      <x:c r="G6" s="378" t="str">
        <x:v>Standard Workday</x:v>
      </x:c>
      <x:c r="H6" s="378" t="str">
        <x:v>Daily Wet-Day Probability</x:v>
      </x:c>
      <x:c r="I6" s="378" t="str">
        <x:v>Mean Rain per Wet Day (mm)</x:v>
      </x:c>
      <x:c r="J6" s="378" t="str">
        <x:v>Daily Wind Proxy Probability</x:v>
      </x:c>
    </x:row>
    <x:row r="7">
      <x:c r="A7" s="379" t="n">
        <x:v>45658</x:v>
      </x:c>
      <x:c r="B7" s="380" t="n">
        <x:v>2025</x:v>
      </x:c>
      <x:c r="C7" s="380" t="n">
        <x:v>1</x:v>
      </x:c>
      <x:c r="D7" s="380" t="str">
        <x:v>Jan</x:v>
      </x:c>
      <x:c r="E7" s="380" t="n">
        <x:v>1</x:v>
      </x:c>
      <x:c r="F7" s="380" t="n">
        <x:v>3</x:v>
      </x:c>
      <x:c r="G7" s="380" t="n">
        <x:f>--(F7&lt;='Estimator'!$B$7)</x:f>
        <x:v>1</x:v>
      </x:c>
      <x:c r="H7" s="381" t="n">
        <x:f>SUMIFS('Climate Data'!$G$7:$G$366,'Climate Data'!$A$7:$A$366,'Estimator'!$B$4,'Climate Data'!$B$7:$B$366,C7)</x:f>
        <x:v>0.21802002224694106</x:v>
      </x:c>
      <x:c r="I7" s="382" t="n">
        <x:f>SUMIFS('Climate Data'!$H$7:$H$366,'Climate Data'!$A$7:$A$366,'Estimator'!$B$4,'Climate Data'!$B$7:$B$366,C7)</x:f>
        <x:v>8.596428571428572</x:v>
      </x:c>
      <x:c r="J7" s="381" t="n">
        <x:f>SUMIFS('Wind Proxy'!$H$8:$H$19,'Wind Proxy'!$A$8:$A$19,'Estimator'!$B$4,'Wind Proxy'!$B$8:$B$19,C7)</x:f>
        <x:v>0.12544802867383514</x:v>
      </x:c>
    </x:row>
    <x:row r="8">
      <x:c r="A8" s="379" t="n">
        <x:v>45659</x:v>
      </x:c>
      <x:c r="B8" s="380" t="n">
        <x:v>2025</x:v>
      </x:c>
      <x:c r="C8" s="380" t="n">
        <x:v>1</x:v>
      </x:c>
      <x:c r="D8" s="380" t="str">
        <x:v>Jan</x:v>
      </x:c>
      <x:c r="E8" s="380" t="n">
        <x:v>2</x:v>
      </x:c>
      <x:c r="F8" s="380" t="n">
        <x:v>4</x:v>
      </x:c>
      <x:c r="G8" s="380" t="n">
        <x:f>--(F8&lt;='Estimator'!$B$7)</x:f>
        <x:v>1</x:v>
      </x:c>
      <x:c r="H8" s="381" t="n">
        <x:f>SUMIFS('Climate Data'!$G$7:$G$366,'Climate Data'!$A$7:$A$366,'Estimator'!$B$4,'Climate Data'!$B$7:$B$366,C8)</x:f>
        <x:v>0.21802002224694106</x:v>
      </x:c>
      <x:c r="I8" s="382" t="n">
        <x:f>SUMIFS('Climate Data'!$H$7:$H$366,'Climate Data'!$A$7:$A$366,'Estimator'!$B$4,'Climate Data'!$B$7:$B$366,C8)</x:f>
        <x:v>8.596428571428572</x:v>
      </x:c>
      <x:c r="J8" s="381" t="n">
        <x:f>SUMIFS('Wind Proxy'!$H$8:$H$19,'Wind Proxy'!$A$8:$A$19,'Estimator'!$B$4,'Wind Proxy'!$B$8:$B$19,C8)</x:f>
        <x:v>0.12544802867383514</x:v>
      </x:c>
    </x:row>
    <x:row r="9">
      <x:c r="A9" s="379" t="n">
        <x:v>45660</x:v>
      </x:c>
      <x:c r="B9" s="380" t="n">
        <x:v>2025</x:v>
      </x:c>
      <x:c r="C9" s="380" t="n">
        <x:v>1</x:v>
      </x:c>
      <x:c r="D9" s="380" t="str">
        <x:v>Jan</x:v>
      </x:c>
      <x:c r="E9" s="380" t="n">
        <x:v>3</x:v>
      </x:c>
      <x:c r="F9" s="380" t="n">
        <x:v>5</x:v>
      </x:c>
      <x:c r="G9" s="380" t="n">
        <x:f>--(F9&lt;='Estimator'!$B$7)</x:f>
        <x:v>1</x:v>
      </x:c>
      <x:c r="H9" s="381" t="n">
        <x:f>SUMIFS('Climate Data'!$G$7:$G$366,'Climate Data'!$A$7:$A$366,'Estimator'!$B$4,'Climate Data'!$B$7:$B$366,C9)</x:f>
        <x:v>0.21802002224694106</x:v>
      </x:c>
      <x:c r="I9" s="382" t="n">
        <x:f>SUMIFS('Climate Data'!$H$7:$H$366,'Climate Data'!$A$7:$A$366,'Estimator'!$B$4,'Climate Data'!$B$7:$B$366,C9)</x:f>
        <x:v>8.596428571428572</x:v>
      </x:c>
      <x:c r="J9" s="381" t="n">
        <x:f>SUMIFS('Wind Proxy'!$H$8:$H$19,'Wind Proxy'!$A$8:$A$19,'Estimator'!$B$4,'Wind Proxy'!$B$8:$B$19,C9)</x:f>
        <x:v>0.12544802867383514</x:v>
      </x:c>
    </x:row>
    <x:row r="10">
      <x:c r="A10" s="379" t="n">
        <x:v>45661</x:v>
      </x:c>
      <x:c r="B10" s="380" t="n">
        <x:v>2025</x:v>
      </x:c>
      <x:c r="C10" s="380" t="n">
        <x:v>1</x:v>
      </x:c>
      <x:c r="D10" s="380" t="str">
        <x:v>Jan</x:v>
      </x:c>
      <x:c r="E10" s="380" t="n">
        <x:v>4</x:v>
      </x:c>
      <x:c r="F10" s="380" t="n">
        <x:v>6</x:v>
      </x:c>
      <x:c r="G10" s="380" t="n">
        <x:f>--(F10&lt;='Estimator'!$B$7)</x:f>
        <x:v>0</x:v>
      </x:c>
      <x:c r="H10" s="381" t="n">
        <x:f>SUMIFS('Climate Data'!$G$7:$G$366,'Climate Data'!$A$7:$A$366,'Estimator'!$B$4,'Climate Data'!$B$7:$B$366,C10)</x:f>
        <x:v>0.21802002224694106</x:v>
      </x:c>
      <x:c r="I10" s="382" t="n">
        <x:f>SUMIFS('Climate Data'!$H$7:$H$366,'Climate Data'!$A$7:$A$366,'Estimator'!$B$4,'Climate Data'!$B$7:$B$366,C10)</x:f>
        <x:v>8.596428571428572</x:v>
      </x:c>
      <x:c r="J10" s="381" t="n">
        <x:f>SUMIFS('Wind Proxy'!$H$8:$H$19,'Wind Proxy'!$A$8:$A$19,'Estimator'!$B$4,'Wind Proxy'!$B$8:$B$19,C10)</x:f>
        <x:v>0.12544802867383514</x:v>
      </x:c>
    </x:row>
    <x:row r="11">
      <x:c r="A11" s="379" t="n">
        <x:v>45662</x:v>
      </x:c>
      <x:c r="B11" s="380" t="n">
        <x:v>2025</x:v>
      </x:c>
      <x:c r="C11" s="380" t="n">
        <x:v>1</x:v>
      </x:c>
      <x:c r="D11" s="380" t="str">
        <x:v>Jan</x:v>
      </x:c>
      <x:c r="E11" s="380" t="n">
        <x:v>5</x:v>
      </x:c>
      <x:c r="F11" s="380" t="n">
        <x:v>7</x:v>
      </x:c>
      <x:c r="G11" s="380" t="n">
        <x:f>--(F11&lt;='Estimator'!$B$7)</x:f>
        <x:v>0</x:v>
      </x:c>
      <x:c r="H11" s="381" t="n">
        <x:f>SUMIFS('Climate Data'!$G$7:$G$366,'Climate Data'!$A$7:$A$366,'Estimator'!$B$4,'Climate Data'!$B$7:$B$366,C11)</x:f>
        <x:v>0.21802002224694106</x:v>
      </x:c>
      <x:c r="I11" s="382" t="n">
        <x:f>SUMIFS('Climate Data'!$H$7:$H$366,'Climate Data'!$A$7:$A$366,'Estimator'!$B$4,'Climate Data'!$B$7:$B$366,C11)</x:f>
        <x:v>8.596428571428572</x:v>
      </x:c>
      <x:c r="J11" s="381" t="n">
        <x:f>SUMIFS('Wind Proxy'!$H$8:$H$19,'Wind Proxy'!$A$8:$A$19,'Estimator'!$B$4,'Wind Proxy'!$B$8:$B$19,C11)</x:f>
        <x:v>0.12544802867383514</x:v>
      </x:c>
    </x:row>
    <x:row r="12">
      <x:c r="A12" s="379" t="n">
        <x:v>45663</x:v>
      </x:c>
      <x:c r="B12" s="380" t="n">
        <x:v>2025</x:v>
      </x:c>
      <x:c r="C12" s="380" t="n">
        <x:v>1</x:v>
      </x:c>
      <x:c r="D12" s="380" t="str">
        <x:v>Jan</x:v>
      </x:c>
      <x:c r="E12" s="380" t="n">
        <x:v>6</x:v>
      </x:c>
      <x:c r="F12" s="380" t="n">
        <x:v>1</x:v>
      </x:c>
      <x:c r="G12" s="380" t="n">
        <x:f>--(F12&lt;='Estimator'!$B$7)</x:f>
        <x:v>1</x:v>
      </x:c>
      <x:c r="H12" s="381" t="n">
        <x:f>SUMIFS('Climate Data'!$G$7:$G$366,'Climate Data'!$A$7:$A$366,'Estimator'!$B$4,'Climate Data'!$B$7:$B$366,C12)</x:f>
        <x:v>0.21802002224694106</x:v>
      </x:c>
      <x:c r="I12" s="382" t="n">
        <x:f>SUMIFS('Climate Data'!$H$7:$H$366,'Climate Data'!$A$7:$A$366,'Estimator'!$B$4,'Climate Data'!$B$7:$B$366,C12)</x:f>
        <x:v>8.596428571428572</x:v>
      </x:c>
      <x:c r="J12" s="381" t="n">
        <x:f>SUMIFS('Wind Proxy'!$H$8:$H$19,'Wind Proxy'!$A$8:$A$19,'Estimator'!$B$4,'Wind Proxy'!$B$8:$B$19,C12)</x:f>
        <x:v>0.12544802867383514</x:v>
      </x:c>
    </x:row>
    <x:row r="13">
      <x:c r="A13" s="379" t="n">
        <x:v>45664</x:v>
      </x:c>
      <x:c r="B13" s="380" t="n">
        <x:v>2025</x:v>
      </x:c>
      <x:c r="C13" s="380" t="n">
        <x:v>1</x:v>
      </x:c>
      <x:c r="D13" s="380" t="str">
        <x:v>Jan</x:v>
      </x:c>
      <x:c r="E13" s="380" t="n">
        <x:v>7</x:v>
      </x:c>
      <x:c r="F13" s="380" t="n">
        <x:v>2</x:v>
      </x:c>
      <x:c r="G13" s="380" t="n">
        <x:f>--(F13&lt;='Estimator'!$B$7)</x:f>
        <x:v>1</x:v>
      </x:c>
      <x:c r="H13" s="381" t="n">
        <x:f>SUMIFS('Climate Data'!$G$7:$G$366,'Climate Data'!$A$7:$A$366,'Estimator'!$B$4,'Climate Data'!$B$7:$B$366,C13)</x:f>
        <x:v>0.21802002224694106</x:v>
      </x:c>
      <x:c r="I13" s="382" t="n">
        <x:f>SUMIFS('Climate Data'!$H$7:$H$366,'Climate Data'!$A$7:$A$366,'Estimator'!$B$4,'Climate Data'!$B$7:$B$366,C13)</x:f>
        <x:v>8.596428571428572</x:v>
      </x:c>
      <x:c r="J13" s="381" t="n">
        <x:f>SUMIFS('Wind Proxy'!$H$8:$H$19,'Wind Proxy'!$A$8:$A$19,'Estimator'!$B$4,'Wind Proxy'!$B$8:$B$19,C13)</x:f>
        <x:v>0.12544802867383514</x:v>
      </x:c>
    </x:row>
    <x:row r="14">
      <x:c r="A14" s="379" t="n">
        <x:v>45665</x:v>
      </x:c>
      <x:c r="B14" s="380" t="n">
        <x:v>2025</x:v>
      </x:c>
      <x:c r="C14" s="380" t="n">
        <x:v>1</x:v>
      </x:c>
      <x:c r="D14" s="380" t="str">
        <x:v>Jan</x:v>
      </x:c>
      <x:c r="E14" s="380" t="n">
        <x:v>8</x:v>
      </x:c>
      <x:c r="F14" s="380" t="n">
        <x:v>3</x:v>
      </x:c>
      <x:c r="G14" s="380" t="n">
        <x:f>--(F14&lt;='Estimator'!$B$7)</x:f>
        <x:v>1</x:v>
      </x:c>
      <x:c r="H14" s="381" t="n">
        <x:f>SUMIFS('Climate Data'!$G$7:$G$366,'Climate Data'!$A$7:$A$366,'Estimator'!$B$4,'Climate Data'!$B$7:$B$366,C14)</x:f>
        <x:v>0.21802002224694106</x:v>
      </x:c>
      <x:c r="I14" s="382" t="n">
        <x:f>SUMIFS('Climate Data'!$H$7:$H$366,'Climate Data'!$A$7:$A$366,'Estimator'!$B$4,'Climate Data'!$B$7:$B$366,C14)</x:f>
        <x:v>8.596428571428572</x:v>
      </x:c>
      <x:c r="J14" s="381" t="n">
        <x:f>SUMIFS('Wind Proxy'!$H$8:$H$19,'Wind Proxy'!$A$8:$A$19,'Estimator'!$B$4,'Wind Proxy'!$B$8:$B$19,C14)</x:f>
        <x:v>0.12544802867383514</x:v>
      </x:c>
    </x:row>
    <x:row r="15">
      <x:c r="A15" s="379" t="n">
        <x:v>45666</x:v>
      </x:c>
      <x:c r="B15" s="380" t="n">
        <x:v>2025</x:v>
      </x:c>
      <x:c r="C15" s="380" t="n">
        <x:v>1</x:v>
      </x:c>
      <x:c r="D15" s="380" t="str">
        <x:v>Jan</x:v>
      </x:c>
      <x:c r="E15" s="380" t="n">
        <x:v>9</x:v>
      </x:c>
      <x:c r="F15" s="380" t="n">
        <x:v>4</x:v>
      </x:c>
      <x:c r="G15" s="380" t="n">
        <x:f>--(F15&lt;='Estimator'!$B$7)</x:f>
        <x:v>1</x:v>
      </x:c>
      <x:c r="H15" s="381" t="n">
        <x:f>SUMIFS('Climate Data'!$G$7:$G$366,'Climate Data'!$A$7:$A$366,'Estimator'!$B$4,'Climate Data'!$B$7:$B$366,C15)</x:f>
        <x:v>0.21802002224694106</x:v>
      </x:c>
      <x:c r="I15" s="382" t="n">
        <x:f>SUMIFS('Climate Data'!$H$7:$H$366,'Climate Data'!$A$7:$A$366,'Estimator'!$B$4,'Climate Data'!$B$7:$B$366,C15)</x:f>
        <x:v>8.596428571428572</x:v>
      </x:c>
      <x:c r="J15" s="381" t="n">
        <x:f>SUMIFS('Wind Proxy'!$H$8:$H$19,'Wind Proxy'!$A$8:$A$19,'Estimator'!$B$4,'Wind Proxy'!$B$8:$B$19,C15)</x:f>
        <x:v>0.12544802867383514</x:v>
      </x:c>
    </x:row>
    <x:row r="16">
      <x:c r="A16" s="379" t="n">
        <x:v>45667</x:v>
      </x:c>
      <x:c r="B16" s="380" t="n">
        <x:v>2025</x:v>
      </x:c>
      <x:c r="C16" s="380" t="n">
        <x:v>1</x:v>
      </x:c>
      <x:c r="D16" s="380" t="str">
        <x:v>Jan</x:v>
      </x:c>
      <x:c r="E16" s="380" t="n">
        <x:v>10</x:v>
      </x:c>
      <x:c r="F16" s="380" t="n">
        <x:v>5</x:v>
      </x:c>
      <x:c r="G16" s="380" t="n">
        <x:f>--(F16&lt;='Estimator'!$B$7)</x:f>
        <x:v>1</x:v>
      </x:c>
      <x:c r="H16" s="381" t="n">
        <x:f>SUMIFS('Climate Data'!$G$7:$G$366,'Climate Data'!$A$7:$A$366,'Estimator'!$B$4,'Climate Data'!$B$7:$B$366,C16)</x:f>
        <x:v>0.21802002224694106</x:v>
      </x:c>
      <x:c r="I16" s="382" t="n">
        <x:f>SUMIFS('Climate Data'!$H$7:$H$366,'Climate Data'!$A$7:$A$366,'Estimator'!$B$4,'Climate Data'!$B$7:$B$366,C16)</x:f>
        <x:v>8.596428571428572</x:v>
      </x:c>
      <x:c r="J16" s="381" t="n">
        <x:f>SUMIFS('Wind Proxy'!$H$8:$H$19,'Wind Proxy'!$A$8:$A$19,'Estimator'!$B$4,'Wind Proxy'!$B$8:$B$19,C16)</x:f>
        <x:v>0.12544802867383514</x:v>
      </x:c>
    </x:row>
    <x:row r="17">
      <x:c r="A17" s="379" t="n">
        <x:v>45668</x:v>
      </x:c>
      <x:c r="B17" s="380" t="n">
        <x:v>2025</x:v>
      </x:c>
      <x:c r="C17" s="380" t="n">
        <x:v>1</x:v>
      </x:c>
      <x:c r="D17" s="380" t="str">
        <x:v>Jan</x:v>
      </x:c>
      <x:c r="E17" s="380" t="n">
        <x:v>11</x:v>
      </x:c>
      <x:c r="F17" s="380" t="n">
        <x:v>6</x:v>
      </x:c>
      <x:c r="G17" s="380" t="n">
        <x:f>--(F17&lt;='Estimator'!$B$7)</x:f>
        <x:v>0</x:v>
      </x:c>
      <x:c r="H17" s="381" t="n">
        <x:f>SUMIFS('Climate Data'!$G$7:$G$366,'Climate Data'!$A$7:$A$366,'Estimator'!$B$4,'Climate Data'!$B$7:$B$366,C17)</x:f>
        <x:v>0.21802002224694106</x:v>
      </x:c>
      <x:c r="I17" s="382" t="n">
        <x:f>SUMIFS('Climate Data'!$H$7:$H$366,'Climate Data'!$A$7:$A$366,'Estimator'!$B$4,'Climate Data'!$B$7:$B$366,C17)</x:f>
        <x:v>8.596428571428572</x:v>
      </x:c>
      <x:c r="J17" s="381" t="n">
        <x:f>SUMIFS('Wind Proxy'!$H$8:$H$19,'Wind Proxy'!$A$8:$A$19,'Estimator'!$B$4,'Wind Proxy'!$B$8:$B$19,C17)</x:f>
        <x:v>0.12544802867383514</x:v>
      </x:c>
    </x:row>
    <x:row r="18">
      <x:c r="A18" s="379" t="n">
        <x:v>45669</x:v>
      </x:c>
      <x:c r="B18" s="380" t="n">
        <x:v>2025</x:v>
      </x:c>
      <x:c r="C18" s="380" t="n">
        <x:v>1</x:v>
      </x:c>
      <x:c r="D18" s="380" t="str">
        <x:v>Jan</x:v>
      </x:c>
      <x:c r="E18" s="380" t="n">
        <x:v>12</x:v>
      </x:c>
      <x:c r="F18" s="380" t="n">
        <x:v>7</x:v>
      </x:c>
      <x:c r="G18" s="380" t="n">
        <x:f>--(F18&lt;='Estimator'!$B$7)</x:f>
        <x:v>0</x:v>
      </x:c>
      <x:c r="H18" s="381" t="n">
        <x:f>SUMIFS('Climate Data'!$G$7:$G$366,'Climate Data'!$A$7:$A$366,'Estimator'!$B$4,'Climate Data'!$B$7:$B$366,C18)</x:f>
        <x:v>0.21802002224694106</x:v>
      </x:c>
      <x:c r="I18" s="382" t="n">
        <x:f>SUMIFS('Climate Data'!$H$7:$H$366,'Climate Data'!$A$7:$A$366,'Estimator'!$B$4,'Climate Data'!$B$7:$B$366,C18)</x:f>
        <x:v>8.596428571428572</x:v>
      </x:c>
      <x:c r="J18" s="381" t="n">
        <x:f>SUMIFS('Wind Proxy'!$H$8:$H$19,'Wind Proxy'!$A$8:$A$19,'Estimator'!$B$4,'Wind Proxy'!$B$8:$B$19,C18)</x:f>
        <x:v>0.12544802867383514</x:v>
      </x:c>
    </x:row>
    <x:row r="19">
      <x:c r="A19" s="379" t="n">
        <x:v>45670</x:v>
      </x:c>
      <x:c r="B19" s="380" t="n">
        <x:v>2025</x:v>
      </x:c>
      <x:c r="C19" s="380" t="n">
        <x:v>1</x:v>
      </x:c>
      <x:c r="D19" s="380" t="str">
        <x:v>Jan</x:v>
      </x:c>
      <x:c r="E19" s="380" t="n">
        <x:v>13</x:v>
      </x:c>
      <x:c r="F19" s="380" t="n">
        <x:v>1</x:v>
      </x:c>
      <x:c r="G19" s="380" t="n">
        <x:f>--(F19&lt;='Estimator'!$B$7)</x:f>
        <x:v>1</x:v>
      </x:c>
      <x:c r="H19" s="381" t="n">
        <x:f>SUMIFS('Climate Data'!$G$7:$G$366,'Climate Data'!$A$7:$A$366,'Estimator'!$B$4,'Climate Data'!$B$7:$B$366,C19)</x:f>
        <x:v>0.21802002224694106</x:v>
      </x:c>
      <x:c r="I19" s="382" t="n">
        <x:f>SUMIFS('Climate Data'!$H$7:$H$366,'Climate Data'!$A$7:$A$366,'Estimator'!$B$4,'Climate Data'!$B$7:$B$366,C19)</x:f>
        <x:v>8.596428571428572</x:v>
      </x:c>
      <x:c r="J19" s="381" t="n">
        <x:f>SUMIFS('Wind Proxy'!$H$8:$H$19,'Wind Proxy'!$A$8:$A$19,'Estimator'!$B$4,'Wind Proxy'!$B$8:$B$19,C19)</x:f>
        <x:v>0.12544802867383514</x:v>
      </x:c>
    </x:row>
    <x:row r="20">
      <x:c r="A20" s="379" t="n">
        <x:v>45671</x:v>
      </x:c>
      <x:c r="B20" s="380" t="n">
        <x:v>2025</x:v>
      </x:c>
      <x:c r="C20" s="380" t="n">
        <x:v>1</x:v>
      </x:c>
      <x:c r="D20" s="380" t="str">
        <x:v>Jan</x:v>
      </x:c>
      <x:c r="E20" s="380" t="n">
        <x:v>14</x:v>
      </x:c>
      <x:c r="F20" s="380" t="n">
        <x:v>2</x:v>
      </x:c>
      <x:c r="G20" s="380" t="n">
        <x:f>--(F20&lt;='Estimator'!$B$7)</x:f>
        <x:v>1</x:v>
      </x:c>
      <x:c r="H20" s="381" t="n">
        <x:f>SUMIFS('Climate Data'!$G$7:$G$366,'Climate Data'!$A$7:$A$366,'Estimator'!$B$4,'Climate Data'!$B$7:$B$366,C20)</x:f>
        <x:v>0.21802002224694106</x:v>
      </x:c>
      <x:c r="I20" s="382" t="n">
        <x:f>SUMIFS('Climate Data'!$H$7:$H$366,'Climate Data'!$A$7:$A$366,'Estimator'!$B$4,'Climate Data'!$B$7:$B$366,C20)</x:f>
        <x:v>8.596428571428572</x:v>
      </x:c>
      <x:c r="J20" s="381" t="n">
        <x:f>SUMIFS('Wind Proxy'!$H$8:$H$19,'Wind Proxy'!$A$8:$A$19,'Estimator'!$B$4,'Wind Proxy'!$B$8:$B$19,C20)</x:f>
        <x:v>0.12544802867383514</x:v>
      </x:c>
    </x:row>
    <x:row r="21">
      <x:c r="A21" s="379" t="n">
        <x:v>45672</x:v>
      </x:c>
      <x:c r="B21" s="380" t="n">
        <x:v>2025</x:v>
      </x:c>
      <x:c r="C21" s="380" t="n">
        <x:v>1</x:v>
      </x:c>
      <x:c r="D21" s="380" t="str">
        <x:v>Jan</x:v>
      </x:c>
      <x:c r="E21" s="380" t="n">
        <x:v>15</x:v>
      </x:c>
      <x:c r="F21" s="380" t="n">
        <x:v>3</x:v>
      </x:c>
      <x:c r="G21" s="380" t="n">
        <x:f>--(F21&lt;='Estimator'!$B$7)</x:f>
        <x:v>1</x:v>
      </x:c>
      <x:c r="H21" s="381" t="n">
        <x:f>SUMIFS('Climate Data'!$G$7:$G$366,'Climate Data'!$A$7:$A$366,'Estimator'!$B$4,'Climate Data'!$B$7:$B$366,C21)</x:f>
        <x:v>0.21802002224694106</x:v>
      </x:c>
      <x:c r="I21" s="382" t="n">
        <x:f>SUMIFS('Climate Data'!$H$7:$H$366,'Climate Data'!$A$7:$A$366,'Estimator'!$B$4,'Climate Data'!$B$7:$B$366,C21)</x:f>
        <x:v>8.596428571428572</x:v>
      </x:c>
      <x:c r="J21" s="381" t="n">
        <x:f>SUMIFS('Wind Proxy'!$H$8:$H$19,'Wind Proxy'!$A$8:$A$19,'Estimator'!$B$4,'Wind Proxy'!$B$8:$B$19,C21)</x:f>
        <x:v>0.12544802867383514</x:v>
      </x:c>
    </x:row>
    <x:row r="22">
      <x:c r="A22" s="379" t="n">
        <x:v>45673</x:v>
      </x:c>
      <x:c r="B22" s="380" t="n">
        <x:v>2025</x:v>
      </x:c>
      <x:c r="C22" s="380" t="n">
        <x:v>1</x:v>
      </x:c>
      <x:c r="D22" s="380" t="str">
        <x:v>Jan</x:v>
      </x:c>
      <x:c r="E22" s="380" t="n">
        <x:v>16</x:v>
      </x:c>
      <x:c r="F22" s="380" t="n">
        <x:v>4</x:v>
      </x:c>
      <x:c r="G22" s="380" t="n">
        <x:f>--(F22&lt;='Estimator'!$B$7)</x:f>
        <x:v>1</x:v>
      </x:c>
      <x:c r="H22" s="381" t="n">
        <x:f>SUMIFS('Climate Data'!$G$7:$G$366,'Climate Data'!$A$7:$A$366,'Estimator'!$B$4,'Climate Data'!$B$7:$B$366,C22)</x:f>
        <x:v>0.21802002224694106</x:v>
      </x:c>
      <x:c r="I22" s="382" t="n">
        <x:f>SUMIFS('Climate Data'!$H$7:$H$366,'Climate Data'!$A$7:$A$366,'Estimator'!$B$4,'Climate Data'!$B$7:$B$366,C22)</x:f>
        <x:v>8.596428571428572</x:v>
      </x:c>
      <x:c r="J22" s="381" t="n">
        <x:f>SUMIFS('Wind Proxy'!$H$8:$H$19,'Wind Proxy'!$A$8:$A$19,'Estimator'!$B$4,'Wind Proxy'!$B$8:$B$19,C22)</x:f>
        <x:v>0.12544802867383514</x:v>
      </x:c>
    </x:row>
    <x:row r="23">
      <x:c r="A23" s="379" t="n">
        <x:v>45674</x:v>
      </x:c>
      <x:c r="B23" s="380" t="n">
        <x:v>2025</x:v>
      </x:c>
      <x:c r="C23" s="380" t="n">
        <x:v>1</x:v>
      </x:c>
      <x:c r="D23" s="380" t="str">
        <x:v>Jan</x:v>
      </x:c>
      <x:c r="E23" s="380" t="n">
        <x:v>17</x:v>
      </x:c>
      <x:c r="F23" s="380" t="n">
        <x:v>5</x:v>
      </x:c>
      <x:c r="G23" s="380" t="n">
        <x:f>--(F23&lt;='Estimator'!$B$7)</x:f>
        <x:v>1</x:v>
      </x:c>
      <x:c r="H23" s="381" t="n">
        <x:f>SUMIFS('Climate Data'!$G$7:$G$366,'Climate Data'!$A$7:$A$366,'Estimator'!$B$4,'Climate Data'!$B$7:$B$366,C23)</x:f>
        <x:v>0.21802002224694106</x:v>
      </x:c>
      <x:c r="I23" s="382" t="n">
        <x:f>SUMIFS('Climate Data'!$H$7:$H$366,'Climate Data'!$A$7:$A$366,'Estimator'!$B$4,'Climate Data'!$B$7:$B$366,C23)</x:f>
        <x:v>8.596428571428572</x:v>
      </x:c>
      <x:c r="J23" s="381" t="n">
        <x:f>SUMIFS('Wind Proxy'!$H$8:$H$19,'Wind Proxy'!$A$8:$A$19,'Estimator'!$B$4,'Wind Proxy'!$B$8:$B$19,C23)</x:f>
        <x:v>0.12544802867383514</x:v>
      </x:c>
    </x:row>
    <x:row r="24">
      <x:c r="A24" s="379" t="n">
        <x:v>45675</x:v>
      </x:c>
      <x:c r="B24" s="380" t="n">
        <x:v>2025</x:v>
      </x:c>
      <x:c r="C24" s="380" t="n">
        <x:v>1</x:v>
      </x:c>
      <x:c r="D24" s="380" t="str">
        <x:v>Jan</x:v>
      </x:c>
      <x:c r="E24" s="380" t="n">
        <x:v>18</x:v>
      </x:c>
      <x:c r="F24" s="380" t="n">
        <x:v>6</x:v>
      </x:c>
      <x:c r="G24" s="380" t="n">
        <x:f>--(F24&lt;='Estimator'!$B$7)</x:f>
        <x:v>0</x:v>
      </x:c>
      <x:c r="H24" s="381" t="n">
        <x:f>SUMIFS('Climate Data'!$G$7:$G$366,'Climate Data'!$A$7:$A$366,'Estimator'!$B$4,'Climate Data'!$B$7:$B$366,C24)</x:f>
        <x:v>0.21802002224694106</x:v>
      </x:c>
      <x:c r="I24" s="382" t="n">
        <x:f>SUMIFS('Climate Data'!$H$7:$H$366,'Climate Data'!$A$7:$A$366,'Estimator'!$B$4,'Climate Data'!$B$7:$B$366,C24)</x:f>
        <x:v>8.596428571428572</x:v>
      </x:c>
      <x:c r="J24" s="381" t="n">
        <x:f>SUMIFS('Wind Proxy'!$H$8:$H$19,'Wind Proxy'!$A$8:$A$19,'Estimator'!$B$4,'Wind Proxy'!$B$8:$B$19,C24)</x:f>
        <x:v>0.12544802867383514</x:v>
      </x:c>
    </x:row>
    <x:row r="25">
      <x:c r="A25" s="379" t="n">
        <x:v>45676</x:v>
      </x:c>
      <x:c r="B25" s="380" t="n">
        <x:v>2025</x:v>
      </x:c>
      <x:c r="C25" s="380" t="n">
        <x:v>1</x:v>
      </x:c>
      <x:c r="D25" s="380" t="str">
        <x:v>Jan</x:v>
      </x:c>
      <x:c r="E25" s="380" t="n">
        <x:v>19</x:v>
      </x:c>
      <x:c r="F25" s="380" t="n">
        <x:v>7</x:v>
      </x:c>
      <x:c r="G25" s="380" t="n">
        <x:f>--(F25&lt;='Estimator'!$B$7)</x:f>
        <x:v>0</x:v>
      </x:c>
      <x:c r="H25" s="381" t="n">
        <x:f>SUMIFS('Climate Data'!$G$7:$G$366,'Climate Data'!$A$7:$A$366,'Estimator'!$B$4,'Climate Data'!$B$7:$B$366,C25)</x:f>
        <x:v>0.21802002224694106</x:v>
      </x:c>
      <x:c r="I25" s="382" t="n">
        <x:f>SUMIFS('Climate Data'!$H$7:$H$366,'Climate Data'!$A$7:$A$366,'Estimator'!$B$4,'Climate Data'!$B$7:$B$366,C25)</x:f>
        <x:v>8.596428571428572</x:v>
      </x:c>
      <x:c r="J25" s="381" t="n">
        <x:f>SUMIFS('Wind Proxy'!$H$8:$H$19,'Wind Proxy'!$A$8:$A$19,'Estimator'!$B$4,'Wind Proxy'!$B$8:$B$19,C25)</x:f>
        <x:v>0.12544802867383514</x:v>
      </x:c>
    </x:row>
    <x:row r="26">
      <x:c r="A26" s="379" t="n">
        <x:v>45677</x:v>
      </x:c>
      <x:c r="B26" s="380" t="n">
        <x:v>2025</x:v>
      </x:c>
      <x:c r="C26" s="380" t="n">
        <x:v>1</x:v>
      </x:c>
      <x:c r="D26" s="380" t="str">
        <x:v>Jan</x:v>
      </x:c>
      <x:c r="E26" s="380" t="n">
        <x:v>20</x:v>
      </x:c>
      <x:c r="F26" s="380" t="n">
        <x:v>1</x:v>
      </x:c>
      <x:c r="G26" s="380" t="n">
        <x:f>--(F26&lt;='Estimator'!$B$7)</x:f>
        <x:v>1</x:v>
      </x:c>
      <x:c r="H26" s="381" t="n">
        <x:f>SUMIFS('Climate Data'!$G$7:$G$366,'Climate Data'!$A$7:$A$366,'Estimator'!$B$4,'Climate Data'!$B$7:$B$366,C26)</x:f>
        <x:v>0.21802002224694106</x:v>
      </x:c>
      <x:c r="I26" s="382" t="n">
        <x:f>SUMIFS('Climate Data'!$H$7:$H$366,'Climate Data'!$A$7:$A$366,'Estimator'!$B$4,'Climate Data'!$B$7:$B$366,C26)</x:f>
        <x:v>8.596428571428572</x:v>
      </x:c>
      <x:c r="J26" s="381" t="n">
        <x:f>SUMIFS('Wind Proxy'!$H$8:$H$19,'Wind Proxy'!$A$8:$A$19,'Estimator'!$B$4,'Wind Proxy'!$B$8:$B$19,C26)</x:f>
        <x:v>0.12544802867383514</x:v>
      </x:c>
    </x:row>
    <x:row r="27">
      <x:c r="A27" s="379" t="n">
        <x:v>45678</x:v>
      </x:c>
      <x:c r="B27" s="380" t="n">
        <x:v>2025</x:v>
      </x:c>
      <x:c r="C27" s="380" t="n">
        <x:v>1</x:v>
      </x:c>
      <x:c r="D27" s="380" t="str">
        <x:v>Jan</x:v>
      </x:c>
      <x:c r="E27" s="380" t="n">
        <x:v>21</x:v>
      </x:c>
      <x:c r="F27" s="380" t="n">
        <x:v>2</x:v>
      </x:c>
      <x:c r="G27" s="380" t="n">
        <x:f>--(F27&lt;='Estimator'!$B$7)</x:f>
        <x:v>1</x:v>
      </x:c>
      <x:c r="H27" s="381" t="n">
        <x:f>SUMIFS('Climate Data'!$G$7:$G$366,'Climate Data'!$A$7:$A$366,'Estimator'!$B$4,'Climate Data'!$B$7:$B$366,C27)</x:f>
        <x:v>0.21802002224694106</x:v>
      </x:c>
      <x:c r="I27" s="382" t="n">
        <x:f>SUMIFS('Climate Data'!$H$7:$H$366,'Climate Data'!$A$7:$A$366,'Estimator'!$B$4,'Climate Data'!$B$7:$B$366,C27)</x:f>
        <x:v>8.596428571428572</x:v>
      </x:c>
      <x:c r="J27" s="381" t="n">
        <x:f>SUMIFS('Wind Proxy'!$H$8:$H$19,'Wind Proxy'!$A$8:$A$19,'Estimator'!$B$4,'Wind Proxy'!$B$8:$B$19,C27)</x:f>
        <x:v>0.12544802867383514</x:v>
      </x:c>
    </x:row>
    <x:row r="28">
      <x:c r="A28" s="379" t="n">
        <x:v>45679</x:v>
      </x:c>
      <x:c r="B28" s="380" t="n">
        <x:v>2025</x:v>
      </x:c>
      <x:c r="C28" s="380" t="n">
        <x:v>1</x:v>
      </x:c>
      <x:c r="D28" s="380" t="str">
        <x:v>Jan</x:v>
      </x:c>
      <x:c r="E28" s="380" t="n">
        <x:v>22</x:v>
      </x:c>
      <x:c r="F28" s="380" t="n">
        <x:v>3</x:v>
      </x:c>
      <x:c r="G28" s="380" t="n">
        <x:f>--(F28&lt;='Estimator'!$B$7)</x:f>
        <x:v>1</x:v>
      </x:c>
      <x:c r="H28" s="381" t="n">
        <x:f>SUMIFS('Climate Data'!$G$7:$G$366,'Climate Data'!$A$7:$A$366,'Estimator'!$B$4,'Climate Data'!$B$7:$B$366,C28)</x:f>
        <x:v>0.21802002224694106</x:v>
      </x:c>
      <x:c r="I28" s="382" t="n">
        <x:f>SUMIFS('Climate Data'!$H$7:$H$366,'Climate Data'!$A$7:$A$366,'Estimator'!$B$4,'Climate Data'!$B$7:$B$366,C28)</x:f>
        <x:v>8.596428571428572</x:v>
      </x:c>
      <x:c r="J28" s="381" t="n">
        <x:f>SUMIFS('Wind Proxy'!$H$8:$H$19,'Wind Proxy'!$A$8:$A$19,'Estimator'!$B$4,'Wind Proxy'!$B$8:$B$19,C28)</x:f>
        <x:v>0.12544802867383514</x:v>
      </x:c>
    </x:row>
    <x:row r="29">
      <x:c r="A29" s="379" t="n">
        <x:v>45680</x:v>
      </x:c>
      <x:c r="B29" s="380" t="n">
        <x:v>2025</x:v>
      </x:c>
      <x:c r="C29" s="380" t="n">
        <x:v>1</x:v>
      </x:c>
      <x:c r="D29" s="380" t="str">
        <x:v>Jan</x:v>
      </x:c>
      <x:c r="E29" s="380" t="n">
        <x:v>23</x:v>
      </x:c>
      <x:c r="F29" s="380" t="n">
        <x:v>4</x:v>
      </x:c>
      <x:c r="G29" s="380" t="n">
        <x:f>--(F29&lt;='Estimator'!$B$7)</x:f>
        <x:v>1</x:v>
      </x:c>
      <x:c r="H29" s="381" t="n">
        <x:f>SUMIFS('Climate Data'!$G$7:$G$366,'Climate Data'!$A$7:$A$366,'Estimator'!$B$4,'Climate Data'!$B$7:$B$366,C29)</x:f>
        <x:v>0.21802002224694106</x:v>
      </x:c>
      <x:c r="I29" s="382" t="n">
        <x:f>SUMIFS('Climate Data'!$H$7:$H$366,'Climate Data'!$A$7:$A$366,'Estimator'!$B$4,'Climate Data'!$B$7:$B$366,C29)</x:f>
        <x:v>8.596428571428572</x:v>
      </x:c>
      <x:c r="J29" s="381" t="n">
        <x:f>SUMIFS('Wind Proxy'!$H$8:$H$19,'Wind Proxy'!$A$8:$A$19,'Estimator'!$B$4,'Wind Proxy'!$B$8:$B$19,C29)</x:f>
        <x:v>0.12544802867383514</x:v>
      </x:c>
    </x:row>
    <x:row r="30">
      <x:c r="A30" s="379" t="n">
        <x:v>45681</x:v>
      </x:c>
      <x:c r="B30" s="380" t="n">
        <x:v>2025</x:v>
      </x:c>
      <x:c r="C30" s="380" t="n">
        <x:v>1</x:v>
      </x:c>
      <x:c r="D30" s="380" t="str">
        <x:v>Jan</x:v>
      </x:c>
      <x:c r="E30" s="380" t="n">
        <x:v>24</x:v>
      </x:c>
      <x:c r="F30" s="380" t="n">
        <x:v>5</x:v>
      </x:c>
      <x:c r="G30" s="380" t="n">
        <x:f>--(F30&lt;='Estimator'!$B$7)</x:f>
        <x:v>1</x:v>
      </x:c>
      <x:c r="H30" s="381" t="n">
        <x:f>SUMIFS('Climate Data'!$G$7:$G$366,'Climate Data'!$A$7:$A$366,'Estimator'!$B$4,'Climate Data'!$B$7:$B$366,C30)</x:f>
        <x:v>0.21802002224694106</x:v>
      </x:c>
      <x:c r="I30" s="382" t="n">
        <x:f>SUMIFS('Climate Data'!$H$7:$H$366,'Climate Data'!$A$7:$A$366,'Estimator'!$B$4,'Climate Data'!$B$7:$B$366,C30)</x:f>
        <x:v>8.596428571428572</x:v>
      </x:c>
      <x:c r="J30" s="381" t="n">
        <x:f>SUMIFS('Wind Proxy'!$H$8:$H$19,'Wind Proxy'!$A$8:$A$19,'Estimator'!$B$4,'Wind Proxy'!$B$8:$B$19,C30)</x:f>
        <x:v>0.12544802867383514</x:v>
      </x:c>
    </x:row>
    <x:row r="31">
      <x:c r="A31" s="379" t="n">
        <x:v>45682</x:v>
      </x:c>
      <x:c r="B31" s="380" t="n">
        <x:v>2025</x:v>
      </x:c>
      <x:c r="C31" s="380" t="n">
        <x:v>1</x:v>
      </x:c>
      <x:c r="D31" s="380" t="str">
        <x:v>Jan</x:v>
      </x:c>
      <x:c r="E31" s="380" t="n">
        <x:v>25</x:v>
      </x:c>
      <x:c r="F31" s="380" t="n">
        <x:v>6</x:v>
      </x:c>
      <x:c r="G31" s="380" t="n">
        <x:f>--(F31&lt;='Estimator'!$B$7)</x:f>
        <x:v>0</x:v>
      </x:c>
      <x:c r="H31" s="381" t="n">
        <x:f>SUMIFS('Climate Data'!$G$7:$G$366,'Climate Data'!$A$7:$A$366,'Estimator'!$B$4,'Climate Data'!$B$7:$B$366,C31)</x:f>
        <x:v>0.21802002224694106</x:v>
      </x:c>
      <x:c r="I31" s="382" t="n">
        <x:f>SUMIFS('Climate Data'!$H$7:$H$366,'Climate Data'!$A$7:$A$366,'Estimator'!$B$4,'Climate Data'!$B$7:$B$366,C31)</x:f>
        <x:v>8.596428571428572</x:v>
      </x:c>
      <x:c r="J31" s="381" t="n">
        <x:f>SUMIFS('Wind Proxy'!$H$8:$H$19,'Wind Proxy'!$A$8:$A$19,'Estimator'!$B$4,'Wind Proxy'!$B$8:$B$19,C31)</x:f>
        <x:v>0.12544802867383514</x:v>
      </x:c>
    </x:row>
    <x:row r="32">
      <x:c r="A32" s="379" t="n">
        <x:v>45683</x:v>
      </x:c>
      <x:c r="B32" s="380" t="n">
        <x:v>2025</x:v>
      </x:c>
      <x:c r="C32" s="380" t="n">
        <x:v>1</x:v>
      </x:c>
      <x:c r="D32" s="380" t="str">
        <x:v>Jan</x:v>
      </x:c>
      <x:c r="E32" s="380" t="n">
        <x:v>26</x:v>
      </x:c>
      <x:c r="F32" s="380" t="n">
        <x:v>7</x:v>
      </x:c>
      <x:c r="G32" s="380" t="n">
        <x:f>--(F32&lt;='Estimator'!$B$7)</x:f>
        <x:v>0</x:v>
      </x:c>
      <x:c r="H32" s="381" t="n">
        <x:f>SUMIFS('Climate Data'!$G$7:$G$366,'Climate Data'!$A$7:$A$366,'Estimator'!$B$4,'Climate Data'!$B$7:$B$366,C32)</x:f>
        <x:v>0.21802002224694106</x:v>
      </x:c>
      <x:c r="I32" s="382" t="n">
        <x:f>SUMIFS('Climate Data'!$H$7:$H$366,'Climate Data'!$A$7:$A$366,'Estimator'!$B$4,'Climate Data'!$B$7:$B$366,C32)</x:f>
        <x:v>8.596428571428572</x:v>
      </x:c>
      <x:c r="J32" s="381" t="n">
        <x:f>SUMIFS('Wind Proxy'!$H$8:$H$19,'Wind Proxy'!$A$8:$A$19,'Estimator'!$B$4,'Wind Proxy'!$B$8:$B$19,C32)</x:f>
        <x:v>0.12544802867383514</x:v>
      </x:c>
    </x:row>
    <x:row r="33">
      <x:c r="A33" s="379" t="n">
        <x:v>45684</x:v>
      </x:c>
      <x:c r="B33" s="380" t="n">
        <x:v>2025</x:v>
      </x:c>
      <x:c r="C33" s="380" t="n">
        <x:v>1</x:v>
      </x:c>
      <x:c r="D33" s="380" t="str">
        <x:v>Jan</x:v>
      </x:c>
      <x:c r="E33" s="380" t="n">
        <x:v>27</x:v>
      </x:c>
      <x:c r="F33" s="380" t="n">
        <x:v>1</x:v>
      </x:c>
      <x:c r="G33" s="380" t="n">
        <x:f>--(F33&lt;='Estimator'!$B$7)</x:f>
        <x:v>1</x:v>
      </x:c>
      <x:c r="H33" s="381" t="n">
        <x:f>SUMIFS('Climate Data'!$G$7:$G$366,'Climate Data'!$A$7:$A$366,'Estimator'!$B$4,'Climate Data'!$B$7:$B$366,C33)</x:f>
        <x:v>0.21802002224694106</x:v>
      </x:c>
      <x:c r="I33" s="382" t="n">
        <x:f>SUMIFS('Climate Data'!$H$7:$H$366,'Climate Data'!$A$7:$A$366,'Estimator'!$B$4,'Climate Data'!$B$7:$B$366,C33)</x:f>
        <x:v>8.596428571428572</x:v>
      </x:c>
      <x:c r="J33" s="381" t="n">
        <x:f>SUMIFS('Wind Proxy'!$H$8:$H$19,'Wind Proxy'!$A$8:$A$19,'Estimator'!$B$4,'Wind Proxy'!$B$8:$B$19,C33)</x:f>
        <x:v>0.12544802867383514</x:v>
      </x:c>
    </x:row>
    <x:row r="34">
      <x:c r="A34" s="379" t="n">
        <x:v>45685</x:v>
      </x:c>
      <x:c r="B34" s="380" t="n">
        <x:v>2025</x:v>
      </x:c>
      <x:c r="C34" s="380" t="n">
        <x:v>1</x:v>
      </x:c>
      <x:c r="D34" s="380" t="str">
        <x:v>Jan</x:v>
      </x:c>
      <x:c r="E34" s="380" t="n">
        <x:v>28</x:v>
      </x:c>
      <x:c r="F34" s="380" t="n">
        <x:v>2</x:v>
      </x:c>
      <x:c r="G34" s="380" t="n">
        <x:f>--(F34&lt;='Estimator'!$B$7)</x:f>
        <x:v>1</x:v>
      </x:c>
      <x:c r="H34" s="381" t="n">
        <x:f>SUMIFS('Climate Data'!$G$7:$G$366,'Climate Data'!$A$7:$A$366,'Estimator'!$B$4,'Climate Data'!$B$7:$B$366,C34)</x:f>
        <x:v>0.21802002224694106</x:v>
      </x:c>
      <x:c r="I34" s="382" t="n">
        <x:f>SUMIFS('Climate Data'!$H$7:$H$366,'Climate Data'!$A$7:$A$366,'Estimator'!$B$4,'Climate Data'!$B$7:$B$366,C34)</x:f>
        <x:v>8.596428571428572</x:v>
      </x:c>
      <x:c r="J34" s="381" t="n">
        <x:f>SUMIFS('Wind Proxy'!$H$8:$H$19,'Wind Proxy'!$A$8:$A$19,'Estimator'!$B$4,'Wind Proxy'!$B$8:$B$19,C34)</x:f>
        <x:v>0.12544802867383514</x:v>
      </x:c>
    </x:row>
    <x:row r="35">
      <x:c r="A35" s="379" t="n">
        <x:v>45686</x:v>
      </x:c>
      <x:c r="B35" s="380" t="n">
        <x:v>2025</x:v>
      </x:c>
      <x:c r="C35" s="380" t="n">
        <x:v>1</x:v>
      </x:c>
      <x:c r="D35" s="380" t="str">
        <x:v>Jan</x:v>
      </x:c>
      <x:c r="E35" s="380" t="n">
        <x:v>29</x:v>
      </x:c>
      <x:c r="F35" s="380" t="n">
        <x:v>3</x:v>
      </x:c>
      <x:c r="G35" s="380" t="n">
        <x:f>--(F35&lt;='Estimator'!$B$7)</x:f>
        <x:v>1</x:v>
      </x:c>
      <x:c r="H35" s="381" t="n">
        <x:f>SUMIFS('Climate Data'!$G$7:$G$366,'Climate Data'!$A$7:$A$366,'Estimator'!$B$4,'Climate Data'!$B$7:$B$366,C35)</x:f>
        <x:v>0.21802002224694106</x:v>
      </x:c>
      <x:c r="I35" s="382" t="n">
        <x:f>SUMIFS('Climate Data'!$H$7:$H$366,'Climate Data'!$A$7:$A$366,'Estimator'!$B$4,'Climate Data'!$B$7:$B$366,C35)</x:f>
        <x:v>8.596428571428572</x:v>
      </x:c>
      <x:c r="J35" s="381" t="n">
        <x:f>SUMIFS('Wind Proxy'!$H$8:$H$19,'Wind Proxy'!$A$8:$A$19,'Estimator'!$B$4,'Wind Proxy'!$B$8:$B$19,C35)</x:f>
        <x:v>0.12544802867383514</x:v>
      </x:c>
    </x:row>
    <x:row r="36">
      <x:c r="A36" s="379" t="n">
        <x:v>45687</x:v>
      </x:c>
      <x:c r="B36" s="380" t="n">
        <x:v>2025</x:v>
      </x:c>
      <x:c r="C36" s="380" t="n">
        <x:v>1</x:v>
      </x:c>
      <x:c r="D36" s="380" t="str">
        <x:v>Jan</x:v>
      </x:c>
      <x:c r="E36" s="380" t="n">
        <x:v>30</x:v>
      </x:c>
      <x:c r="F36" s="380" t="n">
        <x:v>4</x:v>
      </x:c>
      <x:c r="G36" s="380" t="n">
        <x:f>--(F36&lt;='Estimator'!$B$7)</x:f>
        <x:v>1</x:v>
      </x:c>
      <x:c r="H36" s="381" t="n">
        <x:f>SUMIFS('Climate Data'!$G$7:$G$366,'Climate Data'!$A$7:$A$366,'Estimator'!$B$4,'Climate Data'!$B$7:$B$366,C36)</x:f>
        <x:v>0.21802002224694106</x:v>
      </x:c>
      <x:c r="I36" s="382" t="n">
        <x:f>SUMIFS('Climate Data'!$H$7:$H$366,'Climate Data'!$A$7:$A$366,'Estimator'!$B$4,'Climate Data'!$B$7:$B$366,C36)</x:f>
        <x:v>8.596428571428572</x:v>
      </x:c>
      <x:c r="J36" s="381" t="n">
        <x:f>SUMIFS('Wind Proxy'!$H$8:$H$19,'Wind Proxy'!$A$8:$A$19,'Estimator'!$B$4,'Wind Proxy'!$B$8:$B$19,C36)</x:f>
        <x:v>0.12544802867383514</x:v>
      </x:c>
    </x:row>
    <x:row r="37">
      <x:c r="A37" s="379" t="n">
        <x:v>45688</x:v>
      </x:c>
      <x:c r="B37" s="380" t="n">
        <x:v>2025</x:v>
      </x:c>
      <x:c r="C37" s="380" t="n">
        <x:v>1</x:v>
      </x:c>
      <x:c r="D37" s="380" t="str">
        <x:v>Jan</x:v>
      </x:c>
      <x:c r="E37" s="380" t="n">
        <x:v>31</x:v>
      </x:c>
      <x:c r="F37" s="380" t="n">
        <x:v>5</x:v>
      </x:c>
      <x:c r="G37" s="380" t="n">
        <x:f>--(F37&lt;='Estimator'!$B$7)</x:f>
        <x:v>1</x:v>
      </x:c>
      <x:c r="H37" s="381" t="n">
        <x:f>SUMIFS('Climate Data'!$G$7:$G$366,'Climate Data'!$A$7:$A$366,'Estimator'!$B$4,'Climate Data'!$B$7:$B$366,C37)</x:f>
        <x:v>0.21802002224694106</x:v>
      </x:c>
      <x:c r="I37" s="382" t="n">
        <x:f>SUMIFS('Climate Data'!$H$7:$H$366,'Climate Data'!$A$7:$A$366,'Estimator'!$B$4,'Climate Data'!$B$7:$B$366,C37)</x:f>
        <x:v>8.596428571428572</x:v>
      </x:c>
      <x:c r="J37" s="381" t="n">
        <x:f>SUMIFS('Wind Proxy'!$H$8:$H$19,'Wind Proxy'!$A$8:$A$19,'Estimator'!$B$4,'Wind Proxy'!$B$8:$B$19,C37)</x:f>
        <x:v>0.12544802867383514</x:v>
      </x:c>
    </x:row>
    <x:row r="38">
      <x:c r="A38" s="379" t="n">
        <x:v>45689</x:v>
      </x:c>
      <x:c r="B38" s="380" t="n">
        <x:v>2025</x:v>
      </x:c>
      <x:c r="C38" s="380" t="n">
        <x:v>2</x:v>
      </x:c>
      <x:c r="D38" s="380" t="str">
        <x:v>Feb</x:v>
      </x:c>
      <x:c r="E38" s="380" t="n">
        <x:v>1</x:v>
      </x:c>
      <x:c r="F38" s="380" t="n">
        <x:v>6</x:v>
      </x:c>
      <x:c r="G38" s="380" t="n">
        <x:f>--(F38&lt;='Estimator'!$B$7)</x:f>
        <x:v>0</x:v>
      </x:c>
      <x:c r="H38" s="381" t="n">
        <x:f>SUMIFS('Climate Data'!$G$7:$G$366,'Climate Data'!$A$7:$A$366,'Estimator'!$B$4,'Climate Data'!$B$7:$B$366,C38)</x:f>
        <x:v>0.23056278464541316</x:v>
      </x:c>
      <x:c r="I38" s="382" t="n">
        <x:f>SUMIFS('Climate Data'!$H$7:$H$366,'Climate Data'!$A$7:$A$366,'Estimator'!$B$4,'Climate Data'!$B$7:$B$366,C38)</x:f>
        <x:v>9.682010582010582</x:v>
      </x:c>
      <x:c r="J38" s="381" t="n">
        <x:f>SUMIFS('Wind Proxy'!$H$8:$H$19,'Wind Proxy'!$A$8:$A$19,'Estimator'!$B$4,'Wind Proxy'!$B$8:$B$19,C38)</x:f>
        <x:v>0.13757861635220128</x:v>
      </x:c>
    </x:row>
    <x:row r="39">
      <x:c r="A39" s="379" t="n">
        <x:v>45690</x:v>
      </x:c>
      <x:c r="B39" s="380" t="n">
        <x:v>2025</x:v>
      </x:c>
      <x:c r="C39" s="380" t="n">
        <x:v>2</x:v>
      </x:c>
      <x:c r="D39" s="380" t="str">
        <x:v>Feb</x:v>
      </x:c>
      <x:c r="E39" s="380" t="n">
        <x:v>2</x:v>
      </x:c>
      <x:c r="F39" s="380" t="n">
        <x:v>7</x:v>
      </x:c>
      <x:c r="G39" s="380" t="n">
        <x:f>--(F39&lt;='Estimator'!$B$7)</x:f>
        <x:v>0</x:v>
      </x:c>
      <x:c r="H39" s="381" t="n">
        <x:f>SUMIFS('Climate Data'!$G$7:$G$366,'Climate Data'!$A$7:$A$366,'Estimator'!$B$4,'Climate Data'!$B$7:$B$366,C39)</x:f>
        <x:v>0.23056278464541316</x:v>
      </x:c>
      <x:c r="I39" s="382" t="n">
        <x:f>SUMIFS('Climate Data'!$H$7:$H$366,'Climate Data'!$A$7:$A$366,'Estimator'!$B$4,'Climate Data'!$B$7:$B$366,C39)</x:f>
        <x:v>9.682010582010582</x:v>
      </x:c>
      <x:c r="J39" s="381" t="n">
        <x:f>SUMIFS('Wind Proxy'!$H$8:$H$19,'Wind Proxy'!$A$8:$A$19,'Estimator'!$B$4,'Wind Proxy'!$B$8:$B$19,C39)</x:f>
        <x:v>0.13757861635220128</x:v>
      </x:c>
    </x:row>
    <x:row r="40">
      <x:c r="A40" s="379" t="n">
        <x:v>45691</x:v>
      </x:c>
      <x:c r="B40" s="380" t="n">
        <x:v>2025</x:v>
      </x:c>
      <x:c r="C40" s="380" t="n">
        <x:v>2</x:v>
      </x:c>
      <x:c r="D40" s="380" t="str">
        <x:v>Feb</x:v>
      </x:c>
      <x:c r="E40" s="380" t="n">
        <x:v>3</x:v>
      </x:c>
      <x:c r="F40" s="380" t="n">
        <x:v>1</x:v>
      </x:c>
      <x:c r="G40" s="380" t="n">
        <x:f>--(F40&lt;='Estimator'!$B$7)</x:f>
        <x:v>1</x:v>
      </x:c>
      <x:c r="H40" s="381" t="n">
        <x:f>SUMIFS('Climate Data'!$G$7:$G$366,'Climate Data'!$A$7:$A$366,'Estimator'!$B$4,'Climate Data'!$B$7:$B$366,C40)</x:f>
        <x:v>0.23056278464541316</x:v>
      </x:c>
      <x:c r="I40" s="382" t="n">
        <x:f>SUMIFS('Climate Data'!$H$7:$H$366,'Climate Data'!$A$7:$A$366,'Estimator'!$B$4,'Climate Data'!$B$7:$B$366,C40)</x:f>
        <x:v>9.682010582010582</x:v>
      </x:c>
      <x:c r="J40" s="381" t="n">
        <x:f>SUMIFS('Wind Proxy'!$H$8:$H$19,'Wind Proxy'!$A$8:$A$19,'Estimator'!$B$4,'Wind Proxy'!$B$8:$B$19,C40)</x:f>
        <x:v>0.13757861635220128</x:v>
      </x:c>
    </x:row>
    <x:row r="41">
      <x:c r="A41" s="379" t="n">
        <x:v>45692</x:v>
      </x:c>
      <x:c r="B41" s="380" t="n">
        <x:v>2025</x:v>
      </x:c>
      <x:c r="C41" s="380" t="n">
        <x:v>2</x:v>
      </x:c>
      <x:c r="D41" s="380" t="str">
        <x:v>Feb</x:v>
      </x:c>
      <x:c r="E41" s="380" t="n">
        <x:v>4</x:v>
      </x:c>
      <x:c r="F41" s="380" t="n">
        <x:v>2</x:v>
      </x:c>
      <x:c r="G41" s="380" t="n">
        <x:f>--(F41&lt;='Estimator'!$B$7)</x:f>
        <x:v>1</x:v>
      </x:c>
      <x:c r="H41" s="381" t="n">
        <x:f>SUMIFS('Climate Data'!$G$7:$G$366,'Climate Data'!$A$7:$A$366,'Estimator'!$B$4,'Climate Data'!$B$7:$B$366,C41)</x:f>
        <x:v>0.23056278464541316</x:v>
      </x:c>
      <x:c r="I41" s="382" t="n">
        <x:f>SUMIFS('Climate Data'!$H$7:$H$366,'Climate Data'!$A$7:$A$366,'Estimator'!$B$4,'Climate Data'!$B$7:$B$366,C41)</x:f>
        <x:v>9.682010582010582</x:v>
      </x:c>
      <x:c r="J41" s="381" t="n">
        <x:f>SUMIFS('Wind Proxy'!$H$8:$H$19,'Wind Proxy'!$A$8:$A$19,'Estimator'!$B$4,'Wind Proxy'!$B$8:$B$19,C41)</x:f>
        <x:v>0.13757861635220128</x:v>
      </x:c>
    </x:row>
    <x:row r="42">
      <x:c r="A42" s="379" t="n">
        <x:v>45693</x:v>
      </x:c>
      <x:c r="B42" s="380" t="n">
        <x:v>2025</x:v>
      </x:c>
      <x:c r="C42" s="380" t="n">
        <x:v>2</x:v>
      </x:c>
      <x:c r="D42" s="380" t="str">
        <x:v>Feb</x:v>
      </x:c>
      <x:c r="E42" s="380" t="n">
        <x:v>5</x:v>
      </x:c>
      <x:c r="F42" s="380" t="n">
        <x:v>3</x:v>
      </x:c>
      <x:c r="G42" s="380" t="n">
        <x:f>--(F42&lt;='Estimator'!$B$7)</x:f>
        <x:v>1</x:v>
      </x:c>
      <x:c r="H42" s="381" t="n">
        <x:f>SUMIFS('Climate Data'!$G$7:$G$366,'Climate Data'!$A$7:$A$366,'Estimator'!$B$4,'Climate Data'!$B$7:$B$366,C42)</x:f>
        <x:v>0.23056278464541316</x:v>
      </x:c>
      <x:c r="I42" s="382" t="n">
        <x:f>SUMIFS('Climate Data'!$H$7:$H$366,'Climate Data'!$A$7:$A$366,'Estimator'!$B$4,'Climate Data'!$B$7:$B$366,C42)</x:f>
        <x:v>9.682010582010582</x:v>
      </x:c>
      <x:c r="J42" s="381" t="n">
        <x:f>SUMIFS('Wind Proxy'!$H$8:$H$19,'Wind Proxy'!$A$8:$A$19,'Estimator'!$B$4,'Wind Proxy'!$B$8:$B$19,C42)</x:f>
        <x:v>0.13757861635220128</x:v>
      </x:c>
    </x:row>
    <x:row r="43">
      <x:c r="A43" s="379" t="n">
        <x:v>45694</x:v>
      </x:c>
      <x:c r="B43" s="380" t="n">
        <x:v>2025</x:v>
      </x:c>
      <x:c r="C43" s="380" t="n">
        <x:v>2</x:v>
      </x:c>
      <x:c r="D43" s="380" t="str">
        <x:v>Feb</x:v>
      </x:c>
      <x:c r="E43" s="380" t="n">
        <x:v>6</x:v>
      </x:c>
      <x:c r="F43" s="380" t="n">
        <x:v>4</x:v>
      </x:c>
      <x:c r="G43" s="380" t="n">
        <x:f>--(F43&lt;='Estimator'!$B$7)</x:f>
        <x:v>1</x:v>
      </x:c>
      <x:c r="H43" s="381" t="n">
        <x:f>SUMIFS('Climate Data'!$G$7:$G$366,'Climate Data'!$A$7:$A$366,'Estimator'!$B$4,'Climate Data'!$B$7:$B$366,C43)</x:f>
        <x:v>0.23056278464541316</x:v>
      </x:c>
      <x:c r="I43" s="382" t="n">
        <x:f>SUMIFS('Climate Data'!$H$7:$H$366,'Climate Data'!$A$7:$A$366,'Estimator'!$B$4,'Climate Data'!$B$7:$B$366,C43)</x:f>
        <x:v>9.682010582010582</x:v>
      </x:c>
      <x:c r="J43" s="381" t="n">
        <x:f>SUMIFS('Wind Proxy'!$H$8:$H$19,'Wind Proxy'!$A$8:$A$19,'Estimator'!$B$4,'Wind Proxy'!$B$8:$B$19,C43)</x:f>
        <x:v>0.13757861635220128</x:v>
      </x:c>
    </x:row>
    <x:row r="44">
      <x:c r="A44" s="379" t="n">
        <x:v>45695</x:v>
      </x:c>
      <x:c r="B44" s="380" t="n">
        <x:v>2025</x:v>
      </x:c>
      <x:c r="C44" s="380" t="n">
        <x:v>2</x:v>
      </x:c>
      <x:c r="D44" s="380" t="str">
        <x:v>Feb</x:v>
      </x:c>
      <x:c r="E44" s="380" t="n">
        <x:v>7</x:v>
      </x:c>
      <x:c r="F44" s="380" t="n">
        <x:v>5</x:v>
      </x:c>
      <x:c r="G44" s="380" t="n">
        <x:f>--(F44&lt;='Estimator'!$B$7)</x:f>
        <x:v>1</x:v>
      </x:c>
      <x:c r="H44" s="381" t="n">
        <x:f>SUMIFS('Climate Data'!$G$7:$G$366,'Climate Data'!$A$7:$A$366,'Estimator'!$B$4,'Climate Data'!$B$7:$B$366,C44)</x:f>
        <x:v>0.23056278464541316</x:v>
      </x:c>
      <x:c r="I44" s="382" t="n">
        <x:f>SUMIFS('Climate Data'!$H$7:$H$366,'Climate Data'!$A$7:$A$366,'Estimator'!$B$4,'Climate Data'!$B$7:$B$366,C44)</x:f>
        <x:v>9.682010582010582</x:v>
      </x:c>
      <x:c r="J44" s="381" t="n">
        <x:f>SUMIFS('Wind Proxy'!$H$8:$H$19,'Wind Proxy'!$A$8:$A$19,'Estimator'!$B$4,'Wind Proxy'!$B$8:$B$19,C44)</x:f>
        <x:v>0.13757861635220128</x:v>
      </x:c>
    </x:row>
    <x:row r="45">
      <x:c r="A45" s="379" t="n">
        <x:v>45696</x:v>
      </x:c>
      <x:c r="B45" s="380" t="n">
        <x:v>2025</x:v>
      </x:c>
      <x:c r="C45" s="380" t="n">
        <x:v>2</x:v>
      </x:c>
      <x:c r="D45" s="380" t="str">
        <x:v>Feb</x:v>
      </x:c>
      <x:c r="E45" s="380" t="n">
        <x:v>8</x:v>
      </x:c>
      <x:c r="F45" s="380" t="n">
        <x:v>6</x:v>
      </x:c>
      <x:c r="G45" s="380" t="n">
        <x:f>--(F45&lt;='Estimator'!$B$7)</x:f>
        <x:v>0</x:v>
      </x:c>
      <x:c r="H45" s="381" t="n">
        <x:f>SUMIFS('Climate Data'!$G$7:$G$366,'Climate Data'!$A$7:$A$366,'Estimator'!$B$4,'Climate Data'!$B$7:$B$366,C45)</x:f>
        <x:v>0.23056278464541316</x:v>
      </x:c>
      <x:c r="I45" s="382" t="n">
        <x:f>SUMIFS('Climate Data'!$H$7:$H$366,'Climate Data'!$A$7:$A$366,'Estimator'!$B$4,'Climate Data'!$B$7:$B$366,C45)</x:f>
        <x:v>9.682010582010582</x:v>
      </x:c>
      <x:c r="J45" s="381" t="n">
        <x:f>SUMIFS('Wind Proxy'!$H$8:$H$19,'Wind Proxy'!$A$8:$A$19,'Estimator'!$B$4,'Wind Proxy'!$B$8:$B$19,C45)</x:f>
        <x:v>0.13757861635220128</x:v>
      </x:c>
    </x:row>
    <x:row r="46">
      <x:c r="A46" s="379" t="n">
        <x:v>45697</x:v>
      </x:c>
      <x:c r="B46" s="380" t="n">
        <x:v>2025</x:v>
      </x:c>
      <x:c r="C46" s="380" t="n">
        <x:v>2</x:v>
      </x:c>
      <x:c r="D46" s="380" t="str">
        <x:v>Feb</x:v>
      </x:c>
      <x:c r="E46" s="380" t="n">
        <x:v>9</x:v>
      </x:c>
      <x:c r="F46" s="380" t="n">
        <x:v>7</x:v>
      </x:c>
      <x:c r="G46" s="380" t="n">
        <x:f>--(F46&lt;='Estimator'!$B$7)</x:f>
        <x:v>0</x:v>
      </x:c>
      <x:c r="H46" s="381" t="n">
        <x:f>SUMIFS('Climate Data'!$G$7:$G$366,'Climate Data'!$A$7:$A$366,'Estimator'!$B$4,'Climate Data'!$B$7:$B$366,C46)</x:f>
        <x:v>0.23056278464541316</x:v>
      </x:c>
      <x:c r="I46" s="382" t="n">
        <x:f>SUMIFS('Climate Data'!$H$7:$H$366,'Climate Data'!$A$7:$A$366,'Estimator'!$B$4,'Climate Data'!$B$7:$B$366,C46)</x:f>
        <x:v>9.682010582010582</x:v>
      </x:c>
      <x:c r="J46" s="381" t="n">
        <x:f>SUMIFS('Wind Proxy'!$H$8:$H$19,'Wind Proxy'!$A$8:$A$19,'Estimator'!$B$4,'Wind Proxy'!$B$8:$B$19,C46)</x:f>
        <x:v>0.13757861635220128</x:v>
      </x:c>
    </x:row>
    <x:row r="47">
      <x:c r="A47" s="379" t="n">
        <x:v>45698</x:v>
      </x:c>
      <x:c r="B47" s="380" t="n">
        <x:v>2025</x:v>
      </x:c>
      <x:c r="C47" s="380" t="n">
        <x:v>2</x:v>
      </x:c>
      <x:c r="D47" s="380" t="str">
        <x:v>Feb</x:v>
      </x:c>
      <x:c r="E47" s="380" t="n">
        <x:v>10</x:v>
      </x:c>
      <x:c r="F47" s="380" t="n">
        <x:v>1</x:v>
      </x:c>
      <x:c r="G47" s="380" t="n">
        <x:f>--(F47&lt;='Estimator'!$B$7)</x:f>
        <x:v>1</x:v>
      </x:c>
      <x:c r="H47" s="381" t="n">
        <x:f>SUMIFS('Climate Data'!$G$7:$G$366,'Climate Data'!$A$7:$A$366,'Estimator'!$B$4,'Climate Data'!$B$7:$B$366,C47)</x:f>
        <x:v>0.23056278464541316</x:v>
      </x:c>
      <x:c r="I47" s="382" t="n">
        <x:f>SUMIFS('Climate Data'!$H$7:$H$366,'Climate Data'!$A$7:$A$366,'Estimator'!$B$4,'Climate Data'!$B$7:$B$366,C47)</x:f>
        <x:v>9.682010582010582</x:v>
      </x:c>
      <x:c r="J47" s="381" t="n">
        <x:f>SUMIFS('Wind Proxy'!$H$8:$H$19,'Wind Proxy'!$A$8:$A$19,'Estimator'!$B$4,'Wind Proxy'!$B$8:$B$19,C47)</x:f>
        <x:v>0.13757861635220128</x:v>
      </x:c>
    </x:row>
    <x:row r="48">
      <x:c r="A48" s="379" t="n">
        <x:v>45699</x:v>
      </x:c>
      <x:c r="B48" s="380" t="n">
        <x:v>2025</x:v>
      </x:c>
      <x:c r="C48" s="380" t="n">
        <x:v>2</x:v>
      </x:c>
      <x:c r="D48" s="380" t="str">
        <x:v>Feb</x:v>
      </x:c>
      <x:c r="E48" s="380" t="n">
        <x:v>11</x:v>
      </x:c>
      <x:c r="F48" s="380" t="n">
        <x:v>2</x:v>
      </x:c>
      <x:c r="G48" s="380" t="n">
        <x:f>--(F48&lt;='Estimator'!$B$7)</x:f>
        <x:v>1</x:v>
      </x:c>
      <x:c r="H48" s="381" t="n">
        <x:f>SUMIFS('Climate Data'!$G$7:$G$366,'Climate Data'!$A$7:$A$366,'Estimator'!$B$4,'Climate Data'!$B$7:$B$366,C48)</x:f>
        <x:v>0.23056278464541316</x:v>
      </x:c>
      <x:c r="I48" s="382" t="n">
        <x:f>SUMIFS('Climate Data'!$H$7:$H$366,'Climate Data'!$A$7:$A$366,'Estimator'!$B$4,'Climate Data'!$B$7:$B$366,C48)</x:f>
        <x:v>9.682010582010582</x:v>
      </x:c>
      <x:c r="J48" s="381" t="n">
        <x:f>SUMIFS('Wind Proxy'!$H$8:$H$19,'Wind Proxy'!$A$8:$A$19,'Estimator'!$B$4,'Wind Proxy'!$B$8:$B$19,C48)</x:f>
        <x:v>0.13757861635220128</x:v>
      </x:c>
    </x:row>
    <x:row r="49">
      <x:c r="A49" s="379" t="n">
        <x:v>45700</x:v>
      </x:c>
      <x:c r="B49" s="380" t="n">
        <x:v>2025</x:v>
      </x:c>
      <x:c r="C49" s="380" t="n">
        <x:v>2</x:v>
      </x:c>
      <x:c r="D49" s="380" t="str">
        <x:v>Feb</x:v>
      </x:c>
      <x:c r="E49" s="380" t="n">
        <x:v>12</x:v>
      </x:c>
      <x:c r="F49" s="380" t="n">
        <x:v>3</x:v>
      </x:c>
      <x:c r="G49" s="380" t="n">
        <x:f>--(F49&lt;='Estimator'!$B$7)</x:f>
        <x:v>1</x:v>
      </x:c>
      <x:c r="H49" s="381" t="n">
        <x:f>SUMIFS('Climate Data'!$G$7:$G$366,'Climate Data'!$A$7:$A$366,'Estimator'!$B$4,'Climate Data'!$B$7:$B$366,C49)</x:f>
        <x:v>0.23056278464541316</x:v>
      </x:c>
      <x:c r="I49" s="382" t="n">
        <x:f>SUMIFS('Climate Data'!$H$7:$H$366,'Climate Data'!$A$7:$A$366,'Estimator'!$B$4,'Climate Data'!$B$7:$B$366,C49)</x:f>
        <x:v>9.682010582010582</x:v>
      </x:c>
      <x:c r="J49" s="381" t="n">
        <x:f>SUMIFS('Wind Proxy'!$H$8:$H$19,'Wind Proxy'!$A$8:$A$19,'Estimator'!$B$4,'Wind Proxy'!$B$8:$B$19,C49)</x:f>
        <x:v>0.13757861635220128</x:v>
      </x:c>
    </x:row>
    <x:row r="50">
      <x:c r="A50" s="379" t="n">
        <x:v>45701</x:v>
      </x:c>
      <x:c r="B50" s="380" t="n">
        <x:v>2025</x:v>
      </x:c>
      <x:c r="C50" s="380" t="n">
        <x:v>2</x:v>
      </x:c>
      <x:c r="D50" s="380" t="str">
        <x:v>Feb</x:v>
      </x:c>
      <x:c r="E50" s="380" t="n">
        <x:v>13</x:v>
      </x:c>
      <x:c r="F50" s="380" t="n">
        <x:v>4</x:v>
      </x:c>
      <x:c r="G50" s="380" t="n">
        <x:f>--(F50&lt;='Estimator'!$B$7)</x:f>
        <x:v>1</x:v>
      </x:c>
      <x:c r="H50" s="381" t="n">
        <x:f>SUMIFS('Climate Data'!$G$7:$G$366,'Climate Data'!$A$7:$A$366,'Estimator'!$B$4,'Climate Data'!$B$7:$B$366,C50)</x:f>
        <x:v>0.23056278464541316</x:v>
      </x:c>
      <x:c r="I50" s="382" t="n">
        <x:f>SUMIFS('Climate Data'!$H$7:$H$366,'Climate Data'!$A$7:$A$366,'Estimator'!$B$4,'Climate Data'!$B$7:$B$366,C50)</x:f>
        <x:v>9.682010582010582</x:v>
      </x:c>
      <x:c r="J50" s="381" t="n">
        <x:f>SUMIFS('Wind Proxy'!$H$8:$H$19,'Wind Proxy'!$A$8:$A$19,'Estimator'!$B$4,'Wind Proxy'!$B$8:$B$19,C50)</x:f>
        <x:v>0.13757861635220128</x:v>
      </x:c>
    </x:row>
    <x:row r="51">
      <x:c r="A51" s="379" t="n">
        <x:v>45702</x:v>
      </x:c>
      <x:c r="B51" s="380" t="n">
        <x:v>2025</x:v>
      </x:c>
      <x:c r="C51" s="380" t="n">
        <x:v>2</x:v>
      </x:c>
      <x:c r="D51" s="380" t="str">
        <x:v>Feb</x:v>
      </x:c>
      <x:c r="E51" s="380" t="n">
        <x:v>14</x:v>
      </x:c>
      <x:c r="F51" s="380" t="n">
        <x:v>5</x:v>
      </x:c>
      <x:c r="G51" s="380" t="n">
        <x:f>--(F51&lt;='Estimator'!$B$7)</x:f>
        <x:v>1</x:v>
      </x:c>
      <x:c r="H51" s="381" t="n">
        <x:f>SUMIFS('Climate Data'!$G$7:$G$366,'Climate Data'!$A$7:$A$366,'Estimator'!$B$4,'Climate Data'!$B$7:$B$366,C51)</x:f>
        <x:v>0.23056278464541316</x:v>
      </x:c>
      <x:c r="I51" s="382" t="n">
        <x:f>SUMIFS('Climate Data'!$H$7:$H$366,'Climate Data'!$A$7:$A$366,'Estimator'!$B$4,'Climate Data'!$B$7:$B$366,C51)</x:f>
        <x:v>9.682010582010582</x:v>
      </x:c>
      <x:c r="J51" s="381" t="n">
        <x:f>SUMIFS('Wind Proxy'!$H$8:$H$19,'Wind Proxy'!$A$8:$A$19,'Estimator'!$B$4,'Wind Proxy'!$B$8:$B$19,C51)</x:f>
        <x:v>0.13757861635220128</x:v>
      </x:c>
    </x:row>
    <x:row r="52">
      <x:c r="A52" s="379" t="n">
        <x:v>45703</x:v>
      </x:c>
      <x:c r="B52" s="380" t="n">
        <x:v>2025</x:v>
      </x:c>
      <x:c r="C52" s="380" t="n">
        <x:v>2</x:v>
      </x:c>
      <x:c r="D52" s="380" t="str">
        <x:v>Feb</x:v>
      </x:c>
      <x:c r="E52" s="380" t="n">
        <x:v>15</x:v>
      </x:c>
      <x:c r="F52" s="380" t="n">
        <x:v>6</x:v>
      </x:c>
      <x:c r="G52" s="380" t="n">
        <x:f>--(F52&lt;='Estimator'!$B$7)</x:f>
        <x:v>0</x:v>
      </x:c>
      <x:c r="H52" s="381" t="n">
        <x:f>SUMIFS('Climate Data'!$G$7:$G$366,'Climate Data'!$A$7:$A$366,'Estimator'!$B$4,'Climate Data'!$B$7:$B$366,C52)</x:f>
        <x:v>0.23056278464541316</x:v>
      </x:c>
      <x:c r="I52" s="382" t="n">
        <x:f>SUMIFS('Climate Data'!$H$7:$H$366,'Climate Data'!$A$7:$A$366,'Estimator'!$B$4,'Climate Data'!$B$7:$B$366,C52)</x:f>
        <x:v>9.682010582010582</x:v>
      </x:c>
      <x:c r="J52" s="381" t="n">
        <x:f>SUMIFS('Wind Proxy'!$H$8:$H$19,'Wind Proxy'!$A$8:$A$19,'Estimator'!$B$4,'Wind Proxy'!$B$8:$B$19,C52)</x:f>
        <x:v>0.13757861635220128</x:v>
      </x:c>
    </x:row>
    <x:row r="53">
      <x:c r="A53" s="379" t="n">
        <x:v>45704</x:v>
      </x:c>
      <x:c r="B53" s="380" t="n">
        <x:v>2025</x:v>
      </x:c>
      <x:c r="C53" s="380" t="n">
        <x:v>2</x:v>
      </x:c>
      <x:c r="D53" s="380" t="str">
        <x:v>Feb</x:v>
      </x:c>
      <x:c r="E53" s="380" t="n">
        <x:v>16</x:v>
      </x:c>
      <x:c r="F53" s="380" t="n">
        <x:v>7</x:v>
      </x:c>
      <x:c r="G53" s="380" t="n">
        <x:f>--(F53&lt;='Estimator'!$B$7)</x:f>
        <x:v>0</x:v>
      </x:c>
      <x:c r="H53" s="381" t="n">
        <x:f>SUMIFS('Climate Data'!$G$7:$G$366,'Climate Data'!$A$7:$A$366,'Estimator'!$B$4,'Climate Data'!$B$7:$B$366,C53)</x:f>
        <x:v>0.23056278464541316</x:v>
      </x:c>
      <x:c r="I53" s="382" t="n">
        <x:f>SUMIFS('Climate Data'!$H$7:$H$366,'Climate Data'!$A$7:$A$366,'Estimator'!$B$4,'Climate Data'!$B$7:$B$366,C53)</x:f>
        <x:v>9.682010582010582</x:v>
      </x:c>
      <x:c r="J53" s="381" t="n">
        <x:f>SUMIFS('Wind Proxy'!$H$8:$H$19,'Wind Proxy'!$A$8:$A$19,'Estimator'!$B$4,'Wind Proxy'!$B$8:$B$19,C53)</x:f>
        <x:v>0.13757861635220128</x:v>
      </x:c>
    </x:row>
    <x:row r="54">
      <x:c r="A54" s="379" t="n">
        <x:v>45705</x:v>
      </x:c>
      <x:c r="B54" s="380" t="n">
        <x:v>2025</x:v>
      </x:c>
      <x:c r="C54" s="380" t="n">
        <x:v>2</x:v>
      </x:c>
      <x:c r="D54" s="380" t="str">
        <x:v>Feb</x:v>
      </x:c>
      <x:c r="E54" s="380" t="n">
        <x:v>17</x:v>
      </x:c>
      <x:c r="F54" s="380" t="n">
        <x:v>1</x:v>
      </x:c>
      <x:c r="G54" s="380" t="n">
        <x:f>--(F54&lt;='Estimator'!$B$7)</x:f>
        <x:v>1</x:v>
      </x:c>
      <x:c r="H54" s="381" t="n">
        <x:f>SUMIFS('Climate Data'!$G$7:$G$366,'Climate Data'!$A$7:$A$366,'Estimator'!$B$4,'Climate Data'!$B$7:$B$366,C54)</x:f>
        <x:v>0.23056278464541316</x:v>
      </x:c>
      <x:c r="I54" s="382" t="n">
        <x:f>SUMIFS('Climate Data'!$H$7:$H$366,'Climate Data'!$A$7:$A$366,'Estimator'!$B$4,'Climate Data'!$B$7:$B$366,C54)</x:f>
        <x:v>9.682010582010582</x:v>
      </x:c>
      <x:c r="J54" s="381" t="n">
        <x:f>SUMIFS('Wind Proxy'!$H$8:$H$19,'Wind Proxy'!$A$8:$A$19,'Estimator'!$B$4,'Wind Proxy'!$B$8:$B$19,C54)</x:f>
        <x:v>0.13757861635220128</x:v>
      </x:c>
    </x:row>
    <x:row r="55">
      <x:c r="A55" s="379" t="n">
        <x:v>45706</x:v>
      </x:c>
      <x:c r="B55" s="380" t="n">
        <x:v>2025</x:v>
      </x:c>
      <x:c r="C55" s="380" t="n">
        <x:v>2</x:v>
      </x:c>
      <x:c r="D55" s="380" t="str">
        <x:v>Feb</x:v>
      </x:c>
      <x:c r="E55" s="380" t="n">
        <x:v>18</x:v>
      </x:c>
      <x:c r="F55" s="380" t="n">
        <x:v>2</x:v>
      </x:c>
      <x:c r="G55" s="380" t="n">
        <x:f>--(F55&lt;='Estimator'!$B$7)</x:f>
        <x:v>1</x:v>
      </x:c>
      <x:c r="H55" s="381" t="n">
        <x:f>SUMIFS('Climate Data'!$G$7:$G$366,'Climate Data'!$A$7:$A$366,'Estimator'!$B$4,'Climate Data'!$B$7:$B$366,C55)</x:f>
        <x:v>0.23056278464541316</x:v>
      </x:c>
      <x:c r="I55" s="382" t="n">
        <x:f>SUMIFS('Climate Data'!$H$7:$H$366,'Climate Data'!$A$7:$A$366,'Estimator'!$B$4,'Climate Data'!$B$7:$B$366,C55)</x:f>
        <x:v>9.682010582010582</x:v>
      </x:c>
      <x:c r="J55" s="381" t="n">
        <x:f>SUMIFS('Wind Proxy'!$H$8:$H$19,'Wind Proxy'!$A$8:$A$19,'Estimator'!$B$4,'Wind Proxy'!$B$8:$B$19,C55)</x:f>
        <x:v>0.13757861635220128</x:v>
      </x:c>
    </x:row>
    <x:row r="56">
      <x:c r="A56" s="379" t="n">
        <x:v>45707</x:v>
      </x:c>
      <x:c r="B56" s="380" t="n">
        <x:v>2025</x:v>
      </x:c>
      <x:c r="C56" s="380" t="n">
        <x:v>2</x:v>
      </x:c>
      <x:c r="D56" s="380" t="str">
        <x:v>Feb</x:v>
      </x:c>
      <x:c r="E56" s="380" t="n">
        <x:v>19</x:v>
      </x:c>
      <x:c r="F56" s="380" t="n">
        <x:v>3</x:v>
      </x:c>
      <x:c r="G56" s="380" t="n">
        <x:f>--(F56&lt;='Estimator'!$B$7)</x:f>
        <x:v>1</x:v>
      </x:c>
      <x:c r="H56" s="381" t="n">
        <x:f>SUMIFS('Climate Data'!$G$7:$G$366,'Climate Data'!$A$7:$A$366,'Estimator'!$B$4,'Climate Data'!$B$7:$B$366,C56)</x:f>
        <x:v>0.23056278464541316</x:v>
      </x:c>
      <x:c r="I56" s="382" t="n">
        <x:f>SUMIFS('Climate Data'!$H$7:$H$366,'Climate Data'!$A$7:$A$366,'Estimator'!$B$4,'Climate Data'!$B$7:$B$366,C56)</x:f>
        <x:v>9.682010582010582</x:v>
      </x:c>
      <x:c r="J56" s="381" t="n">
        <x:f>SUMIFS('Wind Proxy'!$H$8:$H$19,'Wind Proxy'!$A$8:$A$19,'Estimator'!$B$4,'Wind Proxy'!$B$8:$B$19,C56)</x:f>
        <x:v>0.13757861635220128</x:v>
      </x:c>
    </x:row>
    <x:row r="57">
      <x:c r="A57" s="379" t="n">
        <x:v>45708</x:v>
      </x:c>
      <x:c r="B57" s="380" t="n">
        <x:v>2025</x:v>
      </x:c>
      <x:c r="C57" s="380" t="n">
        <x:v>2</x:v>
      </x:c>
      <x:c r="D57" s="380" t="str">
        <x:v>Feb</x:v>
      </x:c>
      <x:c r="E57" s="380" t="n">
        <x:v>20</x:v>
      </x:c>
      <x:c r="F57" s="380" t="n">
        <x:v>4</x:v>
      </x:c>
      <x:c r="G57" s="380" t="n">
        <x:f>--(F57&lt;='Estimator'!$B$7)</x:f>
        <x:v>1</x:v>
      </x:c>
      <x:c r="H57" s="381" t="n">
        <x:f>SUMIFS('Climate Data'!$G$7:$G$366,'Climate Data'!$A$7:$A$366,'Estimator'!$B$4,'Climate Data'!$B$7:$B$366,C57)</x:f>
        <x:v>0.23056278464541316</x:v>
      </x:c>
      <x:c r="I57" s="382" t="n">
        <x:f>SUMIFS('Climate Data'!$H$7:$H$366,'Climate Data'!$A$7:$A$366,'Estimator'!$B$4,'Climate Data'!$B$7:$B$366,C57)</x:f>
        <x:v>9.682010582010582</x:v>
      </x:c>
      <x:c r="J57" s="381" t="n">
        <x:f>SUMIFS('Wind Proxy'!$H$8:$H$19,'Wind Proxy'!$A$8:$A$19,'Estimator'!$B$4,'Wind Proxy'!$B$8:$B$19,C57)</x:f>
        <x:v>0.13757861635220128</x:v>
      </x:c>
    </x:row>
    <x:row r="58">
      <x:c r="A58" s="379" t="n">
        <x:v>45709</x:v>
      </x:c>
      <x:c r="B58" s="380" t="n">
        <x:v>2025</x:v>
      </x:c>
      <x:c r="C58" s="380" t="n">
        <x:v>2</x:v>
      </x:c>
      <x:c r="D58" s="380" t="str">
        <x:v>Feb</x:v>
      </x:c>
      <x:c r="E58" s="380" t="n">
        <x:v>21</x:v>
      </x:c>
      <x:c r="F58" s="380" t="n">
        <x:v>5</x:v>
      </x:c>
      <x:c r="G58" s="380" t="n">
        <x:f>--(F58&lt;='Estimator'!$B$7)</x:f>
        <x:v>1</x:v>
      </x:c>
      <x:c r="H58" s="381" t="n">
        <x:f>SUMIFS('Climate Data'!$G$7:$G$366,'Climate Data'!$A$7:$A$366,'Estimator'!$B$4,'Climate Data'!$B$7:$B$366,C58)</x:f>
        <x:v>0.23056278464541316</x:v>
      </x:c>
      <x:c r="I58" s="382" t="n">
        <x:f>SUMIFS('Climate Data'!$H$7:$H$366,'Climate Data'!$A$7:$A$366,'Estimator'!$B$4,'Climate Data'!$B$7:$B$366,C58)</x:f>
        <x:v>9.682010582010582</x:v>
      </x:c>
      <x:c r="J58" s="381" t="n">
        <x:f>SUMIFS('Wind Proxy'!$H$8:$H$19,'Wind Proxy'!$A$8:$A$19,'Estimator'!$B$4,'Wind Proxy'!$B$8:$B$19,C58)</x:f>
        <x:v>0.13757861635220128</x:v>
      </x:c>
    </x:row>
    <x:row r="59">
      <x:c r="A59" s="379" t="n">
        <x:v>45710</x:v>
      </x:c>
      <x:c r="B59" s="380" t="n">
        <x:v>2025</x:v>
      </x:c>
      <x:c r="C59" s="380" t="n">
        <x:v>2</x:v>
      </x:c>
      <x:c r="D59" s="380" t="str">
        <x:v>Feb</x:v>
      </x:c>
      <x:c r="E59" s="380" t="n">
        <x:v>22</x:v>
      </x:c>
      <x:c r="F59" s="380" t="n">
        <x:v>6</x:v>
      </x:c>
      <x:c r="G59" s="380" t="n">
        <x:f>--(F59&lt;='Estimator'!$B$7)</x:f>
        <x:v>0</x:v>
      </x:c>
      <x:c r="H59" s="381" t="n">
        <x:f>SUMIFS('Climate Data'!$G$7:$G$366,'Climate Data'!$A$7:$A$366,'Estimator'!$B$4,'Climate Data'!$B$7:$B$366,C59)</x:f>
        <x:v>0.23056278464541316</x:v>
      </x:c>
      <x:c r="I59" s="382" t="n">
        <x:f>SUMIFS('Climate Data'!$H$7:$H$366,'Climate Data'!$A$7:$A$366,'Estimator'!$B$4,'Climate Data'!$B$7:$B$366,C59)</x:f>
        <x:v>9.682010582010582</x:v>
      </x:c>
      <x:c r="J59" s="381" t="n">
        <x:f>SUMIFS('Wind Proxy'!$H$8:$H$19,'Wind Proxy'!$A$8:$A$19,'Estimator'!$B$4,'Wind Proxy'!$B$8:$B$19,C59)</x:f>
        <x:v>0.13757861635220128</x:v>
      </x:c>
    </x:row>
    <x:row r="60">
      <x:c r="A60" s="379" t="n">
        <x:v>45711</x:v>
      </x:c>
      <x:c r="B60" s="380" t="n">
        <x:v>2025</x:v>
      </x:c>
      <x:c r="C60" s="380" t="n">
        <x:v>2</x:v>
      </x:c>
      <x:c r="D60" s="380" t="str">
        <x:v>Feb</x:v>
      </x:c>
      <x:c r="E60" s="380" t="n">
        <x:v>23</x:v>
      </x:c>
      <x:c r="F60" s="380" t="n">
        <x:v>7</x:v>
      </x:c>
      <x:c r="G60" s="380" t="n">
        <x:f>--(F60&lt;='Estimator'!$B$7)</x:f>
        <x:v>0</x:v>
      </x:c>
      <x:c r="H60" s="381" t="n">
        <x:f>SUMIFS('Climate Data'!$G$7:$G$366,'Climate Data'!$A$7:$A$366,'Estimator'!$B$4,'Climate Data'!$B$7:$B$366,C60)</x:f>
        <x:v>0.23056278464541316</x:v>
      </x:c>
      <x:c r="I60" s="382" t="n">
        <x:f>SUMIFS('Climate Data'!$H$7:$H$366,'Climate Data'!$A$7:$A$366,'Estimator'!$B$4,'Climate Data'!$B$7:$B$366,C60)</x:f>
        <x:v>9.682010582010582</x:v>
      </x:c>
      <x:c r="J60" s="381" t="n">
        <x:f>SUMIFS('Wind Proxy'!$H$8:$H$19,'Wind Proxy'!$A$8:$A$19,'Estimator'!$B$4,'Wind Proxy'!$B$8:$B$19,C60)</x:f>
        <x:v>0.13757861635220128</x:v>
      </x:c>
    </x:row>
    <x:row r="61">
      <x:c r="A61" s="379" t="n">
        <x:v>45712</x:v>
      </x:c>
      <x:c r="B61" s="380" t="n">
        <x:v>2025</x:v>
      </x:c>
      <x:c r="C61" s="380" t="n">
        <x:v>2</x:v>
      </x:c>
      <x:c r="D61" s="380" t="str">
        <x:v>Feb</x:v>
      </x:c>
      <x:c r="E61" s="380" t="n">
        <x:v>24</x:v>
      </x:c>
      <x:c r="F61" s="380" t="n">
        <x:v>1</x:v>
      </x:c>
      <x:c r="G61" s="380" t="n">
        <x:f>--(F61&lt;='Estimator'!$B$7)</x:f>
        <x:v>1</x:v>
      </x:c>
      <x:c r="H61" s="381" t="n">
        <x:f>SUMIFS('Climate Data'!$G$7:$G$366,'Climate Data'!$A$7:$A$366,'Estimator'!$B$4,'Climate Data'!$B$7:$B$366,C61)</x:f>
        <x:v>0.23056278464541316</x:v>
      </x:c>
      <x:c r="I61" s="382" t="n">
        <x:f>SUMIFS('Climate Data'!$H$7:$H$366,'Climate Data'!$A$7:$A$366,'Estimator'!$B$4,'Climate Data'!$B$7:$B$366,C61)</x:f>
        <x:v>9.682010582010582</x:v>
      </x:c>
      <x:c r="J61" s="381" t="n">
        <x:f>SUMIFS('Wind Proxy'!$H$8:$H$19,'Wind Proxy'!$A$8:$A$19,'Estimator'!$B$4,'Wind Proxy'!$B$8:$B$19,C61)</x:f>
        <x:v>0.13757861635220128</x:v>
      </x:c>
    </x:row>
    <x:row r="62">
      <x:c r="A62" s="379" t="n">
        <x:v>45713</x:v>
      </x:c>
      <x:c r="B62" s="380" t="n">
        <x:v>2025</x:v>
      </x:c>
      <x:c r="C62" s="380" t="n">
        <x:v>2</x:v>
      </x:c>
      <x:c r="D62" s="380" t="str">
        <x:v>Feb</x:v>
      </x:c>
      <x:c r="E62" s="380" t="n">
        <x:v>25</x:v>
      </x:c>
      <x:c r="F62" s="380" t="n">
        <x:v>2</x:v>
      </x:c>
      <x:c r="G62" s="380" t="n">
        <x:f>--(F62&lt;='Estimator'!$B$7)</x:f>
        <x:v>1</x:v>
      </x:c>
      <x:c r="H62" s="381" t="n">
        <x:f>SUMIFS('Climate Data'!$G$7:$G$366,'Climate Data'!$A$7:$A$366,'Estimator'!$B$4,'Climate Data'!$B$7:$B$366,C62)</x:f>
        <x:v>0.23056278464541316</x:v>
      </x:c>
      <x:c r="I62" s="382" t="n">
        <x:f>SUMIFS('Climate Data'!$H$7:$H$366,'Climate Data'!$A$7:$A$366,'Estimator'!$B$4,'Climate Data'!$B$7:$B$366,C62)</x:f>
        <x:v>9.682010582010582</x:v>
      </x:c>
      <x:c r="J62" s="381" t="n">
        <x:f>SUMIFS('Wind Proxy'!$H$8:$H$19,'Wind Proxy'!$A$8:$A$19,'Estimator'!$B$4,'Wind Proxy'!$B$8:$B$19,C62)</x:f>
        <x:v>0.13757861635220128</x:v>
      </x:c>
    </x:row>
    <x:row r="63">
      <x:c r="A63" s="379" t="n">
        <x:v>45714</x:v>
      </x:c>
      <x:c r="B63" s="380" t="n">
        <x:v>2025</x:v>
      </x:c>
      <x:c r="C63" s="380" t="n">
        <x:v>2</x:v>
      </x:c>
      <x:c r="D63" s="380" t="str">
        <x:v>Feb</x:v>
      </x:c>
      <x:c r="E63" s="380" t="n">
        <x:v>26</x:v>
      </x:c>
      <x:c r="F63" s="380" t="n">
        <x:v>3</x:v>
      </x:c>
      <x:c r="G63" s="380" t="n">
        <x:f>--(F63&lt;='Estimator'!$B$7)</x:f>
        <x:v>1</x:v>
      </x:c>
      <x:c r="H63" s="381" t="n">
        <x:f>SUMIFS('Climate Data'!$G$7:$G$366,'Climate Data'!$A$7:$A$366,'Estimator'!$B$4,'Climate Data'!$B$7:$B$366,C63)</x:f>
        <x:v>0.23056278464541316</x:v>
      </x:c>
      <x:c r="I63" s="382" t="n">
        <x:f>SUMIFS('Climate Data'!$H$7:$H$366,'Climate Data'!$A$7:$A$366,'Estimator'!$B$4,'Climate Data'!$B$7:$B$366,C63)</x:f>
        <x:v>9.682010582010582</x:v>
      </x:c>
      <x:c r="J63" s="381" t="n">
        <x:f>SUMIFS('Wind Proxy'!$H$8:$H$19,'Wind Proxy'!$A$8:$A$19,'Estimator'!$B$4,'Wind Proxy'!$B$8:$B$19,C63)</x:f>
        <x:v>0.13757861635220128</x:v>
      </x:c>
    </x:row>
    <x:row r="64">
      <x:c r="A64" s="379" t="n">
        <x:v>45715</x:v>
      </x:c>
      <x:c r="B64" s="380" t="n">
        <x:v>2025</x:v>
      </x:c>
      <x:c r="C64" s="380" t="n">
        <x:v>2</x:v>
      </x:c>
      <x:c r="D64" s="380" t="str">
        <x:v>Feb</x:v>
      </x:c>
      <x:c r="E64" s="380" t="n">
        <x:v>27</x:v>
      </x:c>
      <x:c r="F64" s="380" t="n">
        <x:v>4</x:v>
      </x:c>
      <x:c r="G64" s="380" t="n">
        <x:f>--(F64&lt;='Estimator'!$B$7)</x:f>
        <x:v>1</x:v>
      </x:c>
      <x:c r="H64" s="381" t="n">
        <x:f>SUMIFS('Climate Data'!$G$7:$G$366,'Climate Data'!$A$7:$A$366,'Estimator'!$B$4,'Climate Data'!$B$7:$B$366,C64)</x:f>
        <x:v>0.23056278464541316</x:v>
      </x:c>
      <x:c r="I64" s="382" t="n">
        <x:f>SUMIFS('Climate Data'!$H$7:$H$366,'Climate Data'!$A$7:$A$366,'Estimator'!$B$4,'Climate Data'!$B$7:$B$366,C64)</x:f>
        <x:v>9.682010582010582</x:v>
      </x:c>
      <x:c r="J64" s="381" t="n">
        <x:f>SUMIFS('Wind Proxy'!$H$8:$H$19,'Wind Proxy'!$A$8:$A$19,'Estimator'!$B$4,'Wind Proxy'!$B$8:$B$19,C64)</x:f>
        <x:v>0.13757861635220128</x:v>
      </x:c>
    </x:row>
    <x:row r="65">
      <x:c r="A65" s="379" t="n">
        <x:v>45716</x:v>
      </x:c>
      <x:c r="B65" s="380" t="n">
        <x:v>2025</x:v>
      </x:c>
      <x:c r="C65" s="380" t="n">
        <x:v>2</x:v>
      </x:c>
      <x:c r="D65" s="380" t="str">
        <x:v>Feb</x:v>
      </x:c>
      <x:c r="E65" s="380" t="n">
        <x:v>28</x:v>
      </x:c>
      <x:c r="F65" s="380" t="n">
        <x:v>5</x:v>
      </x:c>
      <x:c r="G65" s="380" t="n">
        <x:f>--(F65&lt;='Estimator'!$B$7)</x:f>
        <x:v>1</x:v>
      </x:c>
      <x:c r="H65" s="381" t="n">
        <x:f>SUMIFS('Climate Data'!$G$7:$G$366,'Climate Data'!$A$7:$A$366,'Estimator'!$B$4,'Climate Data'!$B$7:$B$366,C65)</x:f>
        <x:v>0.23056278464541316</x:v>
      </x:c>
      <x:c r="I65" s="382" t="n">
        <x:f>SUMIFS('Climate Data'!$H$7:$H$366,'Climate Data'!$A$7:$A$366,'Estimator'!$B$4,'Climate Data'!$B$7:$B$366,C65)</x:f>
        <x:v>9.682010582010582</x:v>
      </x:c>
      <x:c r="J65" s="381" t="n">
        <x:f>SUMIFS('Wind Proxy'!$H$8:$H$19,'Wind Proxy'!$A$8:$A$19,'Estimator'!$B$4,'Wind Proxy'!$B$8:$B$19,C65)</x:f>
        <x:v>0.13757861635220128</x:v>
      </x:c>
    </x:row>
    <x:row r="66">
      <x:c r="A66" s="379" t="n">
        <x:v>45717</x:v>
      </x:c>
      <x:c r="B66" s="380" t="n">
        <x:v>2025</x:v>
      </x:c>
      <x:c r="C66" s="380" t="n">
        <x:v>3</x:v>
      </x:c>
      <x:c r="D66" s="380" t="str">
        <x:v>Mar</x:v>
      </x:c>
      <x:c r="E66" s="380" t="n">
        <x:v>1</x:v>
      </x:c>
      <x:c r="F66" s="380" t="n">
        <x:v>6</x:v>
      </x:c>
      <x:c r="G66" s="380" t="n">
        <x:f>--(F66&lt;='Estimator'!$B$7)</x:f>
        <x:v>0</x:v>
      </x:c>
      <x:c r="H66" s="381" t="n">
        <x:f>SUMIFS('Climate Data'!$G$7:$G$366,'Climate Data'!$A$7:$A$366,'Estimator'!$B$4,'Climate Data'!$B$7:$B$366,C66)</x:f>
        <x:v>0.24916573971078979</x:v>
      </x:c>
      <x:c r="I66" s="382" t="n">
        <x:f>SUMIFS('Climate Data'!$H$7:$H$366,'Climate Data'!$A$7:$A$366,'Estimator'!$B$4,'Climate Data'!$B$7:$B$366,C66)</x:f>
        <x:v>9.709821428571429</x:v>
      </x:c>
      <x:c r="J66" s="381" t="n">
        <x:f>SUMIFS('Wind Proxy'!$H$8:$H$19,'Wind Proxy'!$A$8:$A$19,'Estimator'!$B$4,'Wind Proxy'!$B$8:$B$19,C66)</x:f>
        <x:v>0.11350059737156513</x:v>
      </x:c>
    </x:row>
    <x:row r="67">
      <x:c r="A67" s="379" t="n">
        <x:v>45718</x:v>
      </x:c>
      <x:c r="B67" s="380" t="n">
        <x:v>2025</x:v>
      </x:c>
      <x:c r="C67" s="380" t="n">
        <x:v>3</x:v>
      </x:c>
      <x:c r="D67" s="380" t="str">
        <x:v>Mar</x:v>
      </x:c>
      <x:c r="E67" s="380" t="n">
        <x:v>2</x:v>
      </x:c>
      <x:c r="F67" s="380" t="n">
        <x:v>7</x:v>
      </x:c>
      <x:c r="G67" s="380" t="n">
        <x:f>--(F67&lt;='Estimator'!$B$7)</x:f>
        <x:v>0</x:v>
      </x:c>
      <x:c r="H67" s="381" t="n">
        <x:f>SUMIFS('Climate Data'!$G$7:$G$366,'Climate Data'!$A$7:$A$366,'Estimator'!$B$4,'Climate Data'!$B$7:$B$366,C67)</x:f>
        <x:v>0.24916573971078979</x:v>
      </x:c>
      <x:c r="I67" s="382" t="n">
        <x:f>SUMIFS('Climate Data'!$H$7:$H$366,'Climate Data'!$A$7:$A$366,'Estimator'!$B$4,'Climate Data'!$B$7:$B$366,C67)</x:f>
        <x:v>9.709821428571429</x:v>
      </x:c>
      <x:c r="J67" s="381" t="n">
        <x:f>SUMIFS('Wind Proxy'!$H$8:$H$19,'Wind Proxy'!$A$8:$A$19,'Estimator'!$B$4,'Wind Proxy'!$B$8:$B$19,C67)</x:f>
        <x:v>0.11350059737156513</x:v>
      </x:c>
    </x:row>
    <x:row r="68">
      <x:c r="A68" s="379" t="n">
        <x:v>45719</x:v>
      </x:c>
      <x:c r="B68" s="380" t="n">
        <x:v>2025</x:v>
      </x:c>
      <x:c r="C68" s="380" t="n">
        <x:v>3</x:v>
      </x:c>
      <x:c r="D68" s="380" t="str">
        <x:v>Mar</x:v>
      </x:c>
      <x:c r="E68" s="380" t="n">
        <x:v>3</x:v>
      </x:c>
      <x:c r="F68" s="380" t="n">
        <x:v>1</x:v>
      </x:c>
      <x:c r="G68" s="380" t="n">
        <x:f>--(F68&lt;='Estimator'!$B$7)</x:f>
        <x:v>1</x:v>
      </x:c>
      <x:c r="H68" s="381" t="n">
        <x:f>SUMIFS('Climate Data'!$G$7:$G$366,'Climate Data'!$A$7:$A$366,'Estimator'!$B$4,'Climate Data'!$B$7:$B$366,C68)</x:f>
        <x:v>0.24916573971078979</x:v>
      </x:c>
      <x:c r="I68" s="382" t="n">
        <x:f>SUMIFS('Climate Data'!$H$7:$H$366,'Climate Data'!$A$7:$A$366,'Estimator'!$B$4,'Climate Data'!$B$7:$B$366,C68)</x:f>
        <x:v>9.709821428571429</x:v>
      </x:c>
      <x:c r="J68" s="381" t="n">
        <x:f>SUMIFS('Wind Proxy'!$H$8:$H$19,'Wind Proxy'!$A$8:$A$19,'Estimator'!$B$4,'Wind Proxy'!$B$8:$B$19,C68)</x:f>
        <x:v>0.11350059737156513</x:v>
      </x:c>
    </x:row>
    <x:row r="69">
      <x:c r="A69" s="379" t="n">
        <x:v>45720</x:v>
      </x:c>
      <x:c r="B69" s="380" t="n">
        <x:v>2025</x:v>
      </x:c>
      <x:c r="C69" s="380" t="n">
        <x:v>3</x:v>
      </x:c>
      <x:c r="D69" s="380" t="str">
        <x:v>Mar</x:v>
      </x:c>
      <x:c r="E69" s="380" t="n">
        <x:v>4</x:v>
      </x:c>
      <x:c r="F69" s="380" t="n">
        <x:v>2</x:v>
      </x:c>
      <x:c r="G69" s="380" t="n">
        <x:f>--(F69&lt;='Estimator'!$B$7)</x:f>
        <x:v>1</x:v>
      </x:c>
      <x:c r="H69" s="381" t="n">
        <x:f>SUMIFS('Climate Data'!$G$7:$G$366,'Climate Data'!$A$7:$A$366,'Estimator'!$B$4,'Climate Data'!$B$7:$B$366,C69)</x:f>
        <x:v>0.24916573971078979</x:v>
      </x:c>
      <x:c r="I69" s="382" t="n">
        <x:f>SUMIFS('Climate Data'!$H$7:$H$366,'Climate Data'!$A$7:$A$366,'Estimator'!$B$4,'Climate Data'!$B$7:$B$366,C69)</x:f>
        <x:v>9.709821428571429</x:v>
      </x:c>
      <x:c r="J69" s="381" t="n">
        <x:f>SUMIFS('Wind Proxy'!$H$8:$H$19,'Wind Proxy'!$A$8:$A$19,'Estimator'!$B$4,'Wind Proxy'!$B$8:$B$19,C69)</x:f>
        <x:v>0.11350059737156513</x:v>
      </x:c>
    </x:row>
    <x:row r="70">
      <x:c r="A70" s="379" t="n">
        <x:v>45721</x:v>
      </x:c>
      <x:c r="B70" s="380" t="n">
        <x:v>2025</x:v>
      </x:c>
      <x:c r="C70" s="380" t="n">
        <x:v>3</x:v>
      </x:c>
      <x:c r="D70" s="380" t="str">
        <x:v>Mar</x:v>
      </x:c>
      <x:c r="E70" s="380" t="n">
        <x:v>5</x:v>
      </x:c>
      <x:c r="F70" s="380" t="n">
        <x:v>3</x:v>
      </x:c>
      <x:c r="G70" s="380" t="n">
        <x:f>--(F70&lt;='Estimator'!$B$7)</x:f>
        <x:v>1</x:v>
      </x:c>
      <x:c r="H70" s="381" t="n">
        <x:f>SUMIFS('Climate Data'!$G$7:$G$366,'Climate Data'!$A$7:$A$366,'Estimator'!$B$4,'Climate Data'!$B$7:$B$366,C70)</x:f>
        <x:v>0.24916573971078979</x:v>
      </x:c>
      <x:c r="I70" s="382" t="n">
        <x:f>SUMIFS('Climate Data'!$H$7:$H$366,'Climate Data'!$A$7:$A$366,'Estimator'!$B$4,'Climate Data'!$B$7:$B$366,C70)</x:f>
        <x:v>9.709821428571429</x:v>
      </x:c>
      <x:c r="J70" s="381" t="n">
        <x:f>SUMIFS('Wind Proxy'!$H$8:$H$19,'Wind Proxy'!$A$8:$A$19,'Estimator'!$B$4,'Wind Proxy'!$B$8:$B$19,C70)</x:f>
        <x:v>0.11350059737156513</x:v>
      </x:c>
    </x:row>
    <x:row r="71">
      <x:c r="A71" s="379" t="n">
        <x:v>45722</x:v>
      </x:c>
      <x:c r="B71" s="380" t="n">
        <x:v>2025</x:v>
      </x:c>
      <x:c r="C71" s="380" t="n">
        <x:v>3</x:v>
      </x:c>
      <x:c r="D71" s="380" t="str">
        <x:v>Mar</x:v>
      </x:c>
      <x:c r="E71" s="380" t="n">
        <x:v>6</x:v>
      </x:c>
      <x:c r="F71" s="380" t="n">
        <x:v>4</x:v>
      </x:c>
      <x:c r="G71" s="380" t="n">
        <x:f>--(F71&lt;='Estimator'!$B$7)</x:f>
        <x:v>1</x:v>
      </x:c>
      <x:c r="H71" s="381" t="n">
        <x:f>SUMIFS('Climate Data'!$G$7:$G$366,'Climate Data'!$A$7:$A$366,'Estimator'!$B$4,'Climate Data'!$B$7:$B$366,C71)</x:f>
        <x:v>0.24916573971078979</x:v>
      </x:c>
      <x:c r="I71" s="382" t="n">
        <x:f>SUMIFS('Climate Data'!$H$7:$H$366,'Climate Data'!$A$7:$A$366,'Estimator'!$B$4,'Climate Data'!$B$7:$B$366,C71)</x:f>
        <x:v>9.709821428571429</x:v>
      </x:c>
      <x:c r="J71" s="381" t="n">
        <x:f>SUMIFS('Wind Proxy'!$H$8:$H$19,'Wind Proxy'!$A$8:$A$19,'Estimator'!$B$4,'Wind Proxy'!$B$8:$B$19,C71)</x:f>
        <x:v>0.11350059737156513</x:v>
      </x:c>
    </x:row>
    <x:row r="72">
      <x:c r="A72" s="379" t="n">
        <x:v>45723</x:v>
      </x:c>
      <x:c r="B72" s="380" t="n">
        <x:v>2025</x:v>
      </x:c>
      <x:c r="C72" s="380" t="n">
        <x:v>3</x:v>
      </x:c>
      <x:c r="D72" s="380" t="str">
        <x:v>Mar</x:v>
      </x:c>
      <x:c r="E72" s="380" t="n">
        <x:v>7</x:v>
      </x:c>
      <x:c r="F72" s="380" t="n">
        <x:v>5</x:v>
      </x:c>
      <x:c r="G72" s="380" t="n">
        <x:f>--(F72&lt;='Estimator'!$B$7)</x:f>
        <x:v>1</x:v>
      </x:c>
      <x:c r="H72" s="381" t="n">
        <x:f>SUMIFS('Climate Data'!$G$7:$G$366,'Climate Data'!$A$7:$A$366,'Estimator'!$B$4,'Climate Data'!$B$7:$B$366,C72)</x:f>
        <x:v>0.24916573971078979</x:v>
      </x:c>
      <x:c r="I72" s="382" t="n">
        <x:f>SUMIFS('Climate Data'!$H$7:$H$366,'Climate Data'!$A$7:$A$366,'Estimator'!$B$4,'Climate Data'!$B$7:$B$366,C72)</x:f>
        <x:v>9.709821428571429</x:v>
      </x:c>
      <x:c r="J72" s="381" t="n">
        <x:f>SUMIFS('Wind Proxy'!$H$8:$H$19,'Wind Proxy'!$A$8:$A$19,'Estimator'!$B$4,'Wind Proxy'!$B$8:$B$19,C72)</x:f>
        <x:v>0.11350059737156513</x:v>
      </x:c>
    </x:row>
    <x:row r="73">
      <x:c r="A73" s="379" t="n">
        <x:v>45724</x:v>
      </x:c>
      <x:c r="B73" s="380" t="n">
        <x:v>2025</x:v>
      </x:c>
      <x:c r="C73" s="380" t="n">
        <x:v>3</x:v>
      </x:c>
      <x:c r="D73" s="380" t="str">
        <x:v>Mar</x:v>
      </x:c>
      <x:c r="E73" s="380" t="n">
        <x:v>8</x:v>
      </x:c>
      <x:c r="F73" s="380" t="n">
        <x:v>6</x:v>
      </x:c>
      <x:c r="G73" s="380" t="n">
        <x:f>--(F73&lt;='Estimator'!$B$7)</x:f>
        <x:v>0</x:v>
      </x:c>
      <x:c r="H73" s="381" t="n">
        <x:f>SUMIFS('Climate Data'!$G$7:$G$366,'Climate Data'!$A$7:$A$366,'Estimator'!$B$4,'Climate Data'!$B$7:$B$366,C73)</x:f>
        <x:v>0.24916573971078979</x:v>
      </x:c>
      <x:c r="I73" s="382" t="n">
        <x:f>SUMIFS('Climate Data'!$H$7:$H$366,'Climate Data'!$A$7:$A$366,'Estimator'!$B$4,'Climate Data'!$B$7:$B$366,C73)</x:f>
        <x:v>9.709821428571429</x:v>
      </x:c>
      <x:c r="J73" s="381" t="n">
        <x:f>SUMIFS('Wind Proxy'!$H$8:$H$19,'Wind Proxy'!$A$8:$A$19,'Estimator'!$B$4,'Wind Proxy'!$B$8:$B$19,C73)</x:f>
        <x:v>0.11350059737156513</x:v>
      </x:c>
    </x:row>
    <x:row r="74">
      <x:c r="A74" s="379" t="n">
        <x:v>45725</x:v>
      </x:c>
      <x:c r="B74" s="380" t="n">
        <x:v>2025</x:v>
      </x:c>
      <x:c r="C74" s="380" t="n">
        <x:v>3</x:v>
      </x:c>
      <x:c r="D74" s="380" t="str">
        <x:v>Mar</x:v>
      </x:c>
      <x:c r="E74" s="380" t="n">
        <x:v>9</x:v>
      </x:c>
      <x:c r="F74" s="380" t="n">
        <x:v>7</x:v>
      </x:c>
      <x:c r="G74" s="380" t="n">
        <x:f>--(F74&lt;='Estimator'!$B$7)</x:f>
        <x:v>0</x:v>
      </x:c>
      <x:c r="H74" s="381" t="n">
        <x:f>SUMIFS('Climate Data'!$G$7:$G$366,'Climate Data'!$A$7:$A$366,'Estimator'!$B$4,'Climate Data'!$B$7:$B$366,C74)</x:f>
        <x:v>0.24916573971078979</x:v>
      </x:c>
      <x:c r="I74" s="382" t="n">
        <x:f>SUMIFS('Climate Data'!$H$7:$H$366,'Climate Data'!$A$7:$A$366,'Estimator'!$B$4,'Climate Data'!$B$7:$B$366,C74)</x:f>
        <x:v>9.709821428571429</x:v>
      </x:c>
      <x:c r="J74" s="381" t="n">
        <x:f>SUMIFS('Wind Proxy'!$H$8:$H$19,'Wind Proxy'!$A$8:$A$19,'Estimator'!$B$4,'Wind Proxy'!$B$8:$B$19,C74)</x:f>
        <x:v>0.11350059737156513</x:v>
      </x:c>
    </x:row>
    <x:row r="75">
      <x:c r="A75" s="379" t="n">
        <x:v>45726</x:v>
      </x:c>
      <x:c r="B75" s="380" t="n">
        <x:v>2025</x:v>
      </x:c>
      <x:c r="C75" s="380" t="n">
        <x:v>3</x:v>
      </x:c>
      <x:c r="D75" s="380" t="str">
        <x:v>Mar</x:v>
      </x:c>
      <x:c r="E75" s="380" t="n">
        <x:v>10</x:v>
      </x:c>
      <x:c r="F75" s="380" t="n">
        <x:v>1</x:v>
      </x:c>
      <x:c r="G75" s="380" t="n">
        <x:f>--(F75&lt;='Estimator'!$B$7)</x:f>
        <x:v>1</x:v>
      </x:c>
      <x:c r="H75" s="381" t="n">
        <x:f>SUMIFS('Climate Data'!$G$7:$G$366,'Climate Data'!$A$7:$A$366,'Estimator'!$B$4,'Climate Data'!$B$7:$B$366,C75)</x:f>
        <x:v>0.24916573971078979</x:v>
      </x:c>
      <x:c r="I75" s="382" t="n">
        <x:f>SUMIFS('Climate Data'!$H$7:$H$366,'Climate Data'!$A$7:$A$366,'Estimator'!$B$4,'Climate Data'!$B$7:$B$366,C75)</x:f>
        <x:v>9.709821428571429</x:v>
      </x:c>
      <x:c r="J75" s="381" t="n">
        <x:f>SUMIFS('Wind Proxy'!$H$8:$H$19,'Wind Proxy'!$A$8:$A$19,'Estimator'!$B$4,'Wind Proxy'!$B$8:$B$19,C75)</x:f>
        <x:v>0.11350059737156513</x:v>
      </x:c>
    </x:row>
    <x:row r="76">
      <x:c r="A76" s="379" t="n">
        <x:v>45727</x:v>
      </x:c>
      <x:c r="B76" s="380" t="n">
        <x:v>2025</x:v>
      </x:c>
      <x:c r="C76" s="380" t="n">
        <x:v>3</x:v>
      </x:c>
      <x:c r="D76" s="380" t="str">
        <x:v>Mar</x:v>
      </x:c>
      <x:c r="E76" s="380" t="n">
        <x:v>11</x:v>
      </x:c>
      <x:c r="F76" s="380" t="n">
        <x:v>2</x:v>
      </x:c>
      <x:c r="G76" s="380" t="n">
        <x:f>--(F76&lt;='Estimator'!$B$7)</x:f>
        <x:v>1</x:v>
      </x:c>
      <x:c r="H76" s="381" t="n">
        <x:f>SUMIFS('Climate Data'!$G$7:$G$366,'Climate Data'!$A$7:$A$366,'Estimator'!$B$4,'Climate Data'!$B$7:$B$366,C76)</x:f>
        <x:v>0.24916573971078979</x:v>
      </x:c>
      <x:c r="I76" s="382" t="n">
        <x:f>SUMIFS('Climate Data'!$H$7:$H$366,'Climate Data'!$A$7:$A$366,'Estimator'!$B$4,'Climate Data'!$B$7:$B$366,C76)</x:f>
        <x:v>9.709821428571429</x:v>
      </x:c>
      <x:c r="J76" s="381" t="n">
        <x:f>SUMIFS('Wind Proxy'!$H$8:$H$19,'Wind Proxy'!$A$8:$A$19,'Estimator'!$B$4,'Wind Proxy'!$B$8:$B$19,C76)</x:f>
        <x:v>0.11350059737156513</x:v>
      </x:c>
    </x:row>
    <x:row r="77">
      <x:c r="A77" s="379" t="n">
        <x:v>45728</x:v>
      </x:c>
      <x:c r="B77" s="380" t="n">
        <x:v>2025</x:v>
      </x:c>
      <x:c r="C77" s="380" t="n">
        <x:v>3</x:v>
      </x:c>
      <x:c r="D77" s="380" t="str">
        <x:v>Mar</x:v>
      </x:c>
      <x:c r="E77" s="380" t="n">
        <x:v>12</x:v>
      </x:c>
      <x:c r="F77" s="380" t="n">
        <x:v>3</x:v>
      </x:c>
      <x:c r="G77" s="380" t="n">
        <x:f>--(F77&lt;='Estimator'!$B$7)</x:f>
        <x:v>1</x:v>
      </x:c>
      <x:c r="H77" s="381" t="n">
        <x:f>SUMIFS('Climate Data'!$G$7:$G$366,'Climate Data'!$A$7:$A$366,'Estimator'!$B$4,'Climate Data'!$B$7:$B$366,C77)</x:f>
        <x:v>0.24916573971078979</x:v>
      </x:c>
      <x:c r="I77" s="382" t="n">
        <x:f>SUMIFS('Climate Data'!$H$7:$H$366,'Climate Data'!$A$7:$A$366,'Estimator'!$B$4,'Climate Data'!$B$7:$B$366,C77)</x:f>
        <x:v>9.709821428571429</x:v>
      </x:c>
      <x:c r="J77" s="381" t="n">
        <x:f>SUMIFS('Wind Proxy'!$H$8:$H$19,'Wind Proxy'!$A$8:$A$19,'Estimator'!$B$4,'Wind Proxy'!$B$8:$B$19,C77)</x:f>
        <x:v>0.11350059737156513</x:v>
      </x:c>
    </x:row>
    <x:row r="78">
      <x:c r="A78" s="379" t="n">
        <x:v>45729</x:v>
      </x:c>
      <x:c r="B78" s="380" t="n">
        <x:v>2025</x:v>
      </x:c>
      <x:c r="C78" s="380" t="n">
        <x:v>3</x:v>
      </x:c>
      <x:c r="D78" s="380" t="str">
        <x:v>Mar</x:v>
      </x:c>
      <x:c r="E78" s="380" t="n">
        <x:v>13</x:v>
      </x:c>
      <x:c r="F78" s="380" t="n">
        <x:v>4</x:v>
      </x:c>
      <x:c r="G78" s="380" t="n">
        <x:f>--(F78&lt;='Estimator'!$B$7)</x:f>
        <x:v>1</x:v>
      </x:c>
      <x:c r="H78" s="381" t="n">
        <x:f>SUMIFS('Climate Data'!$G$7:$G$366,'Climate Data'!$A$7:$A$366,'Estimator'!$B$4,'Climate Data'!$B$7:$B$366,C78)</x:f>
        <x:v>0.24916573971078979</x:v>
      </x:c>
      <x:c r="I78" s="382" t="n">
        <x:f>SUMIFS('Climate Data'!$H$7:$H$366,'Climate Data'!$A$7:$A$366,'Estimator'!$B$4,'Climate Data'!$B$7:$B$366,C78)</x:f>
        <x:v>9.709821428571429</x:v>
      </x:c>
      <x:c r="J78" s="381" t="n">
        <x:f>SUMIFS('Wind Proxy'!$H$8:$H$19,'Wind Proxy'!$A$8:$A$19,'Estimator'!$B$4,'Wind Proxy'!$B$8:$B$19,C78)</x:f>
        <x:v>0.11350059737156513</x:v>
      </x:c>
    </x:row>
    <x:row r="79">
      <x:c r="A79" s="379" t="n">
        <x:v>45730</x:v>
      </x:c>
      <x:c r="B79" s="380" t="n">
        <x:v>2025</x:v>
      </x:c>
      <x:c r="C79" s="380" t="n">
        <x:v>3</x:v>
      </x:c>
      <x:c r="D79" s="380" t="str">
        <x:v>Mar</x:v>
      </x:c>
      <x:c r="E79" s="380" t="n">
        <x:v>14</x:v>
      </x:c>
      <x:c r="F79" s="380" t="n">
        <x:v>5</x:v>
      </x:c>
      <x:c r="G79" s="380" t="n">
        <x:f>--(F79&lt;='Estimator'!$B$7)</x:f>
        <x:v>1</x:v>
      </x:c>
      <x:c r="H79" s="381" t="n">
        <x:f>SUMIFS('Climate Data'!$G$7:$G$366,'Climate Data'!$A$7:$A$366,'Estimator'!$B$4,'Climate Data'!$B$7:$B$366,C79)</x:f>
        <x:v>0.24916573971078979</x:v>
      </x:c>
      <x:c r="I79" s="382" t="n">
        <x:f>SUMIFS('Climate Data'!$H$7:$H$366,'Climate Data'!$A$7:$A$366,'Estimator'!$B$4,'Climate Data'!$B$7:$B$366,C79)</x:f>
        <x:v>9.709821428571429</x:v>
      </x:c>
      <x:c r="J79" s="381" t="n">
        <x:f>SUMIFS('Wind Proxy'!$H$8:$H$19,'Wind Proxy'!$A$8:$A$19,'Estimator'!$B$4,'Wind Proxy'!$B$8:$B$19,C79)</x:f>
        <x:v>0.11350059737156513</x:v>
      </x:c>
    </x:row>
    <x:row r="80">
      <x:c r="A80" s="379" t="n">
        <x:v>45731</x:v>
      </x:c>
      <x:c r="B80" s="380" t="n">
        <x:v>2025</x:v>
      </x:c>
      <x:c r="C80" s="380" t="n">
        <x:v>3</x:v>
      </x:c>
      <x:c r="D80" s="380" t="str">
        <x:v>Mar</x:v>
      </x:c>
      <x:c r="E80" s="380" t="n">
        <x:v>15</x:v>
      </x:c>
      <x:c r="F80" s="380" t="n">
        <x:v>6</x:v>
      </x:c>
      <x:c r="G80" s="380" t="n">
        <x:f>--(F80&lt;='Estimator'!$B$7)</x:f>
        <x:v>0</x:v>
      </x:c>
      <x:c r="H80" s="381" t="n">
        <x:f>SUMIFS('Climate Data'!$G$7:$G$366,'Climate Data'!$A$7:$A$366,'Estimator'!$B$4,'Climate Data'!$B$7:$B$366,C80)</x:f>
        <x:v>0.24916573971078979</x:v>
      </x:c>
      <x:c r="I80" s="382" t="n">
        <x:f>SUMIFS('Climate Data'!$H$7:$H$366,'Climate Data'!$A$7:$A$366,'Estimator'!$B$4,'Climate Data'!$B$7:$B$366,C80)</x:f>
        <x:v>9.709821428571429</x:v>
      </x:c>
      <x:c r="J80" s="381" t="n">
        <x:f>SUMIFS('Wind Proxy'!$H$8:$H$19,'Wind Proxy'!$A$8:$A$19,'Estimator'!$B$4,'Wind Proxy'!$B$8:$B$19,C80)</x:f>
        <x:v>0.11350059737156513</x:v>
      </x:c>
    </x:row>
    <x:row r="81">
      <x:c r="A81" s="379" t="n">
        <x:v>45732</x:v>
      </x:c>
      <x:c r="B81" s="380" t="n">
        <x:v>2025</x:v>
      </x:c>
      <x:c r="C81" s="380" t="n">
        <x:v>3</x:v>
      </x:c>
      <x:c r="D81" s="380" t="str">
        <x:v>Mar</x:v>
      </x:c>
      <x:c r="E81" s="380" t="n">
        <x:v>16</x:v>
      </x:c>
      <x:c r="F81" s="380" t="n">
        <x:v>7</x:v>
      </x:c>
      <x:c r="G81" s="380" t="n">
        <x:f>--(F81&lt;='Estimator'!$B$7)</x:f>
        <x:v>0</x:v>
      </x:c>
      <x:c r="H81" s="381" t="n">
        <x:f>SUMIFS('Climate Data'!$G$7:$G$366,'Climate Data'!$A$7:$A$366,'Estimator'!$B$4,'Climate Data'!$B$7:$B$366,C81)</x:f>
        <x:v>0.24916573971078979</x:v>
      </x:c>
      <x:c r="I81" s="382" t="n">
        <x:f>SUMIFS('Climate Data'!$H$7:$H$366,'Climate Data'!$A$7:$A$366,'Estimator'!$B$4,'Climate Data'!$B$7:$B$366,C81)</x:f>
        <x:v>9.709821428571429</x:v>
      </x:c>
      <x:c r="J81" s="381" t="n">
        <x:f>SUMIFS('Wind Proxy'!$H$8:$H$19,'Wind Proxy'!$A$8:$A$19,'Estimator'!$B$4,'Wind Proxy'!$B$8:$B$19,C81)</x:f>
        <x:v>0.11350059737156513</x:v>
      </x:c>
    </x:row>
    <x:row r="82">
      <x:c r="A82" s="379" t="n">
        <x:v>45733</x:v>
      </x:c>
      <x:c r="B82" s="380" t="n">
        <x:v>2025</x:v>
      </x:c>
      <x:c r="C82" s="380" t="n">
        <x:v>3</x:v>
      </x:c>
      <x:c r="D82" s="380" t="str">
        <x:v>Mar</x:v>
      </x:c>
      <x:c r="E82" s="380" t="n">
        <x:v>17</x:v>
      </x:c>
      <x:c r="F82" s="380" t="n">
        <x:v>1</x:v>
      </x:c>
      <x:c r="G82" s="380" t="n">
        <x:f>--(F82&lt;='Estimator'!$B$7)</x:f>
        <x:v>1</x:v>
      </x:c>
      <x:c r="H82" s="381" t="n">
        <x:f>SUMIFS('Climate Data'!$G$7:$G$366,'Climate Data'!$A$7:$A$366,'Estimator'!$B$4,'Climate Data'!$B$7:$B$366,C82)</x:f>
        <x:v>0.24916573971078979</x:v>
      </x:c>
      <x:c r="I82" s="382" t="n">
        <x:f>SUMIFS('Climate Data'!$H$7:$H$366,'Climate Data'!$A$7:$A$366,'Estimator'!$B$4,'Climate Data'!$B$7:$B$366,C82)</x:f>
        <x:v>9.709821428571429</x:v>
      </x:c>
      <x:c r="J82" s="381" t="n">
        <x:f>SUMIFS('Wind Proxy'!$H$8:$H$19,'Wind Proxy'!$A$8:$A$19,'Estimator'!$B$4,'Wind Proxy'!$B$8:$B$19,C82)</x:f>
        <x:v>0.11350059737156513</x:v>
      </x:c>
    </x:row>
    <x:row r="83">
      <x:c r="A83" s="379" t="n">
        <x:v>45734</x:v>
      </x:c>
      <x:c r="B83" s="380" t="n">
        <x:v>2025</x:v>
      </x:c>
      <x:c r="C83" s="380" t="n">
        <x:v>3</x:v>
      </x:c>
      <x:c r="D83" s="380" t="str">
        <x:v>Mar</x:v>
      </x:c>
      <x:c r="E83" s="380" t="n">
        <x:v>18</x:v>
      </x:c>
      <x:c r="F83" s="380" t="n">
        <x:v>2</x:v>
      </x:c>
      <x:c r="G83" s="380" t="n">
        <x:f>--(F83&lt;='Estimator'!$B$7)</x:f>
        <x:v>1</x:v>
      </x:c>
      <x:c r="H83" s="381" t="n">
        <x:f>SUMIFS('Climate Data'!$G$7:$G$366,'Climate Data'!$A$7:$A$366,'Estimator'!$B$4,'Climate Data'!$B$7:$B$366,C83)</x:f>
        <x:v>0.24916573971078979</x:v>
      </x:c>
      <x:c r="I83" s="382" t="n">
        <x:f>SUMIFS('Climate Data'!$H$7:$H$366,'Climate Data'!$A$7:$A$366,'Estimator'!$B$4,'Climate Data'!$B$7:$B$366,C83)</x:f>
        <x:v>9.709821428571429</x:v>
      </x:c>
      <x:c r="J83" s="381" t="n">
        <x:f>SUMIFS('Wind Proxy'!$H$8:$H$19,'Wind Proxy'!$A$8:$A$19,'Estimator'!$B$4,'Wind Proxy'!$B$8:$B$19,C83)</x:f>
        <x:v>0.11350059737156513</x:v>
      </x:c>
    </x:row>
    <x:row r="84">
      <x:c r="A84" s="379" t="n">
        <x:v>45735</x:v>
      </x:c>
      <x:c r="B84" s="380" t="n">
        <x:v>2025</x:v>
      </x:c>
      <x:c r="C84" s="380" t="n">
        <x:v>3</x:v>
      </x:c>
      <x:c r="D84" s="380" t="str">
        <x:v>Mar</x:v>
      </x:c>
      <x:c r="E84" s="380" t="n">
        <x:v>19</x:v>
      </x:c>
      <x:c r="F84" s="380" t="n">
        <x:v>3</x:v>
      </x:c>
      <x:c r="G84" s="380" t="n">
        <x:f>--(F84&lt;='Estimator'!$B$7)</x:f>
        <x:v>1</x:v>
      </x:c>
      <x:c r="H84" s="381" t="n">
        <x:f>SUMIFS('Climate Data'!$G$7:$G$366,'Climate Data'!$A$7:$A$366,'Estimator'!$B$4,'Climate Data'!$B$7:$B$366,C84)</x:f>
        <x:v>0.24916573971078979</x:v>
      </x:c>
      <x:c r="I84" s="382" t="n">
        <x:f>SUMIFS('Climate Data'!$H$7:$H$366,'Climate Data'!$A$7:$A$366,'Estimator'!$B$4,'Climate Data'!$B$7:$B$366,C84)</x:f>
        <x:v>9.709821428571429</x:v>
      </x:c>
      <x:c r="J84" s="381" t="n">
        <x:f>SUMIFS('Wind Proxy'!$H$8:$H$19,'Wind Proxy'!$A$8:$A$19,'Estimator'!$B$4,'Wind Proxy'!$B$8:$B$19,C84)</x:f>
        <x:v>0.11350059737156513</x:v>
      </x:c>
    </x:row>
    <x:row r="85">
      <x:c r="A85" s="379" t="n">
        <x:v>45736</x:v>
      </x:c>
      <x:c r="B85" s="380" t="n">
        <x:v>2025</x:v>
      </x:c>
      <x:c r="C85" s="380" t="n">
        <x:v>3</x:v>
      </x:c>
      <x:c r="D85" s="380" t="str">
        <x:v>Mar</x:v>
      </x:c>
      <x:c r="E85" s="380" t="n">
        <x:v>20</x:v>
      </x:c>
      <x:c r="F85" s="380" t="n">
        <x:v>4</x:v>
      </x:c>
      <x:c r="G85" s="380" t="n">
        <x:f>--(F85&lt;='Estimator'!$B$7)</x:f>
        <x:v>1</x:v>
      </x:c>
      <x:c r="H85" s="381" t="n">
        <x:f>SUMIFS('Climate Data'!$G$7:$G$366,'Climate Data'!$A$7:$A$366,'Estimator'!$B$4,'Climate Data'!$B$7:$B$366,C85)</x:f>
        <x:v>0.24916573971078979</x:v>
      </x:c>
      <x:c r="I85" s="382" t="n">
        <x:f>SUMIFS('Climate Data'!$H$7:$H$366,'Climate Data'!$A$7:$A$366,'Estimator'!$B$4,'Climate Data'!$B$7:$B$366,C85)</x:f>
        <x:v>9.709821428571429</x:v>
      </x:c>
      <x:c r="J85" s="381" t="n">
        <x:f>SUMIFS('Wind Proxy'!$H$8:$H$19,'Wind Proxy'!$A$8:$A$19,'Estimator'!$B$4,'Wind Proxy'!$B$8:$B$19,C85)</x:f>
        <x:v>0.11350059737156513</x:v>
      </x:c>
    </x:row>
    <x:row r="86">
      <x:c r="A86" s="379" t="n">
        <x:v>45737</x:v>
      </x:c>
      <x:c r="B86" s="380" t="n">
        <x:v>2025</x:v>
      </x:c>
      <x:c r="C86" s="380" t="n">
        <x:v>3</x:v>
      </x:c>
      <x:c r="D86" s="380" t="str">
        <x:v>Mar</x:v>
      </x:c>
      <x:c r="E86" s="380" t="n">
        <x:v>21</x:v>
      </x:c>
      <x:c r="F86" s="380" t="n">
        <x:v>5</x:v>
      </x:c>
      <x:c r="G86" s="380" t="n">
        <x:f>--(F86&lt;='Estimator'!$B$7)</x:f>
        <x:v>1</x:v>
      </x:c>
      <x:c r="H86" s="381" t="n">
        <x:f>SUMIFS('Climate Data'!$G$7:$G$366,'Climate Data'!$A$7:$A$366,'Estimator'!$B$4,'Climate Data'!$B$7:$B$366,C86)</x:f>
        <x:v>0.24916573971078979</x:v>
      </x:c>
      <x:c r="I86" s="382" t="n">
        <x:f>SUMIFS('Climate Data'!$H$7:$H$366,'Climate Data'!$A$7:$A$366,'Estimator'!$B$4,'Climate Data'!$B$7:$B$366,C86)</x:f>
        <x:v>9.709821428571429</x:v>
      </x:c>
      <x:c r="J86" s="381" t="n">
        <x:f>SUMIFS('Wind Proxy'!$H$8:$H$19,'Wind Proxy'!$A$8:$A$19,'Estimator'!$B$4,'Wind Proxy'!$B$8:$B$19,C86)</x:f>
        <x:v>0.11350059737156513</x:v>
      </x:c>
    </x:row>
    <x:row r="87">
      <x:c r="A87" s="379" t="n">
        <x:v>45738</x:v>
      </x:c>
      <x:c r="B87" s="380" t="n">
        <x:v>2025</x:v>
      </x:c>
      <x:c r="C87" s="380" t="n">
        <x:v>3</x:v>
      </x:c>
      <x:c r="D87" s="380" t="str">
        <x:v>Mar</x:v>
      </x:c>
      <x:c r="E87" s="380" t="n">
        <x:v>22</x:v>
      </x:c>
      <x:c r="F87" s="380" t="n">
        <x:v>6</x:v>
      </x:c>
      <x:c r="G87" s="380" t="n">
        <x:f>--(F87&lt;='Estimator'!$B$7)</x:f>
        <x:v>0</x:v>
      </x:c>
      <x:c r="H87" s="381" t="n">
        <x:f>SUMIFS('Climate Data'!$G$7:$G$366,'Climate Data'!$A$7:$A$366,'Estimator'!$B$4,'Climate Data'!$B$7:$B$366,C87)</x:f>
        <x:v>0.24916573971078979</x:v>
      </x:c>
      <x:c r="I87" s="382" t="n">
        <x:f>SUMIFS('Climate Data'!$H$7:$H$366,'Climate Data'!$A$7:$A$366,'Estimator'!$B$4,'Climate Data'!$B$7:$B$366,C87)</x:f>
        <x:v>9.709821428571429</x:v>
      </x:c>
      <x:c r="J87" s="381" t="n">
        <x:f>SUMIFS('Wind Proxy'!$H$8:$H$19,'Wind Proxy'!$A$8:$A$19,'Estimator'!$B$4,'Wind Proxy'!$B$8:$B$19,C87)</x:f>
        <x:v>0.11350059737156513</x:v>
      </x:c>
    </x:row>
    <x:row r="88">
      <x:c r="A88" s="379" t="n">
        <x:v>45739</x:v>
      </x:c>
      <x:c r="B88" s="380" t="n">
        <x:v>2025</x:v>
      </x:c>
      <x:c r="C88" s="380" t="n">
        <x:v>3</x:v>
      </x:c>
      <x:c r="D88" s="380" t="str">
        <x:v>Mar</x:v>
      </x:c>
      <x:c r="E88" s="380" t="n">
        <x:v>23</x:v>
      </x:c>
      <x:c r="F88" s="380" t="n">
        <x:v>7</x:v>
      </x:c>
      <x:c r="G88" s="380" t="n">
        <x:f>--(F88&lt;='Estimator'!$B$7)</x:f>
        <x:v>0</x:v>
      </x:c>
      <x:c r="H88" s="381" t="n">
        <x:f>SUMIFS('Climate Data'!$G$7:$G$366,'Climate Data'!$A$7:$A$366,'Estimator'!$B$4,'Climate Data'!$B$7:$B$366,C88)</x:f>
        <x:v>0.24916573971078979</x:v>
      </x:c>
      <x:c r="I88" s="382" t="n">
        <x:f>SUMIFS('Climate Data'!$H$7:$H$366,'Climate Data'!$A$7:$A$366,'Estimator'!$B$4,'Climate Data'!$B$7:$B$366,C88)</x:f>
        <x:v>9.709821428571429</x:v>
      </x:c>
      <x:c r="J88" s="381" t="n">
        <x:f>SUMIFS('Wind Proxy'!$H$8:$H$19,'Wind Proxy'!$A$8:$A$19,'Estimator'!$B$4,'Wind Proxy'!$B$8:$B$19,C88)</x:f>
        <x:v>0.11350059737156513</x:v>
      </x:c>
    </x:row>
    <x:row r="89">
      <x:c r="A89" s="379" t="n">
        <x:v>45740</x:v>
      </x:c>
      <x:c r="B89" s="380" t="n">
        <x:v>2025</x:v>
      </x:c>
      <x:c r="C89" s="380" t="n">
        <x:v>3</x:v>
      </x:c>
      <x:c r="D89" s="380" t="str">
        <x:v>Mar</x:v>
      </x:c>
      <x:c r="E89" s="380" t="n">
        <x:v>24</x:v>
      </x:c>
      <x:c r="F89" s="380" t="n">
        <x:v>1</x:v>
      </x:c>
      <x:c r="G89" s="380" t="n">
        <x:f>--(F89&lt;='Estimator'!$B$7)</x:f>
        <x:v>1</x:v>
      </x:c>
      <x:c r="H89" s="381" t="n">
        <x:f>SUMIFS('Climate Data'!$G$7:$G$366,'Climate Data'!$A$7:$A$366,'Estimator'!$B$4,'Climate Data'!$B$7:$B$366,C89)</x:f>
        <x:v>0.24916573971078979</x:v>
      </x:c>
      <x:c r="I89" s="382" t="n">
        <x:f>SUMIFS('Climate Data'!$H$7:$H$366,'Climate Data'!$A$7:$A$366,'Estimator'!$B$4,'Climate Data'!$B$7:$B$366,C89)</x:f>
        <x:v>9.709821428571429</x:v>
      </x:c>
      <x:c r="J89" s="381" t="n">
        <x:f>SUMIFS('Wind Proxy'!$H$8:$H$19,'Wind Proxy'!$A$8:$A$19,'Estimator'!$B$4,'Wind Proxy'!$B$8:$B$19,C89)</x:f>
        <x:v>0.11350059737156513</x:v>
      </x:c>
    </x:row>
    <x:row r="90">
      <x:c r="A90" s="379" t="n">
        <x:v>45741</x:v>
      </x:c>
      <x:c r="B90" s="380" t="n">
        <x:v>2025</x:v>
      </x:c>
      <x:c r="C90" s="380" t="n">
        <x:v>3</x:v>
      </x:c>
      <x:c r="D90" s="380" t="str">
        <x:v>Mar</x:v>
      </x:c>
      <x:c r="E90" s="380" t="n">
        <x:v>25</x:v>
      </x:c>
      <x:c r="F90" s="380" t="n">
        <x:v>2</x:v>
      </x:c>
      <x:c r="G90" s="380" t="n">
        <x:f>--(F90&lt;='Estimator'!$B$7)</x:f>
        <x:v>1</x:v>
      </x:c>
      <x:c r="H90" s="381" t="n">
        <x:f>SUMIFS('Climate Data'!$G$7:$G$366,'Climate Data'!$A$7:$A$366,'Estimator'!$B$4,'Climate Data'!$B$7:$B$366,C90)</x:f>
        <x:v>0.24916573971078979</x:v>
      </x:c>
      <x:c r="I90" s="382" t="n">
        <x:f>SUMIFS('Climate Data'!$H$7:$H$366,'Climate Data'!$A$7:$A$366,'Estimator'!$B$4,'Climate Data'!$B$7:$B$366,C90)</x:f>
        <x:v>9.709821428571429</x:v>
      </x:c>
      <x:c r="J90" s="381" t="n">
        <x:f>SUMIFS('Wind Proxy'!$H$8:$H$19,'Wind Proxy'!$A$8:$A$19,'Estimator'!$B$4,'Wind Proxy'!$B$8:$B$19,C90)</x:f>
        <x:v>0.11350059737156513</x:v>
      </x:c>
    </x:row>
    <x:row r="91">
      <x:c r="A91" s="379" t="n">
        <x:v>45742</x:v>
      </x:c>
      <x:c r="B91" s="380" t="n">
        <x:v>2025</x:v>
      </x:c>
      <x:c r="C91" s="380" t="n">
        <x:v>3</x:v>
      </x:c>
      <x:c r="D91" s="380" t="str">
        <x:v>Mar</x:v>
      </x:c>
      <x:c r="E91" s="380" t="n">
        <x:v>26</x:v>
      </x:c>
      <x:c r="F91" s="380" t="n">
        <x:v>3</x:v>
      </x:c>
      <x:c r="G91" s="380" t="n">
        <x:f>--(F91&lt;='Estimator'!$B$7)</x:f>
        <x:v>1</x:v>
      </x:c>
      <x:c r="H91" s="381" t="n">
        <x:f>SUMIFS('Climate Data'!$G$7:$G$366,'Climate Data'!$A$7:$A$366,'Estimator'!$B$4,'Climate Data'!$B$7:$B$366,C91)</x:f>
        <x:v>0.24916573971078979</x:v>
      </x:c>
      <x:c r="I91" s="382" t="n">
        <x:f>SUMIFS('Climate Data'!$H$7:$H$366,'Climate Data'!$A$7:$A$366,'Estimator'!$B$4,'Climate Data'!$B$7:$B$366,C91)</x:f>
        <x:v>9.709821428571429</x:v>
      </x:c>
      <x:c r="J91" s="381" t="n">
        <x:f>SUMIFS('Wind Proxy'!$H$8:$H$19,'Wind Proxy'!$A$8:$A$19,'Estimator'!$B$4,'Wind Proxy'!$B$8:$B$19,C91)</x:f>
        <x:v>0.11350059737156513</x:v>
      </x:c>
    </x:row>
    <x:row r="92">
      <x:c r="A92" s="379" t="n">
        <x:v>45743</x:v>
      </x:c>
      <x:c r="B92" s="380" t="n">
        <x:v>2025</x:v>
      </x:c>
      <x:c r="C92" s="380" t="n">
        <x:v>3</x:v>
      </x:c>
      <x:c r="D92" s="380" t="str">
        <x:v>Mar</x:v>
      </x:c>
      <x:c r="E92" s="380" t="n">
        <x:v>27</x:v>
      </x:c>
      <x:c r="F92" s="380" t="n">
        <x:v>4</x:v>
      </x:c>
      <x:c r="G92" s="380" t="n">
        <x:f>--(F92&lt;='Estimator'!$B$7)</x:f>
        <x:v>1</x:v>
      </x:c>
      <x:c r="H92" s="381" t="n">
        <x:f>SUMIFS('Climate Data'!$G$7:$G$366,'Climate Data'!$A$7:$A$366,'Estimator'!$B$4,'Climate Data'!$B$7:$B$366,C92)</x:f>
        <x:v>0.24916573971078979</x:v>
      </x:c>
      <x:c r="I92" s="382" t="n">
        <x:f>SUMIFS('Climate Data'!$H$7:$H$366,'Climate Data'!$A$7:$A$366,'Estimator'!$B$4,'Climate Data'!$B$7:$B$366,C92)</x:f>
        <x:v>9.709821428571429</x:v>
      </x:c>
      <x:c r="J92" s="381" t="n">
        <x:f>SUMIFS('Wind Proxy'!$H$8:$H$19,'Wind Proxy'!$A$8:$A$19,'Estimator'!$B$4,'Wind Proxy'!$B$8:$B$19,C92)</x:f>
        <x:v>0.11350059737156513</x:v>
      </x:c>
    </x:row>
    <x:row r="93">
      <x:c r="A93" s="379" t="n">
        <x:v>45744</x:v>
      </x:c>
      <x:c r="B93" s="380" t="n">
        <x:v>2025</x:v>
      </x:c>
      <x:c r="C93" s="380" t="n">
        <x:v>3</x:v>
      </x:c>
      <x:c r="D93" s="380" t="str">
        <x:v>Mar</x:v>
      </x:c>
      <x:c r="E93" s="380" t="n">
        <x:v>28</x:v>
      </x:c>
      <x:c r="F93" s="380" t="n">
        <x:v>5</x:v>
      </x:c>
      <x:c r="G93" s="380" t="n">
        <x:f>--(F93&lt;='Estimator'!$B$7)</x:f>
        <x:v>1</x:v>
      </x:c>
      <x:c r="H93" s="381" t="n">
        <x:f>SUMIFS('Climate Data'!$G$7:$G$366,'Climate Data'!$A$7:$A$366,'Estimator'!$B$4,'Climate Data'!$B$7:$B$366,C93)</x:f>
        <x:v>0.24916573971078979</x:v>
      </x:c>
      <x:c r="I93" s="382" t="n">
        <x:f>SUMIFS('Climate Data'!$H$7:$H$366,'Climate Data'!$A$7:$A$366,'Estimator'!$B$4,'Climate Data'!$B$7:$B$366,C93)</x:f>
        <x:v>9.709821428571429</x:v>
      </x:c>
      <x:c r="J93" s="381" t="n">
        <x:f>SUMIFS('Wind Proxy'!$H$8:$H$19,'Wind Proxy'!$A$8:$A$19,'Estimator'!$B$4,'Wind Proxy'!$B$8:$B$19,C93)</x:f>
        <x:v>0.11350059737156513</x:v>
      </x:c>
    </x:row>
    <x:row r="94">
      <x:c r="A94" s="379" t="n">
        <x:v>45745</x:v>
      </x:c>
      <x:c r="B94" s="380" t="n">
        <x:v>2025</x:v>
      </x:c>
      <x:c r="C94" s="380" t="n">
        <x:v>3</x:v>
      </x:c>
      <x:c r="D94" s="380" t="str">
        <x:v>Mar</x:v>
      </x:c>
      <x:c r="E94" s="380" t="n">
        <x:v>29</x:v>
      </x:c>
      <x:c r="F94" s="380" t="n">
        <x:v>6</x:v>
      </x:c>
      <x:c r="G94" s="380" t="n">
        <x:f>--(F94&lt;='Estimator'!$B$7)</x:f>
        <x:v>0</x:v>
      </x:c>
      <x:c r="H94" s="381" t="n">
        <x:f>SUMIFS('Climate Data'!$G$7:$G$366,'Climate Data'!$A$7:$A$366,'Estimator'!$B$4,'Climate Data'!$B$7:$B$366,C94)</x:f>
        <x:v>0.24916573971078979</x:v>
      </x:c>
      <x:c r="I94" s="382" t="n">
        <x:f>SUMIFS('Climate Data'!$H$7:$H$366,'Climate Data'!$A$7:$A$366,'Estimator'!$B$4,'Climate Data'!$B$7:$B$366,C94)</x:f>
        <x:v>9.709821428571429</x:v>
      </x:c>
      <x:c r="J94" s="381" t="n">
        <x:f>SUMIFS('Wind Proxy'!$H$8:$H$19,'Wind Proxy'!$A$8:$A$19,'Estimator'!$B$4,'Wind Proxy'!$B$8:$B$19,C94)</x:f>
        <x:v>0.11350059737156513</x:v>
      </x:c>
    </x:row>
    <x:row r="95">
      <x:c r="A95" s="379" t="n">
        <x:v>45746</x:v>
      </x:c>
      <x:c r="B95" s="380" t="n">
        <x:v>2025</x:v>
      </x:c>
      <x:c r="C95" s="380" t="n">
        <x:v>3</x:v>
      </x:c>
      <x:c r="D95" s="380" t="str">
        <x:v>Mar</x:v>
      </x:c>
      <x:c r="E95" s="380" t="n">
        <x:v>30</x:v>
      </x:c>
      <x:c r="F95" s="380" t="n">
        <x:v>7</x:v>
      </x:c>
      <x:c r="G95" s="380" t="n">
        <x:f>--(F95&lt;='Estimator'!$B$7)</x:f>
        <x:v>0</x:v>
      </x:c>
      <x:c r="H95" s="381" t="n">
        <x:f>SUMIFS('Climate Data'!$G$7:$G$366,'Climate Data'!$A$7:$A$366,'Estimator'!$B$4,'Climate Data'!$B$7:$B$366,C95)</x:f>
        <x:v>0.24916573971078979</x:v>
      </x:c>
      <x:c r="I95" s="382" t="n">
        <x:f>SUMIFS('Climate Data'!$H$7:$H$366,'Climate Data'!$A$7:$A$366,'Estimator'!$B$4,'Climate Data'!$B$7:$B$366,C95)</x:f>
        <x:v>9.709821428571429</x:v>
      </x:c>
      <x:c r="J95" s="381" t="n">
        <x:f>SUMIFS('Wind Proxy'!$H$8:$H$19,'Wind Proxy'!$A$8:$A$19,'Estimator'!$B$4,'Wind Proxy'!$B$8:$B$19,C95)</x:f>
        <x:v>0.11350059737156513</x:v>
      </x:c>
    </x:row>
    <x:row r="96">
      <x:c r="A96" s="379" t="n">
        <x:v>45747</x:v>
      </x:c>
      <x:c r="B96" s="380" t="n">
        <x:v>2025</x:v>
      </x:c>
      <x:c r="C96" s="380" t="n">
        <x:v>3</x:v>
      </x:c>
      <x:c r="D96" s="380" t="str">
        <x:v>Mar</x:v>
      </x:c>
      <x:c r="E96" s="380" t="n">
        <x:v>31</x:v>
      </x:c>
      <x:c r="F96" s="380" t="n">
        <x:v>1</x:v>
      </x:c>
      <x:c r="G96" s="380" t="n">
        <x:f>--(F96&lt;='Estimator'!$B$7)</x:f>
        <x:v>1</x:v>
      </x:c>
      <x:c r="H96" s="381" t="n">
        <x:f>SUMIFS('Climate Data'!$G$7:$G$366,'Climate Data'!$A$7:$A$366,'Estimator'!$B$4,'Climate Data'!$B$7:$B$366,C96)</x:f>
        <x:v>0.24916573971078979</x:v>
      </x:c>
      <x:c r="I96" s="382" t="n">
        <x:f>SUMIFS('Climate Data'!$H$7:$H$366,'Climate Data'!$A$7:$A$366,'Estimator'!$B$4,'Climate Data'!$B$7:$B$366,C96)</x:f>
        <x:v>9.709821428571429</x:v>
      </x:c>
      <x:c r="J96" s="381" t="n">
        <x:f>SUMIFS('Wind Proxy'!$H$8:$H$19,'Wind Proxy'!$A$8:$A$19,'Estimator'!$B$4,'Wind Proxy'!$B$8:$B$19,C96)</x:f>
        <x:v>0.11350059737156513</x:v>
      </x:c>
    </x:row>
    <x:row r="97">
      <x:c r="A97" s="379" t="n">
        <x:v>45748</x:v>
      </x:c>
      <x:c r="B97" s="380" t="n">
        <x:v>2025</x:v>
      </x:c>
      <x:c r="C97" s="380" t="n">
        <x:v>4</x:v>
      </x:c>
      <x:c r="D97" s="380" t="str">
        <x:v>Apr</x:v>
      </x:c>
      <x:c r="E97" s="380" t="n">
        <x:v>1</x:v>
      </x:c>
      <x:c r="F97" s="380" t="n">
        <x:v>2</x:v>
      </x:c>
      <x:c r="G97" s="380" t="n">
        <x:f>--(F97&lt;='Estimator'!$B$7)</x:f>
        <x:v>1</x:v>
      </x:c>
      <x:c r="H97" s="381" t="n">
        <x:f>SUMIFS('Climate Data'!$G$7:$G$366,'Climate Data'!$A$7:$A$366,'Estimator'!$B$4,'Climate Data'!$B$7:$B$366,C97)</x:f>
        <x:v>0.32023809523809527</x:v>
      </x:c>
      <x:c r="I97" s="382" t="n">
        <x:f>SUMIFS('Climate Data'!$H$7:$H$366,'Climate Data'!$A$7:$A$366,'Estimator'!$B$4,'Climate Data'!$B$7:$B$366,C97)</x:f>
        <x:v>9.066171003717471</x:v>
      </x:c>
      <x:c r="J97" s="381" t="n">
        <x:f>SUMIFS('Wind Proxy'!$H$8:$H$19,'Wind Proxy'!$A$8:$A$19,'Estimator'!$B$4,'Wind Proxy'!$B$8:$B$19,C97)</x:f>
        <x:v>0.11728395061728397</x:v>
      </x:c>
    </x:row>
    <x:row r="98">
      <x:c r="A98" s="379" t="n">
        <x:v>45749</x:v>
      </x:c>
      <x:c r="B98" s="380" t="n">
        <x:v>2025</x:v>
      </x:c>
      <x:c r="C98" s="380" t="n">
        <x:v>4</x:v>
      </x:c>
      <x:c r="D98" s="380" t="str">
        <x:v>Apr</x:v>
      </x:c>
      <x:c r="E98" s="380" t="n">
        <x:v>2</x:v>
      </x:c>
      <x:c r="F98" s="380" t="n">
        <x:v>3</x:v>
      </x:c>
      <x:c r="G98" s="380" t="n">
        <x:f>--(F98&lt;='Estimator'!$B$7)</x:f>
        <x:v>1</x:v>
      </x:c>
      <x:c r="H98" s="381" t="n">
        <x:f>SUMIFS('Climate Data'!$G$7:$G$366,'Climate Data'!$A$7:$A$366,'Estimator'!$B$4,'Climate Data'!$B$7:$B$366,C98)</x:f>
        <x:v>0.32023809523809527</x:v>
      </x:c>
      <x:c r="I98" s="382" t="n">
        <x:f>SUMIFS('Climate Data'!$H$7:$H$366,'Climate Data'!$A$7:$A$366,'Estimator'!$B$4,'Climate Data'!$B$7:$B$366,C98)</x:f>
        <x:v>9.066171003717471</x:v>
      </x:c>
      <x:c r="J98" s="381" t="n">
        <x:f>SUMIFS('Wind Proxy'!$H$8:$H$19,'Wind Proxy'!$A$8:$A$19,'Estimator'!$B$4,'Wind Proxy'!$B$8:$B$19,C98)</x:f>
        <x:v>0.11728395061728397</x:v>
      </x:c>
    </x:row>
    <x:row r="99">
      <x:c r="A99" s="379" t="n">
        <x:v>45750</x:v>
      </x:c>
      <x:c r="B99" s="380" t="n">
        <x:v>2025</x:v>
      </x:c>
      <x:c r="C99" s="380" t="n">
        <x:v>4</x:v>
      </x:c>
      <x:c r="D99" s="380" t="str">
        <x:v>Apr</x:v>
      </x:c>
      <x:c r="E99" s="380" t="n">
        <x:v>3</x:v>
      </x:c>
      <x:c r="F99" s="380" t="n">
        <x:v>4</x:v>
      </x:c>
      <x:c r="G99" s="380" t="n">
        <x:f>--(F99&lt;='Estimator'!$B$7)</x:f>
        <x:v>1</x:v>
      </x:c>
      <x:c r="H99" s="381" t="n">
        <x:f>SUMIFS('Climate Data'!$G$7:$G$366,'Climate Data'!$A$7:$A$366,'Estimator'!$B$4,'Climate Data'!$B$7:$B$366,C99)</x:f>
        <x:v>0.32023809523809527</x:v>
      </x:c>
      <x:c r="I99" s="382" t="n">
        <x:f>SUMIFS('Climate Data'!$H$7:$H$366,'Climate Data'!$A$7:$A$366,'Estimator'!$B$4,'Climate Data'!$B$7:$B$366,C99)</x:f>
        <x:v>9.066171003717471</x:v>
      </x:c>
      <x:c r="J99" s="381" t="n">
        <x:f>SUMIFS('Wind Proxy'!$H$8:$H$19,'Wind Proxy'!$A$8:$A$19,'Estimator'!$B$4,'Wind Proxy'!$B$8:$B$19,C99)</x:f>
        <x:v>0.11728395061728397</x:v>
      </x:c>
    </x:row>
    <x:row r="100">
      <x:c r="A100" s="379" t="n">
        <x:v>45751</x:v>
      </x:c>
      <x:c r="B100" s="380" t="n">
        <x:v>2025</x:v>
      </x:c>
      <x:c r="C100" s="380" t="n">
        <x:v>4</x:v>
      </x:c>
      <x:c r="D100" s="380" t="str">
        <x:v>Apr</x:v>
      </x:c>
      <x:c r="E100" s="380" t="n">
        <x:v>4</x:v>
      </x:c>
      <x:c r="F100" s="380" t="n">
        <x:v>5</x:v>
      </x:c>
      <x:c r="G100" s="380" t="n">
        <x:f>--(F100&lt;='Estimator'!$B$7)</x:f>
        <x:v>1</x:v>
      </x:c>
      <x:c r="H100" s="381" t="n">
        <x:f>SUMIFS('Climate Data'!$G$7:$G$366,'Climate Data'!$A$7:$A$366,'Estimator'!$B$4,'Climate Data'!$B$7:$B$366,C100)</x:f>
        <x:v>0.32023809523809527</x:v>
      </x:c>
      <x:c r="I100" s="382" t="n">
        <x:f>SUMIFS('Climate Data'!$H$7:$H$366,'Climate Data'!$A$7:$A$366,'Estimator'!$B$4,'Climate Data'!$B$7:$B$366,C100)</x:f>
        <x:v>9.066171003717471</x:v>
      </x:c>
      <x:c r="J100" s="381" t="n">
        <x:f>SUMIFS('Wind Proxy'!$H$8:$H$19,'Wind Proxy'!$A$8:$A$19,'Estimator'!$B$4,'Wind Proxy'!$B$8:$B$19,C100)</x:f>
        <x:v>0.11728395061728397</x:v>
      </x:c>
    </x:row>
    <x:row r="101">
      <x:c r="A101" s="379" t="n">
        <x:v>45752</x:v>
      </x:c>
      <x:c r="B101" s="380" t="n">
        <x:v>2025</x:v>
      </x:c>
      <x:c r="C101" s="380" t="n">
        <x:v>4</x:v>
      </x:c>
      <x:c r="D101" s="380" t="str">
        <x:v>Apr</x:v>
      </x:c>
      <x:c r="E101" s="380" t="n">
        <x:v>5</x:v>
      </x:c>
      <x:c r="F101" s="380" t="n">
        <x:v>6</x:v>
      </x:c>
      <x:c r="G101" s="380" t="n">
        <x:f>--(F101&lt;='Estimator'!$B$7)</x:f>
        <x:v>0</x:v>
      </x:c>
      <x:c r="H101" s="381" t="n">
        <x:f>SUMIFS('Climate Data'!$G$7:$G$366,'Climate Data'!$A$7:$A$366,'Estimator'!$B$4,'Climate Data'!$B$7:$B$366,C101)</x:f>
        <x:v>0.32023809523809527</x:v>
      </x:c>
      <x:c r="I101" s="382" t="n">
        <x:f>SUMIFS('Climate Data'!$H$7:$H$366,'Climate Data'!$A$7:$A$366,'Estimator'!$B$4,'Climate Data'!$B$7:$B$366,C101)</x:f>
        <x:v>9.066171003717471</x:v>
      </x:c>
      <x:c r="J101" s="381" t="n">
        <x:f>SUMIFS('Wind Proxy'!$H$8:$H$19,'Wind Proxy'!$A$8:$A$19,'Estimator'!$B$4,'Wind Proxy'!$B$8:$B$19,C101)</x:f>
        <x:v>0.11728395061728397</x:v>
      </x:c>
    </x:row>
    <x:row r="102">
      <x:c r="A102" s="379" t="n">
        <x:v>45753</x:v>
      </x:c>
      <x:c r="B102" s="380" t="n">
        <x:v>2025</x:v>
      </x:c>
      <x:c r="C102" s="380" t="n">
        <x:v>4</x:v>
      </x:c>
      <x:c r="D102" s="380" t="str">
        <x:v>Apr</x:v>
      </x:c>
      <x:c r="E102" s="380" t="n">
        <x:v>6</x:v>
      </x:c>
      <x:c r="F102" s="380" t="n">
        <x:v>7</x:v>
      </x:c>
      <x:c r="G102" s="380" t="n">
        <x:f>--(F102&lt;='Estimator'!$B$7)</x:f>
        <x:v>0</x:v>
      </x:c>
      <x:c r="H102" s="381" t="n">
        <x:f>SUMIFS('Climate Data'!$G$7:$G$366,'Climate Data'!$A$7:$A$366,'Estimator'!$B$4,'Climate Data'!$B$7:$B$366,C102)</x:f>
        <x:v>0.32023809523809527</x:v>
      </x:c>
      <x:c r="I102" s="382" t="n">
        <x:f>SUMIFS('Climate Data'!$H$7:$H$366,'Climate Data'!$A$7:$A$366,'Estimator'!$B$4,'Climate Data'!$B$7:$B$366,C102)</x:f>
        <x:v>9.066171003717471</x:v>
      </x:c>
      <x:c r="J102" s="381" t="n">
        <x:f>SUMIFS('Wind Proxy'!$H$8:$H$19,'Wind Proxy'!$A$8:$A$19,'Estimator'!$B$4,'Wind Proxy'!$B$8:$B$19,C102)</x:f>
        <x:v>0.11728395061728397</x:v>
      </x:c>
    </x:row>
    <x:row r="103">
      <x:c r="A103" s="379" t="n">
        <x:v>45754</x:v>
      </x:c>
      <x:c r="B103" s="380" t="n">
        <x:v>2025</x:v>
      </x:c>
      <x:c r="C103" s="380" t="n">
        <x:v>4</x:v>
      </x:c>
      <x:c r="D103" s="380" t="str">
        <x:v>Apr</x:v>
      </x:c>
      <x:c r="E103" s="380" t="n">
        <x:v>7</x:v>
      </x:c>
      <x:c r="F103" s="380" t="n">
        <x:v>1</x:v>
      </x:c>
      <x:c r="G103" s="380" t="n">
        <x:f>--(F103&lt;='Estimator'!$B$7)</x:f>
        <x:v>1</x:v>
      </x:c>
      <x:c r="H103" s="381" t="n">
        <x:f>SUMIFS('Climate Data'!$G$7:$G$366,'Climate Data'!$A$7:$A$366,'Estimator'!$B$4,'Climate Data'!$B$7:$B$366,C103)</x:f>
        <x:v>0.32023809523809527</x:v>
      </x:c>
      <x:c r="I103" s="382" t="n">
        <x:f>SUMIFS('Climate Data'!$H$7:$H$366,'Climate Data'!$A$7:$A$366,'Estimator'!$B$4,'Climate Data'!$B$7:$B$366,C103)</x:f>
        <x:v>9.066171003717471</x:v>
      </x:c>
      <x:c r="J103" s="381" t="n">
        <x:f>SUMIFS('Wind Proxy'!$H$8:$H$19,'Wind Proxy'!$A$8:$A$19,'Estimator'!$B$4,'Wind Proxy'!$B$8:$B$19,C103)</x:f>
        <x:v>0.11728395061728397</x:v>
      </x:c>
    </x:row>
    <x:row r="104">
      <x:c r="A104" s="379" t="n">
        <x:v>45755</x:v>
      </x:c>
      <x:c r="B104" s="380" t="n">
        <x:v>2025</x:v>
      </x:c>
      <x:c r="C104" s="380" t="n">
        <x:v>4</x:v>
      </x:c>
      <x:c r="D104" s="380" t="str">
        <x:v>Apr</x:v>
      </x:c>
      <x:c r="E104" s="380" t="n">
        <x:v>8</x:v>
      </x:c>
      <x:c r="F104" s="380" t="n">
        <x:v>2</x:v>
      </x:c>
      <x:c r="G104" s="380" t="n">
        <x:f>--(F104&lt;='Estimator'!$B$7)</x:f>
        <x:v>1</x:v>
      </x:c>
      <x:c r="H104" s="381" t="n">
        <x:f>SUMIFS('Climate Data'!$G$7:$G$366,'Climate Data'!$A$7:$A$366,'Estimator'!$B$4,'Climate Data'!$B$7:$B$366,C104)</x:f>
        <x:v>0.32023809523809527</x:v>
      </x:c>
      <x:c r="I104" s="382" t="n">
        <x:f>SUMIFS('Climate Data'!$H$7:$H$366,'Climate Data'!$A$7:$A$366,'Estimator'!$B$4,'Climate Data'!$B$7:$B$366,C104)</x:f>
        <x:v>9.066171003717471</x:v>
      </x:c>
      <x:c r="J104" s="381" t="n">
        <x:f>SUMIFS('Wind Proxy'!$H$8:$H$19,'Wind Proxy'!$A$8:$A$19,'Estimator'!$B$4,'Wind Proxy'!$B$8:$B$19,C104)</x:f>
        <x:v>0.11728395061728397</x:v>
      </x:c>
    </x:row>
    <x:row r="105">
      <x:c r="A105" s="379" t="n">
        <x:v>45756</x:v>
      </x:c>
      <x:c r="B105" s="380" t="n">
        <x:v>2025</x:v>
      </x:c>
      <x:c r="C105" s="380" t="n">
        <x:v>4</x:v>
      </x:c>
      <x:c r="D105" s="380" t="str">
        <x:v>Apr</x:v>
      </x:c>
      <x:c r="E105" s="380" t="n">
        <x:v>9</x:v>
      </x:c>
      <x:c r="F105" s="380" t="n">
        <x:v>3</x:v>
      </x:c>
      <x:c r="G105" s="380" t="n">
        <x:f>--(F105&lt;='Estimator'!$B$7)</x:f>
        <x:v>1</x:v>
      </x:c>
      <x:c r="H105" s="381" t="n">
        <x:f>SUMIFS('Climate Data'!$G$7:$G$366,'Climate Data'!$A$7:$A$366,'Estimator'!$B$4,'Climate Data'!$B$7:$B$366,C105)</x:f>
        <x:v>0.32023809523809527</x:v>
      </x:c>
      <x:c r="I105" s="382" t="n">
        <x:f>SUMIFS('Climate Data'!$H$7:$H$366,'Climate Data'!$A$7:$A$366,'Estimator'!$B$4,'Climate Data'!$B$7:$B$366,C105)</x:f>
        <x:v>9.066171003717471</x:v>
      </x:c>
      <x:c r="J105" s="381" t="n">
        <x:f>SUMIFS('Wind Proxy'!$H$8:$H$19,'Wind Proxy'!$A$8:$A$19,'Estimator'!$B$4,'Wind Proxy'!$B$8:$B$19,C105)</x:f>
        <x:v>0.11728395061728397</x:v>
      </x:c>
    </x:row>
    <x:row r="106">
      <x:c r="A106" s="379" t="n">
        <x:v>45757</x:v>
      </x:c>
      <x:c r="B106" s="380" t="n">
        <x:v>2025</x:v>
      </x:c>
      <x:c r="C106" s="380" t="n">
        <x:v>4</x:v>
      </x:c>
      <x:c r="D106" s="380" t="str">
        <x:v>Apr</x:v>
      </x:c>
      <x:c r="E106" s="380" t="n">
        <x:v>10</x:v>
      </x:c>
      <x:c r="F106" s="380" t="n">
        <x:v>4</x:v>
      </x:c>
      <x:c r="G106" s="380" t="n">
        <x:f>--(F106&lt;='Estimator'!$B$7)</x:f>
        <x:v>1</x:v>
      </x:c>
      <x:c r="H106" s="381" t="n">
        <x:f>SUMIFS('Climate Data'!$G$7:$G$366,'Climate Data'!$A$7:$A$366,'Estimator'!$B$4,'Climate Data'!$B$7:$B$366,C106)</x:f>
        <x:v>0.32023809523809527</x:v>
      </x:c>
      <x:c r="I106" s="382" t="n">
        <x:f>SUMIFS('Climate Data'!$H$7:$H$366,'Climate Data'!$A$7:$A$366,'Estimator'!$B$4,'Climate Data'!$B$7:$B$366,C106)</x:f>
        <x:v>9.066171003717471</x:v>
      </x:c>
      <x:c r="J106" s="381" t="n">
        <x:f>SUMIFS('Wind Proxy'!$H$8:$H$19,'Wind Proxy'!$A$8:$A$19,'Estimator'!$B$4,'Wind Proxy'!$B$8:$B$19,C106)</x:f>
        <x:v>0.11728395061728397</x:v>
      </x:c>
    </x:row>
    <x:row r="107">
      <x:c r="A107" s="379" t="n">
        <x:v>45758</x:v>
      </x:c>
      <x:c r="B107" s="380" t="n">
        <x:v>2025</x:v>
      </x:c>
      <x:c r="C107" s="380" t="n">
        <x:v>4</x:v>
      </x:c>
      <x:c r="D107" s="380" t="str">
        <x:v>Apr</x:v>
      </x:c>
      <x:c r="E107" s="380" t="n">
        <x:v>11</x:v>
      </x:c>
      <x:c r="F107" s="380" t="n">
        <x:v>5</x:v>
      </x:c>
      <x:c r="G107" s="380" t="n">
        <x:f>--(F107&lt;='Estimator'!$B$7)</x:f>
        <x:v>1</x:v>
      </x:c>
      <x:c r="H107" s="381" t="n">
        <x:f>SUMIFS('Climate Data'!$G$7:$G$366,'Climate Data'!$A$7:$A$366,'Estimator'!$B$4,'Climate Data'!$B$7:$B$366,C107)</x:f>
        <x:v>0.32023809523809527</x:v>
      </x:c>
      <x:c r="I107" s="382" t="n">
        <x:f>SUMIFS('Climate Data'!$H$7:$H$366,'Climate Data'!$A$7:$A$366,'Estimator'!$B$4,'Climate Data'!$B$7:$B$366,C107)</x:f>
        <x:v>9.066171003717471</x:v>
      </x:c>
      <x:c r="J107" s="381" t="n">
        <x:f>SUMIFS('Wind Proxy'!$H$8:$H$19,'Wind Proxy'!$A$8:$A$19,'Estimator'!$B$4,'Wind Proxy'!$B$8:$B$19,C107)</x:f>
        <x:v>0.11728395061728397</x:v>
      </x:c>
    </x:row>
    <x:row r="108">
      <x:c r="A108" s="379" t="n">
        <x:v>45759</x:v>
      </x:c>
      <x:c r="B108" s="380" t="n">
        <x:v>2025</x:v>
      </x:c>
      <x:c r="C108" s="380" t="n">
        <x:v>4</x:v>
      </x:c>
      <x:c r="D108" s="380" t="str">
        <x:v>Apr</x:v>
      </x:c>
      <x:c r="E108" s="380" t="n">
        <x:v>12</x:v>
      </x:c>
      <x:c r="F108" s="380" t="n">
        <x:v>6</x:v>
      </x:c>
      <x:c r="G108" s="380" t="n">
        <x:f>--(F108&lt;='Estimator'!$B$7)</x:f>
        <x:v>0</x:v>
      </x:c>
      <x:c r="H108" s="381" t="n">
        <x:f>SUMIFS('Climate Data'!$G$7:$G$366,'Climate Data'!$A$7:$A$366,'Estimator'!$B$4,'Climate Data'!$B$7:$B$366,C108)</x:f>
        <x:v>0.32023809523809527</x:v>
      </x:c>
      <x:c r="I108" s="382" t="n">
        <x:f>SUMIFS('Climate Data'!$H$7:$H$366,'Climate Data'!$A$7:$A$366,'Estimator'!$B$4,'Climate Data'!$B$7:$B$366,C108)</x:f>
        <x:v>9.066171003717471</x:v>
      </x:c>
      <x:c r="J108" s="381" t="n">
        <x:f>SUMIFS('Wind Proxy'!$H$8:$H$19,'Wind Proxy'!$A$8:$A$19,'Estimator'!$B$4,'Wind Proxy'!$B$8:$B$19,C108)</x:f>
        <x:v>0.11728395061728397</x:v>
      </x:c>
    </x:row>
    <x:row r="109">
      <x:c r="A109" s="379" t="n">
        <x:v>45760</x:v>
      </x:c>
      <x:c r="B109" s="380" t="n">
        <x:v>2025</x:v>
      </x:c>
      <x:c r="C109" s="380" t="n">
        <x:v>4</x:v>
      </x:c>
      <x:c r="D109" s="380" t="str">
        <x:v>Apr</x:v>
      </x:c>
      <x:c r="E109" s="380" t="n">
        <x:v>13</x:v>
      </x:c>
      <x:c r="F109" s="380" t="n">
        <x:v>7</x:v>
      </x:c>
      <x:c r="G109" s="380" t="n">
        <x:f>--(F109&lt;='Estimator'!$B$7)</x:f>
        <x:v>0</x:v>
      </x:c>
      <x:c r="H109" s="381" t="n">
        <x:f>SUMIFS('Climate Data'!$G$7:$G$366,'Climate Data'!$A$7:$A$366,'Estimator'!$B$4,'Climate Data'!$B$7:$B$366,C109)</x:f>
        <x:v>0.32023809523809527</x:v>
      </x:c>
      <x:c r="I109" s="382" t="n">
        <x:f>SUMIFS('Climate Data'!$H$7:$H$366,'Climate Data'!$A$7:$A$366,'Estimator'!$B$4,'Climate Data'!$B$7:$B$366,C109)</x:f>
        <x:v>9.066171003717471</x:v>
      </x:c>
      <x:c r="J109" s="381" t="n">
        <x:f>SUMIFS('Wind Proxy'!$H$8:$H$19,'Wind Proxy'!$A$8:$A$19,'Estimator'!$B$4,'Wind Proxy'!$B$8:$B$19,C109)</x:f>
        <x:v>0.11728395061728397</x:v>
      </x:c>
    </x:row>
    <x:row r="110">
      <x:c r="A110" s="379" t="n">
        <x:v>45761</x:v>
      </x:c>
      <x:c r="B110" s="380" t="n">
        <x:v>2025</x:v>
      </x:c>
      <x:c r="C110" s="380" t="n">
        <x:v>4</x:v>
      </x:c>
      <x:c r="D110" s="380" t="str">
        <x:v>Apr</x:v>
      </x:c>
      <x:c r="E110" s="380" t="n">
        <x:v>14</x:v>
      </x:c>
      <x:c r="F110" s="380" t="n">
        <x:v>1</x:v>
      </x:c>
      <x:c r="G110" s="380" t="n">
        <x:f>--(F110&lt;='Estimator'!$B$7)</x:f>
        <x:v>1</x:v>
      </x:c>
      <x:c r="H110" s="381" t="n">
        <x:f>SUMIFS('Climate Data'!$G$7:$G$366,'Climate Data'!$A$7:$A$366,'Estimator'!$B$4,'Climate Data'!$B$7:$B$366,C110)</x:f>
        <x:v>0.32023809523809527</x:v>
      </x:c>
      <x:c r="I110" s="382" t="n">
        <x:f>SUMIFS('Climate Data'!$H$7:$H$366,'Climate Data'!$A$7:$A$366,'Estimator'!$B$4,'Climate Data'!$B$7:$B$366,C110)</x:f>
        <x:v>9.066171003717471</x:v>
      </x:c>
      <x:c r="J110" s="381" t="n">
        <x:f>SUMIFS('Wind Proxy'!$H$8:$H$19,'Wind Proxy'!$A$8:$A$19,'Estimator'!$B$4,'Wind Proxy'!$B$8:$B$19,C110)</x:f>
        <x:v>0.11728395061728397</x:v>
      </x:c>
    </x:row>
    <x:row r="111">
      <x:c r="A111" s="379" t="n">
        <x:v>45762</x:v>
      </x:c>
      <x:c r="B111" s="380" t="n">
        <x:v>2025</x:v>
      </x:c>
      <x:c r="C111" s="380" t="n">
        <x:v>4</x:v>
      </x:c>
      <x:c r="D111" s="380" t="str">
        <x:v>Apr</x:v>
      </x:c>
      <x:c r="E111" s="380" t="n">
        <x:v>15</x:v>
      </x:c>
      <x:c r="F111" s="380" t="n">
        <x:v>2</x:v>
      </x:c>
      <x:c r="G111" s="380" t="n">
        <x:f>--(F111&lt;='Estimator'!$B$7)</x:f>
        <x:v>1</x:v>
      </x:c>
      <x:c r="H111" s="381" t="n">
        <x:f>SUMIFS('Climate Data'!$G$7:$G$366,'Climate Data'!$A$7:$A$366,'Estimator'!$B$4,'Climate Data'!$B$7:$B$366,C111)</x:f>
        <x:v>0.32023809523809527</x:v>
      </x:c>
      <x:c r="I111" s="382" t="n">
        <x:f>SUMIFS('Climate Data'!$H$7:$H$366,'Climate Data'!$A$7:$A$366,'Estimator'!$B$4,'Climate Data'!$B$7:$B$366,C111)</x:f>
        <x:v>9.066171003717471</x:v>
      </x:c>
      <x:c r="J111" s="381" t="n">
        <x:f>SUMIFS('Wind Proxy'!$H$8:$H$19,'Wind Proxy'!$A$8:$A$19,'Estimator'!$B$4,'Wind Proxy'!$B$8:$B$19,C111)</x:f>
        <x:v>0.11728395061728397</x:v>
      </x:c>
    </x:row>
    <x:row r="112">
      <x:c r="A112" s="379" t="n">
        <x:v>45763</x:v>
      </x:c>
      <x:c r="B112" s="380" t="n">
        <x:v>2025</x:v>
      </x:c>
      <x:c r="C112" s="380" t="n">
        <x:v>4</x:v>
      </x:c>
      <x:c r="D112" s="380" t="str">
        <x:v>Apr</x:v>
      </x:c>
      <x:c r="E112" s="380" t="n">
        <x:v>16</x:v>
      </x:c>
      <x:c r="F112" s="380" t="n">
        <x:v>3</x:v>
      </x:c>
      <x:c r="G112" s="380" t="n">
        <x:f>--(F112&lt;='Estimator'!$B$7)</x:f>
        <x:v>1</x:v>
      </x:c>
      <x:c r="H112" s="381" t="n">
        <x:f>SUMIFS('Climate Data'!$G$7:$G$366,'Climate Data'!$A$7:$A$366,'Estimator'!$B$4,'Climate Data'!$B$7:$B$366,C112)</x:f>
        <x:v>0.32023809523809527</x:v>
      </x:c>
      <x:c r="I112" s="382" t="n">
        <x:f>SUMIFS('Climate Data'!$H$7:$H$366,'Climate Data'!$A$7:$A$366,'Estimator'!$B$4,'Climate Data'!$B$7:$B$366,C112)</x:f>
        <x:v>9.066171003717471</x:v>
      </x:c>
      <x:c r="J112" s="381" t="n">
        <x:f>SUMIFS('Wind Proxy'!$H$8:$H$19,'Wind Proxy'!$A$8:$A$19,'Estimator'!$B$4,'Wind Proxy'!$B$8:$B$19,C112)</x:f>
        <x:v>0.11728395061728397</x:v>
      </x:c>
    </x:row>
    <x:row r="113">
      <x:c r="A113" s="379" t="n">
        <x:v>45764</x:v>
      </x:c>
      <x:c r="B113" s="380" t="n">
        <x:v>2025</x:v>
      </x:c>
      <x:c r="C113" s="380" t="n">
        <x:v>4</x:v>
      </x:c>
      <x:c r="D113" s="380" t="str">
        <x:v>Apr</x:v>
      </x:c>
      <x:c r="E113" s="380" t="n">
        <x:v>17</x:v>
      </x:c>
      <x:c r="F113" s="380" t="n">
        <x:v>4</x:v>
      </x:c>
      <x:c r="G113" s="380" t="n">
        <x:f>--(F113&lt;='Estimator'!$B$7)</x:f>
        <x:v>1</x:v>
      </x:c>
      <x:c r="H113" s="381" t="n">
        <x:f>SUMIFS('Climate Data'!$G$7:$G$366,'Climate Data'!$A$7:$A$366,'Estimator'!$B$4,'Climate Data'!$B$7:$B$366,C113)</x:f>
        <x:v>0.32023809523809527</x:v>
      </x:c>
      <x:c r="I113" s="382" t="n">
        <x:f>SUMIFS('Climate Data'!$H$7:$H$366,'Climate Data'!$A$7:$A$366,'Estimator'!$B$4,'Climate Data'!$B$7:$B$366,C113)</x:f>
        <x:v>9.066171003717471</x:v>
      </x:c>
      <x:c r="J113" s="381" t="n">
        <x:f>SUMIFS('Wind Proxy'!$H$8:$H$19,'Wind Proxy'!$A$8:$A$19,'Estimator'!$B$4,'Wind Proxy'!$B$8:$B$19,C113)</x:f>
        <x:v>0.11728395061728397</x:v>
      </x:c>
    </x:row>
    <x:row r="114">
      <x:c r="A114" s="379" t="n">
        <x:v>45765</x:v>
      </x:c>
      <x:c r="B114" s="380" t="n">
        <x:v>2025</x:v>
      </x:c>
      <x:c r="C114" s="380" t="n">
        <x:v>4</x:v>
      </x:c>
      <x:c r="D114" s="380" t="str">
        <x:v>Apr</x:v>
      </x:c>
      <x:c r="E114" s="380" t="n">
        <x:v>18</x:v>
      </x:c>
      <x:c r="F114" s="380" t="n">
        <x:v>5</x:v>
      </x:c>
      <x:c r="G114" s="380" t="n">
        <x:f>--(F114&lt;='Estimator'!$B$7)</x:f>
        <x:v>1</x:v>
      </x:c>
      <x:c r="H114" s="381" t="n">
        <x:f>SUMIFS('Climate Data'!$G$7:$G$366,'Climate Data'!$A$7:$A$366,'Estimator'!$B$4,'Climate Data'!$B$7:$B$366,C114)</x:f>
        <x:v>0.32023809523809527</x:v>
      </x:c>
      <x:c r="I114" s="382" t="n">
        <x:f>SUMIFS('Climate Data'!$H$7:$H$366,'Climate Data'!$A$7:$A$366,'Estimator'!$B$4,'Climate Data'!$B$7:$B$366,C114)</x:f>
        <x:v>9.066171003717471</x:v>
      </x:c>
      <x:c r="J114" s="381" t="n">
        <x:f>SUMIFS('Wind Proxy'!$H$8:$H$19,'Wind Proxy'!$A$8:$A$19,'Estimator'!$B$4,'Wind Proxy'!$B$8:$B$19,C114)</x:f>
        <x:v>0.11728395061728397</x:v>
      </x:c>
    </x:row>
    <x:row r="115">
      <x:c r="A115" s="379" t="n">
        <x:v>45766</x:v>
      </x:c>
      <x:c r="B115" s="380" t="n">
        <x:v>2025</x:v>
      </x:c>
      <x:c r="C115" s="380" t="n">
        <x:v>4</x:v>
      </x:c>
      <x:c r="D115" s="380" t="str">
        <x:v>Apr</x:v>
      </x:c>
      <x:c r="E115" s="380" t="n">
        <x:v>19</x:v>
      </x:c>
      <x:c r="F115" s="380" t="n">
        <x:v>6</x:v>
      </x:c>
      <x:c r="G115" s="380" t="n">
        <x:f>--(F115&lt;='Estimator'!$B$7)</x:f>
        <x:v>0</x:v>
      </x:c>
      <x:c r="H115" s="381" t="n">
        <x:f>SUMIFS('Climate Data'!$G$7:$G$366,'Climate Data'!$A$7:$A$366,'Estimator'!$B$4,'Climate Data'!$B$7:$B$366,C115)</x:f>
        <x:v>0.32023809523809527</x:v>
      </x:c>
      <x:c r="I115" s="382" t="n">
        <x:f>SUMIFS('Climate Data'!$H$7:$H$366,'Climate Data'!$A$7:$A$366,'Estimator'!$B$4,'Climate Data'!$B$7:$B$366,C115)</x:f>
        <x:v>9.066171003717471</x:v>
      </x:c>
      <x:c r="J115" s="381" t="n">
        <x:f>SUMIFS('Wind Proxy'!$H$8:$H$19,'Wind Proxy'!$A$8:$A$19,'Estimator'!$B$4,'Wind Proxy'!$B$8:$B$19,C115)</x:f>
        <x:v>0.11728395061728397</x:v>
      </x:c>
    </x:row>
    <x:row r="116">
      <x:c r="A116" s="379" t="n">
        <x:v>45767</x:v>
      </x:c>
      <x:c r="B116" s="380" t="n">
        <x:v>2025</x:v>
      </x:c>
      <x:c r="C116" s="380" t="n">
        <x:v>4</x:v>
      </x:c>
      <x:c r="D116" s="380" t="str">
        <x:v>Apr</x:v>
      </x:c>
      <x:c r="E116" s="380" t="n">
        <x:v>20</x:v>
      </x:c>
      <x:c r="F116" s="380" t="n">
        <x:v>7</x:v>
      </x:c>
      <x:c r="G116" s="380" t="n">
        <x:f>--(F116&lt;='Estimator'!$B$7)</x:f>
        <x:v>0</x:v>
      </x:c>
      <x:c r="H116" s="381" t="n">
        <x:f>SUMIFS('Climate Data'!$G$7:$G$366,'Climate Data'!$A$7:$A$366,'Estimator'!$B$4,'Climate Data'!$B$7:$B$366,C116)</x:f>
        <x:v>0.32023809523809527</x:v>
      </x:c>
      <x:c r="I116" s="382" t="n">
        <x:f>SUMIFS('Climate Data'!$H$7:$H$366,'Climate Data'!$A$7:$A$366,'Estimator'!$B$4,'Climate Data'!$B$7:$B$366,C116)</x:f>
        <x:v>9.066171003717471</x:v>
      </x:c>
      <x:c r="J116" s="381" t="n">
        <x:f>SUMIFS('Wind Proxy'!$H$8:$H$19,'Wind Proxy'!$A$8:$A$19,'Estimator'!$B$4,'Wind Proxy'!$B$8:$B$19,C116)</x:f>
        <x:v>0.11728395061728397</x:v>
      </x:c>
    </x:row>
    <x:row r="117">
      <x:c r="A117" s="379" t="n">
        <x:v>45768</x:v>
      </x:c>
      <x:c r="B117" s="380" t="n">
        <x:v>2025</x:v>
      </x:c>
      <x:c r="C117" s="380" t="n">
        <x:v>4</x:v>
      </x:c>
      <x:c r="D117" s="380" t="str">
        <x:v>Apr</x:v>
      </x:c>
      <x:c r="E117" s="380" t="n">
        <x:v>21</x:v>
      </x:c>
      <x:c r="F117" s="380" t="n">
        <x:v>1</x:v>
      </x:c>
      <x:c r="G117" s="380" t="n">
        <x:f>--(F117&lt;='Estimator'!$B$7)</x:f>
        <x:v>1</x:v>
      </x:c>
      <x:c r="H117" s="381" t="n">
        <x:f>SUMIFS('Climate Data'!$G$7:$G$366,'Climate Data'!$A$7:$A$366,'Estimator'!$B$4,'Climate Data'!$B$7:$B$366,C117)</x:f>
        <x:v>0.32023809523809527</x:v>
      </x:c>
      <x:c r="I117" s="382" t="n">
        <x:f>SUMIFS('Climate Data'!$H$7:$H$366,'Climate Data'!$A$7:$A$366,'Estimator'!$B$4,'Climate Data'!$B$7:$B$366,C117)</x:f>
        <x:v>9.066171003717471</x:v>
      </x:c>
      <x:c r="J117" s="381" t="n">
        <x:f>SUMIFS('Wind Proxy'!$H$8:$H$19,'Wind Proxy'!$A$8:$A$19,'Estimator'!$B$4,'Wind Proxy'!$B$8:$B$19,C117)</x:f>
        <x:v>0.11728395061728397</x:v>
      </x:c>
    </x:row>
    <x:row r="118">
      <x:c r="A118" s="379" t="n">
        <x:v>45769</x:v>
      </x:c>
      <x:c r="B118" s="380" t="n">
        <x:v>2025</x:v>
      </x:c>
      <x:c r="C118" s="380" t="n">
        <x:v>4</x:v>
      </x:c>
      <x:c r="D118" s="380" t="str">
        <x:v>Apr</x:v>
      </x:c>
      <x:c r="E118" s="380" t="n">
        <x:v>22</x:v>
      </x:c>
      <x:c r="F118" s="380" t="n">
        <x:v>2</x:v>
      </x:c>
      <x:c r="G118" s="380" t="n">
        <x:f>--(F118&lt;='Estimator'!$B$7)</x:f>
        <x:v>1</x:v>
      </x:c>
      <x:c r="H118" s="381" t="n">
        <x:f>SUMIFS('Climate Data'!$G$7:$G$366,'Climate Data'!$A$7:$A$366,'Estimator'!$B$4,'Climate Data'!$B$7:$B$366,C118)</x:f>
        <x:v>0.32023809523809527</x:v>
      </x:c>
      <x:c r="I118" s="382" t="n">
        <x:f>SUMIFS('Climate Data'!$H$7:$H$366,'Climate Data'!$A$7:$A$366,'Estimator'!$B$4,'Climate Data'!$B$7:$B$366,C118)</x:f>
        <x:v>9.066171003717471</x:v>
      </x:c>
      <x:c r="J118" s="381" t="n">
        <x:f>SUMIFS('Wind Proxy'!$H$8:$H$19,'Wind Proxy'!$A$8:$A$19,'Estimator'!$B$4,'Wind Proxy'!$B$8:$B$19,C118)</x:f>
        <x:v>0.11728395061728397</x:v>
      </x:c>
    </x:row>
    <x:row r="119">
      <x:c r="A119" s="379" t="n">
        <x:v>45770</x:v>
      </x:c>
      <x:c r="B119" s="380" t="n">
        <x:v>2025</x:v>
      </x:c>
      <x:c r="C119" s="380" t="n">
        <x:v>4</x:v>
      </x:c>
      <x:c r="D119" s="380" t="str">
        <x:v>Apr</x:v>
      </x:c>
      <x:c r="E119" s="380" t="n">
        <x:v>23</x:v>
      </x:c>
      <x:c r="F119" s="380" t="n">
        <x:v>3</x:v>
      </x:c>
      <x:c r="G119" s="380" t="n">
        <x:f>--(F119&lt;='Estimator'!$B$7)</x:f>
        <x:v>1</x:v>
      </x:c>
      <x:c r="H119" s="381" t="n">
        <x:f>SUMIFS('Climate Data'!$G$7:$G$366,'Climate Data'!$A$7:$A$366,'Estimator'!$B$4,'Climate Data'!$B$7:$B$366,C119)</x:f>
        <x:v>0.32023809523809527</x:v>
      </x:c>
      <x:c r="I119" s="382" t="n">
        <x:f>SUMIFS('Climate Data'!$H$7:$H$366,'Climate Data'!$A$7:$A$366,'Estimator'!$B$4,'Climate Data'!$B$7:$B$366,C119)</x:f>
        <x:v>9.066171003717471</x:v>
      </x:c>
      <x:c r="J119" s="381" t="n">
        <x:f>SUMIFS('Wind Proxy'!$H$8:$H$19,'Wind Proxy'!$A$8:$A$19,'Estimator'!$B$4,'Wind Proxy'!$B$8:$B$19,C119)</x:f>
        <x:v>0.11728395061728397</x:v>
      </x:c>
    </x:row>
    <x:row r="120">
      <x:c r="A120" s="379" t="n">
        <x:v>45771</x:v>
      </x:c>
      <x:c r="B120" s="380" t="n">
        <x:v>2025</x:v>
      </x:c>
      <x:c r="C120" s="380" t="n">
        <x:v>4</x:v>
      </x:c>
      <x:c r="D120" s="380" t="str">
        <x:v>Apr</x:v>
      </x:c>
      <x:c r="E120" s="380" t="n">
        <x:v>24</x:v>
      </x:c>
      <x:c r="F120" s="380" t="n">
        <x:v>4</x:v>
      </x:c>
      <x:c r="G120" s="380" t="n">
        <x:f>--(F120&lt;='Estimator'!$B$7)</x:f>
        <x:v>1</x:v>
      </x:c>
      <x:c r="H120" s="381" t="n">
        <x:f>SUMIFS('Climate Data'!$G$7:$G$366,'Climate Data'!$A$7:$A$366,'Estimator'!$B$4,'Climate Data'!$B$7:$B$366,C120)</x:f>
        <x:v>0.32023809523809527</x:v>
      </x:c>
      <x:c r="I120" s="382" t="n">
        <x:f>SUMIFS('Climate Data'!$H$7:$H$366,'Climate Data'!$A$7:$A$366,'Estimator'!$B$4,'Climate Data'!$B$7:$B$366,C120)</x:f>
        <x:v>9.066171003717471</x:v>
      </x:c>
      <x:c r="J120" s="381" t="n">
        <x:f>SUMIFS('Wind Proxy'!$H$8:$H$19,'Wind Proxy'!$A$8:$A$19,'Estimator'!$B$4,'Wind Proxy'!$B$8:$B$19,C120)</x:f>
        <x:v>0.11728395061728397</x:v>
      </x:c>
    </x:row>
    <x:row r="121">
      <x:c r="A121" s="379" t="n">
        <x:v>45772</x:v>
      </x:c>
      <x:c r="B121" s="380" t="n">
        <x:v>2025</x:v>
      </x:c>
      <x:c r="C121" s="380" t="n">
        <x:v>4</x:v>
      </x:c>
      <x:c r="D121" s="380" t="str">
        <x:v>Apr</x:v>
      </x:c>
      <x:c r="E121" s="380" t="n">
        <x:v>25</x:v>
      </x:c>
      <x:c r="F121" s="380" t="n">
        <x:v>5</x:v>
      </x:c>
      <x:c r="G121" s="380" t="n">
        <x:f>--(F121&lt;='Estimator'!$B$7)</x:f>
        <x:v>1</x:v>
      </x:c>
      <x:c r="H121" s="381" t="n">
        <x:f>SUMIFS('Climate Data'!$G$7:$G$366,'Climate Data'!$A$7:$A$366,'Estimator'!$B$4,'Climate Data'!$B$7:$B$366,C121)</x:f>
        <x:v>0.32023809523809527</x:v>
      </x:c>
      <x:c r="I121" s="382" t="n">
        <x:f>SUMIFS('Climate Data'!$H$7:$H$366,'Climate Data'!$A$7:$A$366,'Estimator'!$B$4,'Climate Data'!$B$7:$B$366,C121)</x:f>
        <x:v>9.066171003717471</x:v>
      </x:c>
      <x:c r="J121" s="381" t="n">
        <x:f>SUMIFS('Wind Proxy'!$H$8:$H$19,'Wind Proxy'!$A$8:$A$19,'Estimator'!$B$4,'Wind Proxy'!$B$8:$B$19,C121)</x:f>
        <x:v>0.11728395061728397</x:v>
      </x:c>
    </x:row>
    <x:row r="122">
      <x:c r="A122" s="379" t="n">
        <x:v>45773</x:v>
      </x:c>
      <x:c r="B122" s="380" t="n">
        <x:v>2025</x:v>
      </x:c>
      <x:c r="C122" s="380" t="n">
        <x:v>4</x:v>
      </x:c>
      <x:c r="D122" s="380" t="str">
        <x:v>Apr</x:v>
      </x:c>
      <x:c r="E122" s="380" t="n">
        <x:v>26</x:v>
      </x:c>
      <x:c r="F122" s="380" t="n">
        <x:v>6</x:v>
      </x:c>
      <x:c r="G122" s="380" t="n">
        <x:f>--(F122&lt;='Estimator'!$B$7)</x:f>
        <x:v>0</x:v>
      </x:c>
      <x:c r="H122" s="381" t="n">
        <x:f>SUMIFS('Climate Data'!$G$7:$G$366,'Climate Data'!$A$7:$A$366,'Estimator'!$B$4,'Climate Data'!$B$7:$B$366,C122)</x:f>
        <x:v>0.32023809523809527</x:v>
      </x:c>
      <x:c r="I122" s="382" t="n">
        <x:f>SUMIFS('Climate Data'!$H$7:$H$366,'Climate Data'!$A$7:$A$366,'Estimator'!$B$4,'Climate Data'!$B$7:$B$366,C122)</x:f>
        <x:v>9.066171003717471</x:v>
      </x:c>
      <x:c r="J122" s="381" t="n">
        <x:f>SUMIFS('Wind Proxy'!$H$8:$H$19,'Wind Proxy'!$A$8:$A$19,'Estimator'!$B$4,'Wind Proxy'!$B$8:$B$19,C122)</x:f>
        <x:v>0.11728395061728397</x:v>
      </x:c>
    </x:row>
    <x:row r="123">
      <x:c r="A123" s="379" t="n">
        <x:v>45774</x:v>
      </x:c>
      <x:c r="B123" s="380" t="n">
        <x:v>2025</x:v>
      </x:c>
      <x:c r="C123" s="380" t="n">
        <x:v>4</x:v>
      </x:c>
      <x:c r="D123" s="380" t="str">
        <x:v>Apr</x:v>
      </x:c>
      <x:c r="E123" s="380" t="n">
        <x:v>27</x:v>
      </x:c>
      <x:c r="F123" s="380" t="n">
        <x:v>7</x:v>
      </x:c>
      <x:c r="G123" s="380" t="n">
        <x:f>--(F123&lt;='Estimator'!$B$7)</x:f>
        <x:v>0</x:v>
      </x:c>
      <x:c r="H123" s="381" t="n">
        <x:f>SUMIFS('Climate Data'!$G$7:$G$366,'Climate Data'!$A$7:$A$366,'Estimator'!$B$4,'Climate Data'!$B$7:$B$366,C123)</x:f>
        <x:v>0.32023809523809527</x:v>
      </x:c>
      <x:c r="I123" s="382" t="n">
        <x:f>SUMIFS('Climate Data'!$H$7:$H$366,'Climate Data'!$A$7:$A$366,'Estimator'!$B$4,'Climate Data'!$B$7:$B$366,C123)</x:f>
        <x:v>9.066171003717471</x:v>
      </x:c>
      <x:c r="J123" s="381" t="n">
        <x:f>SUMIFS('Wind Proxy'!$H$8:$H$19,'Wind Proxy'!$A$8:$A$19,'Estimator'!$B$4,'Wind Proxy'!$B$8:$B$19,C123)</x:f>
        <x:v>0.11728395061728397</x:v>
      </x:c>
    </x:row>
    <x:row r="124">
      <x:c r="A124" s="379" t="n">
        <x:v>45775</x:v>
      </x:c>
      <x:c r="B124" s="380" t="n">
        <x:v>2025</x:v>
      </x:c>
      <x:c r="C124" s="380" t="n">
        <x:v>4</x:v>
      </x:c>
      <x:c r="D124" s="380" t="str">
        <x:v>Apr</x:v>
      </x:c>
      <x:c r="E124" s="380" t="n">
        <x:v>28</x:v>
      </x:c>
      <x:c r="F124" s="380" t="n">
        <x:v>1</x:v>
      </x:c>
      <x:c r="G124" s="380" t="n">
        <x:f>--(F124&lt;='Estimator'!$B$7)</x:f>
        <x:v>1</x:v>
      </x:c>
      <x:c r="H124" s="381" t="n">
        <x:f>SUMIFS('Climate Data'!$G$7:$G$366,'Climate Data'!$A$7:$A$366,'Estimator'!$B$4,'Climate Data'!$B$7:$B$366,C124)</x:f>
        <x:v>0.32023809523809527</x:v>
      </x:c>
      <x:c r="I124" s="382" t="n">
        <x:f>SUMIFS('Climate Data'!$H$7:$H$366,'Climate Data'!$A$7:$A$366,'Estimator'!$B$4,'Climate Data'!$B$7:$B$366,C124)</x:f>
        <x:v>9.066171003717471</x:v>
      </x:c>
      <x:c r="J124" s="381" t="n">
        <x:f>SUMIFS('Wind Proxy'!$H$8:$H$19,'Wind Proxy'!$A$8:$A$19,'Estimator'!$B$4,'Wind Proxy'!$B$8:$B$19,C124)</x:f>
        <x:v>0.11728395061728397</x:v>
      </x:c>
    </x:row>
    <x:row r="125">
      <x:c r="A125" s="379" t="n">
        <x:v>45776</x:v>
      </x:c>
      <x:c r="B125" s="380" t="n">
        <x:v>2025</x:v>
      </x:c>
      <x:c r="C125" s="380" t="n">
        <x:v>4</x:v>
      </x:c>
      <x:c r="D125" s="380" t="str">
        <x:v>Apr</x:v>
      </x:c>
      <x:c r="E125" s="380" t="n">
        <x:v>29</x:v>
      </x:c>
      <x:c r="F125" s="380" t="n">
        <x:v>2</x:v>
      </x:c>
      <x:c r="G125" s="380" t="n">
        <x:f>--(F125&lt;='Estimator'!$B$7)</x:f>
        <x:v>1</x:v>
      </x:c>
      <x:c r="H125" s="381" t="n">
        <x:f>SUMIFS('Climate Data'!$G$7:$G$366,'Climate Data'!$A$7:$A$366,'Estimator'!$B$4,'Climate Data'!$B$7:$B$366,C125)</x:f>
        <x:v>0.32023809523809527</x:v>
      </x:c>
      <x:c r="I125" s="382" t="n">
        <x:f>SUMIFS('Climate Data'!$H$7:$H$366,'Climate Data'!$A$7:$A$366,'Estimator'!$B$4,'Climate Data'!$B$7:$B$366,C125)</x:f>
        <x:v>9.066171003717471</x:v>
      </x:c>
      <x:c r="J125" s="381" t="n">
        <x:f>SUMIFS('Wind Proxy'!$H$8:$H$19,'Wind Proxy'!$A$8:$A$19,'Estimator'!$B$4,'Wind Proxy'!$B$8:$B$19,C125)</x:f>
        <x:v>0.11728395061728397</x:v>
      </x:c>
    </x:row>
    <x:row r="126">
      <x:c r="A126" s="379" t="n">
        <x:v>45777</x:v>
      </x:c>
      <x:c r="B126" s="380" t="n">
        <x:v>2025</x:v>
      </x:c>
      <x:c r="C126" s="380" t="n">
        <x:v>4</x:v>
      </x:c>
      <x:c r="D126" s="380" t="str">
        <x:v>Apr</x:v>
      </x:c>
      <x:c r="E126" s="380" t="n">
        <x:v>30</x:v>
      </x:c>
      <x:c r="F126" s="380" t="n">
        <x:v>3</x:v>
      </x:c>
      <x:c r="G126" s="380" t="n">
        <x:f>--(F126&lt;='Estimator'!$B$7)</x:f>
        <x:v>1</x:v>
      </x:c>
      <x:c r="H126" s="381" t="n">
        <x:f>SUMIFS('Climate Data'!$G$7:$G$366,'Climate Data'!$A$7:$A$366,'Estimator'!$B$4,'Climate Data'!$B$7:$B$366,C126)</x:f>
        <x:v>0.32023809523809527</x:v>
      </x:c>
      <x:c r="I126" s="382" t="n">
        <x:f>SUMIFS('Climate Data'!$H$7:$H$366,'Climate Data'!$A$7:$A$366,'Estimator'!$B$4,'Climate Data'!$B$7:$B$366,C126)</x:f>
        <x:v>9.066171003717471</x:v>
      </x:c>
      <x:c r="J126" s="381" t="n">
        <x:f>SUMIFS('Wind Proxy'!$H$8:$H$19,'Wind Proxy'!$A$8:$A$19,'Estimator'!$B$4,'Wind Proxy'!$B$8:$B$19,C126)</x:f>
        <x:v>0.11728395061728397</x:v>
      </x:c>
    </x:row>
    <x:row r="127">
      <x:c r="A127" s="379" t="n">
        <x:v>45778</x:v>
      </x:c>
      <x:c r="B127" s="380" t="n">
        <x:v>2025</x:v>
      </x:c>
      <x:c r="C127" s="380" t="n">
        <x:v>5</x:v>
      </x:c>
      <x:c r="D127" s="380" t="str">
        <x:v>May</x:v>
      </x:c>
      <x:c r="E127" s="380" t="n">
        <x:v>1</x:v>
      </x:c>
      <x:c r="F127" s="380" t="n">
        <x:v>4</x:v>
      </x:c>
      <x:c r="G127" s="380" t="n">
        <x:f>--(F127&lt;='Estimator'!$B$7)</x:f>
        <x:v>1</x:v>
      </x:c>
      <x:c r="H127" s="381" t="n">
        <x:f>SUMIFS('Climate Data'!$G$7:$G$366,'Climate Data'!$A$7:$A$366,'Estimator'!$B$4,'Climate Data'!$B$7:$B$366,C127)</x:f>
        <x:v>0.41935483870967744</x:v>
      </x:c>
      <x:c r="I127" s="382" t="n">
        <x:f>SUMIFS('Climate Data'!$H$7:$H$366,'Climate Data'!$A$7:$A$366,'Estimator'!$B$4,'Climate Data'!$B$7:$B$366,C127)</x:f>
        <x:v>9.215384615384615</x:v>
      </x:c>
      <x:c r="J127" s="381" t="n">
        <x:f>SUMIFS('Wind Proxy'!$H$8:$H$19,'Wind Proxy'!$A$8:$A$19,'Estimator'!$B$4,'Wind Proxy'!$B$8:$B$19,C127)</x:f>
        <x:v>0.11350059737156513</x:v>
      </x:c>
    </x:row>
    <x:row r="128">
      <x:c r="A128" s="379" t="n">
        <x:v>45779</x:v>
      </x:c>
      <x:c r="B128" s="380" t="n">
        <x:v>2025</x:v>
      </x:c>
      <x:c r="C128" s="380" t="n">
        <x:v>5</x:v>
      </x:c>
      <x:c r="D128" s="380" t="str">
        <x:v>May</x:v>
      </x:c>
      <x:c r="E128" s="380" t="n">
        <x:v>2</x:v>
      </x:c>
      <x:c r="F128" s="380" t="n">
        <x:v>5</x:v>
      </x:c>
      <x:c r="G128" s="380" t="n">
        <x:f>--(F128&lt;='Estimator'!$B$7)</x:f>
        <x:v>1</x:v>
      </x:c>
      <x:c r="H128" s="381" t="n">
        <x:f>SUMIFS('Climate Data'!$G$7:$G$366,'Climate Data'!$A$7:$A$366,'Estimator'!$B$4,'Climate Data'!$B$7:$B$366,C128)</x:f>
        <x:v>0.41935483870967744</x:v>
      </x:c>
      <x:c r="I128" s="382" t="n">
        <x:f>SUMIFS('Climate Data'!$H$7:$H$366,'Climate Data'!$A$7:$A$366,'Estimator'!$B$4,'Climate Data'!$B$7:$B$366,C128)</x:f>
        <x:v>9.215384615384615</x:v>
      </x:c>
      <x:c r="J128" s="381" t="n">
        <x:f>SUMIFS('Wind Proxy'!$H$8:$H$19,'Wind Proxy'!$A$8:$A$19,'Estimator'!$B$4,'Wind Proxy'!$B$8:$B$19,C128)</x:f>
        <x:v>0.11350059737156513</x:v>
      </x:c>
    </x:row>
    <x:row r="129">
      <x:c r="A129" s="379" t="n">
        <x:v>45780</x:v>
      </x:c>
      <x:c r="B129" s="380" t="n">
        <x:v>2025</x:v>
      </x:c>
      <x:c r="C129" s="380" t="n">
        <x:v>5</x:v>
      </x:c>
      <x:c r="D129" s="380" t="str">
        <x:v>May</x:v>
      </x:c>
      <x:c r="E129" s="380" t="n">
        <x:v>3</x:v>
      </x:c>
      <x:c r="F129" s="380" t="n">
        <x:v>6</x:v>
      </x:c>
      <x:c r="G129" s="380" t="n">
        <x:f>--(F129&lt;='Estimator'!$B$7)</x:f>
        <x:v>0</x:v>
      </x:c>
      <x:c r="H129" s="381" t="n">
        <x:f>SUMIFS('Climate Data'!$G$7:$G$366,'Climate Data'!$A$7:$A$366,'Estimator'!$B$4,'Climate Data'!$B$7:$B$366,C129)</x:f>
        <x:v>0.41935483870967744</x:v>
      </x:c>
      <x:c r="I129" s="382" t="n">
        <x:f>SUMIFS('Climate Data'!$H$7:$H$366,'Climate Data'!$A$7:$A$366,'Estimator'!$B$4,'Climate Data'!$B$7:$B$366,C129)</x:f>
        <x:v>9.215384615384615</x:v>
      </x:c>
      <x:c r="J129" s="381" t="n">
        <x:f>SUMIFS('Wind Proxy'!$H$8:$H$19,'Wind Proxy'!$A$8:$A$19,'Estimator'!$B$4,'Wind Proxy'!$B$8:$B$19,C129)</x:f>
        <x:v>0.11350059737156513</x:v>
      </x:c>
    </x:row>
    <x:row r="130">
      <x:c r="A130" s="379" t="n">
        <x:v>45781</x:v>
      </x:c>
      <x:c r="B130" s="380" t="n">
        <x:v>2025</x:v>
      </x:c>
      <x:c r="C130" s="380" t="n">
        <x:v>5</x:v>
      </x:c>
      <x:c r="D130" s="380" t="str">
        <x:v>May</x:v>
      </x:c>
      <x:c r="E130" s="380" t="n">
        <x:v>4</x:v>
      </x:c>
      <x:c r="F130" s="380" t="n">
        <x:v>7</x:v>
      </x:c>
      <x:c r="G130" s="380" t="n">
        <x:f>--(F130&lt;='Estimator'!$B$7)</x:f>
        <x:v>0</x:v>
      </x:c>
      <x:c r="H130" s="381" t="n">
        <x:f>SUMIFS('Climate Data'!$G$7:$G$366,'Climate Data'!$A$7:$A$366,'Estimator'!$B$4,'Climate Data'!$B$7:$B$366,C130)</x:f>
        <x:v>0.41935483870967744</x:v>
      </x:c>
      <x:c r="I130" s="382" t="n">
        <x:f>SUMIFS('Climate Data'!$H$7:$H$366,'Climate Data'!$A$7:$A$366,'Estimator'!$B$4,'Climate Data'!$B$7:$B$366,C130)</x:f>
        <x:v>9.215384615384615</x:v>
      </x:c>
      <x:c r="J130" s="381" t="n">
        <x:f>SUMIFS('Wind Proxy'!$H$8:$H$19,'Wind Proxy'!$A$8:$A$19,'Estimator'!$B$4,'Wind Proxy'!$B$8:$B$19,C130)</x:f>
        <x:v>0.11350059737156513</x:v>
      </x:c>
    </x:row>
    <x:row r="131">
      <x:c r="A131" s="379" t="n">
        <x:v>45782</x:v>
      </x:c>
      <x:c r="B131" s="380" t="n">
        <x:v>2025</x:v>
      </x:c>
      <x:c r="C131" s="380" t="n">
        <x:v>5</x:v>
      </x:c>
      <x:c r="D131" s="380" t="str">
        <x:v>May</x:v>
      </x:c>
      <x:c r="E131" s="380" t="n">
        <x:v>5</x:v>
      </x:c>
      <x:c r="F131" s="380" t="n">
        <x:v>1</x:v>
      </x:c>
      <x:c r="G131" s="380" t="n">
        <x:f>--(F131&lt;='Estimator'!$B$7)</x:f>
        <x:v>1</x:v>
      </x:c>
      <x:c r="H131" s="381" t="n">
        <x:f>SUMIFS('Climate Data'!$G$7:$G$366,'Climate Data'!$A$7:$A$366,'Estimator'!$B$4,'Climate Data'!$B$7:$B$366,C131)</x:f>
        <x:v>0.41935483870967744</x:v>
      </x:c>
      <x:c r="I131" s="382" t="n">
        <x:f>SUMIFS('Climate Data'!$H$7:$H$366,'Climate Data'!$A$7:$A$366,'Estimator'!$B$4,'Climate Data'!$B$7:$B$366,C131)</x:f>
        <x:v>9.215384615384615</x:v>
      </x:c>
      <x:c r="J131" s="381" t="n">
        <x:f>SUMIFS('Wind Proxy'!$H$8:$H$19,'Wind Proxy'!$A$8:$A$19,'Estimator'!$B$4,'Wind Proxy'!$B$8:$B$19,C131)</x:f>
        <x:v>0.11350059737156513</x:v>
      </x:c>
    </x:row>
    <x:row r="132">
      <x:c r="A132" s="379" t="n">
        <x:v>45783</x:v>
      </x:c>
      <x:c r="B132" s="380" t="n">
        <x:v>2025</x:v>
      </x:c>
      <x:c r="C132" s="380" t="n">
        <x:v>5</x:v>
      </x:c>
      <x:c r="D132" s="380" t="str">
        <x:v>May</x:v>
      </x:c>
      <x:c r="E132" s="380" t="n">
        <x:v>6</x:v>
      </x:c>
      <x:c r="F132" s="380" t="n">
        <x:v>2</x:v>
      </x:c>
      <x:c r="G132" s="380" t="n">
        <x:f>--(F132&lt;='Estimator'!$B$7)</x:f>
        <x:v>1</x:v>
      </x:c>
      <x:c r="H132" s="381" t="n">
        <x:f>SUMIFS('Climate Data'!$G$7:$G$366,'Climate Data'!$A$7:$A$366,'Estimator'!$B$4,'Climate Data'!$B$7:$B$366,C132)</x:f>
        <x:v>0.41935483870967744</x:v>
      </x:c>
      <x:c r="I132" s="382" t="n">
        <x:f>SUMIFS('Climate Data'!$H$7:$H$366,'Climate Data'!$A$7:$A$366,'Estimator'!$B$4,'Climate Data'!$B$7:$B$366,C132)</x:f>
        <x:v>9.215384615384615</x:v>
      </x:c>
      <x:c r="J132" s="381" t="n">
        <x:f>SUMIFS('Wind Proxy'!$H$8:$H$19,'Wind Proxy'!$A$8:$A$19,'Estimator'!$B$4,'Wind Proxy'!$B$8:$B$19,C132)</x:f>
        <x:v>0.11350059737156513</x:v>
      </x:c>
    </x:row>
    <x:row r="133">
      <x:c r="A133" s="379" t="n">
        <x:v>45784</x:v>
      </x:c>
      <x:c r="B133" s="380" t="n">
        <x:v>2025</x:v>
      </x:c>
      <x:c r="C133" s="380" t="n">
        <x:v>5</x:v>
      </x:c>
      <x:c r="D133" s="380" t="str">
        <x:v>May</x:v>
      </x:c>
      <x:c r="E133" s="380" t="n">
        <x:v>7</x:v>
      </x:c>
      <x:c r="F133" s="380" t="n">
        <x:v>3</x:v>
      </x:c>
      <x:c r="G133" s="380" t="n">
        <x:f>--(F133&lt;='Estimator'!$B$7)</x:f>
        <x:v>1</x:v>
      </x:c>
      <x:c r="H133" s="381" t="n">
        <x:f>SUMIFS('Climate Data'!$G$7:$G$366,'Climate Data'!$A$7:$A$366,'Estimator'!$B$4,'Climate Data'!$B$7:$B$366,C133)</x:f>
        <x:v>0.41935483870967744</x:v>
      </x:c>
      <x:c r="I133" s="382" t="n">
        <x:f>SUMIFS('Climate Data'!$H$7:$H$366,'Climate Data'!$A$7:$A$366,'Estimator'!$B$4,'Climate Data'!$B$7:$B$366,C133)</x:f>
        <x:v>9.215384615384615</x:v>
      </x:c>
      <x:c r="J133" s="381" t="n">
        <x:f>SUMIFS('Wind Proxy'!$H$8:$H$19,'Wind Proxy'!$A$8:$A$19,'Estimator'!$B$4,'Wind Proxy'!$B$8:$B$19,C133)</x:f>
        <x:v>0.11350059737156513</x:v>
      </x:c>
    </x:row>
    <x:row r="134">
      <x:c r="A134" s="379" t="n">
        <x:v>45785</x:v>
      </x:c>
      <x:c r="B134" s="380" t="n">
        <x:v>2025</x:v>
      </x:c>
      <x:c r="C134" s="380" t="n">
        <x:v>5</x:v>
      </x:c>
      <x:c r="D134" s="380" t="str">
        <x:v>May</x:v>
      </x:c>
      <x:c r="E134" s="380" t="n">
        <x:v>8</x:v>
      </x:c>
      <x:c r="F134" s="380" t="n">
        <x:v>4</x:v>
      </x:c>
      <x:c r="G134" s="380" t="n">
        <x:f>--(F134&lt;='Estimator'!$B$7)</x:f>
        <x:v>1</x:v>
      </x:c>
      <x:c r="H134" s="381" t="n">
        <x:f>SUMIFS('Climate Data'!$G$7:$G$366,'Climate Data'!$A$7:$A$366,'Estimator'!$B$4,'Climate Data'!$B$7:$B$366,C134)</x:f>
        <x:v>0.41935483870967744</x:v>
      </x:c>
      <x:c r="I134" s="382" t="n">
        <x:f>SUMIFS('Climate Data'!$H$7:$H$366,'Climate Data'!$A$7:$A$366,'Estimator'!$B$4,'Climate Data'!$B$7:$B$366,C134)</x:f>
        <x:v>9.215384615384615</x:v>
      </x:c>
      <x:c r="J134" s="381" t="n">
        <x:f>SUMIFS('Wind Proxy'!$H$8:$H$19,'Wind Proxy'!$A$8:$A$19,'Estimator'!$B$4,'Wind Proxy'!$B$8:$B$19,C134)</x:f>
        <x:v>0.11350059737156513</x:v>
      </x:c>
    </x:row>
    <x:row r="135">
      <x:c r="A135" s="379" t="n">
        <x:v>45786</x:v>
      </x:c>
      <x:c r="B135" s="380" t="n">
        <x:v>2025</x:v>
      </x:c>
      <x:c r="C135" s="380" t="n">
        <x:v>5</x:v>
      </x:c>
      <x:c r="D135" s="380" t="str">
        <x:v>May</x:v>
      </x:c>
      <x:c r="E135" s="380" t="n">
        <x:v>9</x:v>
      </x:c>
      <x:c r="F135" s="380" t="n">
        <x:v>5</x:v>
      </x:c>
      <x:c r="G135" s="380" t="n">
        <x:f>--(F135&lt;='Estimator'!$B$7)</x:f>
        <x:v>1</x:v>
      </x:c>
      <x:c r="H135" s="381" t="n">
        <x:f>SUMIFS('Climate Data'!$G$7:$G$366,'Climate Data'!$A$7:$A$366,'Estimator'!$B$4,'Climate Data'!$B$7:$B$366,C135)</x:f>
        <x:v>0.41935483870967744</x:v>
      </x:c>
      <x:c r="I135" s="382" t="n">
        <x:f>SUMIFS('Climate Data'!$H$7:$H$366,'Climate Data'!$A$7:$A$366,'Estimator'!$B$4,'Climate Data'!$B$7:$B$366,C135)</x:f>
        <x:v>9.215384615384615</x:v>
      </x:c>
      <x:c r="J135" s="381" t="n">
        <x:f>SUMIFS('Wind Proxy'!$H$8:$H$19,'Wind Proxy'!$A$8:$A$19,'Estimator'!$B$4,'Wind Proxy'!$B$8:$B$19,C135)</x:f>
        <x:v>0.11350059737156513</x:v>
      </x:c>
    </x:row>
    <x:row r="136">
      <x:c r="A136" s="379" t="n">
        <x:v>45787</x:v>
      </x:c>
      <x:c r="B136" s="380" t="n">
        <x:v>2025</x:v>
      </x:c>
      <x:c r="C136" s="380" t="n">
        <x:v>5</x:v>
      </x:c>
      <x:c r="D136" s="380" t="str">
        <x:v>May</x:v>
      </x:c>
      <x:c r="E136" s="380" t="n">
        <x:v>10</x:v>
      </x:c>
      <x:c r="F136" s="380" t="n">
        <x:v>6</x:v>
      </x:c>
      <x:c r="G136" s="380" t="n">
        <x:f>--(F136&lt;='Estimator'!$B$7)</x:f>
        <x:v>0</x:v>
      </x:c>
      <x:c r="H136" s="381" t="n">
        <x:f>SUMIFS('Climate Data'!$G$7:$G$366,'Climate Data'!$A$7:$A$366,'Estimator'!$B$4,'Climate Data'!$B$7:$B$366,C136)</x:f>
        <x:v>0.41935483870967744</x:v>
      </x:c>
      <x:c r="I136" s="382" t="n">
        <x:f>SUMIFS('Climate Data'!$H$7:$H$366,'Climate Data'!$A$7:$A$366,'Estimator'!$B$4,'Climate Data'!$B$7:$B$366,C136)</x:f>
        <x:v>9.215384615384615</x:v>
      </x:c>
      <x:c r="J136" s="381" t="n">
        <x:f>SUMIFS('Wind Proxy'!$H$8:$H$19,'Wind Proxy'!$A$8:$A$19,'Estimator'!$B$4,'Wind Proxy'!$B$8:$B$19,C136)</x:f>
        <x:v>0.11350059737156513</x:v>
      </x:c>
    </x:row>
    <x:row r="137">
      <x:c r="A137" s="379" t="n">
        <x:v>45788</x:v>
      </x:c>
      <x:c r="B137" s="380" t="n">
        <x:v>2025</x:v>
      </x:c>
      <x:c r="C137" s="380" t="n">
        <x:v>5</x:v>
      </x:c>
      <x:c r="D137" s="380" t="str">
        <x:v>May</x:v>
      </x:c>
      <x:c r="E137" s="380" t="n">
        <x:v>11</x:v>
      </x:c>
      <x:c r="F137" s="380" t="n">
        <x:v>7</x:v>
      </x:c>
      <x:c r="G137" s="380" t="n">
        <x:f>--(F137&lt;='Estimator'!$B$7)</x:f>
        <x:v>0</x:v>
      </x:c>
      <x:c r="H137" s="381" t="n">
        <x:f>SUMIFS('Climate Data'!$G$7:$G$366,'Climate Data'!$A$7:$A$366,'Estimator'!$B$4,'Climate Data'!$B$7:$B$366,C137)</x:f>
        <x:v>0.41935483870967744</x:v>
      </x:c>
      <x:c r="I137" s="382" t="n">
        <x:f>SUMIFS('Climate Data'!$H$7:$H$366,'Climate Data'!$A$7:$A$366,'Estimator'!$B$4,'Climate Data'!$B$7:$B$366,C137)</x:f>
        <x:v>9.215384615384615</x:v>
      </x:c>
      <x:c r="J137" s="381" t="n">
        <x:f>SUMIFS('Wind Proxy'!$H$8:$H$19,'Wind Proxy'!$A$8:$A$19,'Estimator'!$B$4,'Wind Proxy'!$B$8:$B$19,C137)</x:f>
        <x:v>0.11350059737156513</x:v>
      </x:c>
    </x:row>
    <x:row r="138">
      <x:c r="A138" s="379" t="n">
        <x:v>45789</x:v>
      </x:c>
      <x:c r="B138" s="380" t="n">
        <x:v>2025</x:v>
      </x:c>
      <x:c r="C138" s="380" t="n">
        <x:v>5</x:v>
      </x:c>
      <x:c r="D138" s="380" t="str">
        <x:v>May</x:v>
      </x:c>
      <x:c r="E138" s="380" t="n">
        <x:v>12</x:v>
      </x:c>
      <x:c r="F138" s="380" t="n">
        <x:v>1</x:v>
      </x:c>
      <x:c r="G138" s="380" t="n">
        <x:f>--(F138&lt;='Estimator'!$B$7)</x:f>
        <x:v>1</x:v>
      </x:c>
      <x:c r="H138" s="381" t="n">
        <x:f>SUMIFS('Climate Data'!$G$7:$G$366,'Climate Data'!$A$7:$A$366,'Estimator'!$B$4,'Climate Data'!$B$7:$B$366,C138)</x:f>
        <x:v>0.41935483870967744</x:v>
      </x:c>
      <x:c r="I138" s="382" t="n">
        <x:f>SUMIFS('Climate Data'!$H$7:$H$366,'Climate Data'!$A$7:$A$366,'Estimator'!$B$4,'Climate Data'!$B$7:$B$366,C138)</x:f>
        <x:v>9.215384615384615</x:v>
      </x:c>
      <x:c r="J138" s="381" t="n">
        <x:f>SUMIFS('Wind Proxy'!$H$8:$H$19,'Wind Proxy'!$A$8:$A$19,'Estimator'!$B$4,'Wind Proxy'!$B$8:$B$19,C138)</x:f>
        <x:v>0.11350059737156513</x:v>
      </x:c>
    </x:row>
    <x:row r="139">
      <x:c r="A139" s="379" t="n">
        <x:v>45790</x:v>
      </x:c>
      <x:c r="B139" s="380" t="n">
        <x:v>2025</x:v>
      </x:c>
      <x:c r="C139" s="380" t="n">
        <x:v>5</x:v>
      </x:c>
      <x:c r="D139" s="380" t="str">
        <x:v>May</x:v>
      </x:c>
      <x:c r="E139" s="380" t="n">
        <x:v>13</x:v>
      </x:c>
      <x:c r="F139" s="380" t="n">
        <x:v>2</x:v>
      </x:c>
      <x:c r="G139" s="380" t="n">
        <x:f>--(F139&lt;='Estimator'!$B$7)</x:f>
        <x:v>1</x:v>
      </x:c>
      <x:c r="H139" s="381" t="n">
        <x:f>SUMIFS('Climate Data'!$G$7:$G$366,'Climate Data'!$A$7:$A$366,'Estimator'!$B$4,'Climate Data'!$B$7:$B$366,C139)</x:f>
        <x:v>0.41935483870967744</x:v>
      </x:c>
      <x:c r="I139" s="382" t="n">
        <x:f>SUMIFS('Climate Data'!$H$7:$H$366,'Climate Data'!$A$7:$A$366,'Estimator'!$B$4,'Climate Data'!$B$7:$B$366,C139)</x:f>
        <x:v>9.215384615384615</x:v>
      </x:c>
      <x:c r="J139" s="381" t="n">
        <x:f>SUMIFS('Wind Proxy'!$H$8:$H$19,'Wind Proxy'!$A$8:$A$19,'Estimator'!$B$4,'Wind Proxy'!$B$8:$B$19,C139)</x:f>
        <x:v>0.11350059737156513</x:v>
      </x:c>
    </x:row>
    <x:row r="140">
      <x:c r="A140" s="379" t="n">
        <x:v>45791</x:v>
      </x:c>
      <x:c r="B140" s="380" t="n">
        <x:v>2025</x:v>
      </x:c>
      <x:c r="C140" s="380" t="n">
        <x:v>5</x:v>
      </x:c>
      <x:c r="D140" s="380" t="str">
        <x:v>May</x:v>
      </x:c>
      <x:c r="E140" s="380" t="n">
        <x:v>14</x:v>
      </x:c>
      <x:c r="F140" s="380" t="n">
        <x:v>3</x:v>
      </x:c>
      <x:c r="G140" s="380" t="n">
        <x:f>--(F140&lt;='Estimator'!$B$7)</x:f>
        <x:v>1</x:v>
      </x:c>
      <x:c r="H140" s="381" t="n">
        <x:f>SUMIFS('Climate Data'!$G$7:$G$366,'Climate Data'!$A$7:$A$366,'Estimator'!$B$4,'Climate Data'!$B$7:$B$366,C140)</x:f>
        <x:v>0.41935483870967744</x:v>
      </x:c>
      <x:c r="I140" s="382" t="n">
        <x:f>SUMIFS('Climate Data'!$H$7:$H$366,'Climate Data'!$A$7:$A$366,'Estimator'!$B$4,'Climate Data'!$B$7:$B$366,C140)</x:f>
        <x:v>9.215384615384615</x:v>
      </x:c>
      <x:c r="J140" s="381" t="n">
        <x:f>SUMIFS('Wind Proxy'!$H$8:$H$19,'Wind Proxy'!$A$8:$A$19,'Estimator'!$B$4,'Wind Proxy'!$B$8:$B$19,C140)</x:f>
        <x:v>0.11350059737156513</x:v>
      </x:c>
    </x:row>
    <x:row r="141">
      <x:c r="A141" s="379" t="n">
        <x:v>45792</x:v>
      </x:c>
      <x:c r="B141" s="380" t="n">
        <x:v>2025</x:v>
      </x:c>
      <x:c r="C141" s="380" t="n">
        <x:v>5</x:v>
      </x:c>
      <x:c r="D141" s="380" t="str">
        <x:v>May</x:v>
      </x:c>
      <x:c r="E141" s="380" t="n">
        <x:v>15</x:v>
      </x:c>
      <x:c r="F141" s="380" t="n">
        <x:v>4</x:v>
      </x:c>
      <x:c r="G141" s="380" t="n">
        <x:f>--(F141&lt;='Estimator'!$B$7)</x:f>
        <x:v>1</x:v>
      </x:c>
      <x:c r="H141" s="381" t="n">
        <x:f>SUMIFS('Climate Data'!$G$7:$G$366,'Climate Data'!$A$7:$A$366,'Estimator'!$B$4,'Climate Data'!$B$7:$B$366,C141)</x:f>
        <x:v>0.41935483870967744</x:v>
      </x:c>
      <x:c r="I141" s="382" t="n">
        <x:f>SUMIFS('Climate Data'!$H$7:$H$366,'Climate Data'!$A$7:$A$366,'Estimator'!$B$4,'Climate Data'!$B$7:$B$366,C141)</x:f>
        <x:v>9.215384615384615</x:v>
      </x:c>
      <x:c r="J141" s="381" t="n">
        <x:f>SUMIFS('Wind Proxy'!$H$8:$H$19,'Wind Proxy'!$A$8:$A$19,'Estimator'!$B$4,'Wind Proxy'!$B$8:$B$19,C141)</x:f>
        <x:v>0.11350059737156513</x:v>
      </x:c>
    </x:row>
    <x:row r="142">
      <x:c r="A142" s="379" t="n">
        <x:v>45793</x:v>
      </x:c>
      <x:c r="B142" s="380" t="n">
        <x:v>2025</x:v>
      </x:c>
      <x:c r="C142" s="380" t="n">
        <x:v>5</x:v>
      </x:c>
      <x:c r="D142" s="380" t="str">
        <x:v>May</x:v>
      </x:c>
      <x:c r="E142" s="380" t="n">
        <x:v>16</x:v>
      </x:c>
      <x:c r="F142" s="380" t="n">
        <x:v>5</x:v>
      </x:c>
      <x:c r="G142" s="380" t="n">
        <x:f>--(F142&lt;='Estimator'!$B$7)</x:f>
        <x:v>1</x:v>
      </x:c>
      <x:c r="H142" s="381" t="n">
        <x:f>SUMIFS('Climate Data'!$G$7:$G$366,'Climate Data'!$A$7:$A$366,'Estimator'!$B$4,'Climate Data'!$B$7:$B$366,C142)</x:f>
        <x:v>0.41935483870967744</x:v>
      </x:c>
      <x:c r="I142" s="382" t="n">
        <x:f>SUMIFS('Climate Data'!$H$7:$H$366,'Climate Data'!$A$7:$A$366,'Estimator'!$B$4,'Climate Data'!$B$7:$B$366,C142)</x:f>
        <x:v>9.215384615384615</x:v>
      </x:c>
      <x:c r="J142" s="381" t="n">
        <x:f>SUMIFS('Wind Proxy'!$H$8:$H$19,'Wind Proxy'!$A$8:$A$19,'Estimator'!$B$4,'Wind Proxy'!$B$8:$B$19,C142)</x:f>
        <x:v>0.11350059737156513</x:v>
      </x:c>
    </x:row>
    <x:row r="143">
      <x:c r="A143" s="379" t="n">
        <x:v>45794</x:v>
      </x:c>
      <x:c r="B143" s="380" t="n">
        <x:v>2025</x:v>
      </x:c>
      <x:c r="C143" s="380" t="n">
        <x:v>5</x:v>
      </x:c>
      <x:c r="D143" s="380" t="str">
        <x:v>May</x:v>
      </x:c>
      <x:c r="E143" s="380" t="n">
        <x:v>17</x:v>
      </x:c>
      <x:c r="F143" s="380" t="n">
        <x:v>6</x:v>
      </x:c>
      <x:c r="G143" s="380" t="n">
        <x:f>--(F143&lt;='Estimator'!$B$7)</x:f>
        <x:v>0</x:v>
      </x:c>
      <x:c r="H143" s="381" t="n">
        <x:f>SUMIFS('Climate Data'!$G$7:$G$366,'Climate Data'!$A$7:$A$366,'Estimator'!$B$4,'Climate Data'!$B$7:$B$366,C143)</x:f>
        <x:v>0.41935483870967744</x:v>
      </x:c>
      <x:c r="I143" s="382" t="n">
        <x:f>SUMIFS('Climate Data'!$H$7:$H$366,'Climate Data'!$A$7:$A$366,'Estimator'!$B$4,'Climate Data'!$B$7:$B$366,C143)</x:f>
        <x:v>9.215384615384615</x:v>
      </x:c>
      <x:c r="J143" s="381" t="n">
        <x:f>SUMIFS('Wind Proxy'!$H$8:$H$19,'Wind Proxy'!$A$8:$A$19,'Estimator'!$B$4,'Wind Proxy'!$B$8:$B$19,C143)</x:f>
        <x:v>0.11350059737156513</x:v>
      </x:c>
    </x:row>
    <x:row r="144">
      <x:c r="A144" s="379" t="n">
        <x:v>45795</x:v>
      </x:c>
      <x:c r="B144" s="380" t="n">
        <x:v>2025</x:v>
      </x:c>
      <x:c r="C144" s="380" t="n">
        <x:v>5</x:v>
      </x:c>
      <x:c r="D144" s="380" t="str">
        <x:v>May</x:v>
      </x:c>
      <x:c r="E144" s="380" t="n">
        <x:v>18</x:v>
      </x:c>
      <x:c r="F144" s="380" t="n">
        <x:v>7</x:v>
      </x:c>
      <x:c r="G144" s="380" t="n">
        <x:f>--(F144&lt;='Estimator'!$B$7)</x:f>
        <x:v>0</x:v>
      </x:c>
      <x:c r="H144" s="381" t="n">
        <x:f>SUMIFS('Climate Data'!$G$7:$G$366,'Climate Data'!$A$7:$A$366,'Estimator'!$B$4,'Climate Data'!$B$7:$B$366,C144)</x:f>
        <x:v>0.41935483870967744</x:v>
      </x:c>
      <x:c r="I144" s="382" t="n">
        <x:f>SUMIFS('Climate Data'!$H$7:$H$366,'Climate Data'!$A$7:$A$366,'Estimator'!$B$4,'Climate Data'!$B$7:$B$366,C144)</x:f>
        <x:v>9.215384615384615</x:v>
      </x:c>
      <x:c r="J144" s="381" t="n">
        <x:f>SUMIFS('Wind Proxy'!$H$8:$H$19,'Wind Proxy'!$A$8:$A$19,'Estimator'!$B$4,'Wind Proxy'!$B$8:$B$19,C144)</x:f>
        <x:v>0.11350059737156513</x:v>
      </x:c>
    </x:row>
    <x:row r="145">
      <x:c r="A145" s="379" t="n">
        <x:v>45796</x:v>
      </x:c>
      <x:c r="B145" s="380" t="n">
        <x:v>2025</x:v>
      </x:c>
      <x:c r="C145" s="380" t="n">
        <x:v>5</x:v>
      </x:c>
      <x:c r="D145" s="380" t="str">
        <x:v>May</x:v>
      </x:c>
      <x:c r="E145" s="380" t="n">
        <x:v>19</x:v>
      </x:c>
      <x:c r="F145" s="380" t="n">
        <x:v>1</x:v>
      </x:c>
      <x:c r="G145" s="380" t="n">
        <x:f>--(F145&lt;='Estimator'!$B$7)</x:f>
        <x:v>1</x:v>
      </x:c>
      <x:c r="H145" s="381" t="n">
        <x:f>SUMIFS('Climate Data'!$G$7:$G$366,'Climate Data'!$A$7:$A$366,'Estimator'!$B$4,'Climate Data'!$B$7:$B$366,C145)</x:f>
        <x:v>0.41935483870967744</x:v>
      </x:c>
      <x:c r="I145" s="382" t="n">
        <x:f>SUMIFS('Climate Data'!$H$7:$H$366,'Climate Data'!$A$7:$A$366,'Estimator'!$B$4,'Climate Data'!$B$7:$B$366,C145)</x:f>
        <x:v>9.215384615384615</x:v>
      </x:c>
      <x:c r="J145" s="381" t="n">
        <x:f>SUMIFS('Wind Proxy'!$H$8:$H$19,'Wind Proxy'!$A$8:$A$19,'Estimator'!$B$4,'Wind Proxy'!$B$8:$B$19,C145)</x:f>
        <x:v>0.11350059737156513</x:v>
      </x:c>
    </x:row>
    <x:row r="146">
      <x:c r="A146" s="379" t="n">
        <x:v>45797</x:v>
      </x:c>
      <x:c r="B146" s="380" t="n">
        <x:v>2025</x:v>
      </x:c>
      <x:c r="C146" s="380" t="n">
        <x:v>5</x:v>
      </x:c>
      <x:c r="D146" s="380" t="str">
        <x:v>May</x:v>
      </x:c>
      <x:c r="E146" s="380" t="n">
        <x:v>20</x:v>
      </x:c>
      <x:c r="F146" s="380" t="n">
        <x:v>2</x:v>
      </x:c>
      <x:c r="G146" s="380" t="n">
        <x:f>--(F146&lt;='Estimator'!$B$7)</x:f>
        <x:v>1</x:v>
      </x:c>
      <x:c r="H146" s="381" t="n">
        <x:f>SUMIFS('Climate Data'!$G$7:$G$366,'Climate Data'!$A$7:$A$366,'Estimator'!$B$4,'Climate Data'!$B$7:$B$366,C146)</x:f>
        <x:v>0.41935483870967744</x:v>
      </x:c>
      <x:c r="I146" s="382" t="n">
        <x:f>SUMIFS('Climate Data'!$H$7:$H$366,'Climate Data'!$A$7:$A$366,'Estimator'!$B$4,'Climate Data'!$B$7:$B$366,C146)</x:f>
        <x:v>9.215384615384615</x:v>
      </x:c>
      <x:c r="J146" s="381" t="n">
        <x:f>SUMIFS('Wind Proxy'!$H$8:$H$19,'Wind Proxy'!$A$8:$A$19,'Estimator'!$B$4,'Wind Proxy'!$B$8:$B$19,C146)</x:f>
        <x:v>0.11350059737156513</x:v>
      </x:c>
    </x:row>
    <x:row r="147">
      <x:c r="A147" s="379" t="n">
        <x:v>45798</x:v>
      </x:c>
      <x:c r="B147" s="380" t="n">
        <x:v>2025</x:v>
      </x:c>
      <x:c r="C147" s="380" t="n">
        <x:v>5</x:v>
      </x:c>
      <x:c r="D147" s="380" t="str">
        <x:v>May</x:v>
      </x:c>
      <x:c r="E147" s="380" t="n">
        <x:v>21</x:v>
      </x:c>
      <x:c r="F147" s="380" t="n">
        <x:v>3</x:v>
      </x:c>
      <x:c r="G147" s="380" t="n">
        <x:f>--(F147&lt;='Estimator'!$B$7)</x:f>
        <x:v>1</x:v>
      </x:c>
      <x:c r="H147" s="381" t="n">
        <x:f>SUMIFS('Climate Data'!$G$7:$G$366,'Climate Data'!$A$7:$A$366,'Estimator'!$B$4,'Climate Data'!$B$7:$B$366,C147)</x:f>
        <x:v>0.41935483870967744</x:v>
      </x:c>
      <x:c r="I147" s="382" t="n">
        <x:f>SUMIFS('Climate Data'!$H$7:$H$366,'Climate Data'!$A$7:$A$366,'Estimator'!$B$4,'Climate Data'!$B$7:$B$366,C147)</x:f>
        <x:v>9.215384615384615</x:v>
      </x:c>
      <x:c r="J147" s="381" t="n">
        <x:f>SUMIFS('Wind Proxy'!$H$8:$H$19,'Wind Proxy'!$A$8:$A$19,'Estimator'!$B$4,'Wind Proxy'!$B$8:$B$19,C147)</x:f>
        <x:v>0.11350059737156513</x:v>
      </x:c>
    </x:row>
    <x:row r="148">
      <x:c r="A148" s="379" t="n">
        <x:v>45799</x:v>
      </x:c>
      <x:c r="B148" s="380" t="n">
        <x:v>2025</x:v>
      </x:c>
      <x:c r="C148" s="380" t="n">
        <x:v>5</x:v>
      </x:c>
      <x:c r="D148" s="380" t="str">
        <x:v>May</x:v>
      </x:c>
      <x:c r="E148" s="380" t="n">
        <x:v>22</x:v>
      </x:c>
      <x:c r="F148" s="380" t="n">
        <x:v>4</x:v>
      </x:c>
      <x:c r="G148" s="380" t="n">
        <x:f>--(F148&lt;='Estimator'!$B$7)</x:f>
        <x:v>1</x:v>
      </x:c>
      <x:c r="H148" s="381" t="n">
        <x:f>SUMIFS('Climate Data'!$G$7:$G$366,'Climate Data'!$A$7:$A$366,'Estimator'!$B$4,'Climate Data'!$B$7:$B$366,C148)</x:f>
        <x:v>0.41935483870967744</x:v>
      </x:c>
      <x:c r="I148" s="382" t="n">
        <x:f>SUMIFS('Climate Data'!$H$7:$H$366,'Climate Data'!$A$7:$A$366,'Estimator'!$B$4,'Climate Data'!$B$7:$B$366,C148)</x:f>
        <x:v>9.215384615384615</x:v>
      </x:c>
      <x:c r="J148" s="381" t="n">
        <x:f>SUMIFS('Wind Proxy'!$H$8:$H$19,'Wind Proxy'!$A$8:$A$19,'Estimator'!$B$4,'Wind Proxy'!$B$8:$B$19,C148)</x:f>
        <x:v>0.11350059737156513</x:v>
      </x:c>
    </x:row>
    <x:row r="149">
      <x:c r="A149" s="379" t="n">
        <x:v>45800</x:v>
      </x:c>
      <x:c r="B149" s="380" t="n">
        <x:v>2025</x:v>
      </x:c>
      <x:c r="C149" s="380" t="n">
        <x:v>5</x:v>
      </x:c>
      <x:c r="D149" s="380" t="str">
        <x:v>May</x:v>
      </x:c>
      <x:c r="E149" s="380" t="n">
        <x:v>23</x:v>
      </x:c>
      <x:c r="F149" s="380" t="n">
        <x:v>5</x:v>
      </x:c>
      <x:c r="G149" s="380" t="n">
        <x:f>--(F149&lt;='Estimator'!$B$7)</x:f>
        <x:v>1</x:v>
      </x:c>
      <x:c r="H149" s="381" t="n">
        <x:f>SUMIFS('Climate Data'!$G$7:$G$366,'Climate Data'!$A$7:$A$366,'Estimator'!$B$4,'Climate Data'!$B$7:$B$366,C149)</x:f>
        <x:v>0.41935483870967744</x:v>
      </x:c>
      <x:c r="I149" s="382" t="n">
        <x:f>SUMIFS('Climate Data'!$H$7:$H$366,'Climate Data'!$A$7:$A$366,'Estimator'!$B$4,'Climate Data'!$B$7:$B$366,C149)</x:f>
        <x:v>9.215384615384615</x:v>
      </x:c>
      <x:c r="J149" s="381" t="n">
        <x:f>SUMIFS('Wind Proxy'!$H$8:$H$19,'Wind Proxy'!$A$8:$A$19,'Estimator'!$B$4,'Wind Proxy'!$B$8:$B$19,C149)</x:f>
        <x:v>0.11350059737156513</x:v>
      </x:c>
    </x:row>
    <x:row r="150">
      <x:c r="A150" s="379" t="n">
        <x:v>45801</x:v>
      </x:c>
      <x:c r="B150" s="380" t="n">
        <x:v>2025</x:v>
      </x:c>
      <x:c r="C150" s="380" t="n">
        <x:v>5</x:v>
      </x:c>
      <x:c r="D150" s="380" t="str">
        <x:v>May</x:v>
      </x:c>
      <x:c r="E150" s="380" t="n">
        <x:v>24</x:v>
      </x:c>
      <x:c r="F150" s="380" t="n">
        <x:v>6</x:v>
      </x:c>
      <x:c r="G150" s="380" t="n">
        <x:f>--(F150&lt;='Estimator'!$B$7)</x:f>
        <x:v>0</x:v>
      </x:c>
      <x:c r="H150" s="381" t="n">
        <x:f>SUMIFS('Climate Data'!$G$7:$G$366,'Climate Data'!$A$7:$A$366,'Estimator'!$B$4,'Climate Data'!$B$7:$B$366,C150)</x:f>
        <x:v>0.41935483870967744</x:v>
      </x:c>
      <x:c r="I150" s="382" t="n">
        <x:f>SUMIFS('Climate Data'!$H$7:$H$366,'Climate Data'!$A$7:$A$366,'Estimator'!$B$4,'Climate Data'!$B$7:$B$366,C150)</x:f>
        <x:v>9.215384615384615</x:v>
      </x:c>
      <x:c r="J150" s="381" t="n">
        <x:f>SUMIFS('Wind Proxy'!$H$8:$H$19,'Wind Proxy'!$A$8:$A$19,'Estimator'!$B$4,'Wind Proxy'!$B$8:$B$19,C150)</x:f>
        <x:v>0.11350059737156513</x:v>
      </x:c>
    </x:row>
    <x:row r="151">
      <x:c r="A151" s="379" t="n">
        <x:v>45802</x:v>
      </x:c>
      <x:c r="B151" s="380" t="n">
        <x:v>2025</x:v>
      </x:c>
      <x:c r="C151" s="380" t="n">
        <x:v>5</x:v>
      </x:c>
      <x:c r="D151" s="380" t="str">
        <x:v>May</x:v>
      </x:c>
      <x:c r="E151" s="380" t="n">
        <x:v>25</x:v>
      </x:c>
      <x:c r="F151" s="380" t="n">
        <x:v>7</x:v>
      </x:c>
      <x:c r="G151" s="380" t="n">
        <x:f>--(F151&lt;='Estimator'!$B$7)</x:f>
        <x:v>0</x:v>
      </x:c>
      <x:c r="H151" s="381" t="n">
        <x:f>SUMIFS('Climate Data'!$G$7:$G$366,'Climate Data'!$A$7:$A$366,'Estimator'!$B$4,'Climate Data'!$B$7:$B$366,C151)</x:f>
        <x:v>0.41935483870967744</x:v>
      </x:c>
      <x:c r="I151" s="382" t="n">
        <x:f>SUMIFS('Climate Data'!$H$7:$H$366,'Climate Data'!$A$7:$A$366,'Estimator'!$B$4,'Climate Data'!$B$7:$B$366,C151)</x:f>
        <x:v>9.215384615384615</x:v>
      </x:c>
      <x:c r="J151" s="381" t="n">
        <x:f>SUMIFS('Wind Proxy'!$H$8:$H$19,'Wind Proxy'!$A$8:$A$19,'Estimator'!$B$4,'Wind Proxy'!$B$8:$B$19,C151)</x:f>
        <x:v>0.11350059737156513</x:v>
      </x:c>
    </x:row>
    <x:row r="152">
      <x:c r="A152" s="379" t="n">
        <x:v>45803</x:v>
      </x:c>
      <x:c r="B152" s="380" t="n">
        <x:v>2025</x:v>
      </x:c>
      <x:c r="C152" s="380" t="n">
        <x:v>5</x:v>
      </x:c>
      <x:c r="D152" s="380" t="str">
        <x:v>May</x:v>
      </x:c>
      <x:c r="E152" s="380" t="n">
        <x:v>26</x:v>
      </x:c>
      <x:c r="F152" s="380" t="n">
        <x:v>1</x:v>
      </x:c>
      <x:c r="G152" s="380" t="n">
        <x:f>--(F152&lt;='Estimator'!$B$7)</x:f>
        <x:v>1</x:v>
      </x:c>
      <x:c r="H152" s="381" t="n">
        <x:f>SUMIFS('Climate Data'!$G$7:$G$366,'Climate Data'!$A$7:$A$366,'Estimator'!$B$4,'Climate Data'!$B$7:$B$366,C152)</x:f>
        <x:v>0.41935483870967744</x:v>
      </x:c>
      <x:c r="I152" s="382" t="n">
        <x:f>SUMIFS('Climate Data'!$H$7:$H$366,'Climate Data'!$A$7:$A$366,'Estimator'!$B$4,'Climate Data'!$B$7:$B$366,C152)</x:f>
        <x:v>9.215384615384615</x:v>
      </x:c>
      <x:c r="J152" s="381" t="n">
        <x:f>SUMIFS('Wind Proxy'!$H$8:$H$19,'Wind Proxy'!$A$8:$A$19,'Estimator'!$B$4,'Wind Proxy'!$B$8:$B$19,C152)</x:f>
        <x:v>0.11350059737156513</x:v>
      </x:c>
    </x:row>
    <x:row r="153">
      <x:c r="A153" s="379" t="n">
        <x:v>45804</x:v>
      </x:c>
      <x:c r="B153" s="380" t="n">
        <x:v>2025</x:v>
      </x:c>
      <x:c r="C153" s="380" t="n">
        <x:v>5</x:v>
      </x:c>
      <x:c r="D153" s="380" t="str">
        <x:v>May</x:v>
      </x:c>
      <x:c r="E153" s="380" t="n">
        <x:v>27</x:v>
      </x:c>
      <x:c r="F153" s="380" t="n">
        <x:v>2</x:v>
      </x:c>
      <x:c r="G153" s="380" t="n">
        <x:f>--(F153&lt;='Estimator'!$B$7)</x:f>
        <x:v>1</x:v>
      </x:c>
      <x:c r="H153" s="381" t="n">
        <x:f>SUMIFS('Climate Data'!$G$7:$G$366,'Climate Data'!$A$7:$A$366,'Estimator'!$B$4,'Climate Data'!$B$7:$B$366,C153)</x:f>
        <x:v>0.41935483870967744</x:v>
      </x:c>
      <x:c r="I153" s="382" t="n">
        <x:f>SUMIFS('Climate Data'!$H$7:$H$366,'Climate Data'!$A$7:$A$366,'Estimator'!$B$4,'Climate Data'!$B$7:$B$366,C153)</x:f>
        <x:v>9.215384615384615</x:v>
      </x:c>
      <x:c r="J153" s="381" t="n">
        <x:f>SUMIFS('Wind Proxy'!$H$8:$H$19,'Wind Proxy'!$A$8:$A$19,'Estimator'!$B$4,'Wind Proxy'!$B$8:$B$19,C153)</x:f>
        <x:v>0.11350059737156513</x:v>
      </x:c>
    </x:row>
    <x:row r="154">
      <x:c r="A154" s="379" t="n">
        <x:v>45805</x:v>
      </x:c>
      <x:c r="B154" s="380" t="n">
        <x:v>2025</x:v>
      </x:c>
      <x:c r="C154" s="380" t="n">
        <x:v>5</x:v>
      </x:c>
      <x:c r="D154" s="380" t="str">
        <x:v>May</x:v>
      </x:c>
      <x:c r="E154" s="380" t="n">
        <x:v>28</x:v>
      </x:c>
      <x:c r="F154" s="380" t="n">
        <x:v>3</x:v>
      </x:c>
      <x:c r="G154" s="380" t="n">
        <x:f>--(F154&lt;='Estimator'!$B$7)</x:f>
        <x:v>1</x:v>
      </x:c>
      <x:c r="H154" s="381" t="n">
        <x:f>SUMIFS('Climate Data'!$G$7:$G$366,'Climate Data'!$A$7:$A$366,'Estimator'!$B$4,'Climate Data'!$B$7:$B$366,C154)</x:f>
        <x:v>0.41935483870967744</x:v>
      </x:c>
      <x:c r="I154" s="382" t="n">
        <x:f>SUMIFS('Climate Data'!$H$7:$H$366,'Climate Data'!$A$7:$A$366,'Estimator'!$B$4,'Climate Data'!$B$7:$B$366,C154)</x:f>
        <x:v>9.215384615384615</x:v>
      </x:c>
      <x:c r="J154" s="381" t="n">
        <x:f>SUMIFS('Wind Proxy'!$H$8:$H$19,'Wind Proxy'!$A$8:$A$19,'Estimator'!$B$4,'Wind Proxy'!$B$8:$B$19,C154)</x:f>
        <x:v>0.11350059737156513</x:v>
      </x:c>
    </x:row>
    <x:row r="155">
      <x:c r="A155" s="379" t="n">
        <x:v>45806</x:v>
      </x:c>
      <x:c r="B155" s="380" t="n">
        <x:v>2025</x:v>
      </x:c>
      <x:c r="C155" s="380" t="n">
        <x:v>5</x:v>
      </x:c>
      <x:c r="D155" s="380" t="str">
        <x:v>May</x:v>
      </x:c>
      <x:c r="E155" s="380" t="n">
        <x:v>29</x:v>
      </x:c>
      <x:c r="F155" s="380" t="n">
        <x:v>4</x:v>
      </x:c>
      <x:c r="G155" s="380" t="n">
        <x:f>--(F155&lt;='Estimator'!$B$7)</x:f>
        <x:v>1</x:v>
      </x:c>
      <x:c r="H155" s="381" t="n">
        <x:f>SUMIFS('Climate Data'!$G$7:$G$366,'Climate Data'!$A$7:$A$366,'Estimator'!$B$4,'Climate Data'!$B$7:$B$366,C155)</x:f>
        <x:v>0.41935483870967744</x:v>
      </x:c>
      <x:c r="I155" s="382" t="n">
        <x:f>SUMIFS('Climate Data'!$H$7:$H$366,'Climate Data'!$A$7:$A$366,'Estimator'!$B$4,'Climate Data'!$B$7:$B$366,C155)</x:f>
        <x:v>9.215384615384615</x:v>
      </x:c>
      <x:c r="J155" s="381" t="n">
        <x:f>SUMIFS('Wind Proxy'!$H$8:$H$19,'Wind Proxy'!$A$8:$A$19,'Estimator'!$B$4,'Wind Proxy'!$B$8:$B$19,C155)</x:f>
        <x:v>0.11350059737156513</x:v>
      </x:c>
    </x:row>
    <x:row r="156">
      <x:c r="A156" s="379" t="n">
        <x:v>45807</x:v>
      </x:c>
      <x:c r="B156" s="380" t="n">
        <x:v>2025</x:v>
      </x:c>
      <x:c r="C156" s="380" t="n">
        <x:v>5</x:v>
      </x:c>
      <x:c r="D156" s="380" t="str">
        <x:v>May</x:v>
      </x:c>
      <x:c r="E156" s="380" t="n">
        <x:v>30</x:v>
      </x:c>
      <x:c r="F156" s="380" t="n">
        <x:v>5</x:v>
      </x:c>
      <x:c r="G156" s="380" t="n">
        <x:f>--(F156&lt;='Estimator'!$B$7)</x:f>
        <x:v>1</x:v>
      </x:c>
      <x:c r="H156" s="381" t="n">
        <x:f>SUMIFS('Climate Data'!$G$7:$G$366,'Climate Data'!$A$7:$A$366,'Estimator'!$B$4,'Climate Data'!$B$7:$B$366,C156)</x:f>
        <x:v>0.41935483870967744</x:v>
      </x:c>
      <x:c r="I156" s="382" t="n">
        <x:f>SUMIFS('Climate Data'!$H$7:$H$366,'Climate Data'!$A$7:$A$366,'Estimator'!$B$4,'Climate Data'!$B$7:$B$366,C156)</x:f>
        <x:v>9.215384615384615</x:v>
      </x:c>
      <x:c r="J156" s="381" t="n">
        <x:f>SUMIFS('Wind Proxy'!$H$8:$H$19,'Wind Proxy'!$A$8:$A$19,'Estimator'!$B$4,'Wind Proxy'!$B$8:$B$19,C156)</x:f>
        <x:v>0.11350059737156513</x:v>
      </x:c>
    </x:row>
    <x:row r="157">
      <x:c r="A157" s="379" t="n">
        <x:v>45808</x:v>
      </x:c>
      <x:c r="B157" s="380" t="n">
        <x:v>2025</x:v>
      </x:c>
      <x:c r="C157" s="380" t="n">
        <x:v>5</x:v>
      </x:c>
      <x:c r="D157" s="380" t="str">
        <x:v>May</x:v>
      </x:c>
      <x:c r="E157" s="380" t="n">
        <x:v>31</x:v>
      </x:c>
      <x:c r="F157" s="380" t="n">
        <x:v>6</x:v>
      </x:c>
      <x:c r="G157" s="380" t="n">
        <x:f>--(F157&lt;='Estimator'!$B$7)</x:f>
        <x:v>0</x:v>
      </x:c>
      <x:c r="H157" s="381" t="n">
        <x:f>SUMIFS('Climate Data'!$G$7:$G$366,'Climate Data'!$A$7:$A$366,'Estimator'!$B$4,'Climate Data'!$B$7:$B$366,C157)</x:f>
        <x:v>0.41935483870967744</x:v>
      </x:c>
      <x:c r="I157" s="382" t="n">
        <x:f>SUMIFS('Climate Data'!$H$7:$H$366,'Climate Data'!$A$7:$A$366,'Estimator'!$B$4,'Climate Data'!$B$7:$B$366,C157)</x:f>
        <x:v>9.215384615384615</x:v>
      </x:c>
      <x:c r="J157" s="381" t="n">
        <x:f>SUMIFS('Wind Proxy'!$H$8:$H$19,'Wind Proxy'!$A$8:$A$19,'Estimator'!$B$4,'Wind Proxy'!$B$8:$B$19,C157)</x:f>
        <x:v>0.11350059737156513</x:v>
      </x:c>
    </x:row>
    <x:row r="158">
      <x:c r="A158" s="379" t="n">
        <x:v>45809</x:v>
      </x:c>
      <x:c r="B158" s="380" t="n">
        <x:v>2025</x:v>
      </x:c>
      <x:c r="C158" s="380" t="n">
        <x:v>6</x:v>
      </x:c>
      <x:c r="D158" s="380" t="str">
        <x:v>Jun</x:v>
      </x:c>
      <x:c r="E158" s="380" t="n">
        <x:v>1</x:v>
      </x:c>
      <x:c r="F158" s="380" t="n">
        <x:v>7</x:v>
      </x:c>
      <x:c r="G158" s="380" t="n">
        <x:f>--(F158&lt;='Estimator'!$B$7)</x:f>
        <x:v>0</x:v>
      </x:c>
      <x:c r="H158" s="381" t="n">
        <x:f>SUMIFS('Climate Data'!$G$7:$G$366,'Climate Data'!$A$7:$A$366,'Estimator'!$B$4,'Climate Data'!$B$7:$B$366,C158)</x:f>
        <x:v>0.475</x:v>
      </x:c>
      <x:c r="I158" s="382" t="n">
        <x:f>SUMIFS('Climate Data'!$H$7:$H$366,'Climate Data'!$A$7:$A$366,'Estimator'!$B$4,'Climate Data'!$B$7:$B$366,C158)</x:f>
        <x:v>8.378947368421054</x:v>
      </x:c>
      <x:c r="J158" s="381" t="n">
        <x:f>SUMIFS('Wind Proxy'!$H$8:$H$19,'Wind Proxy'!$A$8:$A$19,'Estimator'!$B$4,'Wind Proxy'!$B$8:$B$19,C158)</x:f>
        <x:v>0.14197530864197533</x:v>
      </x:c>
    </x:row>
    <x:row r="159">
      <x:c r="A159" s="379" t="n">
        <x:v>45810</x:v>
      </x:c>
      <x:c r="B159" s="380" t="n">
        <x:v>2025</x:v>
      </x:c>
      <x:c r="C159" s="380" t="n">
        <x:v>6</x:v>
      </x:c>
      <x:c r="D159" s="380" t="str">
        <x:v>Jun</x:v>
      </x:c>
      <x:c r="E159" s="380" t="n">
        <x:v>2</x:v>
      </x:c>
      <x:c r="F159" s="380" t="n">
        <x:v>1</x:v>
      </x:c>
      <x:c r="G159" s="380" t="n">
        <x:f>--(F159&lt;='Estimator'!$B$7)</x:f>
        <x:v>1</x:v>
      </x:c>
      <x:c r="H159" s="381" t="n">
        <x:f>SUMIFS('Climate Data'!$G$7:$G$366,'Climate Data'!$A$7:$A$366,'Estimator'!$B$4,'Climate Data'!$B$7:$B$366,C159)</x:f>
        <x:v>0.475</x:v>
      </x:c>
      <x:c r="I159" s="382" t="n">
        <x:f>SUMIFS('Climate Data'!$H$7:$H$366,'Climate Data'!$A$7:$A$366,'Estimator'!$B$4,'Climate Data'!$B$7:$B$366,C159)</x:f>
        <x:v>8.378947368421054</x:v>
      </x:c>
      <x:c r="J159" s="381" t="n">
        <x:f>SUMIFS('Wind Proxy'!$H$8:$H$19,'Wind Proxy'!$A$8:$A$19,'Estimator'!$B$4,'Wind Proxy'!$B$8:$B$19,C159)</x:f>
        <x:v>0.14197530864197533</x:v>
      </x:c>
    </x:row>
    <x:row r="160">
      <x:c r="A160" s="379" t="n">
        <x:v>45811</x:v>
      </x:c>
      <x:c r="B160" s="380" t="n">
        <x:v>2025</x:v>
      </x:c>
      <x:c r="C160" s="380" t="n">
        <x:v>6</x:v>
      </x:c>
      <x:c r="D160" s="380" t="str">
        <x:v>Jun</x:v>
      </x:c>
      <x:c r="E160" s="380" t="n">
        <x:v>3</x:v>
      </x:c>
      <x:c r="F160" s="380" t="n">
        <x:v>2</x:v>
      </x:c>
      <x:c r="G160" s="380" t="n">
        <x:f>--(F160&lt;='Estimator'!$B$7)</x:f>
        <x:v>1</x:v>
      </x:c>
      <x:c r="H160" s="381" t="n">
        <x:f>SUMIFS('Climate Data'!$G$7:$G$366,'Climate Data'!$A$7:$A$366,'Estimator'!$B$4,'Climate Data'!$B$7:$B$366,C160)</x:f>
        <x:v>0.475</x:v>
      </x:c>
      <x:c r="I160" s="382" t="n">
        <x:f>SUMIFS('Climate Data'!$H$7:$H$366,'Climate Data'!$A$7:$A$366,'Estimator'!$B$4,'Climate Data'!$B$7:$B$366,C160)</x:f>
        <x:v>8.378947368421054</x:v>
      </x:c>
      <x:c r="J160" s="381" t="n">
        <x:f>SUMIFS('Wind Proxy'!$H$8:$H$19,'Wind Proxy'!$A$8:$A$19,'Estimator'!$B$4,'Wind Proxy'!$B$8:$B$19,C160)</x:f>
        <x:v>0.14197530864197533</x:v>
      </x:c>
    </x:row>
    <x:row r="161">
      <x:c r="A161" s="379" t="n">
        <x:v>45812</x:v>
      </x:c>
      <x:c r="B161" s="380" t="n">
        <x:v>2025</x:v>
      </x:c>
      <x:c r="C161" s="380" t="n">
        <x:v>6</x:v>
      </x:c>
      <x:c r="D161" s="380" t="str">
        <x:v>Jun</x:v>
      </x:c>
      <x:c r="E161" s="380" t="n">
        <x:v>4</x:v>
      </x:c>
      <x:c r="F161" s="380" t="n">
        <x:v>3</x:v>
      </x:c>
      <x:c r="G161" s="380" t="n">
        <x:f>--(F161&lt;='Estimator'!$B$7)</x:f>
        <x:v>1</x:v>
      </x:c>
      <x:c r="H161" s="381" t="n">
        <x:f>SUMIFS('Climate Data'!$G$7:$G$366,'Climate Data'!$A$7:$A$366,'Estimator'!$B$4,'Climate Data'!$B$7:$B$366,C161)</x:f>
        <x:v>0.475</x:v>
      </x:c>
      <x:c r="I161" s="382" t="n">
        <x:f>SUMIFS('Climate Data'!$H$7:$H$366,'Climate Data'!$A$7:$A$366,'Estimator'!$B$4,'Climate Data'!$B$7:$B$366,C161)</x:f>
        <x:v>8.378947368421054</x:v>
      </x:c>
      <x:c r="J161" s="381" t="n">
        <x:f>SUMIFS('Wind Proxy'!$H$8:$H$19,'Wind Proxy'!$A$8:$A$19,'Estimator'!$B$4,'Wind Proxy'!$B$8:$B$19,C161)</x:f>
        <x:v>0.14197530864197533</x:v>
      </x:c>
    </x:row>
    <x:row r="162">
      <x:c r="A162" s="379" t="n">
        <x:v>45813</x:v>
      </x:c>
      <x:c r="B162" s="380" t="n">
        <x:v>2025</x:v>
      </x:c>
      <x:c r="C162" s="380" t="n">
        <x:v>6</x:v>
      </x:c>
      <x:c r="D162" s="380" t="str">
        <x:v>Jun</x:v>
      </x:c>
      <x:c r="E162" s="380" t="n">
        <x:v>5</x:v>
      </x:c>
      <x:c r="F162" s="380" t="n">
        <x:v>4</x:v>
      </x:c>
      <x:c r="G162" s="380" t="n">
        <x:f>--(F162&lt;='Estimator'!$B$7)</x:f>
        <x:v>1</x:v>
      </x:c>
      <x:c r="H162" s="381" t="n">
        <x:f>SUMIFS('Climate Data'!$G$7:$G$366,'Climate Data'!$A$7:$A$366,'Estimator'!$B$4,'Climate Data'!$B$7:$B$366,C162)</x:f>
        <x:v>0.475</x:v>
      </x:c>
      <x:c r="I162" s="382" t="n">
        <x:f>SUMIFS('Climate Data'!$H$7:$H$366,'Climate Data'!$A$7:$A$366,'Estimator'!$B$4,'Climate Data'!$B$7:$B$366,C162)</x:f>
        <x:v>8.378947368421054</x:v>
      </x:c>
      <x:c r="J162" s="381" t="n">
        <x:f>SUMIFS('Wind Proxy'!$H$8:$H$19,'Wind Proxy'!$A$8:$A$19,'Estimator'!$B$4,'Wind Proxy'!$B$8:$B$19,C162)</x:f>
        <x:v>0.14197530864197533</x:v>
      </x:c>
    </x:row>
    <x:row r="163">
      <x:c r="A163" s="379" t="n">
        <x:v>45814</x:v>
      </x:c>
      <x:c r="B163" s="380" t="n">
        <x:v>2025</x:v>
      </x:c>
      <x:c r="C163" s="380" t="n">
        <x:v>6</x:v>
      </x:c>
      <x:c r="D163" s="380" t="str">
        <x:v>Jun</x:v>
      </x:c>
      <x:c r="E163" s="380" t="n">
        <x:v>6</x:v>
      </x:c>
      <x:c r="F163" s="380" t="n">
        <x:v>5</x:v>
      </x:c>
      <x:c r="G163" s="380" t="n">
        <x:f>--(F163&lt;='Estimator'!$B$7)</x:f>
        <x:v>1</x:v>
      </x:c>
      <x:c r="H163" s="381" t="n">
        <x:f>SUMIFS('Climate Data'!$G$7:$G$366,'Climate Data'!$A$7:$A$366,'Estimator'!$B$4,'Climate Data'!$B$7:$B$366,C163)</x:f>
        <x:v>0.475</x:v>
      </x:c>
      <x:c r="I163" s="382" t="n">
        <x:f>SUMIFS('Climate Data'!$H$7:$H$366,'Climate Data'!$A$7:$A$366,'Estimator'!$B$4,'Climate Data'!$B$7:$B$366,C163)</x:f>
        <x:v>8.378947368421054</x:v>
      </x:c>
      <x:c r="J163" s="381" t="n">
        <x:f>SUMIFS('Wind Proxy'!$H$8:$H$19,'Wind Proxy'!$A$8:$A$19,'Estimator'!$B$4,'Wind Proxy'!$B$8:$B$19,C163)</x:f>
        <x:v>0.14197530864197533</x:v>
      </x:c>
    </x:row>
    <x:row r="164">
      <x:c r="A164" s="379" t="n">
        <x:v>45815</x:v>
      </x:c>
      <x:c r="B164" s="380" t="n">
        <x:v>2025</x:v>
      </x:c>
      <x:c r="C164" s="380" t="n">
        <x:v>6</x:v>
      </x:c>
      <x:c r="D164" s="380" t="str">
        <x:v>Jun</x:v>
      </x:c>
      <x:c r="E164" s="380" t="n">
        <x:v>7</x:v>
      </x:c>
      <x:c r="F164" s="380" t="n">
        <x:v>6</x:v>
      </x:c>
      <x:c r="G164" s="380" t="n">
        <x:f>--(F164&lt;='Estimator'!$B$7)</x:f>
        <x:v>0</x:v>
      </x:c>
      <x:c r="H164" s="381" t="n">
        <x:f>SUMIFS('Climate Data'!$G$7:$G$366,'Climate Data'!$A$7:$A$366,'Estimator'!$B$4,'Climate Data'!$B$7:$B$366,C164)</x:f>
        <x:v>0.475</x:v>
      </x:c>
      <x:c r="I164" s="382" t="n">
        <x:f>SUMIFS('Climate Data'!$H$7:$H$366,'Climate Data'!$A$7:$A$366,'Estimator'!$B$4,'Climate Data'!$B$7:$B$366,C164)</x:f>
        <x:v>8.378947368421054</x:v>
      </x:c>
      <x:c r="J164" s="381" t="n">
        <x:f>SUMIFS('Wind Proxy'!$H$8:$H$19,'Wind Proxy'!$A$8:$A$19,'Estimator'!$B$4,'Wind Proxy'!$B$8:$B$19,C164)</x:f>
        <x:v>0.14197530864197533</x:v>
      </x:c>
    </x:row>
    <x:row r="165">
      <x:c r="A165" s="379" t="n">
        <x:v>45816</x:v>
      </x:c>
      <x:c r="B165" s="380" t="n">
        <x:v>2025</x:v>
      </x:c>
      <x:c r="C165" s="380" t="n">
        <x:v>6</x:v>
      </x:c>
      <x:c r="D165" s="380" t="str">
        <x:v>Jun</x:v>
      </x:c>
      <x:c r="E165" s="380" t="n">
        <x:v>8</x:v>
      </x:c>
      <x:c r="F165" s="380" t="n">
        <x:v>7</x:v>
      </x:c>
      <x:c r="G165" s="380" t="n">
        <x:f>--(F165&lt;='Estimator'!$B$7)</x:f>
        <x:v>0</x:v>
      </x:c>
      <x:c r="H165" s="381" t="n">
        <x:f>SUMIFS('Climate Data'!$G$7:$G$366,'Climate Data'!$A$7:$A$366,'Estimator'!$B$4,'Climate Data'!$B$7:$B$366,C165)</x:f>
        <x:v>0.475</x:v>
      </x:c>
      <x:c r="I165" s="382" t="n">
        <x:f>SUMIFS('Climate Data'!$H$7:$H$366,'Climate Data'!$A$7:$A$366,'Estimator'!$B$4,'Climate Data'!$B$7:$B$366,C165)</x:f>
        <x:v>8.378947368421054</x:v>
      </x:c>
      <x:c r="J165" s="381" t="n">
        <x:f>SUMIFS('Wind Proxy'!$H$8:$H$19,'Wind Proxy'!$A$8:$A$19,'Estimator'!$B$4,'Wind Proxy'!$B$8:$B$19,C165)</x:f>
        <x:v>0.14197530864197533</x:v>
      </x:c>
    </x:row>
    <x:row r="166">
      <x:c r="A166" s="379" t="n">
        <x:v>45817</x:v>
      </x:c>
      <x:c r="B166" s="380" t="n">
        <x:v>2025</x:v>
      </x:c>
      <x:c r="C166" s="380" t="n">
        <x:v>6</x:v>
      </x:c>
      <x:c r="D166" s="380" t="str">
        <x:v>Jun</x:v>
      </x:c>
      <x:c r="E166" s="380" t="n">
        <x:v>9</x:v>
      </x:c>
      <x:c r="F166" s="380" t="n">
        <x:v>1</x:v>
      </x:c>
      <x:c r="G166" s="380" t="n">
        <x:f>--(F166&lt;='Estimator'!$B$7)</x:f>
        <x:v>1</x:v>
      </x:c>
      <x:c r="H166" s="381" t="n">
        <x:f>SUMIFS('Climate Data'!$G$7:$G$366,'Climate Data'!$A$7:$A$366,'Estimator'!$B$4,'Climate Data'!$B$7:$B$366,C166)</x:f>
        <x:v>0.475</x:v>
      </x:c>
      <x:c r="I166" s="382" t="n">
        <x:f>SUMIFS('Climate Data'!$H$7:$H$366,'Climate Data'!$A$7:$A$366,'Estimator'!$B$4,'Climate Data'!$B$7:$B$366,C166)</x:f>
        <x:v>8.378947368421054</x:v>
      </x:c>
      <x:c r="J166" s="381" t="n">
        <x:f>SUMIFS('Wind Proxy'!$H$8:$H$19,'Wind Proxy'!$A$8:$A$19,'Estimator'!$B$4,'Wind Proxy'!$B$8:$B$19,C166)</x:f>
        <x:v>0.14197530864197533</x:v>
      </x:c>
    </x:row>
    <x:row r="167">
      <x:c r="A167" s="379" t="n">
        <x:v>45818</x:v>
      </x:c>
      <x:c r="B167" s="380" t="n">
        <x:v>2025</x:v>
      </x:c>
      <x:c r="C167" s="380" t="n">
        <x:v>6</x:v>
      </x:c>
      <x:c r="D167" s="380" t="str">
        <x:v>Jun</x:v>
      </x:c>
      <x:c r="E167" s="380" t="n">
        <x:v>10</x:v>
      </x:c>
      <x:c r="F167" s="380" t="n">
        <x:v>2</x:v>
      </x:c>
      <x:c r="G167" s="380" t="n">
        <x:f>--(F167&lt;='Estimator'!$B$7)</x:f>
        <x:v>1</x:v>
      </x:c>
      <x:c r="H167" s="381" t="n">
        <x:f>SUMIFS('Climate Data'!$G$7:$G$366,'Climate Data'!$A$7:$A$366,'Estimator'!$B$4,'Climate Data'!$B$7:$B$366,C167)</x:f>
        <x:v>0.475</x:v>
      </x:c>
      <x:c r="I167" s="382" t="n">
        <x:f>SUMIFS('Climate Data'!$H$7:$H$366,'Climate Data'!$A$7:$A$366,'Estimator'!$B$4,'Climate Data'!$B$7:$B$366,C167)</x:f>
        <x:v>8.378947368421054</x:v>
      </x:c>
      <x:c r="J167" s="381" t="n">
        <x:f>SUMIFS('Wind Proxy'!$H$8:$H$19,'Wind Proxy'!$A$8:$A$19,'Estimator'!$B$4,'Wind Proxy'!$B$8:$B$19,C167)</x:f>
        <x:v>0.14197530864197533</x:v>
      </x:c>
    </x:row>
    <x:row r="168">
      <x:c r="A168" s="379" t="n">
        <x:v>45819</x:v>
      </x:c>
      <x:c r="B168" s="380" t="n">
        <x:v>2025</x:v>
      </x:c>
      <x:c r="C168" s="380" t="n">
        <x:v>6</x:v>
      </x:c>
      <x:c r="D168" s="380" t="str">
        <x:v>Jun</x:v>
      </x:c>
      <x:c r="E168" s="380" t="n">
        <x:v>11</x:v>
      </x:c>
      <x:c r="F168" s="380" t="n">
        <x:v>3</x:v>
      </x:c>
      <x:c r="G168" s="380" t="n">
        <x:f>--(F168&lt;='Estimator'!$B$7)</x:f>
        <x:v>1</x:v>
      </x:c>
      <x:c r="H168" s="381" t="n">
        <x:f>SUMIFS('Climate Data'!$G$7:$G$366,'Climate Data'!$A$7:$A$366,'Estimator'!$B$4,'Climate Data'!$B$7:$B$366,C168)</x:f>
        <x:v>0.475</x:v>
      </x:c>
      <x:c r="I168" s="382" t="n">
        <x:f>SUMIFS('Climate Data'!$H$7:$H$366,'Climate Data'!$A$7:$A$366,'Estimator'!$B$4,'Climate Data'!$B$7:$B$366,C168)</x:f>
        <x:v>8.378947368421054</x:v>
      </x:c>
      <x:c r="J168" s="381" t="n">
        <x:f>SUMIFS('Wind Proxy'!$H$8:$H$19,'Wind Proxy'!$A$8:$A$19,'Estimator'!$B$4,'Wind Proxy'!$B$8:$B$19,C168)</x:f>
        <x:v>0.14197530864197533</x:v>
      </x:c>
    </x:row>
    <x:row r="169">
      <x:c r="A169" s="379" t="n">
        <x:v>45820</x:v>
      </x:c>
      <x:c r="B169" s="380" t="n">
        <x:v>2025</x:v>
      </x:c>
      <x:c r="C169" s="380" t="n">
        <x:v>6</x:v>
      </x:c>
      <x:c r="D169" s="380" t="str">
        <x:v>Jun</x:v>
      </x:c>
      <x:c r="E169" s="380" t="n">
        <x:v>12</x:v>
      </x:c>
      <x:c r="F169" s="380" t="n">
        <x:v>4</x:v>
      </x:c>
      <x:c r="G169" s="380" t="n">
        <x:f>--(F169&lt;='Estimator'!$B$7)</x:f>
        <x:v>1</x:v>
      </x:c>
      <x:c r="H169" s="381" t="n">
        <x:f>SUMIFS('Climate Data'!$G$7:$G$366,'Climate Data'!$A$7:$A$366,'Estimator'!$B$4,'Climate Data'!$B$7:$B$366,C169)</x:f>
        <x:v>0.475</x:v>
      </x:c>
      <x:c r="I169" s="382" t="n">
        <x:f>SUMIFS('Climate Data'!$H$7:$H$366,'Climate Data'!$A$7:$A$366,'Estimator'!$B$4,'Climate Data'!$B$7:$B$366,C169)</x:f>
        <x:v>8.378947368421054</x:v>
      </x:c>
      <x:c r="J169" s="381" t="n">
        <x:f>SUMIFS('Wind Proxy'!$H$8:$H$19,'Wind Proxy'!$A$8:$A$19,'Estimator'!$B$4,'Wind Proxy'!$B$8:$B$19,C169)</x:f>
        <x:v>0.14197530864197533</x:v>
      </x:c>
    </x:row>
    <x:row r="170">
      <x:c r="A170" s="379" t="n">
        <x:v>45821</x:v>
      </x:c>
      <x:c r="B170" s="380" t="n">
        <x:v>2025</x:v>
      </x:c>
      <x:c r="C170" s="380" t="n">
        <x:v>6</x:v>
      </x:c>
      <x:c r="D170" s="380" t="str">
        <x:v>Jun</x:v>
      </x:c>
      <x:c r="E170" s="380" t="n">
        <x:v>13</x:v>
      </x:c>
      <x:c r="F170" s="380" t="n">
        <x:v>5</x:v>
      </x:c>
      <x:c r="G170" s="380" t="n">
        <x:f>--(F170&lt;='Estimator'!$B$7)</x:f>
        <x:v>1</x:v>
      </x:c>
      <x:c r="H170" s="381" t="n">
        <x:f>SUMIFS('Climate Data'!$G$7:$G$366,'Climate Data'!$A$7:$A$366,'Estimator'!$B$4,'Climate Data'!$B$7:$B$366,C170)</x:f>
        <x:v>0.475</x:v>
      </x:c>
      <x:c r="I170" s="382" t="n">
        <x:f>SUMIFS('Climate Data'!$H$7:$H$366,'Climate Data'!$A$7:$A$366,'Estimator'!$B$4,'Climate Data'!$B$7:$B$366,C170)</x:f>
        <x:v>8.378947368421054</x:v>
      </x:c>
      <x:c r="J170" s="381" t="n">
        <x:f>SUMIFS('Wind Proxy'!$H$8:$H$19,'Wind Proxy'!$A$8:$A$19,'Estimator'!$B$4,'Wind Proxy'!$B$8:$B$19,C170)</x:f>
        <x:v>0.14197530864197533</x:v>
      </x:c>
    </x:row>
    <x:row r="171">
      <x:c r="A171" s="379" t="n">
        <x:v>45822</x:v>
      </x:c>
      <x:c r="B171" s="380" t="n">
        <x:v>2025</x:v>
      </x:c>
      <x:c r="C171" s="380" t="n">
        <x:v>6</x:v>
      </x:c>
      <x:c r="D171" s="380" t="str">
        <x:v>Jun</x:v>
      </x:c>
      <x:c r="E171" s="380" t="n">
        <x:v>14</x:v>
      </x:c>
      <x:c r="F171" s="380" t="n">
        <x:v>6</x:v>
      </x:c>
      <x:c r="G171" s="380" t="n">
        <x:f>--(F171&lt;='Estimator'!$B$7)</x:f>
        <x:v>0</x:v>
      </x:c>
      <x:c r="H171" s="381" t="n">
        <x:f>SUMIFS('Climate Data'!$G$7:$G$366,'Climate Data'!$A$7:$A$366,'Estimator'!$B$4,'Climate Data'!$B$7:$B$366,C171)</x:f>
        <x:v>0.475</x:v>
      </x:c>
      <x:c r="I171" s="382" t="n">
        <x:f>SUMIFS('Climate Data'!$H$7:$H$366,'Climate Data'!$A$7:$A$366,'Estimator'!$B$4,'Climate Data'!$B$7:$B$366,C171)</x:f>
        <x:v>8.378947368421054</x:v>
      </x:c>
      <x:c r="J171" s="381" t="n">
        <x:f>SUMIFS('Wind Proxy'!$H$8:$H$19,'Wind Proxy'!$A$8:$A$19,'Estimator'!$B$4,'Wind Proxy'!$B$8:$B$19,C171)</x:f>
        <x:v>0.14197530864197533</x:v>
      </x:c>
    </x:row>
    <x:row r="172">
      <x:c r="A172" s="379" t="n">
        <x:v>45823</x:v>
      </x:c>
      <x:c r="B172" s="380" t="n">
        <x:v>2025</x:v>
      </x:c>
      <x:c r="C172" s="380" t="n">
        <x:v>6</x:v>
      </x:c>
      <x:c r="D172" s="380" t="str">
        <x:v>Jun</x:v>
      </x:c>
      <x:c r="E172" s="380" t="n">
        <x:v>15</x:v>
      </x:c>
      <x:c r="F172" s="380" t="n">
        <x:v>7</x:v>
      </x:c>
      <x:c r="G172" s="380" t="n">
        <x:f>--(F172&lt;='Estimator'!$B$7)</x:f>
        <x:v>0</x:v>
      </x:c>
      <x:c r="H172" s="381" t="n">
        <x:f>SUMIFS('Climate Data'!$G$7:$G$366,'Climate Data'!$A$7:$A$366,'Estimator'!$B$4,'Climate Data'!$B$7:$B$366,C172)</x:f>
        <x:v>0.475</x:v>
      </x:c>
      <x:c r="I172" s="382" t="n">
        <x:f>SUMIFS('Climate Data'!$H$7:$H$366,'Climate Data'!$A$7:$A$366,'Estimator'!$B$4,'Climate Data'!$B$7:$B$366,C172)</x:f>
        <x:v>8.378947368421054</x:v>
      </x:c>
      <x:c r="J172" s="381" t="n">
        <x:f>SUMIFS('Wind Proxy'!$H$8:$H$19,'Wind Proxy'!$A$8:$A$19,'Estimator'!$B$4,'Wind Proxy'!$B$8:$B$19,C172)</x:f>
        <x:v>0.14197530864197533</x:v>
      </x:c>
    </x:row>
    <x:row r="173">
      <x:c r="A173" s="379" t="n">
        <x:v>45824</x:v>
      </x:c>
      <x:c r="B173" s="380" t="n">
        <x:v>2025</x:v>
      </x:c>
      <x:c r="C173" s="380" t="n">
        <x:v>6</x:v>
      </x:c>
      <x:c r="D173" s="380" t="str">
        <x:v>Jun</x:v>
      </x:c>
      <x:c r="E173" s="380" t="n">
        <x:v>16</x:v>
      </x:c>
      <x:c r="F173" s="380" t="n">
        <x:v>1</x:v>
      </x:c>
      <x:c r="G173" s="380" t="n">
        <x:f>--(F173&lt;='Estimator'!$B$7)</x:f>
        <x:v>1</x:v>
      </x:c>
      <x:c r="H173" s="381" t="n">
        <x:f>SUMIFS('Climate Data'!$G$7:$G$366,'Climate Data'!$A$7:$A$366,'Estimator'!$B$4,'Climate Data'!$B$7:$B$366,C173)</x:f>
        <x:v>0.475</x:v>
      </x:c>
      <x:c r="I173" s="382" t="n">
        <x:f>SUMIFS('Climate Data'!$H$7:$H$366,'Climate Data'!$A$7:$A$366,'Estimator'!$B$4,'Climate Data'!$B$7:$B$366,C173)</x:f>
        <x:v>8.378947368421054</x:v>
      </x:c>
      <x:c r="J173" s="381" t="n">
        <x:f>SUMIFS('Wind Proxy'!$H$8:$H$19,'Wind Proxy'!$A$8:$A$19,'Estimator'!$B$4,'Wind Proxy'!$B$8:$B$19,C173)</x:f>
        <x:v>0.14197530864197533</x:v>
      </x:c>
    </x:row>
    <x:row r="174">
      <x:c r="A174" s="379" t="n">
        <x:v>45825</x:v>
      </x:c>
      <x:c r="B174" s="380" t="n">
        <x:v>2025</x:v>
      </x:c>
      <x:c r="C174" s="380" t="n">
        <x:v>6</x:v>
      </x:c>
      <x:c r="D174" s="380" t="str">
        <x:v>Jun</x:v>
      </x:c>
      <x:c r="E174" s="380" t="n">
        <x:v>17</x:v>
      </x:c>
      <x:c r="F174" s="380" t="n">
        <x:v>2</x:v>
      </x:c>
      <x:c r="G174" s="380" t="n">
        <x:f>--(F174&lt;='Estimator'!$B$7)</x:f>
        <x:v>1</x:v>
      </x:c>
      <x:c r="H174" s="381" t="n">
        <x:f>SUMIFS('Climate Data'!$G$7:$G$366,'Climate Data'!$A$7:$A$366,'Estimator'!$B$4,'Climate Data'!$B$7:$B$366,C174)</x:f>
        <x:v>0.475</x:v>
      </x:c>
      <x:c r="I174" s="382" t="n">
        <x:f>SUMIFS('Climate Data'!$H$7:$H$366,'Climate Data'!$A$7:$A$366,'Estimator'!$B$4,'Climate Data'!$B$7:$B$366,C174)</x:f>
        <x:v>8.378947368421054</x:v>
      </x:c>
      <x:c r="J174" s="381" t="n">
        <x:f>SUMIFS('Wind Proxy'!$H$8:$H$19,'Wind Proxy'!$A$8:$A$19,'Estimator'!$B$4,'Wind Proxy'!$B$8:$B$19,C174)</x:f>
        <x:v>0.14197530864197533</x:v>
      </x:c>
    </x:row>
    <x:row r="175">
      <x:c r="A175" s="379" t="n">
        <x:v>45826</x:v>
      </x:c>
      <x:c r="B175" s="380" t="n">
        <x:v>2025</x:v>
      </x:c>
      <x:c r="C175" s="380" t="n">
        <x:v>6</x:v>
      </x:c>
      <x:c r="D175" s="380" t="str">
        <x:v>Jun</x:v>
      </x:c>
      <x:c r="E175" s="380" t="n">
        <x:v>18</x:v>
      </x:c>
      <x:c r="F175" s="380" t="n">
        <x:v>3</x:v>
      </x:c>
      <x:c r="G175" s="380" t="n">
        <x:f>--(F175&lt;='Estimator'!$B$7)</x:f>
        <x:v>1</x:v>
      </x:c>
      <x:c r="H175" s="381" t="n">
        <x:f>SUMIFS('Climate Data'!$G$7:$G$366,'Climate Data'!$A$7:$A$366,'Estimator'!$B$4,'Climate Data'!$B$7:$B$366,C175)</x:f>
        <x:v>0.475</x:v>
      </x:c>
      <x:c r="I175" s="382" t="n">
        <x:f>SUMIFS('Climate Data'!$H$7:$H$366,'Climate Data'!$A$7:$A$366,'Estimator'!$B$4,'Climate Data'!$B$7:$B$366,C175)</x:f>
        <x:v>8.378947368421054</x:v>
      </x:c>
      <x:c r="J175" s="381" t="n">
        <x:f>SUMIFS('Wind Proxy'!$H$8:$H$19,'Wind Proxy'!$A$8:$A$19,'Estimator'!$B$4,'Wind Proxy'!$B$8:$B$19,C175)</x:f>
        <x:v>0.14197530864197533</x:v>
      </x:c>
    </x:row>
    <x:row r="176">
      <x:c r="A176" s="379" t="n">
        <x:v>45827</x:v>
      </x:c>
      <x:c r="B176" s="380" t="n">
        <x:v>2025</x:v>
      </x:c>
      <x:c r="C176" s="380" t="n">
        <x:v>6</x:v>
      </x:c>
      <x:c r="D176" s="380" t="str">
        <x:v>Jun</x:v>
      </x:c>
      <x:c r="E176" s="380" t="n">
        <x:v>19</x:v>
      </x:c>
      <x:c r="F176" s="380" t="n">
        <x:v>4</x:v>
      </x:c>
      <x:c r="G176" s="380" t="n">
        <x:f>--(F176&lt;='Estimator'!$B$7)</x:f>
        <x:v>1</x:v>
      </x:c>
      <x:c r="H176" s="381" t="n">
        <x:f>SUMIFS('Climate Data'!$G$7:$G$366,'Climate Data'!$A$7:$A$366,'Estimator'!$B$4,'Climate Data'!$B$7:$B$366,C176)</x:f>
        <x:v>0.475</x:v>
      </x:c>
      <x:c r="I176" s="382" t="n">
        <x:f>SUMIFS('Climate Data'!$H$7:$H$366,'Climate Data'!$A$7:$A$366,'Estimator'!$B$4,'Climate Data'!$B$7:$B$366,C176)</x:f>
        <x:v>8.378947368421054</x:v>
      </x:c>
      <x:c r="J176" s="381" t="n">
        <x:f>SUMIFS('Wind Proxy'!$H$8:$H$19,'Wind Proxy'!$A$8:$A$19,'Estimator'!$B$4,'Wind Proxy'!$B$8:$B$19,C176)</x:f>
        <x:v>0.14197530864197533</x:v>
      </x:c>
    </x:row>
    <x:row r="177">
      <x:c r="A177" s="379" t="n">
        <x:v>45828</x:v>
      </x:c>
      <x:c r="B177" s="380" t="n">
        <x:v>2025</x:v>
      </x:c>
      <x:c r="C177" s="380" t="n">
        <x:v>6</x:v>
      </x:c>
      <x:c r="D177" s="380" t="str">
        <x:v>Jun</x:v>
      </x:c>
      <x:c r="E177" s="380" t="n">
        <x:v>20</x:v>
      </x:c>
      <x:c r="F177" s="380" t="n">
        <x:v>5</x:v>
      </x:c>
      <x:c r="G177" s="380" t="n">
        <x:f>--(F177&lt;='Estimator'!$B$7)</x:f>
        <x:v>1</x:v>
      </x:c>
      <x:c r="H177" s="381" t="n">
        <x:f>SUMIFS('Climate Data'!$G$7:$G$366,'Climate Data'!$A$7:$A$366,'Estimator'!$B$4,'Climate Data'!$B$7:$B$366,C177)</x:f>
        <x:v>0.475</x:v>
      </x:c>
      <x:c r="I177" s="382" t="n">
        <x:f>SUMIFS('Climate Data'!$H$7:$H$366,'Climate Data'!$A$7:$A$366,'Estimator'!$B$4,'Climate Data'!$B$7:$B$366,C177)</x:f>
        <x:v>8.378947368421054</x:v>
      </x:c>
      <x:c r="J177" s="381" t="n">
        <x:f>SUMIFS('Wind Proxy'!$H$8:$H$19,'Wind Proxy'!$A$8:$A$19,'Estimator'!$B$4,'Wind Proxy'!$B$8:$B$19,C177)</x:f>
        <x:v>0.14197530864197533</x:v>
      </x:c>
    </x:row>
    <x:row r="178">
      <x:c r="A178" s="379" t="n">
        <x:v>45829</x:v>
      </x:c>
      <x:c r="B178" s="380" t="n">
        <x:v>2025</x:v>
      </x:c>
      <x:c r="C178" s="380" t="n">
        <x:v>6</x:v>
      </x:c>
      <x:c r="D178" s="380" t="str">
        <x:v>Jun</x:v>
      </x:c>
      <x:c r="E178" s="380" t="n">
        <x:v>21</x:v>
      </x:c>
      <x:c r="F178" s="380" t="n">
        <x:v>6</x:v>
      </x:c>
      <x:c r="G178" s="380" t="n">
        <x:f>--(F178&lt;='Estimator'!$B$7)</x:f>
        <x:v>0</x:v>
      </x:c>
      <x:c r="H178" s="381" t="n">
        <x:f>SUMIFS('Climate Data'!$G$7:$G$366,'Climate Data'!$A$7:$A$366,'Estimator'!$B$4,'Climate Data'!$B$7:$B$366,C178)</x:f>
        <x:v>0.475</x:v>
      </x:c>
      <x:c r="I178" s="382" t="n">
        <x:f>SUMIFS('Climate Data'!$H$7:$H$366,'Climate Data'!$A$7:$A$366,'Estimator'!$B$4,'Climate Data'!$B$7:$B$366,C178)</x:f>
        <x:v>8.378947368421054</x:v>
      </x:c>
      <x:c r="J178" s="381" t="n">
        <x:f>SUMIFS('Wind Proxy'!$H$8:$H$19,'Wind Proxy'!$A$8:$A$19,'Estimator'!$B$4,'Wind Proxy'!$B$8:$B$19,C178)</x:f>
        <x:v>0.14197530864197533</x:v>
      </x:c>
    </x:row>
    <x:row r="179">
      <x:c r="A179" s="379" t="n">
        <x:v>45830</x:v>
      </x:c>
      <x:c r="B179" s="380" t="n">
        <x:v>2025</x:v>
      </x:c>
      <x:c r="C179" s="380" t="n">
        <x:v>6</x:v>
      </x:c>
      <x:c r="D179" s="380" t="str">
        <x:v>Jun</x:v>
      </x:c>
      <x:c r="E179" s="380" t="n">
        <x:v>22</x:v>
      </x:c>
      <x:c r="F179" s="380" t="n">
        <x:v>7</x:v>
      </x:c>
      <x:c r="G179" s="380" t="n">
        <x:f>--(F179&lt;='Estimator'!$B$7)</x:f>
        <x:v>0</x:v>
      </x:c>
      <x:c r="H179" s="381" t="n">
        <x:f>SUMIFS('Climate Data'!$G$7:$G$366,'Climate Data'!$A$7:$A$366,'Estimator'!$B$4,'Climate Data'!$B$7:$B$366,C179)</x:f>
        <x:v>0.475</x:v>
      </x:c>
      <x:c r="I179" s="382" t="n">
        <x:f>SUMIFS('Climate Data'!$H$7:$H$366,'Climate Data'!$A$7:$A$366,'Estimator'!$B$4,'Climate Data'!$B$7:$B$366,C179)</x:f>
        <x:v>8.378947368421054</x:v>
      </x:c>
      <x:c r="J179" s="381" t="n">
        <x:f>SUMIFS('Wind Proxy'!$H$8:$H$19,'Wind Proxy'!$A$8:$A$19,'Estimator'!$B$4,'Wind Proxy'!$B$8:$B$19,C179)</x:f>
        <x:v>0.14197530864197533</x:v>
      </x:c>
    </x:row>
    <x:row r="180">
      <x:c r="A180" s="379" t="n">
        <x:v>45831</x:v>
      </x:c>
      <x:c r="B180" s="380" t="n">
        <x:v>2025</x:v>
      </x:c>
      <x:c r="C180" s="380" t="n">
        <x:v>6</x:v>
      </x:c>
      <x:c r="D180" s="380" t="str">
        <x:v>Jun</x:v>
      </x:c>
      <x:c r="E180" s="380" t="n">
        <x:v>23</x:v>
      </x:c>
      <x:c r="F180" s="380" t="n">
        <x:v>1</x:v>
      </x:c>
      <x:c r="G180" s="380" t="n">
        <x:f>--(F180&lt;='Estimator'!$B$7)</x:f>
        <x:v>1</x:v>
      </x:c>
      <x:c r="H180" s="381" t="n">
        <x:f>SUMIFS('Climate Data'!$G$7:$G$366,'Climate Data'!$A$7:$A$366,'Estimator'!$B$4,'Climate Data'!$B$7:$B$366,C180)</x:f>
        <x:v>0.475</x:v>
      </x:c>
      <x:c r="I180" s="382" t="n">
        <x:f>SUMIFS('Climate Data'!$H$7:$H$366,'Climate Data'!$A$7:$A$366,'Estimator'!$B$4,'Climate Data'!$B$7:$B$366,C180)</x:f>
        <x:v>8.378947368421054</x:v>
      </x:c>
      <x:c r="J180" s="381" t="n">
        <x:f>SUMIFS('Wind Proxy'!$H$8:$H$19,'Wind Proxy'!$A$8:$A$19,'Estimator'!$B$4,'Wind Proxy'!$B$8:$B$19,C180)</x:f>
        <x:v>0.14197530864197533</x:v>
      </x:c>
    </x:row>
    <x:row r="181">
      <x:c r="A181" s="379" t="n">
        <x:v>45832</x:v>
      </x:c>
      <x:c r="B181" s="380" t="n">
        <x:v>2025</x:v>
      </x:c>
      <x:c r="C181" s="380" t="n">
        <x:v>6</x:v>
      </x:c>
      <x:c r="D181" s="380" t="str">
        <x:v>Jun</x:v>
      </x:c>
      <x:c r="E181" s="380" t="n">
        <x:v>24</x:v>
      </x:c>
      <x:c r="F181" s="380" t="n">
        <x:v>2</x:v>
      </x:c>
      <x:c r="G181" s="380" t="n">
        <x:f>--(F181&lt;='Estimator'!$B$7)</x:f>
        <x:v>1</x:v>
      </x:c>
      <x:c r="H181" s="381" t="n">
        <x:f>SUMIFS('Climate Data'!$G$7:$G$366,'Climate Data'!$A$7:$A$366,'Estimator'!$B$4,'Climate Data'!$B$7:$B$366,C181)</x:f>
        <x:v>0.475</x:v>
      </x:c>
      <x:c r="I181" s="382" t="n">
        <x:f>SUMIFS('Climate Data'!$H$7:$H$366,'Climate Data'!$A$7:$A$366,'Estimator'!$B$4,'Climate Data'!$B$7:$B$366,C181)</x:f>
        <x:v>8.378947368421054</x:v>
      </x:c>
      <x:c r="J181" s="381" t="n">
        <x:f>SUMIFS('Wind Proxy'!$H$8:$H$19,'Wind Proxy'!$A$8:$A$19,'Estimator'!$B$4,'Wind Proxy'!$B$8:$B$19,C181)</x:f>
        <x:v>0.14197530864197533</x:v>
      </x:c>
    </x:row>
    <x:row r="182">
      <x:c r="A182" s="379" t="n">
        <x:v>45833</x:v>
      </x:c>
      <x:c r="B182" s="380" t="n">
        <x:v>2025</x:v>
      </x:c>
      <x:c r="C182" s="380" t="n">
        <x:v>6</x:v>
      </x:c>
      <x:c r="D182" s="380" t="str">
        <x:v>Jun</x:v>
      </x:c>
      <x:c r="E182" s="380" t="n">
        <x:v>25</x:v>
      </x:c>
      <x:c r="F182" s="380" t="n">
        <x:v>3</x:v>
      </x:c>
      <x:c r="G182" s="380" t="n">
        <x:f>--(F182&lt;='Estimator'!$B$7)</x:f>
        <x:v>1</x:v>
      </x:c>
      <x:c r="H182" s="381" t="n">
        <x:f>SUMIFS('Climate Data'!$G$7:$G$366,'Climate Data'!$A$7:$A$366,'Estimator'!$B$4,'Climate Data'!$B$7:$B$366,C182)</x:f>
        <x:v>0.475</x:v>
      </x:c>
      <x:c r="I182" s="382" t="n">
        <x:f>SUMIFS('Climate Data'!$H$7:$H$366,'Climate Data'!$A$7:$A$366,'Estimator'!$B$4,'Climate Data'!$B$7:$B$366,C182)</x:f>
        <x:v>8.378947368421054</x:v>
      </x:c>
      <x:c r="J182" s="381" t="n">
        <x:f>SUMIFS('Wind Proxy'!$H$8:$H$19,'Wind Proxy'!$A$8:$A$19,'Estimator'!$B$4,'Wind Proxy'!$B$8:$B$19,C182)</x:f>
        <x:v>0.14197530864197533</x:v>
      </x:c>
    </x:row>
    <x:row r="183">
      <x:c r="A183" s="379" t="n">
        <x:v>45834</x:v>
      </x:c>
      <x:c r="B183" s="380" t="n">
        <x:v>2025</x:v>
      </x:c>
      <x:c r="C183" s="380" t="n">
        <x:v>6</x:v>
      </x:c>
      <x:c r="D183" s="380" t="str">
        <x:v>Jun</x:v>
      </x:c>
      <x:c r="E183" s="380" t="n">
        <x:v>26</x:v>
      </x:c>
      <x:c r="F183" s="380" t="n">
        <x:v>4</x:v>
      </x:c>
      <x:c r="G183" s="380" t="n">
        <x:f>--(F183&lt;='Estimator'!$B$7)</x:f>
        <x:v>1</x:v>
      </x:c>
      <x:c r="H183" s="381" t="n">
        <x:f>SUMIFS('Climate Data'!$G$7:$G$366,'Climate Data'!$A$7:$A$366,'Estimator'!$B$4,'Climate Data'!$B$7:$B$366,C183)</x:f>
        <x:v>0.475</x:v>
      </x:c>
      <x:c r="I183" s="382" t="n">
        <x:f>SUMIFS('Climate Data'!$H$7:$H$366,'Climate Data'!$A$7:$A$366,'Estimator'!$B$4,'Climate Data'!$B$7:$B$366,C183)</x:f>
        <x:v>8.378947368421054</x:v>
      </x:c>
      <x:c r="J183" s="381" t="n">
        <x:f>SUMIFS('Wind Proxy'!$H$8:$H$19,'Wind Proxy'!$A$8:$A$19,'Estimator'!$B$4,'Wind Proxy'!$B$8:$B$19,C183)</x:f>
        <x:v>0.14197530864197533</x:v>
      </x:c>
    </x:row>
    <x:row r="184">
      <x:c r="A184" s="379" t="n">
        <x:v>45835</x:v>
      </x:c>
      <x:c r="B184" s="380" t="n">
        <x:v>2025</x:v>
      </x:c>
      <x:c r="C184" s="380" t="n">
        <x:v>6</x:v>
      </x:c>
      <x:c r="D184" s="380" t="str">
        <x:v>Jun</x:v>
      </x:c>
      <x:c r="E184" s="380" t="n">
        <x:v>27</x:v>
      </x:c>
      <x:c r="F184" s="380" t="n">
        <x:v>5</x:v>
      </x:c>
      <x:c r="G184" s="380" t="n">
        <x:f>--(F184&lt;='Estimator'!$B$7)</x:f>
        <x:v>1</x:v>
      </x:c>
      <x:c r="H184" s="381" t="n">
        <x:f>SUMIFS('Climate Data'!$G$7:$G$366,'Climate Data'!$A$7:$A$366,'Estimator'!$B$4,'Climate Data'!$B$7:$B$366,C184)</x:f>
        <x:v>0.475</x:v>
      </x:c>
      <x:c r="I184" s="382" t="n">
        <x:f>SUMIFS('Climate Data'!$H$7:$H$366,'Climate Data'!$A$7:$A$366,'Estimator'!$B$4,'Climate Data'!$B$7:$B$366,C184)</x:f>
        <x:v>8.378947368421054</x:v>
      </x:c>
      <x:c r="J184" s="381" t="n">
        <x:f>SUMIFS('Wind Proxy'!$H$8:$H$19,'Wind Proxy'!$A$8:$A$19,'Estimator'!$B$4,'Wind Proxy'!$B$8:$B$19,C184)</x:f>
        <x:v>0.14197530864197533</x:v>
      </x:c>
    </x:row>
    <x:row r="185">
      <x:c r="A185" s="379" t="n">
        <x:v>45836</x:v>
      </x:c>
      <x:c r="B185" s="380" t="n">
        <x:v>2025</x:v>
      </x:c>
      <x:c r="C185" s="380" t="n">
        <x:v>6</x:v>
      </x:c>
      <x:c r="D185" s="380" t="str">
        <x:v>Jun</x:v>
      </x:c>
      <x:c r="E185" s="380" t="n">
        <x:v>28</x:v>
      </x:c>
      <x:c r="F185" s="380" t="n">
        <x:v>6</x:v>
      </x:c>
      <x:c r="G185" s="380" t="n">
        <x:f>--(F185&lt;='Estimator'!$B$7)</x:f>
        <x:v>0</x:v>
      </x:c>
      <x:c r="H185" s="381" t="n">
        <x:f>SUMIFS('Climate Data'!$G$7:$G$366,'Climate Data'!$A$7:$A$366,'Estimator'!$B$4,'Climate Data'!$B$7:$B$366,C185)</x:f>
        <x:v>0.475</x:v>
      </x:c>
      <x:c r="I185" s="382" t="n">
        <x:f>SUMIFS('Climate Data'!$H$7:$H$366,'Climate Data'!$A$7:$A$366,'Estimator'!$B$4,'Climate Data'!$B$7:$B$366,C185)</x:f>
        <x:v>8.378947368421054</x:v>
      </x:c>
      <x:c r="J185" s="381" t="n">
        <x:f>SUMIFS('Wind Proxy'!$H$8:$H$19,'Wind Proxy'!$A$8:$A$19,'Estimator'!$B$4,'Wind Proxy'!$B$8:$B$19,C185)</x:f>
        <x:v>0.14197530864197533</x:v>
      </x:c>
    </x:row>
    <x:row r="186">
      <x:c r="A186" s="379" t="n">
        <x:v>45837</x:v>
      </x:c>
      <x:c r="B186" s="380" t="n">
        <x:v>2025</x:v>
      </x:c>
      <x:c r="C186" s="380" t="n">
        <x:v>6</x:v>
      </x:c>
      <x:c r="D186" s="380" t="str">
        <x:v>Jun</x:v>
      </x:c>
      <x:c r="E186" s="380" t="n">
        <x:v>29</x:v>
      </x:c>
      <x:c r="F186" s="380" t="n">
        <x:v>7</x:v>
      </x:c>
      <x:c r="G186" s="380" t="n">
        <x:f>--(F186&lt;='Estimator'!$B$7)</x:f>
        <x:v>0</x:v>
      </x:c>
      <x:c r="H186" s="381" t="n">
        <x:f>SUMIFS('Climate Data'!$G$7:$G$366,'Climate Data'!$A$7:$A$366,'Estimator'!$B$4,'Climate Data'!$B$7:$B$366,C186)</x:f>
        <x:v>0.475</x:v>
      </x:c>
      <x:c r="I186" s="382" t="n">
        <x:f>SUMIFS('Climate Data'!$H$7:$H$366,'Climate Data'!$A$7:$A$366,'Estimator'!$B$4,'Climate Data'!$B$7:$B$366,C186)</x:f>
        <x:v>8.378947368421054</x:v>
      </x:c>
      <x:c r="J186" s="381" t="n">
        <x:f>SUMIFS('Wind Proxy'!$H$8:$H$19,'Wind Proxy'!$A$8:$A$19,'Estimator'!$B$4,'Wind Proxy'!$B$8:$B$19,C186)</x:f>
        <x:v>0.14197530864197533</x:v>
      </x:c>
    </x:row>
    <x:row r="187">
      <x:c r="A187" s="379" t="n">
        <x:v>45838</x:v>
      </x:c>
      <x:c r="B187" s="380" t="n">
        <x:v>2025</x:v>
      </x:c>
      <x:c r="C187" s="380" t="n">
        <x:v>6</x:v>
      </x:c>
      <x:c r="D187" s="380" t="str">
        <x:v>Jun</x:v>
      </x:c>
      <x:c r="E187" s="380" t="n">
        <x:v>30</x:v>
      </x:c>
      <x:c r="F187" s="380" t="n">
        <x:v>1</x:v>
      </x:c>
      <x:c r="G187" s="380" t="n">
        <x:f>--(F187&lt;='Estimator'!$B$7)</x:f>
        <x:v>1</x:v>
      </x:c>
      <x:c r="H187" s="381" t="n">
        <x:f>SUMIFS('Climate Data'!$G$7:$G$366,'Climate Data'!$A$7:$A$366,'Estimator'!$B$4,'Climate Data'!$B$7:$B$366,C187)</x:f>
        <x:v>0.475</x:v>
      </x:c>
      <x:c r="I187" s="382" t="n">
        <x:f>SUMIFS('Climate Data'!$H$7:$H$366,'Climate Data'!$A$7:$A$366,'Estimator'!$B$4,'Climate Data'!$B$7:$B$366,C187)</x:f>
        <x:v>8.378947368421054</x:v>
      </x:c>
      <x:c r="J187" s="381" t="n">
        <x:f>SUMIFS('Wind Proxy'!$H$8:$H$19,'Wind Proxy'!$A$8:$A$19,'Estimator'!$B$4,'Wind Proxy'!$B$8:$B$19,C187)</x:f>
        <x:v>0.14197530864197533</x:v>
      </x:c>
    </x:row>
    <x:row r="188">
      <x:c r="A188" s="379" t="n">
        <x:v>45839</x:v>
      </x:c>
      <x:c r="B188" s="380" t="n">
        <x:v>2025</x:v>
      </x:c>
      <x:c r="C188" s="380" t="n">
        <x:v>7</x:v>
      </x:c>
      <x:c r="D188" s="380" t="str">
        <x:v>Jul</x:v>
      </x:c>
      <x:c r="E188" s="380" t="n">
        <x:v>1</x:v>
      </x:c>
      <x:c r="F188" s="380" t="n">
        <x:v>2</x:v>
      </x:c>
      <x:c r="G188" s="380" t="n">
        <x:f>--(F188&lt;='Estimator'!$B$7)</x:f>
        <x:v>1</x:v>
      </x:c>
      <x:c r="H188" s="381" t="n">
        <x:f>SUMIFS('Climate Data'!$G$7:$G$366,'Climate Data'!$A$7:$A$366,'Estimator'!$B$4,'Climate Data'!$B$7:$B$366,C188)</x:f>
        <x:v>0.49078341013824883</x:v>
      </x:c>
      <x:c r="I188" s="382" t="n">
        <x:f>SUMIFS('Climate Data'!$H$7:$H$366,'Climate Data'!$A$7:$A$366,'Estimator'!$B$4,'Climate Data'!$B$7:$B$366,C188)</x:f>
        <x:v>8.998122065727701</x:v>
      </x:c>
      <x:c r="J188" s="381" t="n">
        <x:f>SUMIFS('Wind Proxy'!$H$8:$H$19,'Wind Proxy'!$A$8:$A$19,'Estimator'!$B$4,'Wind Proxy'!$B$8:$B$19,C188)</x:f>
        <x:v>0.13739545997610514</x:v>
      </x:c>
    </x:row>
    <x:row r="189">
      <x:c r="A189" s="379" t="n">
        <x:v>45840</x:v>
      </x:c>
      <x:c r="B189" s="380" t="n">
        <x:v>2025</x:v>
      </x:c>
      <x:c r="C189" s="380" t="n">
        <x:v>7</x:v>
      </x:c>
      <x:c r="D189" s="380" t="str">
        <x:v>Jul</x:v>
      </x:c>
      <x:c r="E189" s="380" t="n">
        <x:v>2</x:v>
      </x:c>
      <x:c r="F189" s="380" t="n">
        <x:v>3</x:v>
      </x:c>
      <x:c r="G189" s="380" t="n">
        <x:f>--(F189&lt;='Estimator'!$B$7)</x:f>
        <x:v>1</x:v>
      </x:c>
      <x:c r="H189" s="381" t="n">
        <x:f>SUMIFS('Climate Data'!$G$7:$G$366,'Climate Data'!$A$7:$A$366,'Estimator'!$B$4,'Climate Data'!$B$7:$B$366,C189)</x:f>
        <x:v>0.49078341013824883</x:v>
      </x:c>
      <x:c r="I189" s="382" t="n">
        <x:f>SUMIFS('Climate Data'!$H$7:$H$366,'Climate Data'!$A$7:$A$366,'Estimator'!$B$4,'Climate Data'!$B$7:$B$366,C189)</x:f>
        <x:v>8.998122065727701</x:v>
      </x:c>
      <x:c r="J189" s="381" t="n">
        <x:f>SUMIFS('Wind Proxy'!$H$8:$H$19,'Wind Proxy'!$A$8:$A$19,'Estimator'!$B$4,'Wind Proxy'!$B$8:$B$19,C189)</x:f>
        <x:v>0.13739545997610514</x:v>
      </x:c>
    </x:row>
    <x:row r="190">
      <x:c r="A190" s="379" t="n">
        <x:v>45841</x:v>
      </x:c>
      <x:c r="B190" s="380" t="n">
        <x:v>2025</x:v>
      </x:c>
      <x:c r="C190" s="380" t="n">
        <x:v>7</x:v>
      </x:c>
      <x:c r="D190" s="380" t="str">
        <x:v>Jul</x:v>
      </x:c>
      <x:c r="E190" s="380" t="n">
        <x:v>3</x:v>
      </x:c>
      <x:c r="F190" s="380" t="n">
        <x:v>4</x:v>
      </x:c>
      <x:c r="G190" s="380" t="n">
        <x:f>--(F190&lt;='Estimator'!$B$7)</x:f>
        <x:v>1</x:v>
      </x:c>
      <x:c r="H190" s="381" t="n">
        <x:f>SUMIFS('Climate Data'!$G$7:$G$366,'Climate Data'!$A$7:$A$366,'Estimator'!$B$4,'Climate Data'!$B$7:$B$366,C190)</x:f>
        <x:v>0.49078341013824883</x:v>
      </x:c>
      <x:c r="I190" s="382" t="n">
        <x:f>SUMIFS('Climate Data'!$H$7:$H$366,'Climate Data'!$A$7:$A$366,'Estimator'!$B$4,'Climate Data'!$B$7:$B$366,C190)</x:f>
        <x:v>8.998122065727701</x:v>
      </x:c>
      <x:c r="J190" s="381" t="n">
        <x:f>SUMIFS('Wind Proxy'!$H$8:$H$19,'Wind Proxy'!$A$8:$A$19,'Estimator'!$B$4,'Wind Proxy'!$B$8:$B$19,C190)</x:f>
        <x:v>0.13739545997610514</x:v>
      </x:c>
    </x:row>
    <x:row r="191">
      <x:c r="A191" s="379" t="n">
        <x:v>45842</x:v>
      </x:c>
      <x:c r="B191" s="380" t="n">
        <x:v>2025</x:v>
      </x:c>
      <x:c r="C191" s="380" t="n">
        <x:v>7</x:v>
      </x:c>
      <x:c r="D191" s="380" t="str">
        <x:v>Jul</x:v>
      </x:c>
      <x:c r="E191" s="380" t="n">
        <x:v>4</x:v>
      </x:c>
      <x:c r="F191" s="380" t="n">
        <x:v>5</x:v>
      </x:c>
      <x:c r="G191" s="380" t="n">
        <x:f>--(F191&lt;='Estimator'!$B$7)</x:f>
        <x:v>1</x:v>
      </x:c>
      <x:c r="H191" s="381" t="n">
        <x:f>SUMIFS('Climate Data'!$G$7:$G$366,'Climate Data'!$A$7:$A$366,'Estimator'!$B$4,'Climate Data'!$B$7:$B$366,C191)</x:f>
        <x:v>0.49078341013824883</x:v>
      </x:c>
      <x:c r="I191" s="382" t="n">
        <x:f>SUMIFS('Climate Data'!$H$7:$H$366,'Climate Data'!$A$7:$A$366,'Estimator'!$B$4,'Climate Data'!$B$7:$B$366,C191)</x:f>
        <x:v>8.998122065727701</x:v>
      </x:c>
      <x:c r="J191" s="381" t="n">
        <x:f>SUMIFS('Wind Proxy'!$H$8:$H$19,'Wind Proxy'!$A$8:$A$19,'Estimator'!$B$4,'Wind Proxy'!$B$8:$B$19,C191)</x:f>
        <x:v>0.13739545997610514</x:v>
      </x:c>
    </x:row>
    <x:row r="192">
      <x:c r="A192" s="379" t="n">
        <x:v>45843</x:v>
      </x:c>
      <x:c r="B192" s="380" t="n">
        <x:v>2025</x:v>
      </x:c>
      <x:c r="C192" s="380" t="n">
        <x:v>7</x:v>
      </x:c>
      <x:c r="D192" s="380" t="str">
        <x:v>Jul</x:v>
      </x:c>
      <x:c r="E192" s="380" t="n">
        <x:v>5</x:v>
      </x:c>
      <x:c r="F192" s="380" t="n">
        <x:v>6</x:v>
      </x:c>
      <x:c r="G192" s="380" t="n">
        <x:f>--(F192&lt;='Estimator'!$B$7)</x:f>
        <x:v>0</x:v>
      </x:c>
      <x:c r="H192" s="381" t="n">
        <x:f>SUMIFS('Climate Data'!$G$7:$G$366,'Climate Data'!$A$7:$A$366,'Estimator'!$B$4,'Climate Data'!$B$7:$B$366,C192)</x:f>
        <x:v>0.49078341013824883</x:v>
      </x:c>
      <x:c r="I192" s="382" t="n">
        <x:f>SUMIFS('Climate Data'!$H$7:$H$366,'Climate Data'!$A$7:$A$366,'Estimator'!$B$4,'Climate Data'!$B$7:$B$366,C192)</x:f>
        <x:v>8.998122065727701</x:v>
      </x:c>
      <x:c r="J192" s="381" t="n">
        <x:f>SUMIFS('Wind Proxy'!$H$8:$H$19,'Wind Proxy'!$A$8:$A$19,'Estimator'!$B$4,'Wind Proxy'!$B$8:$B$19,C192)</x:f>
        <x:v>0.13739545997610514</x:v>
      </x:c>
    </x:row>
    <x:row r="193">
      <x:c r="A193" s="379" t="n">
        <x:v>45844</x:v>
      </x:c>
      <x:c r="B193" s="380" t="n">
        <x:v>2025</x:v>
      </x:c>
      <x:c r="C193" s="380" t="n">
        <x:v>7</x:v>
      </x:c>
      <x:c r="D193" s="380" t="str">
        <x:v>Jul</x:v>
      </x:c>
      <x:c r="E193" s="380" t="n">
        <x:v>6</x:v>
      </x:c>
      <x:c r="F193" s="380" t="n">
        <x:v>7</x:v>
      </x:c>
      <x:c r="G193" s="380" t="n">
        <x:f>--(F193&lt;='Estimator'!$B$7)</x:f>
        <x:v>0</x:v>
      </x:c>
      <x:c r="H193" s="381" t="n">
        <x:f>SUMIFS('Climate Data'!$G$7:$G$366,'Climate Data'!$A$7:$A$366,'Estimator'!$B$4,'Climate Data'!$B$7:$B$366,C193)</x:f>
        <x:v>0.49078341013824883</x:v>
      </x:c>
      <x:c r="I193" s="382" t="n">
        <x:f>SUMIFS('Climate Data'!$H$7:$H$366,'Climate Data'!$A$7:$A$366,'Estimator'!$B$4,'Climate Data'!$B$7:$B$366,C193)</x:f>
        <x:v>8.998122065727701</x:v>
      </x:c>
      <x:c r="J193" s="381" t="n">
        <x:f>SUMIFS('Wind Proxy'!$H$8:$H$19,'Wind Proxy'!$A$8:$A$19,'Estimator'!$B$4,'Wind Proxy'!$B$8:$B$19,C193)</x:f>
        <x:v>0.13739545997610514</x:v>
      </x:c>
    </x:row>
    <x:row r="194">
      <x:c r="A194" s="379" t="n">
        <x:v>45845</x:v>
      </x:c>
      <x:c r="B194" s="380" t="n">
        <x:v>2025</x:v>
      </x:c>
      <x:c r="C194" s="380" t="n">
        <x:v>7</x:v>
      </x:c>
      <x:c r="D194" s="380" t="str">
        <x:v>Jul</x:v>
      </x:c>
      <x:c r="E194" s="380" t="n">
        <x:v>7</x:v>
      </x:c>
      <x:c r="F194" s="380" t="n">
        <x:v>1</x:v>
      </x:c>
      <x:c r="G194" s="380" t="n">
        <x:f>--(F194&lt;='Estimator'!$B$7)</x:f>
        <x:v>1</x:v>
      </x:c>
      <x:c r="H194" s="381" t="n">
        <x:f>SUMIFS('Climate Data'!$G$7:$G$366,'Climate Data'!$A$7:$A$366,'Estimator'!$B$4,'Climate Data'!$B$7:$B$366,C194)</x:f>
        <x:v>0.49078341013824883</x:v>
      </x:c>
      <x:c r="I194" s="382" t="n">
        <x:f>SUMIFS('Climate Data'!$H$7:$H$366,'Climate Data'!$A$7:$A$366,'Estimator'!$B$4,'Climate Data'!$B$7:$B$366,C194)</x:f>
        <x:v>8.998122065727701</x:v>
      </x:c>
      <x:c r="J194" s="381" t="n">
        <x:f>SUMIFS('Wind Proxy'!$H$8:$H$19,'Wind Proxy'!$A$8:$A$19,'Estimator'!$B$4,'Wind Proxy'!$B$8:$B$19,C194)</x:f>
        <x:v>0.13739545997610514</x:v>
      </x:c>
    </x:row>
    <x:row r="195">
      <x:c r="A195" s="379" t="n">
        <x:v>45846</x:v>
      </x:c>
      <x:c r="B195" s="380" t="n">
        <x:v>2025</x:v>
      </x:c>
      <x:c r="C195" s="380" t="n">
        <x:v>7</x:v>
      </x:c>
      <x:c r="D195" s="380" t="str">
        <x:v>Jul</x:v>
      </x:c>
      <x:c r="E195" s="380" t="n">
        <x:v>8</x:v>
      </x:c>
      <x:c r="F195" s="380" t="n">
        <x:v>2</x:v>
      </x:c>
      <x:c r="G195" s="380" t="n">
        <x:f>--(F195&lt;='Estimator'!$B$7)</x:f>
        <x:v>1</x:v>
      </x:c>
      <x:c r="H195" s="381" t="n">
        <x:f>SUMIFS('Climate Data'!$G$7:$G$366,'Climate Data'!$A$7:$A$366,'Estimator'!$B$4,'Climate Data'!$B$7:$B$366,C195)</x:f>
        <x:v>0.49078341013824883</x:v>
      </x:c>
      <x:c r="I195" s="382" t="n">
        <x:f>SUMIFS('Climate Data'!$H$7:$H$366,'Climate Data'!$A$7:$A$366,'Estimator'!$B$4,'Climate Data'!$B$7:$B$366,C195)</x:f>
        <x:v>8.998122065727701</x:v>
      </x:c>
      <x:c r="J195" s="381" t="n">
        <x:f>SUMIFS('Wind Proxy'!$H$8:$H$19,'Wind Proxy'!$A$8:$A$19,'Estimator'!$B$4,'Wind Proxy'!$B$8:$B$19,C195)</x:f>
        <x:v>0.13739545997610514</x:v>
      </x:c>
    </x:row>
    <x:row r="196">
      <x:c r="A196" s="379" t="n">
        <x:v>45847</x:v>
      </x:c>
      <x:c r="B196" s="380" t="n">
        <x:v>2025</x:v>
      </x:c>
      <x:c r="C196" s="380" t="n">
        <x:v>7</x:v>
      </x:c>
      <x:c r="D196" s="380" t="str">
        <x:v>Jul</x:v>
      </x:c>
      <x:c r="E196" s="380" t="n">
        <x:v>9</x:v>
      </x:c>
      <x:c r="F196" s="380" t="n">
        <x:v>3</x:v>
      </x:c>
      <x:c r="G196" s="380" t="n">
        <x:f>--(F196&lt;='Estimator'!$B$7)</x:f>
        <x:v>1</x:v>
      </x:c>
      <x:c r="H196" s="381" t="n">
        <x:f>SUMIFS('Climate Data'!$G$7:$G$366,'Climate Data'!$A$7:$A$366,'Estimator'!$B$4,'Climate Data'!$B$7:$B$366,C196)</x:f>
        <x:v>0.49078341013824883</x:v>
      </x:c>
      <x:c r="I196" s="382" t="n">
        <x:f>SUMIFS('Climate Data'!$H$7:$H$366,'Climate Data'!$A$7:$A$366,'Estimator'!$B$4,'Climate Data'!$B$7:$B$366,C196)</x:f>
        <x:v>8.998122065727701</x:v>
      </x:c>
      <x:c r="J196" s="381" t="n">
        <x:f>SUMIFS('Wind Proxy'!$H$8:$H$19,'Wind Proxy'!$A$8:$A$19,'Estimator'!$B$4,'Wind Proxy'!$B$8:$B$19,C196)</x:f>
        <x:v>0.13739545997610514</x:v>
      </x:c>
    </x:row>
    <x:row r="197">
      <x:c r="A197" s="379" t="n">
        <x:v>45848</x:v>
      </x:c>
      <x:c r="B197" s="380" t="n">
        <x:v>2025</x:v>
      </x:c>
      <x:c r="C197" s="380" t="n">
        <x:v>7</x:v>
      </x:c>
      <x:c r="D197" s="380" t="str">
        <x:v>Jul</x:v>
      </x:c>
      <x:c r="E197" s="380" t="n">
        <x:v>10</x:v>
      </x:c>
      <x:c r="F197" s="380" t="n">
        <x:v>4</x:v>
      </x:c>
      <x:c r="G197" s="380" t="n">
        <x:f>--(F197&lt;='Estimator'!$B$7)</x:f>
        <x:v>1</x:v>
      </x:c>
      <x:c r="H197" s="381" t="n">
        <x:f>SUMIFS('Climate Data'!$G$7:$G$366,'Climate Data'!$A$7:$A$366,'Estimator'!$B$4,'Climate Data'!$B$7:$B$366,C197)</x:f>
        <x:v>0.49078341013824883</x:v>
      </x:c>
      <x:c r="I197" s="382" t="n">
        <x:f>SUMIFS('Climate Data'!$H$7:$H$366,'Climate Data'!$A$7:$A$366,'Estimator'!$B$4,'Climate Data'!$B$7:$B$366,C197)</x:f>
        <x:v>8.998122065727701</x:v>
      </x:c>
      <x:c r="J197" s="381" t="n">
        <x:f>SUMIFS('Wind Proxy'!$H$8:$H$19,'Wind Proxy'!$A$8:$A$19,'Estimator'!$B$4,'Wind Proxy'!$B$8:$B$19,C197)</x:f>
        <x:v>0.13739545997610514</x:v>
      </x:c>
    </x:row>
    <x:row r="198">
      <x:c r="A198" s="379" t="n">
        <x:v>45849</x:v>
      </x:c>
      <x:c r="B198" s="380" t="n">
        <x:v>2025</x:v>
      </x:c>
      <x:c r="C198" s="380" t="n">
        <x:v>7</x:v>
      </x:c>
      <x:c r="D198" s="380" t="str">
        <x:v>Jul</x:v>
      </x:c>
      <x:c r="E198" s="380" t="n">
        <x:v>11</x:v>
      </x:c>
      <x:c r="F198" s="380" t="n">
        <x:v>5</x:v>
      </x:c>
      <x:c r="G198" s="380" t="n">
        <x:f>--(F198&lt;='Estimator'!$B$7)</x:f>
        <x:v>1</x:v>
      </x:c>
      <x:c r="H198" s="381" t="n">
        <x:f>SUMIFS('Climate Data'!$G$7:$G$366,'Climate Data'!$A$7:$A$366,'Estimator'!$B$4,'Climate Data'!$B$7:$B$366,C198)</x:f>
        <x:v>0.49078341013824883</x:v>
      </x:c>
      <x:c r="I198" s="382" t="n">
        <x:f>SUMIFS('Climate Data'!$H$7:$H$366,'Climate Data'!$A$7:$A$366,'Estimator'!$B$4,'Climate Data'!$B$7:$B$366,C198)</x:f>
        <x:v>8.998122065727701</x:v>
      </x:c>
      <x:c r="J198" s="381" t="n">
        <x:f>SUMIFS('Wind Proxy'!$H$8:$H$19,'Wind Proxy'!$A$8:$A$19,'Estimator'!$B$4,'Wind Proxy'!$B$8:$B$19,C198)</x:f>
        <x:v>0.13739545997610514</x:v>
      </x:c>
    </x:row>
    <x:row r="199">
      <x:c r="A199" s="379" t="n">
        <x:v>45850</x:v>
      </x:c>
      <x:c r="B199" s="380" t="n">
        <x:v>2025</x:v>
      </x:c>
      <x:c r="C199" s="380" t="n">
        <x:v>7</x:v>
      </x:c>
      <x:c r="D199" s="380" t="str">
        <x:v>Jul</x:v>
      </x:c>
      <x:c r="E199" s="380" t="n">
        <x:v>12</x:v>
      </x:c>
      <x:c r="F199" s="380" t="n">
        <x:v>6</x:v>
      </x:c>
      <x:c r="G199" s="380" t="n">
        <x:f>--(F199&lt;='Estimator'!$B$7)</x:f>
        <x:v>0</x:v>
      </x:c>
      <x:c r="H199" s="381" t="n">
        <x:f>SUMIFS('Climate Data'!$G$7:$G$366,'Climate Data'!$A$7:$A$366,'Estimator'!$B$4,'Climate Data'!$B$7:$B$366,C199)</x:f>
        <x:v>0.49078341013824883</x:v>
      </x:c>
      <x:c r="I199" s="382" t="n">
        <x:f>SUMIFS('Climate Data'!$H$7:$H$366,'Climate Data'!$A$7:$A$366,'Estimator'!$B$4,'Climate Data'!$B$7:$B$366,C199)</x:f>
        <x:v>8.998122065727701</x:v>
      </x:c>
      <x:c r="J199" s="381" t="n">
        <x:f>SUMIFS('Wind Proxy'!$H$8:$H$19,'Wind Proxy'!$A$8:$A$19,'Estimator'!$B$4,'Wind Proxy'!$B$8:$B$19,C199)</x:f>
        <x:v>0.13739545997610514</x:v>
      </x:c>
    </x:row>
    <x:row r="200">
      <x:c r="A200" s="379" t="n">
        <x:v>45851</x:v>
      </x:c>
      <x:c r="B200" s="380" t="n">
        <x:v>2025</x:v>
      </x:c>
      <x:c r="C200" s="380" t="n">
        <x:v>7</x:v>
      </x:c>
      <x:c r="D200" s="380" t="str">
        <x:v>Jul</x:v>
      </x:c>
      <x:c r="E200" s="380" t="n">
        <x:v>13</x:v>
      </x:c>
      <x:c r="F200" s="380" t="n">
        <x:v>7</x:v>
      </x:c>
      <x:c r="G200" s="380" t="n">
        <x:f>--(F200&lt;='Estimator'!$B$7)</x:f>
        <x:v>0</x:v>
      </x:c>
      <x:c r="H200" s="381" t="n">
        <x:f>SUMIFS('Climate Data'!$G$7:$G$366,'Climate Data'!$A$7:$A$366,'Estimator'!$B$4,'Climate Data'!$B$7:$B$366,C200)</x:f>
        <x:v>0.49078341013824883</x:v>
      </x:c>
      <x:c r="I200" s="382" t="n">
        <x:f>SUMIFS('Climate Data'!$H$7:$H$366,'Climate Data'!$A$7:$A$366,'Estimator'!$B$4,'Climate Data'!$B$7:$B$366,C200)</x:f>
        <x:v>8.998122065727701</x:v>
      </x:c>
      <x:c r="J200" s="381" t="n">
        <x:f>SUMIFS('Wind Proxy'!$H$8:$H$19,'Wind Proxy'!$A$8:$A$19,'Estimator'!$B$4,'Wind Proxy'!$B$8:$B$19,C200)</x:f>
        <x:v>0.13739545997610514</x:v>
      </x:c>
    </x:row>
    <x:row r="201">
      <x:c r="A201" s="379" t="n">
        <x:v>45852</x:v>
      </x:c>
      <x:c r="B201" s="380" t="n">
        <x:v>2025</x:v>
      </x:c>
      <x:c r="C201" s="380" t="n">
        <x:v>7</x:v>
      </x:c>
      <x:c r="D201" s="380" t="str">
        <x:v>Jul</x:v>
      </x:c>
      <x:c r="E201" s="380" t="n">
        <x:v>14</x:v>
      </x:c>
      <x:c r="F201" s="380" t="n">
        <x:v>1</x:v>
      </x:c>
      <x:c r="G201" s="380" t="n">
        <x:f>--(F201&lt;='Estimator'!$B$7)</x:f>
        <x:v>1</x:v>
      </x:c>
      <x:c r="H201" s="381" t="n">
        <x:f>SUMIFS('Climate Data'!$G$7:$G$366,'Climate Data'!$A$7:$A$366,'Estimator'!$B$4,'Climate Data'!$B$7:$B$366,C201)</x:f>
        <x:v>0.49078341013824883</x:v>
      </x:c>
      <x:c r="I201" s="382" t="n">
        <x:f>SUMIFS('Climate Data'!$H$7:$H$366,'Climate Data'!$A$7:$A$366,'Estimator'!$B$4,'Climate Data'!$B$7:$B$366,C201)</x:f>
        <x:v>8.998122065727701</x:v>
      </x:c>
      <x:c r="J201" s="381" t="n">
        <x:f>SUMIFS('Wind Proxy'!$H$8:$H$19,'Wind Proxy'!$A$8:$A$19,'Estimator'!$B$4,'Wind Proxy'!$B$8:$B$19,C201)</x:f>
        <x:v>0.13739545997610514</x:v>
      </x:c>
    </x:row>
    <x:row r="202">
      <x:c r="A202" s="379" t="n">
        <x:v>45853</x:v>
      </x:c>
      <x:c r="B202" s="380" t="n">
        <x:v>2025</x:v>
      </x:c>
      <x:c r="C202" s="380" t="n">
        <x:v>7</x:v>
      </x:c>
      <x:c r="D202" s="380" t="str">
        <x:v>Jul</x:v>
      </x:c>
      <x:c r="E202" s="380" t="n">
        <x:v>15</x:v>
      </x:c>
      <x:c r="F202" s="380" t="n">
        <x:v>2</x:v>
      </x:c>
      <x:c r="G202" s="380" t="n">
        <x:f>--(F202&lt;='Estimator'!$B$7)</x:f>
        <x:v>1</x:v>
      </x:c>
      <x:c r="H202" s="381" t="n">
        <x:f>SUMIFS('Climate Data'!$G$7:$G$366,'Climate Data'!$A$7:$A$366,'Estimator'!$B$4,'Climate Data'!$B$7:$B$366,C202)</x:f>
        <x:v>0.49078341013824883</x:v>
      </x:c>
      <x:c r="I202" s="382" t="n">
        <x:f>SUMIFS('Climate Data'!$H$7:$H$366,'Climate Data'!$A$7:$A$366,'Estimator'!$B$4,'Climate Data'!$B$7:$B$366,C202)</x:f>
        <x:v>8.998122065727701</x:v>
      </x:c>
      <x:c r="J202" s="381" t="n">
        <x:f>SUMIFS('Wind Proxy'!$H$8:$H$19,'Wind Proxy'!$A$8:$A$19,'Estimator'!$B$4,'Wind Proxy'!$B$8:$B$19,C202)</x:f>
        <x:v>0.13739545997610514</x:v>
      </x:c>
    </x:row>
    <x:row r="203">
      <x:c r="A203" s="379" t="n">
        <x:v>45854</x:v>
      </x:c>
      <x:c r="B203" s="380" t="n">
        <x:v>2025</x:v>
      </x:c>
      <x:c r="C203" s="380" t="n">
        <x:v>7</x:v>
      </x:c>
      <x:c r="D203" s="380" t="str">
        <x:v>Jul</x:v>
      </x:c>
      <x:c r="E203" s="380" t="n">
        <x:v>16</x:v>
      </x:c>
      <x:c r="F203" s="380" t="n">
        <x:v>3</x:v>
      </x:c>
      <x:c r="G203" s="380" t="n">
        <x:f>--(F203&lt;='Estimator'!$B$7)</x:f>
        <x:v>1</x:v>
      </x:c>
      <x:c r="H203" s="381" t="n">
        <x:f>SUMIFS('Climate Data'!$G$7:$G$366,'Climate Data'!$A$7:$A$366,'Estimator'!$B$4,'Climate Data'!$B$7:$B$366,C203)</x:f>
        <x:v>0.49078341013824883</x:v>
      </x:c>
      <x:c r="I203" s="382" t="n">
        <x:f>SUMIFS('Climate Data'!$H$7:$H$366,'Climate Data'!$A$7:$A$366,'Estimator'!$B$4,'Climate Data'!$B$7:$B$366,C203)</x:f>
        <x:v>8.998122065727701</x:v>
      </x:c>
      <x:c r="J203" s="381" t="n">
        <x:f>SUMIFS('Wind Proxy'!$H$8:$H$19,'Wind Proxy'!$A$8:$A$19,'Estimator'!$B$4,'Wind Proxy'!$B$8:$B$19,C203)</x:f>
        <x:v>0.13739545997610514</x:v>
      </x:c>
    </x:row>
    <x:row r="204">
      <x:c r="A204" s="379" t="n">
        <x:v>45855</x:v>
      </x:c>
      <x:c r="B204" s="380" t="n">
        <x:v>2025</x:v>
      </x:c>
      <x:c r="C204" s="380" t="n">
        <x:v>7</x:v>
      </x:c>
      <x:c r="D204" s="380" t="str">
        <x:v>Jul</x:v>
      </x:c>
      <x:c r="E204" s="380" t="n">
        <x:v>17</x:v>
      </x:c>
      <x:c r="F204" s="380" t="n">
        <x:v>4</x:v>
      </x:c>
      <x:c r="G204" s="380" t="n">
        <x:f>--(F204&lt;='Estimator'!$B$7)</x:f>
        <x:v>1</x:v>
      </x:c>
      <x:c r="H204" s="381" t="n">
        <x:f>SUMIFS('Climate Data'!$G$7:$G$366,'Climate Data'!$A$7:$A$366,'Estimator'!$B$4,'Climate Data'!$B$7:$B$366,C204)</x:f>
        <x:v>0.49078341013824883</x:v>
      </x:c>
      <x:c r="I204" s="382" t="n">
        <x:f>SUMIFS('Climate Data'!$H$7:$H$366,'Climate Data'!$A$7:$A$366,'Estimator'!$B$4,'Climate Data'!$B$7:$B$366,C204)</x:f>
        <x:v>8.998122065727701</x:v>
      </x:c>
      <x:c r="J204" s="381" t="n">
        <x:f>SUMIFS('Wind Proxy'!$H$8:$H$19,'Wind Proxy'!$A$8:$A$19,'Estimator'!$B$4,'Wind Proxy'!$B$8:$B$19,C204)</x:f>
        <x:v>0.13739545997610514</x:v>
      </x:c>
    </x:row>
    <x:row r="205">
      <x:c r="A205" s="379" t="n">
        <x:v>45856</x:v>
      </x:c>
      <x:c r="B205" s="380" t="n">
        <x:v>2025</x:v>
      </x:c>
      <x:c r="C205" s="380" t="n">
        <x:v>7</x:v>
      </x:c>
      <x:c r="D205" s="380" t="str">
        <x:v>Jul</x:v>
      </x:c>
      <x:c r="E205" s="380" t="n">
        <x:v>18</x:v>
      </x:c>
      <x:c r="F205" s="380" t="n">
        <x:v>5</x:v>
      </x:c>
      <x:c r="G205" s="380" t="n">
        <x:f>--(F205&lt;='Estimator'!$B$7)</x:f>
        <x:v>1</x:v>
      </x:c>
      <x:c r="H205" s="381" t="n">
        <x:f>SUMIFS('Climate Data'!$G$7:$G$366,'Climate Data'!$A$7:$A$366,'Estimator'!$B$4,'Climate Data'!$B$7:$B$366,C205)</x:f>
        <x:v>0.49078341013824883</x:v>
      </x:c>
      <x:c r="I205" s="382" t="n">
        <x:f>SUMIFS('Climate Data'!$H$7:$H$366,'Climate Data'!$A$7:$A$366,'Estimator'!$B$4,'Climate Data'!$B$7:$B$366,C205)</x:f>
        <x:v>8.998122065727701</x:v>
      </x:c>
      <x:c r="J205" s="381" t="n">
        <x:f>SUMIFS('Wind Proxy'!$H$8:$H$19,'Wind Proxy'!$A$8:$A$19,'Estimator'!$B$4,'Wind Proxy'!$B$8:$B$19,C205)</x:f>
        <x:v>0.13739545997610514</x:v>
      </x:c>
    </x:row>
    <x:row r="206">
      <x:c r="A206" s="379" t="n">
        <x:v>45857</x:v>
      </x:c>
      <x:c r="B206" s="380" t="n">
        <x:v>2025</x:v>
      </x:c>
      <x:c r="C206" s="380" t="n">
        <x:v>7</x:v>
      </x:c>
      <x:c r="D206" s="380" t="str">
        <x:v>Jul</x:v>
      </x:c>
      <x:c r="E206" s="380" t="n">
        <x:v>19</x:v>
      </x:c>
      <x:c r="F206" s="380" t="n">
        <x:v>6</x:v>
      </x:c>
      <x:c r="G206" s="380" t="n">
        <x:f>--(F206&lt;='Estimator'!$B$7)</x:f>
        <x:v>0</x:v>
      </x:c>
      <x:c r="H206" s="381" t="n">
        <x:f>SUMIFS('Climate Data'!$G$7:$G$366,'Climate Data'!$A$7:$A$366,'Estimator'!$B$4,'Climate Data'!$B$7:$B$366,C206)</x:f>
        <x:v>0.49078341013824883</x:v>
      </x:c>
      <x:c r="I206" s="382" t="n">
        <x:f>SUMIFS('Climate Data'!$H$7:$H$366,'Climate Data'!$A$7:$A$366,'Estimator'!$B$4,'Climate Data'!$B$7:$B$366,C206)</x:f>
        <x:v>8.998122065727701</x:v>
      </x:c>
      <x:c r="J206" s="381" t="n">
        <x:f>SUMIFS('Wind Proxy'!$H$8:$H$19,'Wind Proxy'!$A$8:$A$19,'Estimator'!$B$4,'Wind Proxy'!$B$8:$B$19,C206)</x:f>
        <x:v>0.13739545997610514</x:v>
      </x:c>
    </x:row>
    <x:row r="207">
      <x:c r="A207" s="379" t="n">
        <x:v>45858</x:v>
      </x:c>
      <x:c r="B207" s="380" t="n">
        <x:v>2025</x:v>
      </x:c>
      <x:c r="C207" s="380" t="n">
        <x:v>7</x:v>
      </x:c>
      <x:c r="D207" s="380" t="str">
        <x:v>Jul</x:v>
      </x:c>
      <x:c r="E207" s="380" t="n">
        <x:v>20</x:v>
      </x:c>
      <x:c r="F207" s="380" t="n">
        <x:v>7</x:v>
      </x:c>
      <x:c r="G207" s="380" t="n">
        <x:f>--(F207&lt;='Estimator'!$B$7)</x:f>
        <x:v>0</x:v>
      </x:c>
      <x:c r="H207" s="381" t="n">
        <x:f>SUMIFS('Climate Data'!$G$7:$G$366,'Climate Data'!$A$7:$A$366,'Estimator'!$B$4,'Climate Data'!$B$7:$B$366,C207)</x:f>
        <x:v>0.49078341013824883</x:v>
      </x:c>
      <x:c r="I207" s="382" t="n">
        <x:f>SUMIFS('Climate Data'!$H$7:$H$366,'Climate Data'!$A$7:$A$366,'Estimator'!$B$4,'Climate Data'!$B$7:$B$366,C207)</x:f>
        <x:v>8.998122065727701</x:v>
      </x:c>
      <x:c r="J207" s="381" t="n">
        <x:f>SUMIFS('Wind Proxy'!$H$8:$H$19,'Wind Proxy'!$A$8:$A$19,'Estimator'!$B$4,'Wind Proxy'!$B$8:$B$19,C207)</x:f>
        <x:v>0.13739545997610514</x:v>
      </x:c>
    </x:row>
    <x:row r="208">
      <x:c r="A208" s="379" t="n">
        <x:v>45859</x:v>
      </x:c>
      <x:c r="B208" s="380" t="n">
        <x:v>2025</x:v>
      </x:c>
      <x:c r="C208" s="380" t="n">
        <x:v>7</x:v>
      </x:c>
      <x:c r="D208" s="380" t="str">
        <x:v>Jul</x:v>
      </x:c>
      <x:c r="E208" s="380" t="n">
        <x:v>21</x:v>
      </x:c>
      <x:c r="F208" s="380" t="n">
        <x:v>1</x:v>
      </x:c>
      <x:c r="G208" s="380" t="n">
        <x:f>--(F208&lt;='Estimator'!$B$7)</x:f>
        <x:v>1</x:v>
      </x:c>
      <x:c r="H208" s="381" t="n">
        <x:f>SUMIFS('Climate Data'!$G$7:$G$366,'Climate Data'!$A$7:$A$366,'Estimator'!$B$4,'Climate Data'!$B$7:$B$366,C208)</x:f>
        <x:v>0.49078341013824883</x:v>
      </x:c>
      <x:c r="I208" s="382" t="n">
        <x:f>SUMIFS('Climate Data'!$H$7:$H$366,'Climate Data'!$A$7:$A$366,'Estimator'!$B$4,'Climate Data'!$B$7:$B$366,C208)</x:f>
        <x:v>8.998122065727701</x:v>
      </x:c>
      <x:c r="J208" s="381" t="n">
        <x:f>SUMIFS('Wind Proxy'!$H$8:$H$19,'Wind Proxy'!$A$8:$A$19,'Estimator'!$B$4,'Wind Proxy'!$B$8:$B$19,C208)</x:f>
        <x:v>0.13739545997610514</x:v>
      </x:c>
    </x:row>
    <x:row r="209">
      <x:c r="A209" s="379" t="n">
        <x:v>45860</x:v>
      </x:c>
      <x:c r="B209" s="380" t="n">
        <x:v>2025</x:v>
      </x:c>
      <x:c r="C209" s="380" t="n">
        <x:v>7</x:v>
      </x:c>
      <x:c r="D209" s="380" t="str">
        <x:v>Jul</x:v>
      </x:c>
      <x:c r="E209" s="380" t="n">
        <x:v>22</x:v>
      </x:c>
      <x:c r="F209" s="380" t="n">
        <x:v>2</x:v>
      </x:c>
      <x:c r="G209" s="380" t="n">
        <x:f>--(F209&lt;='Estimator'!$B$7)</x:f>
        <x:v>1</x:v>
      </x:c>
      <x:c r="H209" s="381" t="n">
        <x:f>SUMIFS('Climate Data'!$G$7:$G$366,'Climate Data'!$A$7:$A$366,'Estimator'!$B$4,'Climate Data'!$B$7:$B$366,C209)</x:f>
        <x:v>0.49078341013824883</x:v>
      </x:c>
      <x:c r="I209" s="382" t="n">
        <x:f>SUMIFS('Climate Data'!$H$7:$H$366,'Climate Data'!$A$7:$A$366,'Estimator'!$B$4,'Climate Data'!$B$7:$B$366,C209)</x:f>
        <x:v>8.998122065727701</x:v>
      </x:c>
      <x:c r="J209" s="381" t="n">
        <x:f>SUMIFS('Wind Proxy'!$H$8:$H$19,'Wind Proxy'!$A$8:$A$19,'Estimator'!$B$4,'Wind Proxy'!$B$8:$B$19,C209)</x:f>
        <x:v>0.13739545997610514</x:v>
      </x:c>
    </x:row>
    <x:row r="210">
      <x:c r="A210" s="379" t="n">
        <x:v>45861</x:v>
      </x:c>
      <x:c r="B210" s="380" t="n">
        <x:v>2025</x:v>
      </x:c>
      <x:c r="C210" s="380" t="n">
        <x:v>7</x:v>
      </x:c>
      <x:c r="D210" s="380" t="str">
        <x:v>Jul</x:v>
      </x:c>
      <x:c r="E210" s="380" t="n">
        <x:v>23</x:v>
      </x:c>
      <x:c r="F210" s="380" t="n">
        <x:v>3</x:v>
      </x:c>
      <x:c r="G210" s="380" t="n">
        <x:f>--(F210&lt;='Estimator'!$B$7)</x:f>
        <x:v>1</x:v>
      </x:c>
      <x:c r="H210" s="381" t="n">
        <x:f>SUMIFS('Climate Data'!$G$7:$G$366,'Climate Data'!$A$7:$A$366,'Estimator'!$B$4,'Climate Data'!$B$7:$B$366,C210)</x:f>
        <x:v>0.49078341013824883</x:v>
      </x:c>
      <x:c r="I210" s="382" t="n">
        <x:f>SUMIFS('Climate Data'!$H$7:$H$366,'Climate Data'!$A$7:$A$366,'Estimator'!$B$4,'Climate Data'!$B$7:$B$366,C210)</x:f>
        <x:v>8.998122065727701</x:v>
      </x:c>
      <x:c r="J210" s="381" t="n">
        <x:f>SUMIFS('Wind Proxy'!$H$8:$H$19,'Wind Proxy'!$A$8:$A$19,'Estimator'!$B$4,'Wind Proxy'!$B$8:$B$19,C210)</x:f>
        <x:v>0.13739545997610514</x:v>
      </x:c>
    </x:row>
    <x:row r="211">
      <x:c r="A211" s="379" t="n">
        <x:v>45862</x:v>
      </x:c>
      <x:c r="B211" s="380" t="n">
        <x:v>2025</x:v>
      </x:c>
      <x:c r="C211" s="380" t="n">
        <x:v>7</x:v>
      </x:c>
      <x:c r="D211" s="380" t="str">
        <x:v>Jul</x:v>
      </x:c>
      <x:c r="E211" s="380" t="n">
        <x:v>24</x:v>
      </x:c>
      <x:c r="F211" s="380" t="n">
        <x:v>4</x:v>
      </x:c>
      <x:c r="G211" s="380" t="n">
        <x:f>--(F211&lt;='Estimator'!$B$7)</x:f>
        <x:v>1</x:v>
      </x:c>
      <x:c r="H211" s="381" t="n">
        <x:f>SUMIFS('Climate Data'!$G$7:$G$366,'Climate Data'!$A$7:$A$366,'Estimator'!$B$4,'Climate Data'!$B$7:$B$366,C211)</x:f>
        <x:v>0.49078341013824883</x:v>
      </x:c>
      <x:c r="I211" s="382" t="n">
        <x:f>SUMIFS('Climate Data'!$H$7:$H$366,'Climate Data'!$A$7:$A$366,'Estimator'!$B$4,'Climate Data'!$B$7:$B$366,C211)</x:f>
        <x:v>8.998122065727701</x:v>
      </x:c>
      <x:c r="J211" s="381" t="n">
        <x:f>SUMIFS('Wind Proxy'!$H$8:$H$19,'Wind Proxy'!$A$8:$A$19,'Estimator'!$B$4,'Wind Proxy'!$B$8:$B$19,C211)</x:f>
        <x:v>0.13739545997610514</x:v>
      </x:c>
    </x:row>
    <x:row r="212">
      <x:c r="A212" s="379" t="n">
        <x:v>45863</x:v>
      </x:c>
      <x:c r="B212" s="380" t="n">
        <x:v>2025</x:v>
      </x:c>
      <x:c r="C212" s="380" t="n">
        <x:v>7</x:v>
      </x:c>
      <x:c r="D212" s="380" t="str">
        <x:v>Jul</x:v>
      </x:c>
      <x:c r="E212" s="380" t="n">
        <x:v>25</x:v>
      </x:c>
      <x:c r="F212" s="380" t="n">
        <x:v>5</x:v>
      </x:c>
      <x:c r="G212" s="380" t="n">
        <x:f>--(F212&lt;='Estimator'!$B$7)</x:f>
        <x:v>1</x:v>
      </x:c>
      <x:c r="H212" s="381" t="n">
        <x:f>SUMIFS('Climate Data'!$G$7:$G$366,'Climate Data'!$A$7:$A$366,'Estimator'!$B$4,'Climate Data'!$B$7:$B$366,C212)</x:f>
        <x:v>0.49078341013824883</x:v>
      </x:c>
      <x:c r="I212" s="382" t="n">
        <x:f>SUMIFS('Climate Data'!$H$7:$H$366,'Climate Data'!$A$7:$A$366,'Estimator'!$B$4,'Climate Data'!$B$7:$B$366,C212)</x:f>
        <x:v>8.998122065727701</x:v>
      </x:c>
      <x:c r="J212" s="381" t="n">
        <x:f>SUMIFS('Wind Proxy'!$H$8:$H$19,'Wind Proxy'!$A$8:$A$19,'Estimator'!$B$4,'Wind Proxy'!$B$8:$B$19,C212)</x:f>
        <x:v>0.13739545997610514</x:v>
      </x:c>
    </x:row>
    <x:row r="213">
      <x:c r="A213" s="379" t="n">
        <x:v>45864</x:v>
      </x:c>
      <x:c r="B213" s="380" t="n">
        <x:v>2025</x:v>
      </x:c>
      <x:c r="C213" s="380" t="n">
        <x:v>7</x:v>
      </x:c>
      <x:c r="D213" s="380" t="str">
        <x:v>Jul</x:v>
      </x:c>
      <x:c r="E213" s="380" t="n">
        <x:v>26</x:v>
      </x:c>
      <x:c r="F213" s="380" t="n">
        <x:v>6</x:v>
      </x:c>
      <x:c r="G213" s="380" t="n">
        <x:f>--(F213&lt;='Estimator'!$B$7)</x:f>
        <x:v>0</x:v>
      </x:c>
      <x:c r="H213" s="381" t="n">
        <x:f>SUMIFS('Climate Data'!$G$7:$G$366,'Climate Data'!$A$7:$A$366,'Estimator'!$B$4,'Climate Data'!$B$7:$B$366,C213)</x:f>
        <x:v>0.49078341013824883</x:v>
      </x:c>
      <x:c r="I213" s="382" t="n">
        <x:f>SUMIFS('Climate Data'!$H$7:$H$366,'Climate Data'!$A$7:$A$366,'Estimator'!$B$4,'Climate Data'!$B$7:$B$366,C213)</x:f>
        <x:v>8.998122065727701</x:v>
      </x:c>
      <x:c r="J213" s="381" t="n">
        <x:f>SUMIFS('Wind Proxy'!$H$8:$H$19,'Wind Proxy'!$A$8:$A$19,'Estimator'!$B$4,'Wind Proxy'!$B$8:$B$19,C213)</x:f>
        <x:v>0.13739545997610514</x:v>
      </x:c>
    </x:row>
    <x:row r="214">
      <x:c r="A214" s="379" t="n">
        <x:v>45865</x:v>
      </x:c>
      <x:c r="B214" s="380" t="n">
        <x:v>2025</x:v>
      </x:c>
      <x:c r="C214" s="380" t="n">
        <x:v>7</x:v>
      </x:c>
      <x:c r="D214" s="380" t="str">
        <x:v>Jul</x:v>
      </x:c>
      <x:c r="E214" s="380" t="n">
        <x:v>27</x:v>
      </x:c>
      <x:c r="F214" s="380" t="n">
        <x:v>7</x:v>
      </x:c>
      <x:c r="G214" s="380" t="n">
        <x:f>--(F214&lt;='Estimator'!$B$7)</x:f>
        <x:v>0</x:v>
      </x:c>
      <x:c r="H214" s="381" t="n">
        <x:f>SUMIFS('Climate Data'!$G$7:$G$366,'Climate Data'!$A$7:$A$366,'Estimator'!$B$4,'Climate Data'!$B$7:$B$366,C214)</x:f>
        <x:v>0.49078341013824883</x:v>
      </x:c>
      <x:c r="I214" s="382" t="n">
        <x:f>SUMIFS('Climate Data'!$H$7:$H$366,'Climate Data'!$A$7:$A$366,'Estimator'!$B$4,'Climate Data'!$B$7:$B$366,C214)</x:f>
        <x:v>8.998122065727701</x:v>
      </x:c>
      <x:c r="J214" s="381" t="n">
        <x:f>SUMIFS('Wind Proxy'!$H$8:$H$19,'Wind Proxy'!$A$8:$A$19,'Estimator'!$B$4,'Wind Proxy'!$B$8:$B$19,C214)</x:f>
        <x:v>0.13739545997610514</x:v>
      </x:c>
    </x:row>
    <x:row r="215">
      <x:c r="A215" s="379" t="n">
        <x:v>45866</x:v>
      </x:c>
      <x:c r="B215" s="380" t="n">
        <x:v>2025</x:v>
      </x:c>
      <x:c r="C215" s="380" t="n">
        <x:v>7</x:v>
      </x:c>
      <x:c r="D215" s="380" t="str">
        <x:v>Jul</x:v>
      </x:c>
      <x:c r="E215" s="380" t="n">
        <x:v>28</x:v>
      </x:c>
      <x:c r="F215" s="380" t="n">
        <x:v>1</x:v>
      </x:c>
      <x:c r="G215" s="380" t="n">
        <x:f>--(F215&lt;='Estimator'!$B$7)</x:f>
        <x:v>1</x:v>
      </x:c>
      <x:c r="H215" s="381" t="n">
        <x:f>SUMIFS('Climate Data'!$G$7:$G$366,'Climate Data'!$A$7:$A$366,'Estimator'!$B$4,'Climate Data'!$B$7:$B$366,C215)</x:f>
        <x:v>0.49078341013824883</x:v>
      </x:c>
      <x:c r="I215" s="382" t="n">
        <x:f>SUMIFS('Climate Data'!$H$7:$H$366,'Climate Data'!$A$7:$A$366,'Estimator'!$B$4,'Climate Data'!$B$7:$B$366,C215)</x:f>
        <x:v>8.998122065727701</x:v>
      </x:c>
      <x:c r="J215" s="381" t="n">
        <x:f>SUMIFS('Wind Proxy'!$H$8:$H$19,'Wind Proxy'!$A$8:$A$19,'Estimator'!$B$4,'Wind Proxy'!$B$8:$B$19,C215)</x:f>
        <x:v>0.13739545997610514</x:v>
      </x:c>
    </x:row>
    <x:row r="216">
      <x:c r="A216" s="379" t="n">
        <x:v>45867</x:v>
      </x:c>
      <x:c r="B216" s="380" t="n">
        <x:v>2025</x:v>
      </x:c>
      <x:c r="C216" s="380" t="n">
        <x:v>7</x:v>
      </x:c>
      <x:c r="D216" s="380" t="str">
        <x:v>Jul</x:v>
      </x:c>
      <x:c r="E216" s="380" t="n">
        <x:v>29</x:v>
      </x:c>
      <x:c r="F216" s="380" t="n">
        <x:v>2</x:v>
      </x:c>
      <x:c r="G216" s="380" t="n">
        <x:f>--(F216&lt;='Estimator'!$B$7)</x:f>
        <x:v>1</x:v>
      </x:c>
      <x:c r="H216" s="381" t="n">
        <x:f>SUMIFS('Climate Data'!$G$7:$G$366,'Climate Data'!$A$7:$A$366,'Estimator'!$B$4,'Climate Data'!$B$7:$B$366,C216)</x:f>
        <x:v>0.49078341013824883</x:v>
      </x:c>
      <x:c r="I216" s="382" t="n">
        <x:f>SUMIFS('Climate Data'!$H$7:$H$366,'Climate Data'!$A$7:$A$366,'Estimator'!$B$4,'Climate Data'!$B$7:$B$366,C216)</x:f>
        <x:v>8.998122065727701</x:v>
      </x:c>
      <x:c r="J216" s="381" t="n">
        <x:f>SUMIFS('Wind Proxy'!$H$8:$H$19,'Wind Proxy'!$A$8:$A$19,'Estimator'!$B$4,'Wind Proxy'!$B$8:$B$19,C216)</x:f>
        <x:v>0.13739545997610514</x:v>
      </x:c>
    </x:row>
    <x:row r="217">
      <x:c r="A217" s="379" t="n">
        <x:v>45868</x:v>
      </x:c>
      <x:c r="B217" s="380" t="n">
        <x:v>2025</x:v>
      </x:c>
      <x:c r="C217" s="380" t="n">
        <x:v>7</x:v>
      </x:c>
      <x:c r="D217" s="380" t="str">
        <x:v>Jul</x:v>
      </x:c>
      <x:c r="E217" s="380" t="n">
        <x:v>30</x:v>
      </x:c>
      <x:c r="F217" s="380" t="n">
        <x:v>3</x:v>
      </x:c>
      <x:c r="G217" s="380" t="n">
        <x:f>--(F217&lt;='Estimator'!$B$7)</x:f>
        <x:v>1</x:v>
      </x:c>
      <x:c r="H217" s="381" t="n">
        <x:f>SUMIFS('Climate Data'!$G$7:$G$366,'Climate Data'!$A$7:$A$366,'Estimator'!$B$4,'Climate Data'!$B$7:$B$366,C217)</x:f>
        <x:v>0.49078341013824883</x:v>
      </x:c>
      <x:c r="I217" s="382" t="n">
        <x:f>SUMIFS('Climate Data'!$H$7:$H$366,'Climate Data'!$A$7:$A$366,'Estimator'!$B$4,'Climate Data'!$B$7:$B$366,C217)</x:f>
        <x:v>8.998122065727701</x:v>
      </x:c>
      <x:c r="J217" s="381" t="n">
        <x:f>SUMIFS('Wind Proxy'!$H$8:$H$19,'Wind Proxy'!$A$8:$A$19,'Estimator'!$B$4,'Wind Proxy'!$B$8:$B$19,C217)</x:f>
        <x:v>0.13739545997610514</x:v>
      </x:c>
    </x:row>
    <x:row r="218">
      <x:c r="A218" s="379" t="n">
        <x:v>45869</x:v>
      </x:c>
      <x:c r="B218" s="380" t="n">
        <x:v>2025</x:v>
      </x:c>
      <x:c r="C218" s="380" t="n">
        <x:v>7</x:v>
      </x:c>
      <x:c r="D218" s="380" t="str">
        <x:v>Jul</x:v>
      </x:c>
      <x:c r="E218" s="380" t="n">
        <x:v>31</x:v>
      </x:c>
      <x:c r="F218" s="380" t="n">
        <x:v>4</x:v>
      </x:c>
      <x:c r="G218" s="380" t="n">
        <x:f>--(F218&lt;='Estimator'!$B$7)</x:f>
        <x:v>1</x:v>
      </x:c>
      <x:c r="H218" s="381" t="n">
        <x:f>SUMIFS('Climate Data'!$G$7:$G$366,'Climate Data'!$A$7:$A$366,'Estimator'!$B$4,'Climate Data'!$B$7:$B$366,C218)</x:f>
        <x:v>0.49078341013824883</x:v>
      </x:c>
      <x:c r="I218" s="382" t="n">
        <x:f>SUMIFS('Climate Data'!$H$7:$H$366,'Climate Data'!$A$7:$A$366,'Estimator'!$B$4,'Climate Data'!$B$7:$B$366,C218)</x:f>
        <x:v>8.998122065727701</x:v>
      </x:c>
      <x:c r="J218" s="381" t="n">
        <x:f>SUMIFS('Wind Proxy'!$H$8:$H$19,'Wind Proxy'!$A$8:$A$19,'Estimator'!$B$4,'Wind Proxy'!$B$8:$B$19,C218)</x:f>
        <x:v>0.13739545997610514</x:v>
      </x:c>
    </x:row>
    <x:row r="219">
      <x:c r="A219" s="379" t="n">
        <x:v>45870</x:v>
      </x:c>
      <x:c r="B219" s="380" t="n">
        <x:v>2025</x:v>
      </x:c>
      <x:c r="C219" s="380" t="n">
        <x:v>8</x:v>
      </x:c>
      <x:c r="D219" s="380" t="str">
        <x:v>Aug</x:v>
      </x:c>
      <x:c r="E219" s="380" t="n">
        <x:v>1</x:v>
      </x:c>
      <x:c r="F219" s="380" t="n">
        <x:v>5</x:v>
      </x:c>
      <x:c r="G219" s="380" t="n">
        <x:f>--(F219&lt;='Estimator'!$B$7)</x:f>
        <x:v>1</x:v>
      </x:c>
      <x:c r="H219" s="381" t="n">
        <x:f>SUMIFS('Climate Data'!$G$7:$G$366,'Climate Data'!$A$7:$A$366,'Estimator'!$B$4,'Climate Data'!$B$7:$B$366,C219)</x:f>
        <x:v>0.47274749721913234</x:v>
      </x:c>
      <x:c r="I219" s="382" t="n">
        <x:f>SUMIFS('Climate Data'!$H$7:$H$366,'Climate Data'!$A$7:$A$366,'Estimator'!$B$4,'Climate Data'!$B$7:$B$366,C219)</x:f>
        <x:v>7.9971764705882356</x:v>
      </x:c>
      <x:c r="J219" s="381" t="n">
        <x:f>SUMIFS('Wind Proxy'!$H$8:$H$19,'Wind Proxy'!$A$8:$A$19,'Estimator'!$B$4,'Wind Proxy'!$B$8:$B$19,C219)</x:f>
        <x:v>0.13739545997610514</x:v>
      </x:c>
    </x:row>
    <x:row r="220">
      <x:c r="A220" s="379" t="n">
        <x:v>45871</x:v>
      </x:c>
      <x:c r="B220" s="380" t="n">
        <x:v>2025</x:v>
      </x:c>
      <x:c r="C220" s="380" t="n">
        <x:v>8</x:v>
      </x:c>
      <x:c r="D220" s="380" t="str">
        <x:v>Aug</x:v>
      </x:c>
      <x:c r="E220" s="380" t="n">
        <x:v>2</x:v>
      </x:c>
      <x:c r="F220" s="380" t="n">
        <x:v>6</x:v>
      </x:c>
      <x:c r="G220" s="380" t="n">
        <x:f>--(F220&lt;='Estimator'!$B$7)</x:f>
        <x:v>0</x:v>
      </x:c>
      <x:c r="H220" s="381" t="n">
        <x:f>SUMIFS('Climate Data'!$G$7:$G$366,'Climate Data'!$A$7:$A$366,'Estimator'!$B$4,'Climate Data'!$B$7:$B$366,C220)</x:f>
        <x:v>0.47274749721913234</x:v>
      </x:c>
      <x:c r="I220" s="382" t="n">
        <x:f>SUMIFS('Climate Data'!$H$7:$H$366,'Climate Data'!$A$7:$A$366,'Estimator'!$B$4,'Climate Data'!$B$7:$B$366,C220)</x:f>
        <x:v>7.9971764705882356</x:v>
      </x:c>
      <x:c r="J220" s="381" t="n">
        <x:f>SUMIFS('Wind Proxy'!$H$8:$H$19,'Wind Proxy'!$A$8:$A$19,'Estimator'!$B$4,'Wind Proxy'!$B$8:$B$19,C220)</x:f>
        <x:v>0.13739545997610514</x:v>
      </x:c>
    </x:row>
    <x:row r="221">
      <x:c r="A221" s="379" t="n">
        <x:v>45872</x:v>
      </x:c>
      <x:c r="B221" s="380" t="n">
        <x:v>2025</x:v>
      </x:c>
      <x:c r="C221" s="380" t="n">
        <x:v>8</x:v>
      </x:c>
      <x:c r="D221" s="380" t="str">
        <x:v>Aug</x:v>
      </x:c>
      <x:c r="E221" s="380" t="n">
        <x:v>3</x:v>
      </x:c>
      <x:c r="F221" s="380" t="n">
        <x:v>7</x:v>
      </x:c>
      <x:c r="G221" s="380" t="n">
        <x:f>--(F221&lt;='Estimator'!$B$7)</x:f>
        <x:v>0</x:v>
      </x:c>
      <x:c r="H221" s="381" t="n">
        <x:f>SUMIFS('Climate Data'!$G$7:$G$366,'Climate Data'!$A$7:$A$366,'Estimator'!$B$4,'Climate Data'!$B$7:$B$366,C221)</x:f>
        <x:v>0.47274749721913234</x:v>
      </x:c>
      <x:c r="I221" s="382" t="n">
        <x:f>SUMIFS('Climate Data'!$H$7:$H$366,'Climate Data'!$A$7:$A$366,'Estimator'!$B$4,'Climate Data'!$B$7:$B$366,C221)</x:f>
        <x:v>7.9971764705882356</x:v>
      </x:c>
      <x:c r="J221" s="381" t="n">
        <x:f>SUMIFS('Wind Proxy'!$H$8:$H$19,'Wind Proxy'!$A$8:$A$19,'Estimator'!$B$4,'Wind Proxy'!$B$8:$B$19,C221)</x:f>
        <x:v>0.13739545997610514</x:v>
      </x:c>
    </x:row>
    <x:row r="222">
      <x:c r="A222" s="379" t="n">
        <x:v>45873</x:v>
      </x:c>
      <x:c r="B222" s="380" t="n">
        <x:v>2025</x:v>
      </x:c>
      <x:c r="C222" s="380" t="n">
        <x:v>8</x:v>
      </x:c>
      <x:c r="D222" s="380" t="str">
        <x:v>Aug</x:v>
      </x:c>
      <x:c r="E222" s="380" t="n">
        <x:v>4</x:v>
      </x:c>
      <x:c r="F222" s="380" t="n">
        <x:v>1</x:v>
      </x:c>
      <x:c r="G222" s="380" t="n">
        <x:f>--(F222&lt;='Estimator'!$B$7)</x:f>
        <x:v>1</x:v>
      </x:c>
      <x:c r="H222" s="381" t="n">
        <x:f>SUMIFS('Climate Data'!$G$7:$G$366,'Climate Data'!$A$7:$A$366,'Estimator'!$B$4,'Climate Data'!$B$7:$B$366,C222)</x:f>
        <x:v>0.47274749721913234</x:v>
      </x:c>
      <x:c r="I222" s="382" t="n">
        <x:f>SUMIFS('Climate Data'!$H$7:$H$366,'Climate Data'!$A$7:$A$366,'Estimator'!$B$4,'Climate Data'!$B$7:$B$366,C222)</x:f>
        <x:v>7.9971764705882356</x:v>
      </x:c>
      <x:c r="J222" s="381" t="n">
        <x:f>SUMIFS('Wind Proxy'!$H$8:$H$19,'Wind Proxy'!$A$8:$A$19,'Estimator'!$B$4,'Wind Proxy'!$B$8:$B$19,C222)</x:f>
        <x:v>0.13739545997610514</x:v>
      </x:c>
    </x:row>
    <x:row r="223">
      <x:c r="A223" s="379" t="n">
        <x:v>45874</x:v>
      </x:c>
      <x:c r="B223" s="380" t="n">
        <x:v>2025</x:v>
      </x:c>
      <x:c r="C223" s="380" t="n">
        <x:v>8</x:v>
      </x:c>
      <x:c r="D223" s="380" t="str">
        <x:v>Aug</x:v>
      </x:c>
      <x:c r="E223" s="380" t="n">
        <x:v>5</x:v>
      </x:c>
      <x:c r="F223" s="380" t="n">
        <x:v>2</x:v>
      </x:c>
      <x:c r="G223" s="380" t="n">
        <x:f>--(F223&lt;='Estimator'!$B$7)</x:f>
        <x:v>1</x:v>
      </x:c>
      <x:c r="H223" s="381" t="n">
        <x:f>SUMIFS('Climate Data'!$G$7:$G$366,'Climate Data'!$A$7:$A$366,'Estimator'!$B$4,'Climate Data'!$B$7:$B$366,C223)</x:f>
        <x:v>0.47274749721913234</x:v>
      </x:c>
      <x:c r="I223" s="382" t="n">
        <x:f>SUMIFS('Climate Data'!$H$7:$H$366,'Climate Data'!$A$7:$A$366,'Estimator'!$B$4,'Climate Data'!$B$7:$B$366,C223)</x:f>
        <x:v>7.9971764705882356</x:v>
      </x:c>
      <x:c r="J223" s="381" t="n">
        <x:f>SUMIFS('Wind Proxy'!$H$8:$H$19,'Wind Proxy'!$A$8:$A$19,'Estimator'!$B$4,'Wind Proxy'!$B$8:$B$19,C223)</x:f>
        <x:v>0.13739545997610514</x:v>
      </x:c>
    </x:row>
    <x:row r="224">
      <x:c r="A224" s="379" t="n">
        <x:v>45875</x:v>
      </x:c>
      <x:c r="B224" s="380" t="n">
        <x:v>2025</x:v>
      </x:c>
      <x:c r="C224" s="380" t="n">
        <x:v>8</x:v>
      </x:c>
      <x:c r="D224" s="380" t="str">
        <x:v>Aug</x:v>
      </x:c>
      <x:c r="E224" s="380" t="n">
        <x:v>6</x:v>
      </x:c>
      <x:c r="F224" s="380" t="n">
        <x:v>3</x:v>
      </x:c>
      <x:c r="G224" s="380" t="n">
        <x:f>--(F224&lt;='Estimator'!$B$7)</x:f>
        <x:v>1</x:v>
      </x:c>
      <x:c r="H224" s="381" t="n">
        <x:f>SUMIFS('Climate Data'!$G$7:$G$366,'Climate Data'!$A$7:$A$366,'Estimator'!$B$4,'Climate Data'!$B$7:$B$366,C224)</x:f>
        <x:v>0.47274749721913234</x:v>
      </x:c>
      <x:c r="I224" s="382" t="n">
        <x:f>SUMIFS('Climate Data'!$H$7:$H$366,'Climate Data'!$A$7:$A$366,'Estimator'!$B$4,'Climate Data'!$B$7:$B$366,C224)</x:f>
        <x:v>7.9971764705882356</x:v>
      </x:c>
      <x:c r="J224" s="381" t="n">
        <x:f>SUMIFS('Wind Proxy'!$H$8:$H$19,'Wind Proxy'!$A$8:$A$19,'Estimator'!$B$4,'Wind Proxy'!$B$8:$B$19,C224)</x:f>
        <x:v>0.13739545997610514</x:v>
      </x:c>
    </x:row>
    <x:row r="225">
      <x:c r="A225" s="379" t="n">
        <x:v>45876</x:v>
      </x:c>
      <x:c r="B225" s="380" t="n">
        <x:v>2025</x:v>
      </x:c>
      <x:c r="C225" s="380" t="n">
        <x:v>8</x:v>
      </x:c>
      <x:c r="D225" s="380" t="str">
        <x:v>Aug</x:v>
      </x:c>
      <x:c r="E225" s="380" t="n">
        <x:v>7</x:v>
      </x:c>
      <x:c r="F225" s="380" t="n">
        <x:v>4</x:v>
      </x:c>
      <x:c r="G225" s="380" t="n">
        <x:f>--(F225&lt;='Estimator'!$B$7)</x:f>
        <x:v>1</x:v>
      </x:c>
      <x:c r="H225" s="381" t="n">
        <x:f>SUMIFS('Climate Data'!$G$7:$G$366,'Climate Data'!$A$7:$A$366,'Estimator'!$B$4,'Climate Data'!$B$7:$B$366,C225)</x:f>
        <x:v>0.47274749721913234</x:v>
      </x:c>
      <x:c r="I225" s="382" t="n">
        <x:f>SUMIFS('Climate Data'!$H$7:$H$366,'Climate Data'!$A$7:$A$366,'Estimator'!$B$4,'Climate Data'!$B$7:$B$366,C225)</x:f>
        <x:v>7.9971764705882356</x:v>
      </x:c>
      <x:c r="J225" s="381" t="n">
        <x:f>SUMIFS('Wind Proxy'!$H$8:$H$19,'Wind Proxy'!$A$8:$A$19,'Estimator'!$B$4,'Wind Proxy'!$B$8:$B$19,C225)</x:f>
        <x:v>0.13739545997610514</x:v>
      </x:c>
    </x:row>
    <x:row r="226">
      <x:c r="A226" s="379" t="n">
        <x:v>45877</x:v>
      </x:c>
      <x:c r="B226" s="380" t="n">
        <x:v>2025</x:v>
      </x:c>
      <x:c r="C226" s="380" t="n">
        <x:v>8</x:v>
      </x:c>
      <x:c r="D226" s="380" t="str">
        <x:v>Aug</x:v>
      </x:c>
      <x:c r="E226" s="380" t="n">
        <x:v>8</x:v>
      </x:c>
      <x:c r="F226" s="380" t="n">
        <x:v>5</x:v>
      </x:c>
      <x:c r="G226" s="380" t="n">
        <x:f>--(F226&lt;='Estimator'!$B$7)</x:f>
        <x:v>1</x:v>
      </x:c>
      <x:c r="H226" s="381" t="n">
        <x:f>SUMIFS('Climate Data'!$G$7:$G$366,'Climate Data'!$A$7:$A$366,'Estimator'!$B$4,'Climate Data'!$B$7:$B$366,C226)</x:f>
        <x:v>0.47274749721913234</x:v>
      </x:c>
      <x:c r="I226" s="382" t="n">
        <x:f>SUMIFS('Climate Data'!$H$7:$H$366,'Climate Data'!$A$7:$A$366,'Estimator'!$B$4,'Climate Data'!$B$7:$B$366,C226)</x:f>
        <x:v>7.9971764705882356</x:v>
      </x:c>
      <x:c r="J226" s="381" t="n">
        <x:f>SUMIFS('Wind Proxy'!$H$8:$H$19,'Wind Proxy'!$A$8:$A$19,'Estimator'!$B$4,'Wind Proxy'!$B$8:$B$19,C226)</x:f>
        <x:v>0.13739545997610514</x:v>
      </x:c>
    </x:row>
    <x:row r="227">
      <x:c r="A227" s="379" t="n">
        <x:v>45878</x:v>
      </x:c>
      <x:c r="B227" s="380" t="n">
        <x:v>2025</x:v>
      </x:c>
      <x:c r="C227" s="380" t="n">
        <x:v>8</x:v>
      </x:c>
      <x:c r="D227" s="380" t="str">
        <x:v>Aug</x:v>
      </x:c>
      <x:c r="E227" s="380" t="n">
        <x:v>9</x:v>
      </x:c>
      <x:c r="F227" s="380" t="n">
        <x:v>6</x:v>
      </x:c>
      <x:c r="G227" s="380" t="n">
        <x:f>--(F227&lt;='Estimator'!$B$7)</x:f>
        <x:v>0</x:v>
      </x:c>
      <x:c r="H227" s="381" t="n">
        <x:f>SUMIFS('Climate Data'!$G$7:$G$366,'Climate Data'!$A$7:$A$366,'Estimator'!$B$4,'Climate Data'!$B$7:$B$366,C227)</x:f>
        <x:v>0.47274749721913234</x:v>
      </x:c>
      <x:c r="I227" s="382" t="n">
        <x:f>SUMIFS('Climate Data'!$H$7:$H$366,'Climate Data'!$A$7:$A$366,'Estimator'!$B$4,'Climate Data'!$B$7:$B$366,C227)</x:f>
        <x:v>7.9971764705882356</x:v>
      </x:c>
      <x:c r="J227" s="381" t="n">
        <x:f>SUMIFS('Wind Proxy'!$H$8:$H$19,'Wind Proxy'!$A$8:$A$19,'Estimator'!$B$4,'Wind Proxy'!$B$8:$B$19,C227)</x:f>
        <x:v>0.13739545997610514</x:v>
      </x:c>
    </x:row>
    <x:row r="228">
      <x:c r="A228" s="379" t="n">
        <x:v>45879</x:v>
      </x:c>
      <x:c r="B228" s="380" t="n">
        <x:v>2025</x:v>
      </x:c>
      <x:c r="C228" s="380" t="n">
        <x:v>8</x:v>
      </x:c>
      <x:c r="D228" s="380" t="str">
        <x:v>Aug</x:v>
      </x:c>
      <x:c r="E228" s="380" t="n">
        <x:v>10</x:v>
      </x:c>
      <x:c r="F228" s="380" t="n">
        <x:v>7</x:v>
      </x:c>
      <x:c r="G228" s="380" t="n">
        <x:f>--(F228&lt;='Estimator'!$B$7)</x:f>
        <x:v>0</x:v>
      </x:c>
      <x:c r="H228" s="381" t="n">
        <x:f>SUMIFS('Climate Data'!$G$7:$G$366,'Climate Data'!$A$7:$A$366,'Estimator'!$B$4,'Climate Data'!$B$7:$B$366,C228)</x:f>
        <x:v>0.47274749721913234</x:v>
      </x:c>
      <x:c r="I228" s="382" t="n">
        <x:f>SUMIFS('Climate Data'!$H$7:$H$366,'Climate Data'!$A$7:$A$366,'Estimator'!$B$4,'Climate Data'!$B$7:$B$366,C228)</x:f>
        <x:v>7.9971764705882356</x:v>
      </x:c>
      <x:c r="J228" s="381" t="n">
        <x:f>SUMIFS('Wind Proxy'!$H$8:$H$19,'Wind Proxy'!$A$8:$A$19,'Estimator'!$B$4,'Wind Proxy'!$B$8:$B$19,C228)</x:f>
        <x:v>0.13739545997610514</x:v>
      </x:c>
    </x:row>
    <x:row r="229">
      <x:c r="A229" s="379" t="n">
        <x:v>45880</x:v>
      </x:c>
      <x:c r="B229" s="380" t="n">
        <x:v>2025</x:v>
      </x:c>
      <x:c r="C229" s="380" t="n">
        <x:v>8</x:v>
      </x:c>
      <x:c r="D229" s="380" t="str">
        <x:v>Aug</x:v>
      </x:c>
      <x:c r="E229" s="380" t="n">
        <x:v>11</x:v>
      </x:c>
      <x:c r="F229" s="380" t="n">
        <x:v>1</x:v>
      </x:c>
      <x:c r="G229" s="380" t="n">
        <x:f>--(F229&lt;='Estimator'!$B$7)</x:f>
        <x:v>1</x:v>
      </x:c>
      <x:c r="H229" s="381" t="n">
        <x:f>SUMIFS('Climate Data'!$G$7:$G$366,'Climate Data'!$A$7:$A$366,'Estimator'!$B$4,'Climate Data'!$B$7:$B$366,C229)</x:f>
        <x:v>0.47274749721913234</x:v>
      </x:c>
      <x:c r="I229" s="382" t="n">
        <x:f>SUMIFS('Climate Data'!$H$7:$H$366,'Climate Data'!$A$7:$A$366,'Estimator'!$B$4,'Climate Data'!$B$7:$B$366,C229)</x:f>
        <x:v>7.9971764705882356</x:v>
      </x:c>
      <x:c r="J229" s="381" t="n">
        <x:f>SUMIFS('Wind Proxy'!$H$8:$H$19,'Wind Proxy'!$A$8:$A$19,'Estimator'!$B$4,'Wind Proxy'!$B$8:$B$19,C229)</x:f>
        <x:v>0.13739545997610514</x:v>
      </x:c>
    </x:row>
    <x:row r="230">
      <x:c r="A230" s="379" t="n">
        <x:v>45881</x:v>
      </x:c>
      <x:c r="B230" s="380" t="n">
        <x:v>2025</x:v>
      </x:c>
      <x:c r="C230" s="380" t="n">
        <x:v>8</x:v>
      </x:c>
      <x:c r="D230" s="380" t="str">
        <x:v>Aug</x:v>
      </x:c>
      <x:c r="E230" s="380" t="n">
        <x:v>12</x:v>
      </x:c>
      <x:c r="F230" s="380" t="n">
        <x:v>2</x:v>
      </x:c>
      <x:c r="G230" s="380" t="n">
        <x:f>--(F230&lt;='Estimator'!$B$7)</x:f>
        <x:v>1</x:v>
      </x:c>
      <x:c r="H230" s="381" t="n">
        <x:f>SUMIFS('Climate Data'!$G$7:$G$366,'Climate Data'!$A$7:$A$366,'Estimator'!$B$4,'Climate Data'!$B$7:$B$366,C230)</x:f>
        <x:v>0.47274749721913234</x:v>
      </x:c>
      <x:c r="I230" s="382" t="n">
        <x:f>SUMIFS('Climate Data'!$H$7:$H$366,'Climate Data'!$A$7:$A$366,'Estimator'!$B$4,'Climate Data'!$B$7:$B$366,C230)</x:f>
        <x:v>7.9971764705882356</x:v>
      </x:c>
      <x:c r="J230" s="381" t="n">
        <x:f>SUMIFS('Wind Proxy'!$H$8:$H$19,'Wind Proxy'!$A$8:$A$19,'Estimator'!$B$4,'Wind Proxy'!$B$8:$B$19,C230)</x:f>
        <x:v>0.13739545997610514</x:v>
      </x:c>
    </x:row>
    <x:row r="231">
      <x:c r="A231" s="379" t="n">
        <x:v>45882</x:v>
      </x:c>
      <x:c r="B231" s="380" t="n">
        <x:v>2025</x:v>
      </x:c>
      <x:c r="C231" s="380" t="n">
        <x:v>8</x:v>
      </x:c>
      <x:c r="D231" s="380" t="str">
        <x:v>Aug</x:v>
      </x:c>
      <x:c r="E231" s="380" t="n">
        <x:v>13</x:v>
      </x:c>
      <x:c r="F231" s="380" t="n">
        <x:v>3</x:v>
      </x:c>
      <x:c r="G231" s="380" t="n">
        <x:f>--(F231&lt;='Estimator'!$B$7)</x:f>
        <x:v>1</x:v>
      </x:c>
      <x:c r="H231" s="381" t="n">
        <x:f>SUMIFS('Climate Data'!$G$7:$G$366,'Climate Data'!$A$7:$A$366,'Estimator'!$B$4,'Climate Data'!$B$7:$B$366,C231)</x:f>
        <x:v>0.47274749721913234</x:v>
      </x:c>
      <x:c r="I231" s="382" t="n">
        <x:f>SUMIFS('Climate Data'!$H$7:$H$366,'Climate Data'!$A$7:$A$366,'Estimator'!$B$4,'Climate Data'!$B$7:$B$366,C231)</x:f>
        <x:v>7.9971764705882356</x:v>
      </x:c>
      <x:c r="J231" s="381" t="n">
        <x:f>SUMIFS('Wind Proxy'!$H$8:$H$19,'Wind Proxy'!$A$8:$A$19,'Estimator'!$B$4,'Wind Proxy'!$B$8:$B$19,C231)</x:f>
        <x:v>0.13739545997610514</x:v>
      </x:c>
    </x:row>
    <x:row r="232">
      <x:c r="A232" s="379" t="n">
        <x:v>45883</x:v>
      </x:c>
      <x:c r="B232" s="380" t="n">
        <x:v>2025</x:v>
      </x:c>
      <x:c r="C232" s="380" t="n">
        <x:v>8</x:v>
      </x:c>
      <x:c r="D232" s="380" t="str">
        <x:v>Aug</x:v>
      </x:c>
      <x:c r="E232" s="380" t="n">
        <x:v>14</x:v>
      </x:c>
      <x:c r="F232" s="380" t="n">
        <x:v>4</x:v>
      </x:c>
      <x:c r="G232" s="380" t="n">
        <x:f>--(F232&lt;='Estimator'!$B$7)</x:f>
        <x:v>1</x:v>
      </x:c>
      <x:c r="H232" s="381" t="n">
        <x:f>SUMIFS('Climate Data'!$G$7:$G$366,'Climate Data'!$A$7:$A$366,'Estimator'!$B$4,'Climate Data'!$B$7:$B$366,C232)</x:f>
        <x:v>0.47274749721913234</x:v>
      </x:c>
      <x:c r="I232" s="382" t="n">
        <x:f>SUMIFS('Climate Data'!$H$7:$H$366,'Climate Data'!$A$7:$A$366,'Estimator'!$B$4,'Climate Data'!$B$7:$B$366,C232)</x:f>
        <x:v>7.9971764705882356</x:v>
      </x:c>
      <x:c r="J232" s="381" t="n">
        <x:f>SUMIFS('Wind Proxy'!$H$8:$H$19,'Wind Proxy'!$A$8:$A$19,'Estimator'!$B$4,'Wind Proxy'!$B$8:$B$19,C232)</x:f>
        <x:v>0.13739545997610514</x:v>
      </x:c>
    </x:row>
    <x:row r="233">
      <x:c r="A233" s="379" t="n">
        <x:v>45884</x:v>
      </x:c>
      <x:c r="B233" s="380" t="n">
        <x:v>2025</x:v>
      </x:c>
      <x:c r="C233" s="380" t="n">
        <x:v>8</x:v>
      </x:c>
      <x:c r="D233" s="380" t="str">
        <x:v>Aug</x:v>
      </x:c>
      <x:c r="E233" s="380" t="n">
        <x:v>15</x:v>
      </x:c>
      <x:c r="F233" s="380" t="n">
        <x:v>5</x:v>
      </x:c>
      <x:c r="G233" s="380" t="n">
        <x:f>--(F233&lt;='Estimator'!$B$7)</x:f>
        <x:v>1</x:v>
      </x:c>
      <x:c r="H233" s="381" t="n">
        <x:f>SUMIFS('Climate Data'!$G$7:$G$366,'Climate Data'!$A$7:$A$366,'Estimator'!$B$4,'Climate Data'!$B$7:$B$366,C233)</x:f>
        <x:v>0.47274749721913234</x:v>
      </x:c>
      <x:c r="I233" s="382" t="n">
        <x:f>SUMIFS('Climate Data'!$H$7:$H$366,'Climate Data'!$A$7:$A$366,'Estimator'!$B$4,'Climate Data'!$B$7:$B$366,C233)</x:f>
        <x:v>7.9971764705882356</x:v>
      </x:c>
      <x:c r="J233" s="381" t="n">
        <x:f>SUMIFS('Wind Proxy'!$H$8:$H$19,'Wind Proxy'!$A$8:$A$19,'Estimator'!$B$4,'Wind Proxy'!$B$8:$B$19,C233)</x:f>
        <x:v>0.13739545997610514</x:v>
      </x:c>
    </x:row>
    <x:row r="234">
      <x:c r="A234" s="379" t="n">
        <x:v>45885</x:v>
      </x:c>
      <x:c r="B234" s="380" t="n">
        <x:v>2025</x:v>
      </x:c>
      <x:c r="C234" s="380" t="n">
        <x:v>8</x:v>
      </x:c>
      <x:c r="D234" s="380" t="str">
        <x:v>Aug</x:v>
      </x:c>
      <x:c r="E234" s="380" t="n">
        <x:v>16</x:v>
      </x:c>
      <x:c r="F234" s="380" t="n">
        <x:v>6</x:v>
      </x:c>
      <x:c r="G234" s="380" t="n">
        <x:f>--(F234&lt;='Estimator'!$B$7)</x:f>
        <x:v>0</x:v>
      </x:c>
      <x:c r="H234" s="381" t="n">
        <x:f>SUMIFS('Climate Data'!$G$7:$G$366,'Climate Data'!$A$7:$A$366,'Estimator'!$B$4,'Climate Data'!$B$7:$B$366,C234)</x:f>
        <x:v>0.47274749721913234</x:v>
      </x:c>
      <x:c r="I234" s="382" t="n">
        <x:f>SUMIFS('Climate Data'!$H$7:$H$366,'Climate Data'!$A$7:$A$366,'Estimator'!$B$4,'Climate Data'!$B$7:$B$366,C234)</x:f>
        <x:v>7.9971764705882356</x:v>
      </x:c>
      <x:c r="J234" s="381" t="n">
        <x:f>SUMIFS('Wind Proxy'!$H$8:$H$19,'Wind Proxy'!$A$8:$A$19,'Estimator'!$B$4,'Wind Proxy'!$B$8:$B$19,C234)</x:f>
        <x:v>0.13739545997610514</x:v>
      </x:c>
    </x:row>
    <x:row r="235">
      <x:c r="A235" s="379" t="n">
        <x:v>45886</x:v>
      </x:c>
      <x:c r="B235" s="380" t="n">
        <x:v>2025</x:v>
      </x:c>
      <x:c r="C235" s="380" t="n">
        <x:v>8</x:v>
      </x:c>
      <x:c r="D235" s="380" t="str">
        <x:v>Aug</x:v>
      </x:c>
      <x:c r="E235" s="380" t="n">
        <x:v>17</x:v>
      </x:c>
      <x:c r="F235" s="380" t="n">
        <x:v>7</x:v>
      </x:c>
      <x:c r="G235" s="380" t="n">
        <x:f>--(F235&lt;='Estimator'!$B$7)</x:f>
        <x:v>0</x:v>
      </x:c>
      <x:c r="H235" s="381" t="n">
        <x:f>SUMIFS('Climate Data'!$G$7:$G$366,'Climate Data'!$A$7:$A$366,'Estimator'!$B$4,'Climate Data'!$B$7:$B$366,C235)</x:f>
        <x:v>0.47274749721913234</x:v>
      </x:c>
      <x:c r="I235" s="382" t="n">
        <x:f>SUMIFS('Climate Data'!$H$7:$H$366,'Climate Data'!$A$7:$A$366,'Estimator'!$B$4,'Climate Data'!$B$7:$B$366,C235)</x:f>
        <x:v>7.9971764705882356</x:v>
      </x:c>
      <x:c r="J235" s="381" t="n">
        <x:f>SUMIFS('Wind Proxy'!$H$8:$H$19,'Wind Proxy'!$A$8:$A$19,'Estimator'!$B$4,'Wind Proxy'!$B$8:$B$19,C235)</x:f>
        <x:v>0.13739545997610514</x:v>
      </x:c>
    </x:row>
    <x:row r="236">
      <x:c r="A236" s="379" t="n">
        <x:v>45887</x:v>
      </x:c>
      <x:c r="B236" s="380" t="n">
        <x:v>2025</x:v>
      </x:c>
      <x:c r="C236" s="380" t="n">
        <x:v>8</x:v>
      </x:c>
      <x:c r="D236" s="380" t="str">
        <x:v>Aug</x:v>
      </x:c>
      <x:c r="E236" s="380" t="n">
        <x:v>18</x:v>
      </x:c>
      <x:c r="F236" s="380" t="n">
        <x:v>1</x:v>
      </x:c>
      <x:c r="G236" s="380" t="n">
        <x:f>--(F236&lt;='Estimator'!$B$7)</x:f>
        <x:v>1</x:v>
      </x:c>
      <x:c r="H236" s="381" t="n">
        <x:f>SUMIFS('Climate Data'!$G$7:$G$366,'Climate Data'!$A$7:$A$366,'Estimator'!$B$4,'Climate Data'!$B$7:$B$366,C236)</x:f>
        <x:v>0.47274749721913234</x:v>
      </x:c>
      <x:c r="I236" s="382" t="n">
        <x:f>SUMIFS('Climate Data'!$H$7:$H$366,'Climate Data'!$A$7:$A$366,'Estimator'!$B$4,'Climate Data'!$B$7:$B$366,C236)</x:f>
        <x:v>7.9971764705882356</x:v>
      </x:c>
      <x:c r="J236" s="381" t="n">
        <x:f>SUMIFS('Wind Proxy'!$H$8:$H$19,'Wind Proxy'!$A$8:$A$19,'Estimator'!$B$4,'Wind Proxy'!$B$8:$B$19,C236)</x:f>
        <x:v>0.13739545997610514</x:v>
      </x:c>
    </x:row>
    <x:row r="237">
      <x:c r="A237" s="379" t="n">
        <x:v>45888</x:v>
      </x:c>
      <x:c r="B237" s="380" t="n">
        <x:v>2025</x:v>
      </x:c>
      <x:c r="C237" s="380" t="n">
        <x:v>8</x:v>
      </x:c>
      <x:c r="D237" s="380" t="str">
        <x:v>Aug</x:v>
      </x:c>
      <x:c r="E237" s="380" t="n">
        <x:v>19</x:v>
      </x:c>
      <x:c r="F237" s="380" t="n">
        <x:v>2</x:v>
      </x:c>
      <x:c r="G237" s="380" t="n">
        <x:f>--(F237&lt;='Estimator'!$B$7)</x:f>
        <x:v>1</x:v>
      </x:c>
      <x:c r="H237" s="381" t="n">
        <x:f>SUMIFS('Climate Data'!$G$7:$G$366,'Climate Data'!$A$7:$A$366,'Estimator'!$B$4,'Climate Data'!$B$7:$B$366,C237)</x:f>
        <x:v>0.47274749721913234</x:v>
      </x:c>
      <x:c r="I237" s="382" t="n">
        <x:f>SUMIFS('Climate Data'!$H$7:$H$366,'Climate Data'!$A$7:$A$366,'Estimator'!$B$4,'Climate Data'!$B$7:$B$366,C237)</x:f>
        <x:v>7.9971764705882356</x:v>
      </x:c>
      <x:c r="J237" s="381" t="n">
        <x:f>SUMIFS('Wind Proxy'!$H$8:$H$19,'Wind Proxy'!$A$8:$A$19,'Estimator'!$B$4,'Wind Proxy'!$B$8:$B$19,C237)</x:f>
        <x:v>0.13739545997610514</x:v>
      </x:c>
    </x:row>
    <x:row r="238">
      <x:c r="A238" s="379" t="n">
        <x:v>45889</x:v>
      </x:c>
      <x:c r="B238" s="380" t="n">
        <x:v>2025</x:v>
      </x:c>
      <x:c r="C238" s="380" t="n">
        <x:v>8</x:v>
      </x:c>
      <x:c r="D238" s="380" t="str">
        <x:v>Aug</x:v>
      </x:c>
      <x:c r="E238" s="380" t="n">
        <x:v>20</x:v>
      </x:c>
      <x:c r="F238" s="380" t="n">
        <x:v>3</x:v>
      </x:c>
      <x:c r="G238" s="380" t="n">
        <x:f>--(F238&lt;='Estimator'!$B$7)</x:f>
        <x:v>1</x:v>
      </x:c>
      <x:c r="H238" s="381" t="n">
        <x:f>SUMIFS('Climate Data'!$G$7:$G$366,'Climate Data'!$A$7:$A$366,'Estimator'!$B$4,'Climate Data'!$B$7:$B$366,C238)</x:f>
        <x:v>0.47274749721913234</x:v>
      </x:c>
      <x:c r="I238" s="382" t="n">
        <x:f>SUMIFS('Climate Data'!$H$7:$H$366,'Climate Data'!$A$7:$A$366,'Estimator'!$B$4,'Climate Data'!$B$7:$B$366,C238)</x:f>
        <x:v>7.9971764705882356</x:v>
      </x:c>
      <x:c r="J238" s="381" t="n">
        <x:f>SUMIFS('Wind Proxy'!$H$8:$H$19,'Wind Proxy'!$A$8:$A$19,'Estimator'!$B$4,'Wind Proxy'!$B$8:$B$19,C238)</x:f>
        <x:v>0.13739545997610514</x:v>
      </x:c>
    </x:row>
    <x:row r="239">
      <x:c r="A239" s="379" t="n">
        <x:v>45890</x:v>
      </x:c>
      <x:c r="B239" s="380" t="n">
        <x:v>2025</x:v>
      </x:c>
      <x:c r="C239" s="380" t="n">
        <x:v>8</x:v>
      </x:c>
      <x:c r="D239" s="380" t="str">
        <x:v>Aug</x:v>
      </x:c>
      <x:c r="E239" s="380" t="n">
        <x:v>21</x:v>
      </x:c>
      <x:c r="F239" s="380" t="n">
        <x:v>4</x:v>
      </x:c>
      <x:c r="G239" s="380" t="n">
        <x:f>--(F239&lt;='Estimator'!$B$7)</x:f>
        <x:v>1</x:v>
      </x:c>
      <x:c r="H239" s="381" t="n">
        <x:f>SUMIFS('Climate Data'!$G$7:$G$366,'Climate Data'!$A$7:$A$366,'Estimator'!$B$4,'Climate Data'!$B$7:$B$366,C239)</x:f>
        <x:v>0.47274749721913234</x:v>
      </x:c>
      <x:c r="I239" s="382" t="n">
        <x:f>SUMIFS('Climate Data'!$H$7:$H$366,'Climate Data'!$A$7:$A$366,'Estimator'!$B$4,'Climate Data'!$B$7:$B$366,C239)</x:f>
        <x:v>7.9971764705882356</x:v>
      </x:c>
      <x:c r="J239" s="381" t="n">
        <x:f>SUMIFS('Wind Proxy'!$H$8:$H$19,'Wind Proxy'!$A$8:$A$19,'Estimator'!$B$4,'Wind Proxy'!$B$8:$B$19,C239)</x:f>
        <x:v>0.13739545997610514</x:v>
      </x:c>
    </x:row>
    <x:row r="240">
      <x:c r="A240" s="379" t="n">
        <x:v>45891</x:v>
      </x:c>
      <x:c r="B240" s="380" t="n">
        <x:v>2025</x:v>
      </x:c>
      <x:c r="C240" s="380" t="n">
        <x:v>8</x:v>
      </x:c>
      <x:c r="D240" s="380" t="str">
        <x:v>Aug</x:v>
      </x:c>
      <x:c r="E240" s="380" t="n">
        <x:v>22</x:v>
      </x:c>
      <x:c r="F240" s="380" t="n">
        <x:v>5</x:v>
      </x:c>
      <x:c r="G240" s="380" t="n">
        <x:f>--(F240&lt;='Estimator'!$B$7)</x:f>
        <x:v>1</x:v>
      </x:c>
      <x:c r="H240" s="381" t="n">
        <x:f>SUMIFS('Climate Data'!$G$7:$G$366,'Climate Data'!$A$7:$A$366,'Estimator'!$B$4,'Climate Data'!$B$7:$B$366,C240)</x:f>
        <x:v>0.47274749721913234</x:v>
      </x:c>
      <x:c r="I240" s="382" t="n">
        <x:f>SUMIFS('Climate Data'!$H$7:$H$366,'Climate Data'!$A$7:$A$366,'Estimator'!$B$4,'Climate Data'!$B$7:$B$366,C240)</x:f>
        <x:v>7.9971764705882356</x:v>
      </x:c>
      <x:c r="J240" s="381" t="n">
        <x:f>SUMIFS('Wind Proxy'!$H$8:$H$19,'Wind Proxy'!$A$8:$A$19,'Estimator'!$B$4,'Wind Proxy'!$B$8:$B$19,C240)</x:f>
        <x:v>0.13739545997610514</x:v>
      </x:c>
    </x:row>
    <x:row r="241">
      <x:c r="A241" s="379" t="n">
        <x:v>45892</x:v>
      </x:c>
      <x:c r="B241" s="380" t="n">
        <x:v>2025</x:v>
      </x:c>
      <x:c r="C241" s="380" t="n">
        <x:v>8</x:v>
      </x:c>
      <x:c r="D241" s="380" t="str">
        <x:v>Aug</x:v>
      </x:c>
      <x:c r="E241" s="380" t="n">
        <x:v>23</x:v>
      </x:c>
      <x:c r="F241" s="380" t="n">
        <x:v>6</x:v>
      </x:c>
      <x:c r="G241" s="380" t="n">
        <x:f>--(F241&lt;='Estimator'!$B$7)</x:f>
        <x:v>0</x:v>
      </x:c>
      <x:c r="H241" s="381" t="n">
        <x:f>SUMIFS('Climate Data'!$G$7:$G$366,'Climate Data'!$A$7:$A$366,'Estimator'!$B$4,'Climate Data'!$B$7:$B$366,C241)</x:f>
        <x:v>0.47274749721913234</x:v>
      </x:c>
      <x:c r="I241" s="382" t="n">
        <x:f>SUMIFS('Climate Data'!$H$7:$H$366,'Climate Data'!$A$7:$A$366,'Estimator'!$B$4,'Climate Data'!$B$7:$B$366,C241)</x:f>
        <x:v>7.9971764705882356</x:v>
      </x:c>
      <x:c r="J241" s="381" t="n">
        <x:f>SUMIFS('Wind Proxy'!$H$8:$H$19,'Wind Proxy'!$A$8:$A$19,'Estimator'!$B$4,'Wind Proxy'!$B$8:$B$19,C241)</x:f>
        <x:v>0.13739545997610514</x:v>
      </x:c>
    </x:row>
    <x:row r="242">
      <x:c r="A242" s="379" t="n">
        <x:v>45893</x:v>
      </x:c>
      <x:c r="B242" s="380" t="n">
        <x:v>2025</x:v>
      </x:c>
      <x:c r="C242" s="380" t="n">
        <x:v>8</x:v>
      </x:c>
      <x:c r="D242" s="380" t="str">
        <x:v>Aug</x:v>
      </x:c>
      <x:c r="E242" s="380" t="n">
        <x:v>24</x:v>
      </x:c>
      <x:c r="F242" s="380" t="n">
        <x:v>7</x:v>
      </x:c>
      <x:c r="G242" s="380" t="n">
        <x:f>--(F242&lt;='Estimator'!$B$7)</x:f>
        <x:v>0</x:v>
      </x:c>
      <x:c r="H242" s="381" t="n">
        <x:f>SUMIFS('Climate Data'!$G$7:$G$366,'Climate Data'!$A$7:$A$366,'Estimator'!$B$4,'Climate Data'!$B$7:$B$366,C242)</x:f>
        <x:v>0.47274749721913234</x:v>
      </x:c>
      <x:c r="I242" s="382" t="n">
        <x:f>SUMIFS('Climate Data'!$H$7:$H$366,'Climate Data'!$A$7:$A$366,'Estimator'!$B$4,'Climate Data'!$B$7:$B$366,C242)</x:f>
        <x:v>7.9971764705882356</x:v>
      </x:c>
      <x:c r="J242" s="381" t="n">
        <x:f>SUMIFS('Wind Proxy'!$H$8:$H$19,'Wind Proxy'!$A$8:$A$19,'Estimator'!$B$4,'Wind Proxy'!$B$8:$B$19,C242)</x:f>
        <x:v>0.13739545997610514</x:v>
      </x:c>
    </x:row>
    <x:row r="243">
      <x:c r="A243" s="379" t="n">
        <x:v>45894</x:v>
      </x:c>
      <x:c r="B243" s="380" t="n">
        <x:v>2025</x:v>
      </x:c>
      <x:c r="C243" s="380" t="n">
        <x:v>8</x:v>
      </x:c>
      <x:c r="D243" s="380" t="str">
        <x:v>Aug</x:v>
      </x:c>
      <x:c r="E243" s="380" t="n">
        <x:v>25</x:v>
      </x:c>
      <x:c r="F243" s="380" t="n">
        <x:v>1</x:v>
      </x:c>
      <x:c r="G243" s="380" t="n">
        <x:f>--(F243&lt;='Estimator'!$B$7)</x:f>
        <x:v>1</x:v>
      </x:c>
      <x:c r="H243" s="381" t="n">
        <x:f>SUMIFS('Climate Data'!$G$7:$G$366,'Climate Data'!$A$7:$A$366,'Estimator'!$B$4,'Climate Data'!$B$7:$B$366,C243)</x:f>
        <x:v>0.47274749721913234</x:v>
      </x:c>
      <x:c r="I243" s="382" t="n">
        <x:f>SUMIFS('Climate Data'!$H$7:$H$366,'Climate Data'!$A$7:$A$366,'Estimator'!$B$4,'Climate Data'!$B$7:$B$366,C243)</x:f>
        <x:v>7.9971764705882356</x:v>
      </x:c>
      <x:c r="J243" s="381" t="n">
        <x:f>SUMIFS('Wind Proxy'!$H$8:$H$19,'Wind Proxy'!$A$8:$A$19,'Estimator'!$B$4,'Wind Proxy'!$B$8:$B$19,C243)</x:f>
        <x:v>0.13739545997610514</x:v>
      </x:c>
    </x:row>
    <x:row r="244">
      <x:c r="A244" s="379" t="n">
        <x:v>45895</x:v>
      </x:c>
      <x:c r="B244" s="380" t="n">
        <x:v>2025</x:v>
      </x:c>
      <x:c r="C244" s="380" t="n">
        <x:v>8</x:v>
      </x:c>
      <x:c r="D244" s="380" t="str">
        <x:v>Aug</x:v>
      </x:c>
      <x:c r="E244" s="380" t="n">
        <x:v>26</x:v>
      </x:c>
      <x:c r="F244" s="380" t="n">
        <x:v>2</x:v>
      </x:c>
      <x:c r="G244" s="380" t="n">
        <x:f>--(F244&lt;='Estimator'!$B$7)</x:f>
        <x:v>1</x:v>
      </x:c>
      <x:c r="H244" s="381" t="n">
        <x:f>SUMIFS('Climate Data'!$G$7:$G$366,'Climate Data'!$A$7:$A$366,'Estimator'!$B$4,'Climate Data'!$B$7:$B$366,C244)</x:f>
        <x:v>0.47274749721913234</x:v>
      </x:c>
      <x:c r="I244" s="382" t="n">
        <x:f>SUMIFS('Climate Data'!$H$7:$H$366,'Climate Data'!$A$7:$A$366,'Estimator'!$B$4,'Climate Data'!$B$7:$B$366,C244)</x:f>
        <x:v>7.9971764705882356</x:v>
      </x:c>
      <x:c r="J244" s="381" t="n">
        <x:f>SUMIFS('Wind Proxy'!$H$8:$H$19,'Wind Proxy'!$A$8:$A$19,'Estimator'!$B$4,'Wind Proxy'!$B$8:$B$19,C244)</x:f>
        <x:v>0.13739545997610514</x:v>
      </x:c>
    </x:row>
    <x:row r="245">
      <x:c r="A245" s="379" t="n">
        <x:v>45896</x:v>
      </x:c>
      <x:c r="B245" s="380" t="n">
        <x:v>2025</x:v>
      </x:c>
      <x:c r="C245" s="380" t="n">
        <x:v>8</x:v>
      </x:c>
      <x:c r="D245" s="380" t="str">
        <x:v>Aug</x:v>
      </x:c>
      <x:c r="E245" s="380" t="n">
        <x:v>27</x:v>
      </x:c>
      <x:c r="F245" s="380" t="n">
        <x:v>3</x:v>
      </x:c>
      <x:c r="G245" s="380" t="n">
        <x:f>--(F245&lt;='Estimator'!$B$7)</x:f>
        <x:v>1</x:v>
      </x:c>
      <x:c r="H245" s="381" t="n">
        <x:f>SUMIFS('Climate Data'!$G$7:$G$366,'Climate Data'!$A$7:$A$366,'Estimator'!$B$4,'Climate Data'!$B$7:$B$366,C245)</x:f>
        <x:v>0.47274749721913234</x:v>
      </x:c>
      <x:c r="I245" s="382" t="n">
        <x:f>SUMIFS('Climate Data'!$H$7:$H$366,'Climate Data'!$A$7:$A$366,'Estimator'!$B$4,'Climate Data'!$B$7:$B$366,C245)</x:f>
        <x:v>7.9971764705882356</x:v>
      </x:c>
      <x:c r="J245" s="381" t="n">
        <x:f>SUMIFS('Wind Proxy'!$H$8:$H$19,'Wind Proxy'!$A$8:$A$19,'Estimator'!$B$4,'Wind Proxy'!$B$8:$B$19,C245)</x:f>
        <x:v>0.13739545997610514</x:v>
      </x:c>
    </x:row>
    <x:row r="246">
      <x:c r="A246" s="379" t="n">
        <x:v>45897</x:v>
      </x:c>
      <x:c r="B246" s="380" t="n">
        <x:v>2025</x:v>
      </x:c>
      <x:c r="C246" s="380" t="n">
        <x:v>8</x:v>
      </x:c>
      <x:c r="D246" s="380" t="str">
        <x:v>Aug</x:v>
      </x:c>
      <x:c r="E246" s="380" t="n">
        <x:v>28</x:v>
      </x:c>
      <x:c r="F246" s="380" t="n">
        <x:v>4</x:v>
      </x:c>
      <x:c r="G246" s="380" t="n">
        <x:f>--(F246&lt;='Estimator'!$B$7)</x:f>
        <x:v>1</x:v>
      </x:c>
      <x:c r="H246" s="381" t="n">
        <x:f>SUMIFS('Climate Data'!$G$7:$G$366,'Climate Data'!$A$7:$A$366,'Estimator'!$B$4,'Climate Data'!$B$7:$B$366,C246)</x:f>
        <x:v>0.47274749721913234</x:v>
      </x:c>
      <x:c r="I246" s="382" t="n">
        <x:f>SUMIFS('Climate Data'!$H$7:$H$366,'Climate Data'!$A$7:$A$366,'Estimator'!$B$4,'Climate Data'!$B$7:$B$366,C246)</x:f>
        <x:v>7.9971764705882356</x:v>
      </x:c>
      <x:c r="J246" s="381" t="n">
        <x:f>SUMIFS('Wind Proxy'!$H$8:$H$19,'Wind Proxy'!$A$8:$A$19,'Estimator'!$B$4,'Wind Proxy'!$B$8:$B$19,C246)</x:f>
        <x:v>0.13739545997610514</x:v>
      </x:c>
    </x:row>
    <x:row r="247">
      <x:c r="A247" s="379" t="n">
        <x:v>45898</x:v>
      </x:c>
      <x:c r="B247" s="380" t="n">
        <x:v>2025</x:v>
      </x:c>
      <x:c r="C247" s="380" t="n">
        <x:v>8</x:v>
      </x:c>
      <x:c r="D247" s="380" t="str">
        <x:v>Aug</x:v>
      </x:c>
      <x:c r="E247" s="380" t="n">
        <x:v>29</x:v>
      </x:c>
      <x:c r="F247" s="380" t="n">
        <x:v>5</x:v>
      </x:c>
      <x:c r="G247" s="380" t="n">
        <x:f>--(F247&lt;='Estimator'!$B$7)</x:f>
        <x:v>1</x:v>
      </x:c>
      <x:c r="H247" s="381" t="n">
        <x:f>SUMIFS('Climate Data'!$G$7:$G$366,'Climate Data'!$A$7:$A$366,'Estimator'!$B$4,'Climate Data'!$B$7:$B$366,C247)</x:f>
        <x:v>0.47274749721913234</x:v>
      </x:c>
      <x:c r="I247" s="382" t="n">
        <x:f>SUMIFS('Climate Data'!$H$7:$H$366,'Climate Data'!$A$7:$A$366,'Estimator'!$B$4,'Climate Data'!$B$7:$B$366,C247)</x:f>
        <x:v>7.9971764705882356</x:v>
      </x:c>
      <x:c r="J247" s="381" t="n">
        <x:f>SUMIFS('Wind Proxy'!$H$8:$H$19,'Wind Proxy'!$A$8:$A$19,'Estimator'!$B$4,'Wind Proxy'!$B$8:$B$19,C247)</x:f>
        <x:v>0.13739545997610514</x:v>
      </x:c>
    </x:row>
    <x:row r="248">
      <x:c r="A248" s="379" t="n">
        <x:v>45899</x:v>
      </x:c>
      <x:c r="B248" s="380" t="n">
        <x:v>2025</x:v>
      </x:c>
      <x:c r="C248" s="380" t="n">
        <x:v>8</x:v>
      </x:c>
      <x:c r="D248" s="380" t="str">
        <x:v>Aug</x:v>
      </x:c>
      <x:c r="E248" s="380" t="n">
        <x:v>30</x:v>
      </x:c>
      <x:c r="F248" s="380" t="n">
        <x:v>6</x:v>
      </x:c>
      <x:c r="G248" s="380" t="n">
        <x:f>--(F248&lt;='Estimator'!$B$7)</x:f>
        <x:v>0</x:v>
      </x:c>
      <x:c r="H248" s="381" t="n">
        <x:f>SUMIFS('Climate Data'!$G$7:$G$366,'Climate Data'!$A$7:$A$366,'Estimator'!$B$4,'Climate Data'!$B$7:$B$366,C248)</x:f>
        <x:v>0.47274749721913234</x:v>
      </x:c>
      <x:c r="I248" s="382" t="n">
        <x:f>SUMIFS('Climate Data'!$H$7:$H$366,'Climate Data'!$A$7:$A$366,'Estimator'!$B$4,'Climate Data'!$B$7:$B$366,C248)</x:f>
        <x:v>7.9971764705882356</x:v>
      </x:c>
      <x:c r="J248" s="381" t="n">
        <x:f>SUMIFS('Wind Proxy'!$H$8:$H$19,'Wind Proxy'!$A$8:$A$19,'Estimator'!$B$4,'Wind Proxy'!$B$8:$B$19,C248)</x:f>
        <x:v>0.13739545997610514</x:v>
      </x:c>
    </x:row>
    <x:row r="249">
      <x:c r="A249" s="379" t="n">
        <x:v>45900</x:v>
      </x:c>
      <x:c r="B249" s="380" t="n">
        <x:v>2025</x:v>
      </x:c>
      <x:c r="C249" s="380" t="n">
        <x:v>8</x:v>
      </x:c>
      <x:c r="D249" s="380" t="str">
        <x:v>Aug</x:v>
      </x:c>
      <x:c r="E249" s="380" t="n">
        <x:v>31</x:v>
      </x:c>
      <x:c r="F249" s="380" t="n">
        <x:v>7</x:v>
      </x:c>
      <x:c r="G249" s="380" t="n">
        <x:f>--(F249&lt;='Estimator'!$B$7)</x:f>
        <x:v>0</x:v>
      </x:c>
      <x:c r="H249" s="381" t="n">
        <x:f>SUMIFS('Climate Data'!$G$7:$G$366,'Climate Data'!$A$7:$A$366,'Estimator'!$B$4,'Climate Data'!$B$7:$B$366,C249)</x:f>
        <x:v>0.47274749721913234</x:v>
      </x:c>
      <x:c r="I249" s="382" t="n">
        <x:f>SUMIFS('Climate Data'!$H$7:$H$366,'Climate Data'!$A$7:$A$366,'Estimator'!$B$4,'Climate Data'!$B$7:$B$366,C249)</x:f>
        <x:v>7.9971764705882356</x:v>
      </x:c>
      <x:c r="J249" s="381" t="n">
        <x:f>SUMIFS('Wind Proxy'!$H$8:$H$19,'Wind Proxy'!$A$8:$A$19,'Estimator'!$B$4,'Wind Proxy'!$B$8:$B$19,C249)</x:f>
        <x:v>0.13739545997610514</x:v>
      </x:c>
    </x:row>
    <x:row r="250">
      <x:c r="A250" s="379" t="n">
        <x:v>45901</x:v>
      </x:c>
      <x:c r="B250" s="380" t="n">
        <x:v>2025</x:v>
      </x:c>
      <x:c r="C250" s="380" t="n">
        <x:v>9</x:v>
      </x:c>
      <x:c r="D250" s="380" t="str">
        <x:v>Sep</x:v>
      </x:c>
      <x:c r="E250" s="380" t="n">
        <x:v>1</x:v>
      </x:c>
      <x:c r="F250" s="380" t="n">
        <x:v>1</x:v>
      </x:c>
      <x:c r="G250" s="380" t="n">
        <x:f>--(F250&lt;='Estimator'!$B$7)</x:f>
        <x:v>1</x:v>
      </x:c>
      <x:c r="H250" s="381" t="n">
        <x:f>SUMIFS('Climate Data'!$G$7:$G$366,'Climate Data'!$A$7:$A$366,'Estimator'!$B$4,'Climate Data'!$B$7:$B$366,C250)</x:f>
        <x:v>0.4160919540229885</x:v>
      </x:c>
      <x:c r="I250" s="382" t="n">
        <x:f>SUMIFS('Climate Data'!$H$7:$H$366,'Climate Data'!$A$7:$A$366,'Estimator'!$B$4,'Climate Data'!$B$7:$B$366,C250)</x:f>
        <x:v>8.019060773480662</x:v>
      </x:c>
      <x:c r="J250" s="381" t="n">
        <x:f>SUMIFS('Wind Proxy'!$H$8:$H$19,'Wind Proxy'!$A$8:$A$19,'Estimator'!$B$4,'Wind Proxy'!$B$8:$B$19,C250)</x:f>
        <x:v>0.22222222222222224</x:v>
      </x:c>
    </x:row>
    <x:row r="251">
      <x:c r="A251" s="379" t="n">
        <x:v>45902</x:v>
      </x:c>
      <x:c r="B251" s="380" t="n">
        <x:v>2025</x:v>
      </x:c>
      <x:c r="C251" s="380" t="n">
        <x:v>9</x:v>
      </x:c>
      <x:c r="D251" s="380" t="str">
        <x:v>Sep</x:v>
      </x:c>
      <x:c r="E251" s="380" t="n">
        <x:v>2</x:v>
      </x:c>
      <x:c r="F251" s="380" t="n">
        <x:v>2</x:v>
      </x:c>
      <x:c r="G251" s="380" t="n">
        <x:f>--(F251&lt;='Estimator'!$B$7)</x:f>
        <x:v>1</x:v>
      </x:c>
      <x:c r="H251" s="381" t="n">
        <x:f>SUMIFS('Climate Data'!$G$7:$G$366,'Climate Data'!$A$7:$A$366,'Estimator'!$B$4,'Climate Data'!$B$7:$B$366,C251)</x:f>
        <x:v>0.4160919540229885</x:v>
      </x:c>
      <x:c r="I251" s="382" t="n">
        <x:f>SUMIFS('Climate Data'!$H$7:$H$366,'Climate Data'!$A$7:$A$366,'Estimator'!$B$4,'Climate Data'!$B$7:$B$366,C251)</x:f>
        <x:v>8.019060773480662</x:v>
      </x:c>
      <x:c r="J251" s="381" t="n">
        <x:f>SUMIFS('Wind Proxy'!$H$8:$H$19,'Wind Proxy'!$A$8:$A$19,'Estimator'!$B$4,'Wind Proxy'!$B$8:$B$19,C251)</x:f>
        <x:v>0.22222222222222224</x:v>
      </x:c>
    </x:row>
    <x:row r="252">
      <x:c r="A252" s="379" t="n">
        <x:v>45903</x:v>
      </x:c>
      <x:c r="B252" s="380" t="n">
        <x:v>2025</x:v>
      </x:c>
      <x:c r="C252" s="380" t="n">
        <x:v>9</x:v>
      </x:c>
      <x:c r="D252" s="380" t="str">
        <x:v>Sep</x:v>
      </x:c>
      <x:c r="E252" s="380" t="n">
        <x:v>3</x:v>
      </x:c>
      <x:c r="F252" s="380" t="n">
        <x:v>3</x:v>
      </x:c>
      <x:c r="G252" s="380" t="n">
        <x:f>--(F252&lt;='Estimator'!$B$7)</x:f>
        <x:v>1</x:v>
      </x:c>
      <x:c r="H252" s="381" t="n">
        <x:f>SUMIFS('Climate Data'!$G$7:$G$366,'Climate Data'!$A$7:$A$366,'Estimator'!$B$4,'Climate Data'!$B$7:$B$366,C252)</x:f>
        <x:v>0.4160919540229885</x:v>
      </x:c>
      <x:c r="I252" s="382" t="n">
        <x:f>SUMIFS('Climate Data'!$H$7:$H$366,'Climate Data'!$A$7:$A$366,'Estimator'!$B$4,'Climate Data'!$B$7:$B$366,C252)</x:f>
        <x:v>8.019060773480662</x:v>
      </x:c>
      <x:c r="J252" s="381" t="n">
        <x:f>SUMIFS('Wind Proxy'!$H$8:$H$19,'Wind Proxy'!$A$8:$A$19,'Estimator'!$B$4,'Wind Proxy'!$B$8:$B$19,C252)</x:f>
        <x:v>0.22222222222222224</x:v>
      </x:c>
    </x:row>
    <x:row r="253">
      <x:c r="A253" s="379" t="n">
        <x:v>45904</x:v>
      </x:c>
      <x:c r="B253" s="380" t="n">
        <x:v>2025</x:v>
      </x:c>
      <x:c r="C253" s="380" t="n">
        <x:v>9</x:v>
      </x:c>
      <x:c r="D253" s="380" t="str">
        <x:v>Sep</x:v>
      </x:c>
      <x:c r="E253" s="380" t="n">
        <x:v>4</x:v>
      </x:c>
      <x:c r="F253" s="380" t="n">
        <x:v>4</x:v>
      </x:c>
      <x:c r="G253" s="380" t="n">
        <x:f>--(F253&lt;='Estimator'!$B$7)</x:f>
        <x:v>1</x:v>
      </x:c>
      <x:c r="H253" s="381" t="n">
        <x:f>SUMIFS('Climate Data'!$G$7:$G$366,'Climate Data'!$A$7:$A$366,'Estimator'!$B$4,'Climate Data'!$B$7:$B$366,C253)</x:f>
        <x:v>0.4160919540229885</x:v>
      </x:c>
      <x:c r="I253" s="382" t="n">
        <x:f>SUMIFS('Climate Data'!$H$7:$H$366,'Climate Data'!$A$7:$A$366,'Estimator'!$B$4,'Climate Data'!$B$7:$B$366,C253)</x:f>
        <x:v>8.019060773480662</x:v>
      </x:c>
      <x:c r="J253" s="381" t="n">
        <x:f>SUMIFS('Wind Proxy'!$H$8:$H$19,'Wind Proxy'!$A$8:$A$19,'Estimator'!$B$4,'Wind Proxy'!$B$8:$B$19,C253)</x:f>
        <x:v>0.22222222222222224</x:v>
      </x:c>
    </x:row>
    <x:row r="254">
      <x:c r="A254" s="379" t="n">
        <x:v>45905</x:v>
      </x:c>
      <x:c r="B254" s="380" t="n">
        <x:v>2025</x:v>
      </x:c>
      <x:c r="C254" s="380" t="n">
        <x:v>9</x:v>
      </x:c>
      <x:c r="D254" s="380" t="str">
        <x:v>Sep</x:v>
      </x:c>
      <x:c r="E254" s="380" t="n">
        <x:v>5</x:v>
      </x:c>
      <x:c r="F254" s="380" t="n">
        <x:v>5</x:v>
      </x:c>
      <x:c r="G254" s="380" t="n">
        <x:f>--(F254&lt;='Estimator'!$B$7)</x:f>
        <x:v>1</x:v>
      </x:c>
      <x:c r="H254" s="381" t="n">
        <x:f>SUMIFS('Climate Data'!$G$7:$G$366,'Climate Data'!$A$7:$A$366,'Estimator'!$B$4,'Climate Data'!$B$7:$B$366,C254)</x:f>
        <x:v>0.4160919540229885</x:v>
      </x:c>
      <x:c r="I254" s="382" t="n">
        <x:f>SUMIFS('Climate Data'!$H$7:$H$366,'Climate Data'!$A$7:$A$366,'Estimator'!$B$4,'Climate Data'!$B$7:$B$366,C254)</x:f>
        <x:v>8.019060773480662</x:v>
      </x:c>
      <x:c r="J254" s="381" t="n">
        <x:f>SUMIFS('Wind Proxy'!$H$8:$H$19,'Wind Proxy'!$A$8:$A$19,'Estimator'!$B$4,'Wind Proxy'!$B$8:$B$19,C254)</x:f>
        <x:v>0.22222222222222224</x:v>
      </x:c>
    </x:row>
    <x:row r="255">
      <x:c r="A255" s="379" t="n">
        <x:v>45906</x:v>
      </x:c>
      <x:c r="B255" s="380" t="n">
        <x:v>2025</x:v>
      </x:c>
      <x:c r="C255" s="380" t="n">
        <x:v>9</x:v>
      </x:c>
      <x:c r="D255" s="380" t="str">
        <x:v>Sep</x:v>
      </x:c>
      <x:c r="E255" s="380" t="n">
        <x:v>6</x:v>
      </x:c>
      <x:c r="F255" s="380" t="n">
        <x:v>6</x:v>
      </x:c>
      <x:c r="G255" s="380" t="n">
        <x:f>--(F255&lt;='Estimator'!$B$7)</x:f>
        <x:v>0</x:v>
      </x:c>
      <x:c r="H255" s="381" t="n">
        <x:f>SUMIFS('Climate Data'!$G$7:$G$366,'Climate Data'!$A$7:$A$366,'Estimator'!$B$4,'Climate Data'!$B$7:$B$366,C255)</x:f>
        <x:v>0.4160919540229885</x:v>
      </x:c>
      <x:c r="I255" s="382" t="n">
        <x:f>SUMIFS('Climate Data'!$H$7:$H$366,'Climate Data'!$A$7:$A$366,'Estimator'!$B$4,'Climate Data'!$B$7:$B$366,C255)</x:f>
        <x:v>8.019060773480662</x:v>
      </x:c>
      <x:c r="J255" s="381" t="n">
        <x:f>SUMIFS('Wind Proxy'!$H$8:$H$19,'Wind Proxy'!$A$8:$A$19,'Estimator'!$B$4,'Wind Proxy'!$B$8:$B$19,C255)</x:f>
        <x:v>0.22222222222222224</x:v>
      </x:c>
    </x:row>
    <x:row r="256">
      <x:c r="A256" s="379" t="n">
        <x:v>45907</x:v>
      </x:c>
      <x:c r="B256" s="380" t="n">
        <x:v>2025</x:v>
      </x:c>
      <x:c r="C256" s="380" t="n">
        <x:v>9</x:v>
      </x:c>
      <x:c r="D256" s="380" t="str">
        <x:v>Sep</x:v>
      </x:c>
      <x:c r="E256" s="380" t="n">
        <x:v>7</x:v>
      </x:c>
      <x:c r="F256" s="380" t="n">
        <x:v>7</x:v>
      </x:c>
      <x:c r="G256" s="380" t="n">
        <x:f>--(F256&lt;='Estimator'!$B$7)</x:f>
        <x:v>0</x:v>
      </x:c>
      <x:c r="H256" s="381" t="n">
        <x:f>SUMIFS('Climate Data'!$G$7:$G$366,'Climate Data'!$A$7:$A$366,'Estimator'!$B$4,'Climate Data'!$B$7:$B$366,C256)</x:f>
        <x:v>0.4160919540229885</x:v>
      </x:c>
      <x:c r="I256" s="382" t="n">
        <x:f>SUMIFS('Climate Data'!$H$7:$H$366,'Climate Data'!$A$7:$A$366,'Estimator'!$B$4,'Climate Data'!$B$7:$B$366,C256)</x:f>
        <x:v>8.019060773480662</x:v>
      </x:c>
      <x:c r="J256" s="381" t="n">
        <x:f>SUMIFS('Wind Proxy'!$H$8:$H$19,'Wind Proxy'!$A$8:$A$19,'Estimator'!$B$4,'Wind Proxy'!$B$8:$B$19,C256)</x:f>
        <x:v>0.22222222222222224</x:v>
      </x:c>
    </x:row>
    <x:row r="257">
      <x:c r="A257" s="379" t="n">
        <x:v>45908</x:v>
      </x:c>
      <x:c r="B257" s="380" t="n">
        <x:v>2025</x:v>
      </x:c>
      <x:c r="C257" s="380" t="n">
        <x:v>9</x:v>
      </x:c>
      <x:c r="D257" s="380" t="str">
        <x:v>Sep</x:v>
      </x:c>
      <x:c r="E257" s="380" t="n">
        <x:v>8</x:v>
      </x:c>
      <x:c r="F257" s="380" t="n">
        <x:v>1</x:v>
      </x:c>
      <x:c r="G257" s="380" t="n">
        <x:f>--(F257&lt;='Estimator'!$B$7)</x:f>
        <x:v>1</x:v>
      </x:c>
      <x:c r="H257" s="381" t="n">
        <x:f>SUMIFS('Climate Data'!$G$7:$G$366,'Climate Data'!$A$7:$A$366,'Estimator'!$B$4,'Climate Data'!$B$7:$B$366,C257)</x:f>
        <x:v>0.4160919540229885</x:v>
      </x:c>
      <x:c r="I257" s="382" t="n">
        <x:f>SUMIFS('Climate Data'!$H$7:$H$366,'Climate Data'!$A$7:$A$366,'Estimator'!$B$4,'Climate Data'!$B$7:$B$366,C257)</x:f>
        <x:v>8.019060773480662</x:v>
      </x:c>
      <x:c r="J257" s="381" t="n">
        <x:f>SUMIFS('Wind Proxy'!$H$8:$H$19,'Wind Proxy'!$A$8:$A$19,'Estimator'!$B$4,'Wind Proxy'!$B$8:$B$19,C257)</x:f>
        <x:v>0.22222222222222224</x:v>
      </x:c>
    </x:row>
    <x:row r="258">
      <x:c r="A258" s="379" t="n">
        <x:v>45909</x:v>
      </x:c>
      <x:c r="B258" s="380" t="n">
        <x:v>2025</x:v>
      </x:c>
      <x:c r="C258" s="380" t="n">
        <x:v>9</x:v>
      </x:c>
      <x:c r="D258" s="380" t="str">
        <x:v>Sep</x:v>
      </x:c>
      <x:c r="E258" s="380" t="n">
        <x:v>9</x:v>
      </x:c>
      <x:c r="F258" s="380" t="n">
        <x:v>2</x:v>
      </x:c>
      <x:c r="G258" s="380" t="n">
        <x:f>--(F258&lt;='Estimator'!$B$7)</x:f>
        <x:v>1</x:v>
      </x:c>
      <x:c r="H258" s="381" t="n">
        <x:f>SUMIFS('Climate Data'!$G$7:$G$366,'Climate Data'!$A$7:$A$366,'Estimator'!$B$4,'Climate Data'!$B$7:$B$366,C258)</x:f>
        <x:v>0.4160919540229885</x:v>
      </x:c>
      <x:c r="I258" s="382" t="n">
        <x:f>SUMIFS('Climate Data'!$H$7:$H$366,'Climate Data'!$A$7:$A$366,'Estimator'!$B$4,'Climate Data'!$B$7:$B$366,C258)</x:f>
        <x:v>8.019060773480662</x:v>
      </x:c>
      <x:c r="J258" s="381" t="n">
        <x:f>SUMIFS('Wind Proxy'!$H$8:$H$19,'Wind Proxy'!$A$8:$A$19,'Estimator'!$B$4,'Wind Proxy'!$B$8:$B$19,C258)</x:f>
        <x:v>0.22222222222222224</x:v>
      </x:c>
    </x:row>
    <x:row r="259">
      <x:c r="A259" s="379" t="n">
        <x:v>45910</x:v>
      </x:c>
      <x:c r="B259" s="380" t="n">
        <x:v>2025</x:v>
      </x:c>
      <x:c r="C259" s="380" t="n">
        <x:v>9</x:v>
      </x:c>
      <x:c r="D259" s="380" t="str">
        <x:v>Sep</x:v>
      </x:c>
      <x:c r="E259" s="380" t="n">
        <x:v>10</x:v>
      </x:c>
      <x:c r="F259" s="380" t="n">
        <x:v>3</x:v>
      </x:c>
      <x:c r="G259" s="380" t="n">
        <x:f>--(F259&lt;='Estimator'!$B$7)</x:f>
        <x:v>1</x:v>
      </x:c>
      <x:c r="H259" s="381" t="n">
        <x:f>SUMIFS('Climate Data'!$G$7:$G$366,'Climate Data'!$A$7:$A$366,'Estimator'!$B$4,'Climate Data'!$B$7:$B$366,C259)</x:f>
        <x:v>0.4160919540229885</x:v>
      </x:c>
      <x:c r="I259" s="382" t="n">
        <x:f>SUMIFS('Climate Data'!$H$7:$H$366,'Climate Data'!$A$7:$A$366,'Estimator'!$B$4,'Climate Data'!$B$7:$B$366,C259)</x:f>
        <x:v>8.019060773480662</x:v>
      </x:c>
      <x:c r="J259" s="381" t="n">
        <x:f>SUMIFS('Wind Proxy'!$H$8:$H$19,'Wind Proxy'!$A$8:$A$19,'Estimator'!$B$4,'Wind Proxy'!$B$8:$B$19,C259)</x:f>
        <x:v>0.22222222222222224</x:v>
      </x:c>
    </x:row>
    <x:row r="260">
      <x:c r="A260" s="379" t="n">
        <x:v>45911</x:v>
      </x:c>
      <x:c r="B260" s="380" t="n">
        <x:v>2025</x:v>
      </x:c>
      <x:c r="C260" s="380" t="n">
        <x:v>9</x:v>
      </x:c>
      <x:c r="D260" s="380" t="str">
        <x:v>Sep</x:v>
      </x:c>
      <x:c r="E260" s="380" t="n">
        <x:v>11</x:v>
      </x:c>
      <x:c r="F260" s="380" t="n">
        <x:v>4</x:v>
      </x:c>
      <x:c r="G260" s="380" t="n">
        <x:f>--(F260&lt;='Estimator'!$B$7)</x:f>
        <x:v>1</x:v>
      </x:c>
      <x:c r="H260" s="381" t="n">
        <x:f>SUMIFS('Climate Data'!$G$7:$G$366,'Climate Data'!$A$7:$A$366,'Estimator'!$B$4,'Climate Data'!$B$7:$B$366,C260)</x:f>
        <x:v>0.4160919540229885</x:v>
      </x:c>
      <x:c r="I260" s="382" t="n">
        <x:f>SUMIFS('Climate Data'!$H$7:$H$366,'Climate Data'!$A$7:$A$366,'Estimator'!$B$4,'Climate Data'!$B$7:$B$366,C260)</x:f>
        <x:v>8.019060773480662</x:v>
      </x:c>
      <x:c r="J260" s="381" t="n">
        <x:f>SUMIFS('Wind Proxy'!$H$8:$H$19,'Wind Proxy'!$A$8:$A$19,'Estimator'!$B$4,'Wind Proxy'!$B$8:$B$19,C260)</x:f>
        <x:v>0.22222222222222224</x:v>
      </x:c>
    </x:row>
    <x:row r="261">
      <x:c r="A261" s="379" t="n">
        <x:v>45912</x:v>
      </x:c>
      <x:c r="B261" s="380" t="n">
        <x:v>2025</x:v>
      </x:c>
      <x:c r="C261" s="380" t="n">
        <x:v>9</x:v>
      </x:c>
      <x:c r="D261" s="380" t="str">
        <x:v>Sep</x:v>
      </x:c>
      <x:c r="E261" s="380" t="n">
        <x:v>12</x:v>
      </x:c>
      <x:c r="F261" s="380" t="n">
        <x:v>5</x:v>
      </x:c>
      <x:c r="G261" s="380" t="n">
        <x:f>--(F261&lt;='Estimator'!$B$7)</x:f>
        <x:v>1</x:v>
      </x:c>
      <x:c r="H261" s="381" t="n">
        <x:f>SUMIFS('Climate Data'!$G$7:$G$366,'Climate Data'!$A$7:$A$366,'Estimator'!$B$4,'Climate Data'!$B$7:$B$366,C261)</x:f>
        <x:v>0.4160919540229885</x:v>
      </x:c>
      <x:c r="I261" s="382" t="n">
        <x:f>SUMIFS('Climate Data'!$H$7:$H$366,'Climate Data'!$A$7:$A$366,'Estimator'!$B$4,'Climate Data'!$B$7:$B$366,C261)</x:f>
        <x:v>8.019060773480662</x:v>
      </x:c>
      <x:c r="J261" s="381" t="n">
        <x:f>SUMIFS('Wind Proxy'!$H$8:$H$19,'Wind Proxy'!$A$8:$A$19,'Estimator'!$B$4,'Wind Proxy'!$B$8:$B$19,C261)</x:f>
        <x:v>0.22222222222222224</x:v>
      </x:c>
    </x:row>
    <x:row r="262">
      <x:c r="A262" s="379" t="n">
        <x:v>45913</x:v>
      </x:c>
      <x:c r="B262" s="380" t="n">
        <x:v>2025</x:v>
      </x:c>
      <x:c r="C262" s="380" t="n">
        <x:v>9</x:v>
      </x:c>
      <x:c r="D262" s="380" t="str">
        <x:v>Sep</x:v>
      </x:c>
      <x:c r="E262" s="380" t="n">
        <x:v>13</x:v>
      </x:c>
      <x:c r="F262" s="380" t="n">
        <x:v>6</x:v>
      </x:c>
      <x:c r="G262" s="380" t="n">
        <x:f>--(F262&lt;='Estimator'!$B$7)</x:f>
        <x:v>0</x:v>
      </x:c>
      <x:c r="H262" s="381" t="n">
        <x:f>SUMIFS('Climate Data'!$G$7:$G$366,'Climate Data'!$A$7:$A$366,'Estimator'!$B$4,'Climate Data'!$B$7:$B$366,C262)</x:f>
        <x:v>0.4160919540229885</x:v>
      </x:c>
      <x:c r="I262" s="382" t="n">
        <x:f>SUMIFS('Climate Data'!$H$7:$H$366,'Climate Data'!$A$7:$A$366,'Estimator'!$B$4,'Climate Data'!$B$7:$B$366,C262)</x:f>
        <x:v>8.019060773480662</x:v>
      </x:c>
      <x:c r="J262" s="381" t="n">
        <x:f>SUMIFS('Wind Proxy'!$H$8:$H$19,'Wind Proxy'!$A$8:$A$19,'Estimator'!$B$4,'Wind Proxy'!$B$8:$B$19,C262)</x:f>
        <x:v>0.22222222222222224</x:v>
      </x:c>
    </x:row>
    <x:row r="263">
      <x:c r="A263" s="379" t="n">
        <x:v>45914</x:v>
      </x:c>
      <x:c r="B263" s="380" t="n">
        <x:v>2025</x:v>
      </x:c>
      <x:c r="C263" s="380" t="n">
        <x:v>9</x:v>
      </x:c>
      <x:c r="D263" s="380" t="str">
        <x:v>Sep</x:v>
      </x:c>
      <x:c r="E263" s="380" t="n">
        <x:v>14</x:v>
      </x:c>
      <x:c r="F263" s="380" t="n">
        <x:v>7</x:v>
      </x:c>
      <x:c r="G263" s="380" t="n">
        <x:f>--(F263&lt;='Estimator'!$B$7)</x:f>
        <x:v>0</x:v>
      </x:c>
      <x:c r="H263" s="381" t="n">
        <x:f>SUMIFS('Climate Data'!$G$7:$G$366,'Climate Data'!$A$7:$A$366,'Estimator'!$B$4,'Climate Data'!$B$7:$B$366,C263)</x:f>
        <x:v>0.4160919540229885</x:v>
      </x:c>
      <x:c r="I263" s="382" t="n">
        <x:f>SUMIFS('Climate Data'!$H$7:$H$366,'Climate Data'!$A$7:$A$366,'Estimator'!$B$4,'Climate Data'!$B$7:$B$366,C263)</x:f>
        <x:v>8.019060773480662</x:v>
      </x:c>
      <x:c r="J263" s="381" t="n">
        <x:f>SUMIFS('Wind Proxy'!$H$8:$H$19,'Wind Proxy'!$A$8:$A$19,'Estimator'!$B$4,'Wind Proxy'!$B$8:$B$19,C263)</x:f>
        <x:v>0.22222222222222224</x:v>
      </x:c>
    </x:row>
    <x:row r="264">
      <x:c r="A264" s="379" t="n">
        <x:v>45915</x:v>
      </x:c>
      <x:c r="B264" s="380" t="n">
        <x:v>2025</x:v>
      </x:c>
      <x:c r="C264" s="380" t="n">
        <x:v>9</x:v>
      </x:c>
      <x:c r="D264" s="380" t="str">
        <x:v>Sep</x:v>
      </x:c>
      <x:c r="E264" s="380" t="n">
        <x:v>15</x:v>
      </x:c>
      <x:c r="F264" s="380" t="n">
        <x:v>1</x:v>
      </x:c>
      <x:c r="G264" s="380" t="n">
        <x:f>--(F264&lt;='Estimator'!$B$7)</x:f>
        <x:v>1</x:v>
      </x:c>
      <x:c r="H264" s="381" t="n">
        <x:f>SUMIFS('Climate Data'!$G$7:$G$366,'Climate Data'!$A$7:$A$366,'Estimator'!$B$4,'Climate Data'!$B$7:$B$366,C264)</x:f>
        <x:v>0.4160919540229885</x:v>
      </x:c>
      <x:c r="I264" s="382" t="n">
        <x:f>SUMIFS('Climate Data'!$H$7:$H$366,'Climate Data'!$A$7:$A$366,'Estimator'!$B$4,'Climate Data'!$B$7:$B$366,C264)</x:f>
        <x:v>8.019060773480662</x:v>
      </x:c>
      <x:c r="J264" s="381" t="n">
        <x:f>SUMIFS('Wind Proxy'!$H$8:$H$19,'Wind Proxy'!$A$8:$A$19,'Estimator'!$B$4,'Wind Proxy'!$B$8:$B$19,C264)</x:f>
        <x:v>0.22222222222222224</x:v>
      </x:c>
    </x:row>
    <x:row r="265">
      <x:c r="A265" s="379" t="n">
        <x:v>45916</x:v>
      </x:c>
      <x:c r="B265" s="380" t="n">
        <x:v>2025</x:v>
      </x:c>
      <x:c r="C265" s="380" t="n">
        <x:v>9</x:v>
      </x:c>
      <x:c r="D265" s="380" t="str">
        <x:v>Sep</x:v>
      </x:c>
      <x:c r="E265" s="380" t="n">
        <x:v>16</x:v>
      </x:c>
      <x:c r="F265" s="380" t="n">
        <x:v>2</x:v>
      </x:c>
      <x:c r="G265" s="380" t="n">
        <x:f>--(F265&lt;='Estimator'!$B$7)</x:f>
        <x:v>1</x:v>
      </x:c>
      <x:c r="H265" s="381" t="n">
        <x:f>SUMIFS('Climate Data'!$G$7:$G$366,'Climate Data'!$A$7:$A$366,'Estimator'!$B$4,'Climate Data'!$B$7:$B$366,C265)</x:f>
        <x:v>0.4160919540229885</x:v>
      </x:c>
      <x:c r="I265" s="382" t="n">
        <x:f>SUMIFS('Climate Data'!$H$7:$H$366,'Climate Data'!$A$7:$A$366,'Estimator'!$B$4,'Climate Data'!$B$7:$B$366,C265)</x:f>
        <x:v>8.019060773480662</x:v>
      </x:c>
      <x:c r="J265" s="381" t="n">
        <x:f>SUMIFS('Wind Proxy'!$H$8:$H$19,'Wind Proxy'!$A$8:$A$19,'Estimator'!$B$4,'Wind Proxy'!$B$8:$B$19,C265)</x:f>
        <x:v>0.22222222222222224</x:v>
      </x:c>
    </x:row>
    <x:row r="266">
      <x:c r="A266" s="379" t="n">
        <x:v>45917</x:v>
      </x:c>
      <x:c r="B266" s="380" t="n">
        <x:v>2025</x:v>
      </x:c>
      <x:c r="C266" s="380" t="n">
        <x:v>9</x:v>
      </x:c>
      <x:c r="D266" s="380" t="str">
        <x:v>Sep</x:v>
      </x:c>
      <x:c r="E266" s="380" t="n">
        <x:v>17</x:v>
      </x:c>
      <x:c r="F266" s="380" t="n">
        <x:v>3</x:v>
      </x:c>
      <x:c r="G266" s="380" t="n">
        <x:f>--(F266&lt;='Estimator'!$B$7)</x:f>
        <x:v>1</x:v>
      </x:c>
      <x:c r="H266" s="381" t="n">
        <x:f>SUMIFS('Climate Data'!$G$7:$G$366,'Climate Data'!$A$7:$A$366,'Estimator'!$B$4,'Climate Data'!$B$7:$B$366,C266)</x:f>
        <x:v>0.4160919540229885</x:v>
      </x:c>
      <x:c r="I266" s="382" t="n">
        <x:f>SUMIFS('Climate Data'!$H$7:$H$366,'Climate Data'!$A$7:$A$366,'Estimator'!$B$4,'Climate Data'!$B$7:$B$366,C266)</x:f>
        <x:v>8.019060773480662</x:v>
      </x:c>
      <x:c r="J266" s="381" t="n">
        <x:f>SUMIFS('Wind Proxy'!$H$8:$H$19,'Wind Proxy'!$A$8:$A$19,'Estimator'!$B$4,'Wind Proxy'!$B$8:$B$19,C266)</x:f>
        <x:v>0.22222222222222224</x:v>
      </x:c>
    </x:row>
    <x:row r="267">
      <x:c r="A267" s="379" t="n">
        <x:v>45918</x:v>
      </x:c>
      <x:c r="B267" s="380" t="n">
        <x:v>2025</x:v>
      </x:c>
      <x:c r="C267" s="380" t="n">
        <x:v>9</x:v>
      </x:c>
      <x:c r="D267" s="380" t="str">
        <x:v>Sep</x:v>
      </x:c>
      <x:c r="E267" s="380" t="n">
        <x:v>18</x:v>
      </x:c>
      <x:c r="F267" s="380" t="n">
        <x:v>4</x:v>
      </x:c>
      <x:c r="G267" s="380" t="n">
        <x:f>--(F267&lt;='Estimator'!$B$7)</x:f>
        <x:v>1</x:v>
      </x:c>
      <x:c r="H267" s="381" t="n">
        <x:f>SUMIFS('Climate Data'!$G$7:$G$366,'Climate Data'!$A$7:$A$366,'Estimator'!$B$4,'Climate Data'!$B$7:$B$366,C267)</x:f>
        <x:v>0.4160919540229885</x:v>
      </x:c>
      <x:c r="I267" s="382" t="n">
        <x:f>SUMIFS('Climate Data'!$H$7:$H$366,'Climate Data'!$A$7:$A$366,'Estimator'!$B$4,'Climate Data'!$B$7:$B$366,C267)</x:f>
        <x:v>8.019060773480662</x:v>
      </x:c>
      <x:c r="J267" s="381" t="n">
        <x:f>SUMIFS('Wind Proxy'!$H$8:$H$19,'Wind Proxy'!$A$8:$A$19,'Estimator'!$B$4,'Wind Proxy'!$B$8:$B$19,C267)</x:f>
        <x:v>0.22222222222222224</x:v>
      </x:c>
    </x:row>
    <x:row r="268">
      <x:c r="A268" s="379" t="n">
        <x:v>45919</x:v>
      </x:c>
      <x:c r="B268" s="380" t="n">
        <x:v>2025</x:v>
      </x:c>
      <x:c r="C268" s="380" t="n">
        <x:v>9</x:v>
      </x:c>
      <x:c r="D268" s="380" t="str">
        <x:v>Sep</x:v>
      </x:c>
      <x:c r="E268" s="380" t="n">
        <x:v>19</x:v>
      </x:c>
      <x:c r="F268" s="380" t="n">
        <x:v>5</x:v>
      </x:c>
      <x:c r="G268" s="380" t="n">
        <x:f>--(F268&lt;='Estimator'!$B$7)</x:f>
        <x:v>1</x:v>
      </x:c>
      <x:c r="H268" s="381" t="n">
        <x:f>SUMIFS('Climate Data'!$G$7:$G$366,'Climate Data'!$A$7:$A$366,'Estimator'!$B$4,'Climate Data'!$B$7:$B$366,C268)</x:f>
        <x:v>0.4160919540229885</x:v>
      </x:c>
      <x:c r="I268" s="382" t="n">
        <x:f>SUMIFS('Climate Data'!$H$7:$H$366,'Climate Data'!$A$7:$A$366,'Estimator'!$B$4,'Climate Data'!$B$7:$B$366,C268)</x:f>
        <x:v>8.019060773480662</x:v>
      </x:c>
      <x:c r="J268" s="381" t="n">
        <x:f>SUMIFS('Wind Proxy'!$H$8:$H$19,'Wind Proxy'!$A$8:$A$19,'Estimator'!$B$4,'Wind Proxy'!$B$8:$B$19,C268)</x:f>
        <x:v>0.22222222222222224</x:v>
      </x:c>
    </x:row>
    <x:row r="269">
      <x:c r="A269" s="379" t="n">
        <x:v>45920</x:v>
      </x:c>
      <x:c r="B269" s="380" t="n">
        <x:v>2025</x:v>
      </x:c>
      <x:c r="C269" s="380" t="n">
        <x:v>9</x:v>
      </x:c>
      <x:c r="D269" s="380" t="str">
        <x:v>Sep</x:v>
      </x:c>
      <x:c r="E269" s="380" t="n">
        <x:v>20</x:v>
      </x:c>
      <x:c r="F269" s="380" t="n">
        <x:v>6</x:v>
      </x:c>
      <x:c r="G269" s="380" t="n">
        <x:f>--(F269&lt;='Estimator'!$B$7)</x:f>
        <x:v>0</x:v>
      </x:c>
      <x:c r="H269" s="381" t="n">
        <x:f>SUMIFS('Climate Data'!$G$7:$G$366,'Climate Data'!$A$7:$A$366,'Estimator'!$B$4,'Climate Data'!$B$7:$B$366,C269)</x:f>
        <x:v>0.4160919540229885</x:v>
      </x:c>
      <x:c r="I269" s="382" t="n">
        <x:f>SUMIFS('Climate Data'!$H$7:$H$366,'Climate Data'!$A$7:$A$366,'Estimator'!$B$4,'Climate Data'!$B$7:$B$366,C269)</x:f>
        <x:v>8.019060773480662</x:v>
      </x:c>
      <x:c r="J269" s="381" t="n">
        <x:f>SUMIFS('Wind Proxy'!$H$8:$H$19,'Wind Proxy'!$A$8:$A$19,'Estimator'!$B$4,'Wind Proxy'!$B$8:$B$19,C269)</x:f>
        <x:v>0.22222222222222224</x:v>
      </x:c>
    </x:row>
    <x:row r="270">
      <x:c r="A270" s="379" t="n">
        <x:v>45921</x:v>
      </x:c>
      <x:c r="B270" s="380" t="n">
        <x:v>2025</x:v>
      </x:c>
      <x:c r="C270" s="380" t="n">
        <x:v>9</x:v>
      </x:c>
      <x:c r="D270" s="380" t="str">
        <x:v>Sep</x:v>
      </x:c>
      <x:c r="E270" s="380" t="n">
        <x:v>21</x:v>
      </x:c>
      <x:c r="F270" s="380" t="n">
        <x:v>7</x:v>
      </x:c>
      <x:c r="G270" s="380" t="n">
        <x:f>--(F270&lt;='Estimator'!$B$7)</x:f>
        <x:v>0</x:v>
      </x:c>
      <x:c r="H270" s="381" t="n">
        <x:f>SUMIFS('Climate Data'!$G$7:$G$366,'Climate Data'!$A$7:$A$366,'Estimator'!$B$4,'Climate Data'!$B$7:$B$366,C270)</x:f>
        <x:v>0.4160919540229885</x:v>
      </x:c>
      <x:c r="I270" s="382" t="n">
        <x:f>SUMIFS('Climate Data'!$H$7:$H$366,'Climate Data'!$A$7:$A$366,'Estimator'!$B$4,'Climate Data'!$B$7:$B$366,C270)</x:f>
        <x:v>8.019060773480662</x:v>
      </x:c>
      <x:c r="J270" s="381" t="n">
        <x:f>SUMIFS('Wind Proxy'!$H$8:$H$19,'Wind Proxy'!$A$8:$A$19,'Estimator'!$B$4,'Wind Proxy'!$B$8:$B$19,C270)</x:f>
        <x:v>0.22222222222222224</x:v>
      </x:c>
    </x:row>
    <x:row r="271">
      <x:c r="A271" s="379" t="n">
        <x:v>45922</x:v>
      </x:c>
      <x:c r="B271" s="380" t="n">
        <x:v>2025</x:v>
      </x:c>
      <x:c r="C271" s="380" t="n">
        <x:v>9</x:v>
      </x:c>
      <x:c r="D271" s="380" t="str">
        <x:v>Sep</x:v>
      </x:c>
      <x:c r="E271" s="380" t="n">
        <x:v>22</x:v>
      </x:c>
      <x:c r="F271" s="380" t="n">
        <x:v>1</x:v>
      </x:c>
      <x:c r="G271" s="380" t="n">
        <x:f>--(F271&lt;='Estimator'!$B$7)</x:f>
        <x:v>1</x:v>
      </x:c>
      <x:c r="H271" s="381" t="n">
        <x:f>SUMIFS('Climate Data'!$G$7:$G$366,'Climate Data'!$A$7:$A$366,'Estimator'!$B$4,'Climate Data'!$B$7:$B$366,C271)</x:f>
        <x:v>0.4160919540229885</x:v>
      </x:c>
      <x:c r="I271" s="382" t="n">
        <x:f>SUMIFS('Climate Data'!$H$7:$H$366,'Climate Data'!$A$7:$A$366,'Estimator'!$B$4,'Climate Data'!$B$7:$B$366,C271)</x:f>
        <x:v>8.019060773480662</x:v>
      </x:c>
      <x:c r="J271" s="381" t="n">
        <x:f>SUMIFS('Wind Proxy'!$H$8:$H$19,'Wind Proxy'!$A$8:$A$19,'Estimator'!$B$4,'Wind Proxy'!$B$8:$B$19,C271)</x:f>
        <x:v>0.22222222222222224</x:v>
      </x:c>
    </x:row>
    <x:row r="272">
      <x:c r="A272" s="379" t="n">
        <x:v>45923</x:v>
      </x:c>
      <x:c r="B272" s="380" t="n">
        <x:v>2025</x:v>
      </x:c>
      <x:c r="C272" s="380" t="n">
        <x:v>9</x:v>
      </x:c>
      <x:c r="D272" s="380" t="str">
        <x:v>Sep</x:v>
      </x:c>
      <x:c r="E272" s="380" t="n">
        <x:v>23</x:v>
      </x:c>
      <x:c r="F272" s="380" t="n">
        <x:v>2</x:v>
      </x:c>
      <x:c r="G272" s="380" t="n">
        <x:f>--(F272&lt;='Estimator'!$B$7)</x:f>
        <x:v>1</x:v>
      </x:c>
      <x:c r="H272" s="381" t="n">
        <x:f>SUMIFS('Climate Data'!$G$7:$G$366,'Climate Data'!$A$7:$A$366,'Estimator'!$B$4,'Climate Data'!$B$7:$B$366,C272)</x:f>
        <x:v>0.4160919540229885</x:v>
      </x:c>
      <x:c r="I272" s="382" t="n">
        <x:f>SUMIFS('Climate Data'!$H$7:$H$366,'Climate Data'!$A$7:$A$366,'Estimator'!$B$4,'Climate Data'!$B$7:$B$366,C272)</x:f>
        <x:v>8.019060773480662</x:v>
      </x:c>
      <x:c r="J272" s="381" t="n">
        <x:f>SUMIFS('Wind Proxy'!$H$8:$H$19,'Wind Proxy'!$A$8:$A$19,'Estimator'!$B$4,'Wind Proxy'!$B$8:$B$19,C272)</x:f>
        <x:v>0.22222222222222224</x:v>
      </x:c>
    </x:row>
    <x:row r="273">
      <x:c r="A273" s="379" t="n">
        <x:v>45924</x:v>
      </x:c>
      <x:c r="B273" s="380" t="n">
        <x:v>2025</x:v>
      </x:c>
      <x:c r="C273" s="380" t="n">
        <x:v>9</x:v>
      </x:c>
      <x:c r="D273" s="380" t="str">
        <x:v>Sep</x:v>
      </x:c>
      <x:c r="E273" s="380" t="n">
        <x:v>24</x:v>
      </x:c>
      <x:c r="F273" s="380" t="n">
        <x:v>3</x:v>
      </x:c>
      <x:c r="G273" s="380" t="n">
        <x:f>--(F273&lt;='Estimator'!$B$7)</x:f>
        <x:v>1</x:v>
      </x:c>
      <x:c r="H273" s="381" t="n">
        <x:f>SUMIFS('Climate Data'!$G$7:$G$366,'Climate Data'!$A$7:$A$366,'Estimator'!$B$4,'Climate Data'!$B$7:$B$366,C273)</x:f>
        <x:v>0.4160919540229885</x:v>
      </x:c>
      <x:c r="I273" s="382" t="n">
        <x:f>SUMIFS('Climate Data'!$H$7:$H$366,'Climate Data'!$A$7:$A$366,'Estimator'!$B$4,'Climate Data'!$B$7:$B$366,C273)</x:f>
        <x:v>8.019060773480662</x:v>
      </x:c>
      <x:c r="J273" s="381" t="n">
        <x:f>SUMIFS('Wind Proxy'!$H$8:$H$19,'Wind Proxy'!$A$8:$A$19,'Estimator'!$B$4,'Wind Proxy'!$B$8:$B$19,C273)</x:f>
        <x:v>0.22222222222222224</x:v>
      </x:c>
    </x:row>
    <x:row r="274">
      <x:c r="A274" s="379" t="n">
        <x:v>45925</x:v>
      </x:c>
      <x:c r="B274" s="380" t="n">
        <x:v>2025</x:v>
      </x:c>
      <x:c r="C274" s="380" t="n">
        <x:v>9</x:v>
      </x:c>
      <x:c r="D274" s="380" t="str">
        <x:v>Sep</x:v>
      </x:c>
      <x:c r="E274" s="380" t="n">
        <x:v>25</x:v>
      </x:c>
      <x:c r="F274" s="380" t="n">
        <x:v>4</x:v>
      </x:c>
      <x:c r="G274" s="380" t="n">
        <x:f>--(F274&lt;='Estimator'!$B$7)</x:f>
        <x:v>1</x:v>
      </x:c>
      <x:c r="H274" s="381" t="n">
        <x:f>SUMIFS('Climate Data'!$G$7:$G$366,'Climate Data'!$A$7:$A$366,'Estimator'!$B$4,'Climate Data'!$B$7:$B$366,C274)</x:f>
        <x:v>0.4160919540229885</x:v>
      </x:c>
      <x:c r="I274" s="382" t="n">
        <x:f>SUMIFS('Climate Data'!$H$7:$H$366,'Climate Data'!$A$7:$A$366,'Estimator'!$B$4,'Climate Data'!$B$7:$B$366,C274)</x:f>
        <x:v>8.019060773480662</x:v>
      </x:c>
      <x:c r="J274" s="381" t="n">
        <x:f>SUMIFS('Wind Proxy'!$H$8:$H$19,'Wind Proxy'!$A$8:$A$19,'Estimator'!$B$4,'Wind Proxy'!$B$8:$B$19,C274)</x:f>
        <x:v>0.22222222222222224</x:v>
      </x:c>
    </x:row>
    <x:row r="275">
      <x:c r="A275" s="379" t="n">
        <x:v>45926</x:v>
      </x:c>
      <x:c r="B275" s="380" t="n">
        <x:v>2025</x:v>
      </x:c>
      <x:c r="C275" s="380" t="n">
        <x:v>9</x:v>
      </x:c>
      <x:c r="D275" s="380" t="str">
        <x:v>Sep</x:v>
      </x:c>
      <x:c r="E275" s="380" t="n">
        <x:v>26</x:v>
      </x:c>
      <x:c r="F275" s="380" t="n">
        <x:v>5</x:v>
      </x:c>
      <x:c r="G275" s="380" t="n">
        <x:f>--(F275&lt;='Estimator'!$B$7)</x:f>
        <x:v>1</x:v>
      </x:c>
      <x:c r="H275" s="381" t="n">
        <x:f>SUMIFS('Climate Data'!$G$7:$G$366,'Climate Data'!$A$7:$A$366,'Estimator'!$B$4,'Climate Data'!$B$7:$B$366,C275)</x:f>
        <x:v>0.4160919540229885</x:v>
      </x:c>
      <x:c r="I275" s="382" t="n">
        <x:f>SUMIFS('Climate Data'!$H$7:$H$366,'Climate Data'!$A$7:$A$366,'Estimator'!$B$4,'Climate Data'!$B$7:$B$366,C275)</x:f>
        <x:v>8.019060773480662</x:v>
      </x:c>
      <x:c r="J275" s="381" t="n">
        <x:f>SUMIFS('Wind Proxy'!$H$8:$H$19,'Wind Proxy'!$A$8:$A$19,'Estimator'!$B$4,'Wind Proxy'!$B$8:$B$19,C275)</x:f>
        <x:v>0.22222222222222224</x:v>
      </x:c>
    </x:row>
    <x:row r="276">
      <x:c r="A276" s="379" t="n">
        <x:v>45927</x:v>
      </x:c>
      <x:c r="B276" s="380" t="n">
        <x:v>2025</x:v>
      </x:c>
      <x:c r="C276" s="380" t="n">
        <x:v>9</x:v>
      </x:c>
      <x:c r="D276" s="380" t="str">
        <x:v>Sep</x:v>
      </x:c>
      <x:c r="E276" s="380" t="n">
        <x:v>27</x:v>
      </x:c>
      <x:c r="F276" s="380" t="n">
        <x:v>6</x:v>
      </x:c>
      <x:c r="G276" s="380" t="n">
        <x:f>--(F276&lt;='Estimator'!$B$7)</x:f>
        <x:v>0</x:v>
      </x:c>
      <x:c r="H276" s="381" t="n">
        <x:f>SUMIFS('Climate Data'!$G$7:$G$366,'Climate Data'!$A$7:$A$366,'Estimator'!$B$4,'Climate Data'!$B$7:$B$366,C276)</x:f>
        <x:v>0.4160919540229885</x:v>
      </x:c>
      <x:c r="I276" s="382" t="n">
        <x:f>SUMIFS('Climate Data'!$H$7:$H$366,'Climate Data'!$A$7:$A$366,'Estimator'!$B$4,'Climate Data'!$B$7:$B$366,C276)</x:f>
        <x:v>8.019060773480662</x:v>
      </x:c>
      <x:c r="J276" s="381" t="n">
        <x:f>SUMIFS('Wind Proxy'!$H$8:$H$19,'Wind Proxy'!$A$8:$A$19,'Estimator'!$B$4,'Wind Proxy'!$B$8:$B$19,C276)</x:f>
        <x:v>0.22222222222222224</x:v>
      </x:c>
    </x:row>
    <x:row r="277">
      <x:c r="A277" s="379" t="n">
        <x:v>45928</x:v>
      </x:c>
      <x:c r="B277" s="380" t="n">
        <x:v>2025</x:v>
      </x:c>
      <x:c r="C277" s="380" t="n">
        <x:v>9</x:v>
      </x:c>
      <x:c r="D277" s="380" t="str">
        <x:v>Sep</x:v>
      </x:c>
      <x:c r="E277" s="380" t="n">
        <x:v>28</x:v>
      </x:c>
      <x:c r="F277" s="380" t="n">
        <x:v>7</x:v>
      </x:c>
      <x:c r="G277" s="380" t="n">
        <x:f>--(F277&lt;='Estimator'!$B$7)</x:f>
        <x:v>0</x:v>
      </x:c>
      <x:c r="H277" s="381" t="n">
        <x:f>SUMIFS('Climate Data'!$G$7:$G$366,'Climate Data'!$A$7:$A$366,'Estimator'!$B$4,'Climate Data'!$B$7:$B$366,C277)</x:f>
        <x:v>0.4160919540229885</x:v>
      </x:c>
      <x:c r="I277" s="382" t="n">
        <x:f>SUMIFS('Climate Data'!$H$7:$H$366,'Climate Data'!$A$7:$A$366,'Estimator'!$B$4,'Climate Data'!$B$7:$B$366,C277)</x:f>
        <x:v>8.019060773480662</x:v>
      </x:c>
      <x:c r="J277" s="381" t="n">
        <x:f>SUMIFS('Wind Proxy'!$H$8:$H$19,'Wind Proxy'!$A$8:$A$19,'Estimator'!$B$4,'Wind Proxy'!$B$8:$B$19,C277)</x:f>
        <x:v>0.22222222222222224</x:v>
      </x:c>
    </x:row>
    <x:row r="278">
      <x:c r="A278" s="379" t="n">
        <x:v>45929</x:v>
      </x:c>
      <x:c r="B278" s="380" t="n">
        <x:v>2025</x:v>
      </x:c>
      <x:c r="C278" s="380" t="n">
        <x:v>9</x:v>
      </x:c>
      <x:c r="D278" s="380" t="str">
        <x:v>Sep</x:v>
      </x:c>
      <x:c r="E278" s="380" t="n">
        <x:v>29</x:v>
      </x:c>
      <x:c r="F278" s="380" t="n">
        <x:v>1</x:v>
      </x:c>
      <x:c r="G278" s="380" t="n">
        <x:f>--(F278&lt;='Estimator'!$B$7)</x:f>
        <x:v>1</x:v>
      </x:c>
      <x:c r="H278" s="381" t="n">
        <x:f>SUMIFS('Climate Data'!$G$7:$G$366,'Climate Data'!$A$7:$A$366,'Estimator'!$B$4,'Climate Data'!$B$7:$B$366,C278)</x:f>
        <x:v>0.4160919540229885</x:v>
      </x:c>
      <x:c r="I278" s="382" t="n">
        <x:f>SUMIFS('Climate Data'!$H$7:$H$366,'Climate Data'!$A$7:$A$366,'Estimator'!$B$4,'Climate Data'!$B$7:$B$366,C278)</x:f>
        <x:v>8.019060773480662</x:v>
      </x:c>
      <x:c r="J278" s="381" t="n">
        <x:f>SUMIFS('Wind Proxy'!$H$8:$H$19,'Wind Proxy'!$A$8:$A$19,'Estimator'!$B$4,'Wind Proxy'!$B$8:$B$19,C278)</x:f>
        <x:v>0.22222222222222224</x:v>
      </x:c>
    </x:row>
    <x:row r="279">
      <x:c r="A279" s="379" t="n">
        <x:v>45930</x:v>
      </x:c>
      <x:c r="B279" s="380" t="n">
        <x:v>2025</x:v>
      </x:c>
      <x:c r="C279" s="380" t="n">
        <x:v>9</x:v>
      </x:c>
      <x:c r="D279" s="380" t="str">
        <x:v>Sep</x:v>
      </x:c>
      <x:c r="E279" s="380" t="n">
        <x:v>30</x:v>
      </x:c>
      <x:c r="F279" s="380" t="n">
        <x:v>2</x:v>
      </x:c>
      <x:c r="G279" s="380" t="n">
        <x:f>--(F279&lt;='Estimator'!$B$7)</x:f>
        <x:v>1</x:v>
      </x:c>
      <x:c r="H279" s="381" t="n">
        <x:f>SUMIFS('Climate Data'!$G$7:$G$366,'Climate Data'!$A$7:$A$366,'Estimator'!$B$4,'Climate Data'!$B$7:$B$366,C279)</x:f>
        <x:v>0.4160919540229885</x:v>
      </x:c>
      <x:c r="I279" s="382" t="n">
        <x:f>SUMIFS('Climate Data'!$H$7:$H$366,'Climate Data'!$A$7:$A$366,'Estimator'!$B$4,'Climate Data'!$B$7:$B$366,C279)</x:f>
        <x:v>8.019060773480662</x:v>
      </x:c>
      <x:c r="J279" s="381" t="n">
        <x:f>SUMIFS('Wind Proxy'!$H$8:$H$19,'Wind Proxy'!$A$8:$A$19,'Estimator'!$B$4,'Wind Proxy'!$B$8:$B$19,C279)</x:f>
        <x:v>0.22222222222222224</x:v>
      </x:c>
    </x:row>
    <x:row r="280">
      <x:c r="A280" s="379" t="n">
        <x:v>45931</x:v>
      </x:c>
      <x:c r="B280" s="380" t="n">
        <x:v>2025</x:v>
      </x:c>
      <x:c r="C280" s="380" t="n">
        <x:v>10</x:v>
      </x:c>
      <x:c r="D280" s="380" t="str">
        <x:v>Oct</x:v>
      </x:c>
      <x:c r="E280" s="380" t="n">
        <x:v>1</x:v>
      </x:c>
      <x:c r="F280" s="380" t="n">
        <x:v>3</x:v>
      </x:c>
      <x:c r="G280" s="380" t="n">
        <x:f>--(F280&lt;='Estimator'!$B$7)</x:f>
        <x:v>1</x:v>
      </x:c>
      <x:c r="H280" s="381" t="n">
        <x:f>SUMIFS('Climate Data'!$G$7:$G$366,'Climate Data'!$A$7:$A$366,'Estimator'!$B$4,'Climate Data'!$B$7:$B$366,C280)</x:f>
        <x:v>0.3721198156682028</x:v>
      </x:c>
      <x:c r="I280" s="382" t="n">
        <x:f>SUMIFS('Climate Data'!$H$7:$H$366,'Climate Data'!$A$7:$A$366,'Estimator'!$B$4,'Climate Data'!$B$7:$B$366,C280)</x:f>
        <x:v>7.940557275541795</x:v>
      </x:c>
      <x:c r="J280" s="381" t="n">
        <x:f>SUMIFS('Wind Proxy'!$H$8:$H$19,'Wind Proxy'!$A$8:$A$19,'Estimator'!$B$4,'Wind Proxy'!$B$8:$B$19,C280)</x:f>
        <x:v>0.21505376344086022</x:v>
      </x:c>
    </x:row>
    <x:row r="281">
      <x:c r="A281" s="379" t="n">
        <x:v>45932</x:v>
      </x:c>
      <x:c r="B281" s="380" t="n">
        <x:v>2025</x:v>
      </x:c>
      <x:c r="C281" s="380" t="n">
        <x:v>10</x:v>
      </x:c>
      <x:c r="D281" s="380" t="str">
        <x:v>Oct</x:v>
      </x:c>
      <x:c r="E281" s="380" t="n">
        <x:v>2</x:v>
      </x:c>
      <x:c r="F281" s="380" t="n">
        <x:v>4</x:v>
      </x:c>
      <x:c r="G281" s="380" t="n">
        <x:f>--(F281&lt;='Estimator'!$B$7)</x:f>
        <x:v>1</x:v>
      </x:c>
      <x:c r="H281" s="381" t="n">
        <x:f>SUMIFS('Climate Data'!$G$7:$G$366,'Climate Data'!$A$7:$A$366,'Estimator'!$B$4,'Climate Data'!$B$7:$B$366,C281)</x:f>
        <x:v>0.3721198156682028</x:v>
      </x:c>
      <x:c r="I281" s="382" t="n">
        <x:f>SUMIFS('Climate Data'!$H$7:$H$366,'Climate Data'!$A$7:$A$366,'Estimator'!$B$4,'Climate Data'!$B$7:$B$366,C281)</x:f>
        <x:v>7.940557275541795</x:v>
      </x:c>
      <x:c r="J281" s="381" t="n">
        <x:f>SUMIFS('Wind Proxy'!$H$8:$H$19,'Wind Proxy'!$A$8:$A$19,'Estimator'!$B$4,'Wind Proxy'!$B$8:$B$19,C281)</x:f>
        <x:v>0.21505376344086022</x:v>
      </x:c>
    </x:row>
    <x:row r="282">
      <x:c r="A282" s="379" t="n">
        <x:v>45933</x:v>
      </x:c>
      <x:c r="B282" s="380" t="n">
        <x:v>2025</x:v>
      </x:c>
      <x:c r="C282" s="380" t="n">
        <x:v>10</x:v>
      </x:c>
      <x:c r="D282" s="380" t="str">
        <x:v>Oct</x:v>
      </x:c>
      <x:c r="E282" s="380" t="n">
        <x:v>3</x:v>
      </x:c>
      <x:c r="F282" s="380" t="n">
        <x:v>5</x:v>
      </x:c>
      <x:c r="G282" s="380" t="n">
        <x:f>--(F282&lt;='Estimator'!$B$7)</x:f>
        <x:v>1</x:v>
      </x:c>
      <x:c r="H282" s="381" t="n">
        <x:f>SUMIFS('Climate Data'!$G$7:$G$366,'Climate Data'!$A$7:$A$366,'Estimator'!$B$4,'Climate Data'!$B$7:$B$366,C282)</x:f>
        <x:v>0.3721198156682028</x:v>
      </x:c>
      <x:c r="I282" s="382" t="n">
        <x:f>SUMIFS('Climate Data'!$H$7:$H$366,'Climate Data'!$A$7:$A$366,'Estimator'!$B$4,'Climate Data'!$B$7:$B$366,C282)</x:f>
        <x:v>7.940557275541795</x:v>
      </x:c>
      <x:c r="J282" s="381" t="n">
        <x:f>SUMIFS('Wind Proxy'!$H$8:$H$19,'Wind Proxy'!$A$8:$A$19,'Estimator'!$B$4,'Wind Proxy'!$B$8:$B$19,C282)</x:f>
        <x:v>0.21505376344086022</x:v>
      </x:c>
    </x:row>
    <x:row r="283">
      <x:c r="A283" s="379" t="n">
        <x:v>45934</x:v>
      </x:c>
      <x:c r="B283" s="380" t="n">
        <x:v>2025</x:v>
      </x:c>
      <x:c r="C283" s="380" t="n">
        <x:v>10</x:v>
      </x:c>
      <x:c r="D283" s="380" t="str">
        <x:v>Oct</x:v>
      </x:c>
      <x:c r="E283" s="380" t="n">
        <x:v>4</x:v>
      </x:c>
      <x:c r="F283" s="380" t="n">
        <x:v>6</x:v>
      </x:c>
      <x:c r="G283" s="380" t="n">
        <x:f>--(F283&lt;='Estimator'!$B$7)</x:f>
        <x:v>0</x:v>
      </x:c>
      <x:c r="H283" s="381" t="n">
        <x:f>SUMIFS('Climate Data'!$G$7:$G$366,'Climate Data'!$A$7:$A$366,'Estimator'!$B$4,'Climate Data'!$B$7:$B$366,C283)</x:f>
        <x:v>0.3721198156682028</x:v>
      </x:c>
      <x:c r="I283" s="382" t="n">
        <x:f>SUMIFS('Climate Data'!$H$7:$H$366,'Climate Data'!$A$7:$A$366,'Estimator'!$B$4,'Climate Data'!$B$7:$B$366,C283)</x:f>
        <x:v>7.940557275541795</x:v>
      </x:c>
      <x:c r="J283" s="381" t="n">
        <x:f>SUMIFS('Wind Proxy'!$H$8:$H$19,'Wind Proxy'!$A$8:$A$19,'Estimator'!$B$4,'Wind Proxy'!$B$8:$B$19,C283)</x:f>
        <x:v>0.21505376344086022</x:v>
      </x:c>
    </x:row>
    <x:row r="284">
      <x:c r="A284" s="379" t="n">
        <x:v>45935</x:v>
      </x:c>
      <x:c r="B284" s="380" t="n">
        <x:v>2025</x:v>
      </x:c>
      <x:c r="C284" s="380" t="n">
        <x:v>10</x:v>
      </x:c>
      <x:c r="D284" s="380" t="str">
        <x:v>Oct</x:v>
      </x:c>
      <x:c r="E284" s="380" t="n">
        <x:v>5</x:v>
      </x:c>
      <x:c r="F284" s="380" t="n">
        <x:v>7</x:v>
      </x:c>
      <x:c r="G284" s="380" t="n">
        <x:f>--(F284&lt;='Estimator'!$B$7)</x:f>
        <x:v>0</x:v>
      </x:c>
      <x:c r="H284" s="381" t="n">
        <x:f>SUMIFS('Climate Data'!$G$7:$G$366,'Climate Data'!$A$7:$A$366,'Estimator'!$B$4,'Climate Data'!$B$7:$B$366,C284)</x:f>
        <x:v>0.3721198156682028</x:v>
      </x:c>
      <x:c r="I284" s="382" t="n">
        <x:f>SUMIFS('Climate Data'!$H$7:$H$366,'Climate Data'!$A$7:$A$366,'Estimator'!$B$4,'Climate Data'!$B$7:$B$366,C284)</x:f>
        <x:v>7.940557275541795</x:v>
      </x:c>
      <x:c r="J284" s="381" t="n">
        <x:f>SUMIFS('Wind Proxy'!$H$8:$H$19,'Wind Proxy'!$A$8:$A$19,'Estimator'!$B$4,'Wind Proxy'!$B$8:$B$19,C284)</x:f>
        <x:v>0.21505376344086022</x:v>
      </x:c>
    </x:row>
    <x:row r="285">
      <x:c r="A285" s="379" t="n">
        <x:v>45936</x:v>
      </x:c>
      <x:c r="B285" s="380" t="n">
        <x:v>2025</x:v>
      </x:c>
      <x:c r="C285" s="380" t="n">
        <x:v>10</x:v>
      </x:c>
      <x:c r="D285" s="380" t="str">
        <x:v>Oct</x:v>
      </x:c>
      <x:c r="E285" s="380" t="n">
        <x:v>6</x:v>
      </x:c>
      <x:c r="F285" s="380" t="n">
        <x:v>1</x:v>
      </x:c>
      <x:c r="G285" s="380" t="n">
        <x:f>--(F285&lt;='Estimator'!$B$7)</x:f>
        <x:v>1</x:v>
      </x:c>
      <x:c r="H285" s="381" t="n">
        <x:f>SUMIFS('Climate Data'!$G$7:$G$366,'Climate Data'!$A$7:$A$366,'Estimator'!$B$4,'Climate Data'!$B$7:$B$366,C285)</x:f>
        <x:v>0.3721198156682028</x:v>
      </x:c>
      <x:c r="I285" s="382" t="n">
        <x:f>SUMIFS('Climate Data'!$H$7:$H$366,'Climate Data'!$A$7:$A$366,'Estimator'!$B$4,'Climate Data'!$B$7:$B$366,C285)</x:f>
        <x:v>7.940557275541795</x:v>
      </x:c>
      <x:c r="J285" s="381" t="n">
        <x:f>SUMIFS('Wind Proxy'!$H$8:$H$19,'Wind Proxy'!$A$8:$A$19,'Estimator'!$B$4,'Wind Proxy'!$B$8:$B$19,C285)</x:f>
        <x:v>0.21505376344086022</x:v>
      </x:c>
    </x:row>
    <x:row r="286">
      <x:c r="A286" s="379" t="n">
        <x:v>45937</x:v>
      </x:c>
      <x:c r="B286" s="380" t="n">
        <x:v>2025</x:v>
      </x:c>
      <x:c r="C286" s="380" t="n">
        <x:v>10</x:v>
      </x:c>
      <x:c r="D286" s="380" t="str">
        <x:v>Oct</x:v>
      </x:c>
      <x:c r="E286" s="380" t="n">
        <x:v>7</x:v>
      </x:c>
      <x:c r="F286" s="380" t="n">
        <x:v>2</x:v>
      </x:c>
      <x:c r="G286" s="380" t="n">
        <x:f>--(F286&lt;='Estimator'!$B$7)</x:f>
        <x:v>1</x:v>
      </x:c>
      <x:c r="H286" s="381" t="n">
        <x:f>SUMIFS('Climate Data'!$G$7:$G$366,'Climate Data'!$A$7:$A$366,'Estimator'!$B$4,'Climate Data'!$B$7:$B$366,C286)</x:f>
        <x:v>0.3721198156682028</x:v>
      </x:c>
      <x:c r="I286" s="382" t="n">
        <x:f>SUMIFS('Climate Data'!$H$7:$H$366,'Climate Data'!$A$7:$A$366,'Estimator'!$B$4,'Climate Data'!$B$7:$B$366,C286)</x:f>
        <x:v>7.940557275541795</x:v>
      </x:c>
      <x:c r="J286" s="381" t="n">
        <x:f>SUMIFS('Wind Proxy'!$H$8:$H$19,'Wind Proxy'!$A$8:$A$19,'Estimator'!$B$4,'Wind Proxy'!$B$8:$B$19,C286)</x:f>
        <x:v>0.21505376344086022</x:v>
      </x:c>
    </x:row>
    <x:row r="287">
      <x:c r="A287" s="379" t="n">
        <x:v>45938</x:v>
      </x:c>
      <x:c r="B287" s="380" t="n">
        <x:v>2025</x:v>
      </x:c>
      <x:c r="C287" s="380" t="n">
        <x:v>10</x:v>
      </x:c>
      <x:c r="D287" s="380" t="str">
        <x:v>Oct</x:v>
      </x:c>
      <x:c r="E287" s="380" t="n">
        <x:v>8</x:v>
      </x:c>
      <x:c r="F287" s="380" t="n">
        <x:v>3</x:v>
      </x:c>
      <x:c r="G287" s="380" t="n">
        <x:f>--(F287&lt;='Estimator'!$B$7)</x:f>
        <x:v>1</x:v>
      </x:c>
      <x:c r="H287" s="381" t="n">
        <x:f>SUMIFS('Climate Data'!$G$7:$G$366,'Climate Data'!$A$7:$A$366,'Estimator'!$B$4,'Climate Data'!$B$7:$B$366,C287)</x:f>
        <x:v>0.3721198156682028</x:v>
      </x:c>
      <x:c r="I287" s="382" t="n">
        <x:f>SUMIFS('Climate Data'!$H$7:$H$366,'Climate Data'!$A$7:$A$366,'Estimator'!$B$4,'Climate Data'!$B$7:$B$366,C287)</x:f>
        <x:v>7.940557275541795</x:v>
      </x:c>
      <x:c r="J287" s="381" t="n">
        <x:f>SUMIFS('Wind Proxy'!$H$8:$H$19,'Wind Proxy'!$A$8:$A$19,'Estimator'!$B$4,'Wind Proxy'!$B$8:$B$19,C287)</x:f>
        <x:v>0.21505376344086022</x:v>
      </x:c>
    </x:row>
    <x:row r="288">
      <x:c r="A288" s="379" t="n">
        <x:v>45939</x:v>
      </x:c>
      <x:c r="B288" s="380" t="n">
        <x:v>2025</x:v>
      </x:c>
      <x:c r="C288" s="380" t="n">
        <x:v>10</x:v>
      </x:c>
      <x:c r="D288" s="380" t="str">
        <x:v>Oct</x:v>
      </x:c>
      <x:c r="E288" s="380" t="n">
        <x:v>9</x:v>
      </x:c>
      <x:c r="F288" s="380" t="n">
        <x:v>4</x:v>
      </x:c>
      <x:c r="G288" s="380" t="n">
        <x:f>--(F288&lt;='Estimator'!$B$7)</x:f>
        <x:v>1</x:v>
      </x:c>
      <x:c r="H288" s="381" t="n">
        <x:f>SUMIFS('Climate Data'!$G$7:$G$366,'Climate Data'!$A$7:$A$366,'Estimator'!$B$4,'Climate Data'!$B$7:$B$366,C288)</x:f>
        <x:v>0.3721198156682028</x:v>
      </x:c>
      <x:c r="I288" s="382" t="n">
        <x:f>SUMIFS('Climate Data'!$H$7:$H$366,'Climate Data'!$A$7:$A$366,'Estimator'!$B$4,'Climate Data'!$B$7:$B$366,C288)</x:f>
        <x:v>7.940557275541795</x:v>
      </x:c>
      <x:c r="J288" s="381" t="n">
        <x:f>SUMIFS('Wind Proxy'!$H$8:$H$19,'Wind Proxy'!$A$8:$A$19,'Estimator'!$B$4,'Wind Proxy'!$B$8:$B$19,C288)</x:f>
        <x:v>0.21505376344086022</x:v>
      </x:c>
    </x:row>
    <x:row r="289">
      <x:c r="A289" s="379" t="n">
        <x:v>45940</x:v>
      </x:c>
      <x:c r="B289" s="380" t="n">
        <x:v>2025</x:v>
      </x:c>
      <x:c r="C289" s="380" t="n">
        <x:v>10</x:v>
      </x:c>
      <x:c r="D289" s="380" t="str">
        <x:v>Oct</x:v>
      </x:c>
      <x:c r="E289" s="380" t="n">
        <x:v>10</x:v>
      </x:c>
      <x:c r="F289" s="380" t="n">
        <x:v>5</x:v>
      </x:c>
      <x:c r="G289" s="380" t="n">
        <x:f>--(F289&lt;='Estimator'!$B$7)</x:f>
        <x:v>1</x:v>
      </x:c>
      <x:c r="H289" s="381" t="n">
        <x:f>SUMIFS('Climate Data'!$G$7:$G$366,'Climate Data'!$A$7:$A$366,'Estimator'!$B$4,'Climate Data'!$B$7:$B$366,C289)</x:f>
        <x:v>0.3721198156682028</x:v>
      </x:c>
      <x:c r="I289" s="382" t="n">
        <x:f>SUMIFS('Climate Data'!$H$7:$H$366,'Climate Data'!$A$7:$A$366,'Estimator'!$B$4,'Climate Data'!$B$7:$B$366,C289)</x:f>
        <x:v>7.940557275541795</x:v>
      </x:c>
      <x:c r="J289" s="381" t="n">
        <x:f>SUMIFS('Wind Proxy'!$H$8:$H$19,'Wind Proxy'!$A$8:$A$19,'Estimator'!$B$4,'Wind Proxy'!$B$8:$B$19,C289)</x:f>
        <x:v>0.21505376344086022</x:v>
      </x:c>
    </x:row>
    <x:row r="290">
      <x:c r="A290" s="379" t="n">
        <x:v>45941</x:v>
      </x:c>
      <x:c r="B290" s="380" t="n">
        <x:v>2025</x:v>
      </x:c>
      <x:c r="C290" s="380" t="n">
        <x:v>10</x:v>
      </x:c>
      <x:c r="D290" s="380" t="str">
        <x:v>Oct</x:v>
      </x:c>
      <x:c r="E290" s="380" t="n">
        <x:v>11</x:v>
      </x:c>
      <x:c r="F290" s="380" t="n">
        <x:v>6</x:v>
      </x:c>
      <x:c r="G290" s="380" t="n">
        <x:f>--(F290&lt;='Estimator'!$B$7)</x:f>
        <x:v>0</x:v>
      </x:c>
      <x:c r="H290" s="381" t="n">
        <x:f>SUMIFS('Climate Data'!$G$7:$G$366,'Climate Data'!$A$7:$A$366,'Estimator'!$B$4,'Climate Data'!$B$7:$B$366,C290)</x:f>
        <x:v>0.3721198156682028</x:v>
      </x:c>
      <x:c r="I290" s="382" t="n">
        <x:f>SUMIFS('Climate Data'!$H$7:$H$366,'Climate Data'!$A$7:$A$366,'Estimator'!$B$4,'Climate Data'!$B$7:$B$366,C290)</x:f>
        <x:v>7.940557275541795</x:v>
      </x:c>
      <x:c r="J290" s="381" t="n">
        <x:f>SUMIFS('Wind Proxy'!$H$8:$H$19,'Wind Proxy'!$A$8:$A$19,'Estimator'!$B$4,'Wind Proxy'!$B$8:$B$19,C290)</x:f>
        <x:v>0.21505376344086022</x:v>
      </x:c>
    </x:row>
    <x:row r="291">
      <x:c r="A291" s="379" t="n">
        <x:v>45942</x:v>
      </x:c>
      <x:c r="B291" s="380" t="n">
        <x:v>2025</x:v>
      </x:c>
      <x:c r="C291" s="380" t="n">
        <x:v>10</x:v>
      </x:c>
      <x:c r="D291" s="380" t="str">
        <x:v>Oct</x:v>
      </x:c>
      <x:c r="E291" s="380" t="n">
        <x:v>12</x:v>
      </x:c>
      <x:c r="F291" s="380" t="n">
        <x:v>7</x:v>
      </x:c>
      <x:c r="G291" s="380" t="n">
        <x:f>--(F291&lt;='Estimator'!$B$7)</x:f>
        <x:v>0</x:v>
      </x:c>
      <x:c r="H291" s="381" t="n">
        <x:f>SUMIFS('Climate Data'!$G$7:$G$366,'Climate Data'!$A$7:$A$366,'Estimator'!$B$4,'Climate Data'!$B$7:$B$366,C291)</x:f>
        <x:v>0.3721198156682028</x:v>
      </x:c>
      <x:c r="I291" s="382" t="n">
        <x:f>SUMIFS('Climate Data'!$H$7:$H$366,'Climate Data'!$A$7:$A$366,'Estimator'!$B$4,'Climate Data'!$B$7:$B$366,C291)</x:f>
        <x:v>7.940557275541795</x:v>
      </x:c>
      <x:c r="J291" s="381" t="n">
        <x:f>SUMIFS('Wind Proxy'!$H$8:$H$19,'Wind Proxy'!$A$8:$A$19,'Estimator'!$B$4,'Wind Proxy'!$B$8:$B$19,C291)</x:f>
        <x:v>0.21505376344086022</x:v>
      </x:c>
    </x:row>
    <x:row r="292">
      <x:c r="A292" s="379" t="n">
        <x:v>45943</x:v>
      </x:c>
      <x:c r="B292" s="380" t="n">
        <x:v>2025</x:v>
      </x:c>
      <x:c r="C292" s="380" t="n">
        <x:v>10</x:v>
      </x:c>
      <x:c r="D292" s="380" t="str">
        <x:v>Oct</x:v>
      </x:c>
      <x:c r="E292" s="380" t="n">
        <x:v>13</x:v>
      </x:c>
      <x:c r="F292" s="380" t="n">
        <x:v>1</x:v>
      </x:c>
      <x:c r="G292" s="380" t="n">
        <x:f>--(F292&lt;='Estimator'!$B$7)</x:f>
        <x:v>1</x:v>
      </x:c>
      <x:c r="H292" s="381" t="n">
        <x:f>SUMIFS('Climate Data'!$G$7:$G$366,'Climate Data'!$A$7:$A$366,'Estimator'!$B$4,'Climate Data'!$B$7:$B$366,C292)</x:f>
        <x:v>0.3721198156682028</x:v>
      </x:c>
      <x:c r="I292" s="382" t="n">
        <x:f>SUMIFS('Climate Data'!$H$7:$H$366,'Climate Data'!$A$7:$A$366,'Estimator'!$B$4,'Climate Data'!$B$7:$B$366,C292)</x:f>
        <x:v>7.940557275541795</x:v>
      </x:c>
      <x:c r="J292" s="381" t="n">
        <x:f>SUMIFS('Wind Proxy'!$H$8:$H$19,'Wind Proxy'!$A$8:$A$19,'Estimator'!$B$4,'Wind Proxy'!$B$8:$B$19,C292)</x:f>
        <x:v>0.21505376344086022</x:v>
      </x:c>
    </x:row>
    <x:row r="293">
      <x:c r="A293" s="379" t="n">
        <x:v>45944</x:v>
      </x:c>
      <x:c r="B293" s="380" t="n">
        <x:v>2025</x:v>
      </x:c>
      <x:c r="C293" s="380" t="n">
        <x:v>10</x:v>
      </x:c>
      <x:c r="D293" s="380" t="str">
        <x:v>Oct</x:v>
      </x:c>
      <x:c r="E293" s="380" t="n">
        <x:v>14</x:v>
      </x:c>
      <x:c r="F293" s="380" t="n">
        <x:v>2</x:v>
      </x:c>
      <x:c r="G293" s="380" t="n">
        <x:f>--(F293&lt;='Estimator'!$B$7)</x:f>
        <x:v>1</x:v>
      </x:c>
      <x:c r="H293" s="381" t="n">
        <x:f>SUMIFS('Climate Data'!$G$7:$G$366,'Climate Data'!$A$7:$A$366,'Estimator'!$B$4,'Climate Data'!$B$7:$B$366,C293)</x:f>
        <x:v>0.3721198156682028</x:v>
      </x:c>
      <x:c r="I293" s="382" t="n">
        <x:f>SUMIFS('Climate Data'!$H$7:$H$366,'Climate Data'!$A$7:$A$366,'Estimator'!$B$4,'Climate Data'!$B$7:$B$366,C293)</x:f>
        <x:v>7.940557275541795</x:v>
      </x:c>
      <x:c r="J293" s="381" t="n">
        <x:f>SUMIFS('Wind Proxy'!$H$8:$H$19,'Wind Proxy'!$A$8:$A$19,'Estimator'!$B$4,'Wind Proxy'!$B$8:$B$19,C293)</x:f>
        <x:v>0.21505376344086022</x:v>
      </x:c>
    </x:row>
    <x:row r="294">
      <x:c r="A294" s="379" t="n">
        <x:v>45945</x:v>
      </x:c>
      <x:c r="B294" s="380" t="n">
        <x:v>2025</x:v>
      </x:c>
      <x:c r="C294" s="380" t="n">
        <x:v>10</x:v>
      </x:c>
      <x:c r="D294" s="380" t="str">
        <x:v>Oct</x:v>
      </x:c>
      <x:c r="E294" s="380" t="n">
        <x:v>15</x:v>
      </x:c>
      <x:c r="F294" s="380" t="n">
        <x:v>3</x:v>
      </x:c>
      <x:c r="G294" s="380" t="n">
        <x:f>--(F294&lt;='Estimator'!$B$7)</x:f>
        <x:v>1</x:v>
      </x:c>
      <x:c r="H294" s="381" t="n">
        <x:f>SUMIFS('Climate Data'!$G$7:$G$366,'Climate Data'!$A$7:$A$366,'Estimator'!$B$4,'Climate Data'!$B$7:$B$366,C294)</x:f>
        <x:v>0.3721198156682028</x:v>
      </x:c>
      <x:c r="I294" s="382" t="n">
        <x:f>SUMIFS('Climate Data'!$H$7:$H$366,'Climate Data'!$A$7:$A$366,'Estimator'!$B$4,'Climate Data'!$B$7:$B$366,C294)</x:f>
        <x:v>7.940557275541795</x:v>
      </x:c>
      <x:c r="J294" s="381" t="n">
        <x:f>SUMIFS('Wind Proxy'!$H$8:$H$19,'Wind Proxy'!$A$8:$A$19,'Estimator'!$B$4,'Wind Proxy'!$B$8:$B$19,C294)</x:f>
        <x:v>0.21505376344086022</x:v>
      </x:c>
    </x:row>
    <x:row r="295">
      <x:c r="A295" s="379" t="n">
        <x:v>45946</x:v>
      </x:c>
      <x:c r="B295" s="380" t="n">
        <x:v>2025</x:v>
      </x:c>
      <x:c r="C295" s="380" t="n">
        <x:v>10</x:v>
      </x:c>
      <x:c r="D295" s="380" t="str">
        <x:v>Oct</x:v>
      </x:c>
      <x:c r="E295" s="380" t="n">
        <x:v>16</x:v>
      </x:c>
      <x:c r="F295" s="380" t="n">
        <x:v>4</x:v>
      </x:c>
      <x:c r="G295" s="380" t="n">
        <x:f>--(F295&lt;='Estimator'!$B$7)</x:f>
        <x:v>1</x:v>
      </x:c>
      <x:c r="H295" s="381" t="n">
        <x:f>SUMIFS('Climate Data'!$G$7:$G$366,'Climate Data'!$A$7:$A$366,'Estimator'!$B$4,'Climate Data'!$B$7:$B$366,C295)</x:f>
        <x:v>0.3721198156682028</x:v>
      </x:c>
      <x:c r="I295" s="382" t="n">
        <x:f>SUMIFS('Climate Data'!$H$7:$H$366,'Climate Data'!$A$7:$A$366,'Estimator'!$B$4,'Climate Data'!$B$7:$B$366,C295)</x:f>
        <x:v>7.940557275541795</x:v>
      </x:c>
      <x:c r="J295" s="381" t="n">
        <x:f>SUMIFS('Wind Proxy'!$H$8:$H$19,'Wind Proxy'!$A$8:$A$19,'Estimator'!$B$4,'Wind Proxy'!$B$8:$B$19,C295)</x:f>
        <x:v>0.21505376344086022</x:v>
      </x:c>
    </x:row>
    <x:row r="296">
      <x:c r="A296" s="379" t="n">
        <x:v>45947</x:v>
      </x:c>
      <x:c r="B296" s="380" t="n">
        <x:v>2025</x:v>
      </x:c>
      <x:c r="C296" s="380" t="n">
        <x:v>10</x:v>
      </x:c>
      <x:c r="D296" s="380" t="str">
        <x:v>Oct</x:v>
      </x:c>
      <x:c r="E296" s="380" t="n">
        <x:v>17</x:v>
      </x:c>
      <x:c r="F296" s="380" t="n">
        <x:v>5</x:v>
      </x:c>
      <x:c r="G296" s="380" t="n">
        <x:f>--(F296&lt;='Estimator'!$B$7)</x:f>
        <x:v>1</x:v>
      </x:c>
      <x:c r="H296" s="381" t="n">
        <x:f>SUMIFS('Climate Data'!$G$7:$G$366,'Climate Data'!$A$7:$A$366,'Estimator'!$B$4,'Climate Data'!$B$7:$B$366,C296)</x:f>
        <x:v>0.3721198156682028</x:v>
      </x:c>
      <x:c r="I296" s="382" t="n">
        <x:f>SUMIFS('Climate Data'!$H$7:$H$366,'Climate Data'!$A$7:$A$366,'Estimator'!$B$4,'Climate Data'!$B$7:$B$366,C296)</x:f>
        <x:v>7.940557275541795</x:v>
      </x:c>
      <x:c r="J296" s="381" t="n">
        <x:f>SUMIFS('Wind Proxy'!$H$8:$H$19,'Wind Proxy'!$A$8:$A$19,'Estimator'!$B$4,'Wind Proxy'!$B$8:$B$19,C296)</x:f>
        <x:v>0.21505376344086022</x:v>
      </x:c>
    </x:row>
    <x:row r="297">
      <x:c r="A297" s="379" t="n">
        <x:v>45948</x:v>
      </x:c>
      <x:c r="B297" s="380" t="n">
        <x:v>2025</x:v>
      </x:c>
      <x:c r="C297" s="380" t="n">
        <x:v>10</x:v>
      </x:c>
      <x:c r="D297" s="380" t="str">
        <x:v>Oct</x:v>
      </x:c>
      <x:c r="E297" s="380" t="n">
        <x:v>18</x:v>
      </x:c>
      <x:c r="F297" s="380" t="n">
        <x:v>6</x:v>
      </x:c>
      <x:c r="G297" s="380" t="n">
        <x:f>--(F297&lt;='Estimator'!$B$7)</x:f>
        <x:v>0</x:v>
      </x:c>
      <x:c r="H297" s="381" t="n">
        <x:f>SUMIFS('Climate Data'!$G$7:$G$366,'Climate Data'!$A$7:$A$366,'Estimator'!$B$4,'Climate Data'!$B$7:$B$366,C297)</x:f>
        <x:v>0.3721198156682028</x:v>
      </x:c>
      <x:c r="I297" s="382" t="n">
        <x:f>SUMIFS('Climate Data'!$H$7:$H$366,'Climate Data'!$A$7:$A$366,'Estimator'!$B$4,'Climate Data'!$B$7:$B$366,C297)</x:f>
        <x:v>7.940557275541795</x:v>
      </x:c>
      <x:c r="J297" s="381" t="n">
        <x:f>SUMIFS('Wind Proxy'!$H$8:$H$19,'Wind Proxy'!$A$8:$A$19,'Estimator'!$B$4,'Wind Proxy'!$B$8:$B$19,C297)</x:f>
        <x:v>0.21505376344086022</x:v>
      </x:c>
    </x:row>
    <x:row r="298">
      <x:c r="A298" s="379" t="n">
        <x:v>45949</x:v>
      </x:c>
      <x:c r="B298" s="380" t="n">
        <x:v>2025</x:v>
      </x:c>
      <x:c r="C298" s="380" t="n">
        <x:v>10</x:v>
      </x:c>
      <x:c r="D298" s="380" t="str">
        <x:v>Oct</x:v>
      </x:c>
      <x:c r="E298" s="380" t="n">
        <x:v>19</x:v>
      </x:c>
      <x:c r="F298" s="380" t="n">
        <x:v>7</x:v>
      </x:c>
      <x:c r="G298" s="380" t="n">
        <x:f>--(F298&lt;='Estimator'!$B$7)</x:f>
        <x:v>0</x:v>
      </x:c>
      <x:c r="H298" s="381" t="n">
        <x:f>SUMIFS('Climate Data'!$G$7:$G$366,'Climate Data'!$A$7:$A$366,'Estimator'!$B$4,'Climate Data'!$B$7:$B$366,C298)</x:f>
        <x:v>0.3721198156682028</x:v>
      </x:c>
      <x:c r="I298" s="382" t="n">
        <x:f>SUMIFS('Climate Data'!$H$7:$H$366,'Climate Data'!$A$7:$A$366,'Estimator'!$B$4,'Climate Data'!$B$7:$B$366,C298)</x:f>
        <x:v>7.940557275541795</x:v>
      </x:c>
      <x:c r="J298" s="381" t="n">
        <x:f>SUMIFS('Wind Proxy'!$H$8:$H$19,'Wind Proxy'!$A$8:$A$19,'Estimator'!$B$4,'Wind Proxy'!$B$8:$B$19,C298)</x:f>
        <x:v>0.21505376344086022</x:v>
      </x:c>
    </x:row>
    <x:row r="299">
      <x:c r="A299" s="379" t="n">
        <x:v>45950</x:v>
      </x:c>
      <x:c r="B299" s="380" t="n">
        <x:v>2025</x:v>
      </x:c>
      <x:c r="C299" s="380" t="n">
        <x:v>10</x:v>
      </x:c>
      <x:c r="D299" s="380" t="str">
        <x:v>Oct</x:v>
      </x:c>
      <x:c r="E299" s="380" t="n">
        <x:v>20</x:v>
      </x:c>
      <x:c r="F299" s="380" t="n">
        <x:v>1</x:v>
      </x:c>
      <x:c r="G299" s="380" t="n">
        <x:f>--(F299&lt;='Estimator'!$B$7)</x:f>
        <x:v>1</x:v>
      </x:c>
      <x:c r="H299" s="381" t="n">
        <x:f>SUMIFS('Climate Data'!$G$7:$G$366,'Climate Data'!$A$7:$A$366,'Estimator'!$B$4,'Climate Data'!$B$7:$B$366,C299)</x:f>
        <x:v>0.3721198156682028</x:v>
      </x:c>
      <x:c r="I299" s="382" t="n">
        <x:f>SUMIFS('Climate Data'!$H$7:$H$366,'Climate Data'!$A$7:$A$366,'Estimator'!$B$4,'Climate Data'!$B$7:$B$366,C299)</x:f>
        <x:v>7.940557275541795</x:v>
      </x:c>
      <x:c r="J299" s="381" t="n">
        <x:f>SUMIFS('Wind Proxy'!$H$8:$H$19,'Wind Proxy'!$A$8:$A$19,'Estimator'!$B$4,'Wind Proxy'!$B$8:$B$19,C299)</x:f>
        <x:v>0.21505376344086022</x:v>
      </x:c>
    </x:row>
    <x:row r="300">
      <x:c r="A300" s="379" t="n">
        <x:v>45951</x:v>
      </x:c>
      <x:c r="B300" s="380" t="n">
        <x:v>2025</x:v>
      </x:c>
      <x:c r="C300" s="380" t="n">
        <x:v>10</x:v>
      </x:c>
      <x:c r="D300" s="380" t="str">
        <x:v>Oct</x:v>
      </x:c>
      <x:c r="E300" s="380" t="n">
        <x:v>21</x:v>
      </x:c>
      <x:c r="F300" s="380" t="n">
        <x:v>2</x:v>
      </x:c>
      <x:c r="G300" s="380" t="n">
        <x:f>--(F300&lt;='Estimator'!$B$7)</x:f>
        <x:v>1</x:v>
      </x:c>
      <x:c r="H300" s="381" t="n">
        <x:f>SUMIFS('Climate Data'!$G$7:$G$366,'Climate Data'!$A$7:$A$366,'Estimator'!$B$4,'Climate Data'!$B$7:$B$366,C300)</x:f>
        <x:v>0.3721198156682028</x:v>
      </x:c>
      <x:c r="I300" s="382" t="n">
        <x:f>SUMIFS('Climate Data'!$H$7:$H$366,'Climate Data'!$A$7:$A$366,'Estimator'!$B$4,'Climate Data'!$B$7:$B$366,C300)</x:f>
        <x:v>7.940557275541795</x:v>
      </x:c>
      <x:c r="J300" s="381" t="n">
        <x:f>SUMIFS('Wind Proxy'!$H$8:$H$19,'Wind Proxy'!$A$8:$A$19,'Estimator'!$B$4,'Wind Proxy'!$B$8:$B$19,C300)</x:f>
        <x:v>0.21505376344086022</x:v>
      </x:c>
    </x:row>
    <x:row r="301">
      <x:c r="A301" s="379" t="n">
        <x:v>45952</x:v>
      </x:c>
      <x:c r="B301" s="380" t="n">
        <x:v>2025</x:v>
      </x:c>
      <x:c r="C301" s="380" t="n">
        <x:v>10</x:v>
      </x:c>
      <x:c r="D301" s="380" t="str">
        <x:v>Oct</x:v>
      </x:c>
      <x:c r="E301" s="380" t="n">
        <x:v>22</x:v>
      </x:c>
      <x:c r="F301" s="380" t="n">
        <x:v>3</x:v>
      </x:c>
      <x:c r="G301" s="380" t="n">
        <x:f>--(F301&lt;='Estimator'!$B$7)</x:f>
        <x:v>1</x:v>
      </x:c>
      <x:c r="H301" s="381" t="n">
        <x:f>SUMIFS('Climate Data'!$G$7:$G$366,'Climate Data'!$A$7:$A$366,'Estimator'!$B$4,'Climate Data'!$B$7:$B$366,C301)</x:f>
        <x:v>0.3721198156682028</x:v>
      </x:c>
      <x:c r="I301" s="382" t="n">
        <x:f>SUMIFS('Climate Data'!$H$7:$H$366,'Climate Data'!$A$7:$A$366,'Estimator'!$B$4,'Climate Data'!$B$7:$B$366,C301)</x:f>
        <x:v>7.940557275541795</x:v>
      </x:c>
      <x:c r="J301" s="381" t="n">
        <x:f>SUMIFS('Wind Proxy'!$H$8:$H$19,'Wind Proxy'!$A$8:$A$19,'Estimator'!$B$4,'Wind Proxy'!$B$8:$B$19,C301)</x:f>
        <x:v>0.21505376344086022</x:v>
      </x:c>
    </x:row>
    <x:row r="302">
      <x:c r="A302" s="379" t="n">
        <x:v>45953</x:v>
      </x:c>
      <x:c r="B302" s="380" t="n">
        <x:v>2025</x:v>
      </x:c>
      <x:c r="C302" s="380" t="n">
        <x:v>10</x:v>
      </x:c>
      <x:c r="D302" s="380" t="str">
        <x:v>Oct</x:v>
      </x:c>
      <x:c r="E302" s="380" t="n">
        <x:v>23</x:v>
      </x:c>
      <x:c r="F302" s="380" t="n">
        <x:v>4</x:v>
      </x:c>
      <x:c r="G302" s="380" t="n">
        <x:f>--(F302&lt;='Estimator'!$B$7)</x:f>
        <x:v>1</x:v>
      </x:c>
      <x:c r="H302" s="381" t="n">
        <x:f>SUMIFS('Climate Data'!$G$7:$G$366,'Climate Data'!$A$7:$A$366,'Estimator'!$B$4,'Climate Data'!$B$7:$B$366,C302)</x:f>
        <x:v>0.3721198156682028</x:v>
      </x:c>
      <x:c r="I302" s="382" t="n">
        <x:f>SUMIFS('Climate Data'!$H$7:$H$366,'Climate Data'!$A$7:$A$366,'Estimator'!$B$4,'Climate Data'!$B$7:$B$366,C302)</x:f>
        <x:v>7.940557275541795</x:v>
      </x:c>
      <x:c r="J302" s="381" t="n">
        <x:f>SUMIFS('Wind Proxy'!$H$8:$H$19,'Wind Proxy'!$A$8:$A$19,'Estimator'!$B$4,'Wind Proxy'!$B$8:$B$19,C302)</x:f>
        <x:v>0.21505376344086022</x:v>
      </x:c>
    </x:row>
    <x:row r="303">
      <x:c r="A303" s="379" t="n">
        <x:v>45954</x:v>
      </x:c>
      <x:c r="B303" s="380" t="n">
        <x:v>2025</x:v>
      </x:c>
      <x:c r="C303" s="380" t="n">
        <x:v>10</x:v>
      </x:c>
      <x:c r="D303" s="380" t="str">
        <x:v>Oct</x:v>
      </x:c>
      <x:c r="E303" s="380" t="n">
        <x:v>24</x:v>
      </x:c>
      <x:c r="F303" s="380" t="n">
        <x:v>5</x:v>
      </x:c>
      <x:c r="G303" s="380" t="n">
        <x:f>--(F303&lt;='Estimator'!$B$7)</x:f>
        <x:v>1</x:v>
      </x:c>
      <x:c r="H303" s="381" t="n">
        <x:f>SUMIFS('Climate Data'!$G$7:$G$366,'Climate Data'!$A$7:$A$366,'Estimator'!$B$4,'Climate Data'!$B$7:$B$366,C303)</x:f>
        <x:v>0.3721198156682028</x:v>
      </x:c>
      <x:c r="I303" s="382" t="n">
        <x:f>SUMIFS('Climate Data'!$H$7:$H$366,'Climate Data'!$A$7:$A$366,'Estimator'!$B$4,'Climate Data'!$B$7:$B$366,C303)</x:f>
        <x:v>7.940557275541795</x:v>
      </x:c>
      <x:c r="J303" s="381" t="n">
        <x:f>SUMIFS('Wind Proxy'!$H$8:$H$19,'Wind Proxy'!$A$8:$A$19,'Estimator'!$B$4,'Wind Proxy'!$B$8:$B$19,C303)</x:f>
        <x:v>0.21505376344086022</x:v>
      </x:c>
    </x:row>
    <x:row r="304">
      <x:c r="A304" s="379" t="n">
        <x:v>45955</x:v>
      </x:c>
      <x:c r="B304" s="380" t="n">
        <x:v>2025</x:v>
      </x:c>
      <x:c r="C304" s="380" t="n">
        <x:v>10</x:v>
      </x:c>
      <x:c r="D304" s="380" t="str">
        <x:v>Oct</x:v>
      </x:c>
      <x:c r="E304" s="380" t="n">
        <x:v>25</x:v>
      </x:c>
      <x:c r="F304" s="380" t="n">
        <x:v>6</x:v>
      </x:c>
      <x:c r="G304" s="380" t="n">
        <x:f>--(F304&lt;='Estimator'!$B$7)</x:f>
        <x:v>0</x:v>
      </x:c>
      <x:c r="H304" s="381" t="n">
        <x:f>SUMIFS('Climate Data'!$G$7:$G$366,'Climate Data'!$A$7:$A$366,'Estimator'!$B$4,'Climate Data'!$B$7:$B$366,C304)</x:f>
        <x:v>0.3721198156682028</x:v>
      </x:c>
      <x:c r="I304" s="382" t="n">
        <x:f>SUMIFS('Climate Data'!$H$7:$H$366,'Climate Data'!$A$7:$A$366,'Estimator'!$B$4,'Climate Data'!$B$7:$B$366,C304)</x:f>
        <x:v>7.940557275541795</x:v>
      </x:c>
      <x:c r="J304" s="381" t="n">
        <x:f>SUMIFS('Wind Proxy'!$H$8:$H$19,'Wind Proxy'!$A$8:$A$19,'Estimator'!$B$4,'Wind Proxy'!$B$8:$B$19,C304)</x:f>
        <x:v>0.21505376344086022</x:v>
      </x:c>
    </x:row>
    <x:row r="305">
      <x:c r="A305" s="379" t="n">
        <x:v>45956</x:v>
      </x:c>
      <x:c r="B305" s="380" t="n">
        <x:v>2025</x:v>
      </x:c>
      <x:c r="C305" s="380" t="n">
        <x:v>10</x:v>
      </x:c>
      <x:c r="D305" s="380" t="str">
        <x:v>Oct</x:v>
      </x:c>
      <x:c r="E305" s="380" t="n">
        <x:v>26</x:v>
      </x:c>
      <x:c r="F305" s="380" t="n">
        <x:v>7</x:v>
      </x:c>
      <x:c r="G305" s="380" t="n">
        <x:f>--(F305&lt;='Estimator'!$B$7)</x:f>
        <x:v>0</x:v>
      </x:c>
      <x:c r="H305" s="381" t="n">
        <x:f>SUMIFS('Climate Data'!$G$7:$G$366,'Climate Data'!$A$7:$A$366,'Estimator'!$B$4,'Climate Data'!$B$7:$B$366,C305)</x:f>
        <x:v>0.3721198156682028</x:v>
      </x:c>
      <x:c r="I305" s="382" t="n">
        <x:f>SUMIFS('Climate Data'!$H$7:$H$366,'Climate Data'!$A$7:$A$366,'Estimator'!$B$4,'Climate Data'!$B$7:$B$366,C305)</x:f>
        <x:v>7.940557275541795</x:v>
      </x:c>
      <x:c r="J305" s="381" t="n">
        <x:f>SUMIFS('Wind Proxy'!$H$8:$H$19,'Wind Proxy'!$A$8:$A$19,'Estimator'!$B$4,'Wind Proxy'!$B$8:$B$19,C305)</x:f>
        <x:v>0.21505376344086022</x:v>
      </x:c>
    </x:row>
    <x:row r="306">
      <x:c r="A306" s="379" t="n">
        <x:v>45957</x:v>
      </x:c>
      <x:c r="B306" s="380" t="n">
        <x:v>2025</x:v>
      </x:c>
      <x:c r="C306" s="380" t="n">
        <x:v>10</x:v>
      </x:c>
      <x:c r="D306" s="380" t="str">
        <x:v>Oct</x:v>
      </x:c>
      <x:c r="E306" s="380" t="n">
        <x:v>27</x:v>
      </x:c>
      <x:c r="F306" s="380" t="n">
        <x:v>1</x:v>
      </x:c>
      <x:c r="G306" s="380" t="n">
        <x:f>--(F306&lt;='Estimator'!$B$7)</x:f>
        <x:v>1</x:v>
      </x:c>
      <x:c r="H306" s="381" t="n">
        <x:f>SUMIFS('Climate Data'!$G$7:$G$366,'Climate Data'!$A$7:$A$366,'Estimator'!$B$4,'Climate Data'!$B$7:$B$366,C306)</x:f>
        <x:v>0.3721198156682028</x:v>
      </x:c>
      <x:c r="I306" s="382" t="n">
        <x:f>SUMIFS('Climate Data'!$H$7:$H$366,'Climate Data'!$A$7:$A$366,'Estimator'!$B$4,'Climate Data'!$B$7:$B$366,C306)</x:f>
        <x:v>7.940557275541795</x:v>
      </x:c>
      <x:c r="J306" s="381" t="n">
        <x:f>SUMIFS('Wind Proxy'!$H$8:$H$19,'Wind Proxy'!$A$8:$A$19,'Estimator'!$B$4,'Wind Proxy'!$B$8:$B$19,C306)</x:f>
        <x:v>0.21505376344086022</x:v>
      </x:c>
    </x:row>
    <x:row r="307">
      <x:c r="A307" s="379" t="n">
        <x:v>45958</x:v>
      </x:c>
      <x:c r="B307" s="380" t="n">
        <x:v>2025</x:v>
      </x:c>
      <x:c r="C307" s="380" t="n">
        <x:v>10</x:v>
      </x:c>
      <x:c r="D307" s="380" t="str">
        <x:v>Oct</x:v>
      </x:c>
      <x:c r="E307" s="380" t="n">
        <x:v>28</x:v>
      </x:c>
      <x:c r="F307" s="380" t="n">
        <x:v>2</x:v>
      </x:c>
      <x:c r="G307" s="380" t="n">
        <x:f>--(F307&lt;='Estimator'!$B$7)</x:f>
        <x:v>1</x:v>
      </x:c>
      <x:c r="H307" s="381" t="n">
        <x:f>SUMIFS('Climate Data'!$G$7:$G$366,'Climate Data'!$A$7:$A$366,'Estimator'!$B$4,'Climate Data'!$B$7:$B$366,C307)</x:f>
        <x:v>0.3721198156682028</x:v>
      </x:c>
      <x:c r="I307" s="382" t="n">
        <x:f>SUMIFS('Climate Data'!$H$7:$H$366,'Climate Data'!$A$7:$A$366,'Estimator'!$B$4,'Climate Data'!$B$7:$B$366,C307)</x:f>
        <x:v>7.940557275541795</x:v>
      </x:c>
      <x:c r="J307" s="381" t="n">
        <x:f>SUMIFS('Wind Proxy'!$H$8:$H$19,'Wind Proxy'!$A$8:$A$19,'Estimator'!$B$4,'Wind Proxy'!$B$8:$B$19,C307)</x:f>
        <x:v>0.21505376344086022</x:v>
      </x:c>
    </x:row>
    <x:row r="308">
      <x:c r="A308" s="379" t="n">
        <x:v>45959</x:v>
      </x:c>
      <x:c r="B308" s="380" t="n">
        <x:v>2025</x:v>
      </x:c>
      <x:c r="C308" s="380" t="n">
        <x:v>10</x:v>
      </x:c>
      <x:c r="D308" s="380" t="str">
        <x:v>Oct</x:v>
      </x:c>
      <x:c r="E308" s="380" t="n">
        <x:v>29</x:v>
      </x:c>
      <x:c r="F308" s="380" t="n">
        <x:v>3</x:v>
      </x:c>
      <x:c r="G308" s="380" t="n">
        <x:f>--(F308&lt;='Estimator'!$B$7)</x:f>
        <x:v>1</x:v>
      </x:c>
      <x:c r="H308" s="381" t="n">
        <x:f>SUMIFS('Climate Data'!$G$7:$G$366,'Climate Data'!$A$7:$A$366,'Estimator'!$B$4,'Climate Data'!$B$7:$B$366,C308)</x:f>
        <x:v>0.3721198156682028</x:v>
      </x:c>
      <x:c r="I308" s="382" t="n">
        <x:f>SUMIFS('Climate Data'!$H$7:$H$366,'Climate Data'!$A$7:$A$366,'Estimator'!$B$4,'Climate Data'!$B$7:$B$366,C308)</x:f>
        <x:v>7.940557275541795</x:v>
      </x:c>
      <x:c r="J308" s="381" t="n">
        <x:f>SUMIFS('Wind Proxy'!$H$8:$H$19,'Wind Proxy'!$A$8:$A$19,'Estimator'!$B$4,'Wind Proxy'!$B$8:$B$19,C308)</x:f>
        <x:v>0.21505376344086022</x:v>
      </x:c>
    </x:row>
    <x:row r="309">
      <x:c r="A309" s="379" t="n">
        <x:v>45960</x:v>
      </x:c>
      <x:c r="B309" s="380" t="n">
        <x:v>2025</x:v>
      </x:c>
      <x:c r="C309" s="380" t="n">
        <x:v>10</x:v>
      </x:c>
      <x:c r="D309" s="380" t="str">
        <x:v>Oct</x:v>
      </x:c>
      <x:c r="E309" s="380" t="n">
        <x:v>30</x:v>
      </x:c>
      <x:c r="F309" s="380" t="n">
        <x:v>4</x:v>
      </x:c>
      <x:c r="G309" s="380" t="n">
        <x:f>--(F309&lt;='Estimator'!$B$7)</x:f>
        <x:v>1</x:v>
      </x:c>
      <x:c r="H309" s="381" t="n">
        <x:f>SUMIFS('Climate Data'!$G$7:$G$366,'Climate Data'!$A$7:$A$366,'Estimator'!$B$4,'Climate Data'!$B$7:$B$366,C309)</x:f>
        <x:v>0.3721198156682028</x:v>
      </x:c>
      <x:c r="I309" s="382" t="n">
        <x:f>SUMIFS('Climate Data'!$H$7:$H$366,'Climate Data'!$A$7:$A$366,'Estimator'!$B$4,'Climate Data'!$B$7:$B$366,C309)</x:f>
        <x:v>7.940557275541795</x:v>
      </x:c>
      <x:c r="J309" s="381" t="n">
        <x:f>SUMIFS('Wind Proxy'!$H$8:$H$19,'Wind Proxy'!$A$8:$A$19,'Estimator'!$B$4,'Wind Proxy'!$B$8:$B$19,C309)</x:f>
        <x:v>0.21505376344086022</x:v>
      </x:c>
    </x:row>
    <x:row r="310">
      <x:c r="A310" s="379" t="n">
        <x:v>45961</x:v>
      </x:c>
      <x:c r="B310" s="380" t="n">
        <x:v>2025</x:v>
      </x:c>
      <x:c r="C310" s="380" t="n">
        <x:v>10</x:v>
      </x:c>
      <x:c r="D310" s="380" t="str">
        <x:v>Oct</x:v>
      </x:c>
      <x:c r="E310" s="380" t="n">
        <x:v>31</x:v>
      </x:c>
      <x:c r="F310" s="380" t="n">
        <x:v>5</x:v>
      </x:c>
      <x:c r="G310" s="380" t="n">
        <x:f>--(F310&lt;='Estimator'!$B$7)</x:f>
        <x:v>1</x:v>
      </x:c>
      <x:c r="H310" s="381" t="n">
        <x:f>SUMIFS('Climate Data'!$G$7:$G$366,'Climate Data'!$A$7:$A$366,'Estimator'!$B$4,'Climate Data'!$B$7:$B$366,C310)</x:f>
        <x:v>0.3721198156682028</x:v>
      </x:c>
      <x:c r="I310" s="382" t="n">
        <x:f>SUMIFS('Climate Data'!$H$7:$H$366,'Climate Data'!$A$7:$A$366,'Estimator'!$B$4,'Climate Data'!$B$7:$B$366,C310)</x:f>
        <x:v>7.940557275541795</x:v>
      </x:c>
      <x:c r="J310" s="381" t="n">
        <x:f>SUMIFS('Wind Proxy'!$H$8:$H$19,'Wind Proxy'!$A$8:$A$19,'Estimator'!$B$4,'Wind Proxy'!$B$8:$B$19,C310)</x:f>
        <x:v>0.21505376344086022</x:v>
      </x:c>
    </x:row>
    <x:row r="311">
      <x:c r="A311" s="379" t="n">
        <x:v>45962</x:v>
      </x:c>
      <x:c r="B311" s="380" t="n">
        <x:v>2025</x:v>
      </x:c>
      <x:c r="C311" s="380" t="n">
        <x:v>11</x:v>
      </x:c>
      <x:c r="D311" s="380" t="str">
        <x:v>Nov</x:v>
      </x:c>
      <x:c r="E311" s="380" t="n">
        <x:v>1</x:v>
      </x:c>
      <x:c r="F311" s="380" t="n">
        <x:v>6</x:v>
      </x:c>
      <x:c r="G311" s="380" t="n">
        <x:f>--(F311&lt;='Estimator'!$B$7)</x:f>
        <x:v>0</x:v>
      </x:c>
      <x:c r="H311" s="381" t="n">
        <x:f>SUMIFS('Climate Data'!$G$7:$G$366,'Climate Data'!$A$7:$A$366,'Estimator'!$B$4,'Climate Data'!$B$7:$B$366,C311)</x:f>
        <x:v>0.3111111111111111</x:v>
      </x:c>
      <x:c r="I311" s="382" t="n">
        <x:f>SUMIFS('Climate Data'!$H$7:$H$366,'Climate Data'!$A$7:$A$366,'Estimator'!$B$4,'Climate Data'!$B$7:$B$366,C311)</x:f>
        <x:v>7.382142857142857</x:v>
      </x:c>
      <x:c r="J311" s="381" t="n">
        <x:f>SUMIFS('Wind Proxy'!$H$8:$H$19,'Wind Proxy'!$A$8:$A$19,'Estimator'!$B$4,'Wind Proxy'!$B$8:$B$19,C311)</x:f>
        <x:v>0.22222222222222224</x:v>
      </x:c>
    </x:row>
    <x:row r="312">
      <x:c r="A312" s="379" t="n">
        <x:v>45963</x:v>
      </x:c>
      <x:c r="B312" s="380" t="n">
        <x:v>2025</x:v>
      </x:c>
      <x:c r="C312" s="380" t="n">
        <x:v>11</x:v>
      </x:c>
      <x:c r="D312" s="380" t="str">
        <x:v>Nov</x:v>
      </x:c>
      <x:c r="E312" s="380" t="n">
        <x:v>2</x:v>
      </x:c>
      <x:c r="F312" s="380" t="n">
        <x:v>7</x:v>
      </x:c>
      <x:c r="G312" s="380" t="n">
        <x:f>--(F312&lt;='Estimator'!$B$7)</x:f>
        <x:v>0</x:v>
      </x:c>
      <x:c r="H312" s="381" t="n">
        <x:f>SUMIFS('Climate Data'!$G$7:$G$366,'Climate Data'!$A$7:$A$366,'Estimator'!$B$4,'Climate Data'!$B$7:$B$366,C312)</x:f>
        <x:v>0.3111111111111111</x:v>
      </x:c>
      <x:c r="I312" s="382" t="n">
        <x:f>SUMIFS('Climate Data'!$H$7:$H$366,'Climate Data'!$A$7:$A$366,'Estimator'!$B$4,'Climate Data'!$B$7:$B$366,C312)</x:f>
        <x:v>7.382142857142857</x:v>
      </x:c>
      <x:c r="J312" s="381" t="n">
        <x:f>SUMIFS('Wind Proxy'!$H$8:$H$19,'Wind Proxy'!$A$8:$A$19,'Estimator'!$B$4,'Wind Proxy'!$B$8:$B$19,C312)</x:f>
        <x:v>0.22222222222222224</x:v>
      </x:c>
    </x:row>
    <x:row r="313">
      <x:c r="A313" s="379" t="n">
        <x:v>45964</x:v>
      </x:c>
      <x:c r="B313" s="380" t="n">
        <x:v>2025</x:v>
      </x:c>
      <x:c r="C313" s="380" t="n">
        <x:v>11</x:v>
      </x:c>
      <x:c r="D313" s="380" t="str">
        <x:v>Nov</x:v>
      </x:c>
      <x:c r="E313" s="380" t="n">
        <x:v>3</x:v>
      </x:c>
      <x:c r="F313" s="380" t="n">
        <x:v>1</x:v>
      </x:c>
      <x:c r="G313" s="380" t="n">
        <x:f>--(F313&lt;='Estimator'!$B$7)</x:f>
        <x:v>1</x:v>
      </x:c>
      <x:c r="H313" s="381" t="n">
        <x:f>SUMIFS('Climate Data'!$G$7:$G$366,'Climate Data'!$A$7:$A$366,'Estimator'!$B$4,'Climate Data'!$B$7:$B$366,C313)</x:f>
        <x:v>0.3111111111111111</x:v>
      </x:c>
      <x:c r="I313" s="382" t="n">
        <x:f>SUMIFS('Climate Data'!$H$7:$H$366,'Climate Data'!$A$7:$A$366,'Estimator'!$B$4,'Climate Data'!$B$7:$B$366,C313)</x:f>
        <x:v>7.382142857142857</x:v>
      </x:c>
      <x:c r="J313" s="381" t="n">
        <x:f>SUMIFS('Wind Proxy'!$H$8:$H$19,'Wind Proxy'!$A$8:$A$19,'Estimator'!$B$4,'Wind Proxy'!$B$8:$B$19,C313)</x:f>
        <x:v>0.22222222222222224</x:v>
      </x:c>
    </x:row>
    <x:row r="314">
      <x:c r="A314" s="379" t="n">
        <x:v>45965</x:v>
      </x:c>
      <x:c r="B314" s="380" t="n">
        <x:v>2025</x:v>
      </x:c>
      <x:c r="C314" s="380" t="n">
        <x:v>11</x:v>
      </x:c>
      <x:c r="D314" s="380" t="str">
        <x:v>Nov</x:v>
      </x:c>
      <x:c r="E314" s="380" t="n">
        <x:v>4</x:v>
      </x:c>
      <x:c r="F314" s="380" t="n">
        <x:v>2</x:v>
      </x:c>
      <x:c r="G314" s="380" t="n">
        <x:f>--(F314&lt;='Estimator'!$B$7)</x:f>
        <x:v>1</x:v>
      </x:c>
      <x:c r="H314" s="381" t="n">
        <x:f>SUMIFS('Climate Data'!$G$7:$G$366,'Climate Data'!$A$7:$A$366,'Estimator'!$B$4,'Climate Data'!$B$7:$B$366,C314)</x:f>
        <x:v>0.3111111111111111</x:v>
      </x:c>
      <x:c r="I314" s="382" t="n">
        <x:f>SUMIFS('Climate Data'!$H$7:$H$366,'Climate Data'!$A$7:$A$366,'Estimator'!$B$4,'Climate Data'!$B$7:$B$366,C314)</x:f>
        <x:v>7.382142857142857</x:v>
      </x:c>
      <x:c r="J314" s="381" t="n">
        <x:f>SUMIFS('Wind Proxy'!$H$8:$H$19,'Wind Proxy'!$A$8:$A$19,'Estimator'!$B$4,'Wind Proxy'!$B$8:$B$19,C314)</x:f>
        <x:v>0.22222222222222224</x:v>
      </x:c>
    </x:row>
    <x:row r="315">
      <x:c r="A315" s="379" t="n">
        <x:v>45966</x:v>
      </x:c>
      <x:c r="B315" s="380" t="n">
        <x:v>2025</x:v>
      </x:c>
      <x:c r="C315" s="380" t="n">
        <x:v>11</x:v>
      </x:c>
      <x:c r="D315" s="380" t="str">
        <x:v>Nov</x:v>
      </x:c>
      <x:c r="E315" s="380" t="n">
        <x:v>5</x:v>
      </x:c>
      <x:c r="F315" s="380" t="n">
        <x:v>3</x:v>
      </x:c>
      <x:c r="G315" s="380" t="n">
        <x:f>--(F315&lt;='Estimator'!$B$7)</x:f>
        <x:v>1</x:v>
      </x:c>
      <x:c r="H315" s="381" t="n">
        <x:f>SUMIFS('Climate Data'!$G$7:$G$366,'Climate Data'!$A$7:$A$366,'Estimator'!$B$4,'Climate Data'!$B$7:$B$366,C315)</x:f>
        <x:v>0.3111111111111111</x:v>
      </x:c>
      <x:c r="I315" s="382" t="n">
        <x:f>SUMIFS('Climate Data'!$H$7:$H$366,'Climate Data'!$A$7:$A$366,'Estimator'!$B$4,'Climate Data'!$B$7:$B$366,C315)</x:f>
        <x:v>7.382142857142857</x:v>
      </x:c>
      <x:c r="J315" s="381" t="n">
        <x:f>SUMIFS('Wind Proxy'!$H$8:$H$19,'Wind Proxy'!$A$8:$A$19,'Estimator'!$B$4,'Wind Proxy'!$B$8:$B$19,C315)</x:f>
        <x:v>0.22222222222222224</x:v>
      </x:c>
    </x:row>
    <x:row r="316">
      <x:c r="A316" s="379" t="n">
        <x:v>45967</x:v>
      </x:c>
      <x:c r="B316" s="380" t="n">
        <x:v>2025</x:v>
      </x:c>
      <x:c r="C316" s="380" t="n">
        <x:v>11</x:v>
      </x:c>
      <x:c r="D316" s="380" t="str">
        <x:v>Nov</x:v>
      </x:c>
      <x:c r="E316" s="380" t="n">
        <x:v>6</x:v>
      </x:c>
      <x:c r="F316" s="380" t="n">
        <x:v>4</x:v>
      </x:c>
      <x:c r="G316" s="380" t="n">
        <x:f>--(F316&lt;='Estimator'!$B$7)</x:f>
        <x:v>1</x:v>
      </x:c>
      <x:c r="H316" s="381" t="n">
        <x:f>SUMIFS('Climate Data'!$G$7:$G$366,'Climate Data'!$A$7:$A$366,'Estimator'!$B$4,'Climate Data'!$B$7:$B$366,C316)</x:f>
        <x:v>0.3111111111111111</x:v>
      </x:c>
      <x:c r="I316" s="382" t="n">
        <x:f>SUMIFS('Climate Data'!$H$7:$H$366,'Climate Data'!$A$7:$A$366,'Estimator'!$B$4,'Climate Data'!$B$7:$B$366,C316)</x:f>
        <x:v>7.382142857142857</x:v>
      </x:c>
      <x:c r="J316" s="381" t="n">
        <x:f>SUMIFS('Wind Proxy'!$H$8:$H$19,'Wind Proxy'!$A$8:$A$19,'Estimator'!$B$4,'Wind Proxy'!$B$8:$B$19,C316)</x:f>
        <x:v>0.22222222222222224</x:v>
      </x:c>
    </x:row>
    <x:row r="317">
      <x:c r="A317" s="379" t="n">
        <x:v>45968</x:v>
      </x:c>
      <x:c r="B317" s="380" t="n">
        <x:v>2025</x:v>
      </x:c>
      <x:c r="C317" s="380" t="n">
        <x:v>11</x:v>
      </x:c>
      <x:c r="D317" s="380" t="str">
        <x:v>Nov</x:v>
      </x:c>
      <x:c r="E317" s="380" t="n">
        <x:v>7</x:v>
      </x:c>
      <x:c r="F317" s="380" t="n">
        <x:v>5</x:v>
      </x:c>
      <x:c r="G317" s="380" t="n">
        <x:f>--(F317&lt;='Estimator'!$B$7)</x:f>
        <x:v>1</x:v>
      </x:c>
      <x:c r="H317" s="381" t="n">
        <x:f>SUMIFS('Climate Data'!$G$7:$G$366,'Climate Data'!$A$7:$A$366,'Estimator'!$B$4,'Climate Data'!$B$7:$B$366,C317)</x:f>
        <x:v>0.3111111111111111</x:v>
      </x:c>
      <x:c r="I317" s="382" t="n">
        <x:f>SUMIFS('Climate Data'!$H$7:$H$366,'Climate Data'!$A$7:$A$366,'Estimator'!$B$4,'Climate Data'!$B$7:$B$366,C317)</x:f>
        <x:v>7.382142857142857</x:v>
      </x:c>
      <x:c r="J317" s="381" t="n">
        <x:f>SUMIFS('Wind Proxy'!$H$8:$H$19,'Wind Proxy'!$A$8:$A$19,'Estimator'!$B$4,'Wind Proxy'!$B$8:$B$19,C317)</x:f>
        <x:v>0.22222222222222224</x:v>
      </x:c>
    </x:row>
    <x:row r="318">
      <x:c r="A318" s="379" t="n">
        <x:v>45969</x:v>
      </x:c>
      <x:c r="B318" s="380" t="n">
        <x:v>2025</x:v>
      </x:c>
      <x:c r="C318" s="380" t="n">
        <x:v>11</x:v>
      </x:c>
      <x:c r="D318" s="380" t="str">
        <x:v>Nov</x:v>
      </x:c>
      <x:c r="E318" s="380" t="n">
        <x:v>8</x:v>
      </x:c>
      <x:c r="F318" s="380" t="n">
        <x:v>6</x:v>
      </x:c>
      <x:c r="G318" s="380" t="n">
        <x:f>--(F318&lt;='Estimator'!$B$7)</x:f>
        <x:v>0</x:v>
      </x:c>
      <x:c r="H318" s="381" t="n">
        <x:f>SUMIFS('Climate Data'!$G$7:$G$366,'Climate Data'!$A$7:$A$366,'Estimator'!$B$4,'Climate Data'!$B$7:$B$366,C318)</x:f>
        <x:v>0.3111111111111111</x:v>
      </x:c>
      <x:c r="I318" s="382" t="n">
        <x:f>SUMIFS('Climate Data'!$H$7:$H$366,'Climate Data'!$A$7:$A$366,'Estimator'!$B$4,'Climate Data'!$B$7:$B$366,C318)</x:f>
        <x:v>7.382142857142857</x:v>
      </x:c>
      <x:c r="J318" s="381" t="n">
        <x:f>SUMIFS('Wind Proxy'!$H$8:$H$19,'Wind Proxy'!$A$8:$A$19,'Estimator'!$B$4,'Wind Proxy'!$B$8:$B$19,C318)</x:f>
        <x:v>0.22222222222222224</x:v>
      </x:c>
    </x:row>
    <x:row r="319">
      <x:c r="A319" s="379" t="n">
        <x:v>45970</x:v>
      </x:c>
      <x:c r="B319" s="380" t="n">
        <x:v>2025</x:v>
      </x:c>
      <x:c r="C319" s="380" t="n">
        <x:v>11</x:v>
      </x:c>
      <x:c r="D319" s="380" t="str">
        <x:v>Nov</x:v>
      </x:c>
      <x:c r="E319" s="380" t="n">
        <x:v>9</x:v>
      </x:c>
      <x:c r="F319" s="380" t="n">
        <x:v>7</x:v>
      </x:c>
      <x:c r="G319" s="380" t="n">
        <x:f>--(F319&lt;='Estimator'!$B$7)</x:f>
        <x:v>0</x:v>
      </x:c>
      <x:c r="H319" s="381" t="n">
        <x:f>SUMIFS('Climate Data'!$G$7:$G$366,'Climate Data'!$A$7:$A$366,'Estimator'!$B$4,'Climate Data'!$B$7:$B$366,C319)</x:f>
        <x:v>0.3111111111111111</x:v>
      </x:c>
      <x:c r="I319" s="382" t="n">
        <x:f>SUMIFS('Climate Data'!$H$7:$H$366,'Climate Data'!$A$7:$A$366,'Estimator'!$B$4,'Climate Data'!$B$7:$B$366,C319)</x:f>
        <x:v>7.382142857142857</x:v>
      </x:c>
      <x:c r="J319" s="381" t="n">
        <x:f>SUMIFS('Wind Proxy'!$H$8:$H$19,'Wind Proxy'!$A$8:$A$19,'Estimator'!$B$4,'Wind Proxy'!$B$8:$B$19,C319)</x:f>
        <x:v>0.22222222222222224</x:v>
      </x:c>
    </x:row>
    <x:row r="320">
      <x:c r="A320" s="379" t="n">
        <x:v>45971</x:v>
      </x:c>
      <x:c r="B320" s="380" t="n">
        <x:v>2025</x:v>
      </x:c>
      <x:c r="C320" s="380" t="n">
        <x:v>11</x:v>
      </x:c>
      <x:c r="D320" s="380" t="str">
        <x:v>Nov</x:v>
      </x:c>
      <x:c r="E320" s="380" t="n">
        <x:v>10</x:v>
      </x:c>
      <x:c r="F320" s="380" t="n">
        <x:v>1</x:v>
      </x:c>
      <x:c r="G320" s="380" t="n">
        <x:f>--(F320&lt;='Estimator'!$B$7)</x:f>
        <x:v>1</x:v>
      </x:c>
      <x:c r="H320" s="381" t="n">
        <x:f>SUMIFS('Climate Data'!$G$7:$G$366,'Climate Data'!$A$7:$A$366,'Estimator'!$B$4,'Climate Data'!$B$7:$B$366,C320)</x:f>
        <x:v>0.3111111111111111</x:v>
      </x:c>
      <x:c r="I320" s="382" t="n">
        <x:f>SUMIFS('Climate Data'!$H$7:$H$366,'Climate Data'!$A$7:$A$366,'Estimator'!$B$4,'Climate Data'!$B$7:$B$366,C320)</x:f>
        <x:v>7.382142857142857</x:v>
      </x:c>
      <x:c r="J320" s="381" t="n">
        <x:f>SUMIFS('Wind Proxy'!$H$8:$H$19,'Wind Proxy'!$A$8:$A$19,'Estimator'!$B$4,'Wind Proxy'!$B$8:$B$19,C320)</x:f>
        <x:v>0.22222222222222224</x:v>
      </x:c>
    </x:row>
    <x:row r="321">
      <x:c r="A321" s="379" t="n">
        <x:v>45972</x:v>
      </x:c>
      <x:c r="B321" s="380" t="n">
        <x:v>2025</x:v>
      </x:c>
      <x:c r="C321" s="380" t="n">
        <x:v>11</x:v>
      </x:c>
      <x:c r="D321" s="380" t="str">
        <x:v>Nov</x:v>
      </x:c>
      <x:c r="E321" s="380" t="n">
        <x:v>11</x:v>
      </x:c>
      <x:c r="F321" s="380" t="n">
        <x:v>2</x:v>
      </x:c>
      <x:c r="G321" s="380" t="n">
        <x:f>--(F321&lt;='Estimator'!$B$7)</x:f>
        <x:v>1</x:v>
      </x:c>
      <x:c r="H321" s="381" t="n">
        <x:f>SUMIFS('Climate Data'!$G$7:$G$366,'Climate Data'!$A$7:$A$366,'Estimator'!$B$4,'Climate Data'!$B$7:$B$366,C321)</x:f>
        <x:v>0.3111111111111111</x:v>
      </x:c>
      <x:c r="I321" s="382" t="n">
        <x:f>SUMIFS('Climate Data'!$H$7:$H$366,'Climate Data'!$A$7:$A$366,'Estimator'!$B$4,'Climate Data'!$B$7:$B$366,C321)</x:f>
        <x:v>7.382142857142857</x:v>
      </x:c>
      <x:c r="J321" s="381" t="n">
        <x:f>SUMIFS('Wind Proxy'!$H$8:$H$19,'Wind Proxy'!$A$8:$A$19,'Estimator'!$B$4,'Wind Proxy'!$B$8:$B$19,C321)</x:f>
        <x:v>0.22222222222222224</x:v>
      </x:c>
    </x:row>
    <x:row r="322">
      <x:c r="A322" s="379" t="n">
        <x:v>45973</x:v>
      </x:c>
      <x:c r="B322" s="380" t="n">
        <x:v>2025</x:v>
      </x:c>
      <x:c r="C322" s="380" t="n">
        <x:v>11</x:v>
      </x:c>
      <x:c r="D322" s="380" t="str">
        <x:v>Nov</x:v>
      </x:c>
      <x:c r="E322" s="380" t="n">
        <x:v>12</x:v>
      </x:c>
      <x:c r="F322" s="380" t="n">
        <x:v>3</x:v>
      </x:c>
      <x:c r="G322" s="380" t="n">
        <x:f>--(F322&lt;='Estimator'!$B$7)</x:f>
        <x:v>1</x:v>
      </x:c>
      <x:c r="H322" s="381" t="n">
        <x:f>SUMIFS('Climate Data'!$G$7:$G$366,'Climate Data'!$A$7:$A$366,'Estimator'!$B$4,'Climate Data'!$B$7:$B$366,C322)</x:f>
        <x:v>0.3111111111111111</x:v>
      </x:c>
      <x:c r="I322" s="382" t="n">
        <x:f>SUMIFS('Climate Data'!$H$7:$H$366,'Climate Data'!$A$7:$A$366,'Estimator'!$B$4,'Climate Data'!$B$7:$B$366,C322)</x:f>
        <x:v>7.382142857142857</x:v>
      </x:c>
      <x:c r="J322" s="381" t="n">
        <x:f>SUMIFS('Wind Proxy'!$H$8:$H$19,'Wind Proxy'!$A$8:$A$19,'Estimator'!$B$4,'Wind Proxy'!$B$8:$B$19,C322)</x:f>
        <x:v>0.22222222222222224</x:v>
      </x:c>
    </x:row>
    <x:row r="323">
      <x:c r="A323" s="379" t="n">
        <x:v>45974</x:v>
      </x:c>
      <x:c r="B323" s="380" t="n">
        <x:v>2025</x:v>
      </x:c>
      <x:c r="C323" s="380" t="n">
        <x:v>11</x:v>
      </x:c>
      <x:c r="D323" s="380" t="str">
        <x:v>Nov</x:v>
      </x:c>
      <x:c r="E323" s="380" t="n">
        <x:v>13</x:v>
      </x:c>
      <x:c r="F323" s="380" t="n">
        <x:v>4</x:v>
      </x:c>
      <x:c r="G323" s="380" t="n">
        <x:f>--(F323&lt;='Estimator'!$B$7)</x:f>
        <x:v>1</x:v>
      </x:c>
      <x:c r="H323" s="381" t="n">
        <x:f>SUMIFS('Climate Data'!$G$7:$G$366,'Climate Data'!$A$7:$A$366,'Estimator'!$B$4,'Climate Data'!$B$7:$B$366,C323)</x:f>
        <x:v>0.3111111111111111</x:v>
      </x:c>
      <x:c r="I323" s="382" t="n">
        <x:f>SUMIFS('Climate Data'!$H$7:$H$366,'Climate Data'!$A$7:$A$366,'Estimator'!$B$4,'Climate Data'!$B$7:$B$366,C323)</x:f>
        <x:v>7.382142857142857</x:v>
      </x:c>
      <x:c r="J323" s="381" t="n">
        <x:f>SUMIFS('Wind Proxy'!$H$8:$H$19,'Wind Proxy'!$A$8:$A$19,'Estimator'!$B$4,'Wind Proxy'!$B$8:$B$19,C323)</x:f>
        <x:v>0.22222222222222224</x:v>
      </x:c>
    </x:row>
    <x:row r="324">
      <x:c r="A324" s="379" t="n">
        <x:v>45975</x:v>
      </x:c>
      <x:c r="B324" s="380" t="n">
        <x:v>2025</x:v>
      </x:c>
      <x:c r="C324" s="380" t="n">
        <x:v>11</x:v>
      </x:c>
      <x:c r="D324" s="380" t="str">
        <x:v>Nov</x:v>
      </x:c>
      <x:c r="E324" s="380" t="n">
        <x:v>14</x:v>
      </x:c>
      <x:c r="F324" s="380" t="n">
        <x:v>5</x:v>
      </x:c>
      <x:c r="G324" s="380" t="n">
        <x:f>--(F324&lt;='Estimator'!$B$7)</x:f>
        <x:v>1</x:v>
      </x:c>
      <x:c r="H324" s="381" t="n">
        <x:f>SUMIFS('Climate Data'!$G$7:$G$366,'Climate Data'!$A$7:$A$366,'Estimator'!$B$4,'Climate Data'!$B$7:$B$366,C324)</x:f>
        <x:v>0.3111111111111111</x:v>
      </x:c>
      <x:c r="I324" s="382" t="n">
        <x:f>SUMIFS('Climate Data'!$H$7:$H$366,'Climate Data'!$A$7:$A$366,'Estimator'!$B$4,'Climate Data'!$B$7:$B$366,C324)</x:f>
        <x:v>7.382142857142857</x:v>
      </x:c>
      <x:c r="J324" s="381" t="n">
        <x:f>SUMIFS('Wind Proxy'!$H$8:$H$19,'Wind Proxy'!$A$8:$A$19,'Estimator'!$B$4,'Wind Proxy'!$B$8:$B$19,C324)</x:f>
        <x:v>0.22222222222222224</x:v>
      </x:c>
    </x:row>
    <x:row r="325">
      <x:c r="A325" s="379" t="n">
        <x:v>45976</x:v>
      </x:c>
      <x:c r="B325" s="380" t="n">
        <x:v>2025</x:v>
      </x:c>
      <x:c r="C325" s="380" t="n">
        <x:v>11</x:v>
      </x:c>
      <x:c r="D325" s="380" t="str">
        <x:v>Nov</x:v>
      </x:c>
      <x:c r="E325" s="380" t="n">
        <x:v>15</x:v>
      </x:c>
      <x:c r="F325" s="380" t="n">
        <x:v>6</x:v>
      </x:c>
      <x:c r="G325" s="380" t="n">
        <x:f>--(F325&lt;='Estimator'!$B$7)</x:f>
        <x:v>0</x:v>
      </x:c>
      <x:c r="H325" s="381" t="n">
        <x:f>SUMIFS('Climate Data'!$G$7:$G$366,'Climate Data'!$A$7:$A$366,'Estimator'!$B$4,'Climate Data'!$B$7:$B$366,C325)</x:f>
        <x:v>0.3111111111111111</x:v>
      </x:c>
      <x:c r="I325" s="382" t="n">
        <x:f>SUMIFS('Climate Data'!$H$7:$H$366,'Climate Data'!$A$7:$A$366,'Estimator'!$B$4,'Climate Data'!$B$7:$B$366,C325)</x:f>
        <x:v>7.382142857142857</x:v>
      </x:c>
      <x:c r="J325" s="381" t="n">
        <x:f>SUMIFS('Wind Proxy'!$H$8:$H$19,'Wind Proxy'!$A$8:$A$19,'Estimator'!$B$4,'Wind Proxy'!$B$8:$B$19,C325)</x:f>
        <x:v>0.22222222222222224</x:v>
      </x:c>
    </x:row>
    <x:row r="326">
      <x:c r="A326" s="379" t="n">
        <x:v>45977</x:v>
      </x:c>
      <x:c r="B326" s="380" t="n">
        <x:v>2025</x:v>
      </x:c>
      <x:c r="C326" s="380" t="n">
        <x:v>11</x:v>
      </x:c>
      <x:c r="D326" s="380" t="str">
        <x:v>Nov</x:v>
      </x:c>
      <x:c r="E326" s="380" t="n">
        <x:v>16</x:v>
      </x:c>
      <x:c r="F326" s="380" t="n">
        <x:v>7</x:v>
      </x:c>
      <x:c r="G326" s="380" t="n">
        <x:f>--(F326&lt;='Estimator'!$B$7)</x:f>
        <x:v>0</x:v>
      </x:c>
      <x:c r="H326" s="381" t="n">
        <x:f>SUMIFS('Climate Data'!$G$7:$G$366,'Climate Data'!$A$7:$A$366,'Estimator'!$B$4,'Climate Data'!$B$7:$B$366,C326)</x:f>
        <x:v>0.3111111111111111</x:v>
      </x:c>
      <x:c r="I326" s="382" t="n">
        <x:f>SUMIFS('Climate Data'!$H$7:$H$366,'Climate Data'!$A$7:$A$366,'Estimator'!$B$4,'Climate Data'!$B$7:$B$366,C326)</x:f>
        <x:v>7.382142857142857</x:v>
      </x:c>
      <x:c r="J326" s="381" t="n">
        <x:f>SUMIFS('Wind Proxy'!$H$8:$H$19,'Wind Proxy'!$A$8:$A$19,'Estimator'!$B$4,'Wind Proxy'!$B$8:$B$19,C326)</x:f>
        <x:v>0.22222222222222224</x:v>
      </x:c>
    </x:row>
    <x:row r="327">
      <x:c r="A327" s="379" t="n">
        <x:v>45978</x:v>
      </x:c>
      <x:c r="B327" s="380" t="n">
        <x:v>2025</x:v>
      </x:c>
      <x:c r="C327" s="380" t="n">
        <x:v>11</x:v>
      </x:c>
      <x:c r="D327" s="380" t="str">
        <x:v>Nov</x:v>
      </x:c>
      <x:c r="E327" s="380" t="n">
        <x:v>17</x:v>
      </x:c>
      <x:c r="F327" s="380" t="n">
        <x:v>1</x:v>
      </x:c>
      <x:c r="G327" s="380" t="n">
        <x:f>--(F327&lt;='Estimator'!$B$7)</x:f>
        <x:v>1</x:v>
      </x:c>
      <x:c r="H327" s="381" t="n">
        <x:f>SUMIFS('Climate Data'!$G$7:$G$366,'Climate Data'!$A$7:$A$366,'Estimator'!$B$4,'Climate Data'!$B$7:$B$366,C327)</x:f>
        <x:v>0.3111111111111111</x:v>
      </x:c>
      <x:c r="I327" s="382" t="n">
        <x:f>SUMIFS('Climate Data'!$H$7:$H$366,'Climate Data'!$A$7:$A$366,'Estimator'!$B$4,'Climate Data'!$B$7:$B$366,C327)</x:f>
        <x:v>7.382142857142857</x:v>
      </x:c>
      <x:c r="J327" s="381" t="n">
        <x:f>SUMIFS('Wind Proxy'!$H$8:$H$19,'Wind Proxy'!$A$8:$A$19,'Estimator'!$B$4,'Wind Proxy'!$B$8:$B$19,C327)</x:f>
        <x:v>0.22222222222222224</x:v>
      </x:c>
    </x:row>
    <x:row r="328">
      <x:c r="A328" s="379" t="n">
        <x:v>45979</x:v>
      </x:c>
      <x:c r="B328" s="380" t="n">
        <x:v>2025</x:v>
      </x:c>
      <x:c r="C328" s="380" t="n">
        <x:v>11</x:v>
      </x:c>
      <x:c r="D328" s="380" t="str">
        <x:v>Nov</x:v>
      </x:c>
      <x:c r="E328" s="380" t="n">
        <x:v>18</x:v>
      </x:c>
      <x:c r="F328" s="380" t="n">
        <x:v>2</x:v>
      </x:c>
      <x:c r="G328" s="380" t="n">
        <x:f>--(F328&lt;='Estimator'!$B$7)</x:f>
        <x:v>1</x:v>
      </x:c>
      <x:c r="H328" s="381" t="n">
        <x:f>SUMIFS('Climate Data'!$G$7:$G$366,'Climate Data'!$A$7:$A$366,'Estimator'!$B$4,'Climate Data'!$B$7:$B$366,C328)</x:f>
        <x:v>0.3111111111111111</x:v>
      </x:c>
      <x:c r="I328" s="382" t="n">
        <x:f>SUMIFS('Climate Data'!$H$7:$H$366,'Climate Data'!$A$7:$A$366,'Estimator'!$B$4,'Climate Data'!$B$7:$B$366,C328)</x:f>
        <x:v>7.382142857142857</x:v>
      </x:c>
      <x:c r="J328" s="381" t="n">
        <x:f>SUMIFS('Wind Proxy'!$H$8:$H$19,'Wind Proxy'!$A$8:$A$19,'Estimator'!$B$4,'Wind Proxy'!$B$8:$B$19,C328)</x:f>
        <x:v>0.22222222222222224</x:v>
      </x:c>
    </x:row>
    <x:row r="329">
      <x:c r="A329" s="379" t="n">
        <x:v>45980</x:v>
      </x:c>
      <x:c r="B329" s="380" t="n">
        <x:v>2025</x:v>
      </x:c>
      <x:c r="C329" s="380" t="n">
        <x:v>11</x:v>
      </x:c>
      <x:c r="D329" s="380" t="str">
        <x:v>Nov</x:v>
      </x:c>
      <x:c r="E329" s="380" t="n">
        <x:v>19</x:v>
      </x:c>
      <x:c r="F329" s="380" t="n">
        <x:v>3</x:v>
      </x:c>
      <x:c r="G329" s="380" t="n">
        <x:f>--(F329&lt;='Estimator'!$B$7)</x:f>
        <x:v>1</x:v>
      </x:c>
      <x:c r="H329" s="381" t="n">
        <x:f>SUMIFS('Climate Data'!$G$7:$G$366,'Climate Data'!$A$7:$A$366,'Estimator'!$B$4,'Climate Data'!$B$7:$B$366,C329)</x:f>
        <x:v>0.3111111111111111</x:v>
      </x:c>
      <x:c r="I329" s="382" t="n">
        <x:f>SUMIFS('Climate Data'!$H$7:$H$366,'Climate Data'!$A$7:$A$366,'Estimator'!$B$4,'Climate Data'!$B$7:$B$366,C329)</x:f>
        <x:v>7.382142857142857</x:v>
      </x:c>
      <x:c r="J329" s="381" t="n">
        <x:f>SUMIFS('Wind Proxy'!$H$8:$H$19,'Wind Proxy'!$A$8:$A$19,'Estimator'!$B$4,'Wind Proxy'!$B$8:$B$19,C329)</x:f>
        <x:v>0.22222222222222224</x:v>
      </x:c>
    </x:row>
    <x:row r="330">
      <x:c r="A330" s="379" t="n">
        <x:v>45981</x:v>
      </x:c>
      <x:c r="B330" s="380" t="n">
        <x:v>2025</x:v>
      </x:c>
      <x:c r="C330" s="380" t="n">
        <x:v>11</x:v>
      </x:c>
      <x:c r="D330" s="380" t="str">
        <x:v>Nov</x:v>
      </x:c>
      <x:c r="E330" s="380" t="n">
        <x:v>20</x:v>
      </x:c>
      <x:c r="F330" s="380" t="n">
        <x:v>4</x:v>
      </x:c>
      <x:c r="G330" s="380" t="n">
        <x:f>--(F330&lt;='Estimator'!$B$7)</x:f>
        <x:v>1</x:v>
      </x:c>
      <x:c r="H330" s="381" t="n">
        <x:f>SUMIFS('Climate Data'!$G$7:$G$366,'Climate Data'!$A$7:$A$366,'Estimator'!$B$4,'Climate Data'!$B$7:$B$366,C330)</x:f>
        <x:v>0.3111111111111111</x:v>
      </x:c>
      <x:c r="I330" s="382" t="n">
        <x:f>SUMIFS('Climate Data'!$H$7:$H$366,'Climate Data'!$A$7:$A$366,'Estimator'!$B$4,'Climate Data'!$B$7:$B$366,C330)</x:f>
        <x:v>7.382142857142857</x:v>
      </x:c>
      <x:c r="J330" s="381" t="n">
        <x:f>SUMIFS('Wind Proxy'!$H$8:$H$19,'Wind Proxy'!$A$8:$A$19,'Estimator'!$B$4,'Wind Proxy'!$B$8:$B$19,C330)</x:f>
        <x:v>0.22222222222222224</x:v>
      </x:c>
    </x:row>
    <x:row r="331">
      <x:c r="A331" s="379" t="n">
        <x:v>45982</x:v>
      </x:c>
      <x:c r="B331" s="380" t="n">
        <x:v>2025</x:v>
      </x:c>
      <x:c r="C331" s="380" t="n">
        <x:v>11</x:v>
      </x:c>
      <x:c r="D331" s="380" t="str">
        <x:v>Nov</x:v>
      </x:c>
      <x:c r="E331" s="380" t="n">
        <x:v>21</x:v>
      </x:c>
      <x:c r="F331" s="380" t="n">
        <x:v>5</x:v>
      </x:c>
      <x:c r="G331" s="380" t="n">
        <x:f>--(F331&lt;='Estimator'!$B$7)</x:f>
        <x:v>1</x:v>
      </x:c>
      <x:c r="H331" s="381" t="n">
        <x:f>SUMIFS('Climate Data'!$G$7:$G$366,'Climate Data'!$A$7:$A$366,'Estimator'!$B$4,'Climate Data'!$B$7:$B$366,C331)</x:f>
        <x:v>0.3111111111111111</x:v>
      </x:c>
      <x:c r="I331" s="382" t="n">
        <x:f>SUMIFS('Climate Data'!$H$7:$H$366,'Climate Data'!$A$7:$A$366,'Estimator'!$B$4,'Climate Data'!$B$7:$B$366,C331)</x:f>
        <x:v>7.382142857142857</x:v>
      </x:c>
      <x:c r="J331" s="381" t="n">
        <x:f>SUMIFS('Wind Proxy'!$H$8:$H$19,'Wind Proxy'!$A$8:$A$19,'Estimator'!$B$4,'Wind Proxy'!$B$8:$B$19,C331)</x:f>
        <x:v>0.22222222222222224</x:v>
      </x:c>
    </x:row>
    <x:row r="332">
      <x:c r="A332" s="379" t="n">
        <x:v>45983</x:v>
      </x:c>
      <x:c r="B332" s="380" t="n">
        <x:v>2025</x:v>
      </x:c>
      <x:c r="C332" s="380" t="n">
        <x:v>11</x:v>
      </x:c>
      <x:c r="D332" s="380" t="str">
        <x:v>Nov</x:v>
      </x:c>
      <x:c r="E332" s="380" t="n">
        <x:v>22</x:v>
      </x:c>
      <x:c r="F332" s="380" t="n">
        <x:v>6</x:v>
      </x:c>
      <x:c r="G332" s="380" t="n">
        <x:f>--(F332&lt;='Estimator'!$B$7)</x:f>
        <x:v>0</x:v>
      </x:c>
      <x:c r="H332" s="381" t="n">
        <x:f>SUMIFS('Climate Data'!$G$7:$G$366,'Climate Data'!$A$7:$A$366,'Estimator'!$B$4,'Climate Data'!$B$7:$B$366,C332)</x:f>
        <x:v>0.3111111111111111</x:v>
      </x:c>
      <x:c r="I332" s="382" t="n">
        <x:f>SUMIFS('Climate Data'!$H$7:$H$366,'Climate Data'!$A$7:$A$366,'Estimator'!$B$4,'Climate Data'!$B$7:$B$366,C332)</x:f>
        <x:v>7.382142857142857</x:v>
      </x:c>
      <x:c r="J332" s="381" t="n">
        <x:f>SUMIFS('Wind Proxy'!$H$8:$H$19,'Wind Proxy'!$A$8:$A$19,'Estimator'!$B$4,'Wind Proxy'!$B$8:$B$19,C332)</x:f>
        <x:v>0.22222222222222224</x:v>
      </x:c>
    </x:row>
    <x:row r="333">
      <x:c r="A333" s="379" t="n">
        <x:v>45984</x:v>
      </x:c>
      <x:c r="B333" s="380" t="n">
        <x:v>2025</x:v>
      </x:c>
      <x:c r="C333" s="380" t="n">
        <x:v>11</x:v>
      </x:c>
      <x:c r="D333" s="380" t="str">
        <x:v>Nov</x:v>
      </x:c>
      <x:c r="E333" s="380" t="n">
        <x:v>23</x:v>
      </x:c>
      <x:c r="F333" s="380" t="n">
        <x:v>7</x:v>
      </x:c>
      <x:c r="G333" s="380" t="n">
        <x:f>--(F333&lt;='Estimator'!$B$7)</x:f>
        <x:v>0</x:v>
      </x:c>
      <x:c r="H333" s="381" t="n">
        <x:f>SUMIFS('Climate Data'!$G$7:$G$366,'Climate Data'!$A$7:$A$366,'Estimator'!$B$4,'Climate Data'!$B$7:$B$366,C333)</x:f>
        <x:v>0.3111111111111111</x:v>
      </x:c>
      <x:c r="I333" s="382" t="n">
        <x:f>SUMIFS('Climate Data'!$H$7:$H$366,'Climate Data'!$A$7:$A$366,'Estimator'!$B$4,'Climate Data'!$B$7:$B$366,C333)</x:f>
        <x:v>7.382142857142857</x:v>
      </x:c>
      <x:c r="J333" s="381" t="n">
        <x:f>SUMIFS('Wind Proxy'!$H$8:$H$19,'Wind Proxy'!$A$8:$A$19,'Estimator'!$B$4,'Wind Proxy'!$B$8:$B$19,C333)</x:f>
        <x:v>0.22222222222222224</x:v>
      </x:c>
    </x:row>
    <x:row r="334">
      <x:c r="A334" s="379" t="n">
        <x:v>45985</x:v>
      </x:c>
      <x:c r="B334" s="380" t="n">
        <x:v>2025</x:v>
      </x:c>
      <x:c r="C334" s="380" t="n">
        <x:v>11</x:v>
      </x:c>
      <x:c r="D334" s="380" t="str">
        <x:v>Nov</x:v>
      </x:c>
      <x:c r="E334" s="380" t="n">
        <x:v>24</x:v>
      </x:c>
      <x:c r="F334" s="380" t="n">
        <x:v>1</x:v>
      </x:c>
      <x:c r="G334" s="380" t="n">
        <x:f>--(F334&lt;='Estimator'!$B$7)</x:f>
        <x:v>1</x:v>
      </x:c>
      <x:c r="H334" s="381" t="n">
        <x:f>SUMIFS('Climate Data'!$G$7:$G$366,'Climate Data'!$A$7:$A$366,'Estimator'!$B$4,'Climate Data'!$B$7:$B$366,C334)</x:f>
        <x:v>0.3111111111111111</x:v>
      </x:c>
      <x:c r="I334" s="382" t="n">
        <x:f>SUMIFS('Climate Data'!$H$7:$H$366,'Climate Data'!$A$7:$A$366,'Estimator'!$B$4,'Climate Data'!$B$7:$B$366,C334)</x:f>
        <x:v>7.382142857142857</x:v>
      </x:c>
      <x:c r="J334" s="381" t="n">
        <x:f>SUMIFS('Wind Proxy'!$H$8:$H$19,'Wind Proxy'!$A$8:$A$19,'Estimator'!$B$4,'Wind Proxy'!$B$8:$B$19,C334)</x:f>
        <x:v>0.22222222222222224</x:v>
      </x:c>
    </x:row>
    <x:row r="335">
      <x:c r="A335" s="379" t="n">
        <x:v>45986</x:v>
      </x:c>
      <x:c r="B335" s="380" t="n">
        <x:v>2025</x:v>
      </x:c>
      <x:c r="C335" s="380" t="n">
        <x:v>11</x:v>
      </x:c>
      <x:c r="D335" s="380" t="str">
        <x:v>Nov</x:v>
      </x:c>
      <x:c r="E335" s="380" t="n">
        <x:v>25</x:v>
      </x:c>
      <x:c r="F335" s="380" t="n">
        <x:v>2</x:v>
      </x:c>
      <x:c r="G335" s="380" t="n">
        <x:f>--(F335&lt;='Estimator'!$B$7)</x:f>
        <x:v>1</x:v>
      </x:c>
      <x:c r="H335" s="381" t="n">
        <x:f>SUMIFS('Climate Data'!$G$7:$G$366,'Climate Data'!$A$7:$A$366,'Estimator'!$B$4,'Climate Data'!$B$7:$B$366,C335)</x:f>
        <x:v>0.3111111111111111</x:v>
      </x:c>
      <x:c r="I335" s="382" t="n">
        <x:f>SUMIFS('Climate Data'!$H$7:$H$366,'Climate Data'!$A$7:$A$366,'Estimator'!$B$4,'Climate Data'!$B$7:$B$366,C335)</x:f>
        <x:v>7.382142857142857</x:v>
      </x:c>
      <x:c r="J335" s="381" t="n">
        <x:f>SUMIFS('Wind Proxy'!$H$8:$H$19,'Wind Proxy'!$A$8:$A$19,'Estimator'!$B$4,'Wind Proxy'!$B$8:$B$19,C335)</x:f>
        <x:v>0.22222222222222224</x:v>
      </x:c>
    </x:row>
    <x:row r="336">
      <x:c r="A336" s="379" t="n">
        <x:v>45987</x:v>
      </x:c>
      <x:c r="B336" s="380" t="n">
        <x:v>2025</x:v>
      </x:c>
      <x:c r="C336" s="380" t="n">
        <x:v>11</x:v>
      </x:c>
      <x:c r="D336" s="380" t="str">
        <x:v>Nov</x:v>
      </x:c>
      <x:c r="E336" s="380" t="n">
        <x:v>26</x:v>
      </x:c>
      <x:c r="F336" s="380" t="n">
        <x:v>3</x:v>
      </x:c>
      <x:c r="G336" s="380" t="n">
        <x:f>--(F336&lt;='Estimator'!$B$7)</x:f>
        <x:v>1</x:v>
      </x:c>
      <x:c r="H336" s="381" t="n">
        <x:f>SUMIFS('Climate Data'!$G$7:$G$366,'Climate Data'!$A$7:$A$366,'Estimator'!$B$4,'Climate Data'!$B$7:$B$366,C336)</x:f>
        <x:v>0.3111111111111111</x:v>
      </x:c>
      <x:c r="I336" s="382" t="n">
        <x:f>SUMIFS('Climate Data'!$H$7:$H$366,'Climate Data'!$A$7:$A$366,'Estimator'!$B$4,'Climate Data'!$B$7:$B$366,C336)</x:f>
        <x:v>7.382142857142857</x:v>
      </x:c>
      <x:c r="J336" s="381" t="n">
        <x:f>SUMIFS('Wind Proxy'!$H$8:$H$19,'Wind Proxy'!$A$8:$A$19,'Estimator'!$B$4,'Wind Proxy'!$B$8:$B$19,C336)</x:f>
        <x:v>0.22222222222222224</x:v>
      </x:c>
    </x:row>
    <x:row r="337">
      <x:c r="A337" s="379" t="n">
        <x:v>45988</x:v>
      </x:c>
      <x:c r="B337" s="380" t="n">
        <x:v>2025</x:v>
      </x:c>
      <x:c r="C337" s="380" t="n">
        <x:v>11</x:v>
      </x:c>
      <x:c r="D337" s="380" t="str">
        <x:v>Nov</x:v>
      </x:c>
      <x:c r="E337" s="380" t="n">
        <x:v>27</x:v>
      </x:c>
      <x:c r="F337" s="380" t="n">
        <x:v>4</x:v>
      </x:c>
      <x:c r="G337" s="380" t="n">
        <x:f>--(F337&lt;='Estimator'!$B$7)</x:f>
        <x:v>1</x:v>
      </x:c>
      <x:c r="H337" s="381" t="n">
        <x:f>SUMIFS('Climate Data'!$G$7:$G$366,'Climate Data'!$A$7:$A$366,'Estimator'!$B$4,'Climate Data'!$B$7:$B$366,C337)</x:f>
        <x:v>0.3111111111111111</x:v>
      </x:c>
      <x:c r="I337" s="382" t="n">
        <x:f>SUMIFS('Climate Data'!$H$7:$H$366,'Climate Data'!$A$7:$A$366,'Estimator'!$B$4,'Climate Data'!$B$7:$B$366,C337)</x:f>
        <x:v>7.382142857142857</x:v>
      </x:c>
      <x:c r="J337" s="381" t="n">
        <x:f>SUMIFS('Wind Proxy'!$H$8:$H$19,'Wind Proxy'!$A$8:$A$19,'Estimator'!$B$4,'Wind Proxy'!$B$8:$B$19,C337)</x:f>
        <x:v>0.22222222222222224</x:v>
      </x:c>
    </x:row>
    <x:row r="338">
      <x:c r="A338" s="379" t="n">
        <x:v>45989</x:v>
      </x:c>
      <x:c r="B338" s="380" t="n">
        <x:v>2025</x:v>
      </x:c>
      <x:c r="C338" s="380" t="n">
        <x:v>11</x:v>
      </x:c>
      <x:c r="D338" s="380" t="str">
        <x:v>Nov</x:v>
      </x:c>
      <x:c r="E338" s="380" t="n">
        <x:v>28</x:v>
      </x:c>
      <x:c r="F338" s="380" t="n">
        <x:v>5</x:v>
      </x:c>
      <x:c r="G338" s="380" t="n">
        <x:f>--(F338&lt;='Estimator'!$B$7)</x:f>
        <x:v>1</x:v>
      </x:c>
      <x:c r="H338" s="381" t="n">
        <x:f>SUMIFS('Climate Data'!$G$7:$G$366,'Climate Data'!$A$7:$A$366,'Estimator'!$B$4,'Climate Data'!$B$7:$B$366,C338)</x:f>
        <x:v>0.3111111111111111</x:v>
      </x:c>
      <x:c r="I338" s="382" t="n">
        <x:f>SUMIFS('Climate Data'!$H$7:$H$366,'Climate Data'!$A$7:$A$366,'Estimator'!$B$4,'Climate Data'!$B$7:$B$366,C338)</x:f>
        <x:v>7.382142857142857</x:v>
      </x:c>
      <x:c r="J338" s="381" t="n">
        <x:f>SUMIFS('Wind Proxy'!$H$8:$H$19,'Wind Proxy'!$A$8:$A$19,'Estimator'!$B$4,'Wind Proxy'!$B$8:$B$19,C338)</x:f>
        <x:v>0.22222222222222224</x:v>
      </x:c>
    </x:row>
    <x:row r="339">
      <x:c r="A339" s="379" t="n">
        <x:v>45990</x:v>
      </x:c>
      <x:c r="B339" s="380" t="n">
        <x:v>2025</x:v>
      </x:c>
      <x:c r="C339" s="380" t="n">
        <x:v>11</x:v>
      </x:c>
      <x:c r="D339" s="380" t="str">
        <x:v>Nov</x:v>
      </x:c>
      <x:c r="E339" s="380" t="n">
        <x:v>29</x:v>
      </x:c>
      <x:c r="F339" s="380" t="n">
        <x:v>6</x:v>
      </x:c>
      <x:c r="G339" s="380" t="n">
        <x:f>--(F339&lt;='Estimator'!$B$7)</x:f>
        <x:v>0</x:v>
      </x:c>
      <x:c r="H339" s="381" t="n">
        <x:f>SUMIFS('Climate Data'!$G$7:$G$366,'Climate Data'!$A$7:$A$366,'Estimator'!$B$4,'Climate Data'!$B$7:$B$366,C339)</x:f>
        <x:v>0.3111111111111111</x:v>
      </x:c>
      <x:c r="I339" s="382" t="n">
        <x:f>SUMIFS('Climate Data'!$H$7:$H$366,'Climate Data'!$A$7:$A$366,'Estimator'!$B$4,'Climate Data'!$B$7:$B$366,C339)</x:f>
        <x:v>7.382142857142857</x:v>
      </x:c>
      <x:c r="J339" s="381" t="n">
        <x:f>SUMIFS('Wind Proxy'!$H$8:$H$19,'Wind Proxy'!$A$8:$A$19,'Estimator'!$B$4,'Wind Proxy'!$B$8:$B$19,C339)</x:f>
        <x:v>0.22222222222222224</x:v>
      </x:c>
    </x:row>
    <x:row r="340">
      <x:c r="A340" s="379" t="n">
        <x:v>45991</x:v>
      </x:c>
      <x:c r="B340" s="380" t="n">
        <x:v>2025</x:v>
      </x:c>
      <x:c r="C340" s="380" t="n">
        <x:v>11</x:v>
      </x:c>
      <x:c r="D340" s="380" t="str">
        <x:v>Nov</x:v>
      </x:c>
      <x:c r="E340" s="380" t="n">
        <x:v>30</x:v>
      </x:c>
      <x:c r="F340" s="380" t="n">
        <x:v>7</x:v>
      </x:c>
      <x:c r="G340" s="380" t="n">
        <x:f>--(F340&lt;='Estimator'!$B$7)</x:f>
        <x:v>0</x:v>
      </x:c>
      <x:c r="H340" s="381" t="n">
        <x:f>SUMIFS('Climate Data'!$G$7:$G$366,'Climate Data'!$A$7:$A$366,'Estimator'!$B$4,'Climate Data'!$B$7:$B$366,C340)</x:f>
        <x:v>0.3111111111111111</x:v>
      </x:c>
      <x:c r="I340" s="382" t="n">
        <x:f>SUMIFS('Climate Data'!$H$7:$H$366,'Climate Data'!$A$7:$A$366,'Estimator'!$B$4,'Climate Data'!$B$7:$B$366,C340)</x:f>
        <x:v>7.382142857142857</x:v>
      </x:c>
      <x:c r="J340" s="381" t="n">
        <x:f>SUMIFS('Wind Proxy'!$H$8:$H$19,'Wind Proxy'!$A$8:$A$19,'Estimator'!$B$4,'Wind Proxy'!$B$8:$B$19,C340)</x:f>
        <x:v>0.22222222222222224</x:v>
      </x:c>
    </x:row>
    <x:row r="341">
      <x:c r="A341" s="379" t="n">
        <x:v>45992</x:v>
      </x:c>
      <x:c r="B341" s="380" t="n">
        <x:v>2025</x:v>
      </x:c>
      <x:c r="C341" s="380" t="n">
        <x:v>12</x:v>
      </x:c>
      <x:c r="D341" s="380" t="str">
        <x:v>Dec</x:v>
      </x:c>
      <x:c r="E341" s="380" t="n">
        <x:v>1</x:v>
      </x:c>
      <x:c r="F341" s="380" t="n">
        <x:v>1</x:v>
      </x:c>
      <x:c r="G341" s="380" t="n">
        <x:f>--(F341&lt;='Estimator'!$B$7)</x:f>
        <x:v>1</x:v>
      </x:c>
      <x:c r="H341" s="381" t="n">
        <x:f>SUMIFS('Climate Data'!$G$7:$G$366,'Climate Data'!$A$7:$A$366,'Estimator'!$B$4,'Climate Data'!$B$7:$B$366,C341)</x:f>
        <x:v>0.2914349276974416</x:v>
      </x:c>
      <x:c r="I341" s="382" t="n">
        <x:f>SUMIFS('Climate Data'!$H$7:$H$366,'Climate Data'!$A$7:$A$366,'Estimator'!$B$4,'Climate Data'!$B$7:$B$366,C341)</x:f>
        <x:v>9.043129770992365</x:v>
      </x:c>
      <x:c r="J341" s="381" t="n">
        <x:f>SUMIFS('Wind Proxy'!$H$8:$H$19,'Wind Proxy'!$A$8:$A$19,'Estimator'!$B$4,'Wind Proxy'!$B$8:$B$19,C341)</x:f>
        <x:v>0.12544802867383514</x:v>
      </x:c>
    </x:row>
    <x:row r="342">
      <x:c r="A342" s="379" t="n">
        <x:v>45993</x:v>
      </x:c>
      <x:c r="B342" s="380" t="n">
        <x:v>2025</x:v>
      </x:c>
      <x:c r="C342" s="380" t="n">
        <x:v>12</x:v>
      </x:c>
      <x:c r="D342" s="380" t="str">
        <x:v>Dec</x:v>
      </x:c>
      <x:c r="E342" s="380" t="n">
        <x:v>2</x:v>
      </x:c>
      <x:c r="F342" s="380" t="n">
        <x:v>2</x:v>
      </x:c>
      <x:c r="G342" s="380" t="n">
        <x:f>--(F342&lt;='Estimator'!$B$7)</x:f>
        <x:v>1</x:v>
      </x:c>
      <x:c r="H342" s="381" t="n">
        <x:f>SUMIFS('Climate Data'!$G$7:$G$366,'Climate Data'!$A$7:$A$366,'Estimator'!$B$4,'Climate Data'!$B$7:$B$366,C342)</x:f>
        <x:v>0.2914349276974416</x:v>
      </x:c>
      <x:c r="I342" s="382" t="n">
        <x:f>SUMIFS('Climate Data'!$H$7:$H$366,'Climate Data'!$A$7:$A$366,'Estimator'!$B$4,'Climate Data'!$B$7:$B$366,C342)</x:f>
        <x:v>9.043129770992365</x:v>
      </x:c>
      <x:c r="J342" s="381" t="n">
        <x:f>SUMIFS('Wind Proxy'!$H$8:$H$19,'Wind Proxy'!$A$8:$A$19,'Estimator'!$B$4,'Wind Proxy'!$B$8:$B$19,C342)</x:f>
        <x:v>0.12544802867383514</x:v>
      </x:c>
    </x:row>
    <x:row r="343">
      <x:c r="A343" s="379" t="n">
        <x:v>45994</x:v>
      </x:c>
      <x:c r="B343" s="380" t="n">
        <x:v>2025</x:v>
      </x:c>
      <x:c r="C343" s="380" t="n">
        <x:v>12</x:v>
      </x:c>
      <x:c r="D343" s="380" t="str">
        <x:v>Dec</x:v>
      </x:c>
      <x:c r="E343" s="380" t="n">
        <x:v>3</x:v>
      </x:c>
      <x:c r="F343" s="380" t="n">
        <x:v>3</x:v>
      </x:c>
      <x:c r="G343" s="380" t="n">
        <x:f>--(F343&lt;='Estimator'!$B$7)</x:f>
        <x:v>1</x:v>
      </x:c>
      <x:c r="H343" s="381" t="n">
        <x:f>SUMIFS('Climate Data'!$G$7:$G$366,'Climate Data'!$A$7:$A$366,'Estimator'!$B$4,'Climate Data'!$B$7:$B$366,C343)</x:f>
        <x:v>0.2914349276974416</x:v>
      </x:c>
      <x:c r="I343" s="382" t="n">
        <x:f>SUMIFS('Climate Data'!$H$7:$H$366,'Climate Data'!$A$7:$A$366,'Estimator'!$B$4,'Climate Data'!$B$7:$B$366,C343)</x:f>
        <x:v>9.043129770992365</x:v>
      </x:c>
      <x:c r="J343" s="381" t="n">
        <x:f>SUMIFS('Wind Proxy'!$H$8:$H$19,'Wind Proxy'!$A$8:$A$19,'Estimator'!$B$4,'Wind Proxy'!$B$8:$B$19,C343)</x:f>
        <x:v>0.12544802867383514</x:v>
      </x:c>
    </x:row>
    <x:row r="344">
      <x:c r="A344" s="379" t="n">
        <x:v>45995</x:v>
      </x:c>
      <x:c r="B344" s="380" t="n">
        <x:v>2025</x:v>
      </x:c>
      <x:c r="C344" s="380" t="n">
        <x:v>12</x:v>
      </x:c>
      <x:c r="D344" s="380" t="str">
        <x:v>Dec</x:v>
      </x:c>
      <x:c r="E344" s="380" t="n">
        <x:v>4</x:v>
      </x:c>
      <x:c r="F344" s="380" t="n">
        <x:v>4</x:v>
      </x:c>
      <x:c r="G344" s="380" t="n">
        <x:f>--(F344&lt;='Estimator'!$B$7)</x:f>
        <x:v>1</x:v>
      </x:c>
      <x:c r="H344" s="381" t="n">
        <x:f>SUMIFS('Climate Data'!$G$7:$G$366,'Climate Data'!$A$7:$A$366,'Estimator'!$B$4,'Climate Data'!$B$7:$B$366,C344)</x:f>
        <x:v>0.2914349276974416</x:v>
      </x:c>
      <x:c r="I344" s="382" t="n">
        <x:f>SUMIFS('Climate Data'!$H$7:$H$366,'Climate Data'!$A$7:$A$366,'Estimator'!$B$4,'Climate Data'!$B$7:$B$366,C344)</x:f>
        <x:v>9.043129770992365</x:v>
      </x:c>
      <x:c r="J344" s="381" t="n">
        <x:f>SUMIFS('Wind Proxy'!$H$8:$H$19,'Wind Proxy'!$A$8:$A$19,'Estimator'!$B$4,'Wind Proxy'!$B$8:$B$19,C344)</x:f>
        <x:v>0.12544802867383514</x:v>
      </x:c>
    </x:row>
    <x:row r="345">
      <x:c r="A345" s="379" t="n">
        <x:v>45996</x:v>
      </x:c>
      <x:c r="B345" s="380" t="n">
        <x:v>2025</x:v>
      </x:c>
      <x:c r="C345" s="380" t="n">
        <x:v>12</x:v>
      </x:c>
      <x:c r="D345" s="380" t="str">
        <x:v>Dec</x:v>
      </x:c>
      <x:c r="E345" s="380" t="n">
        <x:v>5</x:v>
      </x:c>
      <x:c r="F345" s="380" t="n">
        <x:v>5</x:v>
      </x:c>
      <x:c r="G345" s="380" t="n">
        <x:f>--(F345&lt;='Estimator'!$B$7)</x:f>
        <x:v>1</x:v>
      </x:c>
      <x:c r="H345" s="381" t="n">
        <x:f>SUMIFS('Climate Data'!$G$7:$G$366,'Climate Data'!$A$7:$A$366,'Estimator'!$B$4,'Climate Data'!$B$7:$B$366,C345)</x:f>
        <x:v>0.2914349276974416</x:v>
      </x:c>
      <x:c r="I345" s="382" t="n">
        <x:f>SUMIFS('Climate Data'!$H$7:$H$366,'Climate Data'!$A$7:$A$366,'Estimator'!$B$4,'Climate Data'!$B$7:$B$366,C345)</x:f>
        <x:v>9.043129770992365</x:v>
      </x:c>
      <x:c r="J345" s="381" t="n">
        <x:f>SUMIFS('Wind Proxy'!$H$8:$H$19,'Wind Proxy'!$A$8:$A$19,'Estimator'!$B$4,'Wind Proxy'!$B$8:$B$19,C345)</x:f>
        <x:v>0.12544802867383514</x:v>
      </x:c>
    </x:row>
    <x:row r="346">
      <x:c r="A346" s="379" t="n">
        <x:v>45997</x:v>
      </x:c>
      <x:c r="B346" s="380" t="n">
        <x:v>2025</x:v>
      </x:c>
      <x:c r="C346" s="380" t="n">
        <x:v>12</x:v>
      </x:c>
      <x:c r="D346" s="380" t="str">
        <x:v>Dec</x:v>
      </x:c>
      <x:c r="E346" s="380" t="n">
        <x:v>6</x:v>
      </x:c>
      <x:c r="F346" s="380" t="n">
        <x:v>6</x:v>
      </x:c>
      <x:c r="G346" s="380" t="n">
        <x:f>--(F346&lt;='Estimator'!$B$7)</x:f>
        <x:v>0</x:v>
      </x:c>
      <x:c r="H346" s="381" t="n">
        <x:f>SUMIFS('Climate Data'!$G$7:$G$366,'Climate Data'!$A$7:$A$366,'Estimator'!$B$4,'Climate Data'!$B$7:$B$366,C346)</x:f>
        <x:v>0.2914349276974416</x:v>
      </x:c>
      <x:c r="I346" s="382" t="n">
        <x:f>SUMIFS('Climate Data'!$H$7:$H$366,'Climate Data'!$A$7:$A$366,'Estimator'!$B$4,'Climate Data'!$B$7:$B$366,C346)</x:f>
        <x:v>9.043129770992365</x:v>
      </x:c>
      <x:c r="J346" s="381" t="n">
        <x:f>SUMIFS('Wind Proxy'!$H$8:$H$19,'Wind Proxy'!$A$8:$A$19,'Estimator'!$B$4,'Wind Proxy'!$B$8:$B$19,C346)</x:f>
        <x:v>0.12544802867383514</x:v>
      </x:c>
    </x:row>
    <x:row r="347">
      <x:c r="A347" s="379" t="n">
        <x:v>45998</x:v>
      </x:c>
      <x:c r="B347" s="380" t="n">
        <x:v>2025</x:v>
      </x:c>
      <x:c r="C347" s="380" t="n">
        <x:v>12</x:v>
      </x:c>
      <x:c r="D347" s="380" t="str">
        <x:v>Dec</x:v>
      </x:c>
      <x:c r="E347" s="380" t="n">
        <x:v>7</x:v>
      </x:c>
      <x:c r="F347" s="380" t="n">
        <x:v>7</x:v>
      </x:c>
      <x:c r="G347" s="380" t="n">
        <x:f>--(F347&lt;='Estimator'!$B$7)</x:f>
        <x:v>0</x:v>
      </x:c>
      <x:c r="H347" s="381" t="n">
        <x:f>SUMIFS('Climate Data'!$G$7:$G$366,'Climate Data'!$A$7:$A$366,'Estimator'!$B$4,'Climate Data'!$B$7:$B$366,C347)</x:f>
        <x:v>0.2914349276974416</x:v>
      </x:c>
      <x:c r="I347" s="382" t="n">
        <x:f>SUMIFS('Climate Data'!$H$7:$H$366,'Climate Data'!$A$7:$A$366,'Estimator'!$B$4,'Climate Data'!$B$7:$B$366,C347)</x:f>
        <x:v>9.043129770992365</x:v>
      </x:c>
      <x:c r="J347" s="381" t="n">
        <x:f>SUMIFS('Wind Proxy'!$H$8:$H$19,'Wind Proxy'!$A$8:$A$19,'Estimator'!$B$4,'Wind Proxy'!$B$8:$B$19,C347)</x:f>
        <x:v>0.12544802867383514</x:v>
      </x:c>
    </x:row>
    <x:row r="348">
      <x:c r="A348" s="379" t="n">
        <x:v>45999</x:v>
      </x:c>
      <x:c r="B348" s="380" t="n">
        <x:v>2025</x:v>
      </x:c>
      <x:c r="C348" s="380" t="n">
        <x:v>12</x:v>
      </x:c>
      <x:c r="D348" s="380" t="str">
        <x:v>Dec</x:v>
      </x:c>
      <x:c r="E348" s="380" t="n">
        <x:v>8</x:v>
      </x:c>
      <x:c r="F348" s="380" t="n">
        <x:v>1</x:v>
      </x:c>
      <x:c r="G348" s="380" t="n">
        <x:f>--(F348&lt;='Estimator'!$B$7)</x:f>
        <x:v>1</x:v>
      </x:c>
      <x:c r="H348" s="381" t="n">
        <x:f>SUMIFS('Climate Data'!$G$7:$G$366,'Climate Data'!$A$7:$A$366,'Estimator'!$B$4,'Climate Data'!$B$7:$B$366,C348)</x:f>
        <x:v>0.2914349276974416</x:v>
      </x:c>
      <x:c r="I348" s="382" t="n">
        <x:f>SUMIFS('Climate Data'!$H$7:$H$366,'Climate Data'!$A$7:$A$366,'Estimator'!$B$4,'Climate Data'!$B$7:$B$366,C348)</x:f>
        <x:v>9.043129770992365</x:v>
      </x:c>
      <x:c r="J348" s="381" t="n">
        <x:f>SUMIFS('Wind Proxy'!$H$8:$H$19,'Wind Proxy'!$A$8:$A$19,'Estimator'!$B$4,'Wind Proxy'!$B$8:$B$19,C348)</x:f>
        <x:v>0.12544802867383514</x:v>
      </x:c>
    </x:row>
    <x:row r="349">
      <x:c r="A349" s="379" t="n">
        <x:v>46000</x:v>
      </x:c>
      <x:c r="B349" s="380" t="n">
        <x:v>2025</x:v>
      </x:c>
      <x:c r="C349" s="380" t="n">
        <x:v>12</x:v>
      </x:c>
      <x:c r="D349" s="380" t="str">
        <x:v>Dec</x:v>
      </x:c>
      <x:c r="E349" s="380" t="n">
        <x:v>9</x:v>
      </x:c>
      <x:c r="F349" s="380" t="n">
        <x:v>2</x:v>
      </x:c>
      <x:c r="G349" s="380" t="n">
        <x:f>--(F349&lt;='Estimator'!$B$7)</x:f>
        <x:v>1</x:v>
      </x:c>
      <x:c r="H349" s="381" t="n">
        <x:f>SUMIFS('Climate Data'!$G$7:$G$366,'Climate Data'!$A$7:$A$366,'Estimator'!$B$4,'Climate Data'!$B$7:$B$366,C349)</x:f>
        <x:v>0.2914349276974416</x:v>
      </x:c>
      <x:c r="I349" s="382" t="n">
        <x:f>SUMIFS('Climate Data'!$H$7:$H$366,'Climate Data'!$A$7:$A$366,'Estimator'!$B$4,'Climate Data'!$B$7:$B$366,C349)</x:f>
        <x:v>9.043129770992365</x:v>
      </x:c>
      <x:c r="J349" s="381" t="n">
        <x:f>SUMIFS('Wind Proxy'!$H$8:$H$19,'Wind Proxy'!$A$8:$A$19,'Estimator'!$B$4,'Wind Proxy'!$B$8:$B$19,C349)</x:f>
        <x:v>0.12544802867383514</x:v>
      </x:c>
    </x:row>
    <x:row r="350">
      <x:c r="A350" s="379" t="n">
        <x:v>46001</x:v>
      </x:c>
      <x:c r="B350" s="380" t="n">
        <x:v>2025</x:v>
      </x:c>
      <x:c r="C350" s="380" t="n">
        <x:v>12</x:v>
      </x:c>
      <x:c r="D350" s="380" t="str">
        <x:v>Dec</x:v>
      </x:c>
      <x:c r="E350" s="380" t="n">
        <x:v>10</x:v>
      </x:c>
      <x:c r="F350" s="380" t="n">
        <x:v>3</x:v>
      </x:c>
      <x:c r="G350" s="380" t="n">
        <x:f>--(F350&lt;='Estimator'!$B$7)</x:f>
        <x:v>1</x:v>
      </x:c>
      <x:c r="H350" s="381" t="n">
        <x:f>SUMIFS('Climate Data'!$G$7:$G$366,'Climate Data'!$A$7:$A$366,'Estimator'!$B$4,'Climate Data'!$B$7:$B$366,C350)</x:f>
        <x:v>0.2914349276974416</x:v>
      </x:c>
      <x:c r="I350" s="382" t="n">
        <x:f>SUMIFS('Climate Data'!$H$7:$H$366,'Climate Data'!$A$7:$A$366,'Estimator'!$B$4,'Climate Data'!$B$7:$B$366,C350)</x:f>
        <x:v>9.043129770992365</x:v>
      </x:c>
      <x:c r="J350" s="381" t="n">
        <x:f>SUMIFS('Wind Proxy'!$H$8:$H$19,'Wind Proxy'!$A$8:$A$19,'Estimator'!$B$4,'Wind Proxy'!$B$8:$B$19,C350)</x:f>
        <x:v>0.12544802867383514</x:v>
      </x:c>
    </x:row>
    <x:row r="351">
      <x:c r="A351" s="379" t="n">
        <x:v>46002</x:v>
      </x:c>
      <x:c r="B351" s="380" t="n">
        <x:v>2025</x:v>
      </x:c>
      <x:c r="C351" s="380" t="n">
        <x:v>12</x:v>
      </x:c>
      <x:c r="D351" s="380" t="str">
        <x:v>Dec</x:v>
      </x:c>
      <x:c r="E351" s="380" t="n">
        <x:v>11</x:v>
      </x:c>
      <x:c r="F351" s="380" t="n">
        <x:v>4</x:v>
      </x:c>
      <x:c r="G351" s="380" t="n">
        <x:f>--(F351&lt;='Estimator'!$B$7)</x:f>
        <x:v>1</x:v>
      </x:c>
      <x:c r="H351" s="381" t="n">
        <x:f>SUMIFS('Climate Data'!$G$7:$G$366,'Climate Data'!$A$7:$A$366,'Estimator'!$B$4,'Climate Data'!$B$7:$B$366,C351)</x:f>
        <x:v>0.2914349276974416</x:v>
      </x:c>
      <x:c r="I351" s="382" t="n">
        <x:f>SUMIFS('Climate Data'!$H$7:$H$366,'Climate Data'!$A$7:$A$366,'Estimator'!$B$4,'Climate Data'!$B$7:$B$366,C351)</x:f>
        <x:v>9.043129770992365</x:v>
      </x:c>
      <x:c r="J351" s="381" t="n">
        <x:f>SUMIFS('Wind Proxy'!$H$8:$H$19,'Wind Proxy'!$A$8:$A$19,'Estimator'!$B$4,'Wind Proxy'!$B$8:$B$19,C351)</x:f>
        <x:v>0.12544802867383514</x:v>
      </x:c>
    </x:row>
    <x:row r="352">
      <x:c r="A352" s="379" t="n">
        <x:v>46003</x:v>
      </x:c>
      <x:c r="B352" s="380" t="n">
        <x:v>2025</x:v>
      </x:c>
      <x:c r="C352" s="380" t="n">
        <x:v>12</x:v>
      </x:c>
      <x:c r="D352" s="380" t="str">
        <x:v>Dec</x:v>
      </x:c>
      <x:c r="E352" s="380" t="n">
        <x:v>12</x:v>
      </x:c>
      <x:c r="F352" s="380" t="n">
        <x:v>5</x:v>
      </x:c>
      <x:c r="G352" s="380" t="n">
        <x:f>--(F352&lt;='Estimator'!$B$7)</x:f>
        <x:v>1</x:v>
      </x:c>
      <x:c r="H352" s="381" t="n">
        <x:f>SUMIFS('Climate Data'!$G$7:$G$366,'Climate Data'!$A$7:$A$366,'Estimator'!$B$4,'Climate Data'!$B$7:$B$366,C352)</x:f>
        <x:v>0.2914349276974416</x:v>
      </x:c>
      <x:c r="I352" s="382" t="n">
        <x:f>SUMIFS('Climate Data'!$H$7:$H$366,'Climate Data'!$A$7:$A$366,'Estimator'!$B$4,'Climate Data'!$B$7:$B$366,C352)</x:f>
        <x:v>9.043129770992365</x:v>
      </x:c>
      <x:c r="J352" s="381" t="n">
        <x:f>SUMIFS('Wind Proxy'!$H$8:$H$19,'Wind Proxy'!$A$8:$A$19,'Estimator'!$B$4,'Wind Proxy'!$B$8:$B$19,C352)</x:f>
        <x:v>0.12544802867383514</x:v>
      </x:c>
    </x:row>
    <x:row r="353">
      <x:c r="A353" s="379" t="n">
        <x:v>46004</x:v>
      </x:c>
      <x:c r="B353" s="380" t="n">
        <x:v>2025</x:v>
      </x:c>
      <x:c r="C353" s="380" t="n">
        <x:v>12</x:v>
      </x:c>
      <x:c r="D353" s="380" t="str">
        <x:v>Dec</x:v>
      </x:c>
      <x:c r="E353" s="380" t="n">
        <x:v>13</x:v>
      </x:c>
      <x:c r="F353" s="380" t="n">
        <x:v>6</x:v>
      </x:c>
      <x:c r="G353" s="380" t="n">
        <x:f>--(F353&lt;='Estimator'!$B$7)</x:f>
        <x:v>0</x:v>
      </x:c>
      <x:c r="H353" s="381" t="n">
        <x:f>SUMIFS('Climate Data'!$G$7:$G$366,'Climate Data'!$A$7:$A$366,'Estimator'!$B$4,'Climate Data'!$B$7:$B$366,C353)</x:f>
        <x:v>0.2914349276974416</x:v>
      </x:c>
      <x:c r="I353" s="382" t="n">
        <x:f>SUMIFS('Climate Data'!$H$7:$H$366,'Climate Data'!$A$7:$A$366,'Estimator'!$B$4,'Climate Data'!$B$7:$B$366,C353)</x:f>
        <x:v>9.043129770992365</x:v>
      </x:c>
      <x:c r="J353" s="381" t="n">
        <x:f>SUMIFS('Wind Proxy'!$H$8:$H$19,'Wind Proxy'!$A$8:$A$19,'Estimator'!$B$4,'Wind Proxy'!$B$8:$B$19,C353)</x:f>
        <x:v>0.12544802867383514</x:v>
      </x:c>
    </x:row>
    <x:row r="354">
      <x:c r="A354" s="379" t="n">
        <x:v>46005</x:v>
      </x:c>
      <x:c r="B354" s="380" t="n">
        <x:v>2025</x:v>
      </x:c>
      <x:c r="C354" s="380" t="n">
        <x:v>12</x:v>
      </x:c>
      <x:c r="D354" s="380" t="str">
        <x:v>Dec</x:v>
      </x:c>
      <x:c r="E354" s="380" t="n">
        <x:v>14</x:v>
      </x:c>
      <x:c r="F354" s="380" t="n">
        <x:v>7</x:v>
      </x:c>
      <x:c r="G354" s="380" t="n">
        <x:f>--(F354&lt;='Estimator'!$B$7)</x:f>
        <x:v>0</x:v>
      </x:c>
      <x:c r="H354" s="381" t="n">
        <x:f>SUMIFS('Climate Data'!$G$7:$G$366,'Climate Data'!$A$7:$A$366,'Estimator'!$B$4,'Climate Data'!$B$7:$B$366,C354)</x:f>
        <x:v>0.2914349276974416</x:v>
      </x:c>
      <x:c r="I354" s="382" t="n">
        <x:f>SUMIFS('Climate Data'!$H$7:$H$366,'Climate Data'!$A$7:$A$366,'Estimator'!$B$4,'Climate Data'!$B$7:$B$366,C354)</x:f>
        <x:v>9.043129770992365</x:v>
      </x:c>
      <x:c r="J354" s="381" t="n">
        <x:f>SUMIFS('Wind Proxy'!$H$8:$H$19,'Wind Proxy'!$A$8:$A$19,'Estimator'!$B$4,'Wind Proxy'!$B$8:$B$19,C354)</x:f>
        <x:v>0.12544802867383514</x:v>
      </x:c>
    </x:row>
    <x:row r="355">
      <x:c r="A355" s="379" t="n">
        <x:v>46006</x:v>
      </x:c>
      <x:c r="B355" s="380" t="n">
        <x:v>2025</x:v>
      </x:c>
      <x:c r="C355" s="380" t="n">
        <x:v>12</x:v>
      </x:c>
      <x:c r="D355" s="380" t="str">
        <x:v>Dec</x:v>
      </x:c>
      <x:c r="E355" s="380" t="n">
        <x:v>15</x:v>
      </x:c>
      <x:c r="F355" s="380" t="n">
        <x:v>1</x:v>
      </x:c>
      <x:c r="G355" s="380" t="n">
        <x:f>--(F355&lt;='Estimator'!$B$7)</x:f>
        <x:v>1</x:v>
      </x:c>
      <x:c r="H355" s="381" t="n">
        <x:f>SUMIFS('Climate Data'!$G$7:$G$366,'Climate Data'!$A$7:$A$366,'Estimator'!$B$4,'Climate Data'!$B$7:$B$366,C355)</x:f>
        <x:v>0.2914349276974416</x:v>
      </x:c>
      <x:c r="I355" s="382" t="n">
        <x:f>SUMIFS('Climate Data'!$H$7:$H$366,'Climate Data'!$A$7:$A$366,'Estimator'!$B$4,'Climate Data'!$B$7:$B$366,C355)</x:f>
        <x:v>9.043129770992365</x:v>
      </x:c>
      <x:c r="J355" s="381" t="n">
        <x:f>SUMIFS('Wind Proxy'!$H$8:$H$19,'Wind Proxy'!$A$8:$A$19,'Estimator'!$B$4,'Wind Proxy'!$B$8:$B$19,C355)</x:f>
        <x:v>0.12544802867383514</x:v>
      </x:c>
    </x:row>
    <x:row r="356">
      <x:c r="A356" s="379" t="n">
        <x:v>46007</x:v>
      </x:c>
      <x:c r="B356" s="380" t="n">
        <x:v>2025</x:v>
      </x:c>
      <x:c r="C356" s="380" t="n">
        <x:v>12</x:v>
      </x:c>
      <x:c r="D356" s="380" t="str">
        <x:v>Dec</x:v>
      </x:c>
      <x:c r="E356" s="380" t="n">
        <x:v>16</x:v>
      </x:c>
      <x:c r="F356" s="380" t="n">
        <x:v>2</x:v>
      </x:c>
      <x:c r="G356" s="380" t="n">
        <x:f>--(F356&lt;='Estimator'!$B$7)</x:f>
        <x:v>1</x:v>
      </x:c>
      <x:c r="H356" s="381" t="n">
        <x:f>SUMIFS('Climate Data'!$G$7:$G$366,'Climate Data'!$A$7:$A$366,'Estimator'!$B$4,'Climate Data'!$B$7:$B$366,C356)</x:f>
        <x:v>0.2914349276974416</x:v>
      </x:c>
      <x:c r="I356" s="382" t="n">
        <x:f>SUMIFS('Climate Data'!$H$7:$H$366,'Climate Data'!$A$7:$A$366,'Estimator'!$B$4,'Climate Data'!$B$7:$B$366,C356)</x:f>
        <x:v>9.043129770992365</x:v>
      </x:c>
      <x:c r="J356" s="381" t="n">
        <x:f>SUMIFS('Wind Proxy'!$H$8:$H$19,'Wind Proxy'!$A$8:$A$19,'Estimator'!$B$4,'Wind Proxy'!$B$8:$B$19,C356)</x:f>
        <x:v>0.12544802867383514</x:v>
      </x:c>
    </x:row>
    <x:row r="357">
      <x:c r="A357" s="379" t="n">
        <x:v>46008</x:v>
      </x:c>
      <x:c r="B357" s="380" t="n">
        <x:v>2025</x:v>
      </x:c>
      <x:c r="C357" s="380" t="n">
        <x:v>12</x:v>
      </x:c>
      <x:c r="D357" s="380" t="str">
        <x:v>Dec</x:v>
      </x:c>
      <x:c r="E357" s="380" t="n">
        <x:v>17</x:v>
      </x:c>
      <x:c r="F357" s="380" t="n">
        <x:v>3</x:v>
      </x:c>
      <x:c r="G357" s="380" t="n">
        <x:f>--(F357&lt;='Estimator'!$B$7)</x:f>
        <x:v>1</x:v>
      </x:c>
      <x:c r="H357" s="381" t="n">
        <x:f>SUMIFS('Climate Data'!$G$7:$G$366,'Climate Data'!$A$7:$A$366,'Estimator'!$B$4,'Climate Data'!$B$7:$B$366,C357)</x:f>
        <x:v>0.2914349276974416</x:v>
      </x:c>
      <x:c r="I357" s="382" t="n">
        <x:f>SUMIFS('Climate Data'!$H$7:$H$366,'Climate Data'!$A$7:$A$366,'Estimator'!$B$4,'Climate Data'!$B$7:$B$366,C357)</x:f>
        <x:v>9.043129770992365</x:v>
      </x:c>
      <x:c r="J357" s="381" t="n">
        <x:f>SUMIFS('Wind Proxy'!$H$8:$H$19,'Wind Proxy'!$A$8:$A$19,'Estimator'!$B$4,'Wind Proxy'!$B$8:$B$19,C357)</x:f>
        <x:v>0.12544802867383514</x:v>
      </x:c>
    </x:row>
    <x:row r="358">
      <x:c r="A358" s="379" t="n">
        <x:v>46009</x:v>
      </x:c>
      <x:c r="B358" s="380" t="n">
        <x:v>2025</x:v>
      </x:c>
      <x:c r="C358" s="380" t="n">
        <x:v>12</x:v>
      </x:c>
      <x:c r="D358" s="380" t="str">
        <x:v>Dec</x:v>
      </x:c>
      <x:c r="E358" s="380" t="n">
        <x:v>18</x:v>
      </x:c>
      <x:c r="F358" s="380" t="n">
        <x:v>4</x:v>
      </x:c>
      <x:c r="G358" s="380" t="n">
        <x:f>--(F358&lt;='Estimator'!$B$7)</x:f>
        <x:v>1</x:v>
      </x:c>
      <x:c r="H358" s="381" t="n">
        <x:f>SUMIFS('Climate Data'!$G$7:$G$366,'Climate Data'!$A$7:$A$366,'Estimator'!$B$4,'Climate Data'!$B$7:$B$366,C358)</x:f>
        <x:v>0.2914349276974416</x:v>
      </x:c>
      <x:c r="I358" s="382" t="n">
        <x:f>SUMIFS('Climate Data'!$H$7:$H$366,'Climate Data'!$A$7:$A$366,'Estimator'!$B$4,'Climate Data'!$B$7:$B$366,C358)</x:f>
        <x:v>9.043129770992365</x:v>
      </x:c>
      <x:c r="J358" s="381" t="n">
        <x:f>SUMIFS('Wind Proxy'!$H$8:$H$19,'Wind Proxy'!$A$8:$A$19,'Estimator'!$B$4,'Wind Proxy'!$B$8:$B$19,C358)</x:f>
        <x:v>0.12544802867383514</x:v>
      </x:c>
    </x:row>
    <x:row r="359">
      <x:c r="A359" s="379" t="n">
        <x:v>46010</x:v>
      </x:c>
      <x:c r="B359" s="380" t="n">
        <x:v>2025</x:v>
      </x:c>
      <x:c r="C359" s="380" t="n">
        <x:v>12</x:v>
      </x:c>
      <x:c r="D359" s="380" t="str">
        <x:v>Dec</x:v>
      </x:c>
      <x:c r="E359" s="380" t="n">
        <x:v>19</x:v>
      </x:c>
      <x:c r="F359" s="380" t="n">
        <x:v>5</x:v>
      </x:c>
      <x:c r="G359" s="380" t="n">
        <x:f>--(F359&lt;='Estimator'!$B$7)</x:f>
        <x:v>1</x:v>
      </x:c>
      <x:c r="H359" s="381" t="n">
        <x:f>SUMIFS('Climate Data'!$G$7:$G$366,'Climate Data'!$A$7:$A$366,'Estimator'!$B$4,'Climate Data'!$B$7:$B$366,C359)</x:f>
        <x:v>0.2914349276974416</x:v>
      </x:c>
      <x:c r="I359" s="382" t="n">
        <x:f>SUMIFS('Climate Data'!$H$7:$H$366,'Climate Data'!$A$7:$A$366,'Estimator'!$B$4,'Climate Data'!$B$7:$B$366,C359)</x:f>
        <x:v>9.043129770992365</x:v>
      </x:c>
      <x:c r="J359" s="381" t="n">
        <x:f>SUMIFS('Wind Proxy'!$H$8:$H$19,'Wind Proxy'!$A$8:$A$19,'Estimator'!$B$4,'Wind Proxy'!$B$8:$B$19,C359)</x:f>
        <x:v>0.12544802867383514</x:v>
      </x:c>
    </x:row>
    <x:row r="360">
      <x:c r="A360" s="379" t="n">
        <x:v>46011</x:v>
      </x:c>
      <x:c r="B360" s="380" t="n">
        <x:v>2025</x:v>
      </x:c>
      <x:c r="C360" s="380" t="n">
        <x:v>12</x:v>
      </x:c>
      <x:c r="D360" s="380" t="str">
        <x:v>Dec</x:v>
      </x:c>
      <x:c r="E360" s="380" t="n">
        <x:v>20</x:v>
      </x:c>
      <x:c r="F360" s="380" t="n">
        <x:v>6</x:v>
      </x:c>
      <x:c r="G360" s="380" t="n">
        <x:f>--(F360&lt;='Estimator'!$B$7)</x:f>
        <x:v>0</x:v>
      </x:c>
      <x:c r="H360" s="381" t="n">
        <x:f>SUMIFS('Climate Data'!$G$7:$G$366,'Climate Data'!$A$7:$A$366,'Estimator'!$B$4,'Climate Data'!$B$7:$B$366,C360)</x:f>
        <x:v>0.2914349276974416</x:v>
      </x:c>
      <x:c r="I360" s="382" t="n">
        <x:f>SUMIFS('Climate Data'!$H$7:$H$366,'Climate Data'!$A$7:$A$366,'Estimator'!$B$4,'Climate Data'!$B$7:$B$366,C360)</x:f>
        <x:v>9.043129770992365</x:v>
      </x:c>
      <x:c r="J360" s="381" t="n">
        <x:f>SUMIFS('Wind Proxy'!$H$8:$H$19,'Wind Proxy'!$A$8:$A$19,'Estimator'!$B$4,'Wind Proxy'!$B$8:$B$19,C360)</x:f>
        <x:v>0.12544802867383514</x:v>
      </x:c>
    </x:row>
    <x:row r="361">
      <x:c r="A361" s="379" t="n">
        <x:v>46012</x:v>
      </x:c>
      <x:c r="B361" s="380" t="n">
        <x:v>2025</x:v>
      </x:c>
      <x:c r="C361" s="380" t="n">
        <x:v>12</x:v>
      </x:c>
      <x:c r="D361" s="380" t="str">
        <x:v>Dec</x:v>
      </x:c>
      <x:c r="E361" s="380" t="n">
        <x:v>21</x:v>
      </x:c>
      <x:c r="F361" s="380" t="n">
        <x:v>7</x:v>
      </x:c>
      <x:c r="G361" s="380" t="n">
        <x:f>--(F361&lt;='Estimator'!$B$7)</x:f>
        <x:v>0</x:v>
      </x:c>
      <x:c r="H361" s="381" t="n">
        <x:f>SUMIFS('Climate Data'!$G$7:$G$366,'Climate Data'!$A$7:$A$366,'Estimator'!$B$4,'Climate Data'!$B$7:$B$366,C361)</x:f>
        <x:v>0.2914349276974416</x:v>
      </x:c>
      <x:c r="I361" s="382" t="n">
        <x:f>SUMIFS('Climate Data'!$H$7:$H$366,'Climate Data'!$A$7:$A$366,'Estimator'!$B$4,'Climate Data'!$B$7:$B$366,C361)</x:f>
        <x:v>9.043129770992365</x:v>
      </x:c>
      <x:c r="J361" s="381" t="n">
        <x:f>SUMIFS('Wind Proxy'!$H$8:$H$19,'Wind Proxy'!$A$8:$A$19,'Estimator'!$B$4,'Wind Proxy'!$B$8:$B$19,C361)</x:f>
        <x:v>0.12544802867383514</x:v>
      </x:c>
    </x:row>
    <x:row r="362">
      <x:c r="A362" s="379" t="n">
        <x:v>46013</x:v>
      </x:c>
      <x:c r="B362" s="380" t="n">
        <x:v>2025</x:v>
      </x:c>
      <x:c r="C362" s="380" t="n">
        <x:v>12</x:v>
      </x:c>
      <x:c r="D362" s="380" t="str">
        <x:v>Dec</x:v>
      </x:c>
      <x:c r="E362" s="380" t="n">
        <x:v>22</x:v>
      </x:c>
      <x:c r="F362" s="380" t="n">
        <x:v>1</x:v>
      </x:c>
      <x:c r="G362" s="380" t="n">
        <x:f>--(F362&lt;='Estimator'!$B$7)</x:f>
        <x:v>1</x:v>
      </x:c>
      <x:c r="H362" s="381" t="n">
        <x:f>SUMIFS('Climate Data'!$G$7:$G$366,'Climate Data'!$A$7:$A$366,'Estimator'!$B$4,'Climate Data'!$B$7:$B$366,C362)</x:f>
        <x:v>0.2914349276974416</x:v>
      </x:c>
      <x:c r="I362" s="382" t="n">
        <x:f>SUMIFS('Climate Data'!$H$7:$H$366,'Climate Data'!$A$7:$A$366,'Estimator'!$B$4,'Climate Data'!$B$7:$B$366,C362)</x:f>
        <x:v>9.043129770992365</x:v>
      </x:c>
      <x:c r="J362" s="381" t="n">
        <x:f>SUMIFS('Wind Proxy'!$H$8:$H$19,'Wind Proxy'!$A$8:$A$19,'Estimator'!$B$4,'Wind Proxy'!$B$8:$B$19,C362)</x:f>
        <x:v>0.12544802867383514</x:v>
      </x:c>
    </x:row>
    <x:row r="363">
      <x:c r="A363" s="379" t="n">
        <x:v>46014</x:v>
      </x:c>
      <x:c r="B363" s="380" t="n">
        <x:v>2025</x:v>
      </x:c>
      <x:c r="C363" s="380" t="n">
        <x:v>12</x:v>
      </x:c>
      <x:c r="D363" s="380" t="str">
        <x:v>Dec</x:v>
      </x:c>
      <x:c r="E363" s="380" t="n">
        <x:v>23</x:v>
      </x:c>
      <x:c r="F363" s="380" t="n">
        <x:v>2</x:v>
      </x:c>
      <x:c r="G363" s="380" t="n">
        <x:f>--(F363&lt;='Estimator'!$B$7)</x:f>
        <x:v>1</x:v>
      </x:c>
      <x:c r="H363" s="381" t="n">
        <x:f>SUMIFS('Climate Data'!$G$7:$G$366,'Climate Data'!$A$7:$A$366,'Estimator'!$B$4,'Climate Data'!$B$7:$B$366,C363)</x:f>
        <x:v>0.2914349276974416</x:v>
      </x:c>
      <x:c r="I363" s="382" t="n">
        <x:f>SUMIFS('Climate Data'!$H$7:$H$366,'Climate Data'!$A$7:$A$366,'Estimator'!$B$4,'Climate Data'!$B$7:$B$366,C363)</x:f>
        <x:v>9.043129770992365</x:v>
      </x:c>
      <x:c r="J363" s="381" t="n">
        <x:f>SUMIFS('Wind Proxy'!$H$8:$H$19,'Wind Proxy'!$A$8:$A$19,'Estimator'!$B$4,'Wind Proxy'!$B$8:$B$19,C363)</x:f>
        <x:v>0.12544802867383514</x:v>
      </x:c>
    </x:row>
    <x:row r="364">
      <x:c r="A364" s="379" t="n">
        <x:v>46015</x:v>
      </x:c>
      <x:c r="B364" s="380" t="n">
        <x:v>2025</x:v>
      </x:c>
      <x:c r="C364" s="380" t="n">
        <x:v>12</x:v>
      </x:c>
      <x:c r="D364" s="380" t="str">
        <x:v>Dec</x:v>
      </x:c>
      <x:c r="E364" s="380" t="n">
        <x:v>24</x:v>
      </x:c>
      <x:c r="F364" s="380" t="n">
        <x:v>3</x:v>
      </x:c>
      <x:c r="G364" s="380" t="n">
        <x:f>--(F364&lt;='Estimator'!$B$7)</x:f>
        <x:v>1</x:v>
      </x:c>
      <x:c r="H364" s="381" t="n">
        <x:f>SUMIFS('Climate Data'!$G$7:$G$366,'Climate Data'!$A$7:$A$366,'Estimator'!$B$4,'Climate Data'!$B$7:$B$366,C364)</x:f>
        <x:v>0.2914349276974416</x:v>
      </x:c>
      <x:c r="I364" s="382" t="n">
        <x:f>SUMIFS('Climate Data'!$H$7:$H$366,'Climate Data'!$A$7:$A$366,'Estimator'!$B$4,'Climate Data'!$B$7:$B$366,C364)</x:f>
        <x:v>9.043129770992365</x:v>
      </x:c>
      <x:c r="J364" s="381" t="n">
        <x:f>SUMIFS('Wind Proxy'!$H$8:$H$19,'Wind Proxy'!$A$8:$A$19,'Estimator'!$B$4,'Wind Proxy'!$B$8:$B$19,C364)</x:f>
        <x:v>0.12544802867383514</x:v>
      </x:c>
    </x:row>
    <x:row r="365">
      <x:c r="A365" s="379" t="n">
        <x:v>46016</x:v>
      </x:c>
      <x:c r="B365" s="380" t="n">
        <x:v>2025</x:v>
      </x:c>
      <x:c r="C365" s="380" t="n">
        <x:v>12</x:v>
      </x:c>
      <x:c r="D365" s="380" t="str">
        <x:v>Dec</x:v>
      </x:c>
      <x:c r="E365" s="380" t="n">
        <x:v>25</x:v>
      </x:c>
      <x:c r="F365" s="380" t="n">
        <x:v>4</x:v>
      </x:c>
      <x:c r="G365" s="380" t="n">
        <x:f>--(F365&lt;='Estimator'!$B$7)</x:f>
        <x:v>1</x:v>
      </x:c>
      <x:c r="H365" s="381" t="n">
        <x:f>SUMIFS('Climate Data'!$G$7:$G$366,'Climate Data'!$A$7:$A$366,'Estimator'!$B$4,'Climate Data'!$B$7:$B$366,C365)</x:f>
        <x:v>0.2914349276974416</x:v>
      </x:c>
      <x:c r="I365" s="382" t="n">
        <x:f>SUMIFS('Climate Data'!$H$7:$H$366,'Climate Data'!$A$7:$A$366,'Estimator'!$B$4,'Climate Data'!$B$7:$B$366,C365)</x:f>
        <x:v>9.043129770992365</x:v>
      </x:c>
      <x:c r="J365" s="381" t="n">
        <x:f>SUMIFS('Wind Proxy'!$H$8:$H$19,'Wind Proxy'!$A$8:$A$19,'Estimator'!$B$4,'Wind Proxy'!$B$8:$B$19,C365)</x:f>
        <x:v>0.12544802867383514</x:v>
      </x:c>
    </x:row>
    <x:row r="366">
      <x:c r="A366" s="379" t="n">
        <x:v>46017</x:v>
      </x:c>
      <x:c r="B366" s="380" t="n">
        <x:v>2025</x:v>
      </x:c>
      <x:c r="C366" s="380" t="n">
        <x:v>12</x:v>
      </x:c>
      <x:c r="D366" s="380" t="str">
        <x:v>Dec</x:v>
      </x:c>
      <x:c r="E366" s="380" t="n">
        <x:v>26</x:v>
      </x:c>
      <x:c r="F366" s="380" t="n">
        <x:v>5</x:v>
      </x:c>
      <x:c r="G366" s="380" t="n">
        <x:f>--(F366&lt;='Estimator'!$B$7)</x:f>
        <x:v>1</x:v>
      </x:c>
      <x:c r="H366" s="381" t="n">
        <x:f>SUMIFS('Climate Data'!$G$7:$G$366,'Climate Data'!$A$7:$A$366,'Estimator'!$B$4,'Climate Data'!$B$7:$B$366,C366)</x:f>
        <x:v>0.2914349276974416</x:v>
      </x:c>
      <x:c r="I366" s="382" t="n">
        <x:f>SUMIFS('Climate Data'!$H$7:$H$366,'Climate Data'!$A$7:$A$366,'Estimator'!$B$4,'Climate Data'!$B$7:$B$366,C366)</x:f>
        <x:v>9.043129770992365</x:v>
      </x:c>
      <x:c r="J366" s="381" t="n">
        <x:f>SUMIFS('Wind Proxy'!$H$8:$H$19,'Wind Proxy'!$A$8:$A$19,'Estimator'!$B$4,'Wind Proxy'!$B$8:$B$19,C366)</x:f>
        <x:v>0.12544802867383514</x:v>
      </x:c>
    </x:row>
    <x:row r="367">
      <x:c r="A367" s="379" t="n">
        <x:v>46018</x:v>
      </x:c>
      <x:c r="B367" s="380" t="n">
        <x:v>2025</x:v>
      </x:c>
      <x:c r="C367" s="380" t="n">
        <x:v>12</x:v>
      </x:c>
      <x:c r="D367" s="380" t="str">
        <x:v>Dec</x:v>
      </x:c>
      <x:c r="E367" s="380" t="n">
        <x:v>27</x:v>
      </x:c>
      <x:c r="F367" s="380" t="n">
        <x:v>6</x:v>
      </x:c>
      <x:c r="G367" s="380" t="n">
        <x:f>--(F367&lt;='Estimator'!$B$7)</x:f>
        <x:v>0</x:v>
      </x:c>
      <x:c r="H367" s="381" t="n">
        <x:f>SUMIFS('Climate Data'!$G$7:$G$366,'Climate Data'!$A$7:$A$366,'Estimator'!$B$4,'Climate Data'!$B$7:$B$366,C367)</x:f>
        <x:v>0.2914349276974416</x:v>
      </x:c>
      <x:c r="I367" s="382" t="n">
        <x:f>SUMIFS('Climate Data'!$H$7:$H$366,'Climate Data'!$A$7:$A$366,'Estimator'!$B$4,'Climate Data'!$B$7:$B$366,C367)</x:f>
        <x:v>9.043129770992365</x:v>
      </x:c>
      <x:c r="J367" s="381" t="n">
        <x:f>SUMIFS('Wind Proxy'!$H$8:$H$19,'Wind Proxy'!$A$8:$A$19,'Estimator'!$B$4,'Wind Proxy'!$B$8:$B$19,C367)</x:f>
        <x:v>0.12544802867383514</x:v>
      </x:c>
    </x:row>
    <x:row r="368">
      <x:c r="A368" s="379" t="n">
        <x:v>46019</x:v>
      </x:c>
      <x:c r="B368" s="380" t="n">
        <x:v>2025</x:v>
      </x:c>
      <x:c r="C368" s="380" t="n">
        <x:v>12</x:v>
      </x:c>
      <x:c r="D368" s="380" t="str">
        <x:v>Dec</x:v>
      </x:c>
      <x:c r="E368" s="380" t="n">
        <x:v>28</x:v>
      </x:c>
      <x:c r="F368" s="380" t="n">
        <x:v>7</x:v>
      </x:c>
      <x:c r="G368" s="380" t="n">
        <x:f>--(F368&lt;='Estimator'!$B$7)</x:f>
        <x:v>0</x:v>
      </x:c>
      <x:c r="H368" s="381" t="n">
        <x:f>SUMIFS('Climate Data'!$G$7:$G$366,'Climate Data'!$A$7:$A$366,'Estimator'!$B$4,'Climate Data'!$B$7:$B$366,C368)</x:f>
        <x:v>0.2914349276974416</x:v>
      </x:c>
      <x:c r="I368" s="382" t="n">
        <x:f>SUMIFS('Climate Data'!$H$7:$H$366,'Climate Data'!$A$7:$A$366,'Estimator'!$B$4,'Climate Data'!$B$7:$B$366,C368)</x:f>
        <x:v>9.043129770992365</x:v>
      </x:c>
      <x:c r="J368" s="381" t="n">
        <x:f>SUMIFS('Wind Proxy'!$H$8:$H$19,'Wind Proxy'!$A$8:$A$19,'Estimator'!$B$4,'Wind Proxy'!$B$8:$B$19,C368)</x:f>
        <x:v>0.12544802867383514</x:v>
      </x:c>
    </x:row>
    <x:row r="369">
      <x:c r="A369" s="379" t="n">
        <x:v>46020</x:v>
      </x:c>
      <x:c r="B369" s="380" t="n">
        <x:v>2025</x:v>
      </x:c>
      <x:c r="C369" s="380" t="n">
        <x:v>12</x:v>
      </x:c>
      <x:c r="D369" s="380" t="str">
        <x:v>Dec</x:v>
      </x:c>
      <x:c r="E369" s="380" t="n">
        <x:v>29</x:v>
      </x:c>
      <x:c r="F369" s="380" t="n">
        <x:v>1</x:v>
      </x:c>
      <x:c r="G369" s="380" t="n">
        <x:f>--(F369&lt;='Estimator'!$B$7)</x:f>
        <x:v>1</x:v>
      </x:c>
      <x:c r="H369" s="381" t="n">
        <x:f>SUMIFS('Climate Data'!$G$7:$G$366,'Climate Data'!$A$7:$A$366,'Estimator'!$B$4,'Climate Data'!$B$7:$B$366,C369)</x:f>
        <x:v>0.2914349276974416</x:v>
      </x:c>
      <x:c r="I369" s="382" t="n">
        <x:f>SUMIFS('Climate Data'!$H$7:$H$366,'Climate Data'!$A$7:$A$366,'Estimator'!$B$4,'Climate Data'!$B$7:$B$366,C369)</x:f>
        <x:v>9.043129770992365</x:v>
      </x:c>
      <x:c r="J369" s="381" t="n">
        <x:f>SUMIFS('Wind Proxy'!$H$8:$H$19,'Wind Proxy'!$A$8:$A$19,'Estimator'!$B$4,'Wind Proxy'!$B$8:$B$19,C369)</x:f>
        <x:v>0.12544802867383514</x:v>
      </x:c>
    </x:row>
    <x:row r="370">
      <x:c r="A370" s="379" t="n">
        <x:v>46021</x:v>
      </x:c>
      <x:c r="B370" s="380" t="n">
        <x:v>2025</x:v>
      </x:c>
      <x:c r="C370" s="380" t="n">
        <x:v>12</x:v>
      </x:c>
      <x:c r="D370" s="380" t="str">
        <x:v>Dec</x:v>
      </x:c>
      <x:c r="E370" s="380" t="n">
        <x:v>30</x:v>
      </x:c>
      <x:c r="F370" s="380" t="n">
        <x:v>2</x:v>
      </x:c>
      <x:c r="G370" s="380" t="n">
        <x:f>--(F370&lt;='Estimator'!$B$7)</x:f>
        <x:v>1</x:v>
      </x:c>
      <x:c r="H370" s="381" t="n">
        <x:f>SUMIFS('Climate Data'!$G$7:$G$366,'Climate Data'!$A$7:$A$366,'Estimator'!$B$4,'Climate Data'!$B$7:$B$366,C370)</x:f>
        <x:v>0.2914349276974416</x:v>
      </x:c>
      <x:c r="I370" s="382" t="n">
        <x:f>SUMIFS('Climate Data'!$H$7:$H$366,'Climate Data'!$A$7:$A$366,'Estimator'!$B$4,'Climate Data'!$B$7:$B$366,C370)</x:f>
        <x:v>9.043129770992365</x:v>
      </x:c>
      <x:c r="J370" s="381" t="n">
        <x:f>SUMIFS('Wind Proxy'!$H$8:$H$19,'Wind Proxy'!$A$8:$A$19,'Estimator'!$B$4,'Wind Proxy'!$B$8:$B$19,C370)</x:f>
        <x:v>0.12544802867383514</x:v>
      </x:c>
    </x:row>
    <x:row r="371">
      <x:c r="A371" s="379" t="n">
        <x:v>46022</x:v>
      </x:c>
      <x:c r="B371" s="380" t="n">
        <x:v>2025</x:v>
      </x:c>
      <x:c r="C371" s="380" t="n">
        <x:v>12</x:v>
      </x:c>
      <x:c r="D371" s="380" t="str">
        <x:v>Dec</x:v>
      </x:c>
      <x:c r="E371" s="380" t="n">
        <x:v>31</x:v>
      </x:c>
      <x:c r="F371" s="380" t="n">
        <x:v>3</x:v>
      </x:c>
      <x:c r="G371" s="380" t="n">
        <x:f>--(F371&lt;='Estimator'!$B$7)</x:f>
        <x:v>1</x:v>
      </x:c>
      <x:c r="H371" s="381" t="n">
        <x:f>SUMIFS('Climate Data'!$G$7:$G$366,'Climate Data'!$A$7:$A$366,'Estimator'!$B$4,'Climate Data'!$B$7:$B$366,C371)</x:f>
        <x:v>0.2914349276974416</x:v>
      </x:c>
      <x:c r="I371" s="382" t="n">
        <x:f>SUMIFS('Climate Data'!$H$7:$H$366,'Climate Data'!$A$7:$A$366,'Estimator'!$B$4,'Climate Data'!$B$7:$B$366,C371)</x:f>
        <x:v>9.043129770992365</x:v>
      </x:c>
      <x:c r="J371" s="381" t="n">
        <x:f>SUMIFS('Wind Proxy'!$H$8:$H$19,'Wind Proxy'!$A$8:$A$19,'Estimator'!$B$4,'Wind Proxy'!$B$8:$B$19,C371)</x:f>
        <x:v>0.12544802867383514</x:v>
      </x:c>
    </x:row>
    <x:row r="372">
      <x:c r="A372" s="379" t="n">
        <x:v>46023</x:v>
      </x:c>
      <x:c r="B372" s="380" t="n">
        <x:v>2026</x:v>
      </x:c>
      <x:c r="C372" s="380" t="n">
        <x:v>1</x:v>
      </x:c>
      <x:c r="D372" s="380" t="str">
        <x:v>Jan</x:v>
      </x:c>
      <x:c r="E372" s="380" t="n">
        <x:v>1</x:v>
      </x:c>
      <x:c r="F372" s="380" t="n">
        <x:v>4</x:v>
      </x:c>
      <x:c r="G372" s="380" t="n">
        <x:f>--(F372&lt;='Estimator'!$B$7)</x:f>
        <x:v>1</x:v>
      </x:c>
      <x:c r="H372" s="381" t="n">
        <x:f>SUMIFS('Climate Data'!$G$7:$G$366,'Climate Data'!$A$7:$A$366,'Estimator'!$B$4,'Climate Data'!$B$7:$B$366,C372)</x:f>
        <x:v>0.21802002224694106</x:v>
      </x:c>
      <x:c r="I372" s="382" t="n">
        <x:f>SUMIFS('Climate Data'!$H$7:$H$366,'Climate Data'!$A$7:$A$366,'Estimator'!$B$4,'Climate Data'!$B$7:$B$366,C372)</x:f>
        <x:v>8.596428571428572</x:v>
      </x:c>
      <x:c r="J372" s="381" t="n">
        <x:f>SUMIFS('Wind Proxy'!$H$8:$H$19,'Wind Proxy'!$A$8:$A$19,'Estimator'!$B$4,'Wind Proxy'!$B$8:$B$19,C372)</x:f>
        <x:v>0.12544802867383514</x:v>
      </x:c>
    </x:row>
    <x:row r="373">
      <x:c r="A373" s="379" t="n">
        <x:v>46024</x:v>
      </x:c>
      <x:c r="B373" s="380" t="n">
        <x:v>2026</x:v>
      </x:c>
      <x:c r="C373" s="380" t="n">
        <x:v>1</x:v>
      </x:c>
      <x:c r="D373" s="380" t="str">
        <x:v>Jan</x:v>
      </x:c>
      <x:c r="E373" s="380" t="n">
        <x:v>2</x:v>
      </x:c>
      <x:c r="F373" s="380" t="n">
        <x:v>5</x:v>
      </x:c>
      <x:c r="G373" s="380" t="n">
        <x:f>--(F373&lt;='Estimator'!$B$7)</x:f>
        <x:v>1</x:v>
      </x:c>
      <x:c r="H373" s="381" t="n">
        <x:f>SUMIFS('Climate Data'!$G$7:$G$366,'Climate Data'!$A$7:$A$366,'Estimator'!$B$4,'Climate Data'!$B$7:$B$366,C373)</x:f>
        <x:v>0.21802002224694106</x:v>
      </x:c>
      <x:c r="I373" s="382" t="n">
        <x:f>SUMIFS('Climate Data'!$H$7:$H$366,'Climate Data'!$A$7:$A$366,'Estimator'!$B$4,'Climate Data'!$B$7:$B$366,C373)</x:f>
        <x:v>8.596428571428572</x:v>
      </x:c>
      <x:c r="J373" s="381" t="n">
        <x:f>SUMIFS('Wind Proxy'!$H$8:$H$19,'Wind Proxy'!$A$8:$A$19,'Estimator'!$B$4,'Wind Proxy'!$B$8:$B$19,C373)</x:f>
        <x:v>0.12544802867383514</x:v>
      </x:c>
    </x:row>
    <x:row r="374">
      <x:c r="A374" s="379" t="n">
        <x:v>46025</x:v>
      </x:c>
      <x:c r="B374" s="380" t="n">
        <x:v>2026</x:v>
      </x:c>
      <x:c r="C374" s="380" t="n">
        <x:v>1</x:v>
      </x:c>
      <x:c r="D374" s="380" t="str">
        <x:v>Jan</x:v>
      </x:c>
      <x:c r="E374" s="380" t="n">
        <x:v>3</x:v>
      </x:c>
      <x:c r="F374" s="380" t="n">
        <x:v>6</x:v>
      </x:c>
      <x:c r="G374" s="380" t="n">
        <x:f>--(F374&lt;='Estimator'!$B$7)</x:f>
        <x:v>0</x:v>
      </x:c>
      <x:c r="H374" s="381" t="n">
        <x:f>SUMIFS('Climate Data'!$G$7:$G$366,'Climate Data'!$A$7:$A$366,'Estimator'!$B$4,'Climate Data'!$B$7:$B$366,C374)</x:f>
        <x:v>0.21802002224694106</x:v>
      </x:c>
      <x:c r="I374" s="382" t="n">
        <x:f>SUMIFS('Climate Data'!$H$7:$H$366,'Climate Data'!$A$7:$A$366,'Estimator'!$B$4,'Climate Data'!$B$7:$B$366,C374)</x:f>
        <x:v>8.596428571428572</x:v>
      </x:c>
      <x:c r="J374" s="381" t="n">
        <x:f>SUMIFS('Wind Proxy'!$H$8:$H$19,'Wind Proxy'!$A$8:$A$19,'Estimator'!$B$4,'Wind Proxy'!$B$8:$B$19,C374)</x:f>
        <x:v>0.12544802867383514</x:v>
      </x:c>
    </x:row>
    <x:row r="375">
      <x:c r="A375" s="379" t="n">
        <x:v>46026</x:v>
      </x:c>
      <x:c r="B375" s="380" t="n">
        <x:v>2026</x:v>
      </x:c>
      <x:c r="C375" s="380" t="n">
        <x:v>1</x:v>
      </x:c>
      <x:c r="D375" s="380" t="str">
        <x:v>Jan</x:v>
      </x:c>
      <x:c r="E375" s="380" t="n">
        <x:v>4</x:v>
      </x:c>
      <x:c r="F375" s="380" t="n">
        <x:v>7</x:v>
      </x:c>
      <x:c r="G375" s="380" t="n">
        <x:f>--(F375&lt;='Estimator'!$B$7)</x:f>
        <x:v>0</x:v>
      </x:c>
      <x:c r="H375" s="381" t="n">
        <x:f>SUMIFS('Climate Data'!$G$7:$G$366,'Climate Data'!$A$7:$A$366,'Estimator'!$B$4,'Climate Data'!$B$7:$B$366,C375)</x:f>
        <x:v>0.21802002224694106</x:v>
      </x:c>
      <x:c r="I375" s="382" t="n">
        <x:f>SUMIFS('Climate Data'!$H$7:$H$366,'Climate Data'!$A$7:$A$366,'Estimator'!$B$4,'Climate Data'!$B$7:$B$366,C375)</x:f>
        <x:v>8.596428571428572</x:v>
      </x:c>
      <x:c r="J375" s="381" t="n">
        <x:f>SUMIFS('Wind Proxy'!$H$8:$H$19,'Wind Proxy'!$A$8:$A$19,'Estimator'!$B$4,'Wind Proxy'!$B$8:$B$19,C375)</x:f>
        <x:v>0.12544802867383514</x:v>
      </x:c>
    </x:row>
    <x:row r="376">
      <x:c r="A376" s="379" t="n">
        <x:v>46027</x:v>
      </x:c>
      <x:c r="B376" s="380" t="n">
        <x:v>2026</x:v>
      </x:c>
      <x:c r="C376" s="380" t="n">
        <x:v>1</x:v>
      </x:c>
      <x:c r="D376" s="380" t="str">
        <x:v>Jan</x:v>
      </x:c>
      <x:c r="E376" s="380" t="n">
        <x:v>5</x:v>
      </x:c>
      <x:c r="F376" s="380" t="n">
        <x:v>1</x:v>
      </x:c>
      <x:c r="G376" s="380" t="n">
        <x:f>--(F376&lt;='Estimator'!$B$7)</x:f>
        <x:v>1</x:v>
      </x:c>
      <x:c r="H376" s="381" t="n">
        <x:f>SUMIFS('Climate Data'!$G$7:$G$366,'Climate Data'!$A$7:$A$366,'Estimator'!$B$4,'Climate Data'!$B$7:$B$366,C376)</x:f>
        <x:v>0.21802002224694106</x:v>
      </x:c>
      <x:c r="I376" s="382" t="n">
        <x:f>SUMIFS('Climate Data'!$H$7:$H$366,'Climate Data'!$A$7:$A$366,'Estimator'!$B$4,'Climate Data'!$B$7:$B$366,C376)</x:f>
        <x:v>8.596428571428572</x:v>
      </x:c>
      <x:c r="J376" s="381" t="n">
        <x:f>SUMIFS('Wind Proxy'!$H$8:$H$19,'Wind Proxy'!$A$8:$A$19,'Estimator'!$B$4,'Wind Proxy'!$B$8:$B$19,C376)</x:f>
        <x:v>0.12544802867383514</x:v>
      </x:c>
    </x:row>
    <x:row r="377">
      <x:c r="A377" s="379" t="n">
        <x:v>46028</x:v>
      </x:c>
      <x:c r="B377" s="380" t="n">
        <x:v>2026</x:v>
      </x:c>
      <x:c r="C377" s="380" t="n">
        <x:v>1</x:v>
      </x:c>
      <x:c r="D377" s="380" t="str">
        <x:v>Jan</x:v>
      </x:c>
      <x:c r="E377" s="380" t="n">
        <x:v>6</x:v>
      </x:c>
      <x:c r="F377" s="380" t="n">
        <x:v>2</x:v>
      </x:c>
      <x:c r="G377" s="380" t="n">
        <x:f>--(F377&lt;='Estimator'!$B$7)</x:f>
        <x:v>1</x:v>
      </x:c>
      <x:c r="H377" s="381" t="n">
        <x:f>SUMIFS('Climate Data'!$G$7:$G$366,'Climate Data'!$A$7:$A$366,'Estimator'!$B$4,'Climate Data'!$B$7:$B$366,C377)</x:f>
        <x:v>0.21802002224694106</x:v>
      </x:c>
      <x:c r="I377" s="382" t="n">
        <x:f>SUMIFS('Climate Data'!$H$7:$H$366,'Climate Data'!$A$7:$A$366,'Estimator'!$B$4,'Climate Data'!$B$7:$B$366,C377)</x:f>
        <x:v>8.596428571428572</x:v>
      </x:c>
      <x:c r="J377" s="381" t="n">
        <x:f>SUMIFS('Wind Proxy'!$H$8:$H$19,'Wind Proxy'!$A$8:$A$19,'Estimator'!$B$4,'Wind Proxy'!$B$8:$B$19,C377)</x:f>
        <x:v>0.12544802867383514</x:v>
      </x:c>
    </x:row>
    <x:row r="378">
      <x:c r="A378" s="379" t="n">
        <x:v>46029</x:v>
      </x:c>
      <x:c r="B378" s="380" t="n">
        <x:v>2026</x:v>
      </x:c>
      <x:c r="C378" s="380" t="n">
        <x:v>1</x:v>
      </x:c>
      <x:c r="D378" s="380" t="str">
        <x:v>Jan</x:v>
      </x:c>
      <x:c r="E378" s="380" t="n">
        <x:v>7</x:v>
      </x:c>
      <x:c r="F378" s="380" t="n">
        <x:v>3</x:v>
      </x:c>
      <x:c r="G378" s="380" t="n">
        <x:f>--(F378&lt;='Estimator'!$B$7)</x:f>
        <x:v>1</x:v>
      </x:c>
      <x:c r="H378" s="381" t="n">
        <x:f>SUMIFS('Climate Data'!$G$7:$G$366,'Climate Data'!$A$7:$A$366,'Estimator'!$B$4,'Climate Data'!$B$7:$B$366,C378)</x:f>
        <x:v>0.21802002224694106</x:v>
      </x:c>
      <x:c r="I378" s="382" t="n">
        <x:f>SUMIFS('Climate Data'!$H$7:$H$366,'Climate Data'!$A$7:$A$366,'Estimator'!$B$4,'Climate Data'!$B$7:$B$366,C378)</x:f>
        <x:v>8.596428571428572</x:v>
      </x:c>
      <x:c r="J378" s="381" t="n">
        <x:f>SUMIFS('Wind Proxy'!$H$8:$H$19,'Wind Proxy'!$A$8:$A$19,'Estimator'!$B$4,'Wind Proxy'!$B$8:$B$19,C378)</x:f>
        <x:v>0.12544802867383514</x:v>
      </x:c>
    </x:row>
    <x:row r="379">
      <x:c r="A379" s="379" t="n">
        <x:v>46030</x:v>
      </x:c>
      <x:c r="B379" s="380" t="n">
        <x:v>2026</x:v>
      </x:c>
      <x:c r="C379" s="380" t="n">
        <x:v>1</x:v>
      </x:c>
      <x:c r="D379" s="380" t="str">
        <x:v>Jan</x:v>
      </x:c>
      <x:c r="E379" s="380" t="n">
        <x:v>8</x:v>
      </x:c>
      <x:c r="F379" s="380" t="n">
        <x:v>4</x:v>
      </x:c>
      <x:c r="G379" s="380" t="n">
        <x:f>--(F379&lt;='Estimator'!$B$7)</x:f>
        <x:v>1</x:v>
      </x:c>
      <x:c r="H379" s="381" t="n">
        <x:f>SUMIFS('Climate Data'!$G$7:$G$366,'Climate Data'!$A$7:$A$366,'Estimator'!$B$4,'Climate Data'!$B$7:$B$366,C379)</x:f>
        <x:v>0.21802002224694106</x:v>
      </x:c>
      <x:c r="I379" s="382" t="n">
        <x:f>SUMIFS('Climate Data'!$H$7:$H$366,'Climate Data'!$A$7:$A$366,'Estimator'!$B$4,'Climate Data'!$B$7:$B$366,C379)</x:f>
        <x:v>8.596428571428572</x:v>
      </x:c>
      <x:c r="J379" s="381" t="n">
        <x:f>SUMIFS('Wind Proxy'!$H$8:$H$19,'Wind Proxy'!$A$8:$A$19,'Estimator'!$B$4,'Wind Proxy'!$B$8:$B$19,C379)</x:f>
        <x:v>0.12544802867383514</x:v>
      </x:c>
    </x:row>
    <x:row r="380">
      <x:c r="A380" s="379" t="n">
        <x:v>46031</x:v>
      </x:c>
      <x:c r="B380" s="380" t="n">
        <x:v>2026</x:v>
      </x:c>
      <x:c r="C380" s="380" t="n">
        <x:v>1</x:v>
      </x:c>
      <x:c r="D380" s="380" t="str">
        <x:v>Jan</x:v>
      </x:c>
      <x:c r="E380" s="380" t="n">
        <x:v>9</x:v>
      </x:c>
      <x:c r="F380" s="380" t="n">
        <x:v>5</x:v>
      </x:c>
      <x:c r="G380" s="380" t="n">
        <x:f>--(F380&lt;='Estimator'!$B$7)</x:f>
        <x:v>1</x:v>
      </x:c>
      <x:c r="H380" s="381" t="n">
        <x:f>SUMIFS('Climate Data'!$G$7:$G$366,'Climate Data'!$A$7:$A$366,'Estimator'!$B$4,'Climate Data'!$B$7:$B$366,C380)</x:f>
        <x:v>0.21802002224694106</x:v>
      </x:c>
      <x:c r="I380" s="382" t="n">
        <x:f>SUMIFS('Climate Data'!$H$7:$H$366,'Climate Data'!$A$7:$A$366,'Estimator'!$B$4,'Climate Data'!$B$7:$B$366,C380)</x:f>
        <x:v>8.596428571428572</x:v>
      </x:c>
      <x:c r="J380" s="381" t="n">
        <x:f>SUMIFS('Wind Proxy'!$H$8:$H$19,'Wind Proxy'!$A$8:$A$19,'Estimator'!$B$4,'Wind Proxy'!$B$8:$B$19,C380)</x:f>
        <x:v>0.12544802867383514</x:v>
      </x:c>
    </x:row>
    <x:row r="381">
      <x:c r="A381" s="379" t="n">
        <x:v>46032</x:v>
      </x:c>
      <x:c r="B381" s="380" t="n">
        <x:v>2026</x:v>
      </x:c>
      <x:c r="C381" s="380" t="n">
        <x:v>1</x:v>
      </x:c>
      <x:c r="D381" s="380" t="str">
        <x:v>Jan</x:v>
      </x:c>
      <x:c r="E381" s="380" t="n">
        <x:v>10</x:v>
      </x:c>
      <x:c r="F381" s="380" t="n">
        <x:v>6</x:v>
      </x:c>
      <x:c r="G381" s="380" t="n">
        <x:f>--(F381&lt;='Estimator'!$B$7)</x:f>
        <x:v>0</x:v>
      </x:c>
      <x:c r="H381" s="381" t="n">
        <x:f>SUMIFS('Climate Data'!$G$7:$G$366,'Climate Data'!$A$7:$A$366,'Estimator'!$B$4,'Climate Data'!$B$7:$B$366,C381)</x:f>
        <x:v>0.21802002224694106</x:v>
      </x:c>
      <x:c r="I381" s="382" t="n">
        <x:f>SUMIFS('Climate Data'!$H$7:$H$366,'Climate Data'!$A$7:$A$366,'Estimator'!$B$4,'Climate Data'!$B$7:$B$366,C381)</x:f>
        <x:v>8.596428571428572</x:v>
      </x:c>
      <x:c r="J381" s="381" t="n">
        <x:f>SUMIFS('Wind Proxy'!$H$8:$H$19,'Wind Proxy'!$A$8:$A$19,'Estimator'!$B$4,'Wind Proxy'!$B$8:$B$19,C381)</x:f>
        <x:v>0.12544802867383514</x:v>
      </x:c>
    </x:row>
    <x:row r="382">
      <x:c r="A382" s="379" t="n">
        <x:v>46033</x:v>
      </x:c>
      <x:c r="B382" s="380" t="n">
        <x:v>2026</x:v>
      </x:c>
      <x:c r="C382" s="380" t="n">
        <x:v>1</x:v>
      </x:c>
      <x:c r="D382" s="380" t="str">
        <x:v>Jan</x:v>
      </x:c>
      <x:c r="E382" s="380" t="n">
        <x:v>11</x:v>
      </x:c>
      <x:c r="F382" s="380" t="n">
        <x:v>7</x:v>
      </x:c>
      <x:c r="G382" s="380" t="n">
        <x:f>--(F382&lt;='Estimator'!$B$7)</x:f>
        <x:v>0</x:v>
      </x:c>
      <x:c r="H382" s="381" t="n">
        <x:f>SUMIFS('Climate Data'!$G$7:$G$366,'Climate Data'!$A$7:$A$366,'Estimator'!$B$4,'Climate Data'!$B$7:$B$366,C382)</x:f>
        <x:v>0.21802002224694106</x:v>
      </x:c>
      <x:c r="I382" s="382" t="n">
        <x:f>SUMIFS('Climate Data'!$H$7:$H$366,'Climate Data'!$A$7:$A$366,'Estimator'!$B$4,'Climate Data'!$B$7:$B$366,C382)</x:f>
        <x:v>8.596428571428572</x:v>
      </x:c>
      <x:c r="J382" s="381" t="n">
        <x:f>SUMIFS('Wind Proxy'!$H$8:$H$19,'Wind Proxy'!$A$8:$A$19,'Estimator'!$B$4,'Wind Proxy'!$B$8:$B$19,C382)</x:f>
        <x:v>0.12544802867383514</x:v>
      </x:c>
    </x:row>
    <x:row r="383">
      <x:c r="A383" s="379" t="n">
        <x:v>46034</x:v>
      </x:c>
      <x:c r="B383" s="380" t="n">
        <x:v>2026</x:v>
      </x:c>
      <x:c r="C383" s="380" t="n">
        <x:v>1</x:v>
      </x:c>
      <x:c r="D383" s="380" t="str">
        <x:v>Jan</x:v>
      </x:c>
      <x:c r="E383" s="380" t="n">
        <x:v>12</x:v>
      </x:c>
      <x:c r="F383" s="380" t="n">
        <x:v>1</x:v>
      </x:c>
      <x:c r="G383" s="380" t="n">
        <x:f>--(F383&lt;='Estimator'!$B$7)</x:f>
        <x:v>1</x:v>
      </x:c>
      <x:c r="H383" s="381" t="n">
        <x:f>SUMIFS('Climate Data'!$G$7:$G$366,'Climate Data'!$A$7:$A$366,'Estimator'!$B$4,'Climate Data'!$B$7:$B$366,C383)</x:f>
        <x:v>0.21802002224694106</x:v>
      </x:c>
      <x:c r="I383" s="382" t="n">
        <x:f>SUMIFS('Climate Data'!$H$7:$H$366,'Climate Data'!$A$7:$A$366,'Estimator'!$B$4,'Climate Data'!$B$7:$B$366,C383)</x:f>
        <x:v>8.596428571428572</x:v>
      </x:c>
      <x:c r="J383" s="381" t="n">
        <x:f>SUMIFS('Wind Proxy'!$H$8:$H$19,'Wind Proxy'!$A$8:$A$19,'Estimator'!$B$4,'Wind Proxy'!$B$8:$B$19,C383)</x:f>
        <x:v>0.12544802867383514</x:v>
      </x:c>
    </x:row>
    <x:row r="384">
      <x:c r="A384" s="379" t="n">
        <x:v>46035</x:v>
      </x:c>
      <x:c r="B384" s="380" t="n">
        <x:v>2026</x:v>
      </x:c>
      <x:c r="C384" s="380" t="n">
        <x:v>1</x:v>
      </x:c>
      <x:c r="D384" s="380" t="str">
        <x:v>Jan</x:v>
      </x:c>
      <x:c r="E384" s="380" t="n">
        <x:v>13</x:v>
      </x:c>
      <x:c r="F384" s="380" t="n">
        <x:v>2</x:v>
      </x:c>
      <x:c r="G384" s="380" t="n">
        <x:f>--(F384&lt;='Estimator'!$B$7)</x:f>
        <x:v>1</x:v>
      </x:c>
      <x:c r="H384" s="381" t="n">
        <x:f>SUMIFS('Climate Data'!$G$7:$G$366,'Climate Data'!$A$7:$A$366,'Estimator'!$B$4,'Climate Data'!$B$7:$B$366,C384)</x:f>
        <x:v>0.21802002224694106</x:v>
      </x:c>
      <x:c r="I384" s="382" t="n">
        <x:f>SUMIFS('Climate Data'!$H$7:$H$366,'Climate Data'!$A$7:$A$366,'Estimator'!$B$4,'Climate Data'!$B$7:$B$366,C384)</x:f>
        <x:v>8.596428571428572</x:v>
      </x:c>
      <x:c r="J384" s="381" t="n">
        <x:f>SUMIFS('Wind Proxy'!$H$8:$H$19,'Wind Proxy'!$A$8:$A$19,'Estimator'!$B$4,'Wind Proxy'!$B$8:$B$19,C384)</x:f>
        <x:v>0.12544802867383514</x:v>
      </x:c>
    </x:row>
    <x:row r="385">
      <x:c r="A385" s="379" t="n">
        <x:v>46036</x:v>
      </x:c>
      <x:c r="B385" s="380" t="n">
        <x:v>2026</x:v>
      </x:c>
      <x:c r="C385" s="380" t="n">
        <x:v>1</x:v>
      </x:c>
      <x:c r="D385" s="380" t="str">
        <x:v>Jan</x:v>
      </x:c>
      <x:c r="E385" s="380" t="n">
        <x:v>14</x:v>
      </x:c>
      <x:c r="F385" s="380" t="n">
        <x:v>3</x:v>
      </x:c>
      <x:c r="G385" s="380" t="n">
        <x:f>--(F385&lt;='Estimator'!$B$7)</x:f>
        <x:v>1</x:v>
      </x:c>
      <x:c r="H385" s="381" t="n">
        <x:f>SUMIFS('Climate Data'!$G$7:$G$366,'Climate Data'!$A$7:$A$366,'Estimator'!$B$4,'Climate Data'!$B$7:$B$366,C385)</x:f>
        <x:v>0.21802002224694106</x:v>
      </x:c>
      <x:c r="I385" s="382" t="n">
        <x:f>SUMIFS('Climate Data'!$H$7:$H$366,'Climate Data'!$A$7:$A$366,'Estimator'!$B$4,'Climate Data'!$B$7:$B$366,C385)</x:f>
        <x:v>8.596428571428572</x:v>
      </x:c>
      <x:c r="J385" s="381" t="n">
        <x:f>SUMIFS('Wind Proxy'!$H$8:$H$19,'Wind Proxy'!$A$8:$A$19,'Estimator'!$B$4,'Wind Proxy'!$B$8:$B$19,C385)</x:f>
        <x:v>0.12544802867383514</x:v>
      </x:c>
    </x:row>
    <x:row r="386">
      <x:c r="A386" s="379" t="n">
        <x:v>46037</x:v>
      </x:c>
      <x:c r="B386" s="380" t="n">
        <x:v>2026</x:v>
      </x:c>
      <x:c r="C386" s="380" t="n">
        <x:v>1</x:v>
      </x:c>
      <x:c r="D386" s="380" t="str">
        <x:v>Jan</x:v>
      </x:c>
      <x:c r="E386" s="380" t="n">
        <x:v>15</x:v>
      </x:c>
      <x:c r="F386" s="380" t="n">
        <x:v>4</x:v>
      </x:c>
      <x:c r="G386" s="380" t="n">
        <x:f>--(F386&lt;='Estimator'!$B$7)</x:f>
        <x:v>1</x:v>
      </x:c>
      <x:c r="H386" s="381" t="n">
        <x:f>SUMIFS('Climate Data'!$G$7:$G$366,'Climate Data'!$A$7:$A$366,'Estimator'!$B$4,'Climate Data'!$B$7:$B$366,C386)</x:f>
        <x:v>0.21802002224694106</x:v>
      </x:c>
      <x:c r="I386" s="382" t="n">
        <x:f>SUMIFS('Climate Data'!$H$7:$H$366,'Climate Data'!$A$7:$A$366,'Estimator'!$B$4,'Climate Data'!$B$7:$B$366,C386)</x:f>
        <x:v>8.596428571428572</x:v>
      </x:c>
      <x:c r="J386" s="381" t="n">
        <x:f>SUMIFS('Wind Proxy'!$H$8:$H$19,'Wind Proxy'!$A$8:$A$19,'Estimator'!$B$4,'Wind Proxy'!$B$8:$B$19,C386)</x:f>
        <x:v>0.12544802867383514</x:v>
      </x:c>
    </x:row>
    <x:row r="387">
      <x:c r="A387" s="379" t="n">
        <x:v>46038</x:v>
      </x:c>
      <x:c r="B387" s="380" t="n">
        <x:v>2026</x:v>
      </x:c>
      <x:c r="C387" s="380" t="n">
        <x:v>1</x:v>
      </x:c>
      <x:c r="D387" s="380" t="str">
        <x:v>Jan</x:v>
      </x:c>
      <x:c r="E387" s="380" t="n">
        <x:v>16</x:v>
      </x:c>
      <x:c r="F387" s="380" t="n">
        <x:v>5</x:v>
      </x:c>
      <x:c r="G387" s="380" t="n">
        <x:f>--(F387&lt;='Estimator'!$B$7)</x:f>
        <x:v>1</x:v>
      </x:c>
      <x:c r="H387" s="381" t="n">
        <x:f>SUMIFS('Climate Data'!$G$7:$G$366,'Climate Data'!$A$7:$A$366,'Estimator'!$B$4,'Climate Data'!$B$7:$B$366,C387)</x:f>
        <x:v>0.21802002224694106</x:v>
      </x:c>
      <x:c r="I387" s="382" t="n">
        <x:f>SUMIFS('Climate Data'!$H$7:$H$366,'Climate Data'!$A$7:$A$366,'Estimator'!$B$4,'Climate Data'!$B$7:$B$366,C387)</x:f>
        <x:v>8.596428571428572</x:v>
      </x:c>
      <x:c r="J387" s="381" t="n">
        <x:f>SUMIFS('Wind Proxy'!$H$8:$H$19,'Wind Proxy'!$A$8:$A$19,'Estimator'!$B$4,'Wind Proxy'!$B$8:$B$19,C387)</x:f>
        <x:v>0.12544802867383514</x:v>
      </x:c>
    </x:row>
    <x:row r="388">
      <x:c r="A388" s="379" t="n">
        <x:v>46039</x:v>
      </x:c>
      <x:c r="B388" s="380" t="n">
        <x:v>2026</x:v>
      </x:c>
      <x:c r="C388" s="380" t="n">
        <x:v>1</x:v>
      </x:c>
      <x:c r="D388" s="380" t="str">
        <x:v>Jan</x:v>
      </x:c>
      <x:c r="E388" s="380" t="n">
        <x:v>17</x:v>
      </x:c>
      <x:c r="F388" s="380" t="n">
        <x:v>6</x:v>
      </x:c>
      <x:c r="G388" s="380" t="n">
        <x:f>--(F388&lt;='Estimator'!$B$7)</x:f>
        <x:v>0</x:v>
      </x:c>
      <x:c r="H388" s="381" t="n">
        <x:f>SUMIFS('Climate Data'!$G$7:$G$366,'Climate Data'!$A$7:$A$366,'Estimator'!$B$4,'Climate Data'!$B$7:$B$366,C388)</x:f>
        <x:v>0.21802002224694106</x:v>
      </x:c>
      <x:c r="I388" s="382" t="n">
        <x:f>SUMIFS('Climate Data'!$H$7:$H$366,'Climate Data'!$A$7:$A$366,'Estimator'!$B$4,'Climate Data'!$B$7:$B$366,C388)</x:f>
        <x:v>8.596428571428572</x:v>
      </x:c>
      <x:c r="J388" s="381" t="n">
        <x:f>SUMIFS('Wind Proxy'!$H$8:$H$19,'Wind Proxy'!$A$8:$A$19,'Estimator'!$B$4,'Wind Proxy'!$B$8:$B$19,C388)</x:f>
        <x:v>0.12544802867383514</x:v>
      </x:c>
    </x:row>
    <x:row r="389">
      <x:c r="A389" s="379" t="n">
        <x:v>46040</x:v>
      </x:c>
      <x:c r="B389" s="380" t="n">
        <x:v>2026</x:v>
      </x:c>
      <x:c r="C389" s="380" t="n">
        <x:v>1</x:v>
      </x:c>
      <x:c r="D389" s="380" t="str">
        <x:v>Jan</x:v>
      </x:c>
      <x:c r="E389" s="380" t="n">
        <x:v>18</x:v>
      </x:c>
      <x:c r="F389" s="380" t="n">
        <x:v>7</x:v>
      </x:c>
      <x:c r="G389" s="380" t="n">
        <x:f>--(F389&lt;='Estimator'!$B$7)</x:f>
        <x:v>0</x:v>
      </x:c>
      <x:c r="H389" s="381" t="n">
        <x:f>SUMIFS('Climate Data'!$G$7:$G$366,'Climate Data'!$A$7:$A$366,'Estimator'!$B$4,'Climate Data'!$B$7:$B$366,C389)</x:f>
        <x:v>0.21802002224694106</x:v>
      </x:c>
      <x:c r="I389" s="382" t="n">
        <x:f>SUMIFS('Climate Data'!$H$7:$H$366,'Climate Data'!$A$7:$A$366,'Estimator'!$B$4,'Climate Data'!$B$7:$B$366,C389)</x:f>
        <x:v>8.596428571428572</x:v>
      </x:c>
      <x:c r="J389" s="381" t="n">
        <x:f>SUMIFS('Wind Proxy'!$H$8:$H$19,'Wind Proxy'!$A$8:$A$19,'Estimator'!$B$4,'Wind Proxy'!$B$8:$B$19,C389)</x:f>
        <x:v>0.12544802867383514</x:v>
      </x:c>
    </x:row>
    <x:row r="390">
      <x:c r="A390" s="379" t="n">
        <x:v>46041</x:v>
      </x:c>
      <x:c r="B390" s="380" t="n">
        <x:v>2026</x:v>
      </x:c>
      <x:c r="C390" s="380" t="n">
        <x:v>1</x:v>
      </x:c>
      <x:c r="D390" s="380" t="str">
        <x:v>Jan</x:v>
      </x:c>
      <x:c r="E390" s="380" t="n">
        <x:v>19</x:v>
      </x:c>
      <x:c r="F390" s="380" t="n">
        <x:v>1</x:v>
      </x:c>
      <x:c r="G390" s="380" t="n">
        <x:f>--(F390&lt;='Estimator'!$B$7)</x:f>
        <x:v>1</x:v>
      </x:c>
      <x:c r="H390" s="381" t="n">
        <x:f>SUMIFS('Climate Data'!$G$7:$G$366,'Climate Data'!$A$7:$A$366,'Estimator'!$B$4,'Climate Data'!$B$7:$B$366,C390)</x:f>
        <x:v>0.21802002224694106</x:v>
      </x:c>
      <x:c r="I390" s="382" t="n">
        <x:f>SUMIFS('Climate Data'!$H$7:$H$366,'Climate Data'!$A$7:$A$366,'Estimator'!$B$4,'Climate Data'!$B$7:$B$366,C390)</x:f>
        <x:v>8.596428571428572</x:v>
      </x:c>
      <x:c r="J390" s="381" t="n">
        <x:f>SUMIFS('Wind Proxy'!$H$8:$H$19,'Wind Proxy'!$A$8:$A$19,'Estimator'!$B$4,'Wind Proxy'!$B$8:$B$19,C390)</x:f>
        <x:v>0.12544802867383514</x:v>
      </x:c>
    </x:row>
    <x:row r="391">
      <x:c r="A391" s="379" t="n">
        <x:v>46042</x:v>
      </x:c>
      <x:c r="B391" s="380" t="n">
        <x:v>2026</x:v>
      </x:c>
      <x:c r="C391" s="380" t="n">
        <x:v>1</x:v>
      </x:c>
      <x:c r="D391" s="380" t="str">
        <x:v>Jan</x:v>
      </x:c>
      <x:c r="E391" s="380" t="n">
        <x:v>20</x:v>
      </x:c>
      <x:c r="F391" s="380" t="n">
        <x:v>2</x:v>
      </x:c>
      <x:c r="G391" s="380" t="n">
        <x:f>--(F391&lt;='Estimator'!$B$7)</x:f>
        <x:v>1</x:v>
      </x:c>
      <x:c r="H391" s="381" t="n">
        <x:f>SUMIFS('Climate Data'!$G$7:$G$366,'Climate Data'!$A$7:$A$366,'Estimator'!$B$4,'Climate Data'!$B$7:$B$366,C391)</x:f>
        <x:v>0.21802002224694106</x:v>
      </x:c>
      <x:c r="I391" s="382" t="n">
        <x:f>SUMIFS('Climate Data'!$H$7:$H$366,'Climate Data'!$A$7:$A$366,'Estimator'!$B$4,'Climate Data'!$B$7:$B$366,C391)</x:f>
        <x:v>8.596428571428572</x:v>
      </x:c>
      <x:c r="J391" s="381" t="n">
        <x:f>SUMIFS('Wind Proxy'!$H$8:$H$19,'Wind Proxy'!$A$8:$A$19,'Estimator'!$B$4,'Wind Proxy'!$B$8:$B$19,C391)</x:f>
        <x:v>0.12544802867383514</x:v>
      </x:c>
    </x:row>
    <x:row r="392">
      <x:c r="A392" s="379" t="n">
        <x:v>46043</x:v>
      </x:c>
      <x:c r="B392" s="380" t="n">
        <x:v>2026</x:v>
      </x:c>
      <x:c r="C392" s="380" t="n">
        <x:v>1</x:v>
      </x:c>
      <x:c r="D392" s="380" t="str">
        <x:v>Jan</x:v>
      </x:c>
      <x:c r="E392" s="380" t="n">
        <x:v>21</x:v>
      </x:c>
      <x:c r="F392" s="380" t="n">
        <x:v>3</x:v>
      </x:c>
      <x:c r="G392" s="380" t="n">
        <x:f>--(F392&lt;='Estimator'!$B$7)</x:f>
        <x:v>1</x:v>
      </x:c>
      <x:c r="H392" s="381" t="n">
        <x:f>SUMIFS('Climate Data'!$G$7:$G$366,'Climate Data'!$A$7:$A$366,'Estimator'!$B$4,'Climate Data'!$B$7:$B$366,C392)</x:f>
        <x:v>0.21802002224694106</x:v>
      </x:c>
      <x:c r="I392" s="382" t="n">
        <x:f>SUMIFS('Climate Data'!$H$7:$H$366,'Climate Data'!$A$7:$A$366,'Estimator'!$B$4,'Climate Data'!$B$7:$B$366,C392)</x:f>
        <x:v>8.596428571428572</x:v>
      </x:c>
      <x:c r="J392" s="381" t="n">
        <x:f>SUMIFS('Wind Proxy'!$H$8:$H$19,'Wind Proxy'!$A$8:$A$19,'Estimator'!$B$4,'Wind Proxy'!$B$8:$B$19,C392)</x:f>
        <x:v>0.12544802867383514</x:v>
      </x:c>
    </x:row>
    <x:row r="393">
      <x:c r="A393" s="379" t="n">
        <x:v>46044</x:v>
      </x:c>
      <x:c r="B393" s="380" t="n">
        <x:v>2026</x:v>
      </x:c>
      <x:c r="C393" s="380" t="n">
        <x:v>1</x:v>
      </x:c>
      <x:c r="D393" s="380" t="str">
        <x:v>Jan</x:v>
      </x:c>
      <x:c r="E393" s="380" t="n">
        <x:v>22</x:v>
      </x:c>
      <x:c r="F393" s="380" t="n">
        <x:v>4</x:v>
      </x:c>
      <x:c r="G393" s="380" t="n">
        <x:f>--(F393&lt;='Estimator'!$B$7)</x:f>
        <x:v>1</x:v>
      </x:c>
      <x:c r="H393" s="381" t="n">
        <x:f>SUMIFS('Climate Data'!$G$7:$G$366,'Climate Data'!$A$7:$A$366,'Estimator'!$B$4,'Climate Data'!$B$7:$B$366,C393)</x:f>
        <x:v>0.21802002224694106</x:v>
      </x:c>
      <x:c r="I393" s="382" t="n">
        <x:f>SUMIFS('Climate Data'!$H$7:$H$366,'Climate Data'!$A$7:$A$366,'Estimator'!$B$4,'Climate Data'!$B$7:$B$366,C393)</x:f>
        <x:v>8.596428571428572</x:v>
      </x:c>
      <x:c r="J393" s="381" t="n">
        <x:f>SUMIFS('Wind Proxy'!$H$8:$H$19,'Wind Proxy'!$A$8:$A$19,'Estimator'!$B$4,'Wind Proxy'!$B$8:$B$19,C393)</x:f>
        <x:v>0.12544802867383514</x:v>
      </x:c>
    </x:row>
    <x:row r="394">
      <x:c r="A394" s="379" t="n">
        <x:v>46045</x:v>
      </x:c>
      <x:c r="B394" s="380" t="n">
        <x:v>2026</x:v>
      </x:c>
      <x:c r="C394" s="380" t="n">
        <x:v>1</x:v>
      </x:c>
      <x:c r="D394" s="380" t="str">
        <x:v>Jan</x:v>
      </x:c>
      <x:c r="E394" s="380" t="n">
        <x:v>23</x:v>
      </x:c>
      <x:c r="F394" s="380" t="n">
        <x:v>5</x:v>
      </x:c>
      <x:c r="G394" s="380" t="n">
        <x:f>--(F394&lt;='Estimator'!$B$7)</x:f>
        <x:v>1</x:v>
      </x:c>
      <x:c r="H394" s="381" t="n">
        <x:f>SUMIFS('Climate Data'!$G$7:$G$366,'Climate Data'!$A$7:$A$366,'Estimator'!$B$4,'Climate Data'!$B$7:$B$366,C394)</x:f>
        <x:v>0.21802002224694106</x:v>
      </x:c>
      <x:c r="I394" s="382" t="n">
        <x:f>SUMIFS('Climate Data'!$H$7:$H$366,'Climate Data'!$A$7:$A$366,'Estimator'!$B$4,'Climate Data'!$B$7:$B$366,C394)</x:f>
        <x:v>8.596428571428572</x:v>
      </x:c>
      <x:c r="J394" s="381" t="n">
        <x:f>SUMIFS('Wind Proxy'!$H$8:$H$19,'Wind Proxy'!$A$8:$A$19,'Estimator'!$B$4,'Wind Proxy'!$B$8:$B$19,C394)</x:f>
        <x:v>0.12544802867383514</x:v>
      </x:c>
    </x:row>
    <x:row r="395">
      <x:c r="A395" s="379" t="n">
        <x:v>46046</x:v>
      </x:c>
      <x:c r="B395" s="380" t="n">
        <x:v>2026</x:v>
      </x:c>
      <x:c r="C395" s="380" t="n">
        <x:v>1</x:v>
      </x:c>
      <x:c r="D395" s="380" t="str">
        <x:v>Jan</x:v>
      </x:c>
      <x:c r="E395" s="380" t="n">
        <x:v>24</x:v>
      </x:c>
      <x:c r="F395" s="380" t="n">
        <x:v>6</x:v>
      </x:c>
      <x:c r="G395" s="380" t="n">
        <x:f>--(F395&lt;='Estimator'!$B$7)</x:f>
        <x:v>0</x:v>
      </x:c>
      <x:c r="H395" s="381" t="n">
        <x:f>SUMIFS('Climate Data'!$G$7:$G$366,'Climate Data'!$A$7:$A$366,'Estimator'!$B$4,'Climate Data'!$B$7:$B$366,C395)</x:f>
        <x:v>0.21802002224694106</x:v>
      </x:c>
      <x:c r="I395" s="382" t="n">
        <x:f>SUMIFS('Climate Data'!$H$7:$H$366,'Climate Data'!$A$7:$A$366,'Estimator'!$B$4,'Climate Data'!$B$7:$B$366,C395)</x:f>
        <x:v>8.596428571428572</x:v>
      </x:c>
      <x:c r="J395" s="381" t="n">
        <x:f>SUMIFS('Wind Proxy'!$H$8:$H$19,'Wind Proxy'!$A$8:$A$19,'Estimator'!$B$4,'Wind Proxy'!$B$8:$B$19,C395)</x:f>
        <x:v>0.12544802867383514</x:v>
      </x:c>
    </x:row>
    <x:row r="396">
      <x:c r="A396" s="379" t="n">
        <x:v>46047</x:v>
      </x:c>
      <x:c r="B396" s="380" t="n">
        <x:v>2026</x:v>
      </x:c>
      <x:c r="C396" s="380" t="n">
        <x:v>1</x:v>
      </x:c>
      <x:c r="D396" s="380" t="str">
        <x:v>Jan</x:v>
      </x:c>
      <x:c r="E396" s="380" t="n">
        <x:v>25</x:v>
      </x:c>
      <x:c r="F396" s="380" t="n">
        <x:v>7</x:v>
      </x:c>
      <x:c r="G396" s="380" t="n">
        <x:f>--(F396&lt;='Estimator'!$B$7)</x:f>
        <x:v>0</x:v>
      </x:c>
      <x:c r="H396" s="381" t="n">
        <x:f>SUMIFS('Climate Data'!$G$7:$G$366,'Climate Data'!$A$7:$A$366,'Estimator'!$B$4,'Climate Data'!$B$7:$B$366,C396)</x:f>
        <x:v>0.21802002224694106</x:v>
      </x:c>
      <x:c r="I396" s="382" t="n">
        <x:f>SUMIFS('Climate Data'!$H$7:$H$366,'Climate Data'!$A$7:$A$366,'Estimator'!$B$4,'Climate Data'!$B$7:$B$366,C396)</x:f>
        <x:v>8.596428571428572</x:v>
      </x:c>
      <x:c r="J396" s="381" t="n">
        <x:f>SUMIFS('Wind Proxy'!$H$8:$H$19,'Wind Proxy'!$A$8:$A$19,'Estimator'!$B$4,'Wind Proxy'!$B$8:$B$19,C396)</x:f>
        <x:v>0.12544802867383514</x:v>
      </x:c>
    </x:row>
    <x:row r="397">
      <x:c r="A397" s="379" t="n">
        <x:v>46048</x:v>
      </x:c>
      <x:c r="B397" s="380" t="n">
        <x:v>2026</x:v>
      </x:c>
      <x:c r="C397" s="380" t="n">
        <x:v>1</x:v>
      </x:c>
      <x:c r="D397" s="380" t="str">
        <x:v>Jan</x:v>
      </x:c>
      <x:c r="E397" s="380" t="n">
        <x:v>26</x:v>
      </x:c>
      <x:c r="F397" s="380" t="n">
        <x:v>1</x:v>
      </x:c>
      <x:c r="G397" s="380" t="n">
        <x:f>--(F397&lt;='Estimator'!$B$7)</x:f>
        <x:v>1</x:v>
      </x:c>
      <x:c r="H397" s="381" t="n">
        <x:f>SUMIFS('Climate Data'!$G$7:$G$366,'Climate Data'!$A$7:$A$366,'Estimator'!$B$4,'Climate Data'!$B$7:$B$366,C397)</x:f>
        <x:v>0.21802002224694106</x:v>
      </x:c>
      <x:c r="I397" s="382" t="n">
        <x:f>SUMIFS('Climate Data'!$H$7:$H$366,'Climate Data'!$A$7:$A$366,'Estimator'!$B$4,'Climate Data'!$B$7:$B$366,C397)</x:f>
        <x:v>8.596428571428572</x:v>
      </x:c>
      <x:c r="J397" s="381" t="n">
        <x:f>SUMIFS('Wind Proxy'!$H$8:$H$19,'Wind Proxy'!$A$8:$A$19,'Estimator'!$B$4,'Wind Proxy'!$B$8:$B$19,C397)</x:f>
        <x:v>0.12544802867383514</x:v>
      </x:c>
    </x:row>
    <x:row r="398">
      <x:c r="A398" s="379" t="n">
        <x:v>46049</x:v>
      </x:c>
      <x:c r="B398" s="380" t="n">
        <x:v>2026</x:v>
      </x:c>
      <x:c r="C398" s="380" t="n">
        <x:v>1</x:v>
      </x:c>
      <x:c r="D398" s="380" t="str">
        <x:v>Jan</x:v>
      </x:c>
      <x:c r="E398" s="380" t="n">
        <x:v>27</x:v>
      </x:c>
      <x:c r="F398" s="380" t="n">
        <x:v>2</x:v>
      </x:c>
      <x:c r="G398" s="380" t="n">
        <x:f>--(F398&lt;='Estimator'!$B$7)</x:f>
        <x:v>1</x:v>
      </x:c>
      <x:c r="H398" s="381" t="n">
        <x:f>SUMIFS('Climate Data'!$G$7:$G$366,'Climate Data'!$A$7:$A$366,'Estimator'!$B$4,'Climate Data'!$B$7:$B$366,C398)</x:f>
        <x:v>0.21802002224694106</x:v>
      </x:c>
      <x:c r="I398" s="382" t="n">
        <x:f>SUMIFS('Climate Data'!$H$7:$H$366,'Climate Data'!$A$7:$A$366,'Estimator'!$B$4,'Climate Data'!$B$7:$B$366,C398)</x:f>
        <x:v>8.596428571428572</x:v>
      </x:c>
      <x:c r="J398" s="381" t="n">
        <x:f>SUMIFS('Wind Proxy'!$H$8:$H$19,'Wind Proxy'!$A$8:$A$19,'Estimator'!$B$4,'Wind Proxy'!$B$8:$B$19,C398)</x:f>
        <x:v>0.12544802867383514</x:v>
      </x:c>
    </x:row>
    <x:row r="399">
      <x:c r="A399" s="379" t="n">
        <x:v>46050</x:v>
      </x:c>
      <x:c r="B399" s="380" t="n">
        <x:v>2026</x:v>
      </x:c>
      <x:c r="C399" s="380" t="n">
        <x:v>1</x:v>
      </x:c>
      <x:c r="D399" s="380" t="str">
        <x:v>Jan</x:v>
      </x:c>
      <x:c r="E399" s="380" t="n">
        <x:v>28</x:v>
      </x:c>
      <x:c r="F399" s="380" t="n">
        <x:v>3</x:v>
      </x:c>
      <x:c r="G399" s="380" t="n">
        <x:f>--(F399&lt;='Estimator'!$B$7)</x:f>
        <x:v>1</x:v>
      </x:c>
      <x:c r="H399" s="381" t="n">
        <x:f>SUMIFS('Climate Data'!$G$7:$G$366,'Climate Data'!$A$7:$A$366,'Estimator'!$B$4,'Climate Data'!$B$7:$B$366,C399)</x:f>
        <x:v>0.21802002224694106</x:v>
      </x:c>
      <x:c r="I399" s="382" t="n">
        <x:f>SUMIFS('Climate Data'!$H$7:$H$366,'Climate Data'!$A$7:$A$366,'Estimator'!$B$4,'Climate Data'!$B$7:$B$366,C399)</x:f>
        <x:v>8.596428571428572</x:v>
      </x:c>
      <x:c r="J399" s="381" t="n">
        <x:f>SUMIFS('Wind Proxy'!$H$8:$H$19,'Wind Proxy'!$A$8:$A$19,'Estimator'!$B$4,'Wind Proxy'!$B$8:$B$19,C399)</x:f>
        <x:v>0.12544802867383514</x:v>
      </x:c>
    </x:row>
    <x:row r="400">
      <x:c r="A400" s="379" t="n">
        <x:v>46051</x:v>
      </x:c>
      <x:c r="B400" s="380" t="n">
        <x:v>2026</x:v>
      </x:c>
      <x:c r="C400" s="380" t="n">
        <x:v>1</x:v>
      </x:c>
      <x:c r="D400" s="380" t="str">
        <x:v>Jan</x:v>
      </x:c>
      <x:c r="E400" s="380" t="n">
        <x:v>29</x:v>
      </x:c>
      <x:c r="F400" s="380" t="n">
        <x:v>4</x:v>
      </x:c>
      <x:c r="G400" s="380" t="n">
        <x:f>--(F400&lt;='Estimator'!$B$7)</x:f>
        <x:v>1</x:v>
      </x:c>
      <x:c r="H400" s="381" t="n">
        <x:f>SUMIFS('Climate Data'!$G$7:$G$366,'Climate Data'!$A$7:$A$366,'Estimator'!$B$4,'Climate Data'!$B$7:$B$366,C400)</x:f>
        <x:v>0.21802002224694106</x:v>
      </x:c>
      <x:c r="I400" s="382" t="n">
        <x:f>SUMIFS('Climate Data'!$H$7:$H$366,'Climate Data'!$A$7:$A$366,'Estimator'!$B$4,'Climate Data'!$B$7:$B$366,C400)</x:f>
        <x:v>8.596428571428572</x:v>
      </x:c>
      <x:c r="J400" s="381" t="n">
        <x:f>SUMIFS('Wind Proxy'!$H$8:$H$19,'Wind Proxy'!$A$8:$A$19,'Estimator'!$B$4,'Wind Proxy'!$B$8:$B$19,C400)</x:f>
        <x:v>0.12544802867383514</x:v>
      </x:c>
    </x:row>
    <x:row r="401">
      <x:c r="A401" s="379" t="n">
        <x:v>46052</x:v>
      </x:c>
      <x:c r="B401" s="380" t="n">
        <x:v>2026</x:v>
      </x:c>
      <x:c r="C401" s="380" t="n">
        <x:v>1</x:v>
      </x:c>
      <x:c r="D401" s="380" t="str">
        <x:v>Jan</x:v>
      </x:c>
      <x:c r="E401" s="380" t="n">
        <x:v>30</x:v>
      </x:c>
      <x:c r="F401" s="380" t="n">
        <x:v>5</x:v>
      </x:c>
      <x:c r="G401" s="380" t="n">
        <x:f>--(F401&lt;='Estimator'!$B$7)</x:f>
        <x:v>1</x:v>
      </x:c>
      <x:c r="H401" s="381" t="n">
        <x:f>SUMIFS('Climate Data'!$G$7:$G$366,'Climate Data'!$A$7:$A$366,'Estimator'!$B$4,'Climate Data'!$B$7:$B$366,C401)</x:f>
        <x:v>0.21802002224694106</x:v>
      </x:c>
      <x:c r="I401" s="382" t="n">
        <x:f>SUMIFS('Climate Data'!$H$7:$H$366,'Climate Data'!$A$7:$A$366,'Estimator'!$B$4,'Climate Data'!$B$7:$B$366,C401)</x:f>
        <x:v>8.596428571428572</x:v>
      </x:c>
      <x:c r="J401" s="381" t="n">
        <x:f>SUMIFS('Wind Proxy'!$H$8:$H$19,'Wind Proxy'!$A$8:$A$19,'Estimator'!$B$4,'Wind Proxy'!$B$8:$B$19,C401)</x:f>
        <x:v>0.12544802867383514</x:v>
      </x:c>
    </x:row>
    <x:row r="402">
      <x:c r="A402" s="379" t="n">
        <x:v>46053</x:v>
      </x:c>
      <x:c r="B402" s="380" t="n">
        <x:v>2026</x:v>
      </x:c>
      <x:c r="C402" s="380" t="n">
        <x:v>1</x:v>
      </x:c>
      <x:c r="D402" s="380" t="str">
        <x:v>Jan</x:v>
      </x:c>
      <x:c r="E402" s="380" t="n">
        <x:v>31</x:v>
      </x:c>
      <x:c r="F402" s="380" t="n">
        <x:v>6</x:v>
      </x:c>
      <x:c r="G402" s="380" t="n">
        <x:f>--(F402&lt;='Estimator'!$B$7)</x:f>
        <x:v>0</x:v>
      </x:c>
      <x:c r="H402" s="381" t="n">
        <x:f>SUMIFS('Climate Data'!$G$7:$G$366,'Climate Data'!$A$7:$A$366,'Estimator'!$B$4,'Climate Data'!$B$7:$B$366,C402)</x:f>
        <x:v>0.21802002224694106</x:v>
      </x:c>
      <x:c r="I402" s="382" t="n">
        <x:f>SUMIFS('Climate Data'!$H$7:$H$366,'Climate Data'!$A$7:$A$366,'Estimator'!$B$4,'Climate Data'!$B$7:$B$366,C402)</x:f>
        <x:v>8.596428571428572</x:v>
      </x:c>
      <x:c r="J402" s="381" t="n">
        <x:f>SUMIFS('Wind Proxy'!$H$8:$H$19,'Wind Proxy'!$A$8:$A$19,'Estimator'!$B$4,'Wind Proxy'!$B$8:$B$19,C402)</x:f>
        <x:v>0.12544802867383514</x:v>
      </x:c>
    </x:row>
    <x:row r="403">
      <x:c r="A403" s="379" t="n">
        <x:v>46054</x:v>
      </x:c>
      <x:c r="B403" s="380" t="n">
        <x:v>2026</x:v>
      </x:c>
      <x:c r="C403" s="380" t="n">
        <x:v>2</x:v>
      </x:c>
      <x:c r="D403" s="380" t="str">
        <x:v>Feb</x:v>
      </x:c>
      <x:c r="E403" s="380" t="n">
        <x:v>1</x:v>
      </x:c>
      <x:c r="F403" s="380" t="n">
        <x:v>7</x:v>
      </x:c>
      <x:c r="G403" s="380" t="n">
        <x:f>--(F403&lt;='Estimator'!$B$7)</x:f>
        <x:v>0</x:v>
      </x:c>
      <x:c r="H403" s="381" t="n">
        <x:f>SUMIFS('Climate Data'!$G$7:$G$366,'Climate Data'!$A$7:$A$366,'Estimator'!$B$4,'Climate Data'!$B$7:$B$366,C403)</x:f>
        <x:v>0.23056278464541316</x:v>
      </x:c>
      <x:c r="I403" s="382" t="n">
        <x:f>SUMIFS('Climate Data'!$H$7:$H$366,'Climate Data'!$A$7:$A$366,'Estimator'!$B$4,'Climate Data'!$B$7:$B$366,C403)</x:f>
        <x:v>9.682010582010582</x:v>
      </x:c>
      <x:c r="J403" s="381" t="n">
        <x:f>SUMIFS('Wind Proxy'!$H$8:$H$19,'Wind Proxy'!$A$8:$A$19,'Estimator'!$B$4,'Wind Proxy'!$B$8:$B$19,C403)</x:f>
        <x:v>0.13757861635220128</x:v>
      </x:c>
    </x:row>
    <x:row r="404">
      <x:c r="A404" s="379" t="n">
        <x:v>46055</x:v>
      </x:c>
      <x:c r="B404" s="380" t="n">
        <x:v>2026</x:v>
      </x:c>
      <x:c r="C404" s="380" t="n">
        <x:v>2</x:v>
      </x:c>
      <x:c r="D404" s="380" t="str">
        <x:v>Feb</x:v>
      </x:c>
      <x:c r="E404" s="380" t="n">
        <x:v>2</x:v>
      </x:c>
      <x:c r="F404" s="380" t="n">
        <x:v>1</x:v>
      </x:c>
      <x:c r="G404" s="380" t="n">
        <x:f>--(F404&lt;='Estimator'!$B$7)</x:f>
        <x:v>1</x:v>
      </x:c>
      <x:c r="H404" s="381" t="n">
        <x:f>SUMIFS('Climate Data'!$G$7:$G$366,'Climate Data'!$A$7:$A$366,'Estimator'!$B$4,'Climate Data'!$B$7:$B$366,C404)</x:f>
        <x:v>0.23056278464541316</x:v>
      </x:c>
      <x:c r="I404" s="382" t="n">
        <x:f>SUMIFS('Climate Data'!$H$7:$H$366,'Climate Data'!$A$7:$A$366,'Estimator'!$B$4,'Climate Data'!$B$7:$B$366,C404)</x:f>
        <x:v>9.682010582010582</x:v>
      </x:c>
      <x:c r="J404" s="381" t="n">
        <x:f>SUMIFS('Wind Proxy'!$H$8:$H$19,'Wind Proxy'!$A$8:$A$19,'Estimator'!$B$4,'Wind Proxy'!$B$8:$B$19,C404)</x:f>
        <x:v>0.13757861635220128</x:v>
      </x:c>
    </x:row>
    <x:row r="405">
      <x:c r="A405" s="379" t="n">
        <x:v>46056</x:v>
      </x:c>
      <x:c r="B405" s="380" t="n">
        <x:v>2026</x:v>
      </x:c>
      <x:c r="C405" s="380" t="n">
        <x:v>2</x:v>
      </x:c>
      <x:c r="D405" s="380" t="str">
        <x:v>Feb</x:v>
      </x:c>
      <x:c r="E405" s="380" t="n">
        <x:v>3</x:v>
      </x:c>
      <x:c r="F405" s="380" t="n">
        <x:v>2</x:v>
      </x:c>
      <x:c r="G405" s="380" t="n">
        <x:f>--(F405&lt;='Estimator'!$B$7)</x:f>
        <x:v>1</x:v>
      </x:c>
      <x:c r="H405" s="381" t="n">
        <x:f>SUMIFS('Climate Data'!$G$7:$G$366,'Climate Data'!$A$7:$A$366,'Estimator'!$B$4,'Climate Data'!$B$7:$B$366,C405)</x:f>
        <x:v>0.23056278464541316</x:v>
      </x:c>
      <x:c r="I405" s="382" t="n">
        <x:f>SUMIFS('Climate Data'!$H$7:$H$366,'Climate Data'!$A$7:$A$366,'Estimator'!$B$4,'Climate Data'!$B$7:$B$366,C405)</x:f>
        <x:v>9.682010582010582</x:v>
      </x:c>
      <x:c r="J405" s="381" t="n">
        <x:f>SUMIFS('Wind Proxy'!$H$8:$H$19,'Wind Proxy'!$A$8:$A$19,'Estimator'!$B$4,'Wind Proxy'!$B$8:$B$19,C405)</x:f>
        <x:v>0.13757861635220128</x:v>
      </x:c>
    </x:row>
    <x:row r="406">
      <x:c r="A406" s="379" t="n">
        <x:v>46057</x:v>
      </x:c>
      <x:c r="B406" s="380" t="n">
        <x:v>2026</x:v>
      </x:c>
      <x:c r="C406" s="380" t="n">
        <x:v>2</x:v>
      </x:c>
      <x:c r="D406" s="380" t="str">
        <x:v>Feb</x:v>
      </x:c>
      <x:c r="E406" s="380" t="n">
        <x:v>4</x:v>
      </x:c>
      <x:c r="F406" s="380" t="n">
        <x:v>3</x:v>
      </x:c>
      <x:c r="G406" s="380" t="n">
        <x:f>--(F406&lt;='Estimator'!$B$7)</x:f>
        <x:v>1</x:v>
      </x:c>
      <x:c r="H406" s="381" t="n">
        <x:f>SUMIFS('Climate Data'!$G$7:$G$366,'Climate Data'!$A$7:$A$366,'Estimator'!$B$4,'Climate Data'!$B$7:$B$366,C406)</x:f>
        <x:v>0.23056278464541316</x:v>
      </x:c>
      <x:c r="I406" s="382" t="n">
        <x:f>SUMIFS('Climate Data'!$H$7:$H$366,'Climate Data'!$A$7:$A$366,'Estimator'!$B$4,'Climate Data'!$B$7:$B$366,C406)</x:f>
        <x:v>9.682010582010582</x:v>
      </x:c>
      <x:c r="J406" s="381" t="n">
        <x:f>SUMIFS('Wind Proxy'!$H$8:$H$19,'Wind Proxy'!$A$8:$A$19,'Estimator'!$B$4,'Wind Proxy'!$B$8:$B$19,C406)</x:f>
        <x:v>0.13757861635220128</x:v>
      </x:c>
    </x:row>
    <x:row r="407">
      <x:c r="A407" s="379" t="n">
        <x:v>46058</x:v>
      </x:c>
      <x:c r="B407" s="380" t="n">
        <x:v>2026</x:v>
      </x:c>
      <x:c r="C407" s="380" t="n">
        <x:v>2</x:v>
      </x:c>
      <x:c r="D407" s="380" t="str">
        <x:v>Feb</x:v>
      </x:c>
      <x:c r="E407" s="380" t="n">
        <x:v>5</x:v>
      </x:c>
      <x:c r="F407" s="380" t="n">
        <x:v>4</x:v>
      </x:c>
      <x:c r="G407" s="380" t="n">
        <x:f>--(F407&lt;='Estimator'!$B$7)</x:f>
        <x:v>1</x:v>
      </x:c>
      <x:c r="H407" s="381" t="n">
        <x:f>SUMIFS('Climate Data'!$G$7:$G$366,'Climate Data'!$A$7:$A$366,'Estimator'!$B$4,'Climate Data'!$B$7:$B$366,C407)</x:f>
        <x:v>0.23056278464541316</x:v>
      </x:c>
      <x:c r="I407" s="382" t="n">
        <x:f>SUMIFS('Climate Data'!$H$7:$H$366,'Climate Data'!$A$7:$A$366,'Estimator'!$B$4,'Climate Data'!$B$7:$B$366,C407)</x:f>
        <x:v>9.682010582010582</x:v>
      </x:c>
      <x:c r="J407" s="381" t="n">
        <x:f>SUMIFS('Wind Proxy'!$H$8:$H$19,'Wind Proxy'!$A$8:$A$19,'Estimator'!$B$4,'Wind Proxy'!$B$8:$B$19,C407)</x:f>
        <x:v>0.13757861635220128</x:v>
      </x:c>
    </x:row>
    <x:row r="408">
      <x:c r="A408" s="379" t="n">
        <x:v>46059</x:v>
      </x:c>
      <x:c r="B408" s="380" t="n">
        <x:v>2026</x:v>
      </x:c>
      <x:c r="C408" s="380" t="n">
        <x:v>2</x:v>
      </x:c>
      <x:c r="D408" s="380" t="str">
        <x:v>Feb</x:v>
      </x:c>
      <x:c r="E408" s="380" t="n">
        <x:v>6</x:v>
      </x:c>
      <x:c r="F408" s="380" t="n">
        <x:v>5</x:v>
      </x:c>
      <x:c r="G408" s="380" t="n">
        <x:f>--(F408&lt;='Estimator'!$B$7)</x:f>
        <x:v>1</x:v>
      </x:c>
      <x:c r="H408" s="381" t="n">
        <x:f>SUMIFS('Climate Data'!$G$7:$G$366,'Climate Data'!$A$7:$A$366,'Estimator'!$B$4,'Climate Data'!$B$7:$B$366,C408)</x:f>
        <x:v>0.23056278464541316</x:v>
      </x:c>
      <x:c r="I408" s="382" t="n">
        <x:f>SUMIFS('Climate Data'!$H$7:$H$366,'Climate Data'!$A$7:$A$366,'Estimator'!$B$4,'Climate Data'!$B$7:$B$366,C408)</x:f>
        <x:v>9.682010582010582</x:v>
      </x:c>
      <x:c r="J408" s="381" t="n">
        <x:f>SUMIFS('Wind Proxy'!$H$8:$H$19,'Wind Proxy'!$A$8:$A$19,'Estimator'!$B$4,'Wind Proxy'!$B$8:$B$19,C408)</x:f>
        <x:v>0.13757861635220128</x:v>
      </x:c>
    </x:row>
    <x:row r="409">
      <x:c r="A409" s="379" t="n">
        <x:v>46060</x:v>
      </x:c>
      <x:c r="B409" s="380" t="n">
        <x:v>2026</x:v>
      </x:c>
      <x:c r="C409" s="380" t="n">
        <x:v>2</x:v>
      </x:c>
      <x:c r="D409" s="380" t="str">
        <x:v>Feb</x:v>
      </x:c>
      <x:c r="E409" s="380" t="n">
        <x:v>7</x:v>
      </x:c>
      <x:c r="F409" s="380" t="n">
        <x:v>6</x:v>
      </x:c>
      <x:c r="G409" s="380" t="n">
        <x:f>--(F409&lt;='Estimator'!$B$7)</x:f>
        <x:v>0</x:v>
      </x:c>
      <x:c r="H409" s="381" t="n">
        <x:f>SUMIFS('Climate Data'!$G$7:$G$366,'Climate Data'!$A$7:$A$366,'Estimator'!$B$4,'Climate Data'!$B$7:$B$366,C409)</x:f>
        <x:v>0.23056278464541316</x:v>
      </x:c>
      <x:c r="I409" s="382" t="n">
        <x:f>SUMIFS('Climate Data'!$H$7:$H$366,'Climate Data'!$A$7:$A$366,'Estimator'!$B$4,'Climate Data'!$B$7:$B$366,C409)</x:f>
        <x:v>9.682010582010582</x:v>
      </x:c>
      <x:c r="J409" s="381" t="n">
        <x:f>SUMIFS('Wind Proxy'!$H$8:$H$19,'Wind Proxy'!$A$8:$A$19,'Estimator'!$B$4,'Wind Proxy'!$B$8:$B$19,C409)</x:f>
        <x:v>0.13757861635220128</x:v>
      </x:c>
    </x:row>
    <x:row r="410">
      <x:c r="A410" s="379" t="n">
        <x:v>46061</x:v>
      </x:c>
      <x:c r="B410" s="380" t="n">
        <x:v>2026</x:v>
      </x:c>
      <x:c r="C410" s="380" t="n">
        <x:v>2</x:v>
      </x:c>
      <x:c r="D410" s="380" t="str">
        <x:v>Feb</x:v>
      </x:c>
      <x:c r="E410" s="380" t="n">
        <x:v>8</x:v>
      </x:c>
      <x:c r="F410" s="380" t="n">
        <x:v>7</x:v>
      </x:c>
      <x:c r="G410" s="380" t="n">
        <x:f>--(F410&lt;='Estimator'!$B$7)</x:f>
        <x:v>0</x:v>
      </x:c>
      <x:c r="H410" s="381" t="n">
        <x:f>SUMIFS('Climate Data'!$G$7:$G$366,'Climate Data'!$A$7:$A$366,'Estimator'!$B$4,'Climate Data'!$B$7:$B$366,C410)</x:f>
        <x:v>0.23056278464541316</x:v>
      </x:c>
      <x:c r="I410" s="382" t="n">
        <x:f>SUMIFS('Climate Data'!$H$7:$H$366,'Climate Data'!$A$7:$A$366,'Estimator'!$B$4,'Climate Data'!$B$7:$B$366,C410)</x:f>
        <x:v>9.682010582010582</x:v>
      </x:c>
      <x:c r="J410" s="381" t="n">
        <x:f>SUMIFS('Wind Proxy'!$H$8:$H$19,'Wind Proxy'!$A$8:$A$19,'Estimator'!$B$4,'Wind Proxy'!$B$8:$B$19,C410)</x:f>
        <x:v>0.13757861635220128</x:v>
      </x:c>
    </x:row>
    <x:row r="411">
      <x:c r="A411" s="379" t="n">
        <x:v>46062</x:v>
      </x:c>
      <x:c r="B411" s="380" t="n">
        <x:v>2026</x:v>
      </x:c>
      <x:c r="C411" s="380" t="n">
        <x:v>2</x:v>
      </x:c>
      <x:c r="D411" s="380" t="str">
        <x:v>Feb</x:v>
      </x:c>
      <x:c r="E411" s="380" t="n">
        <x:v>9</x:v>
      </x:c>
      <x:c r="F411" s="380" t="n">
        <x:v>1</x:v>
      </x:c>
      <x:c r="G411" s="380" t="n">
        <x:f>--(F411&lt;='Estimator'!$B$7)</x:f>
        <x:v>1</x:v>
      </x:c>
      <x:c r="H411" s="381" t="n">
        <x:f>SUMIFS('Climate Data'!$G$7:$G$366,'Climate Data'!$A$7:$A$366,'Estimator'!$B$4,'Climate Data'!$B$7:$B$366,C411)</x:f>
        <x:v>0.23056278464541316</x:v>
      </x:c>
      <x:c r="I411" s="382" t="n">
        <x:f>SUMIFS('Climate Data'!$H$7:$H$366,'Climate Data'!$A$7:$A$366,'Estimator'!$B$4,'Climate Data'!$B$7:$B$366,C411)</x:f>
        <x:v>9.682010582010582</x:v>
      </x:c>
      <x:c r="J411" s="381" t="n">
        <x:f>SUMIFS('Wind Proxy'!$H$8:$H$19,'Wind Proxy'!$A$8:$A$19,'Estimator'!$B$4,'Wind Proxy'!$B$8:$B$19,C411)</x:f>
        <x:v>0.13757861635220128</x:v>
      </x:c>
    </x:row>
    <x:row r="412">
      <x:c r="A412" s="379" t="n">
        <x:v>46063</x:v>
      </x:c>
      <x:c r="B412" s="380" t="n">
        <x:v>2026</x:v>
      </x:c>
      <x:c r="C412" s="380" t="n">
        <x:v>2</x:v>
      </x:c>
      <x:c r="D412" s="380" t="str">
        <x:v>Feb</x:v>
      </x:c>
      <x:c r="E412" s="380" t="n">
        <x:v>10</x:v>
      </x:c>
      <x:c r="F412" s="380" t="n">
        <x:v>2</x:v>
      </x:c>
      <x:c r="G412" s="380" t="n">
        <x:f>--(F412&lt;='Estimator'!$B$7)</x:f>
        <x:v>1</x:v>
      </x:c>
      <x:c r="H412" s="381" t="n">
        <x:f>SUMIFS('Climate Data'!$G$7:$G$366,'Climate Data'!$A$7:$A$366,'Estimator'!$B$4,'Climate Data'!$B$7:$B$366,C412)</x:f>
        <x:v>0.23056278464541316</x:v>
      </x:c>
      <x:c r="I412" s="382" t="n">
        <x:f>SUMIFS('Climate Data'!$H$7:$H$366,'Climate Data'!$A$7:$A$366,'Estimator'!$B$4,'Climate Data'!$B$7:$B$366,C412)</x:f>
        <x:v>9.682010582010582</x:v>
      </x:c>
      <x:c r="J412" s="381" t="n">
        <x:f>SUMIFS('Wind Proxy'!$H$8:$H$19,'Wind Proxy'!$A$8:$A$19,'Estimator'!$B$4,'Wind Proxy'!$B$8:$B$19,C412)</x:f>
        <x:v>0.13757861635220128</x:v>
      </x:c>
    </x:row>
    <x:row r="413">
      <x:c r="A413" s="379" t="n">
        <x:v>46064</x:v>
      </x:c>
      <x:c r="B413" s="380" t="n">
        <x:v>2026</x:v>
      </x:c>
      <x:c r="C413" s="380" t="n">
        <x:v>2</x:v>
      </x:c>
      <x:c r="D413" s="380" t="str">
        <x:v>Feb</x:v>
      </x:c>
      <x:c r="E413" s="380" t="n">
        <x:v>11</x:v>
      </x:c>
      <x:c r="F413" s="380" t="n">
        <x:v>3</x:v>
      </x:c>
      <x:c r="G413" s="380" t="n">
        <x:f>--(F413&lt;='Estimator'!$B$7)</x:f>
        <x:v>1</x:v>
      </x:c>
      <x:c r="H413" s="381" t="n">
        <x:f>SUMIFS('Climate Data'!$G$7:$G$366,'Climate Data'!$A$7:$A$366,'Estimator'!$B$4,'Climate Data'!$B$7:$B$366,C413)</x:f>
        <x:v>0.23056278464541316</x:v>
      </x:c>
      <x:c r="I413" s="382" t="n">
        <x:f>SUMIFS('Climate Data'!$H$7:$H$366,'Climate Data'!$A$7:$A$366,'Estimator'!$B$4,'Climate Data'!$B$7:$B$366,C413)</x:f>
        <x:v>9.682010582010582</x:v>
      </x:c>
      <x:c r="J413" s="381" t="n">
        <x:f>SUMIFS('Wind Proxy'!$H$8:$H$19,'Wind Proxy'!$A$8:$A$19,'Estimator'!$B$4,'Wind Proxy'!$B$8:$B$19,C413)</x:f>
        <x:v>0.13757861635220128</x:v>
      </x:c>
    </x:row>
    <x:row r="414">
      <x:c r="A414" s="379" t="n">
        <x:v>46065</x:v>
      </x:c>
      <x:c r="B414" s="380" t="n">
        <x:v>2026</x:v>
      </x:c>
      <x:c r="C414" s="380" t="n">
        <x:v>2</x:v>
      </x:c>
      <x:c r="D414" s="380" t="str">
        <x:v>Feb</x:v>
      </x:c>
      <x:c r="E414" s="380" t="n">
        <x:v>12</x:v>
      </x:c>
      <x:c r="F414" s="380" t="n">
        <x:v>4</x:v>
      </x:c>
      <x:c r="G414" s="380" t="n">
        <x:f>--(F414&lt;='Estimator'!$B$7)</x:f>
        <x:v>1</x:v>
      </x:c>
      <x:c r="H414" s="381" t="n">
        <x:f>SUMIFS('Climate Data'!$G$7:$G$366,'Climate Data'!$A$7:$A$366,'Estimator'!$B$4,'Climate Data'!$B$7:$B$366,C414)</x:f>
        <x:v>0.23056278464541316</x:v>
      </x:c>
      <x:c r="I414" s="382" t="n">
        <x:f>SUMIFS('Climate Data'!$H$7:$H$366,'Climate Data'!$A$7:$A$366,'Estimator'!$B$4,'Climate Data'!$B$7:$B$366,C414)</x:f>
        <x:v>9.682010582010582</x:v>
      </x:c>
      <x:c r="J414" s="381" t="n">
        <x:f>SUMIFS('Wind Proxy'!$H$8:$H$19,'Wind Proxy'!$A$8:$A$19,'Estimator'!$B$4,'Wind Proxy'!$B$8:$B$19,C414)</x:f>
        <x:v>0.13757861635220128</x:v>
      </x:c>
    </x:row>
    <x:row r="415">
      <x:c r="A415" s="379" t="n">
        <x:v>46066</x:v>
      </x:c>
      <x:c r="B415" s="380" t="n">
        <x:v>2026</x:v>
      </x:c>
      <x:c r="C415" s="380" t="n">
        <x:v>2</x:v>
      </x:c>
      <x:c r="D415" s="380" t="str">
        <x:v>Feb</x:v>
      </x:c>
      <x:c r="E415" s="380" t="n">
        <x:v>13</x:v>
      </x:c>
      <x:c r="F415" s="380" t="n">
        <x:v>5</x:v>
      </x:c>
      <x:c r="G415" s="380" t="n">
        <x:f>--(F415&lt;='Estimator'!$B$7)</x:f>
        <x:v>1</x:v>
      </x:c>
      <x:c r="H415" s="381" t="n">
        <x:f>SUMIFS('Climate Data'!$G$7:$G$366,'Climate Data'!$A$7:$A$366,'Estimator'!$B$4,'Climate Data'!$B$7:$B$366,C415)</x:f>
        <x:v>0.23056278464541316</x:v>
      </x:c>
      <x:c r="I415" s="382" t="n">
        <x:f>SUMIFS('Climate Data'!$H$7:$H$366,'Climate Data'!$A$7:$A$366,'Estimator'!$B$4,'Climate Data'!$B$7:$B$366,C415)</x:f>
        <x:v>9.682010582010582</x:v>
      </x:c>
      <x:c r="J415" s="381" t="n">
        <x:f>SUMIFS('Wind Proxy'!$H$8:$H$19,'Wind Proxy'!$A$8:$A$19,'Estimator'!$B$4,'Wind Proxy'!$B$8:$B$19,C415)</x:f>
        <x:v>0.13757861635220128</x:v>
      </x:c>
    </x:row>
    <x:row r="416">
      <x:c r="A416" s="379" t="n">
        <x:v>46067</x:v>
      </x:c>
      <x:c r="B416" s="380" t="n">
        <x:v>2026</x:v>
      </x:c>
      <x:c r="C416" s="380" t="n">
        <x:v>2</x:v>
      </x:c>
      <x:c r="D416" s="380" t="str">
        <x:v>Feb</x:v>
      </x:c>
      <x:c r="E416" s="380" t="n">
        <x:v>14</x:v>
      </x:c>
      <x:c r="F416" s="380" t="n">
        <x:v>6</x:v>
      </x:c>
      <x:c r="G416" s="380" t="n">
        <x:f>--(F416&lt;='Estimator'!$B$7)</x:f>
        <x:v>0</x:v>
      </x:c>
      <x:c r="H416" s="381" t="n">
        <x:f>SUMIFS('Climate Data'!$G$7:$G$366,'Climate Data'!$A$7:$A$366,'Estimator'!$B$4,'Climate Data'!$B$7:$B$366,C416)</x:f>
        <x:v>0.23056278464541316</x:v>
      </x:c>
      <x:c r="I416" s="382" t="n">
        <x:f>SUMIFS('Climate Data'!$H$7:$H$366,'Climate Data'!$A$7:$A$366,'Estimator'!$B$4,'Climate Data'!$B$7:$B$366,C416)</x:f>
        <x:v>9.682010582010582</x:v>
      </x:c>
      <x:c r="J416" s="381" t="n">
        <x:f>SUMIFS('Wind Proxy'!$H$8:$H$19,'Wind Proxy'!$A$8:$A$19,'Estimator'!$B$4,'Wind Proxy'!$B$8:$B$19,C416)</x:f>
        <x:v>0.13757861635220128</x:v>
      </x:c>
    </x:row>
    <x:row r="417">
      <x:c r="A417" s="379" t="n">
        <x:v>46068</x:v>
      </x:c>
      <x:c r="B417" s="380" t="n">
        <x:v>2026</x:v>
      </x:c>
      <x:c r="C417" s="380" t="n">
        <x:v>2</x:v>
      </x:c>
      <x:c r="D417" s="380" t="str">
        <x:v>Feb</x:v>
      </x:c>
      <x:c r="E417" s="380" t="n">
        <x:v>15</x:v>
      </x:c>
      <x:c r="F417" s="380" t="n">
        <x:v>7</x:v>
      </x:c>
      <x:c r="G417" s="380" t="n">
        <x:f>--(F417&lt;='Estimator'!$B$7)</x:f>
        <x:v>0</x:v>
      </x:c>
      <x:c r="H417" s="381" t="n">
        <x:f>SUMIFS('Climate Data'!$G$7:$G$366,'Climate Data'!$A$7:$A$366,'Estimator'!$B$4,'Climate Data'!$B$7:$B$366,C417)</x:f>
        <x:v>0.23056278464541316</x:v>
      </x:c>
      <x:c r="I417" s="382" t="n">
        <x:f>SUMIFS('Climate Data'!$H$7:$H$366,'Climate Data'!$A$7:$A$366,'Estimator'!$B$4,'Climate Data'!$B$7:$B$366,C417)</x:f>
        <x:v>9.682010582010582</x:v>
      </x:c>
      <x:c r="J417" s="381" t="n">
        <x:f>SUMIFS('Wind Proxy'!$H$8:$H$19,'Wind Proxy'!$A$8:$A$19,'Estimator'!$B$4,'Wind Proxy'!$B$8:$B$19,C417)</x:f>
        <x:v>0.13757861635220128</x:v>
      </x:c>
    </x:row>
    <x:row r="418">
      <x:c r="A418" s="379" t="n">
        <x:v>46069</x:v>
      </x:c>
      <x:c r="B418" s="380" t="n">
        <x:v>2026</x:v>
      </x:c>
      <x:c r="C418" s="380" t="n">
        <x:v>2</x:v>
      </x:c>
      <x:c r="D418" s="380" t="str">
        <x:v>Feb</x:v>
      </x:c>
      <x:c r="E418" s="380" t="n">
        <x:v>16</x:v>
      </x:c>
      <x:c r="F418" s="380" t="n">
        <x:v>1</x:v>
      </x:c>
      <x:c r="G418" s="380" t="n">
        <x:f>--(F418&lt;='Estimator'!$B$7)</x:f>
        <x:v>1</x:v>
      </x:c>
      <x:c r="H418" s="381" t="n">
        <x:f>SUMIFS('Climate Data'!$G$7:$G$366,'Climate Data'!$A$7:$A$366,'Estimator'!$B$4,'Climate Data'!$B$7:$B$366,C418)</x:f>
        <x:v>0.23056278464541316</x:v>
      </x:c>
      <x:c r="I418" s="382" t="n">
        <x:f>SUMIFS('Climate Data'!$H$7:$H$366,'Climate Data'!$A$7:$A$366,'Estimator'!$B$4,'Climate Data'!$B$7:$B$366,C418)</x:f>
        <x:v>9.682010582010582</x:v>
      </x:c>
      <x:c r="J418" s="381" t="n">
        <x:f>SUMIFS('Wind Proxy'!$H$8:$H$19,'Wind Proxy'!$A$8:$A$19,'Estimator'!$B$4,'Wind Proxy'!$B$8:$B$19,C418)</x:f>
        <x:v>0.13757861635220128</x:v>
      </x:c>
    </x:row>
    <x:row r="419">
      <x:c r="A419" s="379" t="n">
        <x:v>46070</x:v>
      </x:c>
      <x:c r="B419" s="380" t="n">
        <x:v>2026</x:v>
      </x:c>
      <x:c r="C419" s="380" t="n">
        <x:v>2</x:v>
      </x:c>
      <x:c r="D419" s="380" t="str">
        <x:v>Feb</x:v>
      </x:c>
      <x:c r="E419" s="380" t="n">
        <x:v>17</x:v>
      </x:c>
      <x:c r="F419" s="380" t="n">
        <x:v>2</x:v>
      </x:c>
      <x:c r="G419" s="380" t="n">
        <x:f>--(F419&lt;='Estimator'!$B$7)</x:f>
        <x:v>1</x:v>
      </x:c>
      <x:c r="H419" s="381" t="n">
        <x:f>SUMIFS('Climate Data'!$G$7:$G$366,'Climate Data'!$A$7:$A$366,'Estimator'!$B$4,'Climate Data'!$B$7:$B$366,C419)</x:f>
        <x:v>0.23056278464541316</x:v>
      </x:c>
      <x:c r="I419" s="382" t="n">
        <x:f>SUMIFS('Climate Data'!$H$7:$H$366,'Climate Data'!$A$7:$A$366,'Estimator'!$B$4,'Climate Data'!$B$7:$B$366,C419)</x:f>
        <x:v>9.682010582010582</x:v>
      </x:c>
      <x:c r="J419" s="381" t="n">
        <x:f>SUMIFS('Wind Proxy'!$H$8:$H$19,'Wind Proxy'!$A$8:$A$19,'Estimator'!$B$4,'Wind Proxy'!$B$8:$B$19,C419)</x:f>
        <x:v>0.13757861635220128</x:v>
      </x:c>
    </x:row>
    <x:row r="420">
      <x:c r="A420" s="379" t="n">
        <x:v>46071</x:v>
      </x:c>
      <x:c r="B420" s="380" t="n">
        <x:v>2026</x:v>
      </x:c>
      <x:c r="C420" s="380" t="n">
        <x:v>2</x:v>
      </x:c>
      <x:c r="D420" s="380" t="str">
        <x:v>Feb</x:v>
      </x:c>
      <x:c r="E420" s="380" t="n">
        <x:v>18</x:v>
      </x:c>
      <x:c r="F420" s="380" t="n">
        <x:v>3</x:v>
      </x:c>
      <x:c r="G420" s="380" t="n">
        <x:f>--(F420&lt;='Estimator'!$B$7)</x:f>
        <x:v>1</x:v>
      </x:c>
      <x:c r="H420" s="381" t="n">
        <x:f>SUMIFS('Climate Data'!$G$7:$G$366,'Climate Data'!$A$7:$A$366,'Estimator'!$B$4,'Climate Data'!$B$7:$B$366,C420)</x:f>
        <x:v>0.23056278464541316</x:v>
      </x:c>
      <x:c r="I420" s="382" t="n">
        <x:f>SUMIFS('Climate Data'!$H$7:$H$366,'Climate Data'!$A$7:$A$366,'Estimator'!$B$4,'Climate Data'!$B$7:$B$366,C420)</x:f>
        <x:v>9.682010582010582</x:v>
      </x:c>
      <x:c r="J420" s="381" t="n">
        <x:f>SUMIFS('Wind Proxy'!$H$8:$H$19,'Wind Proxy'!$A$8:$A$19,'Estimator'!$B$4,'Wind Proxy'!$B$8:$B$19,C420)</x:f>
        <x:v>0.13757861635220128</x:v>
      </x:c>
    </x:row>
    <x:row r="421">
      <x:c r="A421" s="379" t="n">
        <x:v>46072</x:v>
      </x:c>
      <x:c r="B421" s="380" t="n">
        <x:v>2026</x:v>
      </x:c>
      <x:c r="C421" s="380" t="n">
        <x:v>2</x:v>
      </x:c>
      <x:c r="D421" s="380" t="str">
        <x:v>Feb</x:v>
      </x:c>
      <x:c r="E421" s="380" t="n">
        <x:v>19</x:v>
      </x:c>
      <x:c r="F421" s="380" t="n">
        <x:v>4</x:v>
      </x:c>
      <x:c r="G421" s="380" t="n">
        <x:f>--(F421&lt;='Estimator'!$B$7)</x:f>
        <x:v>1</x:v>
      </x:c>
      <x:c r="H421" s="381" t="n">
        <x:f>SUMIFS('Climate Data'!$G$7:$G$366,'Climate Data'!$A$7:$A$366,'Estimator'!$B$4,'Climate Data'!$B$7:$B$366,C421)</x:f>
        <x:v>0.23056278464541316</x:v>
      </x:c>
      <x:c r="I421" s="382" t="n">
        <x:f>SUMIFS('Climate Data'!$H$7:$H$366,'Climate Data'!$A$7:$A$366,'Estimator'!$B$4,'Climate Data'!$B$7:$B$366,C421)</x:f>
        <x:v>9.682010582010582</x:v>
      </x:c>
      <x:c r="J421" s="381" t="n">
        <x:f>SUMIFS('Wind Proxy'!$H$8:$H$19,'Wind Proxy'!$A$8:$A$19,'Estimator'!$B$4,'Wind Proxy'!$B$8:$B$19,C421)</x:f>
        <x:v>0.13757861635220128</x:v>
      </x:c>
    </x:row>
    <x:row r="422">
      <x:c r="A422" s="379" t="n">
        <x:v>46073</x:v>
      </x:c>
      <x:c r="B422" s="380" t="n">
        <x:v>2026</x:v>
      </x:c>
      <x:c r="C422" s="380" t="n">
        <x:v>2</x:v>
      </x:c>
      <x:c r="D422" s="380" t="str">
        <x:v>Feb</x:v>
      </x:c>
      <x:c r="E422" s="380" t="n">
        <x:v>20</x:v>
      </x:c>
      <x:c r="F422" s="380" t="n">
        <x:v>5</x:v>
      </x:c>
      <x:c r="G422" s="380" t="n">
        <x:f>--(F422&lt;='Estimator'!$B$7)</x:f>
        <x:v>1</x:v>
      </x:c>
      <x:c r="H422" s="381" t="n">
        <x:f>SUMIFS('Climate Data'!$G$7:$G$366,'Climate Data'!$A$7:$A$366,'Estimator'!$B$4,'Climate Data'!$B$7:$B$366,C422)</x:f>
        <x:v>0.23056278464541316</x:v>
      </x:c>
      <x:c r="I422" s="382" t="n">
        <x:f>SUMIFS('Climate Data'!$H$7:$H$366,'Climate Data'!$A$7:$A$366,'Estimator'!$B$4,'Climate Data'!$B$7:$B$366,C422)</x:f>
        <x:v>9.682010582010582</x:v>
      </x:c>
      <x:c r="J422" s="381" t="n">
        <x:f>SUMIFS('Wind Proxy'!$H$8:$H$19,'Wind Proxy'!$A$8:$A$19,'Estimator'!$B$4,'Wind Proxy'!$B$8:$B$19,C422)</x:f>
        <x:v>0.13757861635220128</x:v>
      </x:c>
    </x:row>
    <x:row r="423">
      <x:c r="A423" s="379" t="n">
        <x:v>46074</x:v>
      </x:c>
      <x:c r="B423" s="380" t="n">
        <x:v>2026</x:v>
      </x:c>
      <x:c r="C423" s="380" t="n">
        <x:v>2</x:v>
      </x:c>
      <x:c r="D423" s="380" t="str">
        <x:v>Feb</x:v>
      </x:c>
      <x:c r="E423" s="380" t="n">
        <x:v>21</x:v>
      </x:c>
      <x:c r="F423" s="380" t="n">
        <x:v>6</x:v>
      </x:c>
      <x:c r="G423" s="380" t="n">
        <x:f>--(F423&lt;='Estimator'!$B$7)</x:f>
        <x:v>0</x:v>
      </x:c>
      <x:c r="H423" s="381" t="n">
        <x:f>SUMIFS('Climate Data'!$G$7:$G$366,'Climate Data'!$A$7:$A$366,'Estimator'!$B$4,'Climate Data'!$B$7:$B$366,C423)</x:f>
        <x:v>0.23056278464541316</x:v>
      </x:c>
      <x:c r="I423" s="382" t="n">
        <x:f>SUMIFS('Climate Data'!$H$7:$H$366,'Climate Data'!$A$7:$A$366,'Estimator'!$B$4,'Climate Data'!$B$7:$B$366,C423)</x:f>
        <x:v>9.682010582010582</x:v>
      </x:c>
      <x:c r="J423" s="381" t="n">
        <x:f>SUMIFS('Wind Proxy'!$H$8:$H$19,'Wind Proxy'!$A$8:$A$19,'Estimator'!$B$4,'Wind Proxy'!$B$8:$B$19,C423)</x:f>
        <x:v>0.13757861635220128</x:v>
      </x:c>
    </x:row>
    <x:row r="424">
      <x:c r="A424" s="379" t="n">
        <x:v>46075</x:v>
      </x:c>
      <x:c r="B424" s="380" t="n">
        <x:v>2026</x:v>
      </x:c>
      <x:c r="C424" s="380" t="n">
        <x:v>2</x:v>
      </x:c>
      <x:c r="D424" s="380" t="str">
        <x:v>Feb</x:v>
      </x:c>
      <x:c r="E424" s="380" t="n">
        <x:v>22</x:v>
      </x:c>
      <x:c r="F424" s="380" t="n">
        <x:v>7</x:v>
      </x:c>
      <x:c r="G424" s="380" t="n">
        <x:f>--(F424&lt;='Estimator'!$B$7)</x:f>
        <x:v>0</x:v>
      </x:c>
      <x:c r="H424" s="381" t="n">
        <x:f>SUMIFS('Climate Data'!$G$7:$G$366,'Climate Data'!$A$7:$A$366,'Estimator'!$B$4,'Climate Data'!$B$7:$B$366,C424)</x:f>
        <x:v>0.23056278464541316</x:v>
      </x:c>
      <x:c r="I424" s="382" t="n">
        <x:f>SUMIFS('Climate Data'!$H$7:$H$366,'Climate Data'!$A$7:$A$366,'Estimator'!$B$4,'Climate Data'!$B$7:$B$366,C424)</x:f>
        <x:v>9.682010582010582</x:v>
      </x:c>
      <x:c r="J424" s="381" t="n">
        <x:f>SUMIFS('Wind Proxy'!$H$8:$H$19,'Wind Proxy'!$A$8:$A$19,'Estimator'!$B$4,'Wind Proxy'!$B$8:$B$19,C424)</x:f>
        <x:v>0.13757861635220128</x:v>
      </x:c>
    </x:row>
    <x:row r="425">
      <x:c r="A425" s="379" t="n">
        <x:v>46076</x:v>
      </x:c>
      <x:c r="B425" s="380" t="n">
        <x:v>2026</x:v>
      </x:c>
      <x:c r="C425" s="380" t="n">
        <x:v>2</x:v>
      </x:c>
      <x:c r="D425" s="380" t="str">
        <x:v>Feb</x:v>
      </x:c>
      <x:c r="E425" s="380" t="n">
        <x:v>23</x:v>
      </x:c>
      <x:c r="F425" s="380" t="n">
        <x:v>1</x:v>
      </x:c>
      <x:c r="G425" s="380" t="n">
        <x:f>--(F425&lt;='Estimator'!$B$7)</x:f>
        <x:v>1</x:v>
      </x:c>
      <x:c r="H425" s="381" t="n">
        <x:f>SUMIFS('Climate Data'!$G$7:$G$366,'Climate Data'!$A$7:$A$366,'Estimator'!$B$4,'Climate Data'!$B$7:$B$366,C425)</x:f>
        <x:v>0.23056278464541316</x:v>
      </x:c>
      <x:c r="I425" s="382" t="n">
        <x:f>SUMIFS('Climate Data'!$H$7:$H$366,'Climate Data'!$A$7:$A$366,'Estimator'!$B$4,'Climate Data'!$B$7:$B$366,C425)</x:f>
        <x:v>9.682010582010582</x:v>
      </x:c>
      <x:c r="J425" s="381" t="n">
        <x:f>SUMIFS('Wind Proxy'!$H$8:$H$19,'Wind Proxy'!$A$8:$A$19,'Estimator'!$B$4,'Wind Proxy'!$B$8:$B$19,C425)</x:f>
        <x:v>0.13757861635220128</x:v>
      </x:c>
    </x:row>
    <x:row r="426">
      <x:c r="A426" s="379" t="n">
        <x:v>46077</x:v>
      </x:c>
      <x:c r="B426" s="380" t="n">
        <x:v>2026</x:v>
      </x:c>
      <x:c r="C426" s="380" t="n">
        <x:v>2</x:v>
      </x:c>
      <x:c r="D426" s="380" t="str">
        <x:v>Feb</x:v>
      </x:c>
      <x:c r="E426" s="380" t="n">
        <x:v>24</x:v>
      </x:c>
      <x:c r="F426" s="380" t="n">
        <x:v>2</x:v>
      </x:c>
      <x:c r="G426" s="380" t="n">
        <x:f>--(F426&lt;='Estimator'!$B$7)</x:f>
        <x:v>1</x:v>
      </x:c>
      <x:c r="H426" s="381" t="n">
        <x:f>SUMIFS('Climate Data'!$G$7:$G$366,'Climate Data'!$A$7:$A$366,'Estimator'!$B$4,'Climate Data'!$B$7:$B$366,C426)</x:f>
        <x:v>0.23056278464541316</x:v>
      </x:c>
      <x:c r="I426" s="382" t="n">
        <x:f>SUMIFS('Climate Data'!$H$7:$H$366,'Climate Data'!$A$7:$A$366,'Estimator'!$B$4,'Climate Data'!$B$7:$B$366,C426)</x:f>
        <x:v>9.682010582010582</x:v>
      </x:c>
      <x:c r="J426" s="381" t="n">
        <x:f>SUMIFS('Wind Proxy'!$H$8:$H$19,'Wind Proxy'!$A$8:$A$19,'Estimator'!$B$4,'Wind Proxy'!$B$8:$B$19,C426)</x:f>
        <x:v>0.13757861635220128</x:v>
      </x:c>
    </x:row>
    <x:row r="427">
      <x:c r="A427" s="379" t="n">
        <x:v>46078</x:v>
      </x:c>
      <x:c r="B427" s="380" t="n">
        <x:v>2026</x:v>
      </x:c>
      <x:c r="C427" s="380" t="n">
        <x:v>2</x:v>
      </x:c>
      <x:c r="D427" s="380" t="str">
        <x:v>Feb</x:v>
      </x:c>
      <x:c r="E427" s="380" t="n">
        <x:v>25</x:v>
      </x:c>
      <x:c r="F427" s="380" t="n">
        <x:v>3</x:v>
      </x:c>
      <x:c r="G427" s="380" t="n">
        <x:f>--(F427&lt;='Estimator'!$B$7)</x:f>
        <x:v>1</x:v>
      </x:c>
      <x:c r="H427" s="381" t="n">
        <x:f>SUMIFS('Climate Data'!$G$7:$G$366,'Climate Data'!$A$7:$A$366,'Estimator'!$B$4,'Climate Data'!$B$7:$B$366,C427)</x:f>
        <x:v>0.23056278464541316</x:v>
      </x:c>
      <x:c r="I427" s="382" t="n">
        <x:f>SUMIFS('Climate Data'!$H$7:$H$366,'Climate Data'!$A$7:$A$366,'Estimator'!$B$4,'Climate Data'!$B$7:$B$366,C427)</x:f>
        <x:v>9.682010582010582</x:v>
      </x:c>
      <x:c r="J427" s="381" t="n">
        <x:f>SUMIFS('Wind Proxy'!$H$8:$H$19,'Wind Proxy'!$A$8:$A$19,'Estimator'!$B$4,'Wind Proxy'!$B$8:$B$19,C427)</x:f>
        <x:v>0.13757861635220128</x:v>
      </x:c>
    </x:row>
    <x:row r="428">
      <x:c r="A428" s="379" t="n">
        <x:v>46079</x:v>
      </x:c>
      <x:c r="B428" s="380" t="n">
        <x:v>2026</x:v>
      </x:c>
      <x:c r="C428" s="380" t="n">
        <x:v>2</x:v>
      </x:c>
      <x:c r="D428" s="380" t="str">
        <x:v>Feb</x:v>
      </x:c>
      <x:c r="E428" s="380" t="n">
        <x:v>26</x:v>
      </x:c>
      <x:c r="F428" s="380" t="n">
        <x:v>4</x:v>
      </x:c>
      <x:c r="G428" s="380" t="n">
        <x:f>--(F428&lt;='Estimator'!$B$7)</x:f>
        <x:v>1</x:v>
      </x:c>
      <x:c r="H428" s="381" t="n">
        <x:f>SUMIFS('Climate Data'!$G$7:$G$366,'Climate Data'!$A$7:$A$366,'Estimator'!$B$4,'Climate Data'!$B$7:$B$366,C428)</x:f>
        <x:v>0.23056278464541316</x:v>
      </x:c>
      <x:c r="I428" s="382" t="n">
        <x:f>SUMIFS('Climate Data'!$H$7:$H$366,'Climate Data'!$A$7:$A$366,'Estimator'!$B$4,'Climate Data'!$B$7:$B$366,C428)</x:f>
        <x:v>9.682010582010582</x:v>
      </x:c>
      <x:c r="J428" s="381" t="n">
        <x:f>SUMIFS('Wind Proxy'!$H$8:$H$19,'Wind Proxy'!$A$8:$A$19,'Estimator'!$B$4,'Wind Proxy'!$B$8:$B$19,C428)</x:f>
        <x:v>0.13757861635220128</x:v>
      </x:c>
    </x:row>
    <x:row r="429">
      <x:c r="A429" s="379" t="n">
        <x:v>46080</x:v>
      </x:c>
      <x:c r="B429" s="380" t="n">
        <x:v>2026</x:v>
      </x:c>
      <x:c r="C429" s="380" t="n">
        <x:v>2</x:v>
      </x:c>
      <x:c r="D429" s="380" t="str">
        <x:v>Feb</x:v>
      </x:c>
      <x:c r="E429" s="380" t="n">
        <x:v>27</x:v>
      </x:c>
      <x:c r="F429" s="380" t="n">
        <x:v>5</x:v>
      </x:c>
      <x:c r="G429" s="380" t="n">
        <x:f>--(F429&lt;='Estimator'!$B$7)</x:f>
        <x:v>1</x:v>
      </x:c>
      <x:c r="H429" s="381" t="n">
        <x:f>SUMIFS('Climate Data'!$G$7:$G$366,'Climate Data'!$A$7:$A$366,'Estimator'!$B$4,'Climate Data'!$B$7:$B$366,C429)</x:f>
        <x:v>0.23056278464541316</x:v>
      </x:c>
      <x:c r="I429" s="382" t="n">
        <x:f>SUMIFS('Climate Data'!$H$7:$H$366,'Climate Data'!$A$7:$A$366,'Estimator'!$B$4,'Climate Data'!$B$7:$B$366,C429)</x:f>
        <x:v>9.682010582010582</x:v>
      </x:c>
      <x:c r="J429" s="381" t="n">
        <x:f>SUMIFS('Wind Proxy'!$H$8:$H$19,'Wind Proxy'!$A$8:$A$19,'Estimator'!$B$4,'Wind Proxy'!$B$8:$B$19,C429)</x:f>
        <x:v>0.13757861635220128</x:v>
      </x:c>
    </x:row>
    <x:row r="430">
      <x:c r="A430" s="379" t="n">
        <x:v>46081</x:v>
      </x:c>
      <x:c r="B430" s="380" t="n">
        <x:v>2026</x:v>
      </x:c>
      <x:c r="C430" s="380" t="n">
        <x:v>2</x:v>
      </x:c>
      <x:c r="D430" s="380" t="str">
        <x:v>Feb</x:v>
      </x:c>
      <x:c r="E430" s="380" t="n">
        <x:v>28</x:v>
      </x:c>
      <x:c r="F430" s="380" t="n">
        <x:v>6</x:v>
      </x:c>
      <x:c r="G430" s="380" t="n">
        <x:f>--(F430&lt;='Estimator'!$B$7)</x:f>
        <x:v>0</x:v>
      </x:c>
      <x:c r="H430" s="381" t="n">
        <x:f>SUMIFS('Climate Data'!$G$7:$G$366,'Climate Data'!$A$7:$A$366,'Estimator'!$B$4,'Climate Data'!$B$7:$B$366,C430)</x:f>
        <x:v>0.23056278464541316</x:v>
      </x:c>
      <x:c r="I430" s="382" t="n">
        <x:f>SUMIFS('Climate Data'!$H$7:$H$366,'Climate Data'!$A$7:$A$366,'Estimator'!$B$4,'Climate Data'!$B$7:$B$366,C430)</x:f>
        <x:v>9.682010582010582</x:v>
      </x:c>
      <x:c r="J430" s="381" t="n">
        <x:f>SUMIFS('Wind Proxy'!$H$8:$H$19,'Wind Proxy'!$A$8:$A$19,'Estimator'!$B$4,'Wind Proxy'!$B$8:$B$19,C430)</x:f>
        <x:v>0.13757861635220128</x:v>
      </x:c>
    </x:row>
    <x:row r="431">
      <x:c r="A431" s="379" t="n">
        <x:v>46082</x:v>
      </x:c>
      <x:c r="B431" s="380" t="n">
        <x:v>2026</x:v>
      </x:c>
      <x:c r="C431" s="380" t="n">
        <x:v>3</x:v>
      </x:c>
      <x:c r="D431" s="380" t="str">
        <x:v>Mar</x:v>
      </x:c>
      <x:c r="E431" s="380" t="n">
        <x:v>1</x:v>
      </x:c>
      <x:c r="F431" s="380" t="n">
        <x:v>7</x:v>
      </x:c>
      <x:c r="G431" s="380" t="n">
        <x:f>--(F431&lt;='Estimator'!$B$7)</x:f>
        <x:v>0</x:v>
      </x:c>
      <x:c r="H431" s="381" t="n">
        <x:f>SUMIFS('Climate Data'!$G$7:$G$366,'Climate Data'!$A$7:$A$366,'Estimator'!$B$4,'Climate Data'!$B$7:$B$366,C431)</x:f>
        <x:v>0.24916573971078979</x:v>
      </x:c>
      <x:c r="I431" s="382" t="n">
        <x:f>SUMIFS('Climate Data'!$H$7:$H$366,'Climate Data'!$A$7:$A$366,'Estimator'!$B$4,'Climate Data'!$B$7:$B$366,C431)</x:f>
        <x:v>9.709821428571429</x:v>
      </x:c>
      <x:c r="J431" s="381" t="n">
        <x:f>SUMIFS('Wind Proxy'!$H$8:$H$19,'Wind Proxy'!$A$8:$A$19,'Estimator'!$B$4,'Wind Proxy'!$B$8:$B$19,C431)</x:f>
        <x:v>0.11350059737156513</x:v>
      </x:c>
    </x:row>
    <x:row r="432">
      <x:c r="A432" s="379" t="n">
        <x:v>46083</x:v>
      </x:c>
      <x:c r="B432" s="380" t="n">
        <x:v>2026</x:v>
      </x:c>
      <x:c r="C432" s="380" t="n">
        <x:v>3</x:v>
      </x:c>
      <x:c r="D432" s="380" t="str">
        <x:v>Mar</x:v>
      </x:c>
      <x:c r="E432" s="380" t="n">
        <x:v>2</x:v>
      </x:c>
      <x:c r="F432" s="380" t="n">
        <x:v>1</x:v>
      </x:c>
      <x:c r="G432" s="380" t="n">
        <x:f>--(F432&lt;='Estimator'!$B$7)</x:f>
        <x:v>1</x:v>
      </x:c>
      <x:c r="H432" s="381" t="n">
        <x:f>SUMIFS('Climate Data'!$G$7:$G$366,'Climate Data'!$A$7:$A$366,'Estimator'!$B$4,'Climate Data'!$B$7:$B$366,C432)</x:f>
        <x:v>0.24916573971078979</x:v>
      </x:c>
      <x:c r="I432" s="382" t="n">
        <x:f>SUMIFS('Climate Data'!$H$7:$H$366,'Climate Data'!$A$7:$A$366,'Estimator'!$B$4,'Climate Data'!$B$7:$B$366,C432)</x:f>
        <x:v>9.709821428571429</x:v>
      </x:c>
      <x:c r="J432" s="381" t="n">
        <x:f>SUMIFS('Wind Proxy'!$H$8:$H$19,'Wind Proxy'!$A$8:$A$19,'Estimator'!$B$4,'Wind Proxy'!$B$8:$B$19,C432)</x:f>
        <x:v>0.11350059737156513</x:v>
      </x:c>
    </x:row>
    <x:row r="433">
      <x:c r="A433" s="379" t="n">
        <x:v>46084</x:v>
      </x:c>
      <x:c r="B433" s="380" t="n">
        <x:v>2026</x:v>
      </x:c>
      <x:c r="C433" s="380" t="n">
        <x:v>3</x:v>
      </x:c>
      <x:c r="D433" s="380" t="str">
        <x:v>Mar</x:v>
      </x:c>
      <x:c r="E433" s="380" t="n">
        <x:v>3</x:v>
      </x:c>
      <x:c r="F433" s="380" t="n">
        <x:v>2</x:v>
      </x:c>
      <x:c r="G433" s="380" t="n">
        <x:f>--(F433&lt;='Estimator'!$B$7)</x:f>
        <x:v>1</x:v>
      </x:c>
      <x:c r="H433" s="381" t="n">
        <x:f>SUMIFS('Climate Data'!$G$7:$G$366,'Climate Data'!$A$7:$A$366,'Estimator'!$B$4,'Climate Data'!$B$7:$B$366,C433)</x:f>
        <x:v>0.24916573971078979</x:v>
      </x:c>
      <x:c r="I433" s="382" t="n">
        <x:f>SUMIFS('Climate Data'!$H$7:$H$366,'Climate Data'!$A$7:$A$366,'Estimator'!$B$4,'Climate Data'!$B$7:$B$366,C433)</x:f>
        <x:v>9.709821428571429</x:v>
      </x:c>
      <x:c r="J433" s="381" t="n">
        <x:f>SUMIFS('Wind Proxy'!$H$8:$H$19,'Wind Proxy'!$A$8:$A$19,'Estimator'!$B$4,'Wind Proxy'!$B$8:$B$19,C433)</x:f>
        <x:v>0.11350059737156513</x:v>
      </x:c>
    </x:row>
    <x:row r="434">
      <x:c r="A434" s="379" t="n">
        <x:v>46085</x:v>
      </x:c>
      <x:c r="B434" s="380" t="n">
        <x:v>2026</x:v>
      </x:c>
      <x:c r="C434" s="380" t="n">
        <x:v>3</x:v>
      </x:c>
      <x:c r="D434" s="380" t="str">
        <x:v>Mar</x:v>
      </x:c>
      <x:c r="E434" s="380" t="n">
        <x:v>4</x:v>
      </x:c>
      <x:c r="F434" s="380" t="n">
        <x:v>3</x:v>
      </x:c>
      <x:c r="G434" s="380" t="n">
        <x:f>--(F434&lt;='Estimator'!$B$7)</x:f>
        <x:v>1</x:v>
      </x:c>
      <x:c r="H434" s="381" t="n">
        <x:f>SUMIFS('Climate Data'!$G$7:$G$366,'Climate Data'!$A$7:$A$366,'Estimator'!$B$4,'Climate Data'!$B$7:$B$366,C434)</x:f>
        <x:v>0.24916573971078979</x:v>
      </x:c>
      <x:c r="I434" s="382" t="n">
        <x:f>SUMIFS('Climate Data'!$H$7:$H$366,'Climate Data'!$A$7:$A$366,'Estimator'!$B$4,'Climate Data'!$B$7:$B$366,C434)</x:f>
        <x:v>9.709821428571429</x:v>
      </x:c>
      <x:c r="J434" s="381" t="n">
        <x:f>SUMIFS('Wind Proxy'!$H$8:$H$19,'Wind Proxy'!$A$8:$A$19,'Estimator'!$B$4,'Wind Proxy'!$B$8:$B$19,C434)</x:f>
        <x:v>0.11350059737156513</x:v>
      </x:c>
    </x:row>
    <x:row r="435">
      <x:c r="A435" s="379" t="n">
        <x:v>46086</x:v>
      </x:c>
      <x:c r="B435" s="380" t="n">
        <x:v>2026</x:v>
      </x:c>
      <x:c r="C435" s="380" t="n">
        <x:v>3</x:v>
      </x:c>
      <x:c r="D435" s="380" t="str">
        <x:v>Mar</x:v>
      </x:c>
      <x:c r="E435" s="380" t="n">
        <x:v>5</x:v>
      </x:c>
      <x:c r="F435" s="380" t="n">
        <x:v>4</x:v>
      </x:c>
      <x:c r="G435" s="380" t="n">
        <x:f>--(F435&lt;='Estimator'!$B$7)</x:f>
        <x:v>1</x:v>
      </x:c>
      <x:c r="H435" s="381" t="n">
        <x:f>SUMIFS('Climate Data'!$G$7:$G$366,'Climate Data'!$A$7:$A$366,'Estimator'!$B$4,'Climate Data'!$B$7:$B$366,C435)</x:f>
        <x:v>0.24916573971078979</x:v>
      </x:c>
      <x:c r="I435" s="382" t="n">
        <x:f>SUMIFS('Climate Data'!$H$7:$H$366,'Climate Data'!$A$7:$A$366,'Estimator'!$B$4,'Climate Data'!$B$7:$B$366,C435)</x:f>
        <x:v>9.709821428571429</x:v>
      </x:c>
      <x:c r="J435" s="381" t="n">
        <x:f>SUMIFS('Wind Proxy'!$H$8:$H$19,'Wind Proxy'!$A$8:$A$19,'Estimator'!$B$4,'Wind Proxy'!$B$8:$B$19,C435)</x:f>
        <x:v>0.11350059737156513</x:v>
      </x:c>
    </x:row>
    <x:row r="436">
      <x:c r="A436" s="379" t="n">
        <x:v>46087</x:v>
      </x:c>
      <x:c r="B436" s="380" t="n">
        <x:v>2026</x:v>
      </x:c>
      <x:c r="C436" s="380" t="n">
        <x:v>3</x:v>
      </x:c>
      <x:c r="D436" s="380" t="str">
        <x:v>Mar</x:v>
      </x:c>
      <x:c r="E436" s="380" t="n">
        <x:v>6</x:v>
      </x:c>
      <x:c r="F436" s="380" t="n">
        <x:v>5</x:v>
      </x:c>
      <x:c r="G436" s="380" t="n">
        <x:f>--(F436&lt;='Estimator'!$B$7)</x:f>
        <x:v>1</x:v>
      </x:c>
      <x:c r="H436" s="381" t="n">
        <x:f>SUMIFS('Climate Data'!$G$7:$G$366,'Climate Data'!$A$7:$A$366,'Estimator'!$B$4,'Climate Data'!$B$7:$B$366,C436)</x:f>
        <x:v>0.24916573971078979</x:v>
      </x:c>
      <x:c r="I436" s="382" t="n">
        <x:f>SUMIFS('Climate Data'!$H$7:$H$366,'Climate Data'!$A$7:$A$366,'Estimator'!$B$4,'Climate Data'!$B$7:$B$366,C436)</x:f>
        <x:v>9.709821428571429</x:v>
      </x:c>
      <x:c r="J436" s="381" t="n">
        <x:f>SUMIFS('Wind Proxy'!$H$8:$H$19,'Wind Proxy'!$A$8:$A$19,'Estimator'!$B$4,'Wind Proxy'!$B$8:$B$19,C436)</x:f>
        <x:v>0.11350059737156513</x:v>
      </x:c>
    </x:row>
    <x:row r="437">
      <x:c r="A437" s="379" t="n">
        <x:v>46088</x:v>
      </x:c>
      <x:c r="B437" s="380" t="n">
        <x:v>2026</x:v>
      </x:c>
      <x:c r="C437" s="380" t="n">
        <x:v>3</x:v>
      </x:c>
      <x:c r="D437" s="380" t="str">
        <x:v>Mar</x:v>
      </x:c>
      <x:c r="E437" s="380" t="n">
        <x:v>7</x:v>
      </x:c>
      <x:c r="F437" s="380" t="n">
        <x:v>6</x:v>
      </x:c>
      <x:c r="G437" s="380" t="n">
        <x:f>--(F437&lt;='Estimator'!$B$7)</x:f>
        <x:v>0</x:v>
      </x:c>
      <x:c r="H437" s="381" t="n">
        <x:f>SUMIFS('Climate Data'!$G$7:$G$366,'Climate Data'!$A$7:$A$366,'Estimator'!$B$4,'Climate Data'!$B$7:$B$366,C437)</x:f>
        <x:v>0.24916573971078979</x:v>
      </x:c>
      <x:c r="I437" s="382" t="n">
        <x:f>SUMIFS('Climate Data'!$H$7:$H$366,'Climate Data'!$A$7:$A$366,'Estimator'!$B$4,'Climate Data'!$B$7:$B$366,C437)</x:f>
        <x:v>9.709821428571429</x:v>
      </x:c>
      <x:c r="J437" s="381" t="n">
        <x:f>SUMIFS('Wind Proxy'!$H$8:$H$19,'Wind Proxy'!$A$8:$A$19,'Estimator'!$B$4,'Wind Proxy'!$B$8:$B$19,C437)</x:f>
        <x:v>0.11350059737156513</x:v>
      </x:c>
    </x:row>
    <x:row r="438">
      <x:c r="A438" s="379" t="n">
        <x:v>46089</x:v>
      </x:c>
      <x:c r="B438" s="380" t="n">
        <x:v>2026</x:v>
      </x:c>
      <x:c r="C438" s="380" t="n">
        <x:v>3</x:v>
      </x:c>
      <x:c r="D438" s="380" t="str">
        <x:v>Mar</x:v>
      </x:c>
      <x:c r="E438" s="380" t="n">
        <x:v>8</x:v>
      </x:c>
      <x:c r="F438" s="380" t="n">
        <x:v>7</x:v>
      </x:c>
      <x:c r="G438" s="380" t="n">
        <x:f>--(F438&lt;='Estimator'!$B$7)</x:f>
        <x:v>0</x:v>
      </x:c>
      <x:c r="H438" s="381" t="n">
        <x:f>SUMIFS('Climate Data'!$G$7:$G$366,'Climate Data'!$A$7:$A$366,'Estimator'!$B$4,'Climate Data'!$B$7:$B$366,C438)</x:f>
        <x:v>0.24916573971078979</x:v>
      </x:c>
      <x:c r="I438" s="382" t="n">
        <x:f>SUMIFS('Climate Data'!$H$7:$H$366,'Climate Data'!$A$7:$A$366,'Estimator'!$B$4,'Climate Data'!$B$7:$B$366,C438)</x:f>
        <x:v>9.709821428571429</x:v>
      </x:c>
      <x:c r="J438" s="381" t="n">
        <x:f>SUMIFS('Wind Proxy'!$H$8:$H$19,'Wind Proxy'!$A$8:$A$19,'Estimator'!$B$4,'Wind Proxy'!$B$8:$B$19,C438)</x:f>
        <x:v>0.11350059737156513</x:v>
      </x:c>
    </x:row>
    <x:row r="439">
      <x:c r="A439" s="379" t="n">
        <x:v>46090</x:v>
      </x:c>
      <x:c r="B439" s="380" t="n">
        <x:v>2026</x:v>
      </x:c>
      <x:c r="C439" s="380" t="n">
        <x:v>3</x:v>
      </x:c>
      <x:c r="D439" s="380" t="str">
        <x:v>Mar</x:v>
      </x:c>
      <x:c r="E439" s="380" t="n">
        <x:v>9</x:v>
      </x:c>
      <x:c r="F439" s="380" t="n">
        <x:v>1</x:v>
      </x:c>
      <x:c r="G439" s="380" t="n">
        <x:f>--(F439&lt;='Estimator'!$B$7)</x:f>
        <x:v>1</x:v>
      </x:c>
      <x:c r="H439" s="381" t="n">
        <x:f>SUMIFS('Climate Data'!$G$7:$G$366,'Climate Data'!$A$7:$A$366,'Estimator'!$B$4,'Climate Data'!$B$7:$B$366,C439)</x:f>
        <x:v>0.24916573971078979</x:v>
      </x:c>
      <x:c r="I439" s="382" t="n">
        <x:f>SUMIFS('Climate Data'!$H$7:$H$366,'Climate Data'!$A$7:$A$366,'Estimator'!$B$4,'Climate Data'!$B$7:$B$366,C439)</x:f>
        <x:v>9.709821428571429</x:v>
      </x:c>
      <x:c r="J439" s="381" t="n">
        <x:f>SUMIFS('Wind Proxy'!$H$8:$H$19,'Wind Proxy'!$A$8:$A$19,'Estimator'!$B$4,'Wind Proxy'!$B$8:$B$19,C439)</x:f>
        <x:v>0.11350059737156513</x:v>
      </x:c>
    </x:row>
    <x:row r="440">
      <x:c r="A440" s="379" t="n">
        <x:v>46091</x:v>
      </x:c>
      <x:c r="B440" s="380" t="n">
        <x:v>2026</x:v>
      </x:c>
      <x:c r="C440" s="380" t="n">
        <x:v>3</x:v>
      </x:c>
      <x:c r="D440" s="380" t="str">
        <x:v>Mar</x:v>
      </x:c>
      <x:c r="E440" s="380" t="n">
        <x:v>10</x:v>
      </x:c>
      <x:c r="F440" s="380" t="n">
        <x:v>2</x:v>
      </x:c>
      <x:c r="G440" s="380" t="n">
        <x:f>--(F440&lt;='Estimator'!$B$7)</x:f>
        <x:v>1</x:v>
      </x:c>
      <x:c r="H440" s="381" t="n">
        <x:f>SUMIFS('Climate Data'!$G$7:$G$366,'Climate Data'!$A$7:$A$366,'Estimator'!$B$4,'Climate Data'!$B$7:$B$366,C440)</x:f>
        <x:v>0.24916573971078979</x:v>
      </x:c>
      <x:c r="I440" s="382" t="n">
        <x:f>SUMIFS('Climate Data'!$H$7:$H$366,'Climate Data'!$A$7:$A$366,'Estimator'!$B$4,'Climate Data'!$B$7:$B$366,C440)</x:f>
        <x:v>9.709821428571429</x:v>
      </x:c>
      <x:c r="J440" s="381" t="n">
        <x:f>SUMIFS('Wind Proxy'!$H$8:$H$19,'Wind Proxy'!$A$8:$A$19,'Estimator'!$B$4,'Wind Proxy'!$B$8:$B$19,C440)</x:f>
        <x:v>0.11350059737156513</x:v>
      </x:c>
    </x:row>
    <x:row r="441">
      <x:c r="A441" s="379" t="n">
        <x:v>46092</x:v>
      </x:c>
      <x:c r="B441" s="380" t="n">
        <x:v>2026</x:v>
      </x:c>
      <x:c r="C441" s="380" t="n">
        <x:v>3</x:v>
      </x:c>
      <x:c r="D441" s="380" t="str">
        <x:v>Mar</x:v>
      </x:c>
      <x:c r="E441" s="380" t="n">
        <x:v>11</x:v>
      </x:c>
      <x:c r="F441" s="380" t="n">
        <x:v>3</x:v>
      </x:c>
      <x:c r="G441" s="380" t="n">
        <x:f>--(F441&lt;='Estimator'!$B$7)</x:f>
        <x:v>1</x:v>
      </x:c>
      <x:c r="H441" s="381" t="n">
        <x:f>SUMIFS('Climate Data'!$G$7:$G$366,'Climate Data'!$A$7:$A$366,'Estimator'!$B$4,'Climate Data'!$B$7:$B$366,C441)</x:f>
        <x:v>0.24916573971078979</x:v>
      </x:c>
      <x:c r="I441" s="382" t="n">
        <x:f>SUMIFS('Climate Data'!$H$7:$H$366,'Climate Data'!$A$7:$A$366,'Estimator'!$B$4,'Climate Data'!$B$7:$B$366,C441)</x:f>
        <x:v>9.709821428571429</x:v>
      </x:c>
      <x:c r="J441" s="381" t="n">
        <x:f>SUMIFS('Wind Proxy'!$H$8:$H$19,'Wind Proxy'!$A$8:$A$19,'Estimator'!$B$4,'Wind Proxy'!$B$8:$B$19,C441)</x:f>
        <x:v>0.11350059737156513</x:v>
      </x:c>
    </x:row>
    <x:row r="442">
      <x:c r="A442" s="379" t="n">
        <x:v>46093</x:v>
      </x:c>
      <x:c r="B442" s="380" t="n">
        <x:v>2026</x:v>
      </x:c>
      <x:c r="C442" s="380" t="n">
        <x:v>3</x:v>
      </x:c>
      <x:c r="D442" s="380" t="str">
        <x:v>Mar</x:v>
      </x:c>
      <x:c r="E442" s="380" t="n">
        <x:v>12</x:v>
      </x:c>
      <x:c r="F442" s="380" t="n">
        <x:v>4</x:v>
      </x:c>
      <x:c r="G442" s="380" t="n">
        <x:f>--(F442&lt;='Estimator'!$B$7)</x:f>
        <x:v>1</x:v>
      </x:c>
      <x:c r="H442" s="381" t="n">
        <x:f>SUMIFS('Climate Data'!$G$7:$G$366,'Climate Data'!$A$7:$A$366,'Estimator'!$B$4,'Climate Data'!$B$7:$B$366,C442)</x:f>
        <x:v>0.24916573971078979</x:v>
      </x:c>
      <x:c r="I442" s="382" t="n">
        <x:f>SUMIFS('Climate Data'!$H$7:$H$366,'Climate Data'!$A$7:$A$366,'Estimator'!$B$4,'Climate Data'!$B$7:$B$366,C442)</x:f>
        <x:v>9.709821428571429</x:v>
      </x:c>
      <x:c r="J442" s="381" t="n">
        <x:f>SUMIFS('Wind Proxy'!$H$8:$H$19,'Wind Proxy'!$A$8:$A$19,'Estimator'!$B$4,'Wind Proxy'!$B$8:$B$19,C442)</x:f>
        <x:v>0.11350059737156513</x:v>
      </x:c>
    </x:row>
    <x:row r="443">
      <x:c r="A443" s="379" t="n">
        <x:v>46094</x:v>
      </x:c>
      <x:c r="B443" s="380" t="n">
        <x:v>2026</x:v>
      </x:c>
      <x:c r="C443" s="380" t="n">
        <x:v>3</x:v>
      </x:c>
      <x:c r="D443" s="380" t="str">
        <x:v>Mar</x:v>
      </x:c>
      <x:c r="E443" s="380" t="n">
        <x:v>13</x:v>
      </x:c>
      <x:c r="F443" s="380" t="n">
        <x:v>5</x:v>
      </x:c>
      <x:c r="G443" s="380" t="n">
        <x:f>--(F443&lt;='Estimator'!$B$7)</x:f>
        <x:v>1</x:v>
      </x:c>
      <x:c r="H443" s="381" t="n">
        <x:f>SUMIFS('Climate Data'!$G$7:$G$366,'Climate Data'!$A$7:$A$366,'Estimator'!$B$4,'Climate Data'!$B$7:$B$366,C443)</x:f>
        <x:v>0.24916573971078979</x:v>
      </x:c>
      <x:c r="I443" s="382" t="n">
        <x:f>SUMIFS('Climate Data'!$H$7:$H$366,'Climate Data'!$A$7:$A$366,'Estimator'!$B$4,'Climate Data'!$B$7:$B$366,C443)</x:f>
        <x:v>9.709821428571429</x:v>
      </x:c>
      <x:c r="J443" s="381" t="n">
        <x:f>SUMIFS('Wind Proxy'!$H$8:$H$19,'Wind Proxy'!$A$8:$A$19,'Estimator'!$B$4,'Wind Proxy'!$B$8:$B$19,C443)</x:f>
        <x:v>0.11350059737156513</x:v>
      </x:c>
    </x:row>
    <x:row r="444">
      <x:c r="A444" s="379" t="n">
        <x:v>46095</x:v>
      </x:c>
      <x:c r="B444" s="380" t="n">
        <x:v>2026</x:v>
      </x:c>
      <x:c r="C444" s="380" t="n">
        <x:v>3</x:v>
      </x:c>
      <x:c r="D444" s="380" t="str">
        <x:v>Mar</x:v>
      </x:c>
      <x:c r="E444" s="380" t="n">
        <x:v>14</x:v>
      </x:c>
      <x:c r="F444" s="380" t="n">
        <x:v>6</x:v>
      </x:c>
      <x:c r="G444" s="380" t="n">
        <x:f>--(F444&lt;='Estimator'!$B$7)</x:f>
        <x:v>0</x:v>
      </x:c>
      <x:c r="H444" s="381" t="n">
        <x:f>SUMIFS('Climate Data'!$G$7:$G$366,'Climate Data'!$A$7:$A$366,'Estimator'!$B$4,'Climate Data'!$B$7:$B$366,C444)</x:f>
        <x:v>0.24916573971078979</x:v>
      </x:c>
      <x:c r="I444" s="382" t="n">
        <x:f>SUMIFS('Climate Data'!$H$7:$H$366,'Climate Data'!$A$7:$A$366,'Estimator'!$B$4,'Climate Data'!$B$7:$B$366,C444)</x:f>
        <x:v>9.709821428571429</x:v>
      </x:c>
      <x:c r="J444" s="381" t="n">
        <x:f>SUMIFS('Wind Proxy'!$H$8:$H$19,'Wind Proxy'!$A$8:$A$19,'Estimator'!$B$4,'Wind Proxy'!$B$8:$B$19,C444)</x:f>
        <x:v>0.11350059737156513</x:v>
      </x:c>
    </x:row>
    <x:row r="445">
      <x:c r="A445" s="379" t="n">
        <x:v>46096</x:v>
      </x:c>
      <x:c r="B445" s="380" t="n">
        <x:v>2026</x:v>
      </x:c>
      <x:c r="C445" s="380" t="n">
        <x:v>3</x:v>
      </x:c>
      <x:c r="D445" s="380" t="str">
        <x:v>Mar</x:v>
      </x:c>
      <x:c r="E445" s="380" t="n">
        <x:v>15</x:v>
      </x:c>
      <x:c r="F445" s="380" t="n">
        <x:v>7</x:v>
      </x:c>
      <x:c r="G445" s="380" t="n">
        <x:f>--(F445&lt;='Estimator'!$B$7)</x:f>
        <x:v>0</x:v>
      </x:c>
      <x:c r="H445" s="381" t="n">
        <x:f>SUMIFS('Climate Data'!$G$7:$G$366,'Climate Data'!$A$7:$A$366,'Estimator'!$B$4,'Climate Data'!$B$7:$B$366,C445)</x:f>
        <x:v>0.24916573971078979</x:v>
      </x:c>
      <x:c r="I445" s="382" t="n">
        <x:f>SUMIFS('Climate Data'!$H$7:$H$366,'Climate Data'!$A$7:$A$366,'Estimator'!$B$4,'Climate Data'!$B$7:$B$366,C445)</x:f>
        <x:v>9.709821428571429</x:v>
      </x:c>
      <x:c r="J445" s="381" t="n">
        <x:f>SUMIFS('Wind Proxy'!$H$8:$H$19,'Wind Proxy'!$A$8:$A$19,'Estimator'!$B$4,'Wind Proxy'!$B$8:$B$19,C445)</x:f>
        <x:v>0.11350059737156513</x:v>
      </x:c>
    </x:row>
    <x:row r="446">
      <x:c r="A446" s="379" t="n">
        <x:v>46097</x:v>
      </x:c>
      <x:c r="B446" s="380" t="n">
        <x:v>2026</x:v>
      </x:c>
      <x:c r="C446" s="380" t="n">
        <x:v>3</x:v>
      </x:c>
      <x:c r="D446" s="380" t="str">
        <x:v>Mar</x:v>
      </x:c>
      <x:c r="E446" s="380" t="n">
        <x:v>16</x:v>
      </x:c>
      <x:c r="F446" s="380" t="n">
        <x:v>1</x:v>
      </x:c>
      <x:c r="G446" s="380" t="n">
        <x:f>--(F446&lt;='Estimator'!$B$7)</x:f>
        <x:v>1</x:v>
      </x:c>
      <x:c r="H446" s="381" t="n">
        <x:f>SUMIFS('Climate Data'!$G$7:$G$366,'Climate Data'!$A$7:$A$366,'Estimator'!$B$4,'Climate Data'!$B$7:$B$366,C446)</x:f>
        <x:v>0.24916573971078979</x:v>
      </x:c>
      <x:c r="I446" s="382" t="n">
        <x:f>SUMIFS('Climate Data'!$H$7:$H$366,'Climate Data'!$A$7:$A$366,'Estimator'!$B$4,'Climate Data'!$B$7:$B$366,C446)</x:f>
        <x:v>9.709821428571429</x:v>
      </x:c>
      <x:c r="J446" s="381" t="n">
        <x:f>SUMIFS('Wind Proxy'!$H$8:$H$19,'Wind Proxy'!$A$8:$A$19,'Estimator'!$B$4,'Wind Proxy'!$B$8:$B$19,C446)</x:f>
        <x:v>0.11350059737156513</x:v>
      </x:c>
    </x:row>
    <x:row r="447">
      <x:c r="A447" s="379" t="n">
        <x:v>46098</x:v>
      </x:c>
      <x:c r="B447" s="380" t="n">
        <x:v>2026</x:v>
      </x:c>
      <x:c r="C447" s="380" t="n">
        <x:v>3</x:v>
      </x:c>
      <x:c r="D447" s="380" t="str">
        <x:v>Mar</x:v>
      </x:c>
      <x:c r="E447" s="380" t="n">
        <x:v>17</x:v>
      </x:c>
      <x:c r="F447" s="380" t="n">
        <x:v>2</x:v>
      </x:c>
      <x:c r="G447" s="380" t="n">
        <x:f>--(F447&lt;='Estimator'!$B$7)</x:f>
        <x:v>1</x:v>
      </x:c>
      <x:c r="H447" s="381" t="n">
        <x:f>SUMIFS('Climate Data'!$G$7:$G$366,'Climate Data'!$A$7:$A$366,'Estimator'!$B$4,'Climate Data'!$B$7:$B$366,C447)</x:f>
        <x:v>0.24916573971078979</x:v>
      </x:c>
      <x:c r="I447" s="382" t="n">
        <x:f>SUMIFS('Climate Data'!$H$7:$H$366,'Climate Data'!$A$7:$A$366,'Estimator'!$B$4,'Climate Data'!$B$7:$B$366,C447)</x:f>
        <x:v>9.709821428571429</x:v>
      </x:c>
      <x:c r="J447" s="381" t="n">
        <x:f>SUMIFS('Wind Proxy'!$H$8:$H$19,'Wind Proxy'!$A$8:$A$19,'Estimator'!$B$4,'Wind Proxy'!$B$8:$B$19,C447)</x:f>
        <x:v>0.11350059737156513</x:v>
      </x:c>
    </x:row>
    <x:row r="448">
      <x:c r="A448" s="379" t="n">
        <x:v>46099</x:v>
      </x:c>
      <x:c r="B448" s="380" t="n">
        <x:v>2026</x:v>
      </x:c>
      <x:c r="C448" s="380" t="n">
        <x:v>3</x:v>
      </x:c>
      <x:c r="D448" s="380" t="str">
        <x:v>Mar</x:v>
      </x:c>
      <x:c r="E448" s="380" t="n">
        <x:v>18</x:v>
      </x:c>
      <x:c r="F448" s="380" t="n">
        <x:v>3</x:v>
      </x:c>
      <x:c r="G448" s="380" t="n">
        <x:f>--(F448&lt;='Estimator'!$B$7)</x:f>
        <x:v>1</x:v>
      </x:c>
      <x:c r="H448" s="381" t="n">
        <x:f>SUMIFS('Climate Data'!$G$7:$G$366,'Climate Data'!$A$7:$A$366,'Estimator'!$B$4,'Climate Data'!$B$7:$B$366,C448)</x:f>
        <x:v>0.24916573971078979</x:v>
      </x:c>
      <x:c r="I448" s="382" t="n">
        <x:f>SUMIFS('Climate Data'!$H$7:$H$366,'Climate Data'!$A$7:$A$366,'Estimator'!$B$4,'Climate Data'!$B$7:$B$366,C448)</x:f>
        <x:v>9.709821428571429</x:v>
      </x:c>
      <x:c r="J448" s="381" t="n">
        <x:f>SUMIFS('Wind Proxy'!$H$8:$H$19,'Wind Proxy'!$A$8:$A$19,'Estimator'!$B$4,'Wind Proxy'!$B$8:$B$19,C448)</x:f>
        <x:v>0.11350059737156513</x:v>
      </x:c>
    </x:row>
    <x:row r="449">
      <x:c r="A449" s="379" t="n">
        <x:v>46100</x:v>
      </x:c>
      <x:c r="B449" s="380" t="n">
        <x:v>2026</x:v>
      </x:c>
      <x:c r="C449" s="380" t="n">
        <x:v>3</x:v>
      </x:c>
      <x:c r="D449" s="380" t="str">
        <x:v>Mar</x:v>
      </x:c>
      <x:c r="E449" s="380" t="n">
        <x:v>19</x:v>
      </x:c>
      <x:c r="F449" s="380" t="n">
        <x:v>4</x:v>
      </x:c>
      <x:c r="G449" s="380" t="n">
        <x:f>--(F449&lt;='Estimator'!$B$7)</x:f>
        <x:v>1</x:v>
      </x:c>
      <x:c r="H449" s="381" t="n">
        <x:f>SUMIFS('Climate Data'!$G$7:$G$366,'Climate Data'!$A$7:$A$366,'Estimator'!$B$4,'Climate Data'!$B$7:$B$366,C449)</x:f>
        <x:v>0.24916573971078979</x:v>
      </x:c>
      <x:c r="I449" s="382" t="n">
        <x:f>SUMIFS('Climate Data'!$H$7:$H$366,'Climate Data'!$A$7:$A$366,'Estimator'!$B$4,'Climate Data'!$B$7:$B$366,C449)</x:f>
        <x:v>9.709821428571429</x:v>
      </x:c>
      <x:c r="J449" s="381" t="n">
        <x:f>SUMIFS('Wind Proxy'!$H$8:$H$19,'Wind Proxy'!$A$8:$A$19,'Estimator'!$B$4,'Wind Proxy'!$B$8:$B$19,C449)</x:f>
        <x:v>0.11350059737156513</x:v>
      </x:c>
    </x:row>
    <x:row r="450">
      <x:c r="A450" s="379" t="n">
        <x:v>46101</x:v>
      </x:c>
      <x:c r="B450" s="380" t="n">
        <x:v>2026</x:v>
      </x:c>
      <x:c r="C450" s="380" t="n">
        <x:v>3</x:v>
      </x:c>
      <x:c r="D450" s="380" t="str">
        <x:v>Mar</x:v>
      </x:c>
      <x:c r="E450" s="380" t="n">
        <x:v>20</x:v>
      </x:c>
      <x:c r="F450" s="380" t="n">
        <x:v>5</x:v>
      </x:c>
      <x:c r="G450" s="380" t="n">
        <x:f>--(F450&lt;='Estimator'!$B$7)</x:f>
        <x:v>1</x:v>
      </x:c>
      <x:c r="H450" s="381" t="n">
        <x:f>SUMIFS('Climate Data'!$G$7:$G$366,'Climate Data'!$A$7:$A$366,'Estimator'!$B$4,'Climate Data'!$B$7:$B$366,C450)</x:f>
        <x:v>0.24916573971078979</x:v>
      </x:c>
      <x:c r="I450" s="382" t="n">
        <x:f>SUMIFS('Climate Data'!$H$7:$H$366,'Climate Data'!$A$7:$A$366,'Estimator'!$B$4,'Climate Data'!$B$7:$B$366,C450)</x:f>
        <x:v>9.709821428571429</x:v>
      </x:c>
      <x:c r="J450" s="381" t="n">
        <x:f>SUMIFS('Wind Proxy'!$H$8:$H$19,'Wind Proxy'!$A$8:$A$19,'Estimator'!$B$4,'Wind Proxy'!$B$8:$B$19,C450)</x:f>
        <x:v>0.11350059737156513</x:v>
      </x:c>
    </x:row>
    <x:row r="451">
      <x:c r="A451" s="379" t="n">
        <x:v>46102</x:v>
      </x:c>
      <x:c r="B451" s="380" t="n">
        <x:v>2026</x:v>
      </x:c>
      <x:c r="C451" s="380" t="n">
        <x:v>3</x:v>
      </x:c>
      <x:c r="D451" s="380" t="str">
        <x:v>Mar</x:v>
      </x:c>
      <x:c r="E451" s="380" t="n">
        <x:v>21</x:v>
      </x:c>
      <x:c r="F451" s="380" t="n">
        <x:v>6</x:v>
      </x:c>
      <x:c r="G451" s="380" t="n">
        <x:f>--(F451&lt;='Estimator'!$B$7)</x:f>
        <x:v>0</x:v>
      </x:c>
      <x:c r="H451" s="381" t="n">
        <x:f>SUMIFS('Climate Data'!$G$7:$G$366,'Climate Data'!$A$7:$A$366,'Estimator'!$B$4,'Climate Data'!$B$7:$B$366,C451)</x:f>
        <x:v>0.24916573971078979</x:v>
      </x:c>
      <x:c r="I451" s="382" t="n">
        <x:f>SUMIFS('Climate Data'!$H$7:$H$366,'Climate Data'!$A$7:$A$366,'Estimator'!$B$4,'Climate Data'!$B$7:$B$366,C451)</x:f>
        <x:v>9.709821428571429</x:v>
      </x:c>
      <x:c r="J451" s="381" t="n">
        <x:f>SUMIFS('Wind Proxy'!$H$8:$H$19,'Wind Proxy'!$A$8:$A$19,'Estimator'!$B$4,'Wind Proxy'!$B$8:$B$19,C451)</x:f>
        <x:v>0.11350059737156513</x:v>
      </x:c>
    </x:row>
    <x:row r="452">
      <x:c r="A452" s="379" t="n">
        <x:v>46103</x:v>
      </x:c>
      <x:c r="B452" s="380" t="n">
        <x:v>2026</x:v>
      </x:c>
      <x:c r="C452" s="380" t="n">
        <x:v>3</x:v>
      </x:c>
      <x:c r="D452" s="380" t="str">
        <x:v>Mar</x:v>
      </x:c>
      <x:c r="E452" s="380" t="n">
        <x:v>22</x:v>
      </x:c>
      <x:c r="F452" s="380" t="n">
        <x:v>7</x:v>
      </x:c>
      <x:c r="G452" s="380" t="n">
        <x:f>--(F452&lt;='Estimator'!$B$7)</x:f>
        <x:v>0</x:v>
      </x:c>
      <x:c r="H452" s="381" t="n">
        <x:f>SUMIFS('Climate Data'!$G$7:$G$366,'Climate Data'!$A$7:$A$366,'Estimator'!$B$4,'Climate Data'!$B$7:$B$366,C452)</x:f>
        <x:v>0.24916573971078979</x:v>
      </x:c>
      <x:c r="I452" s="382" t="n">
        <x:f>SUMIFS('Climate Data'!$H$7:$H$366,'Climate Data'!$A$7:$A$366,'Estimator'!$B$4,'Climate Data'!$B$7:$B$366,C452)</x:f>
        <x:v>9.709821428571429</x:v>
      </x:c>
      <x:c r="J452" s="381" t="n">
        <x:f>SUMIFS('Wind Proxy'!$H$8:$H$19,'Wind Proxy'!$A$8:$A$19,'Estimator'!$B$4,'Wind Proxy'!$B$8:$B$19,C452)</x:f>
        <x:v>0.11350059737156513</x:v>
      </x:c>
    </x:row>
    <x:row r="453">
      <x:c r="A453" s="379" t="n">
        <x:v>46104</x:v>
      </x:c>
      <x:c r="B453" s="380" t="n">
        <x:v>2026</x:v>
      </x:c>
      <x:c r="C453" s="380" t="n">
        <x:v>3</x:v>
      </x:c>
      <x:c r="D453" s="380" t="str">
        <x:v>Mar</x:v>
      </x:c>
      <x:c r="E453" s="380" t="n">
        <x:v>23</x:v>
      </x:c>
      <x:c r="F453" s="380" t="n">
        <x:v>1</x:v>
      </x:c>
      <x:c r="G453" s="380" t="n">
        <x:f>--(F453&lt;='Estimator'!$B$7)</x:f>
        <x:v>1</x:v>
      </x:c>
      <x:c r="H453" s="381" t="n">
        <x:f>SUMIFS('Climate Data'!$G$7:$G$366,'Climate Data'!$A$7:$A$366,'Estimator'!$B$4,'Climate Data'!$B$7:$B$366,C453)</x:f>
        <x:v>0.24916573971078979</x:v>
      </x:c>
      <x:c r="I453" s="382" t="n">
        <x:f>SUMIFS('Climate Data'!$H$7:$H$366,'Climate Data'!$A$7:$A$366,'Estimator'!$B$4,'Climate Data'!$B$7:$B$366,C453)</x:f>
        <x:v>9.709821428571429</x:v>
      </x:c>
      <x:c r="J453" s="381" t="n">
        <x:f>SUMIFS('Wind Proxy'!$H$8:$H$19,'Wind Proxy'!$A$8:$A$19,'Estimator'!$B$4,'Wind Proxy'!$B$8:$B$19,C453)</x:f>
        <x:v>0.11350059737156513</x:v>
      </x:c>
    </x:row>
    <x:row r="454">
      <x:c r="A454" s="379" t="n">
        <x:v>46105</x:v>
      </x:c>
      <x:c r="B454" s="380" t="n">
        <x:v>2026</x:v>
      </x:c>
      <x:c r="C454" s="380" t="n">
        <x:v>3</x:v>
      </x:c>
      <x:c r="D454" s="380" t="str">
        <x:v>Mar</x:v>
      </x:c>
      <x:c r="E454" s="380" t="n">
        <x:v>24</x:v>
      </x:c>
      <x:c r="F454" s="380" t="n">
        <x:v>2</x:v>
      </x:c>
      <x:c r="G454" s="380" t="n">
        <x:f>--(F454&lt;='Estimator'!$B$7)</x:f>
        <x:v>1</x:v>
      </x:c>
      <x:c r="H454" s="381" t="n">
        <x:f>SUMIFS('Climate Data'!$G$7:$G$366,'Climate Data'!$A$7:$A$366,'Estimator'!$B$4,'Climate Data'!$B$7:$B$366,C454)</x:f>
        <x:v>0.24916573971078979</x:v>
      </x:c>
      <x:c r="I454" s="382" t="n">
        <x:f>SUMIFS('Climate Data'!$H$7:$H$366,'Climate Data'!$A$7:$A$366,'Estimator'!$B$4,'Climate Data'!$B$7:$B$366,C454)</x:f>
        <x:v>9.709821428571429</x:v>
      </x:c>
      <x:c r="J454" s="381" t="n">
        <x:f>SUMIFS('Wind Proxy'!$H$8:$H$19,'Wind Proxy'!$A$8:$A$19,'Estimator'!$B$4,'Wind Proxy'!$B$8:$B$19,C454)</x:f>
        <x:v>0.11350059737156513</x:v>
      </x:c>
    </x:row>
    <x:row r="455">
      <x:c r="A455" s="379" t="n">
        <x:v>46106</x:v>
      </x:c>
      <x:c r="B455" s="380" t="n">
        <x:v>2026</x:v>
      </x:c>
      <x:c r="C455" s="380" t="n">
        <x:v>3</x:v>
      </x:c>
      <x:c r="D455" s="380" t="str">
        <x:v>Mar</x:v>
      </x:c>
      <x:c r="E455" s="380" t="n">
        <x:v>25</x:v>
      </x:c>
      <x:c r="F455" s="380" t="n">
        <x:v>3</x:v>
      </x:c>
      <x:c r="G455" s="380" t="n">
        <x:f>--(F455&lt;='Estimator'!$B$7)</x:f>
        <x:v>1</x:v>
      </x:c>
      <x:c r="H455" s="381" t="n">
        <x:f>SUMIFS('Climate Data'!$G$7:$G$366,'Climate Data'!$A$7:$A$366,'Estimator'!$B$4,'Climate Data'!$B$7:$B$366,C455)</x:f>
        <x:v>0.24916573971078979</x:v>
      </x:c>
      <x:c r="I455" s="382" t="n">
        <x:f>SUMIFS('Climate Data'!$H$7:$H$366,'Climate Data'!$A$7:$A$366,'Estimator'!$B$4,'Climate Data'!$B$7:$B$366,C455)</x:f>
        <x:v>9.709821428571429</x:v>
      </x:c>
      <x:c r="J455" s="381" t="n">
        <x:f>SUMIFS('Wind Proxy'!$H$8:$H$19,'Wind Proxy'!$A$8:$A$19,'Estimator'!$B$4,'Wind Proxy'!$B$8:$B$19,C455)</x:f>
        <x:v>0.11350059737156513</x:v>
      </x:c>
    </x:row>
    <x:row r="456">
      <x:c r="A456" s="379" t="n">
        <x:v>46107</x:v>
      </x:c>
      <x:c r="B456" s="380" t="n">
        <x:v>2026</x:v>
      </x:c>
      <x:c r="C456" s="380" t="n">
        <x:v>3</x:v>
      </x:c>
      <x:c r="D456" s="380" t="str">
        <x:v>Mar</x:v>
      </x:c>
      <x:c r="E456" s="380" t="n">
        <x:v>26</x:v>
      </x:c>
      <x:c r="F456" s="380" t="n">
        <x:v>4</x:v>
      </x:c>
      <x:c r="G456" s="380" t="n">
        <x:f>--(F456&lt;='Estimator'!$B$7)</x:f>
        <x:v>1</x:v>
      </x:c>
      <x:c r="H456" s="381" t="n">
        <x:f>SUMIFS('Climate Data'!$G$7:$G$366,'Climate Data'!$A$7:$A$366,'Estimator'!$B$4,'Climate Data'!$B$7:$B$366,C456)</x:f>
        <x:v>0.24916573971078979</x:v>
      </x:c>
      <x:c r="I456" s="382" t="n">
        <x:f>SUMIFS('Climate Data'!$H$7:$H$366,'Climate Data'!$A$7:$A$366,'Estimator'!$B$4,'Climate Data'!$B$7:$B$366,C456)</x:f>
        <x:v>9.709821428571429</x:v>
      </x:c>
      <x:c r="J456" s="381" t="n">
        <x:f>SUMIFS('Wind Proxy'!$H$8:$H$19,'Wind Proxy'!$A$8:$A$19,'Estimator'!$B$4,'Wind Proxy'!$B$8:$B$19,C456)</x:f>
        <x:v>0.11350059737156513</x:v>
      </x:c>
    </x:row>
    <x:row r="457">
      <x:c r="A457" s="379" t="n">
        <x:v>46108</x:v>
      </x:c>
      <x:c r="B457" s="380" t="n">
        <x:v>2026</x:v>
      </x:c>
      <x:c r="C457" s="380" t="n">
        <x:v>3</x:v>
      </x:c>
      <x:c r="D457" s="380" t="str">
        <x:v>Mar</x:v>
      </x:c>
      <x:c r="E457" s="380" t="n">
        <x:v>27</x:v>
      </x:c>
      <x:c r="F457" s="380" t="n">
        <x:v>5</x:v>
      </x:c>
      <x:c r="G457" s="380" t="n">
        <x:f>--(F457&lt;='Estimator'!$B$7)</x:f>
        <x:v>1</x:v>
      </x:c>
      <x:c r="H457" s="381" t="n">
        <x:f>SUMIFS('Climate Data'!$G$7:$G$366,'Climate Data'!$A$7:$A$366,'Estimator'!$B$4,'Climate Data'!$B$7:$B$366,C457)</x:f>
        <x:v>0.24916573971078979</x:v>
      </x:c>
      <x:c r="I457" s="382" t="n">
        <x:f>SUMIFS('Climate Data'!$H$7:$H$366,'Climate Data'!$A$7:$A$366,'Estimator'!$B$4,'Climate Data'!$B$7:$B$366,C457)</x:f>
        <x:v>9.709821428571429</x:v>
      </x:c>
      <x:c r="J457" s="381" t="n">
        <x:f>SUMIFS('Wind Proxy'!$H$8:$H$19,'Wind Proxy'!$A$8:$A$19,'Estimator'!$B$4,'Wind Proxy'!$B$8:$B$19,C457)</x:f>
        <x:v>0.11350059737156513</x:v>
      </x:c>
    </x:row>
    <x:row r="458">
      <x:c r="A458" s="379" t="n">
        <x:v>46109</x:v>
      </x:c>
      <x:c r="B458" s="380" t="n">
        <x:v>2026</x:v>
      </x:c>
      <x:c r="C458" s="380" t="n">
        <x:v>3</x:v>
      </x:c>
      <x:c r="D458" s="380" t="str">
        <x:v>Mar</x:v>
      </x:c>
      <x:c r="E458" s="380" t="n">
        <x:v>28</x:v>
      </x:c>
      <x:c r="F458" s="380" t="n">
        <x:v>6</x:v>
      </x:c>
      <x:c r="G458" s="380" t="n">
        <x:f>--(F458&lt;='Estimator'!$B$7)</x:f>
        <x:v>0</x:v>
      </x:c>
      <x:c r="H458" s="381" t="n">
        <x:f>SUMIFS('Climate Data'!$G$7:$G$366,'Climate Data'!$A$7:$A$366,'Estimator'!$B$4,'Climate Data'!$B$7:$B$366,C458)</x:f>
        <x:v>0.24916573971078979</x:v>
      </x:c>
      <x:c r="I458" s="382" t="n">
        <x:f>SUMIFS('Climate Data'!$H$7:$H$366,'Climate Data'!$A$7:$A$366,'Estimator'!$B$4,'Climate Data'!$B$7:$B$366,C458)</x:f>
        <x:v>9.709821428571429</x:v>
      </x:c>
      <x:c r="J458" s="381" t="n">
        <x:f>SUMIFS('Wind Proxy'!$H$8:$H$19,'Wind Proxy'!$A$8:$A$19,'Estimator'!$B$4,'Wind Proxy'!$B$8:$B$19,C458)</x:f>
        <x:v>0.11350059737156513</x:v>
      </x:c>
    </x:row>
    <x:row r="459">
      <x:c r="A459" s="379" t="n">
        <x:v>46110</x:v>
      </x:c>
      <x:c r="B459" s="380" t="n">
        <x:v>2026</x:v>
      </x:c>
      <x:c r="C459" s="380" t="n">
        <x:v>3</x:v>
      </x:c>
      <x:c r="D459" s="380" t="str">
        <x:v>Mar</x:v>
      </x:c>
      <x:c r="E459" s="380" t="n">
        <x:v>29</x:v>
      </x:c>
      <x:c r="F459" s="380" t="n">
        <x:v>7</x:v>
      </x:c>
      <x:c r="G459" s="380" t="n">
        <x:f>--(F459&lt;='Estimator'!$B$7)</x:f>
        <x:v>0</x:v>
      </x:c>
      <x:c r="H459" s="381" t="n">
        <x:f>SUMIFS('Climate Data'!$G$7:$G$366,'Climate Data'!$A$7:$A$366,'Estimator'!$B$4,'Climate Data'!$B$7:$B$366,C459)</x:f>
        <x:v>0.24916573971078979</x:v>
      </x:c>
      <x:c r="I459" s="382" t="n">
        <x:f>SUMIFS('Climate Data'!$H$7:$H$366,'Climate Data'!$A$7:$A$366,'Estimator'!$B$4,'Climate Data'!$B$7:$B$366,C459)</x:f>
        <x:v>9.709821428571429</x:v>
      </x:c>
      <x:c r="J459" s="381" t="n">
        <x:f>SUMIFS('Wind Proxy'!$H$8:$H$19,'Wind Proxy'!$A$8:$A$19,'Estimator'!$B$4,'Wind Proxy'!$B$8:$B$19,C459)</x:f>
        <x:v>0.11350059737156513</x:v>
      </x:c>
    </x:row>
    <x:row r="460">
      <x:c r="A460" s="379" t="n">
        <x:v>46111</x:v>
      </x:c>
      <x:c r="B460" s="380" t="n">
        <x:v>2026</x:v>
      </x:c>
      <x:c r="C460" s="380" t="n">
        <x:v>3</x:v>
      </x:c>
      <x:c r="D460" s="380" t="str">
        <x:v>Mar</x:v>
      </x:c>
      <x:c r="E460" s="380" t="n">
        <x:v>30</x:v>
      </x:c>
      <x:c r="F460" s="380" t="n">
        <x:v>1</x:v>
      </x:c>
      <x:c r="G460" s="380" t="n">
        <x:f>--(F460&lt;='Estimator'!$B$7)</x:f>
        <x:v>1</x:v>
      </x:c>
      <x:c r="H460" s="381" t="n">
        <x:f>SUMIFS('Climate Data'!$G$7:$G$366,'Climate Data'!$A$7:$A$366,'Estimator'!$B$4,'Climate Data'!$B$7:$B$366,C460)</x:f>
        <x:v>0.24916573971078979</x:v>
      </x:c>
      <x:c r="I460" s="382" t="n">
        <x:f>SUMIFS('Climate Data'!$H$7:$H$366,'Climate Data'!$A$7:$A$366,'Estimator'!$B$4,'Climate Data'!$B$7:$B$366,C460)</x:f>
        <x:v>9.709821428571429</x:v>
      </x:c>
      <x:c r="J460" s="381" t="n">
        <x:f>SUMIFS('Wind Proxy'!$H$8:$H$19,'Wind Proxy'!$A$8:$A$19,'Estimator'!$B$4,'Wind Proxy'!$B$8:$B$19,C460)</x:f>
        <x:v>0.11350059737156513</x:v>
      </x:c>
    </x:row>
    <x:row r="461">
      <x:c r="A461" s="379" t="n">
        <x:v>46112</x:v>
      </x:c>
      <x:c r="B461" s="380" t="n">
        <x:v>2026</x:v>
      </x:c>
      <x:c r="C461" s="380" t="n">
        <x:v>3</x:v>
      </x:c>
      <x:c r="D461" s="380" t="str">
        <x:v>Mar</x:v>
      </x:c>
      <x:c r="E461" s="380" t="n">
        <x:v>31</x:v>
      </x:c>
      <x:c r="F461" s="380" t="n">
        <x:v>2</x:v>
      </x:c>
      <x:c r="G461" s="380" t="n">
        <x:f>--(F461&lt;='Estimator'!$B$7)</x:f>
        <x:v>1</x:v>
      </x:c>
      <x:c r="H461" s="381" t="n">
        <x:f>SUMIFS('Climate Data'!$G$7:$G$366,'Climate Data'!$A$7:$A$366,'Estimator'!$B$4,'Climate Data'!$B$7:$B$366,C461)</x:f>
        <x:v>0.24916573971078979</x:v>
      </x:c>
      <x:c r="I461" s="382" t="n">
        <x:f>SUMIFS('Climate Data'!$H$7:$H$366,'Climate Data'!$A$7:$A$366,'Estimator'!$B$4,'Climate Data'!$B$7:$B$366,C461)</x:f>
        <x:v>9.709821428571429</x:v>
      </x:c>
      <x:c r="J461" s="381" t="n">
        <x:f>SUMIFS('Wind Proxy'!$H$8:$H$19,'Wind Proxy'!$A$8:$A$19,'Estimator'!$B$4,'Wind Proxy'!$B$8:$B$19,C461)</x:f>
        <x:v>0.11350059737156513</x:v>
      </x:c>
    </x:row>
    <x:row r="462">
      <x:c r="A462" s="379" t="n">
        <x:v>46113</x:v>
      </x:c>
      <x:c r="B462" s="380" t="n">
        <x:v>2026</x:v>
      </x:c>
      <x:c r="C462" s="380" t="n">
        <x:v>4</x:v>
      </x:c>
      <x:c r="D462" s="380" t="str">
        <x:v>Apr</x:v>
      </x:c>
      <x:c r="E462" s="380" t="n">
        <x:v>1</x:v>
      </x:c>
      <x:c r="F462" s="380" t="n">
        <x:v>3</x:v>
      </x:c>
      <x:c r="G462" s="380" t="n">
        <x:f>--(F462&lt;='Estimator'!$B$7)</x:f>
        <x:v>1</x:v>
      </x:c>
      <x:c r="H462" s="381" t="n">
        <x:f>SUMIFS('Climate Data'!$G$7:$G$366,'Climate Data'!$A$7:$A$366,'Estimator'!$B$4,'Climate Data'!$B$7:$B$366,C462)</x:f>
        <x:v>0.32023809523809527</x:v>
      </x:c>
      <x:c r="I462" s="382" t="n">
        <x:f>SUMIFS('Climate Data'!$H$7:$H$366,'Climate Data'!$A$7:$A$366,'Estimator'!$B$4,'Climate Data'!$B$7:$B$366,C462)</x:f>
        <x:v>9.066171003717471</x:v>
      </x:c>
      <x:c r="J462" s="381" t="n">
        <x:f>SUMIFS('Wind Proxy'!$H$8:$H$19,'Wind Proxy'!$A$8:$A$19,'Estimator'!$B$4,'Wind Proxy'!$B$8:$B$19,C462)</x:f>
        <x:v>0.11728395061728397</x:v>
      </x:c>
    </x:row>
    <x:row r="463">
      <x:c r="A463" s="379" t="n">
        <x:v>46114</x:v>
      </x:c>
      <x:c r="B463" s="380" t="n">
        <x:v>2026</x:v>
      </x:c>
      <x:c r="C463" s="380" t="n">
        <x:v>4</x:v>
      </x:c>
      <x:c r="D463" s="380" t="str">
        <x:v>Apr</x:v>
      </x:c>
      <x:c r="E463" s="380" t="n">
        <x:v>2</x:v>
      </x:c>
      <x:c r="F463" s="380" t="n">
        <x:v>4</x:v>
      </x:c>
      <x:c r="G463" s="380" t="n">
        <x:f>--(F463&lt;='Estimator'!$B$7)</x:f>
        <x:v>1</x:v>
      </x:c>
      <x:c r="H463" s="381" t="n">
        <x:f>SUMIFS('Climate Data'!$G$7:$G$366,'Climate Data'!$A$7:$A$366,'Estimator'!$B$4,'Climate Data'!$B$7:$B$366,C463)</x:f>
        <x:v>0.32023809523809527</x:v>
      </x:c>
      <x:c r="I463" s="382" t="n">
        <x:f>SUMIFS('Climate Data'!$H$7:$H$366,'Climate Data'!$A$7:$A$366,'Estimator'!$B$4,'Climate Data'!$B$7:$B$366,C463)</x:f>
        <x:v>9.066171003717471</x:v>
      </x:c>
      <x:c r="J463" s="381" t="n">
        <x:f>SUMIFS('Wind Proxy'!$H$8:$H$19,'Wind Proxy'!$A$8:$A$19,'Estimator'!$B$4,'Wind Proxy'!$B$8:$B$19,C463)</x:f>
        <x:v>0.11728395061728397</x:v>
      </x:c>
    </x:row>
    <x:row r="464">
      <x:c r="A464" s="379" t="n">
        <x:v>46115</x:v>
      </x:c>
      <x:c r="B464" s="380" t="n">
        <x:v>2026</x:v>
      </x:c>
      <x:c r="C464" s="380" t="n">
        <x:v>4</x:v>
      </x:c>
      <x:c r="D464" s="380" t="str">
        <x:v>Apr</x:v>
      </x:c>
      <x:c r="E464" s="380" t="n">
        <x:v>3</x:v>
      </x:c>
      <x:c r="F464" s="380" t="n">
        <x:v>5</x:v>
      </x:c>
      <x:c r="G464" s="380" t="n">
        <x:f>--(F464&lt;='Estimator'!$B$7)</x:f>
        <x:v>1</x:v>
      </x:c>
      <x:c r="H464" s="381" t="n">
        <x:f>SUMIFS('Climate Data'!$G$7:$G$366,'Climate Data'!$A$7:$A$366,'Estimator'!$B$4,'Climate Data'!$B$7:$B$366,C464)</x:f>
        <x:v>0.32023809523809527</x:v>
      </x:c>
      <x:c r="I464" s="382" t="n">
        <x:f>SUMIFS('Climate Data'!$H$7:$H$366,'Climate Data'!$A$7:$A$366,'Estimator'!$B$4,'Climate Data'!$B$7:$B$366,C464)</x:f>
        <x:v>9.066171003717471</x:v>
      </x:c>
      <x:c r="J464" s="381" t="n">
        <x:f>SUMIFS('Wind Proxy'!$H$8:$H$19,'Wind Proxy'!$A$8:$A$19,'Estimator'!$B$4,'Wind Proxy'!$B$8:$B$19,C464)</x:f>
        <x:v>0.11728395061728397</x:v>
      </x:c>
    </x:row>
    <x:row r="465">
      <x:c r="A465" s="379" t="n">
        <x:v>46116</x:v>
      </x:c>
      <x:c r="B465" s="380" t="n">
        <x:v>2026</x:v>
      </x:c>
      <x:c r="C465" s="380" t="n">
        <x:v>4</x:v>
      </x:c>
      <x:c r="D465" s="380" t="str">
        <x:v>Apr</x:v>
      </x:c>
      <x:c r="E465" s="380" t="n">
        <x:v>4</x:v>
      </x:c>
      <x:c r="F465" s="380" t="n">
        <x:v>6</x:v>
      </x:c>
      <x:c r="G465" s="380" t="n">
        <x:f>--(F465&lt;='Estimator'!$B$7)</x:f>
        <x:v>0</x:v>
      </x:c>
      <x:c r="H465" s="381" t="n">
        <x:f>SUMIFS('Climate Data'!$G$7:$G$366,'Climate Data'!$A$7:$A$366,'Estimator'!$B$4,'Climate Data'!$B$7:$B$366,C465)</x:f>
        <x:v>0.32023809523809527</x:v>
      </x:c>
      <x:c r="I465" s="382" t="n">
        <x:f>SUMIFS('Climate Data'!$H$7:$H$366,'Climate Data'!$A$7:$A$366,'Estimator'!$B$4,'Climate Data'!$B$7:$B$366,C465)</x:f>
        <x:v>9.066171003717471</x:v>
      </x:c>
      <x:c r="J465" s="381" t="n">
        <x:f>SUMIFS('Wind Proxy'!$H$8:$H$19,'Wind Proxy'!$A$8:$A$19,'Estimator'!$B$4,'Wind Proxy'!$B$8:$B$19,C465)</x:f>
        <x:v>0.11728395061728397</x:v>
      </x:c>
    </x:row>
    <x:row r="466">
      <x:c r="A466" s="379" t="n">
        <x:v>46117</x:v>
      </x:c>
      <x:c r="B466" s="380" t="n">
        <x:v>2026</x:v>
      </x:c>
      <x:c r="C466" s="380" t="n">
        <x:v>4</x:v>
      </x:c>
      <x:c r="D466" s="380" t="str">
        <x:v>Apr</x:v>
      </x:c>
      <x:c r="E466" s="380" t="n">
        <x:v>5</x:v>
      </x:c>
      <x:c r="F466" s="380" t="n">
        <x:v>7</x:v>
      </x:c>
      <x:c r="G466" s="380" t="n">
        <x:f>--(F466&lt;='Estimator'!$B$7)</x:f>
        <x:v>0</x:v>
      </x:c>
      <x:c r="H466" s="381" t="n">
        <x:f>SUMIFS('Climate Data'!$G$7:$G$366,'Climate Data'!$A$7:$A$366,'Estimator'!$B$4,'Climate Data'!$B$7:$B$366,C466)</x:f>
        <x:v>0.32023809523809527</x:v>
      </x:c>
      <x:c r="I466" s="382" t="n">
        <x:f>SUMIFS('Climate Data'!$H$7:$H$366,'Climate Data'!$A$7:$A$366,'Estimator'!$B$4,'Climate Data'!$B$7:$B$366,C466)</x:f>
        <x:v>9.066171003717471</x:v>
      </x:c>
      <x:c r="J466" s="381" t="n">
        <x:f>SUMIFS('Wind Proxy'!$H$8:$H$19,'Wind Proxy'!$A$8:$A$19,'Estimator'!$B$4,'Wind Proxy'!$B$8:$B$19,C466)</x:f>
        <x:v>0.11728395061728397</x:v>
      </x:c>
    </x:row>
    <x:row r="467">
      <x:c r="A467" s="379" t="n">
        <x:v>46118</x:v>
      </x:c>
      <x:c r="B467" s="380" t="n">
        <x:v>2026</x:v>
      </x:c>
      <x:c r="C467" s="380" t="n">
        <x:v>4</x:v>
      </x:c>
      <x:c r="D467" s="380" t="str">
        <x:v>Apr</x:v>
      </x:c>
      <x:c r="E467" s="380" t="n">
        <x:v>6</x:v>
      </x:c>
      <x:c r="F467" s="380" t="n">
        <x:v>1</x:v>
      </x:c>
      <x:c r="G467" s="380" t="n">
        <x:f>--(F467&lt;='Estimator'!$B$7)</x:f>
        <x:v>1</x:v>
      </x:c>
      <x:c r="H467" s="381" t="n">
        <x:f>SUMIFS('Climate Data'!$G$7:$G$366,'Climate Data'!$A$7:$A$366,'Estimator'!$B$4,'Climate Data'!$B$7:$B$366,C467)</x:f>
        <x:v>0.32023809523809527</x:v>
      </x:c>
      <x:c r="I467" s="382" t="n">
        <x:f>SUMIFS('Climate Data'!$H$7:$H$366,'Climate Data'!$A$7:$A$366,'Estimator'!$B$4,'Climate Data'!$B$7:$B$366,C467)</x:f>
        <x:v>9.066171003717471</x:v>
      </x:c>
      <x:c r="J467" s="381" t="n">
        <x:f>SUMIFS('Wind Proxy'!$H$8:$H$19,'Wind Proxy'!$A$8:$A$19,'Estimator'!$B$4,'Wind Proxy'!$B$8:$B$19,C467)</x:f>
        <x:v>0.11728395061728397</x:v>
      </x:c>
    </x:row>
    <x:row r="468">
      <x:c r="A468" s="379" t="n">
        <x:v>46119</x:v>
      </x:c>
      <x:c r="B468" s="380" t="n">
        <x:v>2026</x:v>
      </x:c>
      <x:c r="C468" s="380" t="n">
        <x:v>4</x:v>
      </x:c>
      <x:c r="D468" s="380" t="str">
        <x:v>Apr</x:v>
      </x:c>
      <x:c r="E468" s="380" t="n">
        <x:v>7</x:v>
      </x:c>
      <x:c r="F468" s="380" t="n">
        <x:v>2</x:v>
      </x:c>
      <x:c r="G468" s="380" t="n">
        <x:f>--(F468&lt;='Estimator'!$B$7)</x:f>
        <x:v>1</x:v>
      </x:c>
      <x:c r="H468" s="381" t="n">
        <x:f>SUMIFS('Climate Data'!$G$7:$G$366,'Climate Data'!$A$7:$A$366,'Estimator'!$B$4,'Climate Data'!$B$7:$B$366,C468)</x:f>
        <x:v>0.32023809523809527</x:v>
      </x:c>
      <x:c r="I468" s="382" t="n">
        <x:f>SUMIFS('Climate Data'!$H$7:$H$366,'Climate Data'!$A$7:$A$366,'Estimator'!$B$4,'Climate Data'!$B$7:$B$366,C468)</x:f>
        <x:v>9.066171003717471</x:v>
      </x:c>
      <x:c r="J468" s="381" t="n">
        <x:f>SUMIFS('Wind Proxy'!$H$8:$H$19,'Wind Proxy'!$A$8:$A$19,'Estimator'!$B$4,'Wind Proxy'!$B$8:$B$19,C468)</x:f>
        <x:v>0.11728395061728397</x:v>
      </x:c>
    </x:row>
    <x:row r="469">
      <x:c r="A469" s="379" t="n">
        <x:v>46120</x:v>
      </x:c>
      <x:c r="B469" s="380" t="n">
        <x:v>2026</x:v>
      </x:c>
      <x:c r="C469" s="380" t="n">
        <x:v>4</x:v>
      </x:c>
      <x:c r="D469" s="380" t="str">
        <x:v>Apr</x:v>
      </x:c>
      <x:c r="E469" s="380" t="n">
        <x:v>8</x:v>
      </x:c>
      <x:c r="F469" s="380" t="n">
        <x:v>3</x:v>
      </x:c>
      <x:c r="G469" s="380" t="n">
        <x:f>--(F469&lt;='Estimator'!$B$7)</x:f>
        <x:v>1</x:v>
      </x:c>
      <x:c r="H469" s="381" t="n">
        <x:f>SUMIFS('Climate Data'!$G$7:$G$366,'Climate Data'!$A$7:$A$366,'Estimator'!$B$4,'Climate Data'!$B$7:$B$366,C469)</x:f>
        <x:v>0.32023809523809527</x:v>
      </x:c>
      <x:c r="I469" s="382" t="n">
        <x:f>SUMIFS('Climate Data'!$H$7:$H$366,'Climate Data'!$A$7:$A$366,'Estimator'!$B$4,'Climate Data'!$B$7:$B$366,C469)</x:f>
        <x:v>9.066171003717471</x:v>
      </x:c>
      <x:c r="J469" s="381" t="n">
        <x:f>SUMIFS('Wind Proxy'!$H$8:$H$19,'Wind Proxy'!$A$8:$A$19,'Estimator'!$B$4,'Wind Proxy'!$B$8:$B$19,C469)</x:f>
        <x:v>0.11728395061728397</x:v>
      </x:c>
    </x:row>
    <x:row r="470">
      <x:c r="A470" s="379" t="n">
        <x:v>46121</x:v>
      </x:c>
      <x:c r="B470" s="380" t="n">
        <x:v>2026</x:v>
      </x:c>
      <x:c r="C470" s="380" t="n">
        <x:v>4</x:v>
      </x:c>
      <x:c r="D470" s="380" t="str">
        <x:v>Apr</x:v>
      </x:c>
      <x:c r="E470" s="380" t="n">
        <x:v>9</x:v>
      </x:c>
      <x:c r="F470" s="380" t="n">
        <x:v>4</x:v>
      </x:c>
      <x:c r="G470" s="380" t="n">
        <x:f>--(F470&lt;='Estimator'!$B$7)</x:f>
        <x:v>1</x:v>
      </x:c>
      <x:c r="H470" s="381" t="n">
        <x:f>SUMIFS('Climate Data'!$G$7:$G$366,'Climate Data'!$A$7:$A$366,'Estimator'!$B$4,'Climate Data'!$B$7:$B$366,C470)</x:f>
        <x:v>0.32023809523809527</x:v>
      </x:c>
      <x:c r="I470" s="382" t="n">
        <x:f>SUMIFS('Climate Data'!$H$7:$H$366,'Climate Data'!$A$7:$A$366,'Estimator'!$B$4,'Climate Data'!$B$7:$B$366,C470)</x:f>
        <x:v>9.066171003717471</x:v>
      </x:c>
      <x:c r="J470" s="381" t="n">
        <x:f>SUMIFS('Wind Proxy'!$H$8:$H$19,'Wind Proxy'!$A$8:$A$19,'Estimator'!$B$4,'Wind Proxy'!$B$8:$B$19,C470)</x:f>
        <x:v>0.11728395061728397</x:v>
      </x:c>
    </x:row>
    <x:row r="471">
      <x:c r="A471" s="379" t="n">
        <x:v>46122</x:v>
      </x:c>
      <x:c r="B471" s="380" t="n">
        <x:v>2026</x:v>
      </x:c>
      <x:c r="C471" s="380" t="n">
        <x:v>4</x:v>
      </x:c>
      <x:c r="D471" s="380" t="str">
        <x:v>Apr</x:v>
      </x:c>
      <x:c r="E471" s="380" t="n">
        <x:v>10</x:v>
      </x:c>
      <x:c r="F471" s="380" t="n">
        <x:v>5</x:v>
      </x:c>
      <x:c r="G471" s="380" t="n">
        <x:f>--(F471&lt;='Estimator'!$B$7)</x:f>
        <x:v>1</x:v>
      </x:c>
      <x:c r="H471" s="381" t="n">
        <x:f>SUMIFS('Climate Data'!$G$7:$G$366,'Climate Data'!$A$7:$A$366,'Estimator'!$B$4,'Climate Data'!$B$7:$B$366,C471)</x:f>
        <x:v>0.32023809523809527</x:v>
      </x:c>
      <x:c r="I471" s="382" t="n">
        <x:f>SUMIFS('Climate Data'!$H$7:$H$366,'Climate Data'!$A$7:$A$366,'Estimator'!$B$4,'Climate Data'!$B$7:$B$366,C471)</x:f>
        <x:v>9.066171003717471</x:v>
      </x:c>
      <x:c r="J471" s="381" t="n">
        <x:f>SUMIFS('Wind Proxy'!$H$8:$H$19,'Wind Proxy'!$A$8:$A$19,'Estimator'!$B$4,'Wind Proxy'!$B$8:$B$19,C471)</x:f>
        <x:v>0.11728395061728397</x:v>
      </x:c>
    </x:row>
    <x:row r="472">
      <x:c r="A472" s="379" t="n">
        <x:v>46123</x:v>
      </x:c>
      <x:c r="B472" s="380" t="n">
        <x:v>2026</x:v>
      </x:c>
      <x:c r="C472" s="380" t="n">
        <x:v>4</x:v>
      </x:c>
      <x:c r="D472" s="380" t="str">
        <x:v>Apr</x:v>
      </x:c>
      <x:c r="E472" s="380" t="n">
        <x:v>11</x:v>
      </x:c>
      <x:c r="F472" s="380" t="n">
        <x:v>6</x:v>
      </x:c>
      <x:c r="G472" s="380" t="n">
        <x:f>--(F472&lt;='Estimator'!$B$7)</x:f>
        <x:v>0</x:v>
      </x:c>
      <x:c r="H472" s="381" t="n">
        <x:f>SUMIFS('Climate Data'!$G$7:$G$366,'Climate Data'!$A$7:$A$366,'Estimator'!$B$4,'Climate Data'!$B$7:$B$366,C472)</x:f>
        <x:v>0.32023809523809527</x:v>
      </x:c>
      <x:c r="I472" s="382" t="n">
        <x:f>SUMIFS('Climate Data'!$H$7:$H$366,'Climate Data'!$A$7:$A$366,'Estimator'!$B$4,'Climate Data'!$B$7:$B$366,C472)</x:f>
        <x:v>9.066171003717471</x:v>
      </x:c>
      <x:c r="J472" s="381" t="n">
        <x:f>SUMIFS('Wind Proxy'!$H$8:$H$19,'Wind Proxy'!$A$8:$A$19,'Estimator'!$B$4,'Wind Proxy'!$B$8:$B$19,C472)</x:f>
        <x:v>0.11728395061728397</x:v>
      </x:c>
    </x:row>
    <x:row r="473">
      <x:c r="A473" s="379" t="n">
        <x:v>46124</x:v>
      </x:c>
      <x:c r="B473" s="380" t="n">
        <x:v>2026</x:v>
      </x:c>
      <x:c r="C473" s="380" t="n">
        <x:v>4</x:v>
      </x:c>
      <x:c r="D473" s="380" t="str">
        <x:v>Apr</x:v>
      </x:c>
      <x:c r="E473" s="380" t="n">
        <x:v>12</x:v>
      </x:c>
      <x:c r="F473" s="380" t="n">
        <x:v>7</x:v>
      </x:c>
      <x:c r="G473" s="380" t="n">
        <x:f>--(F473&lt;='Estimator'!$B$7)</x:f>
        <x:v>0</x:v>
      </x:c>
      <x:c r="H473" s="381" t="n">
        <x:f>SUMIFS('Climate Data'!$G$7:$G$366,'Climate Data'!$A$7:$A$366,'Estimator'!$B$4,'Climate Data'!$B$7:$B$366,C473)</x:f>
        <x:v>0.32023809523809527</x:v>
      </x:c>
      <x:c r="I473" s="382" t="n">
        <x:f>SUMIFS('Climate Data'!$H$7:$H$366,'Climate Data'!$A$7:$A$366,'Estimator'!$B$4,'Climate Data'!$B$7:$B$366,C473)</x:f>
        <x:v>9.066171003717471</x:v>
      </x:c>
      <x:c r="J473" s="381" t="n">
        <x:f>SUMIFS('Wind Proxy'!$H$8:$H$19,'Wind Proxy'!$A$8:$A$19,'Estimator'!$B$4,'Wind Proxy'!$B$8:$B$19,C473)</x:f>
        <x:v>0.11728395061728397</x:v>
      </x:c>
    </x:row>
    <x:row r="474">
      <x:c r="A474" s="379" t="n">
        <x:v>46125</x:v>
      </x:c>
      <x:c r="B474" s="380" t="n">
        <x:v>2026</x:v>
      </x:c>
      <x:c r="C474" s="380" t="n">
        <x:v>4</x:v>
      </x:c>
      <x:c r="D474" s="380" t="str">
        <x:v>Apr</x:v>
      </x:c>
      <x:c r="E474" s="380" t="n">
        <x:v>13</x:v>
      </x:c>
      <x:c r="F474" s="380" t="n">
        <x:v>1</x:v>
      </x:c>
      <x:c r="G474" s="380" t="n">
        <x:f>--(F474&lt;='Estimator'!$B$7)</x:f>
        <x:v>1</x:v>
      </x:c>
      <x:c r="H474" s="381" t="n">
        <x:f>SUMIFS('Climate Data'!$G$7:$G$366,'Climate Data'!$A$7:$A$366,'Estimator'!$B$4,'Climate Data'!$B$7:$B$366,C474)</x:f>
        <x:v>0.32023809523809527</x:v>
      </x:c>
      <x:c r="I474" s="382" t="n">
        <x:f>SUMIFS('Climate Data'!$H$7:$H$366,'Climate Data'!$A$7:$A$366,'Estimator'!$B$4,'Climate Data'!$B$7:$B$366,C474)</x:f>
        <x:v>9.066171003717471</x:v>
      </x:c>
      <x:c r="J474" s="381" t="n">
        <x:f>SUMIFS('Wind Proxy'!$H$8:$H$19,'Wind Proxy'!$A$8:$A$19,'Estimator'!$B$4,'Wind Proxy'!$B$8:$B$19,C474)</x:f>
        <x:v>0.11728395061728397</x:v>
      </x:c>
    </x:row>
    <x:row r="475">
      <x:c r="A475" s="379" t="n">
        <x:v>46126</x:v>
      </x:c>
      <x:c r="B475" s="380" t="n">
        <x:v>2026</x:v>
      </x:c>
      <x:c r="C475" s="380" t="n">
        <x:v>4</x:v>
      </x:c>
      <x:c r="D475" s="380" t="str">
        <x:v>Apr</x:v>
      </x:c>
      <x:c r="E475" s="380" t="n">
        <x:v>14</x:v>
      </x:c>
      <x:c r="F475" s="380" t="n">
        <x:v>2</x:v>
      </x:c>
      <x:c r="G475" s="380" t="n">
        <x:f>--(F475&lt;='Estimator'!$B$7)</x:f>
        <x:v>1</x:v>
      </x:c>
      <x:c r="H475" s="381" t="n">
        <x:f>SUMIFS('Climate Data'!$G$7:$G$366,'Climate Data'!$A$7:$A$366,'Estimator'!$B$4,'Climate Data'!$B$7:$B$366,C475)</x:f>
        <x:v>0.32023809523809527</x:v>
      </x:c>
      <x:c r="I475" s="382" t="n">
        <x:f>SUMIFS('Climate Data'!$H$7:$H$366,'Climate Data'!$A$7:$A$366,'Estimator'!$B$4,'Climate Data'!$B$7:$B$366,C475)</x:f>
        <x:v>9.066171003717471</x:v>
      </x:c>
      <x:c r="J475" s="381" t="n">
        <x:f>SUMIFS('Wind Proxy'!$H$8:$H$19,'Wind Proxy'!$A$8:$A$19,'Estimator'!$B$4,'Wind Proxy'!$B$8:$B$19,C475)</x:f>
        <x:v>0.11728395061728397</x:v>
      </x:c>
    </x:row>
    <x:row r="476">
      <x:c r="A476" s="379" t="n">
        <x:v>46127</x:v>
      </x:c>
      <x:c r="B476" s="380" t="n">
        <x:v>2026</x:v>
      </x:c>
      <x:c r="C476" s="380" t="n">
        <x:v>4</x:v>
      </x:c>
      <x:c r="D476" s="380" t="str">
        <x:v>Apr</x:v>
      </x:c>
      <x:c r="E476" s="380" t="n">
        <x:v>15</x:v>
      </x:c>
      <x:c r="F476" s="380" t="n">
        <x:v>3</x:v>
      </x:c>
      <x:c r="G476" s="380" t="n">
        <x:f>--(F476&lt;='Estimator'!$B$7)</x:f>
        <x:v>1</x:v>
      </x:c>
      <x:c r="H476" s="381" t="n">
        <x:f>SUMIFS('Climate Data'!$G$7:$G$366,'Climate Data'!$A$7:$A$366,'Estimator'!$B$4,'Climate Data'!$B$7:$B$366,C476)</x:f>
        <x:v>0.32023809523809527</x:v>
      </x:c>
      <x:c r="I476" s="382" t="n">
        <x:f>SUMIFS('Climate Data'!$H$7:$H$366,'Climate Data'!$A$7:$A$366,'Estimator'!$B$4,'Climate Data'!$B$7:$B$366,C476)</x:f>
        <x:v>9.066171003717471</x:v>
      </x:c>
      <x:c r="J476" s="381" t="n">
        <x:f>SUMIFS('Wind Proxy'!$H$8:$H$19,'Wind Proxy'!$A$8:$A$19,'Estimator'!$B$4,'Wind Proxy'!$B$8:$B$19,C476)</x:f>
        <x:v>0.11728395061728397</x:v>
      </x:c>
    </x:row>
    <x:row r="477">
      <x:c r="A477" s="379" t="n">
        <x:v>46128</x:v>
      </x:c>
      <x:c r="B477" s="380" t="n">
        <x:v>2026</x:v>
      </x:c>
      <x:c r="C477" s="380" t="n">
        <x:v>4</x:v>
      </x:c>
      <x:c r="D477" s="380" t="str">
        <x:v>Apr</x:v>
      </x:c>
      <x:c r="E477" s="380" t="n">
        <x:v>16</x:v>
      </x:c>
      <x:c r="F477" s="380" t="n">
        <x:v>4</x:v>
      </x:c>
      <x:c r="G477" s="380" t="n">
        <x:f>--(F477&lt;='Estimator'!$B$7)</x:f>
        <x:v>1</x:v>
      </x:c>
      <x:c r="H477" s="381" t="n">
        <x:f>SUMIFS('Climate Data'!$G$7:$G$366,'Climate Data'!$A$7:$A$366,'Estimator'!$B$4,'Climate Data'!$B$7:$B$366,C477)</x:f>
        <x:v>0.32023809523809527</x:v>
      </x:c>
      <x:c r="I477" s="382" t="n">
        <x:f>SUMIFS('Climate Data'!$H$7:$H$366,'Climate Data'!$A$7:$A$366,'Estimator'!$B$4,'Climate Data'!$B$7:$B$366,C477)</x:f>
        <x:v>9.066171003717471</x:v>
      </x:c>
      <x:c r="J477" s="381" t="n">
        <x:f>SUMIFS('Wind Proxy'!$H$8:$H$19,'Wind Proxy'!$A$8:$A$19,'Estimator'!$B$4,'Wind Proxy'!$B$8:$B$19,C477)</x:f>
        <x:v>0.11728395061728397</x:v>
      </x:c>
    </x:row>
    <x:row r="478">
      <x:c r="A478" s="379" t="n">
        <x:v>46129</x:v>
      </x:c>
      <x:c r="B478" s="380" t="n">
        <x:v>2026</x:v>
      </x:c>
      <x:c r="C478" s="380" t="n">
        <x:v>4</x:v>
      </x:c>
      <x:c r="D478" s="380" t="str">
        <x:v>Apr</x:v>
      </x:c>
      <x:c r="E478" s="380" t="n">
        <x:v>17</x:v>
      </x:c>
      <x:c r="F478" s="380" t="n">
        <x:v>5</x:v>
      </x:c>
      <x:c r="G478" s="380" t="n">
        <x:f>--(F478&lt;='Estimator'!$B$7)</x:f>
        <x:v>1</x:v>
      </x:c>
      <x:c r="H478" s="381" t="n">
        <x:f>SUMIFS('Climate Data'!$G$7:$G$366,'Climate Data'!$A$7:$A$366,'Estimator'!$B$4,'Climate Data'!$B$7:$B$366,C478)</x:f>
        <x:v>0.32023809523809527</x:v>
      </x:c>
      <x:c r="I478" s="382" t="n">
        <x:f>SUMIFS('Climate Data'!$H$7:$H$366,'Climate Data'!$A$7:$A$366,'Estimator'!$B$4,'Climate Data'!$B$7:$B$366,C478)</x:f>
        <x:v>9.066171003717471</x:v>
      </x:c>
      <x:c r="J478" s="381" t="n">
        <x:f>SUMIFS('Wind Proxy'!$H$8:$H$19,'Wind Proxy'!$A$8:$A$19,'Estimator'!$B$4,'Wind Proxy'!$B$8:$B$19,C478)</x:f>
        <x:v>0.11728395061728397</x:v>
      </x:c>
    </x:row>
    <x:row r="479">
      <x:c r="A479" s="379" t="n">
        <x:v>46130</x:v>
      </x:c>
      <x:c r="B479" s="380" t="n">
        <x:v>2026</x:v>
      </x:c>
      <x:c r="C479" s="380" t="n">
        <x:v>4</x:v>
      </x:c>
      <x:c r="D479" s="380" t="str">
        <x:v>Apr</x:v>
      </x:c>
      <x:c r="E479" s="380" t="n">
        <x:v>18</x:v>
      </x:c>
      <x:c r="F479" s="380" t="n">
        <x:v>6</x:v>
      </x:c>
      <x:c r="G479" s="380" t="n">
        <x:f>--(F479&lt;='Estimator'!$B$7)</x:f>
        <x:v>0</x:v>
      </x:c>
      <x:c r="H479" s="381" t="n">
        <x:f>SUMIFS('Climate Data'!$G$7:$G$366,'Climate Data'!$A$7:$A$366,'Estimator'!$B$4,'Climate Data'!$B$7:$B$366,C479)</x:f>
        <x:v>0.32023809523809527</x:v>
      </x:c>
      <x:c r="I479" s="382" t="n">
        <x:f>SUMIFS('Climate Data'!$H$7:$H$366,'Climate Data'!$A$7:$A$366,'Estimator'!$B$4,'Climate Data'!$B$7:$B$366,C479)</x:f>
        <x:v>9.066171003717471</x:v>
      </x:c>
      <x:c r="J479" s="381" t="n">
        <x:f>SUMIFS('Wind Proxy'!$H$8:$H$19,'Wind Proxy'!$A$8:$A$19,'Estimator'!$B$4,'Wind Proxy'!$B$8:$B$19,C479)</x:f>
        <x:v>0.11728395061728397</x:v>
      </x:c>
    </x:row>
    <x:row r="480">
      <x:c r="A480" s="379" t="n">
        <x:v>46131</x:v>
      </x:c>
      <x:c r="B480" s="380" t="n">
        <x:v>2026</x:v>
      </x:c>
      <x:c r="C480" s="380" t="n">
        <x:v>4</x:v>
      </x:c>
      <x:c r="D480" s="380" t="str">
        <x:v>Apr</x:v>
      </x:c>
      <x:c r="E480" s="380" t="n">
        <x:v>19</x:v>
      </x:c>
      <x:c r="F480" s="380" t="n">
        <x:v>7</x:v>
      </x:c>
      <x:c r="G480" s="380" t="n">
        <x:f>--(F480&lt;='Estimator'!$B$7)</x:f>
        <x:v>0</x:v>
      </x:c>
      <x:c r="H480" s="381" t="n">
        <x:f>SUMIFS('Climate Data'!$G$7:$G$366,'Climate Data'!$A$7:$A$366,'Estimator'!$B$4,'Climate Data'!$B$7:$B$366,C480)</x:f>
        <x:v>0.32023809523809527</x:v>
      </x:c>
      <x:c r="I480" s="382" t="n">
        <x:f>SUMIFS('Climate Data'!$H$7:$H$366,'Climate Data'!$A$7:$A$366,'Estimator'!$B$4,'Climate Data'!$B$7:$B$366,C480)</x:f>
        <x:v>9.066171003717471</x:v>
      </x:c>
      <x:c r="J480" s="381" t="n">
        <x:f>SUMIFS('Wind Proxy'!$H$8:$H$19,'Wind Proxy'!$A$8:$A$19,'Estimator'!$B$4,'Wind Proxy'!$B$8:$B$19,C480)</x:f>
        <x:v>0.11728395061728397</x:v>
      </x:c>
    </x:row>
    <x:row r="481">
      <x:c r="A481" s="379" t="n">
        <x:v>46132</x:v>
      </x:c>
      <x:c r="B481" s="380" t="n">
        <x:v>2026</x:v>
      </x:c>
      <x:c r="C481" s="380" t="n">
        <x:v>4</x:v>
      </x:c>
      <x:c r="D481" s="380" t="str">
        <x:v>Apr</x:v>
      </x:c>
      <x:c r="E481" s="380" t="n">
        <x:v>20</x:v>
      </x:c>
      <x:c r="F481" s="380" t="n">
        <x:v>1</x:v>
      </x:c>
      <x:c r="G481" s="380" t="n">
        <x:f>--(F481&lt;='Estimator'!$B$7)</x:f>
        <x:v>1</x:v>
      </x:c>
      <x:c r="H481" s="381" t="n">
        <x:f>SUMIFS('Climate Data'!$G$7:$G$366,'Climate Data'!$A$7:$A$366,'Estimator'!$B$4,'Climate Data'!$B$7:$B$366,C481)</x:f>
        <x:v>0.32023809523809527</x:v>
      </x:c>
      <x:c r="I481" s="382" t="n">
        <x:f>SUMIFS('Climate Data'!$H$7:$H$366,'Climate Data'!$A$7:$A$366,'Estimator'!$B$4,'Climate Data'!$B$7:$B$366,C481)</x:f>
        <x:v>9.066171003717471</x:v>
      </x:c>
      <x:c r="J481" s="381" t="n">
        <x:f>SUMIFS('Wind Proxy'!$H$8:$H$19,'Wind Proxy'!$A$8:$A$19,'Estimator'!$B$4,'Wind Proxy'!$B$8:$B$19,C481)</x:f>
        <x:v>0.11728395061728397</x:v>
      </x:c>
    </x:row>
    <x:row r="482">
      <x:c r="A482" s="379" t="n">
        <x:v>46133</x:v>
      </x:c>
      <x:c r="B482" s="380" t="n">
        <x:v>2026</x:v>
      </x:c>
      <x:c r="C482" s="380" t="n">
        <x:v>4</x:v>
      </x:c>
      <x:c r="D482" s="380" t="str">
        <x:v>Apr</x:v>
      </x:c>
      <x:c r="E482" s="380" t="n">
        <x:v>21</x:v>
      </x:c>
      <x:c r="F482" s="380" t="n">
        <x:v>2</x:v>
      </x:c>
      <x:c r="G482" s="380" t="n">
        <x:f>--(F482&lt;='Estimator'!$B$7)</x:f>
        <x:v>1</x:v>
      </x:c>
      <x:c r="H482" s="381" t="n">
        <x:f>SUMIFS('Climate Data'!$G$7:$G$366,'Climate Data'!$A$7:$A$366,'Estimator'!$B$4,'Climate Data'!$B$7:$B$366,C482)</x:f>
        <x:v>0.32023809523809527</x:v>
      </x:c>
      <x:c r="I482" s="382" t="n">
        <x:f>SUMIFS('Climate Data'!$H$7:$H$366,'Climate Data'!$A$7:$A$366,'Estimator'!$B$4,'Climate Data'!$B$7:$B$366,C482)</x:f>
        <x:v>9.066171003717471</x:v>
      </x:c>
      <x:c r="J482" s="381" t="n">
        <x:f>SUMIFS('Wind Proxy'!$H$8:$H$19,'Wind Proxy'!$A$8:$A$19,'Estimator'!$B$4,'Wind Proxy'!$B$8:$B$19,C482)</x:f>
        <x:v>0.11728395061728397</x:v>
      </x:c>
    </x:row>
    <x:row r="483">
      <x:c r="A483" s="379" t="n">
        <x:v>46134</x:v>
      </x:c>
      <x:c r="B483" s="380" t="n">
        <x:v>2026</x:v>
      </x:c>
      <x:c r="C483" s="380" t="n">
        <x:v>4</x:v>
      </x:c>
      <x:c r="D483" s="380" t="str">
        <x:v>Apr</x:v>
      </x:c>
      <x:c r="E483" s="380" t="n">
        <x:v>22</x:v>
      </x:c>
      <x:c r="F483" s="380" t="n">
        <x:v>3</x:v>
      </x:c>
      <x:c r="G483" s="380" t="n">
        <x:f>--(F483&lt;='Estimator'!$B$7)</x:f>
        <x:v>1</x:v>
      </x:c>
      <x:c r="H483" s="381" t="n">
        <x:f>SUMIFS('Climate Data'!$G$7:$G$366,'Climate Data'!$A$7:$A$366,'Estimator'!$B$4,'Climate Data'!$B$7:$B$366,C483)</x:f>
        <x:v>0.32023809523809527</x:v>
      </x:c>
      <x:c r="I483" s="382" t="n">
        <x:f>SUMIFS('Climate Data'!$H$7:$H$366,'Climate Data'!$A$7:$A$366,'Estimator'!$B$4,'Climate Data'!$B$7:$B$366,C483)</x:f>
        <x:v>9.066171003717471</x:v>
      </x:c>
      <x:c r="J483" s="381" t="n">
        <x:f>SUMIFS('Wind Proxy'!$H$8:$H$19,'Wind Proxy'!$A$8:$A$19,'Estimator'!$B$4,'Wind Proxy'!$B$8:$B$19,C483)</x:f>
        <x:v>0.11728395061728397</x:v>
      </x:c>
    </x:row>
    <x:row r="484">
      <x:c r="A484" s="379" t="n">
        <x:v>46135</x:v>
      </x:c>
      <x:c r="B484" s="380" t="n">
        <x:v>2026</x:v>
      </x:c>
      <x:c r="C484" s="380" t="n">
        <x:v>4</x:v>
      </x:c>
      <x:c r="D484" s="380" t="str">
        <x:v>Apr</x:v>
      </x:c>
      <x:c r="E484" s="380" t="n">
        <x:v>23</x:v>
      </x:c>
      <x:c r="F484" s="380" t="n">
        <x:v>4</x:v>
      </x:c>
      <x:c r="G484" s="380" t="n">
        <x:f>--(F484&lt;='Estimator'!$B$7)</x:f>
        <x:v>1</x:v>
      </x:c>
      <x:c r="H484" s="381" t="n">
        <x:f>SUMIFS('Climate Data'!$G$7:$G$366,'Climate Data'!$A$7:$A$366,'Estimator'!$B$4,'Climate Data'!$B$7:$B$366,C484)</x:f>
        <x:v>0.32023809523809527</x:v>
      </x:c>
      <x:c r="I484" s="382" t="n">
        <x:f>SUMIFS('Climate Data'!$H$7:$H$366,'Climate Data'!$A$7:$A$366,'Estimator'!$B$4,'Climate Data'!$B$7:$B$366,C484)</x:f>
        <x:v>9.066171003717471</x:v>
      </x:c>
      <x:c r="J484" s="381" t="n">
        <x:f>SUMIFS('Wind Proxy'!$H$8:$H$19,'Wind Proxy'!$A$8:$A$19,'Estimator'!$B$4,'Wind Proxy'!$B$8:$B$19,C484)</x:f>
        <x:v>0.11728395061728397</x:v>
      </x:c>
    </x:row>
    <x:row r="485">
      <x:c r="A485" s="379" t="n">
        <x:v>46136</x:v>
      </x:c>
      <x:c r="B485" s="380" t="n">
        <x:v>2026</x:v>
      </x:c>
      <x:c r="C485" s="380" t="n">
        <x:v>4</x:v>
      </x:c>
      <x:c r="D485" s="380" t="str">
        <x:v>Apr</x:v>
      </x:c>
      <x:c r="E485" s="380" t="n">
        <x:v>24</x:v>
      </x:c>
      <x:c r="F485" s="380" t="n">
        <x:v>5</x:v>
      </x:c>
      <x:c r="G485" s="380" t="n">
        <x:f>--(F485&lt;='Estimator'!$B$7)</x:f>
        <x:v>1</x:v>
      </x:c>
      <x:c r="H485" s="381" t="n">
        <x:f>SUMIFS('Climate Data'!$G$7:$G$366,'Climate Data'!$A$7:$A$366,'Estimator'!$B$4,'Climate Data'!$B$7:$B$366,C485)</x:f>
        <x:v>0.32023809523809527</x:v>
      </x:c>
      <x:c r="I485" s="382" t="n">
        <x:f>SUMIFS('Climate Data'!$H$7:$H$366,'Climate Data'!$A$7:$A$366,'Estimator'!$B$4,'Climate Data'!$B$7:$B$366,C485)</x:f>
        <x:v>9.066171003717471</x:v>
      </x:c>
      <x:c r="J485" s="381" t="n">
        <x:f>SUMIFS('Wind Proxy'!$H$8:$H$19,'Wind Proxy'!$A$8:$A$19,'Estimator'!$B$4,'Wind Proxy'!$B$8:$B$19,C485)</x:f>
        <x:v>0.11728395061728397</x:v>
      </x:c>
    </x:row>
    <x:row r="486">
      <x:c r="A486" s="379" t="n">
        <x:v>46137</x:v>
      </x:c>
      <x:c r="B486" s="380" t="n">
        <x:v>2026</x:v>
      </x:c>
      <x:c r="C486" s="380" t="n">
        <x:v>4</x:v>
      </x:c>
      <x:c r="D486" s="380" t="str">
        <x:v>Apr</x:v>
      </x:c>
      <x:c r="E486" s="380" t="n">
        <x:v>25</x:v>
      </x:c>
      <x:c r="F486" s="380" t="n">
        <x:v>6</x:v>
      </x:c>
      <x:c r="G486" s="380" t="n">
        <x:f>--(F486&lt;='Estimator'!$B$7)</x:f>
        <x:v>0</x:v>
      </x:c>
      <x:c r="H486" s="381" t="n">
        <x:f>SUMIFS('Climate Data'!$G$7:$G$366,'Climate Data'!$A$7:$A$366,'Estimator'!$B$4,'Climate Data'!$B$7:$B$366,C486)</x:f>
        <x:v>0.32023809523809527</x:v>
      </x:c>
      <x:c r="I486" s="382" t="n">
        <x:f>SUMIFS('Climate Data'!$H$7:$H$366,'Climate Data'!$A$7:$A$366,'Estimator'!$B$4,'Climate Data'!$B$7:$B$366,C486)</x:f>
        <x:v>9.066171003717471</x:v>
      </x:c>
      <x:c r="J486" s="381" t="n">
        <x:f>SUMIFS('Wind Proxy'!$H$8:$H$19,'Wind Proxy'!$A$8:$A$19,'Estimator'!$B$4,'Wind Proxy'!$B$8:$B$19,C486)</x:f>
        <x:v>0.11728395061728397</x:v>
      </x:c>
    </x:row>
    <x:row r="487">
      <x:c r="A487" s="379" t="n">
        <x:v>46138</x:v>
      </x:c>
      <x:c r="B487" s="380" t="n">
        <x:v>2026</x:v>
      </x:c>
      <x:c r="C487" s="380" t="n">
        <x:v>4</x:v>
      </x:c>
      <x:c r="D487" s="380" t="str">
        <x:v>Apr</x:v>
      </x:c>
      <x:c r="E487" s="380" t="n">
        <x:v>26</x:v>
      </x:c>
      <x:c r="F487" s="380" t="n">
        <x:v>7</x:v>
      </x:c>
      <x:c r="G487" s="380" t="n">
        <x:f>--(F487&lt;='Estimator'!$B$7)</x:f>
        <x:v>0</x:v>
      </x:c>
      <x:c r="H487" s="381" t="n">
        <x:f>SUMIFS('Climate Data'!$G$7:$G$366,'Climate Data'!$A$7:$A$366,'Estimator'!$B$4,'Climate Data'!$B$7:$B$366,C487)</x:f>
        <x:v>0.32023809523809527</x:v>
      </x:c>
      <x:c r="I487" s="382" t="n">
        <x:f>SUMIFS('Climate Data'!$H$7:$H$366,'Climate Data'!$A$7:$A$366,'Estimator'!$B$4,'Climate Data'!$B$7:$B$366,C487)</x:f>
        <x:v>9.066171003717471</x:v>
      </x:c>
      <x:c r="J487" s="381" t="n">
        <x:f>SUMIFS('Wind Proxy'!$H$8:$H$19,'Wind Proxy'!$A$8:$A$19,'Estimator'!$B$4,'Wind Proxy'!$B$8:$B$19,C487)</x:f>
        <x:v>0.11728395061728397</x:v>
      </x:c>
    </x:row>
    <x:row r="488">
      <x:c r="A488" s="379" t="n">
        <x:v>46139</x:v>
      </x:c>
      <x:c r="B488" s="380" t="n">
        <x:v>2026</x:v>
      </x:c>
      <x:c r="C488" s="380" t="n">
        <x:v>4</x:v>
      </x:c>
      <x:c r="D488" s="380" t="str">
        <x:v>Apr</x:v>
      </x:c>
      <x:c r="E488" s="380" t="n">
        <x:v>27</x:v>
      </x:c>
      <x:c r="F488" s="380" t="n">
        <x:v>1</x:v>
      </x:c>
      <x:c r="G488" s="380" t="n">
        <x:f>--(F488&lt;='Estimator'!$B$7)</x:f>
        <x:v>1</x:v>
      </x:c>
      <x:c r="H488" s="381" t="n">
        <x:f>SUMIFS('Climate Data'!$G$7:$G$366,'Climate Data'!$A$7:$A$366,'Estimator'!$B$4,'Climate Data'!$B$7:$B$366,C488)</x:f>
        <x:v>0.32023809523809527</x:v>
      </x:c>
      <x:c r="I488" s="382" t="n">
        <x:f>SUMIFS('Climate Data'!$H$7:$H$366,'Climate Data'!$A$7:$A$366,'Estimator'!$B$4,'Climate Data'!$B$7:$B$366,C488)</x:f>
        <x:v>9.066171003717471</x:v>
      </x:c>
      <x:c r="J488" s="381" t="n">
        <x:f>SUMIFS('Wind Proxy'!$H$8:$H$19,'Wind Proxy'!$A$8:$A$19,'Estimator'!$B$4,'Wind Proxy'!$B$8:$B$19,C488)</x:f>
        <x:v>0.11728395061728397</x:v>
      </x:c>
    </x:row>
    <x:row r="489">
      <x:c r="A489" s="379" t="n">
        <x:v>46140</x:v>
      </x:c>
      <x:c r="B489" s="380" t="n">
        <x:v>2026</x:v>
      </x:c>
      <x:c r="C489" s="380" t="n">
        <x:v>4</x:v>
      </x:c>
      <x:c r="D489" s="380" t="str">
        <x:v>Apr</x:v>
      </x:c>
      <x:c r="E489" s="380" t="n">
        <x:v>28</x:v>
      </x:c>
      <x:c r="F489" s="380" t="n">
        <x:v>2</x:v>
      </x:c>
      <x:c r="G489" s="380" t="n">
        <x:f>--(F489&lt;='Estimator'!$B$7)</x:f>
        <x:v>1</x:v>
      </x:c>
      <x:c r="H489" s="381" t="n">
        <x:f>SUMIFS('Climate Data'!$G$7:$G$366,'Climate Data'!$A$7:$A$366,'Estimator'!$B$4,'Climate Data'!$B$7:$B$366,C489)</x:f>
        <x:v>0.32023809523809527</x:v>
      </x:c>
      <x:c r="I489" s="382" t="n">
        <x:f>SUMIFS('Climate Data'!$H$7:$H$366,'Climate Data'!$A$7:$A$366,'Estimator'!$B$4,'Climate Data'!$B$7:$B$366,C489)</x:f>
        <x:v>9.066171003717471</x:v>
      </x:c>
      <x:c r="J489" s="381" t="n">
        <x:f>SUMIFS('Wind Proxy'!$H$8:$H$19,'Wind Proxy'!$A$8:$A$19,'Estimator'!$B$4,'Wind Proxy'!$B$8:$B$19,C489)</x:f>
        <x:v>0.11728395061728397</x:v>
      </x:c>
    </x:row>
    <x:row r="490">
      <x:c r="A490" s="379" t="n">
        <x:v>46141</x:v>
      </x:c>
      <x:c r="B490" s="380" t="n">
        <x:v>2026</x:v>
      </x:c>
      <x:c r="C490" s="380" t="n">
        <x:v>4</x:v>
      </x:c>
      <x:c r="D490" s="380" t="str">
        <x:v>Apr</x:v>
      </x:c>
      <x:c r="E490" s="380" t="n">
        <x:v>29</x:v>
      </x:c>
      <x:c r="F490" s="380" t="n">
        <x:v>3</x:v>
      </x:c>
      <x:c r="G490" s="380" t="n">
        <x:f>--(F490&lt;='Estimator'!$B$7)</x:f>
        <x:v>1</x:v>
      </x:c>
      <x:c r="H490" s="381" t="n">
        <x:f>SUMIFS('Climate Data'!$G$7:$G$366,'Climate Data'!$A$7:$A$366,'Estimator'!$B$4,'Climate Data'!$B$7:$B$366,C490)</x:f>
        <x:v>0.32023809523809527</x:v>
      </x:c>
      <x:c r="I490" s="382" t="n">
        <x:f>SUMIFS('Climate Data'!$H$7:$H$366,'Climate Data'!$A$7:$A$366,'Estimator'!$B$4,'Climate Data'!$B$7:$B$366,C490)</x:f>
        <x:v>9.066171003717471</x:v>
      </x:c>
      <x:c r="J490" s="381" t="n">
        <x:f>SUMIFS('Wind Proxy'!$H$8:$H$19,'Wind Proxy'!$A$8:$A$19,'Estimator'!$B$4,'Wind Proxy'!$B$8:$B$19,C490)</x:f>
        <x:v>0.11728395061728397</x:v>
      </x:c>
    </x:row>
    <x:row r="491">
      <x:c r="A491" s="379" t="n">
        <x:v>46142</x:v>
      </x:c>
      <x:c r="B491" s="380" t="n">
        <x:v>2026</x:v>
      </x:c>
      <x:c r="C491" s="380" t="n">
        <x:v>4</x:v>
      </x:c>
      <x:c r="D491" s="380" t="str">
        <x:v>Apr</x:v>
      </x:c>
      <x:c r="E491" s="380" t="n">
        <x:v>30</x:v>
      </x:c>
      <x:c r="F491" s="380" t="n">
        <x:v>4</x:v>
      </x:c>
      <x:c r="G491" s="380" t="n">
        <x:f>--(F491&lt;='Estimator'!$B$7)</x:f>
        <x:v>1</x:v>
      </x:c>
      <x:c r="H491" s="381" t="n">
        <x:f>SUMIFS('Climate Data'!$G$7:$G$366,'Climate Data'!$A$7:$A$366,'Estimator'!$B$4,'Climate Data'!$B$7:$B$366,C491)</x:f>
        <x:v>0.32023809523809527</x:v>
      </x:c>
      <x:c r="I491" s="382" t="n">
        <x:f>SUMIFS('Climate Data'!$H$7:$H$366,'Climate Data'!$A$7:$A$366,'Estimator'!$B$4,'Climate Data'!$B$7:$B$366,C491)</x:f>
        <x:v>9.066171003717471</x:v>
      </x:c>
      <x:c r="J491" s="381" t="n">
        <x:f>SUMIFS('Wind Proxy'!$H$8:$H$19,'Wind Proxy'!$A$8:$A$19,'Estimator'!$B$4,'Wind Proxy'!$B$8:$B$19,C491)</x:f>
        <x:v>0.11728395061728397</x:v>
      </x:c>
    </x:row>
    <x:row r="492">
      <x:c r="A492" s="379" t="n">
        <x:v>46143</x:v>
      </x:c>
      <x:c r="B492" s="380" t="n">
        <x:v>2026</x:v>
      </x:c>
      <x:c r="C492" s="380" t="n">
        <x:v>5</x:v>
      </x:c>
      <x:c r="D492" s="380" t="str">
        <x:v>May</x:v>
      </x:c>
      <x:c r="E492" s="380" t="n">
        <x:v>1</x:v>
      </x:c>
      <x:c r="F492" s="380" t="n">
        <x:v>5</x:v>
      </x:c>
      <x:c r="G492" s="380" t="n">
        <x:f>--(F492&lt;='Estimator'!$B$7)</x:f>
        <x:v>1</x:v>
      </x:c>
      <x:c r="H492" s="381" t="n">
        <x:f>SUMIFS('Climate Data'!$G$7:$G$366,'Climate Data'!$A$7:$A$366,'Estimator'!$B$4,'Climate Data'!$B$7:$B$366,C492)</x:f>
        <x:v>0.41935483870967744</x:v>
      </x:c>
      <x:c r="I492" s="382" t="n">
        <x:f>SUMIFS('Climate Data'!$H$7:$H$366,'Climate Data'!$A$7:$A$366,'Estimator'!$B$4,'Climate Data'!$B$7:$B$366,C492)</x:f>
        <x:v>9.215384615384615</x:v>
      </x:c>
      <x:c r="J492" s="381" t="n">
        <x:f>SUMIFS('Wind Proxy'!$H$8:$H$19,'Wind Proxy'!$A$8:$A$19,'Estimator'!$B$4,'Wind Proxy'!$B$8:$B$19,C492)</x:f>
        <x:v>0.11350059737156513</x:v>
      </x:c>
    </x:row>
    <x:row r="493">
      <x:c r="A493" s="379" t="n">
        <x:v>46144</x:v>
      </x:c>
      <x:c r="B493" s="380" t="n">
        <x:v>2026</x:v>
      </x:c>
      <x:c r="C493" s="380" t="n">
        <x:v>5</x:v>
      </x:c>
      <x:c r="D493" s="380" t="str">
        <x:v>May</x:v>
      </x:c>
      <x:c r="E493" s="380" t="n">
        <x:v>2</x:v>
      </x:c>
      <x:c r="F493" s="380" t="n">
        <x:v>6</x:v>
      </x:c>
      <x:c r="G493" s="380" t="n">
        <x:f>--(F493&lt;='Estimator'!$B$7)</x:f>
        <x:v>0</x:v>
      </x:c>
      <x:c r="H493" s="381" t="n">
        <x:f>SUMIFS('Climate Data'!$G$7:$G$366,'Climate Data'!$A$7:$A$366,'Estimator'!$B$4,'Climate Data'!$B$7:$B$366,C493)</x:f>
        <x:v>0.41935483870967744</x:v>
      </x:c>
      <x:c r="I493" s="382" t="n">
        <x:f>SUMIFS('Climate Data'!$H$7:$H$366,'Climate Data'!$A$7:$A$366,'Estimator'!$B$4,'Climate Data'!$B$7:$B$366,C493)</x:f>
        <x:v>9.215384615384615</x:v>
      </x:c>
      <x:c r="J493" s="381" t="n">
        <x:f>SUMIFS('Wind Proxy'!$H$8:$H$19,'Wind Proxy'!$A$8:$A$19,'Estimator'!$B$4,'Wind Proxy'!$B$8:$B$19,C493)</x:f>
        <x:v>0.11350059737156513</x:v>
      </x:c>
    </x:row>
    <x:row r="494">
      <x:c r="A494" s="379" t="n">
        <x:v>46145</x:v>
      </x:c>
      <x:c r="B494" s="380" t="n">
        <x:v>2026</x:v>
      </x:c>
      <x:c r="C494" s="380" t="n">
        <x:v>5</x:v>
      </x:c>
      <x:c r="D494" s="380" t="str">
        <x:v>May</x:v>
      </x:c>
      <x:c r="E494" s="380" t="n">
        <x:v>3</x:v>
      </x:c>
      <x:c r="F494" s="380" t="n">
        <x:v>7</x:v>
      </x:c>
      <x:c r="G494" s="380" t="n">
        <x:f>--(F494&lt;='Estimator'!$B$7)</x:f>
        <x:v>0</x:v>
      </x:c>
      <x:c r="H494" s="381" t="n">
        <x:f>SUMIFS('Climate Data'!$G$7:$G$366,'Climate Data'!$A$7:$A$366,'Estimator'!$B$4,'Climate Data'!$B$7:$B$366,C494)</x:f>
        <x:v>0.41935483870967744</x:v>
      </x:c>
      <x:c r="I494" s="382" t="n">
        <x:f>SUMIFS('Climate Data'!$H$7:$H$366,'Climate Data'!$A$7:$A$366,'Estimator'!$B$4,'Climate Data'!$B$7:$B$366,C494)</x:f>
        <x:v>9.215384615384615</x:v>
      </x:c>
      <x:c r="J494" s="381" t="n">
        <x:f>SUMIFS('Wind Proxy'!$H$8:$H$19,'Wind Proxy'!$A$8:$A$19,'Estimator'!$B$4,'Wind Proxy'!$B$8:$B$19,C494)</x:f>
        <x:v>0.11350059737156513</x:v>
      </x:c>
    </x:row>
    <x:row r="495">
      <x:c r="A495" s="379" t="n">
        <x:v>46146</x:v>
      </x:c>
      <x:c r="B495" s="380" t="n">
        <x:v>2026</x:v>
      </x:c>
      <x:c r="C495" s="380" t="n">
        <x:v>5</x:v>
      </x:c>
      <x:c r="D495" s="380" t="str">
        <x:v>May</x:v>
      </x:c>
      <x:c r="E495" s="380" t="n">
        <x:v>4</x:v>
      </x:c>
      <x:c r="F495" s="380" t="n">
        <x:v>1</x:v>
      </x:c>
      <x:c r="G495" s="380" t="n">
        <x:f>--(F495&lt;='Estimator'!$B$7)</x:f>
        <x:v>1</x:v>
      </x:c>
      <x:c r="H495" s="381" t="n">
        <x:f>SUMIFS('Climate Data'!$G$7:$G$366,'Climate Data'!$A$7:$A$366,'Estimator'!$B$4,'Climate Data'!$B$7:$B$366,C495)</x:f>
        <x:v>0.41935483870967744</x:v>
      </x:c>
      <x:c r="I495" s="382" t="n">
        <x:f>SUMIFS('Climate Data'!$H$7:$H$366,'Climate Data'!$A$7:$A$366,'Estimator'!$B$4,'Climate Data'!$B$7:$B$366,C495)</x:f>
        <x:v>9.215384615384615</x:v>
      </x:c>
      <x:c r="J495" s="381" t="n">
        <x:f>SUMIFS('Wind Proxy'!$H$8:$H$19,'Wind Proxy'!$A$8:$A$19,'Estimator'!$B$4,'Wind Proxy'!$B$8:$B$19,C495)</x:f>
        <x:v>0.11350059737156513</x:v>
      </x:c>
    </x:row>
    <x:row r="496">
      <x:c r="A496" s="379" t="n">
        <x:v>46147</x:v>
      </x:c>
      <x:c r="B496" s="380" t="n">
        <x:v>2026</x:v>
      </x:c>
      <x:c r="C496" s="380" t="n">
        <x:v>5</x:v>
      </x:c>
      <x:c r="D496" s="380" t="str">
        <x:v>May</x:v>
      </x:c>
      <x:c r="E496" s="380" t="n">
        <x:v>5</x:v>
      </x:c>
      <x:c r="F496" s="380" t="n">
        <x:v>2</x:v>
      </x:c>
      <x:c r="G496" s="380" t="n">
        <x:f>--(F496&lt;='Estimator'!$B$7)</x:f>
        <x:v>1</x:v>
      </x:c>
      <x:c r="H496" s="381" t="n">
        <x:f>SUMIFS('Climate Data'!$G$7:$G$366,'Climate Data'!$A$7:$A$366,'Estimator'!$B$4,'Climate Data'!$B$7:$B$366,C496)</x:f>
        <x:v>0.41935483870967744</x:v>
      </x:c>
      <x:c r="I496" s="382" t="n">
        <x:f>SUMIFS('Climate Data'!$H$7:$H$366,'Climate Data'!$A$7:$A$366,'Estimator'!$B$4,'Climate Data'!$B$7:$B$366,C496)</x:f>
        <x:v>9.215384615384615</x:v>
      </x:c>
      <x:c r="J496" s="381" t="n">
        <x:f>SUMIFS('Wind Proxy'!$H$8:$H$19,'Wind Proxy'!$A$8:$A$19,'Estimator'!$B$4,'Wind Proxy'!$B$8:$B$19,C496)</x:f>
        <x:v>0.11350059737156513</x:v>
      </x:c>
    </x:row>
    <x:row r="497">
      <x:c r="A497" s="379" t="n">
        <x:v>46148</x:v>
      </x:c>
      <x:c r="B497" s="380" t="n">
        <x:v>2026</x:v>
      </x:c>
      <x:c r="C497" s="380" t="n">
        <x:v>5</x:v>
      </x:c>
      <x:c r="D497" s="380" t="str">
        <x:v>May</x:v>
      </x:c>
      <x:c r="E497" s="380" t="n">
        <x:v>6</x:v>
      </x:c>
      <x:c r="F497" s="380" t="n">
        <x:v>3</x:v>
      </x:c>
      <x:c r="G497" s="380" t="n">
        <x:f>--(F497&lt;='Estimator'!$B$7)</x:f>
        <x:v>1</x:v>
      </x:c>
      <x:c r="H497" s="381" t="n">
        <x:f>SUMIFS('Climate Data'!$G$7:$G$366,'Climate Data'!$A$7:$A$366,'Estimator'!$B$4,'Climate Data'!$B$7:$B$366,C497)</x:f>
        <x:v>0.41935483870967744</x:v>
      </x:c>
      <x:c r="I497" s="382" t="n">
        <x:f>SUMIFS('Climate Data'!$H$7:$H$366,'Climate Data'!$A$7:$A$366,'Estimator'!$B$4,'Climate Data'!$B$7:$B$366,C497)</x:f>
        <x:v>9.215384615384615</x:v>
      </x:c>
      <x:c r="J497" s="381" t="n">
        <x:f>SUMIFS('Wind Proxy'!$H$8:$H$19,'Wind Proxy'!$A$8:$A$19,'Estimator'!$B$4,'Wind Proxy'!$B$8:$B$19,C497)</x:f>
        <x:v>0.11350059737156513</x:v>
      </x:c>
    </x:row>
    <x:row r="498">
      <x:c r="A498" s="379" t="n">
        <x:v>46149</x:v>
      </x:c>
      <x:c r="B498" s="380" t="n">
        <x:v>2026</x:v>
      </x:c>
      <x:c r="C498" s="380" t="n">
        <x:v>5</x:v>
      </x:c>
      <x:c r="D498" s="380" t="str">
        <x:v>May</x:v>
      </x:c>
      <x:c r="E498" s="380" t="n">
        <x:v>7</x:v>
      </x:c>
      <x:c r="F498" s="380" t="n">
        <x:v>4</x:v>
      </x:c>
      <x:c r="G498" s="380" t="n">
        <x:f>--(F498&lt;='Estimator'!$B$7)</x:f>
        <x:v>1</x:v>
      </x:c>
      <x:c r="H498" s="381" t="n">
        <x:f>SUMIFS('Climate Data'!$G$7:$G$366,'Climate Data'!$A$7:$A$366,'Estimator'!$B$4,'Climate Data'!$B$7:$B$366,C498)</x:f>
        <x:v>0.41935483870967744</x:v>
      </x:c>
      <x:c r="I498" s="382" t="n">
        <x:f>SUMIFS('Climate Data'!$H$7:$H$366,'Climate Data'!$A$7:$A$366,'Estimator'!$B$4,'Climate Data'!$B$7:$B$366,C498)</x:f>
        <x:v>9.215384615384615</x:v>
      </x:c>
      <x:c r="J498" s="381" t="n">
        <x:f>SUMIFS('Wind Proxy'!$H$8:$H$19,'Wind Proxy'!$A$8:$A$19,'Estimator'!$B$4,'Wind Proxy'!$B$8:$B$19,C498)</x:f>
        <x:v>0.11350059737156513</x:v>
      </x:c>
    </x:row>
    <x:row r="499">
      <x:c r="A499" s="379" t="n">
        <x:v>46150</x:v>
      </x:c>
      <x:c r="B499" s="380" t="n">
        <x:v>2026</x:v>
      </x:c>
      <x:c r="C499" s="380" t="n">
        <x:v>5</x:v>
      </x:c>
      <x:c r="D499" s="380" t="str">
        <x:v>May</x:v>
      </x:c>
      <x:c r="E499" s="380" t="n">
        <x:v>8</x:v>
      </x:c>
      <x:c r="F499" s="380" t="n">
        <x:v>5</x:v>
      </x:c>
      <x:c r="G499" s="380" t="n">
        <x:f>--(F499&lt;='Estimator'!$B$7)</x:f>
        <x:v>1</x:v>
      </x:c>
      <x:c r="H499" s="381" t="n">
        <x:f>SUMIFS('Climate Data'!$G$7:$G$366,'Climate Data'!$A$7:$A$366,'Estimator'!$B$4,'Climate Data'!$B$7:$B$366,C499)</x:f>
        <x:v>0.41935483870967744</x:v>
      </x:c>
      <x:c r="I499" s="382" t="n">
        <x:f>SUMIFS('Climate Data'!$H$7:$H$366,'Climate Data'!$A$7:$A$366,'Estimator'!$B$4,'Climate Data'!$B$7:$B$366,C499)</x:f>
        <x:v>9.215384615384615</x:v>
      </x:c>
      <x:c r="J499" s="381" t="n">
        <x:f>SUMIFS('Wind Proxy'!$H$8:$H$19,'Wind Proxy'!$A$8:$A$19,'Estimator'!$B$4,'Wind Proxy'!$B$8:$B$19,C499)</x:f>
        <x:v>0.11350059737156513</x:v>
      </x:c>
    </x:row>
    <x:row r="500">
      <x:c r="A500" s="379" t="n">
        <x:v>46151</x:v>
      </x:c>
      <x:c r="B500" s="380" t="n">
        <x:v>2026</x:v>
      </x:c>
      <x:c r="C500" s="380" t="n">
        <x:v>5</x:v>
      </x:c>
      <x:c r="D500" s="380" t="str">
        <x:v>May</x:v>
      </x:c>
      <x:c r="E500" s="380" t="n">
        <x:v>9</x:v>
      </x:c>
      <x:c r="F500" s="380" t="n">
        <x:v>6</x:v>
      </x:c>
      <x:c r="G500" s="380" t="n">
        <x:f>--(F500&lt;='Estimator'!$B$7)</x:f>
        <x:v>0</x:v>
      </x:c>
      <x:c r="H500" s="381" t="n">
        <x:f>SUMIFS('Climate Data'!$G$7:$G$366,'Climate Data'!$A$7:$A$366,'Estimator'!$B$4,'Climate Data'!$B$7:$B$366,C500)</x:f>
        <x:v>0.41935483870967744</x:v>
      </x:c>
      <x:c r="I500" s="382" t="n">
        <x:f>SUMIFS('Climate Data'!$H$7:$H$366,'Climate Data'!$A$7:$A$366,'Estimator'!$B$4,'Climate Data'!$B$7:$B$366,C500)</x:f>
        <x:v>9.215384615384615</x:v>
      </x:c>
      <x:c r="J500" s="381" t="n">
        <x:f>SUMIFS('Wind Proxy'!$H$8:$H$19,'Wind Proxy'!$A$8:$A$19,'Estimator'!$B$4,'Wind Proxy'!$B$8:$B$19,C500)</x:f>
        <x:v>0.11350059737156513</x:v>
      </x:c>
    </x:row>
    <x:row r="501">
      <x:c r="A501" s="379" t="n">
        <x:v>46152</x:v>
      </x:c>
      <x:c r="B501" s="380" t="n">
        <x:v>2026</x:v>
      </x:c>
      <x:c r="C501" s="380" t="n">
        <x:v>5</x:v>
      </x:c>
      <x:c r="D501" s="380" t="str">
        <x:v>May</x:v>
      </x:c>
      <x:c r="E501" s="380" t="n">
        <x:v>10</x:v>
      </x:c>
      <x:c r="F501" s="380" t="n">
        <x:v>7</x:v>
      </x:c>
      <x:c r="G501" s="380" t="n">
        <x:f>--(F501&lt;='Estimator'!$B$7)</x:f>
        <x:v>0</x:v>
      </x:c>
      <x:c r="H501" s="381" t="n">
        <x:f>SUMIFS('Climate Data'!$G$7:$G$366,'Climate Data'!$A$7:$A$366,'Estimator'!$B$4,'Climate Data'!$B$7:$B$366,C501)</x:f>
        <x:v>0.41935483870967744</x:v>
      </x:c>
      <x:c r="I501" s="382" t="n">
        <x:f>SUMIFS('Climate Data'!$H$7:$H$366,'Climate Data'!$A$7:$A$366,'Estimator'!$B$4,'Climate Data'!$B$7:$B$366,C501)</x:f>
        <x:v>9.215384615384615</x:v>
      </x:c>
      <x:c r="J501" s="381" t="n">
        <x:f>SUMIFS('Wind Proxy'!$H$8:$H$19,'Wind Proxy'!$A$8:$A$19,'Estimator'!$B$4,'Wind Proxy'!$B$8:$B$19,C501)</x:f>
        <x:v>0.11350059737156513</x:v>
      </x:c>
    </x:row>
    <x:row r="502">
      <x:c r="A502" s="379" t="n">
        <x:v>46153</x:v>
      </x:c>
      <x:c r="B502" s="380" t="n">
        <x:v>2026</x:v>
      </x:c>
      <x:c r="C502" s="380" t="n">
        <x:v>5</x:v>
      </x:c>
      <x:c r="D502" s="380" t="str">
        <x:v>May</x:v>
      </x:c>
      <x:c r="E502" s="380" t="n">
        <x:v>11</x:v>
      </x:c>
      <x:c r="F502" s="380" t="n">
        <x:v>1</x:v>
      </x:c>
      <x:c r="G502" s="380" t="n">
        <x:f>--(F502&lt;='Estimator'!$B$7)</x:f>
        <x:v>1</x:v>
      </x:c>
      <x:c r="H502" s="381" t="n">
        <x:f>SUMIFS('Climate Data'!$G$7:$G$366,'Climate Data'!$A$7:$A$366,'Estimator'!$B$4,'Climate Data'!$B$7:$B$366,C502)</x:f>
        <x:v>0.41935483870967744</x:v>
      </x:c>
      <x:c r="I502" s="382" t="n">
        <x:f>SUMIFS('Climate Data'!$H$7:$H$366,'Climate Data'!$A$7:$A$366,'Estimator'!$B$4,'Climate Data'!$B$7:$B$366,C502)</x:f>
        <x:v>9.215384615384615</x:v>
      </x:c>
      <x:c r="J502" s="381" t="n">
        <x:f>SUMIFS('Wind Proxy'!$H$8:$H$19,'Wind Proxy'!$A$8:$A$19,'Estimator'!$B$4,'Wind Proxy'!$B$8:$B$19,C502)</x:f>
        <x:v>0.11350059737156513</x:v>
      </x:c>
    </x:row>
    <x:row r="503">
      <x:c r="A503" s="379" t="n">
        <x:v>46154</x:v>
      </x:c>
      <x:c r="B503" s="380" t="n">
        <x:v>2026</x:v>
      </x:c>
      <x:c r="C503" s="380" t="n">
        <x:v>5</x:v>
      </x:c>
      <x:c r="D503" s="380" t="str">
        <x:v>May</x:v>
      </x:c>
      <x:c r="E503" s="380" t="n">
        <x:v>12</x:v>
      </x:c>
      <x:c r="F503" s="380" t="n">
        <x:v>2</x:v>
      </x:c>
      <x:c r="G503" s="380" t="n">
        <x:f>--(F503&lt;='Estimator'!$B$7)</x:f>
        <x:v>1</x:v>
      </x:c>
      <x:c r="H503" s="381" t="n">
        <x:f>SUMIFS('Climate Data'!$G$7:$G$366,'Climate Data'!$A$7:$A$366,'Estimator'!$B$4,'Climate Data'!$B$7:$B$366,C503)</x:f>
        <x:v>0.41935483870967744</x:v>
      </x:c>
      <x:c r="I503" s="382" t="n">
        <x:f>SUMIFS('Climate Data'!$H$7:$H$366,'Climate Data'!$A$7:$A$366,'Estimator'!$B$4,'Climate Data'!$B$7:$B$366,C503)</x:f>
        <x:v>9.215384615384615</x:v>
      </x:c>
      <x:c r="J503" s="381" t="n">
        <x:f>SUMIFS('Wind Proxy'!$H$8:$H$19,'Wind Proxy'!$A$8:$A$19,'Estimator'!$B$4,'Wind Proxy'!$B$8:$B$19,C503)</x:f>
        <x:v>0.11350059737156513</x:v>
      </x:c>
    </x:row>
    <x:row r="504">
      <x:c r="A504" s="379" t="n">
        <x:v>46155</x:v>
      </x:c>
      <x:c r="B504" s="380" t="n">
        <x:v>2026</x:v>
      </x:c>
      <x:c r="C504" s="380" t="n">
        <x:v>5</x:v>
      </x:c>
      <x:c r="D504" s="380" t="str">
        <x:v>May</x:v>
      </x:c>
      <x:c r="E504" s="380" t="n">
        <x:v>13</x:v>
      </x:c>
      <x:c r="F504" s="380" t="n">
        <x:v>3</x:v>
      </x:c>
      <x:c r="G504" s="380" t="n">
        <x:f>--(F504&lt;='Estimator'!$B$7)</x:f>
        <x:v>1</x:v>
      </x:c>
      <x:c r="H504" s="381" t="n">
        <x:f>SUMIFS('Climate Data'!$G$7:$G$366,'Climate Data'!$A$7:$A$366,'Estimator'!$B$4,'Climate Data'!$B$7:$B$366,C504)</x:f>
        <x:v>0.41935483870967744</x:v>
      </x:c>
      <x:c r="I504" s="382" t="n">
        <x:f>SUMIFS('Climate Data'!$H$7:$H$366,'Climate Data'!$A$7:$A$366,'Estimator'!$B$4,'Climate Data'!$B$7:$B$366,C504)</x:f>
        <x:v>9.215384615384615</x:v>
      </x:c>
      <x:c r="J504" s="381" t="n">
        <x:f>SUMIFS('Wind Proxy'!$H$8:$H$19,'Wind Proxy'!$A$8:$A$19,'Estimator'!$B$4,'Wind Proxy'!$B$8:$B$19,C504)</x:f>
        <x:v>0.11350059737156513</x:v>
      </x:c>
    </x:row>
    <x:row r="505">
      <x:c r="A505" s="379" t="n">
        <x:v>46156</x:v>
      </x:c>
      <x:c r="B505" s="380" t="n">
        <x:v>2026</x:v>
      </x:c>
      <x:c r="C505" s="380" t="n">
        <x:v>5</x:v>
      </x:c>
      <x:c r="D505" s="380" t="str">
        <x:v>May</x:v>
      </x:c>
      <x:c r="E505" s="380" t="n">
        <x:v>14</x:v>
      </x:c>
      <x:c r="F505" s="380" t="n">
        <x:v>4</x:v>
      </x:c>
      <x:c r="G505" s="380" t="n">
        <x:f>--(F505&lt;='Estimator'!$B$7)</x:f>
        <x:v>1</x:v>
      </x:c>
      <x:c r="H505" s="381" t="n">
        <x:f>SUMIFS('Climate Data'!$G$7:$G$366,'Climate Data'!$A$7:$A$366,'Estimator'!$B$4,'Climate Data'!$B$7:$B$366,C505)</x:f>
        <x:v>0.41935483870967744</x:v>
      </x:c>
      <x:c r="I505" s="382" t="n">
        <x:f>SUMIFS('Climate Data'!$H$7:$H$366,'Climate Data'!$A$7:$A$366,'Estimator'!$B$4,'Climate Data'!$B$7:$B$366,C505)</x:f>
        <x:v>9.215384615384615</x:v>
      </x:c>
      <x:c r="J505" s="381" t="n">
        <x:f>SUMIFS('Wind Proxy'!$H$8:$H$19,'Wind Proxy'!$A$8:$A$19,'Estimator'!$B$4,'Wind Proxy'!$B$8:$B$19,C505)</x:f>
        <x:v>0.11350059737156513</x:v>
      </x:c>
    </x:row>
    <x:row r="506">
      <x:c r="A506" s="379" t="n">
        <x:v>46157</x:v>
      </x:c>
      <x:c r="B506" s="380" t="n">
        <x:v>2026</x:v>
      </x:c>
      <x:c r="C506" s="380" t="n">
        <x:v>5</x:v>
      </x:c>
      <x:c r="D506" s="380" t="str">
        <x:v>May</x:v>
      </x:c>
      <x:c r="E506" s="380" t="n">
        <x:v>15</x:v>
      </x:c>
      <x:c r="F506" s="380" t="n">
        <x:v>5</x:v>
      </x:c>
      <x:c r="G506" s="380" t="n">
        <x:f>--(F506&lt;='Estimator'!$B$7)</x:f>
        <x:v>1</x:v>
      </x:c>
      <x:c r="H506" s="381" t="n">
        <x:f>SUMIFS('Climate Data'!$G$7:$G$366,'Climate Data'!$A$7:$A$366,'Estimator'!$B$4,'Climate Data'!$B$7:$B$366,C506)</x:f>
        <x:v>0.41935483870967744</x:v>
      </x:c>
      <x:c r="I506" s="382" t="n">
        <x:f>SUMIFS('Climate Data'!$H$7:$H$366,'Climate Data'!$A$7:$A$366,'Estimator'!$B$4,'Climate Data'!$B$7:$B$366,C506)</x:f>
        <x:v>9.215384615384615</x:v>
      </x:c>
      <x:c r="J506" s="381" t="n">
        <x:f>SUMIFS('Wind Proxy'!$H$8:$H$19,'Wind Proxy'!$A$8:$A$19,'Estimator'!$B$4,'Wind Proxy'!$B$8:$B$19,C506)</x:f>
        <x:v>0.11350059737156513</x:v>
      </x:c>
    </x:row>
    <x:row r="507">
      <x:c r="A507" s="379" t="n">
        <x:v>46158</x:v>
      </x:c>
      <x:c r="B507" s="380" t="n">
        <x:v>2026</x:v>
      </x:c>
      <x:c r="C507" s="380" t="n">
        <x:v>5</x:v>
      </x:c>
      <x:c r="D507" s="380" t="str">
        <x:v>May</x:v>
      </x:c>
      <x:c r="E507" s="380" t="n">
        <x:v>16</x:v>
      </x:c>
      <x:c r="F507" s="380" t="n">
        <x:v>6</x:v>
      </x:c>
      <x:c r="G507" s="380" t="n">
        <x:f>--(F507&lt;='Estimator'!$B$7)</x:f>
        <x:v>0</x:v>
      </x:c>
      <x:c r="H507" s="381" t="n">
        <x:f>SUMIFS('Climate Data'!$G$7:$G$366,'Climate Data'!$A$7:$A$366,'Estimator'!$B$4,'Climate Data'!$B$7:$B$366,C507)</x:f>
        <x:v>0.41935483870967744</x:v>
      </x:c>
      <x:c r="I507" s="382" t="n">
        <x:f>SUMIFS('Climate Data'!$H$7:$H$366,'Climate Data'!$A$7:$A$366,'Estimator'!$B$4,'Climate Data'!$B$7:$B$366,C507)</x:f>
        <x:v>9.215384615384615</x:v>
      </x:c>
      <x:c r="J507" s="381" t="n">
        <x:f>SUMIFS('Wind Proxy'!$H$8:$H$19,'Wind Proxy'!$A$8:$A$19,'Estimator'!$B$4,'Wind Proxy'!$B$8:$B$19,C507)</x:f>
        <x:v>0.11350059737156513</x:v>
      </x:c>
    </x:row>
    <x:row r="508">
      <x:c r="A508" s="379" t="n">
        <x:v>46159</x:v>
      </x:c>
      <x:c r="B508" s="380" t="n">
        <x:v>2026</x:v>
      </x:c>
      <x:c r="C508" s="380" t="n">
        <x:v>5</x:v>
      </x:c>
      <x:c r="D508" s="380" t="str">
        <x:v>May</x:v>
      </x:c>
      <x:c r="E508" s="380" t="n">
        <x:v>17</x:v>
      </x:c>
      <x:c r="F508" s="380" t="n">
        <x:v>7</x:v>
      </x:c>
      <x:c r="G508" s="380" t="n">
        <x:f>--(F508&lt;='Estimator'!$B$7)</x:f>
        <x:v>0</x:v>
      </x:c>
      <x:c r="H508" s="381" t="n">
        <x:f>SUMIFS('Climate Data'!$G$7:$G$366,'Climate Data'!$A$7:$A$366,'Estimator'!$B$4,'Climate Data'!$B$7:$B$366,C508)</x:f>
        <x:v>0.41935483870967744</x:v>
      </x:c>
      <x:c r="I508" s="382" t="n">
        <x:f>SUMIFS('Climate Data'!$H$7:$H$366,'Climate Data'!$A$7:$A$366,'Estimator'!$B$4,'Climate Data'!$B$7:$B$366,C508)</x:f>
        <x:v>9.215384615384615</x:v>
      </x:c>
      <x:c r="J508" s="381" t="n">
        <x:f>SUMIFS('Wind Proxy'!$H$8:$H$19,'Wind Proxy'!$A$8:$A$19,'Estimator'!$B$4,'Wind Proxy'!$B$8:$B$19,C508)</x:f>
        <x:v>0.11350059737156513</x:v>
      </x:c>
    </x:row>
    <x:row r="509">
      <x:c r="A509" s="379" t="n">
        <x:v>46160</x:v>
      </x:c>
      <x:c r="B509" s="380" t="n">
        <x:v>2026</x:v>
      </x:c>
      <x:c r="C509" s="380" t="n">
        <x:v>5</x:v>
      </x:c>
      <x:c r="D509" s="380" t="str">
        <x:v>May</x:v>
      </x:c>
      <x:c r="E509" s="380" t="n">
        <x:v>18</x:v>
      </x:c>
      <x:c r="F509" s="380" t="n">
        <x:v>1</x:v>
      </x:c>
      <x:c r="G509" s="380" t="n">
        <x:f>--(F509&lt;='Estimator'!$B$7)</x:f>
        <x:v>1</x:v>
      </x:c>
      <x:c r="H509" s="381" t="n">
        <x:f>SUMIFS('Climate Data'!$G$7:$G$366,'Climate Data'!$A$7:$A$366,'Estimator'!$B$4,'Climate Data'!$B$7:$B$366,C509)</x:f>
        <x:v>0.41935483870967744</x:v>
      </x:c>
      <x:c r="I509" s="382" t="n">
        <x:f>SUMIFS('Climate Data'!$H$7:$H$366,'Climate Data'!$A$7:$A$366,'Estimator'!$B$4,'Climate Data'!$B$7:$B$366,C509)</x:f>
        <x:v>9.215384615384615</x:v>
      </x:c>
      <x:c r="J509" s="381" t="n">
        <x:f>SUMIFS('Wind Proxy'!$H$8:$H$19,'Wind Proxy'!$A$8:$A$19,'Estimator'!$B$4,'Wind Proxy'!$B$8:$B$19,C509)</x:f>
        <x:v>0.11350059737156513</x:v>
      </x:c>
    </x:row>
    <x:row r="510">
      <x:c r="A510" s="379" t="n">
        <x:v>46161</x:v>
      </x:c>
      <x:c r="B510" s="380" t="n">
        <x:v>2026</x:v>
      </x:c>
      <x:c r="C510" s="380" t="n">
        <x:v>5</x:v>
      </x:c>
      <x:c r="D510" s="380" t="str">
        <x:v>May</x:v>
      </x:c>
      <x:c r="E510" s="380" t="n">
        <x:v>19</x:v>
      </x:c>
      <x:c r="F510" s="380" t="n">
        <x:v>2</x:v>
      </x:c>
      <x:c r="G510" s="380" t="n">
        <x:f>--(F510&lt;='Estimator'!$B$7)</x:f>
        <x:v>1</x:v>
      </x:c>
      <x:c r="H510" s="381" t="n">
        <x:f>SUMIFS('Climate Data'!$G$7:$G$366,'Climate Data'!$A$7:$A$366,'Estimator'!$B$4,'Climate Data'!$B$7:$B$366,C510)</x:f>
        <x:v>0.41935483870967744</x:v>
      </x:c>
      <x:c r="I510" s="382" t="n">
        <x:f>SUMIFS('Climate Data'!$H$7:$H$366,'Climate Data'!$A$7:$A$366,'Estimator'!$B$4,'Climate Data'!$B$7:$B$366,C510)</x:f>
        <x:v>9.215384615384615</x:v>
      </x:c>
      <x:c r="J510" s="381" t="n">
        <x:f>SUMIFS('Wind Proxy'!$H$8:$H$19,'Wind Proxy'!$A$8:$A$19,'Estimator'!$B$4,'Wind Proxy'!$B$8:$B$19,C510)</x:f>
        <x:v>0.11350059737156513</x:v>
      </x:c>
    </x:row>
    <x:row r="511">
      <x:c r="A511" s="379" t="n">
        <x:v>46162</x:v>
      </x:c>
      <x:c r="B511" s="380" t="n">
        <x:v>2026</x:v>
      </x:c>
      <x:c r="C511" s="380" t="n">
        <x:v>5</x:v>
      </x:c>
      <x:c r="D511" s="380" t="str">
        <x:v>May</x:v>
      </x:c>
      <x:c r="E511" s="380" t="n">
        <x:v>20</x:v>
      </x:c>
      <x:c r="F511" s="380" t="n">
        <x:v>3</x:v>
      </x:c>
      <x:c r="G511" s="380" t="n">
        <x:f>--(F511&lt;='Estimator'!$B$7)</x:f>
        <x:v>1</x:v>
      </x:c>
      <x:c r="H511" s="381" t="n">
        <x:f>SUMIFS('Climate Data'!$G$7:$G$366,'Climate Data'!$A$7:$A$366,'Estimator'!$B$4,'Climate Data'!$B$7:$B$366,C511)</x:f>
        <x:v>0.41935483870967744</x:v>
      </x:c>
      <x:c r="I511" s="382" t="n">
        <x:f>SUMIFS('Climate Data'!$H$7:$H$366,'Climate Data'!$A$7:$A$366,'Estimator'!$B$4,'Climate Data'!$B$7:$B$366,C511)</x:f>
        <x:v>9.215384615384615</x:v>
      </x:c>
      <x:c r="J511" s="381" t="n">
        <x:f>SUMIFS('Wind Proxy'!$H$8:$H$19,'Wind Proxy'!$A$8:$A$19,'Estimator'!$B$4,'Wind Proxy'!$B$8:$B$19,C511)</x:f>
        <x:v>0.11350059737156513</x:v>
      </x:c>
    </x:row>
    <x:row r="512">
      <x:c r="A512" s="379" t="n">
        <x:v>46163</x:v>
      </x:c>
      <x:c r="B512" s="380" t="n">
        <x:v>2026</x:v>
      </x:c>
      <x:c r="C512" s="380" t="n">
        <x:v>5</x:v>
      </x:c>
      <x:c r="D512" s="380" t="str">
        <x:v>May</x:v>
      </x:c>
      <x:c r="E512" s="380" t="n">
        <x:v>21</x:v>
      </x:c>
      <x:c r="F512" s="380" t="n">
        <x:v>4</x:v>
      </x:c>
      <x:c r="G512" s="380" t="n">
        <x:f>--(F512&lt;='Estimator'!$B$7)</x:f>
        <x:v>1</x:v>
      </x:c>
      <x:c r="H512" s="381" t="n">
        <x:f>SUMIFS('Climate Data'!$G$7:$G$366,'Climate Data'!$A$7:$A$366,'Estimator'!$B$4,'Climate Data'!$B$7:$B$366,C512)</x:f>
        <x:v>0.41935483870967744</x:v>
      </x:c>
      <x:c r="I512" s="382" t="n">
        <x:f>SUMIFS('Climate Data'!$H$7:$H$366,'Climate Data'!$A$7:$A$366,'Estimator'!$B$4,'Climate Data'!$B$7:$B$366,C512)</x:f>
        <x:v>9.215384615384615</x:v>
      </x:c>
      <x:c r="J512" s="381" t="n">
        <x:f>SUMIFS('Wind Proxy'!$H$8:$H$19,'Wind Proxy'!$A$8:$A$19,'Estimator'!$B$4,'Wind Proxy'!$B$8:$B$19,C512)</x:f>
        <x:v>0.11350059737156513</x:v>
      </x:c>
    </x:row>
    <x:row r="513">
      <x:c r="A513" s="379" t="n">
        <x:v>46164</x:v>
      </x:c>
      <x:c r="B513" s="380" t="n">
        <x:v>2026</x:v>
      </x:c>
      <x:c r="C513" s="380" t="n">
        <x:v>5</x:v>
      </x:c>
      <x:c r="D513" s="380" t="str">
        <x:v>May</x:v>
      </x:c>
      <x:c r="E513" s="380" t="n">
        <x:v>22</x:v>
      </x:c>
      <x:c r="F513" s="380" t="n">
        <x:v>5</x:v>
      </x:c>
      <x:c r="G513" s="380" t="n">
        <x:f>--(F513&lt;='Estimator'!$B$7)</x:f>
        <x:v>1</x:v>
      </x:c>
      <x:c r="H513" s="381" t="n">
        <x:f>SUMIFS('Climate Data'!$G$7:$G$366,'Climate Data'!$A$7:$A$366,'Estimator'!$B$4,'Climate Data'!$B$7:$B$366,C513)</x:f>
        <x:v>0.41935483870967744</x:v>
      </x:c>
      <x:c r="I513" s="382" t="n">
        <x:f>SUMIFS('Climate Data'!$H$7:$H$366,'Climate Data'!$A$7:$A$366,'Estimator'!$B$4,'Climate Data'!$B$7:$B$366,C513)</x:f>
        <x:v>9.215384615384615</x:v>
      </x:c>
      <x:c r="J513" s="381" t="n">
        <x:f>SUMIFS('Wind Proxy'!$H$8:$H$19,'Wind Proxy'!$A$8:$A$19,'Estimator'!$B$4,'Wind Proxy'!$B$8:$B$19,C513)</x:f>
        <x:v>0.11350059737156513</x:v>
      </x:c>
    </x:row>
    <x:row r="514">
      <x:c r="A514" s="379" t="n">
        <x:v>46165</x:v>
      </x:c>
      <x:c r="B514" s="380" t="n">
        <x:v>2026</x:v>
      </x:c>
      <x:c r="C514" s="380" t="n">
        <x:v>5</x:v>
      </x:c>
      <x:c r="D514" s="380" t="str">
        <x:v>May</x:v>
      </x:c>
      <x:c r="E514" s="380" t="n">
        <x:v>23</x:v>
      </x:c>
      <x:c r="F514" s="380" t="n">
        <x:v>6</x:v>
      </x:c>
      <x:c r="G514" s="380" t="n">
        <x:f>--(F514&lt;='Estimator'!$B$7)</x:f>
        <x:v>0</x:v>
      </x:c>
      <x:c r="H514" s="381" t="n">
        <x:f>SUMIFS('Climate Data'!$G$7:$G$366,'Climate Data'!$A$7:$A$366,'Estimator'!$B$4,'Climate Data'!$B$7:$B$366,C514)</x:f>
        <x:v>0.41935483870967744</x:v>
      </x:c>
      <x:c r="I514" s="382" t="n">
        <x:f>SUMIFS('Climate Data'!$H$7:$H$366,'Climate Data'!$A$7:$A$366,'Estimator'!$B$4,'Climate Data'!$B$7:$B$366,C514)</x:f>
        <x:v>9.215384615384615</x:v>
      </x:c>
      <x:c r="J514" s="381" t="n">
        <x:f>SUMIFS('Wind Proxy'!$H$8:$H$19,'Wind Proxy'!$A$8:$A$19,'Estimator'!$B$4,'Wind Proxy'!$B$8:$B$19,C514)</x:f>
        <x:v>0.11350059737156513</x:v>
      </x:c>
    </x:row>
    <x:row r="515">
      <x:c r="A515" s="379" t="n">
        <x:v>46166</x:v>
      </x:c>
      <x:c r="B515" s="380" t="n">
        <x:v>2026</x:v>
      </x:c>
      <x:c r="C515" s="380" t="n">
        <x:v>5</x:v>
      </x:c>
      <x:c r="D515" s="380" t="str">
        <x:v>May</x:v>
      </x:c>
      <x:c r="E515" s="380" t="n">
        <x:v>24</x:v>
      </x:c>
      <x:c r="F515" s="380" t="n">
        <x:v>7</x:v>
      </x:c>
      <x:c r="G515" s="380" t="n">
        <x:f>--(F515&lt;='Estimator'!$B$7)</x:f>
        <x:v>0</x:v>
      </x:c>
      <x:c r="H515" s="381" t="n">
        <x:f>SUMIFS('Climate Data'!$G$7:$G$366,'Climate Data'!$A$7:$A$366,'Estimator'!$B$4,'Climate Data'!$B$7:$B$366,C515)</x:f>
        <x:v>0.41935483870967744</x:v>
      </x:c>
      <x:c r="I515" s="382" t="n">
        <x:f>SUMIFS('Climate Data'!$H$7:$H$366,'Climate Data'!$A$7:$A$366,'Estimator'!$B$4,'Climate Data'!$B$7:$B$366,C515)</x:f>
        <x:v>9.215384615384615</x:v>
      </x:c>
      <x:c r="J515" s="381" t="n">
        <x:f>SUMIFS('Wind Proxy'!$H$8:$H$19,'Wind Proxy'!$A$8:$A$19,'Estimator'!$B$4,'Wind Proxy'!$B$8:$B$19,C515)</x:f>
        <x:v>0.11350059737156513</x:v>
      </x:c>
    </x:row>
    <x:row r="516">
      <x:c r="A516" s="379" t="n">
        <x:v>46167</x:v>
      </x:c>
      <x:c r="B516" s="380" t="n">
        <x:v>2026</x:v>
      </x:c>
      <x:c r="C516" s="380" t="n">
        <x:v>5</x:v>
      </x:c>
      <x:c r="D516" s="380" t="str">
        <x:v>May</x:v>
      </x:c>
      <x:c r="E516" s="380" t="n">
        <x:v>25</x:v>
      </x:c>
      <x:c r="F516" s="380" t="n">
        <x:v>1</x:v>
      </x:c>
      <x:c r="G516" s="380" t="n">
        <x:f>--(F516&lt;='Estimator'!$B$7)</x:f>
        <x:v>1</x:v>
      </x:c>
      <x:c r="H516" s="381" t="n">
        <x:f>SUMIFS('Climate Data'!$G$7:$G$366,'Climate Data'!$A$7:$A$366,'Estimator'!$B$4,'Climate Data'!$B$7:$B$366,C516)</x:f>
        <x:v>0.41935483870967744</x:v>
      </x:c>
      <x:c r="I516" s="382" t="n">
        <x:f>SUMIFS('Climate Data'!$H$7:$H$366,'Climate Data'!$A$7:$A$366,'Estimator'!$B$4,'Climate Data'!$B$7:$B$366,C516)</x:f>
        <x:v>9.215384615384615</x:v>
      </x:c>
      <x:c r="J516" s="381" t="n">
        <x:f>SUMIFS('Wind Proxy'!$H$8:$H$19,'Wind Proxy'!$A$8:$A$19,'Estimator'!$B$4,'Wind Proxy'!$B$8:$B$19,C516)</x:f>
        <x:v>0.11350059737156513</x:v>
      </x:c>
    </x:row>
    <x:row r="517">
      <x:c r="A517" s="379" t="n">
        <x:v>46168</x:v>
      </x:c>
      <x:c r="B517" s="380" t="n">
        <x:v>2026</x:v>
      </x:c>
      <x:c r="C517" s="380" t="n">
        <x:v>5</x:v>
      </x:c>
      <x:c r="D517" s="380" t="str">
        <x:v>May</x:v>
      </x:c>
      <x:c r="E517" s="380" t="n">
        <x:v>26</x:v>
      </x:c>
      <x:c r="F517" s="380" t="n">
        <x:v>2</x:v>
      </x:c>
      <x:c r="G517" s="380" t="n">
        <x:f>--(F517&lt;='Estimator'!$B$7)</x:f>
        <x:v>1</x:v>
      </x:c>
      <x:c r="H517" s="381" t="n">
        <x:f>SUMIFS('Climate Data'!$G$7:$G$366,'Climate Data'!$A$7:$A$366,'Estimator'!$B$4,'Climate Data'!$B$7:$B$366,C517)</x:f>
        <x:v>0.41935483870967744</x:v>
      </x:c>
      <x:c r="I517" s="382" t="n">
        <x:f>SUMIFS('Climate Data'!$H$7:$H$366,'Climate Data'!$A$7:$A$366,'Estimator'!$B$4,'Climate Data'!$B$7:$B$366,C517)</x:f>
        <x:v>9.215384615384615</x:v>
      </x:c>
      <x:c r="J517" s="381" t="n">
        <x:f>SUMIFS('Wind Proxy'!$H$8:$H$19,'Wind Proxy'!$A$8:$A$19,'Estimator'!$B$4,'Wind Proxy'!$B$8:$B$19,C517)</x:f>
        <x:v>0.11350059737156513</x:v>
      </x:c>
    </x:row>
    <x:row r="518">
      <x:c r="A518" s="379" t="n">
        <x:v>46169</x:v>
      </x:c>
      <x:c r="B518" s="380" t="n">
        <x:v>2026</x:v>
      </x:c>
      <x:c r="C518" s="380" t="n">
        <x:v>5</x:v>
      </x:c>
      <x:c r="D518" s="380" t="str">
        <x:v>May</x:v>
      </x:c>
      <x:c r="E518" s="380" t="n">
        <x:v>27</x:v>
      </x:c>
      <x:c r="F518" s="380" t="n">
        <x:v>3</x:v>
      </x:c>
      <x:c r="G518" s="380" t="n">
        <x:f>--(F518&lt;='Estimator'!$B$7)</x:f>
        <x:v>1</x:v>
      </x:c>
      <x:c r="H518" s="381" t="n">
        <x:f>SUMIFS('Climate Data'!$G$7:$G$366,'Climate Data'!$A$7:$A$366,'Estimator'!$B$4,'Climate Data'!$B$7:$B$366,C518)</x:f>
        <x:v>0.41935483870967744</x:v>
      </x:c>
      <x:c r="I518" s="382" t="n">
        <x:f>SUMIFS('Climate Data'!$H$7:$H$366,'Climate Data'!$A$7:$A$366,'Estimator'!$B$4,'Climate Data'!$B$7:$B$366,C518)</x:f>
        <x:v>9.215384615384615</x:v>
      </x:c>
      <x:c r="J518" s="381" t="n">
        <x:f>SUMIFS('Wind Proxy'!$H$8:$H$19,'Wind Proxy'!$A$8:$A$19,'Estimator'!$B$4,'Wind Proxy'!$B$8:$B$19,C518)</x:f>
        <x:v>0.11350059737156513</x:v>
      </x:c>
    </x:row>
    <x:row r="519">
      <x:c r="A519" s="379" t="n">
        <x:v>46170</x:v>
      </x:c>
      <x:c r="B519" s="380" t="n">
        <x:v>2026</x:v>
      </x:c>
      <x:c r="C519" s="380" t="n">
        <x:v>5</x:v>
      </x:c>
      <x:c r="D519" s="380" t="str">
        <x:v>May</x:v>
      </x:c>
      <x:c r="E519" s="380" t="n">
        <x:v>28</x:v>
      </x:c>
      <x:c r="F519" s="380" t="n">
        <x:v>4</x:v>
      </x:c>
      <x:c r="G519" s="380" t="n">
        <x:f>--(F519&lt;='Estimator'!$B$7)</x:f>
        <x:v>1</x:v>
      </x:c>
      <x:c r="H519" s="381" t="n">
        <x:f>SUMIFS('Climate Data'!$G$7:$G$366,'Climate Data'!$A$7:$A$366,'Estimator'!$B$4,'Climate Data'!$B$7:$B$366,C519)</x:f>
        <x:v>0.41935483870967744</x:v>
      </x:c>
      <x:c r="I519" s="382" t="n">
        <x:f>SUMIFS('Climate Data'!$H$7:$H$366,'Climate Data'!$A$7:$A$366,'Estimator'!$B$4,'Climate Data'!$B$7:$B$366,C519)</x:f>
        <x:v>9.215384615384615</x:v>
      </x:c>
      <x:c r="J519" s="381" t="n">
        <x:f>SUMIFS('Wind Proxy'!$H$8:$H$19,'Wind Proxy'!$A$8:$A$19,'Estimator'!$B$4,'Wind Proxy'!$B$8:$B$19,C519)</x:f>
        <x:v>0.11350059737156513</x:v>
      </x:c>
    </x:row>
    <x:row r="520">
      <x:c r="A520" s="379" t="n">
        <x:v>46171</x:v>
      </x:c>
      <x:c r="B520" s="380" t="n">
        <x:v>2026</x:v>
      </x:c>
      <x:c r="C520" s="380" t="n">
        <x:v>5</x:v>
      </x:c>
      <x:c r="D520" s="380" t="str">
        <x:v>May</x:v>
      </x:c>
      <x:c r="E520" s="380" t="n">
        <x:v>29</x:v>
      </x:c>
      <x:c r="F520" s="380" t="n">
        <x:v>5</x:v>
      </x:c>
      <x:c r="G520" s="380" t="n">
        <x:f>--(F520&lt;='Estimator'!$B$7)</x:f>
        <x:v>1</x:v>
      </x:c>
      <x:c r="H520" s="381" t="n">
        <x:f>SUMIFS('Climate Data'!$G$7:$G$366,'Climate Data'!$A$7:$A$366,'Estimator'!$B$4,'Climate Data'!$B$7:$B$366,C520)</x:f>
        <x:v>0.41935483870967744</x:v>
      </x:c>
      <x:c r="I520" s="382" t="n">
        <x:f>SUMIFS('Climate Data'!$H$7:$H$366,'Climate Data'!$A$7:$A$366,'Estimator'!$B$4,'Climate Data'!$B$7:$B$366,C520)</x:f>
        <x:v>9.215384615384615</x:v>
      </x:c>
      <x:c r="J520" s="381" t="n">
        <x:f>SUMIFS('Wind Proxy'!$H$8:$H$19,'Wind Proxy'!$A$8:$A$19,'Estimator'!$B$4,'Wind Proxy'!$B$8:$B$19,C520)</x:f>
        <x:v>0.11350059737156513</x:v>
      </x:c>
    </x:row>
    <x:row r="521">
      <x:c r="A521" s="379" t="n">
        <x:v>46172</x:v>
      </x:c>
      <x:c r="B521" s="380" t="n">
        <x:v>2026</x:v>
      </x:c>
      <x:c r="C521" s="380" t="n">
        <x:v>5</x:v>
      </x:c>
      <x:c r="D521" s="380" t="str">
        <x:v>May</x:v>
      </x:c>
      <x:c r="E521" s="380" t="n">
        <x:v>30</x:v>
      </x:c>
      <x:c r="F521" s="380" t="n">
        <x:v>6</x:v>
      </x:c>
      <x:c r="G521" s="380" t="n">
        <x:f>--(F521&lt;='Estimator'!$B$7)</x:f>
        <x:v>0</x:v>
      </x:c>
      <x:c r="H521" s="381" t="n">
        <x:f>SUMIFS('Climate Data'!$G$7:$G$366,'Climate Data'!$A$7:$A$366,'Estimator'!$B$4,'Climate Data'!$B$7:$B$366,C521)</x:f>
        <x:v>0.41935483870967744</x:v>
      </x:c>
      <x:c r="I521" s="382" t="n">
        <x:f>SUMIFS('Climate Data'!$H$7:$H$366,'Climate Data'!$A$7:$A$366,'Estimator'!$B$4,'Climate Data'!$B$7:$B$366,C521)</x:f>
        <x:v>9.215384615384615</x:v>
      </x:c>
      <x:c r="J521" s="381" t="n">
        <x:f>SUMIFS('Wind Proxy'!$H$8:$H$19,'Wind Proxy'!$A$8:$A$19,'Estimator'!$B$4,'Wind Proxy'!$B$8:$B$19,C521)</x:f>
        <x:v>0.11350059737156513</x:v>
      </x:c>
    </x:row>
    <x:row r="522">
      <x:c r="A522" s="379" t="n">
        <x:v>46173</x:v>
      </x:c>
      <x:c r="B522" s="380" t="n">
        <x:v>2026</x:v>
      </x:c>
      <x:c r="C522" s="380" t="n">
        <x:v>5</x:v>
      </x:c>
      <x:c r="D522" s="380" t="str">
        <x:v>May</x:v>
      </x:c>
      <x:c r="E522" s="380" t="n">
        <x:v>31</x:v>
      </x:c>
      <x:c r="F522" s="380" t="n">
        <x:v>7</x:v>
      </x:c>
      <x:c r="G522" s="380" t="n">
        <x:f>--(F522&lt;='Estimator'!$B$7)</x:f>
        <x:v>0</x:v>
      </x:c>
      <x:c r="H522" s="381" t="n">
        <x:f>SUMIFS('Climate Data'!$G$7:$G$366,'Climate Data'!$A$7:$A$366,'Estimator'!$B$4,'Climate Data'!$B$7:$B$366,C522)</x:f>
        <x:v>0.41935483870967744</x:v>
      </x:c>
      <x:c r="I522" s="382" t="n">
        <x:f>SUMIFS('Climate Data'!$H$7:$H$366,'Climate Data'!$A$7:$A$366,'Estimator'!$B$4,'Climate Data'!$B$7:$B$366,C522)</x:f>
        <x:v>9.215384615384615</x:v>
      </x:c>
      <x:c r="J522" s="381" t="n">
        <x:f>SUMIFS('Wind Proxy'!$H$8:$H$19,'Wind Proxy'!$A$8:$A$19,'Estimator'!$B$4,'Wind Proxy'!$B$8:$B$19,C522)</x:f>
        <x:v>0.11350059737156513</x:v>
      </x:c>
    </x:row>
    <x:row r="523">
      <x:c r="A523" s="379" t="n">
        <x:v>46174</x:v>
      </x:c>
      <x:c r="B523" s="380" t="n">
        <x:v>2026</x:v>
      </x:c>
      <x:c r="C523" s="380" t="n">
        <x:v>6</x:v>
      </x:c>
      <x:c r="D523" s="380" t="str">
        <x:v>Jun</x:v>
      </x:c>
      <x:c r="E523" s="380" t="n">
        <x:v>1</x:v>
      </x:c>
      <x:c r="F523" s="380" t="n">
        <x:v>1</x:v>
      </x:c>
      <x:c r="G523" s="380" t="n">
        <x:f>--(F523&lt;='Estimator'!$B$7)</x:f>
        <x:v>1</x:v>
      </x:c>
      <x:c r="H523" s="381" t="n">
        <x:f>SUMIFS('Climate Data'!$G$7:$G$366,'Climate Data'!$A$7:$A$366,'Estimator'!$B$4,'Climate Data'!$B$7:$B$366,C523)</x:f>
        <x:v>0.475</x:v>
      </x:c>
      <x:c r="I523" s="382" t="n">
        <x:f>SUMIFS('Climate Data'!$H$7:$H$366,'Climate Data'!$A$7:$A$366,'Estimator'!$B$4,'Climate Data'!$B$7:$B$366,C523)</x:f>
        <x:v>8.378947368421054</x:v>
      </x:c>
      <x:c r="J523" s="381" t="n">
        <x:f>SUMIFS('Wind Proxy'!$H$8:$H$19,'Wind Proxy'!$A$8:$A$19,'Estimator'!$B$4,'Wind Proxy'!$B$8:$B$19,C523)</x:f>
        <x:v>0.14197530864197533</x:v>
      </x:c>
    </x:row>
    <x:row r="524">
      <x:c r="A524" s="379" t="n">
        <x:v>46175</x:v>
      </x:c>
      <x:c r="B524" s="380" t="n">
        <x:v>2026</x:v>
      </x:c>
      <x:c r="C524" s="380" t="n">
        <x:v>6</x:v>
      </x:c>
      <x:c r="D524" s="380" t="str">
        <x:v>Jun</x:v>
      </x:c>
      <x:c r="E524" s="380" t="n">
        <x:v>2</x:v>
      </x:c>
      <x:c r="F524" s="380" t="n">
        <x:v>2</x:v>
      </x:c>
      <x:c r="G524" s="380" t="n">
        <x:f>--(F524&lt;='Estimator'!$B$7)</x:f>
        <x:v>1</x:v>
      </x:c>
      <x:c r="H524" s="381" t="n">
        <x:f>SUMIFS('Climate Data'!$G$7:$G$366,'Climate Data'!$A$7:$A$366,'Estimator'!$B$4,'Climate Data'!$B$7:$B$366,C524)</x:f>
        <x:v>0.475</x:v>
      </x:c>
      <x:c r="I524" s="382" t="n">
        <x:f>SUMIFS('Climate Data'!$H$7:$H$366,'Climate Data'!$A$7:$A$366,'Estimator'!$B$4,'Climate Data'!$B$7:$B$366,C524)</x:f>
        <x:v>8.378947368421054</x:v>
      </x:c>
      <x:c r="J524" s="381" t="n">
        <x:f>SUMIFS('Wind Proxy'!$H$8:$H$19,'Wind Proxy'!$A$8:$A$19,'Estimator'!$B$4,'Wind Proxy'!$B$8:$B$19,C524)</x:f>
        <x:v>0.14197530864197533</x:v>
      </x:c>
    </x:row>
    <x:row r="525">
      <x:c r="A525" s="379" t="n">
        <x:v>46176</x:v>
      </x:c>
      <x:c r="B525" s="380" t="n">
        <x:v>2026</x:v>
      </x:c>
      <x:c r="C525" s="380" t="n">
        <x:v>6</x:v>
      </x:c>
      <x:c r="D525" s="380" t="str">
        <x:v>Jun</x:v>
      </x:c>
      <x:c r="E525" s="380" t="n">
        <x:v>3</x:v>
      </x:c>
      <x:c r="F525" s="380" t="n">
        <x:v>3</x:v>
      </x:c>
      <x:c r="G525" s="380" t="n">
        <x:f>--(F525&lt;='Estimator'!$B$7)</x:f>
        <x:v>1</x:v>
      </x:c>
      <x:c r="H525" s="381" t="n">
        <x:f>SUMIFS('Climate Data'!$G$7:$G$366,'Climate Data'!$A$7:$A$366,'Estimator'!$B$4,'Climate Data'!$B$7:$B$366,C525)</x:f>
        <x:v>0.475</x:v>
      </x:c>
      <x:c r="I525" s="382" t="n">
        <x:f>SUMIFS('Climate Data'!$H$7:$H$366,'Climate Data'!$A$7:$A$366,'Estimator'!$B$4,'Climate Data'!$B$7:$B$366,C525)</x:f>
        <x:v>8.378947368421054</x:v>
      </x:c>
      <x:c r="J525" s="381" t="n">
        <x:f>SUMIFS('Wind Proxy'!$H$8:$H$19,'Wind Proxy'!$A$8:$A$19,'Estimator'!$B$4,'Wind Proxy'!$B$8:$B$19,C525)</x:f>
        <x:v>0.14197530864197533</x:v>
      </x:c>
    </x:row>
    <x:row r="526">
      <x:c r="A526" s="379" t="n">
        <x:v>46177</x:v>
      </x:c>
      <x:c r="B526" s="380" t="n">
        <x:v>2026</x:v>
      </x:c>
      <x:c r="C526" s="380" t="n">
        <x:v>6</x:v>
      </x:c>
      <x:c r="D526" s="380" t="str">
        <x:v>Jun</x:v>
      </x:c>
      <x:c r="E526" s="380" t="n">
        <x:v>4</x:v>
      </x:c>
      <x:c r="F526" s="380" t="n">
        <x:v>4</x:v>
      </x:c>
      <x:c r="G526" s="380" t="n">
        <x:f>--(F526&lt;='Estimator'!$B$7)</x:f>
        <x:v>1</x:v>
      </x:c>
      <x:c r="H526" s="381" t="n">
        <x:f>SUMIFS('Climate Data'!$G$7:$G$366,'Climate Data'!$A$7:$A$366,'Estimator'!$B$4,'Climate Data'!$B$7:$B$366,C526)</x:f>
        <x:v>0.475</x:v>
      </x:c>
      <x:c r="I526" s="382" t="n">
        <x:f>SUMIFS('Climate Data'!$H$7:$H$366,'Climate Data'!$A$7:$A$366,'Estimator'!$B$4,'Climate Data'!$B$7:$B$366,C526)</x:f>
        <x:v>8.378947368421054</x:v>
      </x:c>
      <x:c r="J526" s="381" t="n">
        <x:f>SUMIFS('Wind Proxy'!$H$8:$H$19,'Wind Proxy'!$A$8:$A$19,'Estimator'!$B$4,'Wind Proxy'!$B$8:$B$19,C526)</x:f>
        <x:v>0.14197530864197533</x:v>
      </x:c>
    </x:row>
    <x:row r="527">
      <x:c r="A527" s="379" t="n">
        <x:v>46178</x:v>
      </x:c>
      <x:c r="B527" s="380" t="n">
        <x:v>2026</x:v>
      </x:c>
      <x:c r="C527" s="380" t="n">
        <x:v>6</x:v>
      </x:c>
      <x:c r="D527" s="380" t="str">
        <x:v>Jun</x:v>
      </x:c>
      <x:c r="E527" s="380" t="n">
        <x:v>5</x:v>
      </x:c>
      <x:c r="F527" s="380" t="n">
        <x:v>5</x:v>
      </x:c>
      <x:c r="G527" s="380" t="n">
        <x:f>--(F527&lt;='Estimator'!$B$7)</x:f>
        <x:v>1</x:v>
      </x:c>
      <x:c r="H527" s="381" t="n">
        <x:f>SUMIFS('Climate Data'!$G$7:$G$366,'Climate Data'!$A$7:$A$366,'Estimator'!$B$4,'Climate Data'!$B$7:$B$366,C527)</x:f>
        <x:v>0.475</x:v>
      </x:c>
      <x:c r="I527" s="382" t="n">
        <x:f>SUMIFS('Climate Data'!$H$7:$H$366,'Climate Data'!$A$7:$A$366,'Estimator'!$B$4,'Climate Data'!$B$7:$B$366,C527)</x:f>
        <x:v>8.378947368421054</x:v>
      </x:c>
      <x:c r="J527" s="381" t="n">
        <x:f>SUMIFS('Wind Proxy'!$H$8:$H$19,'Wind Proxy'!$A$8:$A$19,'Estimator'!$B$4,'Wind Proxy'!$B$8:$B$19,C527)</x:f>
        <x:v>0.14197530864197533</x:v>
      </x:c>
    </x:row>
    <x:row r="528">
      <x:c r="A528" s="379" t="n">
        <x:v>46179</x:v>
      </x:c>
      <x:c r="B528" s="380" t="n">
        <x:v>2026</x:v>
      </x:c>
      <x:c r="C528" s="380" t="n">
        <x:v>6</x:v>
      </x:c>
      <x:c r="D528" s="380" t="str">
        <x:v>Jun</x:v>
      </x:c>
      <x:c r="E528" s="380" t="n">
        <x:v>6</x:v>
      </x:c>
      <x:c r="F528" s="380" t="n">
        <x:v>6</x:v>
      </x:c>
      <x:c r="G528" s="380" t="n">
        <x:f>--(F528&lt;='Estimator'!$B$7)</x:f>
        <x:v>0</x:v>
      </x:c>
      <x:c r="H528" s="381" t="n">
        <x:f>SUMIFS('Climate Data'!$G$7:$G$366,'Climate Data'!$A$7:$A$366,'Estimator'!$B$4,'Climate Data'!$B$7:$B$366,C528)</x:f>
        <x:v>0.475</x:v>
      </x:c>
      <x:c r="I528" s="382" t="n">
        <x:f>SUMIFS('Climate Data'!$H$7:$H$366,'Climate Data'!$A$7:$A$366,'Estimator'!$B$4,'Climate Data'!$B$7:$B$366,C528)</x:f>
        <x:v>8.378947368421054</x:v>
      </x:c>
      <x:c r="J528" s="381" t="n">
        <x:f>SUMIFS('Wind Proxy'!$H$8:$H$19,'Wind Proxy'!$A$8:$A$19,'Estimator'!$B$4,'Wind Proxy'!$B$8:$B$19,C528)</x:f>
        <x:v>0.14197530864197533</x:v>
      </x:c>
    </x:row>
    <x:row r="529">
      <x:c r="A529" s="379" t="n">
        <x:v>46180</x:v>
      </x:c>
      <x:c r="B529" s="380" t="n">
        <x:v>2026</x:v>
      </x:c>
      <x:c r="C529" s="380" t="n">
        <x:v>6</x:v>
      </x:c>
      <x:c r="D529" s="380" t="str">
        <x:v>Jun</x:v>
      </x:c>
      <x:c r="E529" s="380" t="n">
        <x:v>7</x:v>
      </x:c>
      <x:c r="F529" s="380" t="n">
        <x:v>7</x:v>
      </x:c>
      <x:c r="G529" s="380" t="n">
        <x:f>--(F529&lt;='Estimator'!$B$7)</x:f>
        <x:v>0</x:v>
      </x:c>
      <x:c r="H529" s="381" t="n">
        <x:f>SUMIFS('Climate Data'!$G$7:$G$366,'Climate Data'!$A$7:$A$366,'Estimator'!$B$4,'Climate Data'!$B$7:$B$366,C529)</x:f>
        <x:v>0.475</x:v>
      </x:c>
      <x:c r="I529" s="382" t="n">
        <x:f>SUMIFS('Climate Data'!$H$7:$H$366,'Climate Data'!$A$7:$A$366,'Estimator'!$B$4,'Climate Data'!$B$7:$B$366,C529)</x:f>
        <x:v>8.378947368421054</x:v>
      </x:c>
      <x:c r="J529" s="381" t="n">
        <x:f>SUMIFS('Wind Proxy'!$H$8:$H$19,'Wind Proxy'!$A$8:$A$19,'Estimator'!$B$4,'Wind Proxy'!$B$8:$B$19,C529)</x:f>
        <x:v>0.14197530864197533</x:v>
      </x:c>
    </x:row>
    <x:row r="530">
      <x:c r="A530" s="379" t="n">
        <x:v>46181</x:v>
      </x:c>
      <x:c r="B530" s="380" t="n">
        <x:v>2026</x:v>
      </x:c>
      <x:c r="C530" s="380" t="n">
        <x:v>6</x:v>
      </x:c>
      <x:c r="D530" s="380" t="str">
        <x:v>Jun</x:v>
      </x:c>
      <x:c r="E530" s="380" t="n">
        <x:v>8</x:v>
      </x:c>
      <x:c r="F530" s="380" t="n">
        <x:v>1</x:v>
      </x:c>
      <x:c r="G530" s="380" t="n">
        <x:f>--(F530&lt;='Estimator'!$B$7)</x:f>
        <x:v>1</x:v>
      </x:c>
      <x:c r="H530" s="381" t="n">
        <x:f>SUMIFS('Climate Data'!$G$7:$G$366,'Climate Data'!$A$7:$A$366,'Estimator'!$B$4,'Climate Data'!$B$7:$B$366,C530)</x:f>
        <x:v>0.475</x:v>
      </x:c>
      <x:c r="I530" s="382" t="n">
        <x:f>SUMIFS('Climate Data'!$H$7:$H$366,'Climate Data'!$A$7:$A$366,'Estimator'!$B$4,'Climate Data'!$B$7:$B$366,C530)</x:f>
        <x:v>8.378947368421054</x:v>
      </x:c>
      <x:c r="J530" s="381" t="n">
        <x:f>SUMIFS('Wind Proxy'!$H$8:$H$19,'Wind Proxy'!$A$8:$A$19,'Estimator'!$B$4,'Wind Proxy'!$B$8:$B$19,C530)</x:f>
        <x:v>0.14197530864197533</x:v>
      </x:c>
    </x:row>
    <x:row r="531">
      <x:c r="A531" s="379" t="n">
        <x:v>46182</x:v>
      </x:c>
      <x:c r="B531" s="380" t="n">
        <x:v>2026</x:v>
      </x:c>
      <x:c r="C531" s="380" t="n">
        <x:v>6</x:v>
      </x:c>
      <x:c r="D531" s="380" t="str">
        <x:v>Jun</x:v>
      </x:c>
      <x:c r="E531" s="380" t="n">
        <x:v>9</x:v>
      </x:c>
      <x:c r="F531" s="380" t="n">
        <x:v>2</x:v>
      </x:c>
      <x:c r="G531" s="380" t="n">
        <x:f>--(F531&lt;='Estimator'!$B$7)</x:f>
        <x:v>1</x:v>
      </x:c>
      <x:c r="H531" s="381" t="n">
        <x:f>SUMIFS('Climate Data'!$G$7:$G$366,'Climate Data'!$A$7:$A$366,'Estimator'!$B$4,'Climate Data'!$B$7:$B$366,C531)</x:f>
        <x:v>0.475</x:v>
      </x:c>
      <x:c r="I531" s="382" t="n">
        <x:f>SUMIFS('Climate Data'!$H$7:$H$366,'Climate Data'!$A$7:$A$366,'Estimator'!$B$4,'Climate Data'!$B$7:$B$366,C531)</x:f>
        <x:v>8.378947368421054</x:v>
      </x:c>
      <x:c r="J531" s="381" t="n">
        <x:f>SUMIFS('Wind Proxy'!$H$8:$H$19,'Wind Proxy'!$A$8:$A$19,'Estimator'!$B$4,'Wind Proxy'!$B$8:$B$19,C531)</x:f>
        <x:v>0.14197530864197533</x:v>
      </x:c>
    </x:row>
    <x:row r="532">
      <x:c r="A532" s="379" t="n">
        <x:v>46183</x:v>
      </x:c>
      <x:c r="B532" s="380" t="n">
        <x:v>2026</x:v>
      </x:c>
      <x:c r="C532" s="380" t="n">
        <x:v>6</x:v>
      </x:c>
      <x:c r="D532" s="380" t="str">
        <x:v>Jun</x:v>
      </x:c>
      <x:c r="E532" s="380" t="n">
        <x:v>10</x:v>
      </x:c>
      <x:c r="F532" s="380" t="n">
        <x:v>3</x:v>
      </x:c>
      <x:c r="G532" s="380" t="n">
        <x:f>--(F532&lt;='Estimator'!$B$7)</x:f>
        <x:v>1</x:v>
      </x:c>
      <x:c r="H532" s="381" t="n">
        <x:f>SUMIFS('Climate Data'!$G$7:$G$366,'Climate Data'!$A$7:$A$366,'Estimator'!$B$4,'Climate Data'!$B$7:$B$366,C532)</x:f>
        <x:v>0.475</x:v>
      </x:c>
      <x:c r="I532" s="382" t="n">
        <x:f>SUMIFS('Climate Data'!$H$7:$H$366,'Climate Data'!$A$7:$A$366,'Estimator'!$B$4,'Climate Data'!$B$7:$B$366,C532)</x:f>
        <x:v>8.378947368421054</x:v>
      </x:c>
      <x:c r="J532" s="381" t="n">
        <x:f>SUMIFS('Wind Proxy'!$H$8:$H$19,'Wind Proxy'!$A$8:$A$19,'Estimator'!$B$4,'Wind Proxy'!$B$8:$B$19,C532)</x:f>
        <x:v>0.14197530864197533</x:v>
      </x:c>
    </x:row>
    <x:row r="533">
      <x:c r="A533" s="379" t="n">
        <x:v>46184</x:v>
      </x:c>
      <x:c r="B533" s="380" t="n">
        <x:v>2026</x:v>
      </x:c>
      <x:c r="C533" s="380" t="n">
        <x:v>6</x:v>
      </x:c>
      <x:c r="D533" s="380" t="str">
        <x:v>Jun</x:v>
      </x:c>
      <x:c r="E533" s="380" t="n">
        <x:v>11</x:v>
      </x:c>
      <x:c r="F533" s="380" t="n">
        <x:v>4</x:v>
      </x:c>
      <x:c r="G533" s="380" t="n">
        <x:f>--(F533&lt;='Estimator'!$B$7)</x:f>
        <x:v>1</x:v>
      </x:c>
      <x:c r="H533" s="381" t="n">
        <x:f>SUMIFS('Climate Data'!$G$7:$G$366,'Climate Data'!$A$7:$A$366,'Estimator'!$B$4,'Climate Data'!$B$7:$B$366,C533)</x:f>
        <x:v>0.475</x:v>
      </x:c>
      <x:c r="I533" s="382" t="n">
        <x:f>SUMIFS('Climate Data'!$H$7:$H$366,'Climate Data'!$A$7:$A$366,'Estimator'!$B$4,'Climate Data'!$B$7:$B$366,C533)</x:f>
        <x:v>8.378947368421054</x:v>
      </x:c>
      <x:c r="J533" s="381" t="n">
        <x:f>SUMIFS('Wind Proxy'!$H$8:$H$19,'Wind Proxy'!$A$8:$A$19,'Estimator'!$B$4,'Wind Proxy'!$B$8:$B$19,C533)</x:f>
        <x:v>0.14197530864197533</x:v>
      </x:c>
    </x:row>
    <x:row r="534">
      <x:c r="A534" s="379" t="n">
        <x:v>46185</x:v>
      </x:c>
      <x:c r="B534" s="380" t="n">
        <x:v>2026</x:v>
      </x:c>
      <x:c r="C534" s="380" t="n">
        <x:v>6</x:v>
      </x:c>
      <x:c r="D534" s="380" t="str">
        <x:v>Jun</x:v>
      </x:c>
      <x:c r="E534" s="380" t="n">
        <x:v>12</x:v>
      </x:c>
      <x:c r="F534" s="380" t="n">
        <x:v>5</x:v>
      </x:c>
      <x:c r="G534" s="380" t="n">
        <x:f>--(F534&lt;='Estimator'!$B$7)</x:f>
        <x:v>1</x:v>
      </x:c>
      <x:c r="H534" s="381" t="n">
        <x:f>SUMIFS('Climate Data'!$G$7:$G$366,'Climate Data'!$A$7:$A$366,'Estimator'!$B$4,'Climate Data'!$B$7:$B$366,C534)</x:f>
        <x:v>0.475</x:v>
      </x:c>
      <x:c r="I534" s="382" t="n">
        <x:f>SUMIFS('Climate Data'!$H$7:$H$366,'Climate Data'!$A$7:$A$366,'Estimator'!$B$4,'Climate Data'!$B$7:$B$366,C534)</x:f>
        <x:v>8.378947368421054</x:v>
      </x:c>
      <x:c r="J534" s="381" t="n">
        <x:f>SUMIFS('Wind Proxy'!$H$8:$H$19,'Wind Proxy'!$A$8:$A$19,'Estimator'!$B$4,'Wind Proxy'!$B$8:$B$19,C534)</x:f>
        <x:v>0.14197530864197533</x:v>
      </x:c>
    </x:row>
    <x:row r="535">
      <x:c r="A535" s="379" t="n">
        <x:v>46186</x:v>
      </x:c>
      <x:c r="B535" s="380" t="n">
        <x:v>2026</x:v>
      </x:c>
      <x:c r="C535" s="380" t="n">
        <x:v>6</x:v>
      </x:c>
      <x:c r="D535" s="380" t="str">
        <x:v>Jun</x:v>
      </x:c>
      <x:c r="E535" s="380" t="n">
        <x:v>13</x:v>
      </x:c>
      <x:c r="F535" s="380" t="n">
        <x:v>6</x:v>
      </x:c>
      <x:c r="G535" s="380" t="n">
        <x:f>--(F535&lt;='Estimator'!$B$7)</x:f>
        <x:v>0</x:v>
      </x:c>
      <x:c r="H535" s="381" t="n">
        <x:f>SUMIFS('Climate Data'!$G$7:$G$366,'Climate Data'!$A$7:$A$366,'Estimator'!$B$4,'Climate Data'!$B$7:$B$366,C535)</x:f>
        <x:v>0.475</x:v>
      </x:c>
      <x:c r="I535" s="382" t="n">
        <x:f>SUMIFS('Climate Data'!$H$7:$H$366,'Climate Data'!$A$7:$A$366,'Estimator'!$B$4,'Climate Data'!$B$7:$B$366,C535)</x:f>
        <x:v>8.378947368421054</x:v>
      </x:c>
      <x:c r="J535" s="381" t="n">
        <x:f>SUMIFS('Wind Proxy'!$H$8:$H$19,'Wind Proxy'!$A$8:$A$19,'Estimator'!$B$4,'Wind Proxy'!$B$8:$B$19,C535)</x:f>
        <x:v>0.14197530864197533</x:v>
      </x:c>
    </x:row>
    <x:row r="536">
      <x:c r="A536" s="379" t="n">
        <x:v>46187</x:v>
      </x:c>
      <x:c r="B536" s="380" t="n">
        <x:v>2026</x:v>
      </x:c>
      <x:c r="C536" s="380" t="n">
        <x:v>6</x:v>
      </x:c>
      <x:c r="D536" s="380" t="str">
        <x:v>Jun</x:v>
      </x:c>
      <x:c r="E536" s="380" t="n">
        <x:v>14</x:v>
      </x:c>
      <x:c r="F536" s="380" t="n">
        <x:v>7</x:v>
      </x:c>
      <x:c r="G536" s="380" t="n">
        <x:f>--(F536&lt;='Estimator'!$B$7)</x:f>
        <x:v>0</x:v>
      </x:c>
      <x:c r="H536" s="381" t="n">
        <x:f>SUMIFS('Climate Data'!$G$7:$G$366,'Climate Data'!$A$7:$A$366,'Estimator'!$B$4,'Climate Data'!$B$7:$B$366,C536)</x:f>
        <x:v>0.475</x:v>
      </x:c>
      <x:c r="I536" s="382" t="n">
        <x:f>SUMIFS('Climate Data'!$H$7:$H$366,'Climate Data'!$A$7:$A$366,'Estimator'!$B$4,'Climate Data'!$B$7:$B$366,C536)</x:f>
        <x:v>8.378947368421054</x:v>
      </x:c>
      <x:c r="J536" s="381" t="n">
        <x:f>SUMIFS('Wind Proxy'!$H$8:$H$19,'Wind Proxy'!$A$8:$A$19,'Estimator'!$B$4,'Wind Proxy'!$B$8:$B$19,C536)</x:f>
        <x:v>0.14197530864197533</x:v>
      </x:c>
    </x:row>
    <x:row r="537">
      <x:c r="A537" s="379" t="n">
        <x:v>46188</x:v>
      </x:c>
      <x:c r="B537" s="380" t="n">
        <x:v>2026</x:v>
      </x:c>
      <x:c r="C537" s="380" t="n">
        <x:v>6</x:v>
      </x:c>
      <x:c r="D537" s="380" t="str">
        <x:v>Jun</x:v>
      </x:c>
      <x:c r="E537" s="380" t="n">
        <x:v>15</x:v>
      </x:c>
      <x:c r="F537" s="380" t="n">
        <x:v>1</x:v>
      </x:c>
      <x:c r="G537" s="380" t="n">
        <x:f>--(F537&lt;='Estimator'!$B$7)</x:f>
        <x:v>1</x:v>
      </x:c>
      <x:c r="H537" s="381" t="n">
        <x:f>SUMIFS('Climate Data'!$G$7:$G$366,'Climate Data'!$A$7:$A$366,'Estimator'!$B$4,'Climate Data'!$B$7:$B$366,C537)</x:f>
        <x:v>0.475</x:v>
      </x:c>
      <x:c r="I537" s="382" t="n">
        <x:f>SUMIFS('Climate Data'!$H$7:$H$366,'Climate Data'!$A$7:$A$366,'Estimator'!$B$4,'Climate Data'!$B$7:$B$366,C537)</x:f>
        <x:v>8.378947368421054</x:v>
      </x:c>
      <x:c r="J537" s="381" t="n">
        <x:f>SUMIFS('Wind Proxy'!$H$8:$H$19,'Wind Proxy'!$A$8:$A$19,'Estimator'!$B$4,'Wind Proxy'!$B$8:$B$19,C537)</x:f>
        <x:v>0.14197530864197533</x:v>
      </x:c>
    </x:row>
    <x:row r="538">
      <x:c r="A538" s="379" t="n">
        <x:v>46189</x:v>
      </x:c>
      <x:c r="B538" s="380" t="n">
        <x:v>2026</x:v>
      </x:c>
      <x:c r="C538" s="380" t="n">
        <x:v>6</x:v>
      </x:c>
      <x:c r="D538" s="380" t="str">
        <x:v>Jun</x:v>
      </x:c>
      <x:c r="E538" s="380" t="n">
        <x:v>16</x:v>
      </x:c>
      <x:c r="F538" s="380" t="n">
        <x:v>2</x:v>
      </x:c>
      <x:c r="G538" s="380" t="n">
        <x:f>--(F538&lt;='Estimator'!$B$7)</x:f>
        <x:v>1</x:v>
      </x:c>
      <x:c r="H538" s="381" t="n">
        <x:f>SUMIFS('Climate Data'!$G$7:$G$366,'Climate Data'!$A$7:$A$366,'Estimator'!$B$4,'Climate Data'!$B$7:$B$366,C538)</x:f>
        <x:v>0.475</x:v>
      </x:c>
      <x:c r="I538" s="382" t="n">
        <x:f>SUMIFS('Climate Data'!$H$7:$H$366,'Climate Data'!$A$7:$A$366,'Estimator'!$B$4,'Climate Data'!$B$7:$B$366,C538)</x:f>
        <x:v>8.378947368421054</x:v>
      </x:c>
      <x:c r="J538" s="381" t="n">
        <x:f>SUMIFS('Wind Proxy'!$H$8:$H$19,'Wind Proxy'!$A$8:$A$19,'Estimator'!$B$4,'Wind Proxy'!$B$8:$B$19,C538)</x:f>
        <x:v>0.14197530864197533</x:v>
      </x:c>
    </x:row>
    <x:row r="539">
      <x:c r="A539" s="379" t="n">
        <x:v>46190</x:v>
      </x:c>
      <x:c r="B539" s="380" t="n">
        <x:v>2026</x:v>
      </x:c>
      <x:c r="C539" s="380" t="n">
        <x:v>6</x:v>
      </x:c>
      <x:c r="D539" s="380" t="str">
        <x:v>Jun</x:v>
      </x:c>
      <x:c r="E539" s="380" t="n">
        <x:v>17</x:v>
      </x:c>
      <x:c r="F539" s="380" t="n">
        <x:v>3</x:v>
      </x:c>
      <x:c r="G539" s="380" t="n">
        <x:f>--(F539&lt;='Estimator'!$B$7)</x:f>
        <x:v>1</x:v>
      </x:c>
      <x:c r="H539" s="381" t="n">
        <x:f>SUMIFS('Climate Data'!$G$7:$G$366,'Climate Data'!$A$7:$A$366,'Estimator'!$B$4,'Climate Data'!$B$7:$B$366,C539)</x:f>
        <x:v>0.475</x:v>
      </x:c>
      <x:c r="I539" s="382" t="n">
        <x:f>SUMIFS('Climate Data'!$H$7:$H$366,'Climate Data'!$A$7:$A$366,'Estimator'!$B$4,'Climate Data'!$B$7:$B$366,C539)</x:f>
        <x:v>8.378947368421054</x:v>
      </x:c>
      <x:c r="J539" s="381" t="n">
        <x:f>SUMIFS('Wind Proxy'!$H$8:$H$19,'Wind Proxy'!$A$8:$A$19,'Estimator'!$B$4,'Wind Proxy'!$B$8:$B$19,C539)</x:f>
        <x:v>0.14197530864197533</x:v>
      </x:c>
    </x:row>
    <x:row r="540">
      <x:c r="A540" s="379" t="n">
        <x:v>46191</x:v>
      </x:c>
      <x:c r="B540" s="380" t="n">
        <x:v>2026</x:v>
      </x:c>
      <x:c r="C540" s="380" t="n">
        <x:v>6</x:v>
      </x:c>
      <x:c r="D540" s="380" t="str">
        <x:v>Jun</x:v>
      </x:c>
      <x:c r="E540" s="380" t="n">
        <x:v>18</x:v>
      </x:c>
      <x:c r="F540" s="380" t="n">
        <x:v>4</x:v>
      </x:c>
      <x:c r="G540" s="380" t="n">
        <x:f>--(F540&lt;='Estimator'!$B$7)</x:f>
        <x:v>1</x:v>
      </x:c>
      <x:c r="H540" s="381" t="n">
        <x:f>SUMIFS('Climate Data'!$G$7:$G$366,'Climate Data'!$A$7:$A$366,'Estimator'!$B$4,'Climate Data'!$B$7:$B$366,C540)</x:f>
        <x:v>0.475</x:v>
      </x:c>
      <x:c r="I540" s="382" t="n">
        <x:f>SUMIFS('Climate Data'!$H$7:$H$366,'Climate Data'!$A$7:$A$366,'Estimator'!$B$4,'Climate Data'!$B$7:$B$366,C540)</x:f>
        <x:v>8.378947368421054</x:v>
      </x:c>
      <x:c r="J540" s="381" t="n">
        <x:f>SUMIFS('Wind Proxy'!$H$8:$H$19,'Wind Proxy'!$A$8:$A$19,'Estimator'!$B$4,'Wind Proxy'!$B$8:$B$19,C540)</x:f>
        <x:v>0.14197530864197533</x:v>
      </x:c>
    </x:row>
    <x:row r="541">
      <x:c r="A541" s="379" t="n">
        <x:v>46192</x:v>
      </x:c>
      <x:c r="B541" s="380" t="n">
        <x:v>2026</x:v>
      </x:c>
      <x:c r="C541" s="380" t="n">
        <x:v>6</x:v>
      </x:c>
      <x:c r="D541" s="380" t="str">
        <x:v>Jun</x:v>
      </x:c>
      <x:c r="E541" s="380" t="n">
        <x:v>19</x:v>
      </x:c>
      <x:c r="F541" s="380" t="n">
        <x:v>5</x:v>
      </x:c>
      <x:c r="G541" s="380" t="n">
        <x:f>--(F541&lt;='Estimator'!$B$7)</x:f>
        <x:v>1</x:v>
      </x:c>
      <x:c r="H541" s="381" t="n">
        <x:f>SUMIFS('Climate Data'!$G$7:$G$366,'Climate Data'!$A$7:$A$366,'Estimator'!$B$4,'Climate Data'!$B$7:$B$366,C541)</x:f>
        <x:v>0.475</x:v>
      </x:c>
      <x:c r="I541" s="382" t="n">
        <x:f>SUMIFS('Climate Data'!$H$7:$H$366,'Climate Data'!$A$7:$A$366,'Estimator'!$B$4,'Climate Data'!$B$7:$B$366,C541)</x:f>
        <x:v>8.378947368421054</x:v>
      </x:c>
      <x:c r="J541" s="381" t="n">
        <x:f>SUMIFS('Wind Proxy'!$H$8:$H$19,'Wind Proxy'!$A$8:$A$19,'Estimator'!$B$4,'Wind Proxy'!$B$8:$B$19,C541)</x:f>
        <x:v>0.14197530864197533</x:v>
      </x:c>
    </x:row>
    <x:row r="542">
      <x:c r="A542" s="379" t="n">
        <x:v>46193</x:v>
      </x:c>
      <x:c r="B542" s="380" t="n">
        <x:v>2026</x:v>
      </x:c>
      <x:c r="C542" s="380" t="n">
        <x:v>6</x:v>
      </x:c>
      <x:c r="D542" s="380" t="str">
        <x:v>Jun</x:v>
      </x:c>
      <x:c r="E542" s="380" t="n">
        <x:v>20</x:v>
      </x:c>
      <x:c r="F542" s="380" t="n">
        <x:v>6</x:v>
      </x:c>
      <x:c r="G542" s="380" t="n">
        <x:f>--(F542&lt;='Estimator'!$B$7)</x:f>
        <x:v>0</x:v>
      </x:c>
      <x:c r="H542" s="381" t="n">
        <x:f>SUMIFS('Climate Data'!$G$7:$G$366,'Climate Data'!$A$7:$A$366,'Estimator'!$B$4,'Climate Data'!$B$7:$B$366,C542)</x:f>
        <x:v>0.475</x:v>
      </x:c>
      <x:c r="I542" s="382" t="n">
        <x:f>SUMIFS('Climate Data'!$H$7:$H$366,'Climate Data'!$A$7:$A$366,'Estimator'!$B$4,'Climate Data'!$B$7:$B$366,C542)</x:f>
        <x:v>8.378947368421054</x:v>
      </x:c>
      <x:c r="J542" s="381" t="n">
        <x:f>SUMIFS('Wind Proxy'!$H$8:$H$19,'Wind Proxy'!$A$8:$A$19,'Estimator'!$B$4,'Wind Proxy'!$B$8:$B$19,C542)</x:f>
        <x:v>0.14197530864197533</x:v>
      </x:c>
    </x:row>
    <x:row r="543">
      <x:c r="A543" s="379" t="n">
        <x:v>46194</x:v>
      </x:c>
      <x:c r="B543" s="380" t="n">
        <x:v>2026</x:v>
      </x:c>
      <x:c r="C543" s="380" t="n">
        <x:v>6</x:v>
      </x:c>
      <x:c r="D543" s="380" t="str">
        <x:v>Jun</x:v>
      </x:c>
      <x:c r="E543" s="380" t="n">
        <x:v>21</x:v>
      </x:c>
      <x:c r="F543" s="380" t="n">
        <x:v>7</x:v>
      </x:c>
      <x:c r="G543" s="380" t="n">
        <x:f>--(F543&lt;='Estimator'!$B$7)</x:f>
        <x:v>0</x:v>
      </x:c>
      <x:c r="H543" s="381" t="n">
        <x:f>SUMIFS('Climate Data'!$G$7:$G$366,'Climate Data'!$A$7:$A$366,'Estimator'!$B$4,'Climate Data'!$B$7:$B$366,C543)</x:f>
        <x:v>0.475</x:v>
      </x:c>
      <x:c r="I543" s="382" t="n">
        <x:f>SUMIFS('Climate Data'!$H$7:$H$366,'Climate Data'!$A$7:$A$366,'Estimator'!$B$4,'Climate Data'!$B$7:$B$366,C543)</x:f>
        <x:v>8.378947368421054</x:v>
      </x:c>
      <x:c r="J543" s="381" t="n">
        <x:f>SUMIFS('Wind Proxy'!$H$8:$H$19,'Wind Proxy'!$A$8:$A$19,'Estimator'!$B$4,'Wind Proxy'!$B$8:$B$19,C543)</x:f>
        <x:v>0.14197530864197533</x:v>
      </x:c>
    </x:row>
    <x:row r="544">
      <x:c r="A544" s="379" t="n">
        <x:v>46195</x:v>
      </x:c>
      <x:c r="B544" s="380" t="n">
        <x:v>2026</x:v>
      </x:c>
      <x:c r="C544" s="380" t="n">
        <x:v>6</x:v>
      </x:c>
      <x:c r="D544" s="380" t="str">
        <x:v>Jun</x:v>
      </x:c>
      <x:c r="E544" s="380" t="n">
        <x:v>22</x:v>
      </x:c>
      <x:c r="F544" s="380" t="n">
        <x:v>1</x:v>
      </x:c>
      <x:c r="G544" s="380" t="n">
        <x:f>--(F544&lt;='Estimator'!$B$7)</x:f>
        <x:v>1</x:v>
      </x:c>
      <x:c r="H544" s="381" t="n">
        <x:f>SUMIFS('Climate Data'!$G$7:$G$366,'Climate Data'!$A$7:$A$366,'Estimator'!$B$4,'Climate Data'!$B$7:$B$366,C544)</x:f>
        <x:v>0.475</x:v>
      </x:c>
      <x:c r="I544" s="382" t="n">
        <x:f>SUMIFS('Climate Data'!$H$7:$H$366,'Climate Data'!$A$7:$A$366,'Estimator'!$B$4,'Climate Data'!$B$7:$B$366,C544)</x:f>
        <x:v>8.378947368421054</x:v>
      </x:c>
      <x:c r="J544" s="381" t="n">
        <x:f>SUMIFS('Wind Proxy'!$H$8:$H$19,'Wind Proxy'!$A$8:$A$19,'Estimator'!$B$4,'Wind Proxy'!$B$8:$B$19,C544)</x:f>
        <x:v>0.14197530864197533</x:v>
      </x:c>
    </x:row>
    <x:row r="545">
      <x:c r="A545" s="379" t="n">
        <x:v>46196</x:v>
      </x:c>
      <x:c r="B545" s="380" t="n">
        <x:v>2026</x:v>
      </x:c>
      <x:c r="C545" s="380" t="n">
        <x:v>6</x:v>
      </x:c>
      <x:c r="D545" s="380" t="str">
        <x:v>Jun</x:v>
      </x:c>
      <x:c r="E545" s="380" t="n">
        <x:v>23</x:v>
      </x:c>
      <x:c r="F545" s="380" t="n">
        <x:v>2</x:v>
      </x:c>
      <x:c r="G545" s="380" t="n">
        <x:f>--(F545&lt;='Estimator'!$B$7)</x:f>
        <x:v>1</x:v>
      </x:c>
      <x:c r="H545" s="381" t="n">
        <x:f>SUMIFS('Climate Data'!$G$7:$G$366,'Climate Data'!$A$7:$A$366,'Estimator'!$B$4,'Climate Data'!$B$7:$B$366,C545)</x:f>
        <x:v>0.475</x:v>
      </x:c>
      <x:c r="I545" s="382" t="n">
        <x:f>SUMIFS('Climate Data'!$H$7:$H$366,'Climate Data'!$A$7:$A$366,'Estimator'!$B$4,'Climate Data'!$B$7:$B$366,C545)</x:f>
        <x:v>8.378947368421054</x:v>
      </x:c>
      <x:c r="J545" s="381" t="n">
        <x:f>SUMIFS('Wind Proxy'!$H$8:$H$19,'Wind Proxy'!$A$8:$A$19,'Estimator'!$B$4,'Wind Proxy'!$B$8:$B$19,C545)</x:f>
        <x:v>0.14197530864197533</x:v>
      </x:c>
    </x:row>
    <x:row r="546">
      <x:c r="A546" s="379" t="n">
        <x:v>46197</x:v>
      </x:c>
      <x:c r="B546" s="380" t="n">
        <x:v>2026</x:v>
      </x:c>
      <x:c r="C546" s="380" t="n">
        <x:v>6</x:v>
      </x:c>
      <x:c r="D546" s="380" t="str">
        <x:v>Jun</x:v>
      </x:c>
      <x:c r="E546" s="380" t="n">
        <x:v>24</x:v>
      </x:c>
      <x:c r="F546" s="380" t="n">
        <x:v>3</x:v>
      </x:c>
      <x:c r="G546" s="380" t="n">
        <x:f>--(F546&lt;='Estimator'!$B$7)</x:f>
        <x:v>1</x:v>
      </x:c>
      <x:c r="H546" s="381" t="n">
        <x:f>SUMIFS('Climate Data'!$G$7:$G$366,'Climate Data'!$A$7:$A$366,'Estimator'!$B$4,'Climate Data'!$B$7:$B$366,C546)</x:f>
        <x:v>0.475</x:v>
      </x:c>
      <x:c r="I546" s="382" t="n">
        <x:f>SUMIFS('Climate Data'!$H$7:$H$366,'Climate Data'!$A$7:$A$366,'Estimator'!$B$4,'Climate Data'!$B$7:$B$366,C546)</x:f>
        <x:v>8.378947368421054</x:v>
      </x:c>
      <x:c r="J546" s="381" t="n">
        <x:f>SUMIFS('Wind Proxy'!$H$8:$H$19,'Wind Proxy'!$A$8:$A$19,'Estimator'!$B$4,'Wind Proxy'!$B$8:$B$19,C546)</x:f>
        <x:v>0.14197530864197533</x:v>
      </x:c>
    </x:row>
    <x:row r="547">
      <x:c r="A547" s="379" t="n">
        <x:v>46198</x:v>
      </x:c>
      <x:c r="B547" s="380" t="n">
        <x:v>2026</x:v>
      </x:c>
      <x:c r="C547" s="380" t="n">
        <x:v>6</x:v>
      </x:c>
      <x:c r="D547" s="380" t="str">
        <x:v>Jun</x:v>
      </x:c>
      <x:c r="E547" s="380" t="n">
        <x:v>25</x:v>
      </x:c>
      <x:c r="F547" s="380" t="n">
        <x:v>4</x:v>
      </x:c>
      <x:c r="G547" s="380" t="n">
        <x:f>--(F547&lt;='Estimator'!$B$7)</x:f>
        <x:v>1</x:v>
      </x:c>
      <x:c r="H547" s="381" t="n">
        <x:f>SUMIFS('Climate Data'!$G$7:$G$366,'Climate Data'!$A$7:$A$366,'Estimator'!$B$4,'Climate Data'!$B$7:$B$366,C547)</x:f>
        <x:v>0.475</x:v>
      </x:c>
      <x:c r="I547" s="382" t="n">
        <x:f>SUMIFS('Climate Data'!$H$7:$H$366,'Climate Data'!$A$7:$A$366,'Estimator'!$B$4,'Climate Data'!$B$7:$B$366,C547)</x:f>
        <x:v>8.378947368421054</x:v>
      </x:c>
      <x:c r="J547" s="381" t="n">
        <x:f>SUMIFS('Wind Proxy'!$H$8:$H$19,'Wind Proxy'!$A$8:$A$19,'Estimator'!$B$4,'Wind Proxy'!$B$8:$B$19,C547)</x:f>
        <x:v>0.14197530864197533</x:v>
      </x:c>
    </x:row>
    <x:row r="548">
      <x:c r="A548" s="379" t="n">
        <x:v>46199</x:v>
      </x:c>
      <x:c r="B548" s="380" t="n">
        <x:v>2026</x:v>
      </x:c>
      <x:c r="C548" s="380" t="n">
        <x:v>6</x:v>
      </x:c>
      <x:c r="D548" s="380" t="str">
        <x:v>Jun</x:v>
      </x:c>
      <x:c r="E548" s="380" t="n">
        <x:v>26</x:v>
      </x:c>
      <x:c r="F548" s="380" t="n">
        <x:v>5</x:v>
      </x:c>
      <x:c r="G548" s="380" t="n">
        <x:f>--(F548&lt;='Estimator'!$B$7)</x:f>
        <x:v>1</x:v>
      </x:c>
      <x:c r="H548" s="381" t="n">
        <x:f>SUMIFS('Climate Data'!$G$7:$G$366,'Climate Data'!$A$7:$A$366,'Estimator'!$B$4,'Climate Data'!$B$7:$B$366,C548)</x:f>
        <x:v>0.475</x:v>
      </x:c>
      <x:c r="I548" s="382" t="n">
        <x:f>SUMIFS('Climate Data'!$H$7:$H$366,'Climate Data'!$A$7:$A$366,'Estimator'!$B$4,'Climate Data'!$B$7:$B$366,C548)</x:f>
        <x:v>8.378947368421054</x:v>
      </x:c>
      <x:c r="J548" s="381" t="n">
        <x:f>SUMIFS('Wind Proxy'!$H$8:$H$19,'Wind Proxy'!$A$8:$A$19,'Estimator'!$B$4,'Wind Proxy'!$B$8:$B$19,C548)</x:f>
        <x:v>0.14197530864197533</x:v>
      </x:c>
    </x:row>
    <x:row r="549">
      <x:c r="A549" s="379" t="n">
        <x:v>46200</x:v>
      </x:c>
      <x:c r="B549" s="380" t="n">
        <x:v>2026</x:v>
      </x:c>
      <x:c r="C549" s="380" t="n">
        <x:v>6</x:v>
      </x:c>
      <x:c r="D549" s="380" t="str">
        <x:v>Jun</x:v>
      </x:c>
      <x:c r="E549" s="380" t="n">
        <x:v>27</x:v>
      </x:c>
      <x:c r="F549" s="380" t="n">
        <x:v>6</x:v>
      </x:c>
      <x:c r="G549" s="380" t="n">
        <x:f>--(F549&lt;='Estimator'!$B$7)</x:f>
        <x:v>0</x:v>
      </x:c>
      <x:c r="H549" s="381" t="n">
        <x:f>SUMIFS('Climate Data'!$G$7:$G$366,'Climate Data'!$A$7:$A$366,'Estimator'!$B$4,'Climate Data'!$B$7:$B$366,C549)</x:f>
        <x:v>0.475</x:v>
      </x:c>
      <x:c r="I549" s="382" t="n">
        <x:f>SUMIFS('Climate Data'!$H$7:$H$366,'Climate Data'!$A$7:$A$366,'Estimator'!$B$4,'Climate Data'!$B$7:$B$366,C549)</x:f>
        <x:v>8.378947368421054</x:v>
      </x:c>
      <x:c r="J549" s="381" t="n">
        <x:f>SUMIFS('Wind Proxy'!$H$8:$H$19,'Wind Proxy'!$A$8:$A$19,'Estimator'!$B$4,'Wind Proxy'!$B$8:$B$19,C549)</x:f>
        <x:v>0.14197530864197533</x:v>
      </x:c>
    </x:row>
    <x:row r="550">
      <x:c r="A550" s="379" t="n">
        <x:v>46201</x:v>
      </x:c>
      <x:c r="B550" s="380" t="n">
        <x:v>2026</x:v>
      </x:c>
      <x:c r="C550" s="380" t="n">
        <x:v>6</x:v>
      </x:c>
      <x:c r="D550" s="380" t="str">
        <x:v>Jun</x:v>
      </x:c>
      <x:c r="E550" s="380" t="n">
        <x:v>28</x:v>
      </x:c>
      <x:c r="F550" s="380" t="n">
        <x:v>7</x:v>
      </x:c>
      <x:c r="G550" s="380" t="n">
        <x:f>--(F550&lt;='Estimator'!$B$7)</x:f>
        <x:v>0</x:v>
      </x:c>
      <x:c r="H550" s="381" t="n">
        <x:f>SUMIFS('Climate Data'!$G$7:$G$366,'Climate Data'!$A$7:$A$366,'Estimator'!$B$4,'Climate Data'!$B$7:$B$366,C550)</x:f>
        <x:v>0.475</x:v>
      </x:c>
      <x:c r="I550" s="382" t="n">
        <x:f>SUMIFS('Climate Data'!$H$7:$H$366,'Climate Data'!$A$7:$A$366,'Estimator'!$B$4,'Climate Data'!$B$7:$B$366,C550)</x:f>
        <x:v>8.378947368421054</x:v>
      </x:c>
      <x:c r="J550" s="381" t="n">
        <x:f>SUMIFS('Wind Proxy'!$H$8:$H$19,'Wind Proxy'!$A$8:$A$19,'Estimator'!$B$4,'Wind Proxy'!$B$8:$B$19,C550)</x:f>
        <x:v>0.14197530864197533</x:v>
      </x:c>
    </x:row>
    <x:row r="551">
      <x:c r="A551" s="379" t="n">
        <x:v>46202</x:v>
      </x:c>
      <x:c r="B551" s="380" t="n">
        <x:v>2026</x:v>
      </x:c>
      <x:c r="C551" s="380" t="n">
        <x:v>6</x:v>
      </x:c>
      <x:c r="D551" s="380" t="str">
        <x:v>Jun</x:v>
      </x:c>
      <x:c r="E551" s="380" t="n">
        <x:v>29</x:v>
      </x:c>
      <x:c r="F551" s="380" t="n">
        <x:v>1</x:v>
      </x:c>
      <x:c r="G551" s="380" t="n">
        <x:f>--(F551&lt;='Estimator'!$B$7)</x:f>
        <x:v>1</x:v>
      </x:c>
      <x:c r="H551" s="381" t="n">
        <x:f>SUMIFS('Climate Data'!$G$7:$G$366,'Climate Data'!$A$7:$A$366,'Estimator'!$B$4,'Climate Data'!$B$7:$B$366,C551)</x:f>
        <x:v>0.475</x:v>
      </x:c>
      <x:c r="I551" s="382" t="n">
        <x:f>SUMIFS('Climate Data'!$H$7:$H$366,'Climate Data'!$A$7:$A$366,'Estimator'!$B$4,'Climate Data'!$B$7:$B$366,C551)</x:f>
        <x:v>8.378947368421054</x:v>
      </x:c>
      <x:c r="J551" s="381" t="n">
        <x:f>SUMIFS('Wind Proxy'!$H$8:$H$19,'Wind Proxy'!$A$8:$A$19,'Estimator'!$B$4,'Wind Proxy'!$B$8:$B$19,C551)</x:f>
        <x:v>0.14197530864197533</x:v>
      </x:c>
    </x:row>
    <x:row r="552">
      <x:c r="A552" s="379" t="n">
        <x:v>46203</x:v>
      </x:c>
      <x:c r="B552" s="380" t="n">
        <x:v>2026</x:v>
      </x:c>
      <x:c r="C552" s="380" t="n">
        <x:v>6</x:v>
      </x:c>
      <x:c r="D552" s="380" t="str">
        <x:v>Jun</x:v>
      </x:c>
      <x:c r="E552" s="380" t="n">
        <x:v>30</x:v>
      </x:c>
      <x:c r="F552" s="380" t="n">
        <x:v>2</x:v>
      </x:c>
      <x:c r="G552" s="380" t="n">
        <x:f>--(F552&lt;='Estimator'!$B$7)</x:f>
        <x:v>1</x:v>
      </x:c>
      <x:c r="H552" s="381" t="n">
        <x:f>SUMIFS('Climate Data'!$G$7:$G$366,'Climate Data'!$A$7:$A$366,'Estimator'!$B$4,'Climate Data'!$B$7:$B$366,C552)</x:f>
        <x:v>0.475</x:v>
      </x:c>
      <x:c r="I552" s="382" t="n">
        <x:f>SUMIFS('Climate Data'!$H$7:$H$366,'Climate Data'!$A$7:$A$366,'Estimator'!$B$4,'Climate Data'!$B$7:$B$366,C552)</x:f>
        <x:v>8.378947368421054</x:v>
      </x:c>
      <x:c r="J552" s="381" t="n">
        <x:f>SUMIFS('Wind Proxy'!$H$8:$H$19,'Wind Proxy'!$A$8:$A$19,'Estimator'!$B$4,'Wind Proxy'!$B$8:$B$19,C552)</x:f>
        <x:v>0.14197530864197533</x:v>
      </x:c>
    </x:row>
    <x:row r="553">
      <x:c r="A553" s="379" t="n">
        <x:v>46204</x:v>
      </x:c>
      <x:c r="B553" s="380" t="n">
        <x:v>2026</x:v>
      </x:c>
      <x:c r="C553" s="380" t="n">
        <x:v>7</x:v>
      </x:c>
      <x:c r="D553" s="380" t="str">
        <x:v>Jul</x:v>
      </x:c>
      <x:c r="E553" s="380" t="n">
        <x:v>1</x:v>
      </x:c>
      <x:c r="F553" s="380" t="n">
        <x:v>3</x:v>
      </x:c>
      <x:c r="G553" s="380" t="n">
        <x:f>--(F553&lt;='Estimator'!$B$7)</x:f>
        <x:v>1</x:v>
      </x:c>
      <x:c r="H553" s="381" t="n">
        <x:f>SUMIFS('Climate Data'!$G$7:$G$366,'Climate Data'!$A$7:$A$366,'Estimator'!$B$4,'Climate Data'!$B$7:$B$366,C553)</x:f>
        <x:v>0.49078341013824883</x:v>
      </x:c>
      <x:c r="I553" s="382" t="n">
        <x:f>SUMIFS('Climate Data'!$H$7:$H$366,'Climate Data'!$A$7:$A$366,'Estimator'!$B$4,'Climate Data'!$B$7:$B$366,C553)</x:f>
        <x:v>8.998122065727701</x:v>
      </x:c>
      <x:c r="J553" s="381" t="n">
        <x:f>SUMIFS('Wind Proxy'!$H$8:$H$19,'Wind Proxy'!$A$8:$A$19,'Estimator'!$B$4,'Wind Proxy'!$B$8:$B$19,C553)</x:f>
        <x:v>0.13739545997610514</x:v>
      </x:c>
    </x:row>
    <x:row r="554">
      <x:c r="A554" s="379" t="n">
        <x:v>46205</x:v>
      </x:c>
      <x:c r="B554" s="380" t="n">
        <x:v>2026</x:v>
      </x:c>
      <x:c r="C554" s="380" t="n">
        <x:v>7</x:v>
      </x:c>
      <x:c r="D554" s="380" t="str">
        <x:v>Jul</x:v>
      </x:c>
      <x:c r="E554" s="380" t="n">
        <x:v>2</x:v>
      </x:c>
      <x:c r="F554" s="380" t="n">
        <x:v>4</x:v>
      </x:c>
      <x:c r="G554" s="380" t="n">
        <x:f>--(F554&lt;='Estimator'!$B$7)</x:f>
        <x:v>1</x:v>
      </x:c>
      <x:c r="H554" s="381" t="n">
        <x:f>SUMIFS('Climate Data'!$G$7:$G$366,'Climate Data'!$A$7:$A$366,'Estimator'!$B$4,'Climate Data'!$B$7:$B$366,C554)</x:f>
        <x:v>0.49078341013824883</x:v>
      </x:c>
      <x:c r="I554" s="382" t="n">
        <x:f>SUMIFS('Climate Data'!$H$7:$H$366,'Climate Data'!$A$7:$A$366,'Estimator'!$B$4,'Climate Data'!$B$7:$B$366,C554)</x:f>
        <x:v>8.998122065727701</x:v>
      </x:c>
      <x:c r="J554" s="381" t="n">
        <x:f>SUMIFS('Wind Proxy'!$H$8:$H$19,'Wind Proxy'!$A$8:$A$19,'Estimator'!$B$4,'Wind Proxy'!$B$8:$B$19,C554)</x:f>
        <x:v>0.13739545997610514</x:v>
      </x:c>
    </x:row>
    <x:row r="555">
      <x:c r="A555" s="379" t="n">
        <x:v>46206</x:v>
      </x:c>
      <x:c r="B555" s="380" t="n">
        <x:v>2026</x:v>
      </x:c>
      <x:c r="C555" s="380" t="n">
        <x:v>7</x:v>
      </x:c>
      <x:c r="D555" s="380" t="str">
        <x:v>Jul</x:v>
      </x:c>
      <x:c r="E555" s="380" t="n">
        <x:v>3</x:v>
      </x:c>
      <x:c r="F555" s="380" t="n">
        <x:v>5</x:v>
      </x:c>
      <x:c r="G555" s="380" t="n">
        <x:f>--(F555&lt;='Estimator'!$B$7)</x:f>
        <x:v>1</x:v>
      </x:c>
      <x:c r="H555" s="381" t="n">
        <x:f>SUMIFS('Climate Data'!$G$7:$G$366,'Climate Data'!$A$7:$A$366,'Estimator'!$B$4,'Climate Data'!$B$7:$B$366,C555)</x:f>
        <x:v>0.49078341013824883</x:v>
      </x:c>
      <x:c r="I555" s="382" t="n">
        <x:f>SUMIFS('Climate Data'!$H$7:$H$366,'Climate Data'!$A$7:$A$366,'Estimator'!$B$4,'Climate Data'!$B$7:$B$366,C555)</x:f>
        <x:v>8.998122065727701</x:v>
      </x:c>
      <x:c r="J555" s="381" t="n">
        <x:f>SUMIFS('Wind Proxy'!$H$8:$H$19,'Wind Proxy'!$A$8:$A$19,'Estimator'!$B$4,'Wind Proxy'!$B$8:$B$19,C555)</x:f>
        <x:v>0.13739545997610514</x:v>
      </x:c>
    </x:row>
    <x:row r="556">
      <x:c r="A556" s="379" t="n">
        <x:v>46207</x:v>
      </x:c>
      <x:c r="B556" s="380" t="n">
        <x:v>2026</x:v>
      </x:c>
      <x:c r="C556" s="380" t="n">
        <x:v>7</x:v>
      </x:c>
      <x:c r="D556" s="380" t="str">
        <x:v>Jul</x:v>
      </x:c>
      <x:c r="E556" s="380" t="n">
        <x:v>4</x:v>
      </x:c>
      <x:c r="F556" s="380" t="n">
        <x:v>6</x:v>
      </x:c>
      <x:c r="G556" s="380" t="n">
        <x:f>--(F556&lt;='Estimator'!$B$7)</x:f>
        <x:v>0</x:v>
      </x:c>
      <x:c r="H556" s="381" t="n">
        <x:f>SUMIFS('Climate Data'!$G$7:$G$366,'Climate Data'!$A$7:$A$366,'Estimator'!$B$4,'Climate Data'!$B$7:$B$366,C556)</x:f>
        <x:v>0.49078341013824883</x:v>
      </x:c>
      <x:c r="I556" s="382" t="n">
        <x:f>SUMIFS('Climate Data'!$H$7:$H$366,'Climate Data'!$A$7:$A$366,'Estimator'!$B$4,'Climate Data'!$B$7:$B$366,C556)</x:f>
        <x:v>8.998122065727701</x:v>
      </x:c>
      <x:c r="J556" s="381" t="n">
        <x:f>SUMIFS('Wind Proxy'!$H$8:$H$19,'Wind Proxy'!$A$8:$A$19,'Estimator'!$B$4,'Wind Proxy'!$B$8:$B$19,C556)</x:f>
        <x:v>0.13739545997610514</x:v>
      </x:c>
    </x:row>
    <x:row r="557">
      <x:c r="A557" s="379" t="n">
        <x:v>46208</x:v>
      </x:c>
      <x:c r="B557" s="380" t="n">
        <x:v>2026</x:v>
      </x:c>
      <x:c r="C557" s="380" t="n">
        <x:v>7</x:v>
      </x:c>
      <x:c r="D557" s="380" t="str">
        <x:v>Jul</x:v>
      </x:c>
      <x:c r="E557" s="380" t="n">
        <x:v>5</x:v>
      </x:c>
      <x:c r="F557" s="380" t="n">
        <x:v>7</x:v>
      </x:c>
      <x:c r="G557" s="380" t="n">
        <x:f>--(F557&lt;='Estimator'!$B$7)</x:f>
        <x:v>0</x:v>
      </x:c>
      <x:c r="H557" s="381" t="n">
        <x:f>SUMIFS('Climate Data'!$G$7:$G$366,'Climate Data'!$A$7:$A$366,'Estimator'!$B$4,'Climate Data'!$B$7:$B$366,C557)</x:f>
        <x:v>0.49078341013824883</x:v>
      </x:c>
      <x:c r="I557" s="382" t="n">
        <x:f>SUMIFS('Climate Data'!$H$7:$H$366,'Climate Data'!$A$7:$A$366,'Estimator'!$B$4,'Climate Data'!$B$7:$B$366,C557)</x:f>
        <x:v>8.998122065727701</x:v>
      </x:c>
      <x:c r="J557" s="381" t="n">
        <x:f>SUMIFS('Wind Proxy'!$H$8:$H$19,'Wind Proxy'!$A$8:$A$19,'Estimator'!$B$4,'Wind Proxy'!$B$8:$B$19,C557)</x:f>
        <x:v>0.13739545997610514</x:v>
      </x:c>
    </x:row>
    <x:row r="558">
      <x:c r="A558" s="379" t="n">
        <x:v>46209</x:v>
      </x:c>
      <x:c r="B558" s="380" t="n">
        <x:v>2026</x:v>
      </x:c>
      <x:c r="C558" s="380" t="n">
        <x:v>7</x:v>
      </x:c>
      <x:c r="D558" s="380" t="str">
        <x:v>Jul</x:v>
      </x:c>
      <x:c r="E558" s="380" t="n">
        <x:v>6</x:v>
      </x:c>
      <x:c r="F558" s="380" t="n">
        <x:v>1</x:v>
      </x:c>
      <x:c r="G558" s="380" t="n">
        <x:f>--(F558&lt;='Estimator'!$B$7)</x:f>
        <x:v>1</x:v>
      </x:c>
      <x:c r="H558" s="381" t="n">
        <x:f>SUMIFS('Climate Data'!$G$7:$G$366,'Climate Data'!$A$7:$A$366,'Estimator'!$B$4,'Climate Data'!$B$7:$B$366,C558)</x:f>
        <x:v>0.49078341013824883</x:v>
      </x:c>
      <x:c r="I558" s="382" t="n">
        <x:f>SUMIFS('Climate Data'!$H$7:$H$366,'Climate Data'!$A$7:$A$366,'Estimator'!$B$4,'Climate Data'!$B$7:$B$366,C558)</x:f>
        <x:v>8.998122065727701</x:v>
      </x:c>
      <x:c r="J558" s="381" t="n">
        <x:f>SUMIFS('Wind Proxy'!$H$8:$H$19,'Wind Proxy'!$A$8:$A$19,'Estimator'!$B$4,'Wind Proxy'!$B$8:$B$19,C558)</x:f>
        <x:v>0.13739545997610514</x:v>
      </x:c>
    </x:row>
    <x:row r="559">
      <x:c r="A559" s="379" t="n">
        <x:v>46210</x:v>
      </x:c>
      <x:c r="B559" s="380" t="n">
        <x:v>2026</x:v>
      </x:c>
      <x:c r="C559" s="380" t="n">
        <x:v>7</x:v>
      </x:c>
      <x:c r="D559" s="380" t="str">
        <x:v>Jul</x:v>
      </x:c>
      <x:c r="E559" s="380" t="n">
        <x:v>7</x:v>
      </x:c>
      <x:c r="F559" s="380" t="n">
        <x:v>2</x:v>
      </x:c>
      <x:c r="G559" s="380" t="n">
        <x:f>--(F559&lt;='Estimator'!$B$7)</x:f>
        <x:v>1</x:v>
      </x:c>
      <x:c r="H559" s="381" t="n">
        <x:f>SUMIFS('Climate Data'!$G$7:$G$366,'Climate Data'!$A$7:$A$366,'Estimator'!$B$4,'Climate Data'!$B$7:$B$366,C559)</x:f>
        <x:v>0.49078341013824883</x:v>
      </x:c>
      <x:c r="I559" s="382" t="n">
        <x:f>SUMIFS('Climate Data'!$H$7:$H$366,'Climate Data'!$A$7:$A$366,'Estimator'!$B$4,'Climate Data'!$B$7:$B$366,C559)</x:f>
        <x:v>8.998122065727701</x:v>
      </x:c>
      <x:c r="J559" s="381" t="n">
        <x:f>SUMIFS('Wind Proxy'!$H$8:$H$19,'Wind Proxy'!$A$8:$A$19,'Estimator'!$B$4,'Wind Proxy'!$B$8:$B$19,C559)</x:f>
        <x:v>0.13739545997610514</x:v>
      </x:c>
    </x:row>
    <x:row r="560">
      <x:c r="A560" s="379" t="n">
        <x:v>46211</x:v>
      </x:c>
      <x:c r="B560" s="380" t="n">
        <x:v>2026</x:v>
      </x:c>
      <x:c r="C560" s="380" t="n">
        <x:v>7</x:v>
      </x:c>
      <x:c r="D560" s="380" t="str">
        <x:v>Jul</x:v>
      </x:c>
      <x:c r="E560" s="380" t="n">
        <x:v>8</x:v>
      </x:c>
      <x:c r="F560" s="380" t="n">
        <x:v>3</x:v>
      </x:c>
      <x:c r="G560" s="380" t="n">
        <x:f>--(F560&lt;='Estimator'!$B$7)</x:f>
        <x:v>1</x:v>
      </x:c>
      <x:c r="H560" s="381" t="n">
        <x:f>SUMIFS('Climate Data'!$G$7:$G$366,'Climate Data'!$A$7:$A$366,'Estimator'!$B$4,'Climate Data'!$B$7:$B$366,C560)</x:f>
        <x:v>0.49078341013824883</x:v>
      </x:c>
      <x:c r="I560" s="382" t="n">
        <x:f>SUMIFS('Climate Data'!$H$7:$H$366,'Climate Data'!$A$7:$A$366,'Estimator'!$B$4,'Climate Data'!$B$7:$B$366,C560)</x:f>
        <x:v>8.998122065727701</x:v>
      </x:c>
      <x:c r="J560" s="381" t="n">
        <x:f>SUMIFS('Wind Proxy'!$H$8:$H$19,'Wind Proxy'!$A$8:$A$19,'Estimator'!$B$4,'Wind Proxy'!$B$8:$B$19,C560)</x:f>
        <x:v>0.13739545997610514</x:v>
      </x:c>
    </x:row>
    <x:row r="561">
      <x:c r="A561" s="379" t="n">
        <x:v>46212</x:v>
      </x:c>
      <x:c r="B561" s="380" t="n">
        <x:v>2026</x:v>
      </x:c>
      <x:c r="C561" s="380" t="n">
        <x:v>7</x:v>
      </x:c>
      <x:c r="D561" s="380" t="str">
        <x:v>Jul</x:v>
      </x:c>
      <x:c r="E561" s="380" t="n">
        <x:v>9</x:v>
      </x:c>
      <x:c r="F561" s="380" t="n">
        <x:v>4</x:v>
      </x:c>
      <x:c r="G561" s="380" t="n">
        <x:f>--(F561&lt;='Estimator'!$B$7)</x:f>
        <x:v>1</x:v>
      </x:c>
      <x:c r="H561" s="381" t="n">
        <x:f>SUMIFS('Climate Data'!$G$7:$G$366,'Climate Data'!$A$7:$A$366,'Estimator'!$B$4,'Climate Data'!$B$7:$B$366,C561)</x:f>
        <x:v>0.49078341013824883</x:v>
      </x:c>
      <x:c r="I561" s="382" t="n">
        <x:f>SUMIFS('Climate Data'!$H$7:$H$366,'Climate Data'!$A$7:$A$366,'Estimator'!$B$4,'Climate Data'!$B$7:$B$366,C561)</x:f>
        <x:v>8.998122065727701</x:v>
      </x:c>
      <x:c r="J561" s="381" t="n">
        <x:f>SUMIFS('Wind Proxy'!$H$8:$H$19,'Wind Proxy'!$A$8:$A$19,'Estimator'!$B$4,'Wind Proxy'!$B$8:$B$19,C561)</x:f>
        <x:v>0.13739545997610514</x:v>
      </x:c>
    </x:row>
    <x:row r="562">
      <x:c r="A562" s="379" t="n">
        <x:v>46213</x:v>
      </x:c>
      <x:c r="B562" s="380" t="n">
        <x:v>2026</x:v>
      </x:c>
      <x:c r="C562" s="380" t="n">
        <x:v>7</x:v>
      </x:c>
      <x:c r="D562" s="380" t="str">
        <x:v>Jul</x:v>
      </x:c>
      <x:c r="E562" s="380" t="n">
        <x:v>10</x:v>
      </x:c>
      <x:c r="F562" s="380" t="n">
        <x:v>5</x:v>
      </x:c>
      <x:c r="G562" s="380" t="n">
        <x:f>--(F562&lt;='Estimator'!$B$7)</x:f>
        <x:v>1</x:v>
      </x:c>
      <x:c r="H562" s="381" t="n">
        <x:f>SUMIFS('Climate Data'!$G$7:$G$366,'Climate Data'!$A$7:$A$366,'Estimator'!$B$4,'Climate Data'!$B$7:$B$366,C562)</x:f>
        <x:v>0.49078341013824883</x:v>
      </x:c>
      <x:c r="I562" s="382" t="n">
        <x:f>SUMIFS('Climate Data'!$H$7:$H$366,'Climate Data'!$A$7:$A$366,'Estimator'!$B$4,'Climate Data'!$B$7:$B$366,C562)</x:f>
        <x:v>8.998122065727701</x:v>
      </x:c>
      <x:c r="J562" s="381" t="n">
        <x:f>SUMIFS('Wind Proxy'!$H$8:$H$19,'Wind Proxy'!$A$8:$A$19,'Estimator'!$B$4,'Wind Proxy'!$B$8:$B$19,C562)</x:f>
        <x:v>0.13739545997610514</x:v>
      </x:c>
    </x:row>
    <x:row r="563">
      <x:c r="A563" s="379" t="n">
        <x:v>46214</x:v>
      </x:c>
      <x:c r="B563" s="380" t="n">
        <x:v>2026</x:v>
      </x:c>
      <x:c r="C563" s="380" t="n">
        <x:v>7</x:v>
      </x:c>
      <x:c r="D563" s="380" t="str">
        <x:v>Jul</x:v>
      </x:c>
      <x:c r="E563" s="380" t="n">
        <x:v>11</x:v>
      </x:c>
      <x:c r="F563" s="380" t="n">
        <x:v>6</x:v>
      </x:c>
      <x:c r="G563" s="380" t="n">
        <x:f>--(F563&lt;='Estimator'!$B$7)</x:f>
        <x:v>0</x:v>
      </x:c>
      <x:c r="H563" s="381" t="n">
        <x:f>SUMIFS('Climate Data'!$G$7:$G$366,'Climate Data'!$A$7:$A$366,'Estimator'!$B$4,'Climate Data'!$B$7:$B$366,C563)</x:f>
        <x:v>0.49078341013824883</x:v>
      </x:c>
      <x:c r="I563" s="382" t="n">
        <x:f>SUMIFS('Climate Data'!$H$7:$H$366,'Climate Data'!$A$7:$A$366,'Estimator'!$B$4,'Climate Data'!$B$7:$B$366,C563)</x:f>
        <x:v>8.998122065727701</x:v>
      </x:c>
      <x:c r="J563" s="381" t="n">
        <x:f>SUMIFS('Wind Proxy'!$H$8:$H$19,'Wind Proxy'!$A$8:$A$19,'Estimator'!$B$4,'Wind Proxy'!$B$8:$B$19,C563)</x:f>
        <x:v>0.13739545997610514</x:v>
      </x:c>
    </x:row>
    <x:row r="564">
      <x:c r="A564" s="379" t="n">
        <x:v>46215</x:v>
      </x:c>
      <x:c r="B564" s="380" t="n">
        <x:v>2026</x:v>
      </x:c>
      <x:c r="C564" s="380" t="n">
        <x:v>7</x:v>
      </x:c>
      <x:c r="D564" s="380" t="str">
        <x:v>Jul</x:v>
      </x:c>
      <x:c r="E564" s="380" t="n">
        <x:v>12</x:v>
      </x:c>
      <x:c r="F564" s="380" t="n">
        <x:v>7</x:v>
      </x:c>
      <x:c r="G564" s="380" t="n">
        <x:f>--(F564&lt;='Estimator'!$B$7)</x:f>
        <x:v>0</x:v>
      </x:c>
      <x:c r="H564" s="381" t="n">
        <x:f>SUMIFS('Climate Data'!$G$7:$G$366,'Climate Data'!$A$7:$A$366,'Estimator'!$B$4,'Climate Data'!$B$7:$B$366,C564)</x:f>
        <x:v>0.49078341013824883</x:v>
      </x:c>
      <x:c r="I564" s="382" t="n">
        <x:f>SUMIFS('Climate Data'!$H$7:$H$366,'Climate Data'!$A$7:$A$366,'Estimator'!$B$4,'Climate Data'!$B$7:$B$366,C564)</x:f>
        <x:v>8.998122065727701</x:v>
      </x:c>
      <x:c r="J564" s="381" t="n">
        <x:f>SUMIFS('Wind Proxy'!$H$8:$H$19,'Wind Proxy'!$A$8:$A$19,'Estimator'!$B$4,'Wind Proxy'!$B$8:$B$19,C564)</x:f>
        <x:v>0.13739545997610514</x:v>
      </x:c>
    </x:row>
    <x:row r="565">
      <x:c r="A565" s="379" t="n">
        <x:v>46216</x:v>
      </x:c>
      <x:c r="B565" s="380" t="n">
        <x:v>2026</x:v>
      </x:c>
      <x:c r="C565" s="380" t="n">
        <x:v>7</x:v>
      </x:c>
      <x:c r="D565" s="380" t="str">
        <x:v>Jul</x:v>
      </x:c>
      <x:c r="E565" s="380" t="n">
        <x:v>13</x:v>
      </x:c>
      <x:c r="F565" s="380" t="n">
        <x:v>1</x:v>
      </x:c>
      <x:c r="G565" s="380" t="n">
        <x:f>--(F565&lt;='Estimator'!$B$7)</x:f>
        <x:v>1</x:v>
      </x:c>
      <x:c r="H565" s="381" t="n">
        <x:f>SUMIFS('Climate Data'!$G$7:$G$366,'Climate Data'!$A$7:$A$366,'Estimator'!$B$4,'Climate Data'!$B$7:$B$366,C565)</x:f>
        <x:v>0.49078341013824883</x:v>
      </x:c>
      <x:c r="I565" s="382" t="n">
        <x:f>SUMIFS('Climate Data'!$H$7:$H$366,'Climate Data'!$A$7:$A$366,'Estimator'!$B$4,'Climate Data'!$B$7:$B$366,C565)</x:f>
        <x:v>8.998122065727701</x:v>
      </x:c>
      <x:c r="J565" s="381" t="n">
        <x:f>SUMIFS('Wind Proxy'!$H$8:$H$19,'Wind Proxy'!$A$8:$A$19,'Estimator'!$B$4,'Wind Proxy'!$B$8:$B$19,C565)</x:f>
        <x:v>0.13739545997610514</x:v>
      </x:c>
    </x:row>
    <x:row r="566">
      <x:c r="A566" s="379" t="n">
        <x:v>46217</x:v>
      </x:c>
      <x:c r="B566" s="380" t="n">
        <x:v>2026</x:v>
      </x:c>
      <x:c r="C566" s="380" t="n">
        <x:v>7</x:v>
      </x:c>
      <x:c r="D566" s="380" t="str">
        <x:v>Jul</x:v>
      </x:c>
      <x:c r="E566" s="380" t="n">
        <x:v>14</x:v>
      </x:c>
      <x:c r="F566" s="380" t="n">
        <x:v>2</x:v>
      </x:c>
      <x:c r="G566" s="380" t="n">
        <x:f>--(F566&lt;='Estimator'!$B$7)</x:f>
        <x:v>1</x:v>
      </x:c>
      <x:c r="H566" s="381" t="n">
        <x:f>SUMIFS('Climate Data'!$G$7:$G$366,'Climate Data'!$A$7:$A$366,'Estimator'!$B$4,'Climate Data'!$B$7:$B$366,C566)</x:f>
        <x:v>0.49078341013824883</x:v>
      </x:c>
      <x:c r="I566" s="382" t="n">
        <x:f>SUMIFS('Climate Data'!$H$7:$H$366,'Climate Data'!$A$7:$A$366,'Estimator'!$B$4,'Climate Data'!$B$7:$B$366,C566)</x:f>
        <x:v>8.998122065727701</x:v>
      </x:c>
      <x:c r="J566" s="381" t="n">
        <x:f>SUMIFS('Wind Proxy'!$H$8:$H$19,'Wind Proxy'!$A$8:$A$19,'Estimator'!$B$4,'Wind Proxy'!$B$8:$B$19,C566)</x:f>
        <x:v>0.13739545997610514</x:v>
      </x:c>
    </x:row>
    <x:row r="567">
      <x:c r="A567" s="379" t="n">
        <x:v>46218</x:v>
      </x:c>
      <x:c r="B567" s="380" t="n">
        <x:v>2026</x:v>
      </x:c>
      <x:c r="C567" s="380" t="n">
        <x:v>7</x:v>
      </x:c>
      <x:c r="D567" s="380" t="str">
        <x:v>Jul</x:v>
      </x:c>
      <x:c r="E567" s="380" t="n">
        <x:v>15</x:v>
      </x:c>
      <x:c r="F567" s="380" t="n">
        <x:v>3</x:v>
      </x:c>
      <x:c r="G567" s="380" t="n">
        <x:f>--(F567&lt;='Estimator'!$B$7)</x:f>
        <x:v>1</x:v>
      </x:c>
      <x:c r="H567" s="381" t="n">
        <x:f>SUMIFS('Climate Data'!$G$7:$G$366,'Climate Data'!$A$7:$A$366,'Estimator'!$B$4,'Climate Data'!$B$7:$B$366,C567)</x:f>
        <x:v>0.49078341013824883</x:v>
      </x:c>
      <x:c r="I567" s="382" t="n">
        <x:f>SUMIFS('Climate Data'!$H$7:$H$366,'Climate Data'!$A$7:$A$366,'Estimator'!$B$4,'Climate Data'!$B$7:$B$366,C567)</x:f>
        <x:v>8.998122065727701</x:v>
      </x:c>
      <x:c r="J567" s="381" t="n">
        <x:f>SUMIFS('Wind Proxy'!$H$8:$H$19,'Wind Proxy'!$A$8:$A$19,'Estimator'!$B$4,'Wind Proxy'!$B$8:$B$19,C567)</x:f>
        <x:v>0.13739545997610514</x:v>
      </x:c>
    </x:row>
    <x:row r="568">
      <x:c r="A568" s="379" t="n">
        <x:v>46219</x:v>
      </x:c>
      <x:c r="B568" s="380" t="n">
        <x:v>2026</x:v>
      </x:c>
      <x:c r="C568" s="380" t="n">
        <x:v>7</x:v>
      </x:c>
      <x:c r="D568" s="380" t="str">
        <x:v>Jul</x:v>
      </x:c>
      <x:c r="E568" s="380" t="n">
        <x:v>16</x:v>
      </x:c>
      <x:c r="F568" s="380" t="n">
        <x:v>4</x:v>
      </x:c>
      <x:c r="G568" s="380" t="n">
        <x:f>--(F568&lt;='Estimator'!$B$7)</x:f>
        <x:v>1</x:v>
      </x:c>
      <x:c r="H568" s="381" t="n">
        <x:f>SUMIFS('Climate Data'!$G$7:$G$366,'Climate Data'!$A$7:$A$366,'Estimator'!$B$4,'Climate Data'!$B$7:$B$366,C568)</x:f>
        <x:v>0.49078341013824883</x:v>
      </x:c>
      <x:c r="I568" s="382" t="n">
        <x:f>SUMIFS('Climate Data'!$H$7:$H$366,'Climate Data'!$A$7:$A$366,'Estimator'!$B$4,'Climate Data'!$B$7:$B$366,C568)</x:f>
        <x:v>8.998122065727701</x:v>
      </x:c>
      <x:c r="J568" s="381" t="n">
        <x:f>SUMIFS('Wind Proxy'!$H$8:$H$19,'Wind Proxy'!$A$8:$A$19,'Estimator'!$B$4,'Wind Proxy'!$B$8:$B$19,C568)</x:f>
        <x:v>0.13739545997610514</x:v>
      </x:c>
    </x:row>
    <x:row r="569">
      <x:c r="A569" s="379" t="n">
        <x:v>46220</x:v>
      </x:c>
      <x:c r="B569" s="380" t="n">
        <x:v>2026</x:v>
      </x:c>
      <x:c r="C569" s="380" t="n">
        <x:v>7</x:v>
      </x:c>
      <x:c r="D569" s="380" t="str">
        <x:v>Jul</x:v>
      </x:c>
      <x:c r="E569" s="380" t="n">
        <x:v>17</x:v>
      </x:c>
      <x:c r="F569" s="380" t="n">
        <x:v>5</x:v>
      </x:c>
      <x:c r="G569" s="380" t="n">
        <x:f>--(F569&lt;='Estimator'!$B$7)</x:f>
        <x:v>1</x:v>
      </x:c>
      <x:c r="H569" s="381" t="n">
        <x:f>SUMIFS('Climate Data'!$G$7:$G$366,'Climate Data'!$A$7:$A$366,'Estimator'!$B$4,'Climate Data'!$B$7:$B$366,C569)</x:f>
        <x:v>0.49078341013824883</x:v>
      </x:c>
      <x:c r="I569" s="382" t="n">
        <x:f>SUMIFS('Climate Data'!$H$7:$H$366,'Climate Data'!$A$7:$A$366,'Estimator'!$B$4,'Climate Data'!$B$7:$B$366,C569)</x:f>
        <x:v>8.998122065727701</x:v>
      </x:c>
      <x:c r="J569" s="381" t="n">
        <x:f>SUMIFS('Wind Proxy'!$H$8:$H$19,'Wind Proxy'!$A$8:$A$19,'Estimator'!$B$4,'Wind Proxy'!$B$8:$B$19,C569)</x:f>
        <x:v>0.13739545997610514</x:v>
      </x:c>
    </x:row>
    <x:row r="570">
      <x:c r="A570" s="379" t="n">
        <x:v>46221</x:v>
      </x:c>
      <x:c r="B570" s="380" t="n">
        <x:v>2026</x:v>
      </x:c>
      <x:c r="C570" s="380" t="n">
        <x:v>7</x:v>
      </x:c>
      <x:c r="D570" s="380" t="str">
        <x:v>Jul</x:v>
      </x:c>
      <x:c r="E570" s="380" t="n">
        <x:v>18</x:v>
      </x:c>
      <x:c r="F570" s="380" t="n">
        <x:v>6</x:v>
      </x:c>
      <x:c r="G570" s="380" t="n">
        <x:f>--(F570&lt;='Estimator'!$B$7)</x:f>
        <x:v>0</x:v>
      </x:c>
      <x:c r="H570" s="381" t="n">
        <x:f>SUMIFS('Climate Data'!$G$7:$G$366,'Climate Data'!$A$7:$A$366,'Estimator'!$B$4,'Climate Data'!$B$7:$B$366,C570)</x:f>
        <x:v>0.49078341013824883</x:v>
      </x:c>
      <x:c r="I570" s="382" t="n">
        <x:f>SUMIFS('Climate Data'!$H$7:$H$366,'Climate Data'!$A$7:$A$366,'Estimator'!$B$4,'Climate Data'!$B$7:$B$366,C570)</x:f>
        <x:v>8.998122065727701</x:v>
      </x:c>
      <x:c r="J570" s="381" t="n">
        <x:f>SUMIFS('Wind Proxy'!$H$8:$H$19,'Wind Proxy'!$A$8:$A$19,'Estimator'!$B$4,'Wind Proxy'!$B$8:$B$19,C570)</x:f>
        <x:v>0.13739545997610514</x:v>
      </x:c>
    </x:row>
    <x:row r="571">
      <x:c r="A571" s="379" t="n">
        <x:v>46222</x:v>
      </x:c>
      <x:c r="B571" s="380" t="n">
        <x:v>2026</x:v>
      </x:c>
      <x:c r="C571" s="380" t="n">
        <x:v>7</x:v>
      </x:c>
      <x:c r="D571" s="380" t="str">
        <x:v>Jul</x:v>
      </x:c>
      <x:c r="E571" s="380" t="n">
        <x:v>19</x:v>
      </x:c>
      <x:c r="F571" s="380" t="n">
        <x:v>7</x:v>
      </x:c>
      <x:c r="G571" s="380" t="n">
        <x:f>--(F571&lt;='Estimator'!$B$7)</x:f>
        <x:v>0</x:v>
      </x:c>
      <x:c r="H571" s="381" t="n">
        <x:f>SUMIFS('Climate Data'!$G$7:$G$366,'Climate Data'!$A$7:$A$366,'Estimator'!$B$4,'Climate Data'!$B$7:$B$366,C571)</x:f>
        <x:v>0.49078341013824883</x:v>
      </x:c>
      <x:c r="I571" s="382" t="n">
        <x:f>SUMIFS('Climate Data'!$H$7:$H$366,'Climate Data'!$A$7:$A$366,'Estimator'!$B$4,'Climate Data'!$B$7:$B$366,C571)</x:f>
        <x:v>8.998122065727701</x:v>
      </x:c>
      <x:c r="J571" s="381" t="n">
        <x:f>SUMIFS('Wind Proxy'!$H$8:$H$19,'Wind Proxy'!$A$8:$A$19,'Estimator'!$B$4,'Wind Proxy'!$B$8:$B$19,C571)</x:f>
        <x:v>0.13739545997610514</x:v>
      </x:c>
    </x:row>
    <x:row r="572">
      <x:c r="A572" s="379" t="n">
        <x:v>46223</x:v>
      </x:c>
      <x:c r="B572" s="380" t="n">
        <x:v>2026</x:v>
      </x:c>
      <x:c r="C572" s="380" t="n">
        <x:v>7</x:v>
      </x:c>
      <x:c r="D572" s="380" t="str">
        <x:v>Jul</x:v>
      </x:c>
      <x:c r="E572" s="380" t="n">
        <x:v>20</x:v>
      </x:c>
      <x:c r="F572" s="380" t="n">
        <x:v>1</x:v>
      </x:c>
      <x:c r="G572" s="380" t="n">
        <x:f>--(F572&lt;='Estimator'!$B$7)</x:f>
        <x:v>1</x:v>
      </x:c>
      <x:c r="H572" s="381" t="n">
        <x:f>SUMIFS('Climate Data'!$G$7:$G$366,'Climate Data'!$A$7:$A$366,'Estimator'!$B$4,'Climate Data'!$B$7:$B$366,C572)</x:f>
        <x:v>0.49078341013824883</x:v>
      </x:c>
      <x:c r="I572" s="382" t="n">
        <x:f>SUMIFS('Climate Data'!$H$7:$H$366,'Climate Data'!$A$7:$A$366,'Estimator'!$B$4,'Climate Data'!$B$7:$B$366,C572)</x:f>
        <x:v>8.998122065727701</x:v>
      </x:c>
      <x:c r="J572" s="381" t="n">
        <x:f>SUMIFS('Wind Proxy'!$H$8:$H$19,'Wind Proxy'!$A$8:$A$19,'Estimator'!$B$4,'Wind Proxy'!$B$8:$B$19,C572)</x:f>
        <x:v>0.13739545997610514</x:v>
      </x:c>
    </x:row>
    <x:row r="573">
      <x:c r="A573" s="379" t="n">
        <x:v>46224</x:v>
      </x:c>
      <x:c r="B573" s="380" t="n">
        <x:v>2026</x:v>
      </x:c>
      <x:c r="C573" s="380" t="n">
        <x:v>7</x:v>
      </x:c>
      <x:c r="D573" s="380" t="str">
        <x:v>Jul</x:v>
      </x:c>
      <x:c r="E573" s="380" t="n">
        <x:v>21</x:v>
      </x:c>
      <x:c r="F573" s="380" t="n">
        <x:v>2</x:v>
      </x:c>
      <x:c r="G573" s="380" t="n">
        <x:f>--(F573&lt;='Estimator'!$B$7)</x:f>
        <x:v>1</x:v>
      </x:c>
      <x:c r="H573" s="381" t="n">
        <x:f>SUMIFS('Climate Data'!$G$7:$G$366,'Climate Data'!$A$7:$A$366,'Estimator'!$B$4,'Climate Data'!$B$7:$B$366,C573)</x:f>
        <x:v>0.49078341013824883</x:v>
      </x:c>
      <x:c r="I573" s="382" t="n">
        <x:f>SUMIFS('Climate Data'!$H$7:$H$366,'Climate Data'!$A$7:$A$366,'Estimator'!$B$4,'Climate Data'!$B$7:$B$366,C573)</x:f>
        <x:v>8.998122065727701</x:v>
      </x:c>
      <x:c r="J573" s="381" t="n">
        <x:f>SUMIFS('Wind Proxy'!$H$8:$H$19,'Wind Proxy'!$A$8:$A$19,'Estimator'!$B$4,'Wind Proxy'!$B$8:$B$19,C573)</x:f>
        <x:v>0.13739545997610514</x:v>
      </x:c>
    </x:row>
    <x:row r="574">
      <x:c r="A574" s="379" t="n">
        <x:v>46225</x:v>
      </x:c>
      <x:c r="B574" s="380" t="n">
        <x:v>2026</x:v>
      </x:c>
      <x:c r="C574" s="380" t="n">
        <x:v>7</x:v>
      </x:c>
      <x:c r="D574" s="380" t="str">
        <x:v>Jul</x:v>
      </x:c>
      <x:c r="E574" s="380" t="n">
        <x:v>22</x:v>
      </x:c>
      <x:c r="F574" s="380" t="n">
        <x:v>3</x:v>
      </x:c>
      <x:c r="G574" s="380" t="n">
        <x:f>--(F574&lt;='Estimator'!$B$7)</x:f>
        <x:v>1</x:v>
      </x:c>
      <x:c r="H574" s="381" t="n">
        <x:f>SUMIFS('Climate Data'!$G$7:$G$366,'Climate Data'!$A$7:$A$366,'Estimator'!$B$4,'Climate Data'!$B$7:$B$366,C574)</x:f>
        <x:v>0.49078341013824883</x:v>
      </x:c>
      <x:c r="I574" s="382" t="n">
        <x:f>SUMIFS('Climate Data'!$H$7:$H$366,'Climate Data'!$A$7:$A$366,'Estimator'!$B$4,'Climate Data'!$B$7:$B$366,C574)</x:f>
        <x:v>8.998122065727701</x:v>
      </x:c>
      <x:c r="J574" s="381" t="n">
        <x:f>SUMIFS('Wind Proxy'!$H$8:$H$19,'Wind Proxy'!$A$8:$A$19,'Estimator'!$B$4,'Wind Proxy'!$B$8:$B$19,C574)</x:f>
        <x:v>0.13739545997610514</x:v>
      </x:c>
    </x:row>
    <x:row r="575">
      <x:c r="A575" s="379" t="n">
        <x:v>46226</x:v>
      </x:c>
      <x:c r="B575" s="380" t="n">
        <x:v>2026</x:v>
      </x:c>
      <x:c r="C575" s="380" t="n">
        <x:v>7</x:v>
      </x:c>
      <x:c r="D575" s="380" t="str">
        <x:v>Jul</x:v>
      </x:c>
      <x:c r="E575" s="380" t="n">
        <x:v>23</x:v>
      </x:c>
      <x:c r="F575" s="380" t="n">
        <x:v>4</x:v>
      </x:c>
      <x:c r="G575" s="380" t="n">
        <x:f>--(F575&lt;='Estimator'!$B$7)</x:f>
        <x:v>1</x:v>
      </x:c>
      <x:c r="H575" s="381" t="n">
        <x:f>SUMIFS('Climate Data'!$G$7:$G$366,'Climate Data'!$A$7:$A$366,'Estimator'!$B$4,'Climate Data'!$B$7:$B$366,C575)</x:f>
        <x:v>0.49078341013824883</x:v>
      </x:c>
      <x:c r="I575" s="382" t="n">
        <x:f>SUMIFS('Climate Data'!$H$7:$H$366,'Climate Data'!$A$7:$A$366,'Estimator'!$B$4,'Climate Data'!$B$7:$B$366,C575)</x:f>
        <x:v>8.998122065727701</x:v>
      </x:c>
      <x:c r="J575" s="381" t="n">
        <x:f>SUMIFS('Wind Proxy'!$H$8:$H$19,'Wind Proxy'!$A$8:$A$19,'Estimator'!$B$4,'Wind Proxy'!$B$8:$B$19,C575)</x:f>
        <x:v>0.13739545997610514</x:v>
      </x:c>
    </x:row>
    <x:row r="576">
      <x:c r="A576" s="379" t="n">
        <x:v>46227</x:v>
      </x:c>
      <x:c r="B576" s="380" t="n">
        <x:v>2026</x:v>
      </x:c>
      <x:c r="C576" s="380" t="n">
        <x:v>7</x:v>
      </x:c>
      <x:c r="D576" s="380" t="str">
        <x:v>Jul</x:v>
      </x:c>
      <x:c r="E576" s="380" t="n">
        <x:v>24</x:v>
      </x:c>
      <x:c r="F576" s="380" t="n">
        <x:v>5</x:v>
      </x:c>
      <x:c r="G576" s="380" t="n">
        <x:f>--(F576&lt;='Estimator'!$B$7)</x:f>
        <x:v>1</x:v>
      </x:c>
      <x:c r="H576" s="381" t="n">
        <x:f>SUMIFS('Climate Data'!$G$7:$G$366,'Climate Data'!$A$7:$A$366,'Estimator'!$B$4,'Climate Data'!$B$7:$B$366,C576)</x:f>
        <x:v>0.49078341013824883</x:v>
      </x:c>
      <x:c r="I576" s="382" t="n">
        <x:f>SUMIFS('Climate Data'!$H$7:$H$366,'Climate Data'!$A$7:$A$366,'Estimator'!$B$4,'Climate Data'!$B$7:$B$366,C576)</x:f>
        <x:v>8.998122065727701</x:v>
      </x:c>
      <x:c r="J576" s="381" t="n">
        <x:f>SUMIFS('Wind Proxy'!$H$8:$H$19,'Wind Proxy'!$A$8:$A$19,'Estimator'!$B$4,'Wind Proxy'!$B$8:$B$19,C576)</x:f>
        <x:v>0.13739545997610514</x:v>
      </x:c>
    </x:row>
    <x:row r="577">
      <x:c r="A577" s="379" t="n">
        <x:v>46228</x:v>
      </x:c>
      <x:c r="B577" s="380" t="n">
        <x:v>2026</x:v>
      </x:c>
      <x:c r="C577" s="380" t="n">
        <x:v>7</x:v>
      </x:c>
      <x:c r="D577" s="380" t="str">
        <x:v>Jul</x:v>
      </x:c>
      <x:c r="E577" s="380" t="n">
        <x:v>25</x:v>
      </x:c>
      <x:c r="F577" s="380" t="n">
        <x:v>6</x:v>
      </x:c>
      <x:c r="G577" s="380" t="n">
        <x:f>--(F577&lt;='Estimator'!$B$7)</x:f>
        <x:v>0</x:v>
      </x:c>
      <x:c r="H577" s="381" t="n">
        <x:f>SUMIFS('Climate Data'!$G$7:$G$366,'Climate Data'!$A$7:$A$366,'Estimator'!$B$4,'Climate Data'!$B$7:$B$366,C577)</x:f>
        <x:v>0.49078341013824883</x:v>
      </x:c>
      <x:c r="I577" s="382" t="n">
        <x:f>SUMIFS('Climate Data'!$H$7:$H$366,'Climate Data'!$A$7:$A$366,'Estimator'!$B$4,'Climate Data'!$B$7:$B$366,C577)</x:f>
        <x:v>8.998122065727701</x:v>
      </x:c>
      <x:c r="J577" s="381" t="n">
        <x:f>SUMIFS('Wind Proxy'!$H$8:$H$19,'Wind Proxy'!$A$8:$A$19,'Estimator'!$B$4,'Wind Proxy'!$B$8:$B$19,C577)</x:f>
        <x:v>0.13739545997610514</x:v>
      </x:c>
    </x:row>
    <x:row r="578">
      <x:c r="A578" s="379" t="n">
        <x:v>46229</x:v>
      </x:c>
      <x:c r="B578" s="380" t="n">
        <x:v>2026</x:v>
      </x:c>
      <x:c r="C578" s="380" t="n">
        <x:v>7</x:v>
      </x:c>
      <x:c r="D578" s="380" t="str">
        <x:v>Jul</x:v>
      </x:c>
      <x:c r="E578" s="380" t="n">
        <x:v>26</x:v>
      </x:c>
      <x:c r="F578" s="380" t="n">
        <x:v>7</x:v>
      </x:c>
      <x:c r="G578" s="380" t="n">
        <x:f>--(F578&lt;='Estimator'!$B$7)</x:f>
        <x:v>0</x:v>
      </x:c>
      <x:c r="H578" s="381" t="n">
        <x:f>SUMIFS('Climate Data'!$G$7:$G$366,'Climate Data'!$A$7:$A$366,'Estimator'!$B$4,'Climate Data'!$B$7:$B$366,C578)</x:f>
        <x:v>0.49078341013824883</x:v>
      </x:c>
      <x:c r="I578" s="382" t="n">
        <x:f>SUMIFS('Climate Data'!$H$7:$H$366,'Climate Data'!$A$7:$A$366,'Estimator'!$B$4,'Climate Data'!$B$7:$B$366,C578)</x:f>
        <x:v>8.998122065727701</x:v>
      </x:c>
      <x:c r="J578" s="381" t="n">
        <x:f>SUMIFS('Wind Proxy'!$H$8:$H$19,'Wind Proxy'!$A$8:$A$19,'Estimator'!$B$4,'Wind Proxy'!$B$8:$B$19,C578)</x:f>
        <x:v>0.13739545997610514</x:v>
      </x:c>
    </x:row>
    <x:row r="579">
      <x:c r="A579" s="379" t="n">
        <x:v>46230</x:v>
      </x:c>
      <x:c r="B579" s="380" t="n">
        <x:v>2026</x:v>
      </x:c>
      <x:c r="C579" s="380" t="n">
        <x:v>7</x:v>
      </x:c>
      <x:c r="D579" s="380" t="str">
        <x:v>Jul</x:v>
      </x:c>
      <x:c r="E579" s="380" t="n">
        <x:v>27</x:v>
      </x:c>
      <x:c r="F579" s="380" t="n">
        <x:v>1</x:v>
      </x:c>
      <x:c r="G579" s="380" t="n">
        <x:f>--(F579&lt;='Estimator'!$B$7)</x:f>
        <x:v>1</x:v>
      </x:c>
      <x:c r="H579" s="381" t="n">
        <x:f>SUMIFS('Climate Data'!$G$7:$G$366,'Climate Data'!$A$7:$A$366,'Estimator'!$B$4,'Climate Data'!$B$7:$B$366,C579)</x:f>
        <x:v>0.49078341013824883</x:v>
      </x:c>
      <x:c r="I579" s="382" t="n">
        <x:f>SUMIFS('Climate Data'!$H$7:$H$366,'Climate Data'!$A$7:$A$366,'Estimator'!$B$4,'Climate Data'!$B$7:$B$366,C579)</x:f>
        <x:v>8.998122065727701</x:v>
      </x:c>
      <x:c r="J579" s="381" t="n">
        <x:f>SUMIFS('Wind Proxy'!$H$8:$H$19,'Wind Proxy'!$A$8:$A$19,'Estimator'!$B$4,'Wind Proxy'!$B$8:$B$19,C579)</x:f>
        <x:v>0.13739545997610514</x:v>
      </x:c>
    </x:row>
    <x:row r="580">
      <x:c r="A580" s="379" t="n">
        <x:v>46231</x:v>
      </x:c>
      <x:c r="B580" s="380" t="n">
        <x:v>2026</x:v>
      </x:c>
      <x:c r="C580" s="380" t="n">
        <x:v>7</x:v>
      </x:c>
      <x:c r="D580" s="380" t="str">
        <x:v>Jul</x:v>
      </x:c>
      <x:c r="E580" s="380" t="n">
        <x:v>28</x:v>
      </x:c>
      <x:c r="F580" s="380" t="n">
        <x:v>2</x:v>
      </x:c>
      <x:c r="G580" s="380" t="n">
        <x:f>--(F580&lt;='Estimator'!$B$7)</x:f>
        <x:v>1</x:v>
      </x:c>
      <x:c r="H580" s="381" t="n">
        <x:f>SUMIFS('Climate Data'!$G$7:$G$366,'Climate Data'!$A$7:$A$366,'Estimator'!$B$4,'Climate Data'!$B$7:$B$366,C580)</x:f>
        <x:v>0.49078341013824883</x:v>
      </x:c>
      <x:c r="I580" s="382" t="n">
        <x:f>SUMIFS('Climate Data'!$H$7:$H$366,'Climate Data'!$A$7:$A$366,'Estimator'!$B$4,'Climate Data'!$B$7:$B$366,C580)</x:f>
        <x:v>8.998122065727701</x:v>
      </x:c>
      <x:c r="J580" s="381" t="n">
        <x:f>SUMIFS('Wind Proxy'!$H$8:$H$19,'Wind Proxy'!$A$8:$A$19,'Estimator'!$B$4,'Wind Proxy'!$B$8:$B$19,C580)</x:f>
        <x:v>0.13739545997610514</x:v>
      </x:c>
    </x:row>
    <x:row r="581">
      <x:c r="A581" s="379" t="n">
        <x:v>46232</x:v>
      </x:c>
      <x:c r="B581" s="380" t="n">
        <x:v>2026</x:v>
      </x:c>
      <x:c r="C581" s="380" t="n">
        <x:v>7</x:v>
      </x:c>
      <x:c r="D581" s="380" t="str">
        <x:v>Jul</x:v>
      </x:c>
      <x:c r="E581" s="380" t="n">
        <x:v>29</x:v>
      </x:c>
      <x:c r="F581" s="380" t="n">
        <x:v>3</x:v>
      </x:c>
      <x:c r="G581" s="380" t="n">
        <x:f>--(F581&lt;='Estimator'!$B$7)</x:f>
        <x:v>1</x:v>
      </x:c>
      <x:c r="H581" s="381" t="n">
        <x:f>SUMIFS('Climate Data'!$G$7:$G$366,'Climate Data'!$A$7:$A$366,'Estimator'!$B$4,'Climate Data'!$B$7:$B$366,C581)</x:f>
        <x:v>0.49078341013824883</x:v>
      </x:c>
      <x:c r="I581" s="382" t="n">
        <x:f>SUMIFS('Climate Data'!$H$7:$H$366,'Climate Data'!$A$7:$A$366,'Estimator'!$B$4,'Climate Data'!$B$7:$B$366,C581)</x:f>
        <x:v>8.998122065727701</x:v>
      </x:c>
      <x:c r="J581" s="381" t="n">
        <x:f>SUMIFS('Wind Proxy'!$H$8:$H$19,'Wind Proxy'!$A$8:$A$19,'Estimator'!$B$4,'Wind Proxy'!$B$8:$B$19,C581)</x:f>
        <x:v>0.13739545997610514</x:v>
      </x:c>
    </x:row>
    <x:row r="582">
      <x:c r="A582" s="379" t="n">
        <x:v>46233</x:v>
      </x:c>
      <x:c r="B582" s="380" t="n">
        <x:v>2026</x:v>
      </x:c>
      <x:c r="C582" s="380" t="n">
        <x:v>7</x:v>
      </x:c>
      <x:c r="D582" s="380" t="str">
        <x:v>Jul</x:v>
      </x:c>
      <x:c r="E582" s="380" t="n">
        <x:v>30</x:v>
      </x:c>
      <x:c r="F582" s="380" t="n">
        <x:v>4</x:v>
      </x:c>
      <x:c r="G582" s="380" t="n">
        <x:f>--(F582&lt;='Estimator'!$B$7)</x:f>
        <x:v>1</x:v>
      </x:c>
      <x:c r="H582" s="381" t="n">
        <x:f>SUMIFS('Climate Data'!$G$7:$G$366,'Climate Data'!$A$7:$A$366,'Estimator'!$B$4,'Climate Data'!$B$7:$B$366,C582)</x:f>
        <x:v>0.49078341013824883</x:v>
      </x:c>
      <x:c r="I582" s="382" t="n">
        <x:f>SUMIFS('Climate Data'!$H$7:$H$366,'Climate Data'!$A$7:$A$366,'Estimator'!$B$4,'Climate Data'!$B$7:$B$366,C582)</x:f>
        <x:v>8.998122065727701</x:v>
      </x:c>
      <x:c r="J582" s="381" t="n">
        <x:f>SUMIFS('Wind Proxy'!$H$8:$H$19,'Wind Proxy'!$A$8:$A$19,'Estimator'!$B$4,'Wind Proxy'!$B$8:$B$19,C582)</x:f>
        <x:v>0.13739545997610514</x:v>
      </x:c>
    </x:row>
    <x:row r="583">
      <x:c r="A583" s="379" t="n">
        <x:v>46234</x:v>
      </x:c>
      <x:c r="B583" s="380" t="n">
        <x:v>2026</x:v>
      </x:c>
      <x:c r="C583" s="380" t="n">
        <x:v>7</x:v>
      </x:c>
      <x:c r="D583" s="380" t="str">
        <x:v>Jul</x:v>
      </x:c>
      <x:c r="E583" s="380" t="n">
        <x:v>31</x:v>
      </x:c>
      <x:c r="F583" s="380" t="n">
        <x:v>5</x:v>
      </x:c>
      <x:c r="G583" s="380" t="n">
        <x:f>--(F583&lt;='Estimator'!$B$7)</x:f>
        <x:v>1</x:v>
      </x:c>
      <x:c r="H583" s="381" t="n">
        <x:f>SUMIFS('Climate Data'!$G$7:$G$366,'Climate Data'!$A$7:$A$366,'Estimator'!$B$4,'Climate Data'!$B$7:$B$366,C583)</x:f>
        <x:v>0.49078341013824883</x:v>
      </x:c>
      <x:c r="I583" s="382" t="n">
        <x:f>SUMIFS('Climate Data'!$H$7:$H$366,'Climate Data'!$A$7:$A$366,'Estimator'!$B$4,'Climate Data'!$B$7:$B$366,C583)</x:f>
        <x:v>8.998122065727701</x:v>
      </x:c>
      <x:c r="J583" s="381" t="n">
        <x:f>SUMIFS('Wind Proxy'!$H$8:$H$19,'Wind Proxy'!$A$8:$A$19,'Estimator'!$B$4,'Wind Proxy'!$B$8:$B$19,C583)</x:f>
        <x:v>0.13739545997610514</x:v>
      </x:c>
    </x:row>
    <x:row r="584">
      <x:c r="A584" s="379" t="n">
        <x:v>46235</x:v>
      </x:c>
      <x:c r="B584" s="380" t="n">
        <x:v>2026</x:v>
      </x:c>
      <x:c r="C584" s="380" t="n">
        <x:v>8</x:v>
      </x:c>
      <x:c r="D584" s="380" t="str">
        <x:v>Aug</x:v>
      </x:c>
      <x:c r="E584" s="380" t="n">
        <x:v>1</x:v>
      </x:c>
      <x:c r="F584" s="380" t="n">
        <x:v>6</x:v>
      </x:c>
      <x:c r="G584" s="380" t="n">
        <x:f>--(F584&lt;='Estimator'!$B$7)</x:f>
        <x:v>0</x:v>
      </x:c>
      <x:c r="H584" s="381" t="n">
        <x:f>SUMIFS('Climate Data'!$G$7:$G$366,'Climate Data'!$A$7:$A$366,'Estimator'!$B$4,'Climate Data'!$B$7:$B$366,C584)</x:f>
        <x:v>0.47274749721913234</x:v>
      </x:c>
      <x:c r="I584" s="382" t="n">
        <x:f>SUMIFS('Climate Data'!$H$7:$H$366,'Climate Data'!$A$7:$A$366,'Estimator'!$B$4,'Climate Data'!$B$7:$B$366,C584)</x:f>
        <x:v>7.9971764705882356</x:v>
      </x:c>
      <x:c r="J584" s="381" t="n">
        <x:f>SUMIFS('Wind Proxy'!$H$8:$H$19,'Wind Proxy'!$A$8:$A$19,'Estimator'!$B$4,'Wind Proxy'!$B$8:$B$19,C584)</x:f>
        <x:v>0.13739545997610514</x:v>
      </x:c>
    </x:row>
    <x:row r="585">
      <x:c r="A585" s="379" t="n">
        <x:v>46236</x:v>
      </x:c>
      <x:c r="B585" s="380" t="n">
        <x:v>2026</x:v>
      </x:c>
      <x:c r="C585" s="380" t="n">
        <x:v>8</x:v>
      </x:c>
      <x:c r="D585" s="380" t="str">
        <x:v>Aug</x:v>
      </x:c>
      <x:c r="E585" s="380" t="n">
        <x:v>2</x:v>
      </x:c>
      <x:c r="F585" s="380" t="n">
        <x:v>7</x:v>
      </x:c>
      <x:c r="G585" s="380" t="n">
        <x:f>--(F585&lt;='Estimator'!$B$7)</x:f>
        <x:v>0</x:v>
      </x:c>
      <x:c r="H585" s="381" t="n">
        <x:f>SUMIFS('Climate Data'!$G$7:$G$366,'Climate Data'!$A$7:$A$366,'Estimator'!$B$4,'Climate Data'!$B$7:$B$366,C585)</x:f>
        <x:v>0.47274749721913234</x:v>
      </x:c>
      <x:c r="I585" s="382" t="n">
        <x:f>SUMIFS('Climate Data'!$H$7:$H$366,'Climate Data'!$A$7:$A$366,'Estimator'!$B$4,'Climate Data'!$B$7:$B$366,C585)</x:f>
        <x:v>7.9971764705882356</x:v>
      </x:c>
      <x:c r="J585" s="381" t="n">
        <x:f>SUMIFS('Wind Proxy'!$H$8:$H$19,'Wind Proxy'!$A$8:$A$19,'Estimator'!$B$4,'Wind Proxy'!$B$8:$B$19,C585)</x:f>
        <x:v>0.13739545997610514</x:v>
      </x:c>
    </x:row>
    <x:row r="586">
      <x:c r="A586" s="379" t="n">
        <x:v>46237</x:v>
      </x:c>
      <x:c r="B586" s="380" t="n">
        <x:v>2026</x:v>
      </x:c>
      <x:c r="C586" s="380" t="n">
        <x:v>8</x:v>
      </x:c>
      <x:c r="D586" s="380" t="str">
        <x:v>Aug</x:v>
      </x:c>
      <x:c r="E586" s="380" t="n">
        <x:v>3</x:v>
      </x:c>
      <x:c r="F586" s="380" t="n">
        <x:v>1</x:v>
      </x:c>
      <x:c r="G586" s="380" t="n">
        <x:f>--(F586&lt;='Estimator'!$B$7)</x:f>
        <x:v>1</x:v>
      </x:c>
      <x:c r="H586" s="381" t="n">
        <x:f>SUMIFS('Climate Data'!$G$7:$G$366,'Climate Data'!$A$7:$A$366,'Estimator'!$B$4,'Climate Data'!$B$7:$B$366,C586)</x:f>
        <x:v>0.47274749721913234</x:v>
      </x:c>
      <x:c r="I586" s="382" t="n">
        <x:f>SUMIFS('Climate Data'!$H$7:$H$366,'Climate Data'!$A$7:$A$366,'Estimator'!$B$4,'Climate Data'!$B$7:$B$366,C586)</x:f>
        <x:v>7.9971764705882356</x:v>
      </x:c>
      <x:c r="J586" s="381" t="n">
        <x:f>SUMIFS('Wind Proxy'!$H$8:$H$19,'Wind Proxy'!$A$8:$A$19,'Estimator'!$B$4,'Wind Proxy'!$B$8:$B$19,C586)</x:f>
        <x:v>0.13739545997610514</x:v>
      </x:c>
    </x:row>
    <x:row r="587">
      <x:c r="A587" s="379" t="n">
        <x:v>46238</x:v>
      </x:c>
      <x:c r="B587" s="380" t="n">
        <x:v>2026</x:v>
      </x:c>
      <x:c r="C587" s="380" t="n">
        <x:v>8</x:v>
      </x:c>
      <x:c r="D587" s="380" t="str">
        <x:v>Aug</x:v>
      </x:c>
      <x:c r="E587" s="380" t="n">
        <x:v>4</x:v>
      </x:c>
      <x:c r="F587" s="380" t="n">
        <x:v>2</x:v>
      </x:c>
      <x:c r="G587" s="380" t="n">
        <x:f>--(F587&lt;='Estimator'!$B$7)</x:f>
        <x:v>1</x:v>
      </x:c>
      <x:c r="H587" s="381" t="n">
        <x:f>SUMIFS('Climate Data'!$G$7:$G$366,'Climate Data'!$A$7:$A$366,'Estimator'!$B$4,'Climate Data'!$B$7:$B$366,C587)</x:f>
        <x:v>0.47274749721913234</x:v>
      </x:c>
      <x:c r="I587" s="382" t="n">
        <x:f>SUMIFS('Climate Data'!$H$7:$H$366,'Climate Data'!$A$7:$A$366,'Estimator'!$B$4,'Climate Data'!$B$7:$B$366,C587)</x:f>
        <x:v>7.9971764705882356</x:v>
      </x:c>
      <x:c r="J587" s="381" t="n">
        <x:f>SUMIFS('Wind Proxy'!$H$8:$H$19,'Wind Proxy'!$A$8:$A$19,'Estimator'!$B$4,'Wind Proxy'!$B$8:$B$19,C587)</x:f>
        <x:v>0.13739545997610514</x:v>
      </x:c>
    </x:row>
    <x:row r="588">
      <x:c r="A588" s="379" t="n">
        <x:v>46239</x:v>
      </x:c>
      <x:c r="B588" s="380" t="n">
        <x:v>2026</x:v>
      </x:c>
      <x:c r="C588" s="380" t="n">
        <x:v>8</x:v>
      </x:c>
      <x:c r="D588" s="380" t="str">
        <x:v>Aug</x:v>
      </x:c>
      <x:c r="E588" s="380" t="n">
        <x:v>5</x:v>
      </x:c>
      <x:c r="F588" s="380" t="n">
        <x:v>3</x:v>
      </x:c>
      <x:c r="G588" s="380" t="n">
        <x:f>--(F588&lt;='Estimator'!$B$7)</x:f>
        <x:v>1</x:v>
      </x:c>
      <x:c r="H588" s="381" t="n">
        <x:f>SUMIFS('Climate Data'!$G$7:$G$366,'Climate Data'!$A$7:$A$366,'Estimator'!$B$4,'Climate Data'!$B$7:$B$366,C588)</x:f>
        <x:v>0.47274749721913234</x:v>
      </x:c>
      <x:c r="I588" s="382" t="n">
        <x:f>SUMIFS('Climate Data'!$H$7:$H$366,'Climate Data'!$A$7:$A$366,'Estimator'!$B$4,'Climate Data'!$B$7:$B$366,C588)</x:f>
        <x:v>7.9971764705882356</x:v>
      </x:c>
      <x:c r="J588" s="381" t="n">
        <x:f>SUMIFS('Wind Proxy'!$H$8:$H$19,'Wind Proxy'!$A$8:$A$19,'Estimator'!$B$4,'Wind Proxy'!$B$8:$B$19,C588)</x:f>
        <x:v>0.13739545997610514</x:v>
      </x:c>
    </x:row>
    <x:row r="589">
      <x:c r="A589" s="379" t="n">
        <x:v>46240</x:v>
      </x:c>
      <x:c r="B589" s="380" t="n">
        <x:v>2026</x:v>
      </x:c>
      <x:c r="C589" s="380" t="n">
        <x:v>8</x:v>
      </x:c>
      <x:c r="D589" s="380" t="str">
        <x:v>Aug</x:v>
      </x:c>
      <x:c r="E589" s="380" t="n">
        <x:v>6</x:v>
      </x:c>
      <x:c r="F589" s="380" t="n">
        <x:v>4</x:v>
      </x:c>
      <x:c r="G589" s="380" t="n">
        <x:f>--(F589&lt;='Estimator'!$B$7)</x:f>
        <x:v>1</x:v>
      </x:c>
      <x:c r="H589" s="381" t="n">
        <x:f>SUMIFS('Climate Data'!$G$7:$G$366,'Climate Data'!$A$7:$A$366,'Estimator'!$B$4,'Climate Data'!$B$7:$B$366,C589)</x:f>
        <x:v>0.47274749721913234</x:v>
      </x:c>
      <x:c r="I589" s="382" t="n">
        <x:f>SUMIFS('Climate Data'!$H$7:$H$366,'Climate Data'!$A$7:$A$366,'Estimator'!$B$4,'Climate Data'!$B$7:$B$366,C589)</x:f>
        <x:v>7.9971764705882356</x:v>
      </x:c>
      <x:c r="J589" s="381" t="n">
        <x:f>SUMIFS('Wind Proxy'!$H$8:$H$19,'Wind Proxy'!$A$8:$A$19,'Estimator'!$B$4,'Wind Proxy'!$B$8:$B$19,C589)</x:f>
        <x:v>0.13739545997610514</x:v>
      </x:c>
    </x:row>
    <x:row r="590">
      <x:c r="A590" s="379" t="n">
        <x:v>46241</x:v>
      </x:c>
      <x:c r="B590" s="380" t="n">
        <x:v>2026</x:v>
      </x:c>
      <x:c r="C590" s="380" t="n">
        <x:v>8</x:v>
      </x:c>
      <x:c r="D590" s="380" t="str">
        <x:v>Aug</x:v>
      </x:c>
      <x:c r="E590" s="380" t="n">
        <x:v>7</x:v>
      </x:c>
      <x:c r="F590" s="380" t="n">
        <x:v>5</x:v>
      </x:c>
      <x:c r="G590" s="380" t="n">
        <x:f>--(F590&lt;='Estimator'!$B$7)</x:f>
        <x:v>1</x:v>
      </x:c>
      <x:c r="H590" s="381" t="n">
        <x:f>SUMIFS('Climate Data'!$G$7:$G$366,'Climate Data'!$A$7:$A$366,'Estimator'!$B$4,'Climate Data'!$B$7:$B$366,C590)</x:f>
        <x:v>0.47274749721913234</x:v>
      </x:c>
      <x:c r="I590" s="382" t="n">
        <x:f>SUMIFS('Climate Data'!$H$7:$H$366,'Climate Data'!$A$7:$A$366,'Estimator'!$B$4,'Climate Data'!$B$7:$B$366,C590)</x:f>
        <x:v>7.9971764705882356</x:v>
      </x:c>
      <x:c r="J590" s="381" t="n">
        <x:f>SUMIFS('Wind Proxy'!$H$8:$H$19,'Wind Proxy'!$A$8:$A$19,'Estimator'!$B$4,'Wind Proxy'!$B$8:$B$19,C590)</x:f>
        <x:v>0.13739545997610514</x:v>
      </x:c>
    </x:row>
    <x:row r="591">
      <x:c r="A591" s="379" t="n">
        <x:v>46242</x:v>
      </x:c>
      <x:c r="B591" s="380" t="n">
        <x:v>2026</x:v>
      </x:c>
      <x:c r="C591" s="380" t="n">
        <x:v>8</x:v>
      </x:c>
      <x:c r="D591" s="380" t="str">
        <x:v>Aug</x:v>
      </x:c>
      <x:c r="E591" s="380" t="n">
        <x:v>8</x:v>
      </x:c>
      <x:c r="F591" s="380" t="n">
        <x:v>6</x:v>
      </x:c>
      <x:c r="G591" s="380" t="n">
        <x:f>--(F591&lt;='Estimator'!$B$7)</x:f>
        <x:v>0</x:v>
      </x:c>
      <x:c r="H591" s="381" t="n">
        <x:f>SUMIFS('Climate Data'!$G$7:$G$366,'Climate Data'!$A$7:$A$366,'Estimator'!$B$4,'Climate Data'!$B$7:$B$366,C591)</x:f>
        <x:v>0.47274749721913234</x:v>
      </x:c>
      <x:c r="I591" s="382" t="n">
        <x:f>SUMIFS('Climate Data'!$H$7:$H$366,'Climate Data'!$A$7:$A$366,'Estimator'!$B$4,'Climate Data'!$B$7:$B$366,C591)</x:f>
        <x:v>7.9971764705882356</x:v>
      </x:c>
      <x:c r="J591" s="381" t="n">
        <x:f>SUMIFS('Wind Proxy'!$H$8:$H$19,'Wind Proxy'!$A$8:$A$19,'Estimator'!$B$4,'Wind Proxy'!$B$8:$B$19,C591)</x:f>
        <x:v>0.13739545997610514</x:v>
      </x:c>
    </x:row>
    <x:row r="592">
      <x:c r="A592" s="379" t="n">
        <x:v>46243</x:v>
      </x:c>
      <x:c r="B592" s="380" t="n">
        <x:v>2026</x:v>
      </x:c>
      <x:c r="C592" s="380" t="n">
        <x:v>8</x:v>
      </x:c>
      <x:c r="D592" s="380" t="str">
        <x:v>Aug</x:v>
      </x:c>
      <x:c r="E592" s="380" t="n">
        <x:v>9</x:v>
      </x:c>
      <x:c r="F592" s="380" t="n">
        <x:v>7</x:v>
      </x:c>
      <x:c r="G592" s="380" t="n">
        <x:f>--(F592&lt;='Estimator'!$B$7)</x:f>
        <x:v>0</x:v>
      </x:c>
      <x:c r="H592" s="381" t="n">
        <x:f>SUMIFS('Climate Data'!$G$7:$G$366,'Climate Data'!$A$7:$A$366,'Estimator'!$B$4,'Climate Data'!$B$7:$B$366,C592)</x:f>
        <x:v>0.47274749721913234</x:v>
      </x:c>
      <x:c r="I592" s="382" t="n">
        <x:f>SUMIFS('Climate Data'!$H$7:$H$366,'Climate Data'!$A$7:$A$366,'Estimator'!$B$4,'Climate Data'!$B$7:$B$366,C592)</x:f>
        <x:v>7.9971764705882356</x:v>
      </x:c>
      <x:c r="J592" s="381" t="n">
        <x:f>SUMIFS('Wind Proxy'!$H$8:$H$19,'Wind Proxy'!$A$8:$A$19,'Estimator'!$B$4,'Wind Proxy'!$B$8:$B$19,C592)</x:f>
        <x:v>0.13739545997610514</x:v>
      </x:c>
    </x:row>
    <x:row r="593">
      <x:c r="A593" s="379" t="n">
        <x:v>46244</x:v>
      </x:c>
      <x:c r="B593" s="380" t="n">
        <x:v>2026</x:v>
      </x:c>
      <x:c r="C593" s="380" t="n">
        <x:v>8</x:v>
      </x:c>
      <x:c r="D593" s="380" t="str">
        <x:v>Aug</x:v>
      </x:c>
      <x:c r="E593" s="380" t="n">
        <x:v>10</x:v>
      </x:c>
      <x:c r="F593" s="380" t="n">
        <x:v>1</x:v>
      </x:c>
      <x:c r="G593" s="380" t="n">
        <x:f>--(F593&lt;='Estimator'!$B$7)</x:f>
        <x:v>1</x:v>
      </x:c>
      <x:c r="H593" s="381" t="n">
        <x:f>SUMIFS('Climate Data'!$G$7:$G$366,'Climate Data'!$A$7:$A$366,'Estimator'!$B$4,'Climate Data'!$B$7:$B$366,C593)</x:f>
        <x:v>0.47274749721913234</x:v>
      </x:c>
      <x:c r="I593" s="382" t="n">
        <x:f>SUMIFS('Climate Data'!$H$7:$H$366,'Climate Data'!$A$7:$A$366,'Estimator'!$B$4,'Climate Data'!$B$7:$B$366,C593)</x:f>
        <x:v>7.9971764705882356</x:v>
      </x:c>
      <x:c r="J593" s="381" t="n">
        <x:f>SUMIFS('Wind Proxy'!$H$8:$H$19,'Wind Proxy'!$A$8:$A$19,'Estimator'!$B$4,'Wind Proxy'!$B$8:$B$19,C593)</x:f>
        <x:v>0.13739545997610514</x:v>
      </x:c>
    </x:row>
    <x:row r="594">
      <x:c r="A594" s="379" t="n">
        <x:v>46245</x:v>
      </x:c>
      <x:c r="B594" s="380" t="n">
        <x:v>2026</x:v>
      </x:c>
      <x:c r="C594" s="380" t="n">
        <x:v>8</x:v>
      </x:c>
      <x:c r="D594" s="380" t="str">
        <x:v>Aug</x:v>
      </x:c>
      <x:c r="E594" s="380" t="n">
        <x:v>11</x:v>
      </x:c>
      <x:c r="F594" s="380" t="n">
        <x:v>2</x:v>
      </x:c>
      <x:c r="G594" s="380" t="n">
        <x:f>--(F594&lt;='Estimator'!$B$7)</x:f>
        <x:v>1</x:v>
      </x:c>
      <x:c r="H594" s="381" t="n">
        <x:f>SUMIFS('Climate Data'!$G$7:$G$366,'Climate Data'!$A$7:$A$366,'Estimator'!$B$4,'Climate Data'!$B$7:$B$366,C594)</x:f>
        <x:v>0.47274749721913234</x:v>
      </x:c>
      <x:c r="I594" s="382" t="n">
        <x:f>SUMIFS('Climate Data'!$H$7:$H$366,'Climate Data'!$A$7:$A$366,'Estimator'!$B$4,'Climate Data'!$B$7:$B$366,C594)</x:f>
        <x:v>7.9971764705882356</x:v>
      </x:c>
      <x:c r="J594" s="381" t="n">
        <x:f>SUMIFS('Wind Proxy'!$H$8:$H$19,'Wind Proxy'!$A$8:$A$19,'Estimator'!$B$4,'Wind Proxy'!$B$8:$B$19,C594)</x:f>
        <x:v>0.13739545997610514</x:v>
      </x:c>
    </x:row>
    <x:row r="595">
      <x:c r="A595" s="379" t="n">
        <x:v>46246</x:v>
      </x:c>
      <x:c r="B595" s="380" t="n">
        <x:v>2026</x:v>
      </x:c>
      <x:c r="C595" s="380" t="n">
        <x:v>8</x:v>
      </x:c>
      <x:c r="D595" s="380" t="str">
        <x:v>Aug</x:v>
      </x:c>
      <x:c r="E595" s="380" t="n">
        <x:v>12</x:v>
      </x:c>
      <x:c r="F595" s="380" t="n">
        <x:v>3</x:v>
      </x:c>
      <x:c r="G595" s="380" t="n">
        <x:f>--(F595&lt;='Estimator'!$B$7)</x:f>
        <x:v>1</x:v>
      </x:c>
      <x:c r="H595" s="381" t="n">
        <x:f>SUMIFS('Climate Data'!$G$7:$G$366,'Climate Data'!$A$7:$A$366,'Estimator'!$B$4,'Climate Data'!$B$7:$B$366,C595)</x:f>
        <x:v>0.47274749721913234</x:v>
      </x:c>
      <x:c r="I595" s="382" t="n">
        <x:f>SUMIFS('Climate Data'!$H$7:$H$366,'Climate Data'!$A$7:$A$366,'Estimator'!$B$4,'Climate Data'!$B$7:$B$366,C595)</x:f>
        <x:v>7.9971764705882356</x:v>
      </x:c>
      <x:c r="J595" s="381" t="n">
        <x:f>SUMIFS('Wind Proxy'!$H$8:$H$19,'Wind Proxy'!$A$8:$A$19,'Estimator'!$B$4,'Wind Proxy'!$B$8:$B$19,C595)</x:f>
        <x:v>0.13739545997610514</x:v>
      </x:c>
    </x:row>
    <x:row r="596">
      <x:c r="A596" s="379" t="n">
        <x:v>46247</x:v>
      </x:c>
      <x:c r="B596" s="380" t="n">
        <x:v>2026</x:v>
      </x:c>
      <x:c r="C596" s="380" t="n">
        <x:v>8</x:v>
      </x:c>
      <x:c r="D596" s="380" t="str">
        <x:v>Aug</x:v>
      </x:c>
      <x:c r="E596" s="380" t="n">
        <x:v>13</x:v>
      </x:c>
      <x:c r="F596" s="380" t="n">
        <x:v>4</x:v>
      </x:c>
      <x:c r="G596" s="380" t="n">
        <x:f>--(F596&lt;='Estimator'!$B$7)</x:f>
        <x:v>1</x:v>
      </x:c>
      <x:c r="H596" s="381" t="n">
        <x:f>SUMIFS('Climate Data'!$G$7:$G$366,'Climate Data'!$A$7:$A$366,'Estimator'!$B$4,'Climate Data'!$B$7:$B$366,C596)</x:f>
        <x:v>0.47274749721913234</x:v>
      </x:c>
      <x:c r="I596" s="382" t="n">
        <x:f>SUMIFS('Climate Data'!$H$7:$H$366,'Climate Data'!$A$7:$A$366,'Estimator'!$B$4,'Climate Data'!$B$7:$B$366,C596)</x:f>
        <x:v>7.9971764705882356</x:v>
      </x:c>
      <x:c r="J596" s="381" t="n">
        <x:f>SUMIFS('Wind Proxy'!$H$8:$H$19,'Wind Proxy'!$A$8:$A$19,'Estimator'!$B$4,'Wind Proxy'!$B$8:$B$19,C596)</x:f>
        <x:v>0.13739545997610514</x:v>
      </x:c>
    </x:row>
    <x:row r="597">
      <x:c r="A597" s="379" t="n">
        <x:v>46248</x:v>
      </x:c>
      <x:c r="B597" s="380" t="n">
        <x:v>2026</x:v>
      </x:c>
      <x:c r="C597" s="380" t="n">
        <x:v>8</x:v>
      </x:c>
      <x:c r="D597" s="380" t="str">
        <x:v>Aug</x:v>
      </x:c>
      <x:c r="E597" s="380" t="n">
        <x:v>14</x:v>
      </x:c>
      <x:c r="F597" s="380" t="n">
        <x:v>5</x:v>
      </x:c>
      <x:c r="G597" s="380" t="n">
        <x:f>--(F597&lt;='Estimator'!$B$7)</x:f>
        <x:v>1</x:v>
      </x:c>
      <x:c r="H597" s="381" t="n">
        <x:f>SUMIFS('Climate Data'!$G$7:$G$366,'Climate Data'!$A$7:$A$366,'Estimator'!$B$4,'Climate Data'!$B$7:$B$366,C597)</x:f>
        <x:v>0.47274749721913234</x:v>
      </x:c>
      <x:c r="I597" s="382" t="n">
        <x:f>SUMIFS('Climate Data'!$H$7:$H$366,'Climate Data'!$A$7:$A$366,'Estimator'!$B$4,'Climate Data'!$B$7:$B$366,C597)</x:f>
        <x:v>7.9971764705882356</x:v>
      </x:c>
      <x:c r="J597" s="381" t="n">
        <x:f>SUMIFS('Wind Proxy'!$H$8:$H$19,'Wind Proxy'!$A$8:$A$19,'Estimator'!$B$4,'Wind Proxy'!$B$8:$B$19,C597)</x:f>
        <x:v>0.13739545997610514</x:v>
      </x:c>
    </x:row>
    <x:row r="598">
      <x:c r="A598" s="379" t="n">
        <x:v>46249</x:v>
      </x:c>
      <x:c r="B598" s="380" t="n">
        <x:v>2026</x:v>
      </x:c>
      <x:c r="C598" s="380" t="n">
        <x:v>8</x:v>
      </x:c>
      <x:c r="D598" s="380" t="str">
        <x:v>Aug</x:v>
      </x:c>
      <x:c r="E598" s="380" t="n">
        <x:v>15</x:v>
      </x:c>
      <x:c r="F598" s="380" t="n">
        <x:v>6</x:v>
      </x:c>
      <x:c r="G598" s="380" t="n">
        <x:f>--(F598&lt;='Estimator'!$B$7)</x:f>
        <x:v>0</x:v>
      </x:c>
      <x:c r="H598" s="381" t="n">
        <x:f>SUMIFS('Climate Data'!$G$7:$G$366,'Climate Data'!$A$7:$A$366,'Estimator'!$B$4,'Climate Data'!$B$7:$B$366,C598)</x:f>
        <x:v>0.47274749721913234</x:v>
      </x:c>
      <x:c r="I598" s="382" t="n">
        <x:f>SUMIFS('Climate Data'!$H$7:$H$366,'Climate Data'!$A$7:$A$366,'Estimator'!$B$4,'Climate Data'!$B$7:$B$366,C598)</x:f>
        <x:v>7.9971764705882356</x:v>
      </x:c>
      <x:c r="J598" s="381" t="n">
        <x:f>SUMIFS('Wind Proxy'!$H$8:$H$19,'Wind Proxy'!$A$8:$A$19,'Estimator'!$B$4,'Wind Proxy'!$B$8:$B$19,C598)</x:f>
        <x:v>0.13739545997610514</x:v>
      </x:c>
    </x:row>
    <x:row r="599">
      <x:c r="A599" s="379" t="n">
        <x:v>46250</x:v>
      </x:c>
      <x:c r="B599" s="380" t="n">
        <x:v>2026</x:v>
      </x:c>
      <x:c r="C599" s="380" t="n">
        <x:v>8</x:v>
      </x:c>
      <x:c r="D599" s="380" t="str">
        <x:v>Aug</x:v>
      </x:c>
      <x:c r="E599" s="380" t="n">
        <x:v>16</x:v>
      </x:c>
      <x:c r="F599" s="380" t="n">
        <x:v>7</x:v>
      </x:c>
      <x:c r="G599" s="380" t="n">
        <x:f>--(F599&lt;='Estimator'!$B$7)</x:f>
        <x:v>0</x:v>
      </x:c>
      <x:c r="H599" s="381" t="n">
        <x:f>SUMIFS('Climate Data'!$G$7:$G$366,'Climate Data'!$A$7:$A$366,'Estimator'!$B$4,'Climate Data'!$B$7:$B$366,C599)</x:f>
        <x:v>0.47274749721913234</x:v>
      </x:c>
      <x:c r="I599" s="382" t="n">
        <x:f>SUMIFS('Climate Data'!$H$7:$H$366,'Climate Data'!$A$7:$A$366,'Estimator'!$B$4,'Climate Data'!$B$7:$B$366,C599)</x:f>
        <x:v>7.9971764705882356</x:v>
      </x:c>
      <x:c r="J599" s="381" t="n">
        <x:f>SUMIFS('Wind Proxy'!$H$8:$H$19,'Wind Proxy'!$A$8:$A$19,'Estimator'!$B$4,'Wind Proxy'!$B$8:$B$19,C599)</x:f>
        <x:v>0.13739545997610514</x:v>
      </x:c>
    </x:row>
    <x:row r="600">
      <x:c r="A600" s="379" t="n">
        <x:v>46251</x:v>
      </x:c>
      <x:c r="B600" s="380" t="n">
        <x:v>2026</x:v>
      </x:c>
      <x:c r="C600" s="380" t="n">
        <x:v>8</x:v>
      </x:c>
      <x:c r="D600" s="380" t="str">
        <x:v>Aug</x:v>
      </x:c>
      <x:c r="E600" s="380" t="n">
        <x:v>17</x:v>
      </x:c>
      <x:c r="F600" s="380" t="n">
        <x:v>1</x:v>
      </x:c>
      <x:c r="G600" s="380" t="n">
        <x:f>--(F600&lt;='Estimator'!$B$7)</x:f>
        <x:v>1</x:v>
      </x:c>
      <x:c r="H600" s="381" t="n">
        <x:f>SUMIFS('Climate Data'!$G$7:$G$366,'Climate Data'!$A$7:$A$366,'Estimator'!$B$4,'Climate Data'!$B$7:$B$366,C600)</x:f>
        <x:v>0.47274749721913234</x:v>
      </x:c>
      <x:c r="I600" s="382" t="n">
        <x:f>SUMIFS('Climate Data'!$H$7:$H$366,'Climate Data'!$A$7:$A$366,'Estimator'!$B$4,'Climate Data'!$B$7:$B$366,C600)</x:f>
        <x:v>7.9971764705882356</x:v>
      </x:c>
      <x:c r="J600" s="381" t="n">
        <x:f>SUMIFS('Wind Proxy'!$H$8:$H$19,'Wind Proxy'!$A$8:$A$19,'Estimator'!$B$4,'Wind Proxy'!$B$8:$B$19,C600)</x:f>
        <x:v>0.13739545997610514</x:v>
      </x:c>
    </x:row>
    <x:row r="601">
      <x:c r="A601" s="379" t="n">
        <x:v>46252</x:v>
      </x:c>
      <x:c r="B601" s="380" t="n">
        <x:v>2026</x:v>
      </x:c>
      <x:c r="C601" s="380" t="n">
        <x:v>8</x:v>
      </x:c>
      <x:c r="D601" s="380" t="str">
        <x:v>Aug</x:v>
      </x:c>
      <x:c r="E601" s="380" t="n">
        <x:v>18</x:v>
      </x:c>
      <x:c r="F601" s="380" t="n">
        <x:v>2</x:v>
      </x:c>
      <x:c r="G601" s="380" t="n">
        <x:f>--(F601&lt;='Estimator'!$B$7)</x:f>
        <x:v>1</x:v>
      </x:c>
      <x:c r="H601" s="381" t="n">
        <x:f>SUMIFS('Climate Data'!$G$7:$G$366,'Climate Data'!$A$7:$A$366,'Estimator'!$B$4,'Climate Data'!$B$7:$B$366,C601)</x:f>
        <x:v>0.47274749721913234</x:v>
      </x:c>
      <x:c r="I601" s="382" t="n">
        <x:f>SUMIFS('Climate Data'!$H$7:$H$366,'Climate Data'!$A$7:$A$366,'Estimator'!$B$4,'Climate Data'!$B$7:$B$366,C601)</x:f>
        <x:v>7.9971764705882356</x:v>
      </x:c>
      <x:c r="J601" s="381" t="n">
        <x:f>SUMIFS('Wind Proxy'!$H$8:$H$19,'Wind Proxy'!$A$8:$A$19,'Estimator'!$B$4,'Wind Proxy'!$B$8:$B$19,C601)</x:f>
        <x:v>0.13739545997610514</x:v>
      </x:c>
    </x:row>
    <x:row r="602">
      <x:c r="A602" s="379" t="n">
        <x:v>46253</x:v>
      </x:c>
      <x:c r="B602" s="380" t="n">
        <x:v>2026</x:v>
      </x:c>
      <x:c r="C602" s="380" t="n">
        <x:v>8</x:v>
      </x:c>
      <x:c r="D602" s="380" t="str">
        <x:v>Aug</x:v>
      </x:c>
      <x:c r="E602" s="380" t="n">
        <x:v>19</x:v>
      </x:c>
      <x:c r="F602" s="380" t="n">
        <x:v>3</x:v>
      </x:c>
      <x:c r="G602" s="380" t="n">
        <x:f>--(F602&lt;='Estimator'!$B$7)</x:f>
        <x:v>1</x:v>
      </x:c>
      <x:c r="H602" s="381" t="n">
        <x:f>SUMIFS('Climate Data'!$G$7:$G$366,'Climate Data'!$A$7:$A$366,'Estimator'!$B$4,'Climate Data'!$B$7:$B$366,C602)</x:f>
        <x:v>0.47274749721913234</x:v>
      </x:c>
      <x:c r="I602" s="382" t="n">
        <x:f>SUMIFS('Climate Data'!$H$7:$H$366,'Climate Data'!$A$7:$A$366,'Estimator'!$B$4,'Climate Data'!$B$7:$B$366,C602)</x:f>
        <x:v>7.9971764705882356</x:v>
      </x:c>
      <x:c r="J602" s="381" t="n">
        <x:f>SUMIFS('Wind Proxy'!$H$8:$H$19,'Wind Proxy'!$A$8:$A$19,'Estimator'!$B$4,'Wind Proxy'!$B$8:$B$19,C602)</x:f>
        <x:v>0.13739545997610514</x:v>
      </x:c>
    </x:row>
    <x:row r="603">
      <x:c r="A603" s="379" t="n">
        <x:v>46254</x:v>
      </x:c>
      <x:c r="B603" s="380" t="n">
        <x:v>2026</x:v>
      </x:c>
      <x:c r="C603" s="380" t="n">
        <x:v>8</x:v>
      </x:c>
      <x:c r="D603" s="380" t="str">
        <x:v>Aug</x:v>
      </x:c>
      <x:c r="E603" s="380" t="n">
        <x:v>20</x:v>
      </x:c>
      <x:c r="F603" s="380" t="n">
        <x:v>4</x:v>
      </x:c>
      <x:c r="G603" s="380" t="n">
        <x:f>--(F603&lt;='Estimator'!$B$7)</x:f>
        <x:v>1</x:v>
      </x:c>
      <x:c r="H603" s="381" t="n">
        <x:f>SUMIFS('Climate Data'!$G$7:$G$366,'Climate Data'!$A$7:$A$366,'Estimator'!$B$4,'Climate Data'!$B$7:$B$366,C603)</x:f>
        <x:v>0.47274749721913234</x:v>
      </x:c>
      <x:c r="I603" s="382" t="n">
        <x:f>SUMIFS('Climate Data'!$H$7:$H$366,'Climate Data'!$A$7:$A$366,'Estimator'!$B$4,'Climate Data'!$B$7:$B$366,C603)</x:f>
        <x:v>7.9971764705882356</x:v>
      </x:c>
      <x:c r="J603" s="381" t="n">
        <x:f>SUMIFS('Wind Proxy'!$H$8:$H$19,'Wind Proxy'!$A$8:$A$19,'Estimator'!$B$4,'Wind Proxy'!$B$8:$B$19,C603)</x:f>
        <x:v>0.13739545997610514</x:v>
      </x:c>
    </x:row>
    <x:row r="604">
      <x:c r="A604" s="379" t="n">
        <x:v>46255</x:v>
      </x:c>
      <x:c r="B604" s="380" t="n">
        <x:v>2026</x:v>
      </x:c>
      <x:c r="C604" s="380" t="n">
        <x:v>8</x:v>
      </x:c>
      <x:c r="D604" s="380" t="str">
        <x:v>Aug</x:v>
      </x:c>
      <x:c r="E604" s="380" t="n">
        <x:v>21</x:v>
      </x:c>
      <x:c r="F604" s="380" t="n">
        <x:v>5</x:v>
      </x:c>
      <x:c r="G604" s="380" t="n">
        <x:f>--(F604&lt;='Estimator'!$B$7)</x:f>
        <x:v>1</x:v>
      </x:c>
      <x:c r="H604" s="381" t="n">
        <x:f>SUMIFS('Climate Data'!$G$7:$G$366,'Climate Data'!$A$7:$A$366,'Estimator'!$B$4,'Climate Data'!$B$7:$B$366,C604)</x:f>
        <x:v>0.47274749721913234</x:v>
      </x:c>
      <x:c r="I604" s="382" t="n">
        <x:f>SUMIFS('Climate Data'!$H$7:$H$366,'Climate Data'!$A$7:$A$366,'Estimator'!$B$4,'Climate Data'!$B$7:$B$366,C604)</x:f>
        <x:v>7.9971764705882356</x:v>
      </x:c>
      <x:c r="J604" s="381" t="n">
        <x:f>SUMIFS('Wind Proxy'!$H$8:$H$19,'Wind Proxy'!$A$8:$A$19,'Estimator'!$B$4,'Wind Proxy'!$B$8:$B$19,C604)</x:f>
        <x:v>0.13739545997610514</x:v>
      </x:c>
    </x:row>
    <x:row r="605">
      <x:c r="A605" s="379" t="n">
        <x:v>46256</x:v>
      </x:c>
      <x:c r="B605" s="380" t="n">
        <x:v>2026</x:v>
      </x:c>
      <x:c r="C605" s="380" t="n">
        <x:v>8</x:v>
      </x:c>
      <x:c r="D605" s="380" t="str">
        <x:v>Aug</x:v>
      </x:c>
      <x:c r="E605" s="380" t="n">
        <x:v>22</x:v>
      </x:c>
      <x:c r="F605" s="380" t="n">
        <x:v>6</x:v>
      </x:c>
      <x:c r="G605" s="380" t="n">
        <x:f>--(F605&lt;='Estimator'!$B$7)</x:f>
        <x:v>0</x:v>
      </x:c>
      <x:c r="H605" s="381" t="n">
        <x:f>SUMIFS('Climate Data'!$G$7:$G$366,'Climate Data'!$A$7:$A$366,'Estimator'!$B$4,'Climate Data'!$B$7:$B$366,C605)</x:f>
        <x:v>0.47274749721913234</x:v>
      </x:c>
      <x:c r="I605" s="382" t="n">
        <x:f>SUMIFS('Climate Data'!$H$7:$H$366,'Climate Data'!$A$7:$A$366,'Estimator'!$B$4,'Climate Data'!$B$7:$B$366,C605)</x:f>
        <x:v>7.9971764705882356</x:v>
      </x:c>
      <x:c r="J605" s="381" t="n">
        <x:f>SUMIFS('Wind Proxy'!$H$8:$H$19,'Wind Proxy'!$A$8:$A$19,'Estimator'!$B$4,'Wind Proxy'!$B$8:$B$19,C605)</x:f>
        <x:v>0.13739545997610514</x:v>
      </x:c>
    </x:row>
    <x:row r="606">
      <x:c r="A606" s="379" t="n">
        <x:v>46257</x:v>
      </x:c>
      <x:c r="B606" s="380" t="n">
        <x:v>2026</x:v>
      </x:c>
      <x:c r="C606" s="380" t="n">
        <x:v>8</x:v>
      </x:c>
      <x:c r="D606" s="380" t="str">
        <x:v>Aug</x:v>
      </x:c>
      <x:c r="E606" s="380" t="n">
        <x:v>23</x:v>
      </x:c>
      <x:c r="F606" s="380" t="n">
        <x:v>7</x:v>
      </x:c>
      <x:c r="G606" s="380" t="n">
        <x:f>--(F606&lt;='Estimator'!$B$7)</x:f>
        <x:v>0</x:v>
      </x:c>
      <x:c r="H606" s="381" t="n">
        <x:f>SUMIFS('Climate Data'!$G$7:$G$366,'Climate Data'!$A$7:$A$366,'Estimator'!$B$4,'Climate Data'!$B$7:$B$366,C606)</x:f>
        <x:v>0.47274749721913234</x:v>
      </x:c>
      <x:c r="I606" s="382" t="n">
        <x:f>SUMIFS('Climate Data'!$H$7:$H$366,'Climate Data'!$A$7:$A$366,'Estimator'!$B$4,'Climate Data'!$B$7:$B$366,C606)</x:f>
        <x:v>7.9971764705882356</x:v>
      </x:c>
      <x:c r="J606" s="381" t="n">
        <x:f>SUMIFS('Wind Proxy'!$H$8:$H$19,'Wind Proxy'!$A$8:$A$19,'Estimator'!$B$4,'Wind Proxy'!$B$8:$B$19,C606)</x:f>
        <x:v>0.13739545997610514</x:v>
      </x:c>
    </x:row>
    <x:row r="607">
      <x:c r="A607" s="379" t="n">
        <x:v>46258</x:v>
      </x:c>
      <x:c r="B607" s="380" t="n">
        <x:v>2026</x:v>
      </x:c>
      <x:c r="C607" s="380" t="n">
        <x:v>8</x:v>
      </x:c>
      <x:c r="D607" s="380" t="str">
        <x:v>Aug</x:v>
      </x:c>
      <x:c r="E607" s="380" t="n">
        <x:v>24</x:v>
      </x:c>
      <x:c r="F607" s="380" t="n">
        <x:v>1</x:v>
      </x:c>
      <x:c r="G607" s="380" t="n">
        <x:f>--(F607&lt;='Estimator'!$B$7)</x:f>
        <x:v>1</x:v>
      </x:c>
      <x:c r="H607" s="381" t="n">
        <x:f>SUMIFS('Climate Data'!$G$7:$G$366,'Climate Data'!$A$7:$A$366,'Estimator'!$B$4,'Climate Data'!$B$7:$B$366,C607)</x:f>
        <x:v>0.47274749721913234</x:v>
      </x:c>
      <x:c r="I607" s="382" t="n">
        <x:f>SUMIFS('Climate Data'!$H$7:$H$366,'Climate Data'!$A$7:$A$366,'Estimator'!$B$4,'Climate Data'!$B$7:$B$366,C607)</x:f>
        <x:v>7.9971764705882356</x:v>
      </x:c>
      <x:c r="J607" s="381" t="n">
        <x:f>SUMIFS('Wind Proxy'!$H$8:$H$19,'Wind Proxy'!$A$8:$A$19,'Estimator'!$B$4,'Wind Proxy'!$B$8:$B$19,C607)</x:f>
        <x:v>0.13739545997610514</x:v>
      </x:c>
    </x:row>
    <x:row r="608">
      <x:c r="A608" s="379" t="n">
        <x:v>46259</x:v>
      </x:c>
      <x:c r="B608" s="380" t="n">
        <x:v>2026</x:v>
      </x:c>
      <x:c r="C608" s="380" t="n">
        <x:v>8</x:v>
      </x:c>
      <x:c r="D608" s="380" t="str">
        <x:v>Aug</x:v>
      </x:c>
      <x:c r="E608" s="380" t="n">
        <x:v>25</x:v>
      </x:c>
      <x:c r="F608" s="380" t="n">
        <x:v>2</x:v>
      </x:c>
      <x:c r="G608" s="380" t="n">
        <x:f>--(F608&lt;='Estimator'!$B$7)</x:f>
        <x:v>1</x:v>
      </x:c>
      <x:c r="H608" s="381" t="n">
        <x:f>SUMIFS('Climate Data'!$G$7:$G$366,'Climate Data'!$A$7:$A$366,'Estimator'!$B$4,'Climate Data'!$B$7:$B$366,C608)</x:f>
        <x:v>0.47274749721913234</x:v>
      </x:c>
      <x:c r="I608" s="382" t="n">
        <x:f>SUMIFS('Climate Data'!$H$7:$H$366,'Climate Data'!$A$7:$A$366,'Estimator'!$B$4,'Climate Data'!$B$7:$B$366,C608)</x:f>
        <x:v>7.9971764705882356</x:v>
      </x:c>
      <x:c r="J608" s="381" t="n">
        <x:f>SUMIFS('Wind Proxy'!$H$8:$H$19,'Wind Proxy'!$A$8:$A$19,'Estimator'!$B$4,'Wind Proxy'!$B$8:$B$19,C608)</x:f>
        <x:v>0.13739545997610514</x:v>
      </x:c>
    </x:row>
    <x:row r="609">
      <x:c r="A609" s="379" t="n">
        <x:v>46260</x:v>
      </x:c>
      <x:c r="B609" s="380" t="n">
        <x:v>2026</x:v>
      </x:c>
      <x:c r="C609" s="380" t="n">
        <x:v>8</x:v>
      </x:c>
      <x:c r="D609" s="380" t="str">
        <x:v>Aug</x:v>
      </x:c>
      <x:c r="E609" s="380" t="n">
        <x:v>26</x:v>
      </x:c>
      <x:c r="F609" s="380" t="n">
        <x:v>3</x:v>
      </x:c>
      <x:c r="G609" s="380" t="n">
        <x:f>--(F609&lt;='Estimator'!$B$7)</x:f>
        <x:v>1</x:v>
      </x:c>
      <x:c r="H609" s="381" t="n">
        <x:f>SUMIFS('Climate Data'!$G$7:$G$366,'Climate Data'!$A$7:$A$366,'Estimator'!$B$4,'Climate Data'!$B$7:$B$366,C609)</x:f>
        <x:v>0.47274749721913234</x:v>
      </x:c>
      <x:c r="I609" s="382" t="n">
        <x:f>SUMIFS('Climate Data'!$H$7:$H$366,'Climate Data'!$A$7:$A$366,'Estimator'!$B$4,'Climate Data'!$B$7:$B$366,C609)</x:f>
        <x:v>7.9971764705882356</x:v>
      </x:c>
      <x:c r="J609" s="381" t="n">
        <x:f>SUMIFS('Wind Proxy'!$H$8:$H$19,'Wind Proxy'!$A$8:$A$19,'Estimator'!$B$4,'Wind Proxy'!$B$8:$B$19,C609)</x:f>
        <x:v>0.13739545997610514</x:v>
      </x:c>
    </x:row>
    <x:row r="610">
      <x:c r="A610" s="379" t="n">
        <x:v>46261</x:v>
      </x:c>
      <x:c r="B610" s="380" t="n">
        <x:v>2026</x:v>
      </x:c>
      <x:c r="C610" s="380" t="n">
        <x:v>8</x:v>
      </x:c>
      <x:c r="D610" s="380" t="str">
        <x:v>Aug</x:v>
      </x:c>
      <x:c r="E610" s="380" t="n">
        <x:v>27</x:v>
      </x:c>
      <x:c r="F610" s="380" t="n">
        <x:v>4</x:v>
      </x:c>
      <x:c r="G610" s="380" t="n">
        <x:f>--(F610&lt;='Estimator'!$B$7)</x:f>
        <x:v>1</x:v>
      </x:c>
      <x:c r="H610" s="381" t="n">
        <x:f>SUMIFS('Climate Data'!$G$7:$G$366,'Climate Data'!$A$7:$A$366,'Estimator'!$B$4,'Climate Data'!$B$7:$B$366,C610)</x:f>
        <x:v>0.47274749721913234</x:v>
      </x:c>
      <x:c r="I610" s="382" t="n">
        <x:f>SUMIFS('Climate Data'!$H$7:$H$366,'Climate Data'!$A$7:$A$366,'Estimator'!$B$4,'Climate Data'!$B$7:$B$366,C610)</x:f>
        <x:v>7.9971764705882356</x:v>
      </x:c>
      <x:c r="J610" s="381" t="n">
        <x:f>SUMIFS('Wind Proxy'!$H$8:$H$19,'Wind Proxy'!$A$8:$A$19,'Estimator'!$B$4,'Wind Proxy'!$B$8:$B$19,C610)</x:f>
        <x:v>0.13739545997610514</x:v>
      </x:c>
    </x:row>
    <x:row r="611">
      <x:c r="A611" s="379" t="n">
        <x:v>46262</x:v>
      </x:c>
      <x:c r="B611" s="380" t="n">
        <x:v>2026</x:v>
      </x:c>
      <x:c r="C611" s="380" t="n">
        <x:v>8</x:v>
      </x:c>
      <x:c r="D611" s="380" t="str">
        <x:v>Aug</x:v>
      </x:c>
      <x:c r="E611" s="380" t="n">
        <x:v>28</x:v>
      </x:c>
      <x:c r="F611" s="380" t="n">
        <x:v>5</x:v>
      </x:c>
      <x:c r="G611" s="380" t="n">
        <x:f>--(F611&lt;='Estimator'!$B$7)</x:f>
        <x:v>1</x:v>
      </x:c>
      <x:c r="H611" s="381" t="n">
        <x:f>SUMIFS('Climate Data'!$G$7:$G$366,'Climate Data'!$A$7:$A$366,'Estimator'!$B$4,'Climate Data'!$B$7:$B$366,C611)</x:f>
        <x:v>0.47274749721913234</x:v>
      </x:c>
      <x:c r="I611" s="382" t="n">
        <x:f>SUMIFS('Climate Data'!$H$7:$H$366,'Climate Data'!$A$7:$A$366,'Estimator'!$B$4,'Climate Data'!$B$7:$B$366,C611)</x:f>
        <x:v>7.9971764705882356</x:v>
      </x:c>
      <x:c r="J611" s="381" t="n">
        <x:f>SUMIFS('Wind Proxy'!$H$8:$H$19,'Wind Proxy'!$A$8:$A$19,'Estimator'!$B$4,'Wind Proxy'!$B$8:$B$19,C611)</x:f>
        <x:v>0.13739545997610514</x:v>
      </x:c>
    </x:row>
    <x:row r="612">
      <x:c r="A612" s="379" t="n">
        <x:v>46263</x:v>
      </x:c>
      <x:c r="B612" s="380" t="n">
        <x:v>2026</x:v>
      </x:c>
      <x:c r="C612" s="380" t="n">
        <x:v>8</x:v>
      </x:c>
      <x:c r="D612" s="380" t="str">
        <x:v>Aug</x:v>
      </x:c>
      <x:c r="E612" s="380" t="n">
        <x:v>29</x:v>
      </x:c>
      <x:c r="F612" s="380" t="n">
        <x:v>6</x:v>
      </x:c>
      <x:c r="G612" s="380" t="n">
        <x:f>--(F612&lt;='Estimator'!$B$7)</x:f>
        <x:v>0</x:v>
      </x:c>
      <x:c r="H612" s="381" t="n">
        <x:f>SUMIFS('Climate Data'!$G$7:$G$366,'Climate Data'!$A$7:$A$366,'Estimator'!$B$4,'Climate Data'!$B$7:$B$366,C612)</x:f>
        <x:v>0.47274749721913234</x:v>
      </x:c>
      <x:c r="I612" s="382" t="n">
        <x:f>SUMIFS('Climate Data'!$H$7:$H$366,'Climate Data'!$A$7:$A$366,'Estimator'!$B$4,'Climate Data'!$B$7:$B$366,C612)</x:f>
        <x:v>7.9971764705882356</x:v>
      </x:c>
      <x:c r="J612" s="381" t="n">
        <x:f>SUMIFS('Wind Proxy'!$H$8:$H$19,'Wind Proxy'!$A$8:$A$19,'Estimator'!$B$4,'Wind Proxy'!$B$8:$B$19,C612)</x:f>
        <x:v>0.13739545997610514</x:v>
      </x:c>
    </x:row>
    <x:row r="613">
      <x:c r="A613" s="379" t="n">
        <x:v>46264</x:v>
      </x:c>
      <x:c r="B613" s="380" t="n">
        <x:v>2026</x:v>
      </x:c>
      <x:c r="C613" s="380" t="n">
        <x:v>8</x:v>
      </x:c>
      <x:c r="D613" s="380" t="str">
        <x:v>Aug</x:v>
      </x:c>
      <x:c r="E613" s="380" t="n">
        <x:v>30</x:v>
      </x:c>
      <x:c r="F613" s="380" t="n">
        <x:v>7</x:v>
      </x:c>
      <x:c r="G613" s="380" t="n">
        <x:f>--(F613&lt;='Estimator'!$B$7)</x:f>
        <x:v>0</x:v>
      </x:c>
      <x:c r="H613" s="381" t="n">
        <x:f>SUMIFS('Climate Data'!$G$7:$G$366,'Climate Data'!$A$7:$A$366,'Estimator'!$B$4,'Climate Data'!$B$7:$B$366,C613)</x:f>
        <x:v>0.47274749721913234</x:v>
      </x:c>
      <x:c r="I613" s="382" t="n">
        <x:f>SUMIFS('Climate Data'!$H$7:$H$366,'Climate Data'!$A$7:$A$366,'Estimator'!$B$4,'Climate Data'!$B$7:$B$366,C613)</x:f>
        <x:v>7.9971764705882356</x:v>
      </x:c>
      <x:c r="J613" s="381" t="n">
        <x:f>SUMIFS('Wind Proxy'!$H$8:$H$19,'Wind Proxy'!$A$8:$A$19,'Estimator'!$B$4,'Wind Proxy'!$B$8:$B$19,C613)</x:f>
        <x:v>0.13739545997610514</x:v>
      </x:c>
    </x:row>
    <x:row r="614">
      <x:c r="A614" s="379" t="n">
        <x:v>46265</x:v>
      </x:c>
      <x:c r="B614" s="380" t="n">
        <x:v>2026</x:v>
      </x:c>
      <x:c r="C614" s="380" t="n">
        <x:v>8</x:v>
      </x:c>
      <x:c r="D614" s="380" t="str">
        <x:v>Aug</x:v>
      </x:c>
      <x:c r="E614" s="380" t="n">
        <x:v>31</x:v>
      </x:c>
      <x:c r="F614" s="380" t="n">
        <x:v>1</x:v>
      </x:c>
      <x:c r="G614" s="380" t="n">
        <x:f>--(F614&lt;='Estimator'!$B$7)</x:f>
        <x:v>1</x:v>
      </x:c>
      <x:c r="H614" s="381" t="n">
        <x:f>SUMIFS('Climate Data'!$G$7:$G$366,'Climate Data'!$A$7:$A$366,'Estimator'!$B$4,'Climate Data'!$B$7:$B$366,C614)</x:f>
        <x:v>0.47274749721913234</x:v>
      </x:c>
      <x:c r="I614" s="382" t="n">
        <x:f>SUMIFS('Climate Data'!$H$7:$H$366,'Climate Data'!$A$7:$A$366,'Estimator'!$B$4,'Climate Data'!$B$7:$B$366,C614)</x:f>
        <x:v>7.9971764705882356</x:v>
      </x:c>
      <x:c r="J614" s="381" t="n">
        <x:f>SUMIFS('Wind Proxy'!$H$8:$H$19,'Wind Proxy'!$A$8:$A$19,'Estimator'!$B$4,'Wind Proxy'!$B$8:$B$19,C614)</x:f>
        <x:v>0.13739545997610514</x:v>
      </x:c>
    </x:row>
    <x:row r="615">
      <x:c r="A615" s="379" t="n">
        <x:v>46266</x:v>
      </x:c>
      <x:c r="B615" s="380" t="n">
        <x:v>2026</x:v>
      </x:c>
      <x:c r="C615" s="380" t="n">
        <x:v>9</x:v>
      </x:c>
      <x:c r="D615" s="380" t="str">
        <x:v>Sep</x:v>
      </x:c>
      <x:c r="E615" s="380" t="n">
        <x:v>1</x:v>
      </x:c>
      <x:c r="F615" s="380" t="n">
        <x:v>2</x:v>
      </x:c>
      <x:c r="G615" s="380" t="n">
        <x:f>--(F615&lt;='Estimator'!$B$7)</x:f>
        <x:v>1</x:v>
      </x:c>
      <x:c r="H615" s="381" t="n">
        <x:f>SUMIFS('Climate Data'!$G$7:$G$366,'Climate Data'!$A$7:$A$366,'Estimator'!$B$4,'Climate Data'!$B$7:$B$366,C615)</x:f>
        <x:v>0.4160919540229885</x:v>
      </x:c>
      <x:c r="I615" s="382" t="n">
        <x:f>SUMIFS('Climate Data'!$H$7:$H$366,'Climate Data'!$A$7:$A$366,'Estimator'!$B$4,'Climate Data'!$B$7:$B$366,C615)</x:f>
        <x:v>8.019060773480662</x:v>
      </x:c>
      <x:c r="J615" s="381" t="n">
        <x:f>SUMIFS('Wind Proxy'!$H$8:$H$19,'Wind Proxy'!$A$8:$A$19,'Estimator'!$B$4,'Wind Proxy'!$B$8:$B$19,C615)</x:f>
        <x:v>0.22222222222222224</x:v>
      </x:c>
    </x:row>
    <x:row r="616">
      <x:c r="A616" s="379" t="n">
        <x:v>46267</x:v>
      </x:c>
      <x:c r="B616" s="380" t="n">
        <x:v>2026</x:v>
      </x:c>
      <x:c r="C616" s="380" t="n">
        <x:v>9</x:v>
      </x:c>
      <x:c r="D616" s="380" t="str">
        <x:v>Sep</x:v>
      </x:c>
      <x:c r="E616" s="380" t="n">
        <x:v>2</x:v>
      </x:c>
      <x:c r="F616" s="380" t="n">
        <x:v>3</x:v>
      </x:c>
      <x:c r="G616" s="380" t="n">
        <x:f>--(F616&lt;='Estimator'!$B$7)</x:f>
        <x:v>1</x:v>
      </x:c>
      <x:c r="H616" s="381" t="n">
        <x:f>SUMIFS('Climate Data'!$G$7:$G$366,'Climate Data'!$A$7:$A$366,'Estimator'!$B$4,'Climate Data'!$B$7:$B$366,C616)</x:f>
        <x:v>0.4160919540229885</x:v>
      </x:c>
      <x:c r="I616" s="382" t="n">
        <x:f>SUMIFS('Climate Data'!$H$7:$H$366,'Climate Data'!$A$7:$A$366,'Estimator'!$B$4,'Climate Data'!$B$7:$B$366,C616)</x:f>
        <x:v>8.019060773480662</x:v>
      </x:c>
      <x:c r="J616" s="381" t="n">
        <x:f>SUMIFS('Wind Proxy'!$H$8:$H$19,'Wind Proxy'!$A$8:$A$19,'Estimator'!$B$4,'Wind Proxy'!$B$8:$B$19,C616)</x:f>
        <x:v>0.22222222222222224</x:v>
      </x:c>
    </x:row>
    <x:row r="617">
      <x:c r="A617" s="379" t="n">
        <x:v>46268</x:v>
      </x:c>
      <x:c r="B617" s="380" t="n">
        <x:v>2026</x:v>
      </x:c>
      <x:c r="C617" s="380" t="n">
        <x:v>9</x:v>
      </x:c>
      <x:c r="D617" s="380" t="str">
        <x:v>Sep</x:v>
      </x:c>
      <x:c r="E617" s="380" t="n">
        <x:v>3</x:v>
      </x:c>
      <x:c r="F617" s="380" t="n">
        <x:v>4</x:v>
      </x:c>
      <x:c r="G617" s="380" t="n">
        <x:f>--(F617&lt;='Estimator'!$B$7)</x:f>
        <x:v>1</x:v>
      </x:c>
      <x:c r="H617" s="381" t="n">
        <x:f>SUMIFS('Climate Data'!$G$7:$G$366,'Climate Data'!$A$7:$A$366,'Estimator'!$B$4,'Climate Data'!$B$7:$B$366,C617)</x:f>
        <x:v>0.4160919540229885</x:v>
      </x:c>
      <x:c r="I617" s="382" t="n">
        <x:f>SUMIFS('Climate Data'!$H$7:$H$366,'Climate Data'!$A$7:$A$366,'Estimator'!$B$4,'Climate Data'!$B$7:$B$366,C617)</x:f>
        <x:v>8.019060773480662</x:v>
      </x:c>
      <x:c r="J617" s="381" t="n">
        <x:f>SUMIFS('Wind Proxy'!$H$8:$H$19,'Wind Proxy'!$A$8:$A$19,'Estimator'!$B$4,'Wind Proxy'!$B$8:$B$19,C617)</x:f>
        <x:v>0.22222222222222224</x:v>
      </x:c>
    </x:row>
    <x:row r="618">
      <x:c r="A618" s="379" t="n">
        <x:v>46269</x:v>
      </x:c>
      <x:c r="B618" s="380" t="n">
        <x:v>2026</x:v>
      </x:c>
      <x:c r="C618" s="380" t="n">
        <x:v>9</x:v>
      </x:c>
      <x:c r="D618" s="380" t="str">
        <x:v>Sep</x:v>
      </x:c>
      <x:c r="E618" s="380" t="n">
        <x:v>4</x:v>
      </x:c>
      <x:c r="F618" s="380" t="n">
        <x:v>5</x:v>
      </x:c>
      <x:c r="G618" s="380" t="n">
        <x:f>--(F618&lt;='Estimator'!$B$7)</x:f>
        <x:v>1</x:v>
      </x:c>
      <x:c r="H618" s="381" t="n">
        <x:f>SUMIFS('Climate Data'!$G$7:$G$366,'Climate Data'!$A$7:$A$366,'Estimator'!$B$4,'Climate Data'!$B$7:$B$366,C618)</x:f>
        <x:v>0.4160919540229885</x:v>
      </x:c>
      <x:c r="I618" s="382" t="n">
        <x:f>SUMIFS('Climate Data'!$H$7:$H$366,'Climate Data'!$A$7:$A$366,'Estimator'!$B$4,'Climate Data'!$B$7:$B$366,C618)</x:f>
        <x:v>8.019060773480662</x:v>
      </x:c>
      <x:c r="J618" s="381" t="n">
        <x:f>SUMIFS('Wind Proxy'!$H$8:$H$19,'Wind Proxy'!$A$8:$A$19,'Estimator'!$B$4,'Wind Proxy'!$B$8:$B$19,C618)</x:f>
        <x:v>0.22222222222222224</x:v>
      </x:c>
    </x:row>
    <x:row r="619">
      <x:c r="A619" s="379" t="n">
        <x:v>46270</x:v>
      </x:c>
      <x:c r="B619" s="380" t="n">
        <x:v>2026</x:v>
      </x:c>
      <x:c r="C619" s="380" t="n">
        <x:v>9</x:v>
      </x:c>
      <x:c r="D619" s="380" t="str">
        <x:v>Sep</x:v>
      </x:c>
      <x:c r="E619" s="380" t="n">
        <x:v>5</x:v>
      </x:c>
      <x:c r="F619" s="380" t="n">
        <x:v>6</x:v>
      </x:c>
      <x:c r="G619" s="380" t="n">
        <x:f>--(F619&lt;='Estimator'!$B$7)</x:f>
        <x:v>0</x:v>
      </x:c>
      <x:c r="H619" s="381" t="n">
        <x:f>SUMIFS('Climate Data'!$G$7:$G$366,'Climate Data'!$A$7:$A$366,'Estimator'!$B$4,'Climate Data'!$B$7:$B$366,C619)</x:f>
        <x:v>0.4160919540229885</x:v>
      </x:c>
      <x:c r="I619" s="382" t="n">
        <x:f>SUMIFS('Climate Data'!$H$7:$H$366,'Climate Data'!$A$7:$A$366,'Estimator'!$B$4,'Climate Data'!$B$7:$B$366,C619)</x:f>
        <x:v>8.019060773480662</x:v>
      </x:c>
      <x:c r="J619" s="381" t="n">
        <x:f>SUMIFS('Wind Proxy'!$H$8:$H$19,'Wind Proxy'!$A$8:$A$19,'Estimator'!$B$4,'Wind Proxy'!$B$8:$B$19,C619)</x:f>
        <x:v>0.22222222222222224</x:v>
      </x:c>
    </x:row>
    <x:row r="620">
      <x:c r="A620" s="379" t="n">
        <x:v>46271</x:v>
      </x:c>
      <x:c r="B620" s="380" t="n">
        <x:v>2026</x:v>
      </x:c>
      <x:c r="C620" s="380" t="n">
        <x:v>9</x:v>
      </x:c>
      <x:c r="D620" s="380" t="str">
        <x:v>Sep</x:v>
      </x:c>
      <x:c r="E620" s="380" t="n">
        <x:v>6</x:v>
      </x:c>
      <x:c r="F620" s="380" t="n">
        <x:v>7</x:v>
      </x:c>
      <x:c r="G620" s="380" t="n">
        <x:f>--(F620&lt;='Estimator'!$B$7)</x:f>
        <x:v>0</x:v>
      </x:c>
      <x:c r="H620" s="381" t="n">
        <x:f>SUMIFS('Climate Data'!$G$7:$G$366,'Climate Data'!$A$7:$A$366,'Estimator'!$B$4,'Climate Data'!$B$7:$B$366,C620)</x:f>
        <x:v>0.4160919540229885</x:v>
      </x:c>
      <x:c r="I620" s="382" t="n">
        <x:f>SUMIFS('Climate Data'!$H$7:$H$366,'Climate Data'!$A$7:$A$366,'Estimator'!$B$4,'Climate Data'!$B$7:$B$366,C620)</x:f>
        <x:v>8.019060773480662</x:v>
      </x:c>
      <x:c r="J620" s="381" t="n">
        <x:f>SUMIFS('Wind Proxy'!$H$8:$H$19,'Wind Proxy'!$A$8:$A$19,'Estimator'!$B$4,'Wind Proxy'!$B$8:$B$19,C620)</x:f>
        <x:v>0.22222222222222224</x:v>
      </x:c>
    </x:row>
    <x:row r="621">
      <x:c r="A621" s="379" t="n">
        <x:v>46272</x:v>
      </x:c>
      <x:c r="B621" s="380" t="n">
        <x:v>2026</x:v>
      </x:c>
      <x:c r="C621" s="380" t="n">
        <x:v>9</x:v>
      </x:c>
      <x:c r="D621" s="380" t="str">
        <x:v>Sep</x:v>
      </x:c>
      <x:c r="E621" s="380" t="n">
        <x:v>7</x:v>
      </x:c>
      <x:c r="F621" s="380" t="n">
        <x:v>1</x:v>
      </x:c>
      <x:c r="G621" s="380" t="n">
        <x:f>--(F621&lt;='Estimator'!$B$7)</x:f>
        <x:v>1</x:v>
      </x:c>
      <x:c r="H621" s="381" t="n">
        <x:f>SUMIFS('Climate Data'!$G$7:$G$366,'Climate Data'!$A$7:$A$366,'Estimator'!$B$4,'Climate Data'!$B$7:$B$366,C621)</x:f>
        <x:v>0.4160919540229885</x:v>
      </x:c>
      <x:c r="I621" s="382" t="n">
        <x:f>SUMIFS('Climate Data'!$H$7:$H$366,'Climate Data'!$A$7:$A$366,'Estimator'!$B$4,'Climate Data'!$B$7:$B$366,C621)</x:f>
        <x:v>8.019060773480662</x:v>
      </x:c>
      <x:c r="J621" s="381" t="n">
        <x:f>SUMIFS('Wind Proxy'!$H$8:$H$19,'Wind Proxy'!$A$8:$A$19,'Estimator'!$B$4,'Wind Proxy'!$B$8:$B$19,C621)</x:f>
        <x:v>0.22222222222222224</x:v>
      </x:c>
    </x:row>
    <x:row r="622">
      <x:c r="A622" s="379" t="n">
        <x:v>46273</x:v>
      </x:c>
      <x:c r="B622" s="380" t="n">
        <x:v>2026</x:v>
      </x:c>
      <x:c r="C622" s="380" t="n">
        <x:v>9</x:v>
      </x:c>
      <x:c r="D622" s="380" t="str">
        <x:v>Sep</x:v>
      </x:c>
      <x:c r="E622" s="380" t="n">
        <x:v>8</x:v>
      </x:c>
      <x:c r="F622" s="380" t="n">
        <x:v>2</x:v>
      </x:c>
      <x:c r="G622" s="380" t="n">
        <x:f>--(F622&lt;='Estimator'!$B$7)</x:f>
        <x:v>1</x:v>
      </x:c>
      <x:c r="H622" s="381" t="n">
        <x:f>SUMIFS('Climate Data'!$G$7:$G$366,'Climate Data'!$A$7:$A$366,'Estimator'!$B$4,'Climate Data'!$B$7:$B$366,C622)</x:f>
        <x:v>0.4160919540229885</x:v>
      </x:c>
      <x:c r="I622" s="382" t="n">
        <x:f>SUMIFS('Climate Data'!$H$7:$H$366,'Climate Data'!$A$7:$A$366,'Estimator'!$B$4,'Climate Data'!$B$7:$B$366,C622)</x:f>
        <x:v>8.019060773480662</x:v>
      </x:c>
      <x:c r="J622" s="381" t="n">
        <x:f>SUMIFS('Wind Proxy'!$H$8:$H$19,'Wind Proxy'!$A$8:$A$19,'Estimator'!$B$4,'Wind Proxy'!$B$8:$B$19,C622)</x:f>
        <x:v>0.22222222222222224</x:v>
      </x:c>
    </x:row>
    <x:row r="623">
      <x:c r="A623" s="379" t="n">
        <x:v>46274</x:v>
      </x:c>
      <x:c r="B623" s="380" t="n">
        <x:v>2026</x:v>
      </x:c>
      <x:c r="C623" s="380" t="n">
        <x:v>9</x:v>
      </x:c>
      <x:c r="D623" s="380" t="str">
        <x:v>Sep</x:v>
      </x:c>
      <x:c r="E623" s="380" t="n">
        <x:v>9</x:v>
      </x:c>
      <x:c r="F623" s="380" t="n">
        <x:v>3</x:v>
      </x:c>
      <x:c r="G623" s="380" t="n">
        <x:f>--(F623&lt;='Estimator'!$B$7)</x:f>
        <x:v>1</x:v>
      </x:c>
      <x:c r="H623" s="381" t="n">
        <x:f>SUMIFS('Climate Data'!$G$7:$G$366,'Climate Data'!$A$7:$A$366,'Estimator'!$B$4,'Climate Data'!$B$7:$B$366,C623)</x:f>
        <x:v>0.4160919540229885</x:v>
      </x:c>
      <x:c r="I623" s="382" t="n">
        <x:f>SUMIFS('Climate Data'!$H$7:$H$366,'Climate Data'!$A$7:$A$366,'Estimator'!$B$4,'Climate Data'!$B$7:$B$366,C623)</x:f>
        <x:v>8.019060773480662</x:v>
      </x:c>
      <x:c r="J623" s="381" t="n">
        <x:f>SUMIFS('Wind Proxy'!$H$8:$H$19,'Wind Proxy'!$A$8:$A$19,'Estimator'!$B$4,'Wind Proxy'!$B$8:$B$19,C623)</x:f>
        <x:v>0.22222222222222224</x:v>
      </x:c>
    </x:row>
    <x:row r="624">
      <x:c r="A624" s="379" t="n">
        <x:v>46275</x:v>
      </x:c>
      <x:c r="B624" s="380" t="n">
        <x:v>2026</x:v>
      </x:c>
      <x:c r="C624" s="380" t="n">
        <x:v>9</x:v>
      </x:c>
      <x:c r="D624" s="380" t="str">
        <x:v>Sep</x:v>
      </x:c>
      <x:c r="E624" s="380" t="n">
        <x:v>10</x:v>
      </x:c>
      <x:c r="F624" s="380" t="n">
        <x:v>4</x:v>
      </x:c>
      <x:c r="G624" s="380" t="n">
        <x:f>--(F624&lt;='Estimator'!$B$7)</x:f>
        <x:v>1</x:v>
      </x:c>
      <x:c r="H624" s="381" t="n">
        <x:f>SUMIFS('Climate Data'!$G$7:$G$366,'Climate Data'!$A$7:$A$366,'Estimator'!$B$4,'Climate Data'!$B$7:$B$366,C624)</x:f>
        <x:v>0.4160919540229885</x:v>
      </x:c>
      <x:c r="I624" s="382" t="n">
        <x:f>SUMIFS('Climate Data'!$H$7:$H$366,'Climate Data'!$A$7:$A$366,'Estimator'!$B$4,'Climate Data'!$B$7:$B$366,C624)</x:f>
        <x:v>8.019060773480662</x:v>
      </x:c>
      <x:c r="J624" s="381" t="n">
        <x:f>SUMIFS('Wind Proxy'!$H$8:$H$19,'Wind Proxy'!$A$8:$A$19,'Estimator'!$B$4,'Wind Proxy'!$B$8:$B$19,C624)</x:f>
        <x:v>0.22222222222222224</x:v>
      </x:c>
    </x:row>
    <x:row r="625">
      <x:c r="A625" s="379" t="n">
        <x:v>46276</x:v>
      </x:c>
      <x:c r="B625" s="380" t="n">
        <x:v>2026</x:v>
      </x:c>
      <x:c r="C625" s="380" t="n">
        <x:v>9</x:v>
      </x:c>
      <x:c r="D625" s="380" t="str">
        <x:v>Sep</x:v>
      </x:c>
      <x:c r="E625" s="380" t="n">
        <x:v>11</x:v>
      </x:c>
      <x:c r="F625" s="380" t="n">
        <x:v>5</x:v>
      </x:c>
      <x:c r="G625" s="380" t="n">
        <x:f>--(F625&lt;='Estimator'!$B$7)</x:f>
        <x:v>1</x:v>
      </x:c>
      <x:c r="H625" s="381" t="n">
        <x:f>SUMIFS('Climate Data'!$G$7:$G$366,'Climate Data'!$A$7:$A$366,'Estimator'!$B$4,'Climate Data'!$B$7:$B$366,C625)</x:f>
        <x:v>0.4160919540229885</x:v>
      </x:c>
      <x:c r="I625" s="382" t="n">
        <x:f>SUMIFS('Climate Data'!$H$7:$H$366,'Climate Data'!$A$7:$A$366,'Estimator'!$B$4,'Climate Data'!$B$7:$B$366,C625)</x:f>
        <x:v>8.019060773480662</x:v>
      </x:c>
      <x:c r="J625" s="381" t="n">
        <x:f>SUMIFS('Wind Proxy'!$H$8:$H$19,'Wind Proxy'!$A$8:$A$19,'Estimator'!$B$4,'Wind Proxy'!$B$8:$B$19,C625)</x:f>
        <x:v>0.22222222222222224</x:v>
      </x:c>
    </x:row>
    <x:row r="626">
      <x:c r="A626" s="379" t="n">
        <x:v>46277</x:v>
      </x:c>
      <x:c r="B626" s="380" t="n">
        <x:v>2026</x:v>
      </x:c>
      <x:c r="C626" s="380" t="n">
        <x:v>9</x:v>
      </x:c>
      <x:c r="D626" s="380" t="str">
        <x:v>Sep</x:v>
      </x:c>
      <x:c r="E626" s="380" t="n">
        <x:v>12</x:v>
      </x:c>
      <x:c r="F626" s="380" t="n">
        <x:v>6</x:v>
      </x:c>
      <x:c r="G626" s="380" t="n">
        <x:f>--(F626&lt;='Estimator'!$B$7)</x:f>
        <x:v>0</x:v>
      </x:c>
      <x:c r="H626" s="381" t="n">
        <x:f>SUMIFS('Climate Data'!$G$7:$G$366,'Climate Data'!$A$7:$A$366,'Estimator'!$B$4,'Climate Data'!$B$7:$B$366,C626)</x:f>
        <x:v>0.4160919540229885</x:v>
      </x:c>
      <x:c r="I626" s="382" t="n">
        <x:f>SUMIFS('Climate Data'!$H$7:$H$366,'Climate Data'!$A$7:$A$366,'Estimator'!$B$4,'Climate Data'!$B$7:$B$366,C626)</x:f>
        <x:v>8.019060773480662</x:v>
      </x:c>
      <x:c r="J626" s="381" t="n">
        <x:f>SUMIFS('Wind Proxy'!$H$8:$H$19,'Wind Proxy'!$A$8:$A$19,'Estimator'!$B$4,'Wind Proxy'!$B$8:$B$19,C626)</x:f>
        <x:v>0.22222222222222224</x:v>
      </x:c>
    </x:row>
    <x:row r="627">
      <x:c r="A627" s="379" t="n">
        <x:v>46278</x:v>
      </x:c>
      <x:c r="B627" s="380" t="n">
        <x:v>2026</x:v>
      </x:c>
      <x:c r="C627" s="380" t="n">
        <x:v>9</x:v>
      </x:c>
      <x:c r="D627" s="380" t="str">
        <x:v>Sep</x:v>
      </x:c>
      <x:c r="E627" s="380" t="n">
        <x:v>13</x:v>
      </x:c>
      <x:c r="F627" s="380" t="n">
        <x:v>7</x:v>
      </x:c>
      <x:c r="G627" s="380" t="n">
        <x:f>--(F627&lt;='Estimator'!$B$7)</x:f>
        <x:v>0</x:v>
      </x:c>
      <x:c r="H627" s="381" t="n">
        <x:f>SUMIFS('Climate Data'!$G$7:$G$366,'Climate Data'!$A$7:$A$366,'Estimator'!$B$4,'Climate Data'!$B$7:$B$366,C627)</x:f>
        <x:v>0.4160919540229885</x:v>
      </x:c>
      <x:c r="I627" s="382" t="n">
        <x:f>SUMIFS('Climate Data'!$H$7:$H$366,'Climate Data'!$A$7:$A$366,'Estimator'!$B$4,'Climate Data'!$B$7:$B$366,C627)</x:f>
        <x:v>8.019060773480662</x:v>
      </x:c>
      <x:c r="J627" s="381" t="n">
        <x:f>SUMIFS('Wind Proxy'!$H$8:$H$19,'Wind Proxy'!$A$8:$A$19,'Estimator'!$B$4,'Wind Proxy'!$B$8:$B$19,C627)</x:f>
        <x:v>0.22222222222222224</x:v>
      </x:c>
    </x:row>
    <x:row r="628">
      <x:c r="A628" s="379" t="n">
        <x:v>46279</x:v>
      </x:c>
      <x:c r="B628" s="380" t="n">
        <x:v>2026</x:v>
      </x:c>
      <x:c r="C628" s="380" t="n">
        <x:v>9</x:v>
      </x:c>
      <x:c r="D628" s="380" t="str">
        <x:v>Sep</x:v>
      </x:c>
      <x:c r="E628" s="380" t="n">
        <x:v>14</x:v>
      </x:c>
      <x:c r="F628" s="380" t="n">
        <x:v>1</x:v>
      </x:c>
      <x:c r="G628" s="380" t="n">
        <x:f>--(F628&lt;='Estimator'!$B$7)</x:f>
        <x:v>1</x:v>
      </x:c>
      <x:c r="H628" s="381" t="n">
        <x:f>SUMIFS('Climate Data'!$G$7:$G$366,'Climate Data'!$A$7:$A$366,'Estimator'!$B$4,'Climate Data'!$B$7:$B$366,C628)</x:f>
        <x:v>0.4160919540229885</x:v>
      </x:c>
      <x:c r="I628" s="382" t="n">
        <x:f>SUMIFS('Climate Data'!$H$7:$H$366,'Climate Data'!$A$7:$A$366,'Estimator'!$B$4,'Climate Data'!$B$7:$B$366,C628)</x:f>
        <x:v>8.019060773480662</x:v>
      </x:c>
      <x:c r="J628" s="381" t="n">
        <x:f>SUMIFS('Wind Proxy'!$H$8:$H$19,'Wind Proxy'!$A$8:$A$19,'Estimator'!$B$4,'Wind Proxy'!$B$8:$B$19,C628)</x:f>
        <x:v>0.22222222222222224</x:v>
      </x:c>
    </x:row>
    <x:row r="629">
      <x:c r="A629" s="379" t="n">
        <x:v>46280</x:v>
      </x:c>
      <x:c r="B629" s="380" t="n">
        <x:v>2026</x:v>
      </x:c>
      <x:c r="C629" s="380" t="n">
        <x:v>9</x:v>
      </x:c>
      <x:c r="D629" s="380" t="str">
        <x:v>Sep</x:v>
      </x:c>
      <x:c r="E629" s="380" t="n">
        <x:v>15</x:v>
      </x:c>
      <x:c r="F629" s="380" t="n">
        <x:v>2</x:v>
      </x:c>
      <x:c r="G629" s="380" t="n">
        <x:f>--(F629&lt;='Estimator'!$B$7)</x:f>
        <x:v>1</x:v>
      </x:c>
      <x:c r="H629" s="381" t="n">
        <x:f>SUMIFS('Climate Data'!$G$7:$G$366,'Climate Data'!$A$7:$A$366,'Estimator'!$B$4,'Climate Data'!$B$7:$B$366,C629)</x:f>
        <x:v>0.4160919540229885</x:v>
      </x:c>
      <x:c r="I629" s="382" t="n">
        <x:f>SUMIFS('Climate Data'!$H$7:$H$366,'Climate Data'!$A$7:$A$366,'Estimator'!$B$4,'Climate Data'!$B$7:$B$366,C629)</x:f>
        <x:v>8.019060773480662</x:v>
      </x:c>
      <x:c r="J629" s="381" t="n">
        <x:f>SUMIFS('Wind Proxy'!$H$8:$H$19,'Wind Proxy'!$A$8:$A$19,'Estimator'!$B$4,'Wind Proxy'!$B$8:$B$19,C629)</x:f>
        <x:v>0.22222222222222224</x:v>
      </x:c>
    </x:row>
    <x:row r="630">
      <x:c r="A630" s="379" t="n">
        <x:v>46281</x:v>
      </x:c>
      <x:c r="B630" s="380" t="n">
        <x:v>2026</x:v>
      </x:c>
      <x:c r="C630" s="380" t="n">
        <x:v>9</x:v>
      </x:c>
      <x:c r="D630" s="380" t="str">
        <x:v>Sep</x:v>
      </x:c>
      <x:c r="E630" s="380" t="n">
        <x:v>16</x:v>
      </x:c>
      <x:c r="F630" s="380" t="n">
        <x:v>3</x:v>
      </x:c>
      <x:c r="G630" s="380" t="n">
        <x:f>--(F630&lt;='Estimator'!$B$7)</x:f>
        <x:v>1</x:v>
      </x:c>
      <x:c r="H630" s="381" t="n">
        <x:f>SUMIFS('Climate Data'!$G$7:$G$366,'Climate Data'!$A$7:$A$366,'Estimator'!$B$4,'Climate Data'!$B$7:$B$366,C630)</x:f>
        <x:v>0.4160919540229885</x:v>
      </x:c>
      <x:c r="I630" s="382" t="n">
        <x:f>SUMIFS('Climate Data'!$H$7:$H$366,'Climate Data'!$A$7:$A$366,'Estimator'!$B$4,'Climate Data'!$B$7:$B$366,C630)</x:f>
        <x:v>8.019060773480662</x:v>
      </x:c>
      <x:c r="J630" s="381" t="n">
        <x:f>SUMIFS('Wind Proxy'!$H$8:$H$19,'Wind Proxy'!$A$8:$A$19,'Estimator'!$B$4,'Wind Proxy'!$B$8:$B$19,C630)</x:f>
        <x:v>0.22222222222222224</x:v>
      </x:c>
    </x:row>
    <x:row r="631">
      <x:c r="A631" s="379" t="n">
        <x:v>46282</x:v>
      </x:c>
      <x:c r="B631" s="380" t="n">
        <x:v>2026</x:v>
      </x:c>
      <x:c r="C631" s="380" t="n">
        <x:v>9</x:v>
      </x:c>
      <x:c r="D631" s="380" t="str">
        <x:v>Sep</x:v>
      </x:c>
      <x:c r="E631" s="380" t="n">
        <x:v>17</x:v>
      </x:c>
      <x:c r="F631" s="380" t="n">
        <x:v>4</x:v>
      </x:c>
      <x:c r="G631" s="380" t="n">
        <x:f>--(F631&lt;='Estimator'!$B$7)</x:f>
        <x:v>1</x:v>
      </x:c>
      <x:c r="H631" s="381" t="n">
        <x:f>SUMIFS('Climate Data'!$G$7:$G$366,'Climate Data'!$A$7:$A$366,'Estimator'!$B$4,'Climate Data'!$B$7:$B$366,C631)</x:f>
        <x:v>0.4160919540229885</x:v>
      </x:c>
      <x:c r="I631" s="382" t="n">
        <x:f>SUMIFS('Climate Data'!$H$7:$H$366,'Climate Data'!$A$7:$A$366,'Estimator'!$B$4,'Climate Data'!$B$7:$B$366,C631)</x:f>
        <x:v>8.019060773480662</x:v>
      </x:c>
      <x:c r="J631" s="381" t="n">
        <x:f>SUMIFS('Wind Proxy'!$H$8:$H$19,'Wind Proxy'!$A$8:$A$19,'Estimator'!$B$4,'Wind Proxy'!$B$8:$B$19,C631)</x:f>
        <x:v>0.22222222222222224</x:v>
      </x:c>
    </x:row>
    <x:row r="632">
      <x:c r="A632" s="379" t="n">
        <x:v>46283</x:v>
      </x:c>
      <x:c r="B632" s="380" t="n">
        <x:v>2026</x:v>
      </x:c>
      <x:c r="C632" s="380" t="n">
        <x:v>9</x:v>
      </x:c>
      <x:c r="D632" s="380" t="str">
        <x:v>Sep</x:v>
      </x:c>
      <x:c r="E632" s="380" t="n">
        <x:v>18</x:v>
      </x:c>
      <x:c r="F632" s="380" t="n">
        <x:v>5</x:v>
      </x:c>
      <x:c r="G632" s="380" t="n">
        <x:f>--(F632&lt;='Estimator'!$B$7)</x:f>
        <x:v>1</x:v>
      </x:c>
      <x:c r="H632" s="381" t="n">
        <x:f>SUMIFS('Climate Data'!$G$7:$G$366,'Climate Data'!$A$7:$A$366,'Estimator'!$B$4,'Climate Data'!$B$7:$B$366,C632)</x:f>
        <x:v>0.4160919540229885</x:v>
      </x:c>
      <x:c r="I632" s="382" t="n">
        <x:f>SUMIFS('Climate Data'!$H$7:$H$366,'Climate Data'!$A$7:$A$366,'Estimator'!$B$4,'Climate Data'!$B$7:$B$366,C632)</x:f>
        <x:v>8.019060773480662</x:v>
      </x:c>
      <x:c r="J632" s="381" t="n">
        <x:f>SUMIFS('Wind Proxy'!$H$8:$H$19,'Wind Proxy'!$A$8:$A$19,'Estimator'!$B$4,'Wind Proxy'!$B$8:$B$19,C632)</x:f>
        <x:v>0.22222222222222224</x:v>
      </x:c>
    </x:row>
    <x:row r="633">
      <x:c r="A633" s="379" t="n">
        <x:v>46284</x:v>
      </x:c>
      <x:c r="B633" s="380" t="n">
        <x:v>2026</x:v>
      </x:c>
      <x:c r="C633" s="380" t="n">
        <x:v>9</x:v>
      </x:c>
      <x:c r="D633" s="380" t="str">
        <x:v>Sep</x:v>
      </x:c>
      <x:c r="E633" s="380" t="n">
        <x:v>19</x:v>
      </x:c>
      <x:c r="F633" s="380" t="n">
        <x:v>6</x:v>
      </x:c>
      <x:c r="G633" s="380" t="n">
        <x:f>--(F633&lt;='Estimator'!$B$7)</x:f>
        <x:v>0</x:v>
      </x:c>
      <x:c r="H633" s="381" t="n">
        <x:f>SUMIFS('Climate Data'!$G$7:$G$366,'Climate Data'!$A$7:$A$366,'Estimator'!$B$4,'Climate Data'!$B$7:$B$366,C633)</x:f>
        <x:v>0.4160919540229885</x:v>
      </x:c>
      <x:c r="I633" s="382" t="n">
        <x:f>SUMIFS('Climate Data'!$H$7:$H$366,'Climate Data'!$A$7:$A$366,'Estimator'!$B$4,'Climate Data'!$B$7:$B$366,C633)</x:f>
        <x:v>8.019060773480662</x:v>
      </x:c>
      <x:c r="J633" s="381" t="n">
        <x:f>SUMIFS('Wind Proxy'!$H$8:$H$19,'Wind Proxy'!$A$8:$A$19,'Estimator'!$B$4,'Wind Proxy'!$B$8:$B$19,C633)</x:f>
        <x:v>0.22222222222222224</x:v>
      </x:c>
    </x:row>
    <x:row r="634">
      <x:c r="A634" s="379" t="n">
        <x:v>46285</x:v>
      </x:c>
      <x:c r="B634" s="380" t="n">
        <x:v>2026</x:v>
      </x:c>
      <x:c r="C634" s="380" t="n">
        <x:v>9</x:v>
      </x:c>
      <x:c r="D634" s="380" t="str">
        <x:v>Sep</x:v>
      </x:c>
      <x:c r="E634" s="380" t="n">
        <x:v>20</x:v>
      </x:c>
      <x:c r="F634" s="380" t="n">
        <x:v>7</x:v>
      </x:c>
      <x:c r="G634" s="380" t="n">
        <x:f>--(F634&lt;='Estimator'!$B$7)</x:f>
        <x:v>0</x:v>
      </x:c>
      <x:c r="H634" s="381" t="n">
        <x:f>SUMIFS('Climate Data'!$G$7:$G$366,'Climate Data'!$A$7:$A$366,'Estimator'!$B$4,'Climate Data'!$B$7:$B$366,C634)</x:f>
        <x:v>0.4160919540229885</x:v>
      </x:c>
      <x:c r="I634" s="382" t="n">
        <x:f>SUMIFS('Climate Data'!$H$7:$H$366,'Climate Data'!$A$7:$A$366,'Estimator'!$B$4,'Climate Data'!$B$7:$B$366,C634)</x:f>
        <x:v>8.019060773480662</x:v>
      </x:c>
      <x:c r="J634" s="381" t="n">
        <x:f>SUMIFS('Wind Proxy'!$H$8:$H$19,'Wind Proxy'!$A$8:$A$19,'Estimator'!$B$4,'Wind Proxy'!$B$8:$B$19,C634)</x:f>
        <x:v>0.22222222222222224</x:v>
      </x:c>
    </x:row>
    <x:row r="635">
      <x:c r="A635" s="379" t="n">
        <x:v>46286</x:v>
      </x:c>
      <x:c r="B635" s="380" t="n">
        <x:v>2026</x:v>
      </x:c>
      <x:c r="C635" s="380" t="n">
        <x:v>9</x:v>
      </x:c>
      <x:c r="D635" s="380" t="str">
        <x:v>Sep</x:v>
      </x:c>
      <x:c r="E635" s="380" t="n">
        <x:v>21</x:v>
      </x:c>
      <x:c r="F635" s="380" t="n">
        <x:v>1</x:v>
      </x:c>
      <x:c r="G635" s="380" t="n">
        <x:f>--(F635&lt;='Estimator'!$B$7)</x:f>
        <x:v>1</x:v>
      </x:c>
      <x:c r="H635" s="381" t="n">
        <x:f>SUMIFS('Climate Data'!$G$7:$G$366,'Climate Data'!$A$7:$A$366,'Estimator'!$B$4,'Climate Data'!$B$7:$B$366,C635)</x:f>
        <x:v>0.4160919540229885</x:v>
      </x:c>
      <x:c r="I635" s="382" t="n">
        <x:f>SUMIFS('Climate Data'!$H$7:$H$366,'Climate Data'!$A$7:$A$366,'Estimator'!$B$4,'Climate Data'!$B$7:$B$366,C635)</x:f>
        <x:v>8.019060773480662</x:v>
      </x:c>
      <x:c r="J635" s="381" t="n">
        <x:f>SUMIFS('Wind Proxy'!$H$8:$H$19,'Wind Proxy'!$A$8:$A$19,'Estimator'!$B$4,'Wind Proxy'!$B$8:$B$19,C635)</x:f>
        <x:v>0.22222222222222224</x:v>
      </x:c>
    </x:row>
    <x:row r="636">
      <x:c r="A636" s="379" t="n">
        <x:v>46287</x:v>
      </x:c>
      <x:c r="B636" s="380" t="n">
        <x:v>2026</x:v>
      </x:c>
      <x:c r="C636" s="380" t="n">
        <x:v>9</x:v>
      </x:c>
      <x:c r="D636" s="380" t="str">
        <x:v>Sep</x:v>
      </x:c>
      <x:c r="E636" s="380" t="n">
        <x:v>22</x:v>
      </x:c>
      <x:c r="F636" s="380" t="n">
        <x:v>2</x:v>
      </x:c>
      <x:c r="G636" s="380" t="n">
        <x:f>--(F636&lt;='Estimator'!$B$7)</x:f>
        <x:v>1</x:v>
      </x:c>
      <x:c r="H636" s="381" t="n">
        <x:f>SUMIFS('Climate Data'!$G$7:$G$366,'Climate Data'!$A$7:$A$366,'Estimator'!$B$4,'Climate Data'!$B$7:$B$366,C636)</x:f>
        <x:v>0.4160919540229885</x:v>
      </x:c>
      <x:c r="I636" s="382" t="n">
        <x:f>SUMIFS('Climate Data'!$H$7:$H$366,'Climate Data'!$A$7:$A$366,'Estimator'!$B$4,'Climate Data'!$B$7:$B$366,C636)</x:f>
        <x:v>8.019060773480662</x:v>
      </x:c>
      <x:c r="J636" s="381" t="n">
        <x:f>SUMIFS('Wind Proxy'!$H$8:$H$19,'Wind Proxy'!$A$8:$A$19,'Estimator'!$B$4,'Wind Proxy'!$B$8:$B$19,C636)</x:f>
        <x:v>0.22222222222222224</x:v>
      </x:c>
    </x:row>
    <x:row r="637">
      <x:c r="A637" s="379" t="n">
        <x:v>46288</x:v>
      </x:c>
      <x:c r="B637" s="380" t="n">
        <x:v>2026</x:v>
      </x:c>
      <x:c r="C637" s="380" t="n">
        <x:v>9</x:v>
      </x:c>
      <x:c r="D637" s="380" t="str">
        <x:v>Sep</x:v>
      </x:c>
      <x:c r="E637" s="380" t="n">
        <x:v>23</x:v>
      </x:c>
      <x:c r="F637" s="380" t="n">
        <x:v>3</x:v>
      </x:c>
      <x:c r="G637" s="380" t="n">
        <x:f>--(F637&lt;='Estimator'!$B$7)</x:f>
        <x:v>1</x:v>
      </x:c>
      <x:c r="H637" s="381" t="n">
        <x:f>SUMIFS('Climate Data'!$G$7:$G$366,'Climate Data'!$A$7:$A$366,'Estimator'!$B$4,'Climate Data'!$B$7:$B$366,C637)</x:f>
        <x:v>0.4160919540229885</x:v>
      </x:c>
      <x:c r="I637" s="382" t="n">
        <x:f>SUMIFS('Climate Data'!$H$7:$H$366,'Climate Data'!$A$7:$A$366,'Estimator'!$B$4,'Climate Data'!$B$7:$B$366,C637)</x:f>
        <x:v>8.019060773480662</x:v>
      </x:c>
      <x:c r="J637" s="381" t="n">
        <x:f>SUMIFS('Wind Proxy'!$H$8:$H$19,'Wind Proxy'!$A$8:$A$19,'Estimator'!$B$4,'Wind Proxy'!$B$8:$B$19,C637)</x:f>
        <x:v>0.22222222222222224</x:v>
      </x:c>
    </x:row>
    <x:row r="638">
      <x:c r="A638" s="379" t="n">
        <x:v>46289</x:v>
      </x:c>
      <x:c r="B638" s="380" t="n">
        <x:v>2026</x:v>
      </x:c>
      <x:c r="C638" s="380" t="n">
        <x:v>9</x:v>
      </x:c>
      <x:c r="D638" s="380" t="str">
        <x:v>Sep</x:v>
      </x:c>
      <x:c r="E638" s="380" t="n">
        <x:v>24</x:v>
      </x:c>
      <x:c r="F638" s="380" t="n">
        <x:v>4</x:v>
      </x:c>
      <x:c r="G638" s="380" t="n">
        <x:f>--(F638&lt;='Estimator'!$B$7)</x:f>
        <x:v>1</x:v>
      </x:c>
      <x:c r="H638" s="381" t="n">
        <x:f>SUMIFS('Climate Data'!$G$7:$G$366,'Climate Data'!$A$7:$A$366,'Estimator'!$B$4,'Climate Data'!$B$7:$B$366,C638)</x:f>
        <x:v>0.4160919540229885</x:v>
      </x:c>
      <x:c r="I638" s="382" t="n">
        <x:f>SUMIFS('Climate Data'!$H$7:$H$366,'Climate Data'!$A$7:$A$366,'Estimator'!$B$4,'Climate Data'!$B$7:$B$366,C638)</x:f>
        <x:v>8.019060773480662</x:v>
      </x:c>
      <x:c r="J638" s="381" t="n">
        <x:f>SUMIFS('Wind Proxy'!$H$8:$H$19,'Wind Proxy'!$A$8:$A$19,'Estimator'!$B$4,'Wind Proxy'!$B$8:$B$19,C638)</x:f>
        <x:v>0.22222222222222224</x:v>
      </x:c>
    </x:row>
    <x:row r="639">
      <x:c r="A639" s="379" t="n">
        <x:v>46290</x:v>
      </x:c>
      <x:c r="B639" s="380" t="n">
        <x:v>2026</x:v>
      </x:c>
      <x:c r="C639" s="380" t="n">
        <x:v>9</x:v>
      </x:c>
      <x:c r="D639" s="380" t="str">
        <x:v>Sep</x:v>
      </x:c>
      <x:c r="E639" s="380" t="n">
        <x:v>25</x:v>
      </x:c>
      <x:c r="F639" s="380" t="n">
        <x:v>5</x:v>
      </x:c>
      <x:c r="G639" s="380" t="n">
        <x:f>--(F639&lt;='Estimator'!$B$7)</x:f>
        <x:v>1</x:v>
      </x:c>
      <x:c r="H639" s="381" t="n">
        <x:f>SUMIFS('Climate Data'!$G$7:$G$366,'Climate Data'!$A$7:$A$366,'Estimator'!$B$4,'Climate Data'!$B$7:$B$366,C639)</x:f>
        <x:v>0.4160919540229885</x:v>
      </x:c>
      <x:c r="I639" s="382" t="n">
        <x:f>SUMIFS('Climate Data'!$H$7:$H$366,'Climate Data'!$A$7:$A$366,'Estimator'!$B$4,'Climate Data'!$B$7:$B$366,C639)</x:f>
        <x:v>8.019060773480662</x:v>
      </x:c>
      <x:c r="J639" s="381" t="n">
        <x:f>SUMIFS('Wind Proxy'!$H$8:$H$19,'Wind Proxy'!$A$8:$A$19,'Estimator'!$B$4,'Wind Proxy'!$B$8:$B$19,C639)</x:f>
        <x:v>0.22222222222222224</x:v>
      </x:c>
    </x:row>
    <x:row r="640">
      <x:c r="A640" s="379" t="n">
        <x:v>46291</x:v>
      </x:c>
      <x:c r="B640" s="380" t="n">
        <x:v>2026</x:v>
      </x:c>
      <x:c r="C640" s="380" t="n">
        <x:v>9</x:v>
      </x:c>
      <x:c r="D640" s="380" t="str">
        <x:v>Sep</x:v>
      </x:c>
      <x:c r="E640" s="380" t="n">
        <x:v>26</x:v>
      </x:c>
      <x:c r="F640" s="380" t="n">
        <x:v>6</x:v>
      </x:c>
      <x:c r="G640" s="380" t="n">
        <x:f>--(F640&lt;='Estimator'!$B$7)</x:f>
        <x:v>0</x:v>
      </x:c>
      <x:c r="H640" s="381" t="n">
        <x:f>SUMIFS('Climate Data'!$G$7:$G$366,'Climate Data'!$A$7:$A$366,'Estimator'!$B$4,'Climate Data'!$B$7:$B$366,C640)</x:f>
        <x:v>0.4160919540229885</x:v>
      </x:c>
      <x:c r="I640" s="382" t="n">
        <x:f>SUMIFS('Climate Data'!$H$7:$H$366,'Climate Data'!$A$7:$A$366,'Estimator'!$B$4,'Climate Data'!$B$7:$B$366,C640)</x:f>
        <x:v>8.019060773480662</x:v>
      </x:c>
      <x:c r="J640" s="381" t="n">
        <x:f>SUMIFS('Wind Proxy'!$H$8:$H$19,'Wind Proxy'!$A$8:$A$19,'Estimator'!$B$4,'Wind Proxy'!$B$8:$B$19,C640)</x:f>
        <x:v>0.22222222222222224</x:v>
      </x:c>
    </x:row>
    <x:row r="641">
      <x:c r="A641" s="379" t="n">
        <x:v>46292</x:v>
      </x:c>
      <x:c r="B641" s="380" t="n">
        <x:v>2026</x:v>
      </x:c>
      <x:c r="C641" s="380" t="n">
        <x:v>9</x:v>
      </x:c>
      <x:c r="D641" s="380" t="str">
        <x:v>Sep</x:v>
      </x:c>
      <x:c r="E641" s="380" t="n">
        <x:v>27</x:v>
      </x:c>
      <x:c r="F641" s="380" t="n">
        <x:v>7</x:v>
      </x:c>
      <x:c r="G641" s="380" t="n">
        <x:f>--(F641&lt;='Estimator'!$B$7)</x:f>
        <x:v>0</x:v>
      </x:c>
      <x:c r="H641" s="381" t="n">
        <x:f>SUMIFS('Climate Data'!$G$7:$G$366,'Climate Data'!$A$7:$A$366,'Estimator'!$B$4,'Climate Data'!$B$7:$B$366,C641)</x:f>
        <x:v>0.4160919540229885</x:v>
      </x:c>
      <x:c r="I641" s="382" t="n">
        <x:f>SUMIFS('Climate Data'!$H$7:$H$366,'Climate Data'!$A$7:$A$366,'Estimator'!$B$4,'Climate Data'!$B$7:$B$366,C641)</x:f>
        <x:v>8.019060773480662</x:v>
      </x:c>
      <x:c r="J641" s="381" t="n">
        <x:f>SUMIFS('Wind Proxy'!$H$8:$H$19,'Wind Proxy'!$A$8:$A$19,'Estimator'!$B$4,'Wind Proxy'!$B$8:$B$19,C641)</x:f>
        <x:v>0.22222222222222224</x:v>
      </x:c>
    </x:row>
    <x:row r="642">
      <x:c r="A642" s="379" t="n">
        <x:v>46293</x:v>
      </x:c>
      <x:c r="B642" s="380" t="n">
        <x:v>2026</x:v>
      </x:c>
      <x:c r="C642" s="380" t="n">
        <x:v>9</x:v>
      </x:c>
      <x:c r="D642" s="380" t="str">
        <x:v>Sep</x:v>
      </x:c>
      <x:c r="E642" s="380" t="n">
        <x:v>28</x:v>
      </x:c>
      <x:c r="F642" s="380" t="n">
        <x:v>1</x:v>
      </x:c>
      <x:c r="G642" s="380" t="n">
        <x:f>--(F642&lt;='Estimator'!$B$7)</x:f>
        <x:v>1</x:v>
      </x:c>
      <x:c r="H642" s="381" t="n">
        <x:f>SUMIFS('Climate Data'!$G$7:$G$366,'Climate Data'!$A$7:$A$366,'Estimator'!$B$4,'Climate Data'!$B$7:$B$366,C642)</x:f>
        <x:v>0.4160919540229885</x:v>
      </x:c>
      <x:c r="I642" s="382" t="n">
        <x:f>SUMIFS('Climate Data'!$H$7:$H$366,'Climate Data'!$A$7:$A$366,'Estimator'!$B$4,'Climate Data'!$B$7:$B$366,C642)</x:f>
        <x:v>8.019060773480662</x:v>
      </x:c>
      <x:c r="J642" s="381" t="n">
        <x:f>SUMIFS('Wind Proxy'!$H$8:$H$19,'Wind Proxy'!$A$8:$A$19,'Estimator'!$B$4,'Wind Proxy'!$B$8:$B$19,C642)</x:f>
        <x:v>0.22222222222222224</x:v>
      </x:c>
    </x:row>
    <x:row r="643">
      <x:c r="A643" s="379" t="n">
        <x:v>46294</x:v>
      </x:c>
      <x:c r="B643" s="380" t="n">
        <x:v>2026</x:v>
      </x:c>
      <x:c r="C643" s="380" t="n">
        <x:v>9</x:v>
      </x:c>
      <x:c r="D643" s="380" t="str">
        <x:v>Sep</x:v>
      </x:c>
      <x:c r="E643" s="380" t="n">
        <x:v>29</x:v>
      </x:c>
      <x:c r="F643" s="380" t="n">
        <x:v>2</x:v>
      </x:c>
      <x:c r="G643" s="380" t="n">
        <x:f>--(F643&lt;='Estimator'!$B$7)</x:f>
        <x:v>1</x:v>
      </x:c>
      <x:c r="H643" s="381" t="n">
        <x:f>SUMIFS('Climate Data'!$G$7:$G$366,'Climate Data'!$A$7:$A$366,'Estimator'!$B$4,'Climate Data'!$B$7:$B$366,C643)</x:f>
        <x:v>0.4160919540229885</x:v>
      </x:c>
      <x:c r="I643" s="382" t="n">
        <x:f>SUMIFS('Climate Data'!$H$7:$H$366,'Climate Data'!$A$7:$A$366,'Estimator'!$B$4,'Climate Data'!$B$7:$B$366,C643)</x:f>
        <x:v>8.019060773480662</x:v>
      </x:c>
      <x:c r="J643" s="381" t="n">
        <x:f>SUMIFS('Wind Proxy'!$H$8:$H$19,'Wind Proxy'!$A$8:$A$19,'Estimator'!$B$4,'Wind Proxy'!$B$8:$B$19,C643)</x:f>
        <x:v>0.22222222222222224</x:v>
      </x:c>
    </x:row>
    <x:row r="644">
      <x:c r="A644" s="379" t="n">
        <x:v>46295</x:v>
      </x:c>
      <x:c r="B644" s="380" t="n">
        <x:v>2026</x:v>
      </x:c>
      <x:c r="C644" s="380" t="n">
        <x:v>9</x:v>
      </x:c>
      <x:c r="D644" s="380" t="str">
        <x:v>Sep</x:v>
      </x:c>
      <x:c r="E644" s="380" t="n">
        <x:v>30</x:v>
      </x:c>
      <x:c r="F644" s="380" t="n">
        <x:v>3</x:v>
      </x:c>
      <x:c r="G644" s="380" t="n">
        <x:f>--(F644&lt;='Estimator'!$B$7)</x:f>
        <x:v>1</x:v>
      </x:c>
      <x:c r="H644" s="381" t="n">
        <x:f>SUMIFS('Climate Data'!$G$7:$G$366,'Climate Data'!$A$7:$A$366,'Estimator'!$B$4,'Climate Data'!$B$7:$B$366,C644)</x:f>
        <x:v>0.4160919540229885</x:v>
      </x:c>
      <x:c r="I644" s="382" t="n">
        <x:f>SUMIFS('Climate Data'!$H$7:$H$366,'Climate Data'!$A$7:$A$366,'Estimator'!$B$4,'Climate Data'!$B$7:$B$366,C644)</x:f>
        <x:v>8.019060773480662</x:v>
      </x:c>
      <x:c r="J644" s="381" t="n">
        <x:f>SUMIFS('Wind Proxy'!$H$8:$H$19,'Wind Proxy'!$A$8:$A$19,'Estimator'!$B$4,'Wind Proxy'!$B$8:$B$19,C644)</x:f>
        <x:v>0.22222222222222224</x:v>
      </x:c>
    </x:row>
    <x:row r="645">
      <x:c r="A645" s="379" t="n">
        <x:v>46296</x:v>
      </x:c>
      <x:c r="B645" s="380" t="n">
        <x:v>2026</x:v>
      </x:c>
      <x:c r="C645" s="380" t="n">
        <x:v>10</x:v>
      </x:c>
      <x:c r="D645" s="380" t="str">
        <x:v>Oct</x:v>
      </x:c>
      <x:c r="E645" s="380" t="n">
        <x:v>1</x:v>
      </x:c>
      <x:c r="F645" s="380" t="n">
        <x:v>4</x:v>
      </x:c>
      <x:c r="G645" s="380" t="n">
        <x:f>--(F645&lt;='Estimator'!$B$7)</x:f>
        <x:v>1</x:v>
      </x:c>
      <x:c r="H645" s="381" t="n">
        <x:f>SUMIFS('Climate Data'!$G$7:$G$366,'Climate Data'!$A$7:$A$366,'Estimator'!$B$4,'Climate Data'!$B$7:$B$366,C645)</x:f>
        <x:v>0.3721198156682028</x:v>
      </x:c>
      <x:c r="I645" s="382" t="n">
        <x:f>SUMIFS('Climate Data'!$H$7:$H$366,'Climate Data'!$A$7:$A$366,'Estimator'!$B$4,'Climate Data'!$B$7:$B$366,C645)</x:f>
        <x:v>7.940557275541795</x:v>
      </x:c>
      <x:c r="J645" s="381" t="n">
        <x:f>SUMIFS('Wind Proxy'!$H$8:$H$19,'Wind Proxy'!$A$8:$A$19,'Estimator'!$B$4,'Wind Proxy'!$B$8:$B$19,C645)</x:f>
        <x:v>0.21505376344086022</x:v>
      </x:c>
    </x:row>
    <x:row r="646">
      <x:c r="A646" s="379" t="n">
        <x:v>46297</x:v>
      </x:c>
      <x:c r="B646" s="380" t="n">
        <x:v>2026</x:v>
      </x:c>
      <x:c r="C646" s="380" t="n">
        <x:v>10</x:v>
      </x:c>
      <x:c r="D646" s="380" t="str">
        <x:v>Oct</x:v>
      </x:c>
      <x:c r="E646" s="380" t="n">
        <x:v>2</x:v>
      </x:c>
      <x:c r="F646" s="380" t="n">
        <x:v>5</x:v>
      </x:c>
      <x:c r="G646" s="380" t="n">
        <x:f>--(F646&lt;='Estimator'!$B$7)</x:f>
        <x:v>1</x:v>
      </x:c>
      <x:c r="H646" s="381" t="n">
        <x:f>SUMIFS('Climate Data'!$G$7:$G$366,'Climate Data'!$A$7:$A$366,'Estimator'!$B$4,'Climate Data'!$B$7:$B$366,C646)</x:f>
        <x:v>0.3721198156682028</x:v>
      </x:c>
      <x:c r="I646" s="382" t="n">
        <x:f>SUMIFS('Climate Data'!$H$7:$H$366,'Climate Data'!$A$7:$A$366,'Estimator'!$B$4,'Climate Data'!$B$7:$B$366,C646)</x:f>
        <x:v>7.940557275541795</x:v>
      </x:c>
      <x:c r="J646" s="381" t="n">
        <x:f>SUMIFS('Wind Proxy'!$H$8:$H$19,'Wind Proxy'!$A$8:$A$19,'Estimator'!$B$4,'Wind Proxy'!$B$8:$B$19,C646)</x:f>
        <x:v>0.21505376344086022</x:v>
      </x:c>
    </x:row>
    <x:row r="647">
      <x:c r="A647" s="379" t="n">
        <x:v>46298</x:v>
      </x:c>
      <x:c r="B647" s="380" t="n">
        <x:v>2026</x:v>
      </x:c>
      <x:c r="C647" s="380" t="n">
        <x:v>10</x:v>
      </x:c>
      <x:c r="D647" s="380" t="str">
        <x:v>Oct</x:v>
      </x:c>
      <x:c r="E647" s="380" t="n">
        <x:v>3</x:v>
      </x:c>
      <x:c r="F647" s="380" t="n">
        <x:v>6</x:v>
      </x:c>
      <x:c r="G647" s="380" t="n">
        <x:f>--(F647&lt;='Estimator'!$B$7)</x:f>
        <x:v>0</x:v>
      </x:c>
      <x:c r="H647" s="381" t="n">
        <x:f>SUMIFS('Climate Data'!$G$7:$G$366,'Climate Data'!$A$7:$A$366,'Estimator'!$B$4,'Climate Data'!$B$7:$B$366,C647)</x:f>
        <x:v>0.3721198156682028</x:v>
      </x:c>
      <x:c r="I647" s="382" t="n">
        <x:f>SUMIFS('Climate Data'!$H$7:$H$366,'Climate Data'!$A$7:$A$366,'Estimator'!$B$4,'Climate Data'!$B$7:$B$366,C647)</x:f>
        <x:v>7.940557275541795</x:v>
      </x:c>
      <x:c r="J647" s="381" t="n">
        <x:f>SUMIFS('Wind Proxy'!$H$8:$H$19,'Wind Proxy'!$A$8:$A$19,'Estimator'!$B$4,'Wind Proxy'!$B$8:$B$19,C647)</x:f>
        <x:v>0.21505376344086022</x:v>
      </x:c>
    </x:row>
    <x:row r="648">
      <x:c r="A648" s="379" t="n">
        <x:v>46299</x:v>
      </x:c>
      <x:c r="B648" s="380" t="n">
        <x:v>2026</x:v>
      </x:c>
      <x:c r="C648" s="380" t="n">
        <x:v>10</x:v>
      </x:c>
      <x:c r="D648" s="380" t="str">
        <x:v>Oct</x:v>
      </x:c>
      <x:c r="E648" s="380" t="n">
        <x:v>4</x:v>
      </x:c>
      <x:c r="F648" s="380" t="n">
        <x:v>7</x:v>
      </x:c>
      <x:c r="G648" s="380" t="n">
        <x:f>--(F648&lt;='Estimator'!$B$7)</x:f>
        <x:v>0</x:v>
      </x:c>
      <x:c r="H648" s="381" t="n">
        <x:f>SUMIFS('Climate Data'!$G$7:$G$366,'Climate Data'!$A$7:$A$366,'Estimator'!$B$4,'Climate Data'!$B$7:$B$366,C648)</x:f>
        <x:v>0.3721198156682028</x:v>
      </x:c>
      <x:c r="I648" s="382" t="n">
        <x:f>SUMIFS('Climate Data'!$H$7:$H$366,'Climate Data'!$A$7:$A$366,'Estimator'!$B$4,'Climate Data'!$B$7:$B$366,C648)</x:f>
        <x:v>7.940557275541795</x:v>
      </x:c>
      <x:c r="J648" s="381" t="n">
        <x:f>SUMIFS('Wind Proxy'!$H$8:$H$19,'Wind Proxy'!$A$8:$A$19,'Estimator'!$B$4,'Wind Proxy'!$B$8:$B$19,C648)</x:f>
        <x:v>0.21505376344086022</x:v>
      </x:c>
    </x:row>
    <x:row r="649">
      <x:c r="A649" s="379" t="n">
        <x:v>46300</x:v>
      </x:c>
      <x:c r="B649" s="380" t="n">
        <x:v>2026</x:v>
      </x:c>
      <x:c r="C649" s="380" t="n">
        <x:v>10</x:v>
      </x:c>
      <x:c r="D649" s="380" t="str">
        <x:v>Oct</x:v>
      </x:c>
      <x:c r="E649" s="380" t="n">
        <x:v>5</x:v>
      </x:c>
      <x:c r="F649" s="380" t="n">
        <x:v>1</x:v>
      </x:c>
      <x:c r="G649" s="380" t="n">
        <x:f>--(F649&lt;='Estimator'!$B$7)</x:f>
        <x:v>1</x:v>
      </x:c>
      <x:c r="H649" s="381" t="n">
        <x:f>SUMIFS('Climate Data'!$G$7:$G$366,'Climate Data'!$A$7:$A$366,'Estimator'!$B$4,'Climate Data'!$B$7:$B$366,C649)</x:f>
        <x:v>0.3721198156682028</x:v>
      </x:c>
      <x:c r="I649" s="382" t="n">
        <x:f>SUMIFS('Climate Data'!$H$7:$H$366,'Climate Data'!$A$7:$A$366,'Estimator'!$B$4,'Climate Data'!$B$7:$B$366,C649)</x:f>
        <x:v>7.940557275541795</x:v>
      </x:c>
      <x:c r="J649" s="381" t="n">
        <x:f>SUMIFS('Wind Proxy'!$H$8:$H$19,'Wind Proxy'!$A$8:$A$19,'Estimator'!$B$4,'Wind Proxy'!$B$8:$B$19,C649)</x:f>
        <x:v>0.21505376344086022</x:v>
      </x:c>
    </x:row>
    <x:row r="650">
      <x:c r="A650" s="379" t="n">
        <x:v>46301</x:v>
      </x:c>
      <x:c r="B650" s="380" t="n">
        <x:v>2026</x:v>
      </x:c>
      <x:c r="C650" s="380" t="n">
        <x:v>10</x:v>
      </x:c>
      <x:c r="D650" s="380" t="str">
        <x:v>Oct</x:v>
      </x:c>
      <x:c r="E650" s="380" t="n">
        <x:v>6</x:v>
      </x:c>
      <x:c r="F650" s="380" t="n">
        <x:v>2</x:v>
      </x:c>
      <x:c r="G650" s="380" t="n">
        <x:f>--(F650&lt;='Estimator'!$B$7)</x:f>
        <x:v>1</x:v>
      </x:c>
      <x:c r="H650" s="381" t="n">
        <x:f>SUMIFS('Climate Data'!$G$7:$G$366,'Climate Data'!$A$7:$A$366,'Estimator'!$B$4,'Climate Data'!$B$7:$B$366,C650)</x:f>
        <x:v>0.3721198156682028</x:v>
      </x:c>
      <x:c r="I650" s="382" t="n">
        <x:f>SUMIFS('Climate Data'!$H$7:$H$366,'Climate Data'!$A$7:$A$366,'Estimator'!$B$4,'Climate Data'!$B$7:$B$366,C650)</x:f>
        <x:v>7.940557275541795</x:v>
      </x:c>
      <x:c r="J650" s="381" t="n">
        <x:f>SUMIFS('Wind Proxy'!$H$8:$H$19,'Wind Proxy'!$A$8:$A$19,'Estimator'!$B$4,'Wind Proxy'!$B$8:$B$19,C650)</x:f>
        <x:v>0.21505376344086022</x:v>
      </x:c>
    </x:row>
    <x:row r="651">
      <x:c r="A651" s="379" t="n">
        <x:v>46302</x:v>
      </x:c>
      <x:c r="B651" s="380" t="n">
        <x:v>2026</x:v>
      </x:c>
      <x:c r="C651" s="380" t="n">
        <x:v>10</x:v>
      </x:c>
      <x:c r="D651" s="380" t="str">
        <x:v>Oct</x:v>
      </x:c>
      <x:c r="E651" s="380" t="n">
        <x:v>7</x:v>
      </x:c>
      <x:c r="F651" s="380" t="n">
        <x:v>3</x:v>
      </x:c>
      <x:c r="G651" s="380" t="n">
        <x:f>--(F651&lt;='Estimator'!$B$7)</x:f>
        <x:v>1</x:v>
      </x:c>
      <x:c r="H651" s="381" t="n">
        <x:f>SUMIFS('Climate Data'!$G$7:$G$366,'Climate Data'!$A$7:$A$366,'Estimator'!$B$4,'Climate Data'!$B$7:$B$366,C651)</x:f>
        <x:v>0.3721198156682028</x:v>
      </x:c>
      <x:c r="I651" s="382" t="n">
        <x:f>SUMIFS('Climate Data'!$H$7:$H$366,'Climate Data'!$A$7:$A$366,'Estimator'!$B$4,'Climate Data'!$B$7:$B$366,C651)</x:f>
        <x:v>7.940557275541795</x:v>
      </x:c>
      <x:c r="J651" s="381" t="n">
        <x:f>SUMIFS('Wind Proxy'!$H$8:$H$19,'Wind Proxy'!$A$8:$A$19,'Estimator'!$B$4,'Wind Proxy'!$B$8:$B$19,C651)</x:f>
        <x:v>0.21505376344086022</x:v>
      </x:c>
    </x:row>
    <x:row r="652">
      <x:c r="A652" s="379" t="n">
        <x:v>46303</x:v>
      </x:c>
      <x:c r="B652" s="380" t="n">
        <x:v>2026</x:v>
      </x:c>
      <x:c r="C652" s="380" t="n">
        <x:v>10</x:v>
      </x:c>
      <x:c r="D652" s="380" t="str">
        <x:v>Oct</x:v>
      </x:c>
      <x:c r="E652" s="380" t="n">
        <x:v>8</x:v>
      </x:c>
      <x:c r="F652" s="380" t="n">
        <x:v>4</x:v>
      </x:c>
      <x:c r="G652" s="380" t="n">
        <x:f>--(F652&lt;='Estimator'!$B$7)</x:f>
        <x:v>1</x:v>
      </x:c>
      <x:c r="H652" s="381" t="n">
        <x:f>SUMIFS('Climate Data'!$G$7:$G$366,'Climate Data'!$A$7:$A$366,'Estimator'!$B$4,'Climate Data'!$B$7:$B$366,C652)</x:f>
        <x:v>0.3721198156682028</x:v>
      </x:c>
      <x:c r="I652" s="382" t="n">
        <x:f>SUMIFS('Climate Data'!$H$7:$H$366,'Climate Data'!$A$7:$A$366,'Estimator'!$B$4,'Climate Data'!$B$7:$B$366,C652)</x:f>
        <x:v>7.940557275541795</x:v>
      </x:c>
      <x:c r="J652" s="381" t="n">
        <x:f>SUMIFS('Wind Proxy'!$H$8:$H$19,'Wind Proxy'!$A$8:$A$19,'Estimator'!$B$4,'Wind Proxy'!$B$8:$B$19,C652)</x:f>
        <x:v>0.21505376344086022</x:v>
      </x:c>
    </x:row>
    <x:row r="653">
      <x:c r="A653" s="379" t="n">
        <x:v>46304</x:v>
      </x:c>
      <x:c r="B653" s="380" t="n">
        <x:v>2026</x:v>
      </x:c>
      <x:c r="C653" s="380" t="n">
        <x:v>10</x:v>
      </x:c>
      <x:c r="D653" s="380" t="str">
        <x:v>Oct</x:v>
      </x:c>
      <x:c r="E653" s="380" t="n">
        <x:v>9</x:v>
      </x:c>
      <x:c r="F653" s="380" t="n">
        <x:v>5</x:v>
      </x:c>
      <x:c r="G653" s="380" t="n">
        <x:f>--(F653&lt;='Estimator'!$B$7)</x:f>
        <x:v>1</x:v>
      </x:c>
      <x:c r="H653" s="381" t="n">
        <x:f>SUMIFS('Climate Data'!$G$7:$G$366,'Climate Data'!$A$7:$A$366,'Estimator'!$B$4,'Climate Data'!$B$7:$B$366,C653)</x:f>
        <x:v>0.3721198156682028</x:v>
      </x:c>
      <x:c r="I653" s="382" t="n">
        <x:f>SUMIFS('Climate Data'!$H$7:$H$366,'Climate Data'!$A$7:$A$366,'Estimator'!$B$4,'Climate Data'!$B$7:$B$366,C653)</x:f>
        <x:v>7.940557275541795</x:v>
      </x:c>
      <x:c r="J653" s="381" t="n">
        <x:f>SUMIFS('Wind Proxy'!$H$8:$H$19,'Wind Proxy'!$A$8:$A$19,'Estimator'!$B$4,'Wind Proxy'!$B$8:$B$19,C653)</x:f>
        <x:v>0.21505376344086022</x:v>
      </x:c>
    </x:row>
    <x:row r="654">
      <x:c r="A654" s="379" t="n">
        <x:v>46305</x:v>
      </x:c>
      <x:c r="B654" s="380" t="n">
        <x:v>2026</x:v>
      </x:c>
      <x:c r="C654" s="380" t="n">
        <x:v>10</x:v>
      </x:c>
      <x:c r="D654" s="380" t="str">
        <x:v>Oct</x:v>
      </x:c>
      <x:c r="E654" s="380" t="n">
        <x:v>10</x:v>
      </x:c>
      <x:c r="F654" s="380" t="n">
        <x:v>6</x:v>
      </x:c>
      <x:c r="G654" s="380" t="n">
        <x:f>--(F654&lt;='Estimator'!$B$7)</x:f>
        <x:v>0</x:v>
      </x:c>
      <x:c r="H654" s="381" t="n">
        <x:f>SUMIFS('Climate Data'!$G$7:$G$366,'Climate Data'!$A$7:$A$366,'Estimator'!$B$4,'Climate Data'!$B$7:$B$366,C654)</x:f>
        <x:v>0.3721198156682028</x:v>
      </x:c>
      <x:c r="I654" s="382" t="n">
        <x:f>SUMIFS('Climate Data'!$H$7:$H$366,'Climate Data'!$A$7:$A$366,'Estimator'!$B$4,'Climate Data'!$B$7:$B$366,C654)</x:f>
        <x:v>7.940557275541795</x:v>
      </x:c>
      <x:c r="J654" s="381" t="n">
        <x:f>SUMIFS('Wind Proxy'!$H$8:$H$19,'Wind Proxy'!$A$8:$A$19,'Estimator'!$B$4,'Wind Proxy'!$B$8:$B$19,C654)</x:f>
        <x:v>0.21505376344086022</x:v>
      </x:c>
    </x:row>
    <x:row r="655">
      <x:c r="A655" s="379" t="n">
        <x:v>46306</x:v>
      </x:c>
      <x:c r="B655" s="380" t="n">
        <x:v>2026</x:v>
      </x:c>
      <x:c r="C655" s="380" t="n">
        <x:v>10</x:v>
      </x:c>
      <x:c r="D655" s="380" t="str">
        <x:v>Oct</x:v>
      </x:c>
      <x:c r="E655" s="380" t="n">
        <x:v>11</x:v>
      </x:c>
      <x:c r="F655" s="380" t="n">
        <x:v>7</x:v>
      </x:c>
      <x:c r="G655" s="380" t="n">
        <x:f>--(F655&lt;='Estimator'!$B$7)</x:f>
        <x:v>0</x:v>
      </x:c>
      <x:c r="H655" s="381" t="n">
        <x:f>SUMIFS('Climate Data'!$G$7:$G$366,'Climate Data'!$A$7:$A$366,'Estimator'!$B$4,'Climate Data'!$B$7:$B$366,C655)</x:f>
        <x:v>0.3721198156682028</x:v>
      </x:c>
      <x:c r="I655" s="382" t="n">
        <x:f>SUMIFS('Climate Data'!$H$7:$H$366,'Climate Data'!$A$7:$A$366,'Estimator'!$B$4,'Climate Data'!$B$7:$B$366,C655)</x:f>
        <x:v>7.940557275541795</x:v>
      </x:c>
      <x:c r="J655" s="381" t="n">
        <x:f>SUMIFS('Wind Proxy'!$H$8:$H$19,'Wind Proxy'!$A$8:$A$19,'Estimator'!$B$4,'Wind Proxy'!$B$8:$B$19,C655)</x:f>
        <x:v>0.21505376344086022</x:v>
      </x:c>
    </x:row>
    <x:row r="656">
      <x:c r="A656" s="379" t="n">
        <x:v>46307</x:v>
      </x:c>
      <x:c r="B656" s="380" t="n">
        <x:v>2026</x:v>
      </x:c>
      <x:c r="C656" s="380" t="n">
        <x:v>10</x:v>
      </x:c>
      <x:c r="D656" s="380" t="str">
        <x:v>Oct</x:v>
      </x:c>
      <x:c r="E656" s="380" t="n">
        <x:v>12</x:v>
      </x:c>
      <x:c r="F656" s="380" t="n">
        <x:v>1</x:v>
      </x:c>
      <x:c r="G656" s="380" t="n">
        <x:f>--(F656&lt;='Estimator'!$B$7)</x:f>
        <x:v>1</x:v>
      </x:c>
      <x:c r="H656" s="381" t="n">
        <x:f>SUMIFS('Climate Data'!$G$7:$G$366,'Climate Data'!$A$7:$A$366,'Estimator'!$B$4,'Climate Data'!$B$7:$B$366,C656)</x:f>
        <x:v>0.3721198156682028</x:v>
      </x:c>
      <x:c r="I656" s="382" t="n">
        <x:f>SUMIFS('Climate Data'!$H$7:$H$366,'Climate Data'!$A$7:$A$366,'Estimator'!$B$4,'Climate Data'!$B$7:$B$366,C656)</x:f>
        <x:v>7.940557275541795</x:v>
      </x:c>
      <x:c r="J656" s="381" t="n">
        <x:f>SUMIFS('Wind Proxy'!$H$8:$H$19,'Wind Proxy'!$A$8:$A$19,'Estimator'!$B$4,'Wind Proxy'!$B$8:$B$19,C656)</x:f>
        <x:v>0.21505376344086022</x:v>
      </x:c>
    </x:row>
    <x:row r="657">
      <x:c r="A657" s="379" t="n">
        <x:v>46308</x:v>
      </x:c>
      <x:c r="B657" s="380" t="n">
        <x:v>2026</x:v>
      </x:c>
      <x:c r="C657" s="380" t="n">
        <x:v>10</x:v>
      </x:c>
      <x:c r="D657" s="380" t="str">
        <x:v>Oct</x:v>
      </x:c>
      <x:c r="E657" s="380" t="n">
        <x:v>13</x:v>
      </x:c>
      <x:c r="F657" s="380" t="n">
        <x:v>2</x:v>
      </x:c>
      <x:c r="G657" s="380" t="n">
        <x:f>--(F657&lt;='Estimator'!$B$7)</x:f>
        <x:v>1</x:v>
      </x:c>
      <x:c r="H657" s="381" t="n">
        <x:f>SUMIFS('Climate Data'!$G$7:$G$366,'Climate Data'!$A$7:$A$366,'Estimator'!$B$4,'Climate Data'!$B$7:$B$366,C657)</x:f>
        <x:v>0.3721198156682028</x:v>
      </x:c>
      <x:c r="I657" s="382" t="n">
        <x:f>SUMIFS('Climate Data'!$H$7:$H$366,'Climate Data'!$A$7:$A$366,'Estimator'!$B$4,'Climate Data'!$B$7:$B$366,C657)</x:f>
        <x:v>7.940557275541795</x:v>
      </x:c>
      <x:c r="J657" s="381" t="n">
        <x:f>SUMIFS('Wind Proxy'!$H$8:$H$19,'Wind Proxy'!$A$8:$A$19,'Estimator'!$B$4,'Wind Proxy'!$B$8:$B$19,C657)</x:f>
        <x:v>0.21505376344086022</x:v>
      </x:c>
    </x:row>
    <x:row r="658">
      <x:c r="A658" s="379" t="n">
        <x:v>46309</x:v>
      </x:c>
      <x:c r="B658" s="380" t="n">
        <x:v>2026</x:v>
      </x:c>
      <x:c r="C658" s="380" t="n">
        <x:v>10</x:v>
      </x:c>
      <x:c r="D658" s="380" t="str">
        <x:v>Oct</x:v>
      </x:c>
      <x:c r="E658" s="380" t="n">
        <x:v>14</x:v>
      </x:c>
      <x:c r="F658" s="380" t="n">
        <x:v>3</x:v>
      </x:c>
      <x:c r="G658" s="380" t="n">
        <x:f>--(F658&lt;='Estimator'!$B$7)</x:f>
        <x:v>1</x:v>
      </x:c>
      <x:c r="H658" s="381" t="n">
        <x:f>SUMIFS('Climate Data'!$G$7:$G$366,'Climate Data'!$A$7:$A$366,'Estimator'!$B$4,'Climate Data'!$B$7:$B$366,C658)</x:f>
        <x:v>0.3721198156682028</x:v>
      </x:c>
      <x:c r="I658" s="382" t="n">
        <x:f>SUMIFS('Climate Data'!$H$7:$H$366,'Climate Data'!$A$7:$A$366,'Estimator'!$B$4,'Climate Data'!$B$7:$B$366,C658)</x:f>
        <x:v>7.940557275541795</x:v>
      </x:c>
      <x:c r="J658" s="381" t="n">
        <x:f>SUMIFS('Wind Proxy'!$H$8:$H$19,'Wind Proxy'!$A$8:$A$19,'Estimator'!$B$4,'Wind Proxy'!$B$8:$B$19,C658)</x:f>
        <x:v>0.21505376344086022</x:v>
      </x:c>
    </x:row>
    <x:row r="659">
      <x:c r="A659" s="379" t="n">
        <x:v>46310</x:v>
      </x:c>
      <x:c r="B659" s="380" t="n">
        <x:v>2026</x:v>
      </x:c>
      <x:c r="C659" s="380" t="n">
        <x:v>10</x:v>
      </x:c>
      <x:c r="D659" s="380" t="str">
        <x:v>Oct</x:v>
      </x:c>
      <x:c r="E659" s="380" t="n">
        <x:v>15</x:v>
      </x:c>
      <x:c r="F659" s="380" t="n">
        <x:v>4</x:v>
      </x:c>
      <x:c r="G659" s="380" t="n">
        <x:f>--(F659&lt;='Estimator'!$B$7)</x:f>
        <x:v>1</x:v>
      </x:c>
      <x:c r="H659" s="381" t="n">
        <x:f>SUMIFS('Climate Data'!$G$7:$G$366,'Climate Data'!$A$7:$A$366,'Estimator'!$B$4,'Climate Data'!$B$7:$B$366,C659)</x:f>
        <x:v>0.3721198156682028</x:v>
      </x:c>
      <x:c r="I659" s="382" t="n">
        <x:f>SUMIFS('Climate Data'!$H$7:$H$366,'Climate Data'!$A$7:$A$366,'Estimator'!$B$4,'Climate Data'!$B$7:$B$366,C659)</x:f>
        <x:v>7.940557275541795</x:v>
      </x:c>
      <x:c r="J659" s="381" t="n">
        <x:f>SUMIFS('Wind Proxy'!$H$8:$H$19,'Wind Proxy'!$A$8:$A$19,'Estimator'!$B$4,'Wind Proxy'!$B$8:$B$19,C659)</x:f>
        <x:v>0.21505376344086022</x:v>
      </x:c>
    </x:row>
    <x:row r="660">
      <x:c r="A660" s="379" t="n">
        <x:v>46311</x:v>
      </x:c>
      <x:c r="B660" s="380" t="n">
        <x:v>2026</x:v>
      </x:c>
      <x:c r="C660" s="380" t="n">
        <x:v>10</x:v>
      </x:c>
      <x:c r="D660" s="380" t="str">
        <x:v>Oct</x:v>
      </x:c>
      <x:c r="E660" s="380" t="n">
        <x:v>16</x:v>
      </x:c>
      <x:c r="F660" s="380" t="n">
        <x:v>5</x:v>
      </x:c>
      <x:c r="G660" s="380" t="n">
        <x:f>--(F660&lt;='Estimator'!$B$7)</x:f>
        <x:v>1</x:v>
      </x:c>
      <x:c r="H660" s="381" t="n">
        <x:f>SUMIFS('Climate Data'!$G$7:$G$366,'Climate Data'!$A$7:$A$366,'Estimator'!$B$4,'Climate Data'!$B$7:$B$366,C660)</x:f>
        <x:v>0.3721198156682028</x:v>
      </x:c>
      <x:c r="I660" s="382" t="n">
        <x:f>SUMIFS('Climate Data'!$H$7:$H$366,'Climate Data'!$A$7:$A$366,'Estimator'!$B$4,'Climate Data'!$B$7:$B$366,C660)</x:f>
        <x:v>7.940557275541795</x:v>
      </x:c>
      <x:c r="J660" s="381" t="n">
        <x:f>SUMIFS('Wind Proxy'!$H$8:$H$19,'Wind Proxy'!$A$8:$A$19,'Estimator'!$B$4,'Wind Proxy'!$B$8:$B$19,C660)</x:f>
        <x:v>0.21505376344086022</x:v>
      </x:c>
    </x:row>
    <x:row r="661">
      <x:c r="A661" s="379" t="n">
        <x:v>46312</x:v>
      </x:c>
      <x:c r="B661" s="380" t="n">
        <x:v>2026</x:v>
      </x:c>
      <x:c r="C661" s="380" t="n">
        <x:v>10</x:v>
      </x:c>
      <x:c r="D661" s="380" t="str">
        <x:v>Oct</x:v>
      </x:c>
      <x:c r="E661" s="380" t="n">
        <x:v>17</x:v>
      </x:c>
      <x:c r="F661" s="380" t="n">
        <x:v>6</x:v>
      </x:c>
      <x:c r="G661" s="380" t="n">
        <x:f>--(F661&lt;='Estimator'!$B$7)</x:f>
        <x:v>0</x:v>
      </x:c>
      <x:c r="H661" s="381" t="n">
        <x:f>SUMIFS('Climate Data'!$G$7:$G$366,'Climate Data'!$A$7:$A$366,'Estimator'!$B$4,'Climate Data'!$B$7:$B$366,C661)</x:f>
        <x:v>0.3721198156682028</x:v>
      </x:c>
      <x:c r="I661" s="382" t="n">
        <x:f>SUMIFS('Climate Data'!$H$7:$H$366,'Climate Data'!$A$7:$A$366,'Estimator'!$B$4,'Climate Data'!$B$7:$B$366,C661)</x:f>
        <x:v>7.940557275541795</x:v>
      </x:c>
      <x:c r="J661" s="381" t="n">
        <x:f>SUMIFS('Wind Proxy'!$H$8:$H$19,'Wind Proxy'!$A$8:$A$19,'Estimator'!$B$4,'Wind Proxy'!$B$8:$B$19,C661)</x:f>
        <x:v>0.21505376344086022</x:v>
      </x:c>
    </x:row>
    <x:row r="662">
      <x:c r="A662" s="379" t="n">
        <x:v>46313</x:v>
      </x:c>
      <x:c r="B662" s="380" t="n">
        <x:v>2026</x:v>
      </x:c>
      <x:c r="C662" s="380" t="n">
        <x:v>10</x:v>
      </x:c>
      <x:c r="D662" s="380" t="str">
        <x:v>Oct</x:v>
      </x:c>
      <x:c r="E662" s="380" t="n">
        <x:v>18</x:v>
      </x:c>
      <x:c r="F662" s="380" t="n">
        <x:v>7</x:v>
      </x:c>
      <x:c r="G662" s="380" t="n">
        <x:f>--(F662&lt;='Estimator'!$B$7)</x:f>
        <x:v>0</x:v>
      </x:c>
      <x:c r="H662" s="381" t="n">
        <x:f>SUMIFS('Climate Data'!$G$7:$G$366,'Climate Data'!$A$7:$A$366,'Estimator'!$B$4,'Climate Data'!$B$7:$B$366,C662)</x:f>
        <x:v>0.3721198156682028</x:v>
      </x:c>
      <x:c r="I662" s="382" t="n">
        <x:f>SUMIFS('Climate Data'!$H$7:$H$366,'Climate Data'!$A$7:$A$366,'Estimator'!$B$4,'Climate Data'!$B$7:$B$366,C662)</x:f>
        <x:v>7.940557275541795</x:v>
      </x:c>
      <x:c r="J662" s="381" t="n">
        <x:f>SUMIFS('Wind Proxy'!$H$8:$H$19,'Wind Proxy'!$A$8:$A$19,'Estimator'!$B$4,'Wind Proxy'!$B$8:$B$19,C662)</x:f>
        <x:v>0.21505376344086022</x:v>
      </x:c>
    </x:row>
    <x:row r="663">
      <x:c r="A663" s="379" t="n">
        <x:v>46314</x:v>
      </x:c>
      <x:c r="B663" s="380" t="n">
        <x:v>2026</x:v>
      </x:c>
      <x:c r="C663" s="380" t="n">
        <x:v>10</x:v>
      </x:c>
      <x:c r="D663" s="380" t="str">
        <x:v>Oct</x:v>
      </x:c>
      <x:c r="E663" s="380" t="n">
        <x:v>19</x:v>
      </x:c>
      <x:c r="F663" s="380" t="n">
        <x:v>1</x:v>
      </x:c>
      <x:c r="G663" s="380" t="n">
        <x:f>--(F663&lt;='Estimator'!$B$7)</x:f>
        <x:v>1</x:v>
      </x:c>
      <x:c r="H663" s="381" t="n">
        <x:f>SUMIFS('Climate Data'!$G$7:$G$366,'Climate Data'!$A$7:$A$366,'Estimator'!$B$4,'Climate Data'!$B$7:$B$366,C663)</x:f>
        <x:v>0.3721198156682028</x:v>
      </x:c>
      <x:c r="I663" s="382" t="n">
        <x:f>SUMIFS('Climate Data'!$H$7:$H$366,'Climate Data'!$A$7:$A$366,'Estimator'!$B$4,'Climate Data'!$B$7:$B$366,C663)</x:f>
        <x:v>7.940557275541795</x:v>
      </x:c>
      <x:c r="J663" s="381" t="n">
        <x:f>SUMIFS('Wind Proxy'!$H$8:$H$19,'Wind Proxy'!$A$8:$A$19,'Estimator'!$B$4,'Wind Proxy'!$B$8:$B$19,C663)</x:f>
        <x:v>0.21505376344086022</x:v>
      </x:c>
    </x:row>
    <x:row r="664">
      <x:c r="A664" s="379" t="n">
        <x:v>46315</x:v>
      </x:c>
      <x:c r="B664" s="380" t="n">
        <x:v>2026</x:v>
      </x:c>
      <x:c r="C664" s="380" t="n">
        <x:v>10</x:v>
      </x:c>
      <x:c r="D664" s="380" t="str">
        <x:v>Oct</x:v>
      </x:c>
      <x:c r="E664" s="380" t="n">
        <x:v>20</x:v>
      </x:c>
      <x:c r="F664" s="380" t="n">
        <x:v>2</x:v>
      </x:c>
      <x:c r="G664" s="380" t="n">
        <x:f>--(F664&lt;='Estimator'!$B$7)</x:f>
        <x:v>1</x:v>
      </x:c>
      <x:c r="H664" s="381" t="n">
        <x:f>SUMIFS('Climate Data'!$G$7:$G$366,'Climate Data'!$A$7:$A$366,'Estimator'!$B$4,'Climate Data'!$B$7:$B$366,C664)</x:f>
        <x:v>0.3721198156682028</x:v>
      </x:c>
      <x:c r="I664" s="382" t="n">
        <x:f>SUMIFS('Climate Data'!$H$7:$H$366,'Climate Data'!$A$7:$A$366,'Estimator'!$B$4,'Climate Data'!$B$7:$B$366,C664)</x:f>
        <x:v>7.940557275541795</x:v>
      </x:c>
      <x:c r="J664" s="381" t="n">
        <x:f>SUMIFS('Wind Proxy'!$H$8:$H$19,'Wind Proxy'!$A$8:$A$19,'Estimator'!$B$4,'Wind Proxy'!$B$8:$B$19,C664)</x:f>
        <x:v>0.21505376344086022</x:v>
      </x:c>
    </x:row>
    <x:row r="665">
      <x:c r="A665" s="379" t="n">
        <x:v>46316</x:v>
      </x:c>
      <x:c r="B665" s="380" t="n">
        <x:v>2026</x:v>
      </x:c>
      <x:c r="C665" s="380" t="n">
        <x:v>10</x:v>
      </x:c>
      <x:c r="D665" s="380" t="str">
        <x:v>Oct</x:v>
      </x:c>
      <x:c r="E665" s="380" t="n">
        <x:v>21</x:v>
      </x:c>
      <x:c r="F665" s="380" t="n">
        <x:v>3</x:v>
      </x:c>
      <x:c r="G665" s="380" t="n">
        <x:f>--(F665&lt;='Estimator'!$B$7)</x:f>
        <x:v>1</x:v>
      </x:c>
      <x:c r="H665" s="381" t="n">
        <x:f>SUMIFS('Climate Data'!$G$7:$G$366,'Climate Data'!$A$7:$A$366,'Estimator'!$B$4,'Climate Data'!$B$7:$B$366,C665)</x:f>
        <x:v>0.3721198156682028</x:v>
      </x:c>
      <x:c r="I665" s="382" t="n">
        <x:f>SUMIFS('Climate Data'!$H$7:$H$366,'Climate Data'!$A$7:$A$366,'Estimator'!$B$4,'Climate Data'!$B$7:$B$366,C665)</x:f>
        <x:v>7.940557275541795</x:v>
      </x:c>
      <x:c r="J665" s="381" t="n">
        <x:f>SUMIFS('Wind Proxy'!$H$8:$H$19,'Wind Proxy'!$A$8:$A$19,'Estimator'!$B$4,'Wind Proxy'!$B$8:$B$19,C665)</x:f>
        <x:v>0.21505376344086022</x:v>
      </x:c>
    </x:row>
    <x:row r="666">
      <x:c r="A666" s="379" t="n">
        <x:v>46317</x:v>
      </x:c>
      <x:c r="B666" s="380" t="n">
        <x:v>2026</x:v>
      </x:c>
      <x:c r="C666" s="380" t="n">
        <x:v>10</x:v>
      </x:c>
      <x:c r="D666" s="380" t="str">
        <x:v>Oct</x:v>
      </x:c>
      <x:c r="E666" s="380" t="n">
        <x:v>22</x:v>
      </x:c>
      <x:c r="F666" s="380" t="n">
        <x:v>4</x:v>
      </x:c>
      <x:c r="G666" s="380" t="n">
        <x:f>--(F666&lt;='Estimator'!$B$7)</x:f>
        <x:v>1</x:v>
      </x:c>
      <x:c r="H666" s="381" t="n">
        <x:f>SUMIFS('Climate Data'!$G$7:$G$366,'Climate Data'!$A$7:$A$366,'Estimator'!$B$4,'Climate Data'!$B$7:$B$366,C666)</x:f>
        <x:v>0.3721198156682028</x:v>
      </x:c>
      <x:c r="I666" s="382" t="n">
        <x:f>SUMIFS('Climate Data'!$H$7:$H$366,'Climate Data'!$A$7:$A$366,'Estimator'!$B$4,'Climate Data'!$B$7:$B$366,C666)</x:f>
        <x:v>7.940557275541795</x:v>
      </x:c>
      <x:c r="J666" s="381" t="n">
        <x:f>SUMIFS('Wind Proxy'!$H$8:$H$19,'Wind Proxy'!$A$8:$A$19,'Estimator'!$B$4,'Wind Proxy'!$B$8:$B$19,C666)</x:f>
        <x:v>0.21505376344086022</x:v>
      </x:c>
    </x:row>
    <x:row r="667">
      <x:c r="A667" s="379" t="n">
        <x:v>46318</x:v>
      </x:c>
      <x:c r="B667" s="380" t="n">
        <x:v>2026</x:v>
      </x:c>
      <x:c r="C667" s="380" t="n">
        <x:v>10</x:v>
      </x:c>
      <x:c r="D667" s="380" t="str">
        <x:v>Oct</x:v>
      </x:c>
      <x:c r="E667" s="380" t="n">
        <x:v>23</x:v>
      </x:c>
      <x:c r="F667" s="380" t="n">
        <x:v>5</x:v>
      </x:c>
      <x:c r="G667" s="380" t="n">
        <x:f>--(F667&lt;='Estimator'!$B$7)</x:f>
        <x:v>1</x:v>
      </x:c>
      <x:c r="H667" s="381" t="n">
        <x:f>SUMIFS('Climate Data'!$G$7:$G$366,'Climate Data'!$A$7:$A$366,'Estimator'!$B$4,'Climate Data'!$B$7:$B$366,C667)</x:f>
        <x:v>0.3721198156682028</x:v>
      </x:c>
      <x:c r="I667" s="382" t="n">
        <x:f>SUMIFS('Climate Data'!$H$7:$H$366,'Climate Data'!$A$7:$A$366,'Estimator'!$B$4,'Climate Data'!$B$7:$B$366,C667)</x:f>
        <x:v>7.940557275541795</x:v>
      </x:c>
      <x:c r="J667" s="381" t="n">
        <x:f>SUMIFS('Wind Proxy'!$H$8:$H$19,'Wind Proxy'!$A$8:$A$19,'Estimator'!$B$4,'Wind Proxy'!$B$8:$B$19,C667)</x:f>
        <x:v>0.21505376344086022</x:v>
      </x:c>
    </x:row>
    <x:row r="668">
      <x:c r="A668" s="379" t="n">
        <x:v>46319</x:v>
      </x:c>
      <x:c r="B668" s="380" t="n">
        <x:v>2026</x:v>
      </x:c>
      <x:c r="C668" s="380" t="n">
        <x:v>10</x:v>
      </x:c>
      <x:c r="D668" s="380" t="str">
        <x:v>Oct</x:v>
      </x:c>
      <x:c r="E668" s="380" t="n">
        <x:v>24</x:v>
      </x:c>
      <x:c r="F668" s="380" t="n">
        <x:v>6</x:v>
      </x:c>
      <x:c r="G668" s="380" t="n">
        <x:f>--(F668&lt;='Estimator'!$B$7)</x:f>
        <x:v>0</x:v>
      </x:c>
      <x:c r="H668" s="381" t="n">
        <x:f>SUMIFS('Climate Data'!$G$7:$G$366,'Climate Data'!$A$7:$A$366,'Estimator'!$B$4,'Climate Data'!$B$7:$B$366,C668)</x:f>
        <x:v>0.3721198156682028</x:v>
      </x:c>
      <x:c r="I668" s="382" t="n">
        <x:f>SUMIFS('Climate Data'!$H$7:$H$366,'Climate Data'!$A$7:$A$366,'Estimator'!$B$4,'Climate Data'!$B$7:$B$366,C668)</x:f>
        <x:v>7.940557275541795</x:v>
      </x:c>
      <x:c r="J668" s="381" t="n">
        <x:f>SUMIFS('Wind Proxy'!$H$8:$H$19,'Wind Proxy'!$A$8:$A$19,'Estimator'!$B$4,'Wind Proxy'!$B$8:$B$19,C668)</x:f>
        <x:v>0.21505376344086022</x:v>
      </x:c>
    </x:row>
    <x:row r="669">
      <x:c r="A669" s="379" t="n">
        <x:v>46320</x:v>
      </x:c>
      <x:c r="B669" s="380" t="n">
        <x:v>2026</x:v>
      </x:c>
      <x:c r="C669" s="380" t="n">
        <x:v>10</x:v>
      </x:c>
      <x:c r="D669" s="380" t="str">
        <x:v>Oct</x:v>
      </x:c>
      <x:c r="E669" s="380" t="n">
        <x:v>25</x:v>
      </x:c>
      <x:c r="F669" s="380" t="n">
        <x:v>7</x:v>
      </x:c>
      <x:c r="G669" s="380" t="n">
        <x:f>--(F669&lt;='Estimator'!$B$7)</x:f>
        <x:v>0</x:v>
      </x:c>
      <x:c r="H669" s="381" t="n">
        <x:f>SUMIFS('Climate Data'!$G$7:$G$366,'Climate Data'!$A$7:$A$366,'Estimator'!$B$4,'Climate Data'!$B$7:$B$366,C669)</x:f>
        <x:v>0.3721198156682028</x:v>
      </x:c>
      <x:c r="I669" s="382" t="n">
        <x:f>SUMIFS('Climate Data'!$H$7:$H$366,'Climate Data'!$A$7:$A$366,'Estimator'!$B$4,'Climate Data'!$B$7:$B$366,C669)</x:f>
        <x:v>7.940557275541795</x:v>
      </x:c>
      <x:c r="J669" s="381" t="n">
        <x:f>SUMIFS('Wind Proxy'!$H$8:$H$19,'Wind Proxy'!$A$8:$A$19,'Estimator'!$B$4,'Wind Proxy'!$B$8:$B$19,C669)</x:f>
        <x:v>0.21505376344086022</x:v>
      </x:c>
    </x:row>
    <x:row r="670">
      <x:c r="A670" s="379" t="n">
        <x:v>46321</x:v>
      </x:c>
      <x:c r="B670" s="380" t="n">
        <x:v>2026</x:v>
      </x:c>
      <x:c r="C670" s="380" t="n">
        <x:v>10</x:v>
      </x:c>
      <x:c r="D670" s="380" t="str">
        <x:v>Oct</x:v>
      </x:c>
      <x:c r="E670" s="380" t="n">
        <x:v>26</x:v>
      </x:c>
      <x:c r="F670" s="380" t="n">
        <x:v>1</x:v>
      </x:c>
      <x:c r="G670" s="380" t="n">
        <x:f>--(F670&lt;='Estimator'!$B$7)</x:f>
        <x:v>1</x:v>
      </x:c>
      <x:c r="H670" s="381" t="n">
        <x:f>SUMIFS('Climate Data'!$G$7:$G$366,'Climate Data'!$A$7:$A$366,'Estimator'!$B$4,'Climate Data'!$B$7:$B$366,C670)</x:f>
        <x:v>0.3721198156682028</x:v>
      </x:c>
      <x:c r="I670" s="382" t="n">
        <x:f>SUMIFS('Climate Data'!$H$7:$H$366,'Climate Data'!$A$7:$A$366,'Estimator'!$B$4,'Climate Data'!$B$7:$B$366,C670)</x:f>
        <x:v>7.940557275541795</x:v>
      </x:c>
      <x:c r="J670" s="381" t="n">
        <x:f>SUMIFS('Wind Proxy'!$H$8:$H$19,'Wind Proxy'!$A$8:$A$19,'Estimator'!$B$4,'Wind Proxy'!$B$8:$B$19,C670)</x:f>
        <x:v>0.21505376344086022</x:v>
      </x:c>
    </x:row>
    <x:row r="671">
      <x:c r="A671" s="379" t="n">
        <x:v>46322</x:v>
      </x:c>
      <x:c r="B671" s="380" t="n">
        <x:v>2026</x:v>
      </x:c>
      <x:c r="C671" s="380" t="n">
        <x:v>10</x:v>
      </x:c>
      <x:c r="D671" s="380" t="str">
        <x:v>Oct</x:v>
      </x:c>
      <x:c r="E671" s="380" t="n">
        <x:v>27</x:v>
      </x:c>
      <x:c r="F671" s="380" t="n">
        <x:v>2</x:v>
      </x:c>
      <x:c r="G671" s="380" t="n">
        <x:f>--(F671&lt;='Estimator'!$B$7)</x:f>
        <x:v>1</x:v>
      </x:c>
      <x:c r="H671" s="381" t="n">
        <x:f>SUMIFS('Climate Data'!$G$7:$G$366,'Climate Data'!$A$7:$A$366,'Estimator'!$B$4,'Climate Data'!$B$7:$B$366,C671)</x:f>
        <x:v>0.3721198156682028</x:v>
      </x:c>
      <x:c r="I671" s="382" t="n">
        <x:f>SUMIFS('Climate Data'!$H$7:$H$366,'Climate Data'!$A$7:$A$366,'Estimator'!$B$4,'Climate Data'!$B$7:$B$366,C671)</x:f>
        <x:v>7.940557275541795</x:v>
      </x:c>
      <x:c r="J671" s="381" t="n">
        <x:f>SUMIFS('Wind Proxy'!$H$8:$H$19,'Wind Proxy'!$A$8:$A$19,'Estimator'!$B$4,'Wind Proxy'!$B$8:$B$19,C671)</x:f>
        <x:v>0.21505376344086022</x:v>
      </x:c>
    </x:row>
    <x:row r="672">
      <x:c r="A672" s="379" t="n">
        <x:v>46323</x:v>
      </x:c>
      <x:c r="B672" s="380" t="n">
        <x:v>2026</x:v>
      </x:c>
      <x:c r="C672" s="380" t="n">
        <x:v>10</x:v>
      </x:c>
      <x:c r="D672" s="380" t="str">
        <x:v>Oct</x:v>
      </x:c>
      <x:c r="E672" s="380" t="n">
        <x:v>28</x:v>
      </x:c>
      <x:c r="F672" s="380" t="n">
        <x:v>3</x:v>
      </x:c>
      <x:c r="G672" s="380" t="n">
        <x:f>--(F672&lt;='Estimator'!$B$7)</x:f>
        <x:v>1</x:v>
      </x:c>
      <x:c r="H672" s="381" t="n">
        <x:f>SUMIFS('Climate Data'!$G$7:$G$366,'Climate Data'!$A$7:$A$366,'Estimator'!$B$4,'Climate Data'!$B$7:$B$366,C672)</x:f>
        <x:v>0.3721198156682028</x:v>
      </x:c>
      <x:c r="I672" s="382" t="n">
        <x:f>SUMIFS('Climate Data'!$H$7:$H$366,'Climate Data'!$A$7:$A$366,'Estimator'!$B$4,'Climate Data'!$B$7:$B$366,C672)</x:f>
        <x:v>7.940557275541795</x:v>
      </x:c>
      <x:c r="J672" s="381" t="n">
        <x:f>SUMIFS('Wind Proxy'!$H$8:$H$19,'Wind Proxy'!$A$8:$A$19,'Estimator'!$B$4,'Wind Proxy'!$B$8:$B$19,C672)</x:f>
        <x:v>0.21505376344086022</x:v>
      </x:c>
    </x:row>
    <x:row r="673">
      <x:c r="A673" s="379" t="n">
        <x:v>46324</x:v>
      </x:c>
      <x:c r="B673" s="380" t="n">
        <x:v>2026</x:v>
      </x:c>
      <x:c r="C673" s="380" t="n">
        <x:v>10</x:v>
      </x:c>
      <x:c r="D673" s="380" t="str">
        <x:v>Oct</x:v>
      </x:c>
      <x:c r="E673" s="380" t="n">
        <x:v>29</x:v>
      </x:c>
      <x:c r="F673" s="380" t="n">
        <x:v>4</x:v>
      </x:c>
      <x:c r="G673" s="380" t="n">
        <x:f>--(F673&lt;='Estimator'!$B$7)</x:f>
        <x:v>1</x:v>
      </x:c>
      <x:c r="H673" s="381" t="n">
        <x:f>SUMIFS('Climate Data'!$G$7:$G$366,'Climate Data'!$A$7:$A$366,'Estimator'!$B$4,'Climate Data'!$B$7:$B$366,C673)</x:f>
        <x:v>0.3721198156682028</x:v>
      </x:c>
      <x:c r="I673" s="382" t="n">
        <x:f>SUMIFS('Climate Data'!$H$7:$H$366,'Climate Data'!$A$7:$A$366,'Estimator'!$B$4,'Climate Data'!$B$7:$B$366,C673)</x:f>
        <x:v>7.940557275541795</x:v>
      </x:c>
      <x:c r="J673" s="381" t="n">
        <x:f>SUMIFS('Wind Proxy'!$H$8:$H$19,'Wind Proxy'!$A$8:$A$19,'Estimator'!$B$4,'Wind Proxy'!$B$8:$B$19,C673)</x:f>
        <x:v>0.21505376344086022</x:v>
      </x:c>
    </x:row>
    <x:row r="674">
      <x:c r="A674" s="379" t="n">
        <x:v>46325</x:v>
      </x:c>
      <x:c r="B674" s="380" t="n">
        <x:v>2026</x:v>
      </x:c>
      <x:c r="C674" s="380" t="n">
        <x:v>10</x:v>
      </x:c>
      <x:c r="D674" s="380" t="str">
        <x:v>Oct</x:v>
      </x:c>
      <x:c r="E674" s="380" t="n">
        <x:v>30</x:v>
      </x:c>
      <x:c r="F674" s="380" t="n">
        <x:v>5</x:v>
      </x:c>
      <x:c r="G674" s="380" t="n">
        <x:f>--(F674&lt;='Estimator'!$B$7)</x:f>
        <x:v>1</x:v>
      </x:c>
      <x:c r="H674" s="381" t="n">
        <x:f>SUMIFS('Climate Data'!$G$7:$G$366,'Climate Data'!$A$7:$A$366,'Estimator'!$B$4,'Climate Data'!$B$7:$B$366,C674)</x:f>
        <x:v>0.3721198156682028</x:v>
      </x:c>
      <x:c r="I674" s="382" t="n">
        <x:f>SUMIFS('Climate Data'!$H$7:$H$366,'Climate Data'!$A$7:$A$366,'Estimator'!$B$4,'Climate Data'!$B$7:$B$366,C674)</x:f>
        <x:v>7.940557275541795</x:v>
      </x:c>
      <x:c r="J674" s="381" t="n">
        <x:f>SUMIFS('Wind Proxy'!$H$8:$H$19,'Wind Proxy'!$A$8:$A$19,'Estimator'!$B$4,'Wind Proxy'!$B$8:$B$19,C674)</x:f>
        <x:v>0.21505376344086022</x:v>
      </x:c>
    </x:row>
    <x:row r="675">
      <x:c r="A675" s="379" t="n">
        <x:v>46326</x:v>
      </x:c>
      <x:c r="B675" s="380" t="n">
        <x:v>2026</x:v>
      </x:c>
      <x:c r="C675" s="380" t="n">
        <x:v>10</x:v>
      </x:c>
      <x:c r="D675" s="380" t="str">
        <x:v>Oct</x:v>
      </x:c>
      <x:c r="E675" s="380" t="n">
        <x:v>31</x:v>
      </x:c>
      <x:c r="F675" s="380" t="n">
        <x:v>6</x:v>
      </x:c>
      <x:c r="G675" s="380" t="n">
        <x:f>--(F675&lt;='Estimator'!$B$7)</x:f>
        <x:v>0</x:v>
      </x:c>
      <x:c r="H675" s="381" t="n">
        <x:f>SUMIFS('Climate Data'!$G$7:$G$366,'Climate Data'!$A$7:$A$366,'Estimator'!$B$4,'Climate Data'!$B$7:$B$366,C675)</x:f>
        <x:v>0.3721198156682028</x:v>
      </x:c>
      <x:c r="I675" s="382" t="n">
        <x:f>SUMIFS('Climate Data'!$H$7:$H$366,'Climate Data'!$A$7:$A$366,'Estimator'!$B$4,'Climate Data'!$B$7:$B$366,C675)</x:f>
        <x:v>7.940557275541795</x:v>
      </x:c>
      <x:c r="J675" s="381" t="n">
        <x:f>SUMIFS('Wind Proxy'!$H$8:$H$19,'Wind Proxy'!$A$8:$A$19,'Estimator'!$B$4,'Wind Proxy'!$B$8:$B$19,C675)</x:f>
        <x:v>0.21505376344086022</x:v>
      </x:c>
    </x:row>
    <x:row r="676">
      <x:c r="A676" s="379" t="n">
        <x:v>46327</x:v>
      </x:c>
      <x:c r="B676" s="380" t="n">
        <x:v>2026</x:v>
      </x:c>
      <x:c r="C676" s="380" t="n">
        <x:v>11</x:v>
      </x:c>
      <x:c r="D676" s="380" t="str">
        <x:v>Nov</x:v>
      </x:c>
      <x:c r="E676" s="380" t="n">
        <x:v>1</x:v>
      </x:c>
      <x:c r="F676" s="380" t="n">
        <x:v>7</x:v>
      </x:c>
      <x:c r="G676" s="380" t="n">
        <x:f>--(F676&lt;='Estimator'!$B$7)</x:f>
        <x:v>0</x:v>
      </x:c>
      <x:c r="H676" s="381" t="n">
        <x:f>SUMIFS('Climate Data'!$G$7:$G$366,'Climate Data'!$A$7:$A$366,'Estimator'!$B$4,'Climate Data'!$B$7:$B$366,C676)</x:f>
        <x:v>0.3111111111111111</x:v>
      </x:c>
      <x:c r="I676" s="382" t="n">
        <x:f>SUMIFS('Climate Data'!$H$7:$H$366,'Climate Data'!$A$7:$A$366,'Estimator'!$B$4,'Climate Data'!$B$7:$B$366,C676)</x:f>
        <x:v>7.382142857142857</x:v>
      </x:c>
      <x:c r="J676" s="381" t="n">
        <x:f>SUMIFS('Wind Proxy'!$H$8:$H$19,'Wind Proxy'!$A$8:$A$19,'Estimator'!$B$4,'Wind Proxy'!$B$8:$B$19,C676)</x:f>
        <x:v>0.22222222222222224</x:v>
      </x:c>
    </x:row>
    <x:row r="677">
      <x:c r="A677" s="379" t="n">
        <x:v>46328</x:v>
      </x:c>
      <x:c r="B677" s="380" t="n">
        <x:v>2026</x:v>
      </x:c>
      <x:c r="C677" s="380" t="n">
        <x:v>11</x:v>
      </x:c>
      <x:c r="D677" s="380" t="str">
        <x:v>Nov</x:v>
      </x:c>
      <x:c r="E677" s="380" t="n">
        <x:v>2</x:v>
      </x:c>
      <x:c r="F677" s="380" t="n">
        <x:v>1</x:v>
      </x:c>
      <x:c r="G677" s="380" t="n">
        <x:f>--(F677&lt;='Estimator'!$B$7)</x:f>
        <x:v>1</x:v>
      </x:c>
      <x:c r="H677" s="381" t="n">
        <x:f>SUMIFS('Climate Data'!$G$7:$G$366,'Climate Data'!$A$7:$A$366,'Estimator'!$B$4,'Climate Data'!$B$7:$B$366,C677)</x:f>
        <x:v>0.3111111111111111</x:v>
      </x:c>
      <x:c r="I677" s="382" t="n">
        <x:f>SUMIFS('Climate Data'!$H$7:$H$366,'Climate Data'!$A$7:$A$366,'Estimator'!$B$4,'Climate Data'!$B$7:$B$366,C677)</x:f>
        <x:v>7.382142857142857</x:v>
      </x:c>
      <x:c r="J677" s="381" t="n">
        <x:f>SUMIFS('Wind Proxy'!$H$8:$H$19,'Wind Proxy'!$A$8:$A$19,'Estimator'!$B$4,'Wind Proxy'!$B$8:$B$19,C677)</x:f>
        <x:v>0.22222222222222224</x:v>
      </x:c>
    </x:row>
    <x:row r="678">
      <x:c r="A678" s="379" t="n">
        <x:v>46329</x:v>
      </x:c>
      <x:c r="B678" s="380" t="n">
        <x:v>2026</x:v>
      </x:c>
      <x:c r="C678" s="380" t="n">
        <x:v>11</x:v>
      </x:c>
      <x:c r="D678" s="380" t="str">
        <x:v>Nov</x:v>
      </x:c>
      <x:c r="E678" s="380" t="n">
        <x:v>3</x:v>
      </x:c>
      <x:c r="F678" s="380" t="n">
        <x:v>2</x:v>
      </x:c>
      <x:c r="G678" s="380" t="n">
        <x:f>--(F678&lt;='Estimator'!$B$7)</x:f>
        <x:v>1</x:v>
      </x:c>
      <x:c r="H678" s="381" t="n">
        <x:f>SUMIFS('Climate Data'!$G$7:$G$366,'Climate Data'!$A$7:$A$366,'Estimator'!$B$4,'Climate Data'!$B$7:$B$366,C678)</x:f>
        <x:v>0.3111111111111111</x:v>
      </x:c>
      <x:c r="I678" s="382" t="n">
        <x:f>SUMIFS('Climate Data'!$H$7:$H$366,'Climate Data'!$A$7:$A$366,'Estimator'!$B$4,'Climate Data'!$B$7:$B$366,C678)</x:f>
        <x:v>7.382142857142857</x:v>
      </x:c>
      <x:c r="J678" s="381" t="n">
        <x:f>SUMIFS('Wind Proxy'!$H$8:$H$19,'Wind Proxy'!$A$8:$A$19,'Estimator'!$B$4,'Wind Proxy'!$B$8:$B$19,C678)</x:f>
        <x:v>0.22222222222222224</x:v>
      </x:c>
    </x:row>
    <x:row r="679">
      <x:c r="A679" s="379" t="n">
        <x:v>46330</x:v>
      </x:c>
      <x:c r="B679" s="380" t="n">
        <x:v>2026</x:v>
      </x:c>
      <x:c r="C679" s="380" t="n">
        <x:v>11</x:v>
      </x:c>
      <x:c r="D679" s="380" t="str">
        <x:v>Nov</x:v>
      </x:c>
      <x:c r="E679" s="380" t="n">
        <x:v>4</x:v>
      </x:c>
      <x:c r="F679" s="380" t="n">
        <x:v>3</x:v>
      </x:c>
      <x:c r="G679" s="380" t="n">
        <x:f>--(F679&lt;='Estimator'!$B$7)</x:f>
        <x:v>1</x:v>
      </x:c>
      <x:c r="H679" s="381" t="n">
        <x:f>SUMIFS('Climate Data'!$G$7:$G$366,'Climate Data'!$A$7:$A$366,'Estimator'!$B$4,'Climate Data'!$B$7:$B$366,C679)</x:f>
        <x:v>0.3111111111111111</x:v>
      </x:c>
      <x:c r="I679" s="382" t="n">
        <x:f>SUMIFS('Climate Data'!$H$7:$H$366,'Climate Data'!$A$7:$A$366,'Estimator'!$B$4,'Climate Data'!$B$7:$B$366,C679)</x:f>
        <x:v>7.382142857142857</x:v>
      </x:c>
      <x:c r="J679" s="381" t="n">
        <x:f>SUMIFS('Wind Proxy'!$H$8:$H$19,'Wind Proxy'!$A$8:$A$19,'Estimator'!$B$4,'Wind Proxy'!$B$8:$B$19,C679)</x:f>
        <x:v>0.22222222222222224</x:v>
      </x:c>
    </x:row>
    <x:row r="680">
      <x:c r="A680" s="379" t="n">
        <x:v>46331</x:v>
      </x:c>
      <x:c r="B680" s="380" t="n">
        <x:v>2026</x:v>
      </x:c>
      <x:c r="C680" s="380" t="n">
        <x:v>11</x:v>
      </x:c>
      <x:c r="D680" s="380" t="str">
        <x:v>Nov</x:v>
      </x:c>
      <x:c r="E680" s="380" t="n">
        <x:v>5</x:v>
      </x:c>
      <x:c r="F680" s="380" t="n">
        <x:v>4</x:v>
      </x:c>
      <x:c r="G680" s="380" t="n">
        <x:f>--(F680&lt;='Estimator'!$B$7)</x:f>
        <x:v>1</x:v>
      </x:c>
      <x:c r="H680" s="381" t="n">
        <x:f>SUMIFS('Climate Data'!$G$7:$G$366,'Climate Data'!$A$7:$A$366,'Estimator'!$B$4,'Climate Data'!$B$7:$B$366,C680)</x:f>
        <x:v>0.3111111111111111</x:v>
      </x:c>
      <x:c r="I680" s="382" t="n">
        <x:f>SUMIFS('Climate Data'!$H$7:$H$366,'Climate Data'!$A$7:$A$366,'Estimator'!$B$4,'Climate Data'!$B$7:$B$366,C680)</x:f>
        <x:v>7.382142857142857</x:v>
      </x:c>
      <x:c r="J680" s="381" t="n">
        <x:f>SUMIFS('Wind Proxy'!$H$8:$H$19,'Wind Proxy'!$A$8:$A$19,'Estimator'!$B$4,'Wind Proxy'!$B$8:$B$19,C680)</x:f>
        <x:v>0.22222222222222224</x:v>
      </x:c>
    </x:row>
    <x:row r="681">
      <x:c r="A681" s="379" t="n">
        <x:v>46332</x:v>
      </x:c>
      <x:c r="B681" s="380" t="n">
        <x:v>2026</x:v>
      </x:c>
      <x:c r="C681" s="380" t="n">
        <x:v>11</x:v>
      </x:c>
      <x:c r="D681" s="380" t="str">
        <x:v>Nov</x:v>
      </x:c>
      <x:c r="E681" s="380" t="n">
        <x:v>6</x:v>
      </x:c>
      <x:c r="F681" s="380" t="n">
        <x:v>5</x:v>
      </x:c>
      <x:c r="G681" s="380" t="n">
        <x:f>--(F681&lt;='Estimator'!$B$7)</x:f>
        <x:v>1</x:v>
      </x:c>
      <x:c r="H681" s="381" t="n">
        <x:f>SUMIFS('Climate Data'!$G$7:$G$366,'Climate Data'!$A$7:$A$366,'Estimator'!$B$4,'Climate Data'!$B$7:$B$366,C681)</x:f>
        <x:v>0.3111111111111111</x:v>
      </x:c>
      <x:c r="I681" s="382" t="n">
        <x:f>SUMIFS('Climate Data'!$H$7:$H$366,'Climate Data'!$A$7:$A$366,'Estimator'!$B$4,'Climate Data'!$B$7:$B$366,C681)</x:f>
        <x:v>7.382142857142857</x:v>
      </x:c>
      <x:c r="J681" s="381" t="n">
        <x:f>SUMIFS('Wind Proxy'!$H$8:$H$19,'Wind Proxy'!$A$8:$A$19,'Estimator'!$B$4,'Wind Proxy'!$B$8:$B$19,C681)</x:f>
        <x:v>0.22222222222222224</x:v>
      </x:c>
    </x:row>
    <x:row r="682">
      <x:c r="A682" s="379" t="n">
        <x:v>46333</x:v>
      </x:c>
      <x:c r="B682" s="380" t="n">
        <x:v>2026</x:v>
      </x:c>
      <x:c r="C682" s="380" t="n">
        <x:v>11</x:v>
      </x:c>
      <x:c r="D682" s="380" t="str">
        <x:v>Nov</x:v>
      </x:c>
      <x:c r="E682" s="380" t="n">
        <x:v>7</x:v>
      </x:c>
      <x:c r="F682" s="380" t="n">
        <x:v>6</x:v>
      </x:c>
      <x:c r="G682" s="380" t="n">
        <x:f>--(F682&lt;='Estimator'!$B$7)</x:f>
        <x:v>0</x:v>
      </x:c>
      <x:c r="H682" s="381" t="n">
        <x:f>SUMIFS('Climate Data'!$G$7:$G$366,'Climate Data'!$A$7:$A$366,'Estimator'!$B$4,'Climate Data'!$B$7:$B$366,C682)</x:f>
        <x:v>0.3111111111111111</x:v>
      </x:c>
      <x:c r="I682" s="382" t="n">
        <x:f>SUMIFS('Climate Data'!$H$7:$H$366,'Climate Data'!$A$7:$A$366,'Estimator'!$B$4,'Climate Data'!$B$7:$B$366,C682)</x:f>
        <x:v>7.382142857142857</x:v>
      </x:c>
      <x:c r="J682" s="381" t="n">
        <x:f>SUMIFS('Wind Proxy'!$H$8:$H$19,'Wind Proxy'!$A$8:$A$19,'Estimator'!$B$4,'Wind Proxy'!$B$8:$B$19,C682)</x:f>
        <x:v>0.22222222222222224</x:v>
      </x:c>
    </x:row>
    <x:row r="683">
      <x:c r="A683" s="379" t="n">
        <x:v>46334</x:v>
      </x:c>
      <x:c r="B683" s="380" t="n">
        <x:v>2026</x:v>
      </x:c>
      <x:c r="C683" s="380" t="n">
        <x:v>11</x:v>
      </x:c>
      <x:c r="D683" s="380" t="str">
        <x:v>Nov</x:v>
      </x:c>
      <x:c r="E683" s="380" t="n">
        <x:v>8</x:v>
      </x:c>
      <x:c r="F683" s="380" t="n">
        <x:v>7</x:v>
      </x:c>
      <x:c r="G683" s="380" t="n">
        <x:f>--(F683&lt;='Estimator'!$B$7)</x:f>
        <x:v>0</x:v>
      </x:c>
      <x:c r="H683" s="381" t="n">
        <x:f>SUMIFS('Climate Data'!$G$7:$G$366,'Climate Data'!$A$7:$A$366,'Estimator'!$B$4,'Climate Data'!$B$7:$B$366,C683)</x:f>
        <x:v>0.3111111111111111</x:v>
      </x:c>
      <x:c r="I683" s="382" t="n">
        <x:f>SUMIFS('Climate Data'!$H$7:$H$366,'Climate Data'!$A$7:$A$366,'Estimator'!$B$4,'Climate Data'!$B$7:$B$366,C683)</x:f>
        <x:v>7.382142857142857</x:v>
      </x:c>
      <x:c r="J683" s="381" t="n">
        <x:f>SUMIFS('Wind Proxy'!$H$8:$H$19,'Wind Proxy'!$A$8:$A$19,'Estimator'!$B$4,'Wind Proxy'!$B$8:$B$19,C683)</x:f>
        <x:v>0.22222222222222224</x:v>
      </x:c>
    </x:row>
    <x:row r="684">
      <x:c r="A684" s="379" t="n">
        <x:v>46335</x:v>
      </x:c>
      <x:c r="B684" s="380" t="n">
        <x:v>2026</x:v>
      </x:c>
      <x:c r="C684" s="380" t="n">
        <x:v>11</x:v>
      </x:c>
      <x:c r="D684" s="380" t="str">
        <x:v>Nov</x:v>
      </x:c>
      <x:c r="E684" s="380" t="n">
        <x:v>9</x:v>
      </x:c>
      <x:c r="F684" s="380" t="n">
        <x:v>1</x:v>
      </x:c>
      <x:c r="G684" s="380" t="n">
        <x:f>--(F684&lt;='Estimator'!$B$7)</x:f>
        <x:v>1</x:v>
      </x:c>
      <x:c r="H684" s="381" t="n">
        <x:f>SUMIFS('Climate Data'!$G$7:$G$366,'Climate Data'!$A$7:$A$366,'Estimator'!$B$4,'Climate Data'!$B$7:$B$366,C684)</x:f>
        <x:v>0.3111111111111111</x:v>
      </x:c>
      <x:c r="I684" s="382" t="n">
        <x:f>SUMIFS('Climate Data'!$H$7:$H$366,'Climate Data'!$A$7:$A$366,'Estimator'!$B$4,'Climate Data'!$B$7:$B$366,C684)</x:f>
        <x:v>7.382142857142857</x:v>
      </x:c>
      <x:c r="J684" s="381" t="n">
        <x:f>SUMIFS('Wind Proxy'!$H$8:$H$19,'Wind Proxy'!$A$8:$A$19,'Estimator'!$B$4,'Wind Proxy'!$B$8:$B$19,C684)</x:f>
        <x:v>0.22222222222222224</x:v>
      </x:c>
    </x:row>
    <x:row r="685">
      <x:c r="A685" s="379" t="n">
        <x:v>46336</x:v>
      </x:c>
      <x:c r="B685" s="380" t="n">
        <x:v>2026</x:v>
      </x:c>
      <x:c r="C685" s="380" t="n">
        <x:v>11</x:v>
      </x:c>
      <x:c r="D685" s="380" t="str">
        <x:v>Nov</x:v>
      </x:c>
      <x:c r="E685" s="380" t="n">
        <x:v>10</x:v>
      </x:c>
      <x:c r="F685" s="380" t="n">
        <x:v>2</x:v>
      </x:c>
      <x:c r="G685" s="380" t="n">
        <x:f>--(F685&lt;='Estimator'!$B$7)</x:f>
        <x:v>1</x:v>
      </x:c>
      <x:c r="H685" s="381" t="n">
        <x:f>SUMIFS('Climate Data'!$G$7:$G$366,'Climate Data'!$A$7:$A$366,'Estimator'!$B$4,'Climate Data'!$B$7:$B$366,C685)</x:f>
        <x:v>0.3111111111111111</x:v>
      </x:c>
      <x:c r="I685" s="382" t="n">
        <x:f>SUMIFS('Climate Data'!$H$7:$H$366,'Climate Data'!$A$7:$A$366,'Estimator'!$B$4,'Climate Data'!$B$7:$B$366,C685)</x:f>
        <x:v>7.382142857142857</x:v>
      </x:c>
      <x:c r="J685" s="381" t="n">
        <x:f>SUMIFS('Wind Proxy'!$H$8:$H$19,'Wind Proxy'!$A$8:$A$19,'Estimator'!$B$4,'Wind Proxy'!$B$8:$B$19,C685)</x:f>
        <x:v>0.22222222222222224</x:v>
      </x:c>
    </x:row>
    <x:row r="686">
      <x:c r="A686" s="379" t="n">
        <x:v>46337</x:v>
      </x:c>
      <x:c r="B686" s="380" t="n">
        <x:v>2026</x:v>
      </x:c>
      <x:c r="C686" s="380" t="n">
        <x:v>11</x:v>
      </x:c>
      <x:c r="D686" s="380" t="str">
        <x:v>Nov</x:v>
      </x:c>
      <x:c r="E686" s="380" t="n">
        <x:v>11</x:v>
      </x:c>
      <x:c r="F686" s="380" t="n">
        <x:v>3</x:v>
      </x:c>
      <x:c r="G686" s="380" t="n">
        <x:f>--(F686&lt;='Estimator'!$B$7)</x:f>
        <x:v>1</x:v>
      </x:c>
      <x:c r="H686" s="381" t="n">
        <x:f>SUMIFS('Climate Data'!$G$7:$G$366,'Climate Data'!$A$7:$A$366,'Estimator'!$B$4,'Climate Data'!$B$7:$B$366,C686)</x:f>
        <x:v>0.3111111111111111</x:v>
      </x:c>
      <x:c r="I686" s="382" t="n">
        <x:f>SUMIFS('Climate Data'!$H$7:$H$366,'Climate Data'!$A$7:$A$366,'Estimator'!$B$4,'Climate Data'!$B$7:$B$366,C686)</x:f>
        <x:v>7.382142857142857</x:v>
      </x:c>
      <x:c r="J686" s="381" t="n">
        <x:f>SUMIFS('Wind Proxy'!$H$8:$H$19,'Wind Proxy'!$A$8:$A$19,'Estimator'!$B$4,'Wind Proxy'!$B$8:$B$19,C686)</x:f>
        <x:v>0.22222222222222224</x:v>
      </x:c>
    </x:row>
    <x:row r="687">
      <x:c r="A687" s="379" t="n">
        <x:v>46338</x:v>
      </x:c>
      <x:c r="B687" s="380" t="n">
        <x:v>2026</x:v>
      </x:c>
      <x:c r="C687" s="380" t="n">
        <x:v>11</x:v>
      </x:c>
      <x:c r="D687" s="380" t="str">
        <x:v>Nov</x:v>
      </x:c>
      <x:c r="E687" s="380" t="n">
        <x:v>12</x:v>
      </x:c>
      <x:c r="F687" s="380" t="n">
        <x:v>4</x:v>
      </x:c>
      <x:c r="G687" s="380" t="n">
        <x:f>--(F687&lt;='Estimator'!$B$7)</x:f>
        <x:v>1</x:v>
      </x:c>
      <x:c r="H687" s="381" t="n">
        <x:f>SUMIFS('Climate Data'!$G$7:$G$366,'Climate Data'!$A$7:$A$366,'Estimator'!$B$4,'Climate Data'!$B$7:$B$366,C687)</x:f>
        <x:v>0.3111111111111111</x:v>
      </x:c>
      <x:c r="I687" s="382" t="n">
        <x:f>SUMIFS('Climate Data'!$H$7:$H$366,'Climate Data'!$A$7:$A$366,'Estimator'!$B$4,'Climate Data'!$B$7:$B$366,C687)</x:f>
        <x:v>7.382142857142857</x:v>
      </x:c>
      <x:c r="J687" s="381" t="n">
        <x:f>SUMIFS('Wind Proxy'!$H$8:$H$19,'Wind Proxy'!$A$8:$A$19,'Estimator'!$B$4,'Wind Proxy'!$B$8:$B$19,C687)</x:f>
        <x:v>0.22222222222222224</x:v>
      </x:c>
    </x:row>
    <x:row r="688">
      <x:c r="A688" s="379" t="n">
        <x:v>46339</x:v>
      </x:c>
      <x:c r="B688" s="380" t="n">
        <x:v>2026</x:v>
      </x:c>
      <x:c r="C688" s="380" t="n">
        <x:v>11</x:v>
      </x:c>
      <x:c r="D688" s="380" t="str">
        <x:v>Nov</x:v>
      </x:c>
      <x:c r="E688" s="380" t="n">
        <x:v>13</x:v>
      </x:c>
      <x:c r="F688" s="380" t="n">
        <x:v>5</x:v>
      </x:c>
      <x:c r="G688" s="380" t="n">
        <x:f>--(F688&lt;='Estimator'!$B$7)</x:f>
        <x:v>1</x:v>
      </x:c>
      <x:c r="H688" s="381" t="n">
        <x:f>SUMIFS('Climate Data'!$G$7:$G$366,'Climate Data'!$A$7:$A$366,'Estimator'!$B$4,'Climate Data'!$B$7:$B$366,C688)</x:f>
        <x:v>0.3111111111111111</x:v>
      </x:c>
      <x:c r="I688" s="382" t="n">
        <x:f>SUMIFS('Climate Data'!$H$7:$H$366,'Climate Data'!$A$7:$A$366,'Estimator'!$B$4,'Climate Data'!$B$7:$B$366,C688)</x:f>
        <x:v>7.382142857142857</x:v>
      </x:c>
      <x:c r="J688" s="381" t="n">
        <x:f>SUMIFS('Wind Proxy'!$H$8:$H$19,'Wind Proxy'!$A$8:$A$19,'Estimator'!$B$4,'Wind Proxy'!$B$8:$B$19,C688)</x:f>
        <x:v>0.22222222222222224</x:v>
      </x:c>
    </x:row>
    <x:row r="689">
      <x:c r="A689" s="379" t="n">
        <x:v>46340</x:v>
      </x:c>
      <x:c r="B689" s="380" t="n">
        <x:v>2026</x:v>
      </x:c>
      <x:c r="C689" s="380" t="n">
        <x:v>11</x:v>
      </x:c>
      <x:c r="D689" s="380" t="str">
        <x:v>Nov</x:v>
      </x:c>
      <x:c r="E689" s="380" t="n">
        <x:v>14</x:v>
      </x:c>
      <x:c r="F689" s="380" t="n">
        <x:v>6</x:v>
      </x:c>
      <x:c r="G689" s="380" t="n">
        <x:f>--(F689&lt;='Estimator'!$B$7)</x:f>
        <x:v>0</x:v>
      </x:c>
      <x:c r="H689" s="381" t="n">
        <x:f>SUMIFS('Climate Data'!$G$7:$G$366,'Climate Data'!$A$7:$A$366,'Estimator'!$B$4,'Climate Data'!$B$7:$B$366,C689)</x:f>
        <x:v>0.3111111111111111</x:v>
      </x:c>
      <x:c r="I689" s="382" t="n">
        <x:f>SUMIFS('Climate Data'!$H$7:$H$366,'Climate Data'!$A$7:$A$366,'Estimator'!$B$4,'Climate Data'!$B$7:$B$366,C689)</x:f>
        <x:v>7.382142857142857</x:v>
      </x:c>
      <x:c r="J689" s="381" t="n">
        <x:f>SUMIFS('Wind Proxy'!$H$8:$H$19,'Wind Proxy'!$A$8:$A$19,'Estimator'!$B$4,'Wind Proxy'!$B$8:$B$19,C689)</x:f>
        <x:v>0.22222222222222224</x:v>
      </x:c>
    </x:row>
    <x:row r="690">
      <x:c r="A690" s="379" t="n">
        <x:v>46341</x:v>
      </x:c>
      <x:c r="B690" s="380" t="n">
        <x:v>2026</x:v>
      </x:c>
      <x:c r="C690" s="380" t="n">
        <x:v>11</x:v>
      </x:c>
      <x:c r="D690" s="380" t="str">
        <x:v>Nov</x:v>
      </x:c>
      <x:c r="E690" s="380" t="n">
        <x:v>15</x:v>
      </x:c>
      <x:c r="F690" s="380" t="n">
        <x:v>7</x:v>
      </x:c>
      <x:c r="G690" s="380" t="n">
        <x:f>--(F690&lt;='Estimator'!$B$7)</x:f>
        <x:v>0</x:v>
      </x:c>
      <x:c r="H690" s="381" t="n">
        <x:f>SUMIFS('Climate Data'!$G$7:$G$366,'Climate Data'!$A$7:$A$366,'Estimator'!$B$4,'Climate Data'!$B$7:$B$366,C690)</x:f>
        <x:v>0.3111111111111111</x:v>
      </x:c>
      <x:c r="I690" s="382" t="n">
        <x:f>SUMIFS('Climate Data'!$H$7:$H$366,'Climate Data'!$A$7:$A$366,'Estimator'!$B$4,'Climate Data'!$B$7:$B$366,C690)</x:f>
        <x:v>7.382142857142857</x:v>
      </x:c>
      <x:c r="J690" s="381" t="n">
        <x:f>SUMIFS('Wind Proxy'!$H$8:$H$19,'Wind Proxy'!$A$8:$A$19,'Estimator'!$B$4,'Wind Proxy'!$B$8:$B$19,C690)</x:f>
        <x:v>0.22222222222222224</x:v>
      </x:c>
    </x:row>
    <x:row r="691">
      <x:c r="A691" s="379" t="n">
        <x:v>46342</x:v>
      </x:c>
      <x:c r="B691" s="380" t="n">
        <x:v>2026</x:v>
      </x:c>
      <x:c r="C691" s="380" t="n">
        <x:v>11</x:v>
      </x:c>
      <x:c r="D691" s="380" t="str">
        <x:v>Nov</x:v>
      </x:c>
      <x:c r="E691" s="380" t="n">
        <x:v>16</x:v>
      </x:c>
      <x:c r="F691" s="380" t="n">
        <x:v>1</x:v>
      </x:c>
      <x:c r="G691" s="380" t="n">
        <x:f>--(F691&lt;='Estimator'!$B$7)</x:f>
        <x:v>1</x:v>
      </x:c>
      <x:c r="H691" s="381" t="n">
        <x:f>SUMIFS('Climate Data'!$G$7:$G$366,'Climate Data'!$A$7:$A$366,'Estimator'!$B$4,'Climate Data'!$B$7:$B$366,C691)</x:f>
        <x:v>0.3111111111111111</x:v>
      </x:c>
      <x:c r="I691" s="382" t="n">
        <x:f>SUMIFS('Climate Data'!$H$7:$H$366,'Climate Data'!$A$7:$A$366,'Estimator'!$B$4,'Climate Data'!$B$7:$B$366,C691)</x:f>
        <x:v>7.382142857142857</x:v>
      </x:c>
      <x:c r="J691" s="381" t="n">
        <x:f>SUMIFS('Wind Proxy'!$H$8:$H$19,'Wind Proxy'!$A$8:$A$19,'Estimator'!$B$4,'Wind Proxy'!$B$8:$B$19,C691)</x:f>
        <x:v>0.22222222222222224</x:v>
      </x:c>
    </x:row>
    <x:row r="692">
      <x:c r="A692" s="379" t="n">
        <x:v>46343</x:v>
      </x:c>
      <x:c r="B692" s="380" t="n">
        <x:v>2026</x:v>
      </x:c>
      <x:c r="C692" s="380" t="n">
        <x:v>11</x:v>
      </x:c>
      <x:c r="D692" s="380" t="str">
        <x:v>Nov</x:v>
      </x:c>
      <x:c r="E692" s="380" t="n">
        <x:v>17</x:v>
      </x:c>
      <x:c r="F692" s="380" t="n">
        <x:v>2</x:v>
      </x:c>
      <x:c r="G692" s="380" t="n">
        <x:f>--(F692&lt;='Estimator'!$B$7)</x:f>
        <x:v>1</x:v>
      </x:c>
      <x:c r="H692" s="381" t="n">
        <x:f>SUMIFS('Climate Data'!$G$7:$G$366,'Climate Data'!$A$7:$A$366,'Estimator'!$B$4,'Climate Data'!$B$7:$B$366,C692)</x:f>
        <x:v>0.3111111111111111</x:v>
      </x:c>
      <x:c r="I692" s="382" t="n">
        <x:f>SUMIFS('Climate Data'!$H$7:$H$366,'Climate Data'!$A$7:$A$366,'Estimator'!$B$4,'Climate Data'!$B$7:$B$366,C692)</x:f>
        <x:v>7.382142857142857</x:v>
      </x:c>
      <x:c r="J692" s="381" t="n">
        <x:f>SUMIFS('Wind Proxy'!$H$8:$H$19,'Wind Proxy'!$A$8:$A$19,'Estimator'!$B$4,'Wind Proxy'!$B$8:$B$19,C692)</x:f>
        <x:v>0.22222222222222224</x:v>
      </x:c>
    </x:row>
    <x:row r="693">
      <x:c r="A693" s="379" t="n">
        <x:v>46344</x:v>
      </x:c>
      <x:c r="B693" s="380" t="n">
        <x:v>2026</x:v>
      </x:c>
      <x:c r="C693" s="380" t="n">
        <x:v>11</x:v>
      </x:c>
      <x:c r="D693" s="380" t="str">
        <x:v>Nov</x:v>
      </x:c>
      <x:c r="E693" s="380" t="n">
        <x:v>18</x:v>
      </x:c>
      <x:c r="F693" s="380" t="n">
        <x:v>3</x:v>
      </x:c>
      <x:c r="G693" s="380" t="n">
        <x:f>--(F693&lt;='Estimator'!$B$7)</x:f>
        <x:v>1</x:v>
      </x:c>
      <x:c r="H693" s="381" t="n">
        <x:f>SUMIFS('Climate Data'!$G$7:$G$366,'Climate Data'!$A$7:$A$366,'Estimator'!$B$4,'Climate Data'!$B$7:$B$366,C693)</x:f>
        <x:v>0.3111111111111111</x:v>
      </x:c>
      <x:c r="I693" s="382" t="n">
        <x:f>SUMIFS('Climate Data'!$H$7:$H$366,'Climate Data'!$A$7:$A$366,'Estimator'!$B$4,'Climate Data'!$B$7:$B$366,C693)</x:f>
        <x:v>7.382142857142857</x:v>
      </x:c>
      <x:c r="J693" s="381" t="n">
        <x:f>SUMIFS('Wind Proxy'!$H$8:$H$19,'Wind Proxy'!$A$8:$A$19,'Estimator'!$B$4,'Wind Proxy'!$B$8:$B$19,C693)</x:f>
        <x:v>0.22222222222222224</x:v>
      </x:c>
    </x:row>
    <x:row r="694">
      <x:c r="A694" s="379" t="n">
        <x:v>46345</x:v>
      </x:c>
      <x:c r="B694" s="380" t="n">
        <x:v>2026</x:v>
      </x:c>
      <x:c r="C694" s="380" t="n">
        <x:v>11</x:v>
      </x:c>
      <x:c r="D694" s="380" t="str">
        <x:v>Nov</x:v>
      </x:c>
      <x:c r="E694" s="380" t="n">
        <x:v>19</x:v>
      </x:c>
      <x:c r="F694" s="380" t="n">
        <x:v>4</x:v>
      </x:c>
      <x:c r="G694" s="380" t="n">
        <x:f>--(F694&lt;='Estimator'!$B$7)</x:f>
        <x:v>1</x:v>
      </x:c>
      <x:c r="H694" s="381" t="n">
        <x:f>SUMIFS('Climate Data'!$G$7:$G$366,'Climate Data'!$A$7:$A$366,'Estimator'!$B$4,'Climate Data'!$B$7:$B$366,C694)</x:f>
        <x:v>0.3111111111111111</x:v>
      </x:c>
      <x:c r="I694" s="382" t="n">
        <x:f>SUMIFS('Climate Data'!$H$7:$H$366,'Climate Data'!$A$7:$A$366,'Estimator'!$B$4,'Climate Data'!$B$7:$B$366,C694)</x:f>
        <x:v>7.382142857142857</x:v>
      </x:c>
      <x:c r="J694" s="381" t="n">
        <x:f>SUMIFS('Wind Proxy'!$H$8:$H$19,'Wind Proxy'!$A$8:$A$19,'Estimator'!$B$4,'Wind Proxy'!$B$8:$B$19,C694)</x:f>
        <x:v>0.22222222222222224</x:v>
      </x:c>
    </x:row>
    <x:row r="695">
      <x:c r="A695" s="379" t="n">
        <x:v>46346</x:v>
      </x:c>
      <x:c r="B695" s="380" t="n">
        <x:v>2026</x:v>
      </x:c>
      <x:c r="C695" s="380" t="n">
        <x:v>11</x:v>
      </x:c>
      <x:c r="D695" s="380" t="str">
        <x:v>Nov</x:v>
      </x:c>
      <x:c r="E695" s="380" t="n">
        <x:v>20</x:v>
      </x:c>
      <x:c r="F695" s="380" t="n">
        <x:v>5</x:v>
      </x:c>
      <x:c r="G695" s="380" t="n">
        <x:f>--(F695&lt;='Estimator'!$B$7)</x:f>
        <x:v>1</x:v>
      </x:c>
      <x:c r="H695" s="381" t="n">
        <x:f>SUMIFS('Climate Data'!$G$7:$G$366,'Climate Data'!$A$7:$A$366,'Estimator'!$B$4,'Climate Data'!$B$7:$B$366,C695)</x:f>
        <x:v>0.3111111111111111</x:v>
      </x:c>
      <x:c r="I695" s="382" t="n">
        <x:f>SUMIFS('Climate Data'!$H$7:$H$366,'Climate Data'!$A$7:$A$366,'Estimator'!$B$4,'Climate Data'!$B$7:$B$366,C695)</x:f>
        <x:v>7.382142857142857</x:v>
      </x:c>
      <x:c r="J695" s="381" t="n">
        <x:f>SUMIFS('Wind Proxy'!$H$8:$H$19,'Wind Proxy'!$A$8:$A$19,'Estimator'!$B$4,'Wind Proxy'!$B$8:$B$19,C695)</x:f>
        <x:v>0.22222222222222224</x:v>
      </x:c>
    </x:row>
    <x:row r="696">
      <x:c r="A696" s="379" t="n">
        <x:v>46347</x:v>
      </x:c>
      <x:c r="B696" s="380" t="n">
        <x:v>2026</x:v>
      </x:c>
      <x:c r="C696" s="380" t="n">
        <x:v>11</x:v>
      </x:c>
      <x:c r="D696" s="380" t="str">
        <x:v>Nov</x:v>
      </x:c>
      <x:c r="E696" s="380" t="n">
        <x:v>21</x:v>
      </x:c>
      <x:c r="F696" s="380" t="n">
        <x:v>6</x:v>
      </x:c>
      <x:c r="G696" s="380" t="n">
        <x:f>--(F696&lt;='Estimator'!$B$7)</x:f>
        <x:v>0</x:v>
      </x:c>
      <x:c r="H696" s="381" t="n">
        <x:f>SUMIFS('Climate Data'!$G$7:$G$366,'Climate Data'!$A$7:$A$366,'Estimator'!$B$4,'Climate Data'!$B$7:$B$366,C696)</x:f>
        <x:v>0.3111111111111111</x:v>
      </x:c>
      <x:c r="I696" s="382" t="n">
        <x:f>SUMIFS('Climate Data'!$H$7:$H$366,'Climate Data'!$A$7:$A$366,'Estimator'!$B$4,'Climate Data'!$B$7:$B$366,C696)</x:f>
        <x:v>7.382142857142857</x:v>
      </x:c>
      <x:c r="J696" s="381" t="n">
        <x:f>SUMIFS('Wind Proxy'!$H$8:$H$19,'Wind Proxy'!$A$8:$A$19,'Estimator'!$B$4,'Wind Proxy'!$B$8:$B$19,C696)</x:f>
        <x:v>0.22222222222222224</x:v>
      </x:c>
    </x:row>
    <x:row r="697">
      <x:c r="A697" s="379" t="n">
        <x:v>46348</x:v>
      </x:c>
      <x:c r="B697" s="380" t="n">
        <x:v>2026</x:v>
      </x:c>
      <x:c r="C697" s="380" t="n">
        <x:v>11</x:v>
      </x:c>
      <x:c r="D697" s="380" t="str">
        <x:v>Nov</x:v>
      </x:c>
      <x:c r="E697" s="380" t="n">
        <x:v>22</x:v>
      </x:c>
      <x:c r="F697" s="380" t="n">
        <x:v>7</x:v>
      </x:c>
      <x:c r="G697" s="380" t="n">
        <x:f>--(F697&lt;='Estimator'!$B$7)</x:f>
        <x:v>0</x:v>
      </x:c>
      <x:c r="H697" s="381" t="n">
        <x:f>SUMIFS('Climate Data'!$G$7:$G$366,'Climate Data'!$A$7:$A$366,'Estimator'!$B$4,'Climate Data'!$B$7:$B$366,C697)</x:f>
        <x:v>0.3111111111111111</x:v>
      </x:c>
      <x:c r="I697" s="382" t="n">
        <x:f>SUMIFS('Climate Data'!$H$7:$H$366,'Climate Data'!$A$7:$A$366,'Estimator'!$B$4,'Climate Data'!$B$7:$B$366,C697)</x:f>
        <x:v>7.382142857142857</x:v>
      </x:c>
      <x:c r="J697" s="381" t="n">
        <x:f>SUMIFS('Wind Proxy'!$H$8:$H$19,'Wind Proxy'!$A$8:$A$19,'Estimator'!$B$4,'Wind Proxy'!$B$8:$B$19,C697)</x:f>
        <x:v>0.22222222222222224</x:v>
      </x:c>
    </x:row>
    <x:row r="698">
      <x:c r="A698" s="379" t="n">
        <x:v>46349</x:v>
      </x:c>
      <x:c r="B698" s="380" t="n">
        <x:v>2026</x:v>
      </x:c>
      <x:c r="C698" s="380" t="n">
        <x:v>11</x:v>
      </x:c>
      <x:c r="D698" s="380" t="str">
        <x:v>Nov</x:v>
      </x:c>
      <x:c r="E698" s="380" t="n">
        <x:v>23</x:v>
      </x:c>
      <x:c r="F698" s="380" t="n">
        <x:v>1</x:v>
      </x:c>
      <x:c r="G698" s="380" t="n">
        <x:f>--(F698&lt;='Estimator'!$B$7)</x:f>
        <x:v>1</x:v>
      </x:c>
      <x:c r="H698" s="381" t="n">
        <x:f>SUMIFS('Climate Data'!$G$7:$G$366,'Climate Data'!$A$7:$A$366,'Estimator'!$B$4,'Climate Data'!$B$7:$B$366,C698)</x:f>
        <x:v>0.3111111111111111</x:v>
      </x:c>
      <x:c r="I698" s="382" t="n">
        <x:f>SUMIFS('Climate Data'!$H$7:$H$366,'Climate Data'!$A$7:$A$366,'Estimator'!$B$4,'Climate Data'!$B$7:$B$366,C698)</x:f>
        <x:v>7.382142857142857</x:v>
      </x:c>
      <x:c r="J698" s="381" t="n">
        <x:f>SUMIFS('Wind Proxy'!$H$8:$H$19,'Wind Proxy'!$A$8:$A$19,'Estimator'!$B$4,'Wind Proxy'!$B$8:$B$19,C698)</x:f>
        <x:v>0.22222222222222224</x:v>
      </x:c>
    </x:row>
    <x:row r="699">
      <x:c r="A699" s="379" t="n">
        <x:v>46350</x:v>
      </x:c>
      <x:c r="B699" s="380" t="n">
        <x:v>2026</x:v>
      </x:c>
      <x:c r="C699" s="380" t="n">
        <x:v>11</x:v>
      </x:c>
      <x:c r="D699" s="380" t="str">
        <x:v>Nov</x:v>
      </x:c>
      <x:c r="E699" s="380" t="n">
        <x:v>24</x:v>
      </x:c>
      <x:c r="F699" s="380" t="n">
        <x:v>2</x:v>
      </x:c>
      <x:c r="G699" s="380" t="n">
        <x:f>--(F699&lt;='Estimator'!$B$7)</x:f>
        <x:v>1</x:v>
      </x:c>
      <x:c r="H699" s="381" t="n">
        <x:f>SUMIFS('Climate Data'!$G$7:$G$366,'Climate Data'!$A$7:$A$366,'Estimator'!$B$4,'Climate Data'!$B$7:$B$366,C699)</x:f>
        <x:v>0.3111111111111111</x:v>
      </x:c>
      <x:c r="I699" s="382" t="n">
        <x:f>SUMIFS('Climate Data'!$H$7:$H$366,'Climate Data'!$A$7:$A$366,'Estimator'!$B$4,'Climate Data'!$B$7:$B$366,C699)</x:f>
        <x:v>7.382142857142857</x:v>
      </x:c>
      <x:c r="J699" s="381" t="n">
        <x:f>SUMIFS('Wind Proxy'!$H$8:$H$19,'Wind Proxy'!$A$8:$A$19,'Estimator'!$B$4,'Wind Proxy'!$B$8:$B$19,C699)</x:f>
        <x:v>0.22222222222222224</x:v>
      </x:c>
    </x:row>
    <x:row r="700">
      <x:c r="A700" s="379" t="n">
        <x:v>46351</x:v>
      </x:c>
      <x:c r="B700" s="380" t="n">
        <x:v>2026</x:v>
      </x:c>
      <x:c r="C700" s="380" t="n">
        <x:v>11</x:v>
      </x:c>
      <x:c r="D700" s="380" t="str">
        <x:v>Nov</x:v>
      </x:c>
      <x:c r="E700" s="380" t="n">
        <x:v>25</x:v>
      </x:c>
      <x:c r="F700" s="380" t="n">
        <x:v>3</x:v>
      </x:c>
      <x:c r="G700" s="380" t="n">
        <x:f>--(F700&lt;='Estimator'!$B$7)</x:f>
        <x:v>1</x:v>
      </x:c>
      <x:c r="H700" s="381" t="n">
        <x:f>SUMIFS('Climate Data'!$G$7:$G$366,'Climate Data'!$A$7:$A$366,'Estimator'!$B$4,'Climate Data'!$B$7:$B$366,C700)</x:f>
        <x:v>0.3111111111111111</x:v>
      </x:c>
      <x:c r="I700" s="382" t="n">
        <x:f>SUMIFS('Climate Data'!$H$7:$H$366,'Climate Data'!$A$7:$A$366,'Estimator'!$B$4,'Climate Data'!$B$7:$B$366,C700)</x:f>
        <x:v>7.382142857142857</x:v>
      </x:c>
      <x:c r="J700" s="381" t="n">
        <x:f>SUMIFS('Wind Proxy'!$H$8:$H$19,'Wind Proxy'!$A$8:$A$19,'Estimator'!$B$4,'Wind Proxy'!$B$8:$B$19,C700)</x:f>
        <x:v>0.22222222222222224</x:v>
      </x:c>
    </x:row>
    <x:row r="701">
      <x:c r="A701" s="379" t="n">
        <x:v>46352</x:v>
      </x:c>
      <x:c r="B701" s="380" t="n">
        <x:v>2026</x:v>
      </x:c>
      <x:c r="C701" s="380" t="n">
        <x:v>11</x:v>
      </x:c>
      <x:c r="D701" s="380" t="str">
        <x:v>Nov</x:v>
      </x:c>
      <x:c r="E701" s="380" t="n">
        <x:v>26</x:v>
      </x:c>
      <x:c r="F701" s="380" t="n">
        <x:v>4</x:v>
      </x:c>
      <x:c r="G701" s="380" t="n">
        <x:f>--(F701&lt;='Estimator'!$B$7)</x:f>
        <x:v>1</x:v>
      </x:c>
      <x:c r="H701" s="381" t="n">
        <x:f>SUMIFS('Climate Data'!$G$7:$G$366,'Climate Data'!$A$7:$A$366,'Estimator'!$B$4,'Climate Data'!$B$7:$B$366,C701)</x:f>
        <x:v>0.3111111111111111</x:v>
      </x:c>
      <x:c r="I701" s="382" t="n">
        <x:f>SUMIFS('Climate Data'!$H$7:$H$366,'Climate Data'!$A$7:$A$366,'Estimator'!$B$4,'Climate Data'!$B$7:$B$366,C701)</x:f>
        <x:v>7.382142857142857</x:v>
      </x:c>
      <x:c r="J701" s="381" t="n">
        <x:f>SUMIFS('Wind Proxy'!$H$8:$H$19,'Wind Proxy'!$A$8:$A$19,'Estimator'!$B$4,'Wind Proxy'!$B$8:$B$19,C701)</x:f>
        <x:v>0.22222222222222224</x:v>
      </x:c>
    </x:row>
    <x:row r="702">
      <x:c r="A702" s="379" t="n">
        <x:v>46353</x:v>
      </x:c>
      <x:c r="B702" s="380" t="n">
        <x:v>2026</x:v>
      </x:c>
      <x:c r="C702" s="380" t="n">
        <x:v>11</x:v>
      </x:c>
      <x:c r="D702" s="380" t="str">
        <x:v>Nov</x:v>
      </x:c>
      <x:c r="E702" s="380" t="n">
        <x:v>27</x:v>
      </x:c>
      <x:c r="F702" s="380" t="n">
        <x:v>5</x:v>
      </x:c>
      <x:c r="G702" s="380" t="n">
        <x:f>--(F702&lt;='Estimator'!$B$7)</x:f>
        <x:v>1</x:v>
      </x:c>
      <x:c r="H702" s="381" t="n">
        <x:f>SUMIFS('Climate Data'!$G$7:$G$366,'Climate Data'!$A$7:$A$366,'Estimator'!$B$4,'Climate Data'!$B$7:$B$366,C702)</x:f>
        <x:v>0.3111111111111111</x:v>
      </x:c>
      <x:c r="I702" s="382" t="n">
        <x:f>SUMIFS('Climate Data'!$H$7:$H$366,'Climate Data'!$A$7:$A$366,'Estimator'!$B$4,'Climate Data'!$B$7:$B$366,C702)</x:f>
        <x:v>7.382142857142857</x:v>
      </x:c>
      <x:c r="J702" s="381" t="n">
        <x:f>SUMIFS('Wind Proxy'!$H$8:$H$19,'Wind Proxy'!$A$8:$A$19,'Estimator'!$B$4,'Wind Proxy'!$B$8:$B$19,C702)</x:f>
        <x:v>0.22222222222222224</x:v>
      </x:c>
    </x:row>
    <x:row r="703">
      <x:c r="A703" s="379" t="n">
        <x:v>46354</x:v>
      </x:c>
      <x:c r="B703" s="380" t="n">
        <x:v>2026</x:v>
      </x:c>
      <x:c r="C703" s="380" t="n">
        <x:v>11</x:v>
      </x:c>
      <x:c r="D703" s="380" t="str">
        <x:v>Nov</x:v>
      </x:c>
      <x:c r="E703" s="380" t="n">
        <x:v>28</x:v>
      </x:c>
      <x:c r="F703" s="380" t="n">
        <x:v>6</x:v>
      </x:c>
      <x:c r="G703" s="380" t="n">
        <x:f>--(F703&lt;='Estimator'!$B$7)</x:f>
        <x:v>0</x:v>
      </x:c>
      <x:c r="H703" s="381" t="n">
        <x:f>SUMIFS('Climate Data'!$G$7:$G$366,'Climate Data'!$A$7:$A$366,'Estimator'!$B$4,'Climate Data'!$B$7:$B$366,C703)</x:f>
        <x:v>0.3111111111111111</x:v>
      </x:c>
      <x:c r="I703" s="382" t="n">
        <x:f>SUMIFS('Climate Data'!$H$7:$H$366,'Climate Data'!$A$7:$A$366,'Estimator'!$B$4,'Climate Data'!$B$7:$B$366,C703)</x:f>
        <x:v>7.382142857142857</x:v>
      </x:c>
      <x:c r="J703" s="381" t="n">
        <x:f>SUMIFS('Wind Proxy'!$H$8:$H$19,'Wind Proxy'!$A$8:$A$19,'Estimator'!$B$4,'Wind Proxy'!$B$8:$B$19,C703)</x:f>
        <x:v>0.22222222222222224</x:v>
      </x:c>
    </x:row>
    <x:row r="704">
      <x:c r="A704" s="379" t="n">
        <x:v>46355</x:v>
      </x:c>
      <x:c r="B704" s="380" t="n">
        <x:v>2026</x:v>
      </x:c>
      <x:c r="C704" s="380" t="n">
        <x:v>11</x:v>
      </x:c>
      <x:c r="D704" s="380" t="str">
        <x:v>Nov</x:v>
      </x:c>
      <x:c r="E704" s="380" t="n">
        <x:v>29</x:v>
      </x:c>
      <x:c r="F704" s="380" t="n">
        <x:v>7</x:v>
      </x:c>
      <x:c r="G704" s="380" t="n">
        <x:f>--(F704&lt;='Estimator'!$B$7)</x:f>
        <x:v>0</x:v>
      </x:c>
      <x:c r="H704" s="381" t="n">
        <x:f>SUMIFS('Climate Data'!$G$7:$G$366,'Climate Data'!$A$7:$A$366,'Estimator'!$B$4,'Climate Data'!$B$7:$B$366,C704)</x:f>
        <x:v>0.3111111111111111</x:v>
      </x:c>
      <x:c r="I704" s="382" t="n">
        <x:f>SUMIFS('Climate Data'!$H$7:$H$366,'Climate Data'!$A$7:$A$366,'Estimator'!$B$4,'Climate Data'!$B$7:$B$366,C704)</x:f>
        <x:v>7.382142857142857</x:v>
      </x:c>
      <x:c r="J704" s="381" t="n">
        <x:f>SUMIFS('Wind Proxy'!$H$8:$H$19,'Wind Proxy'!$A$8:$A$19,'Estimator'!$B$4,'Wind Proxy'!$B$8:$B$19,C704)</x:f>
        <x:v>0.22222222222222224</x:v>
      </x:c>
    </x:row>
    <x:row r="705">
      <x:c r="A705" s="379" t="n">
        <x:v>46356</x:v>
      </x:c>
      <x:c r="B705" s="380" t="n">
        <x:v>2026</x:v>
      </x:c>
      <x:c r="C705" s="380" t="n">
        <x:v>11</x:v>
      </x:c>
      <x:c r="D705" s="380" t="str">
        <x:v>Nov</x:v>
      </x:c>
      <x:c r="E705" s="380" t="n">
        <x:v>30</x:v>
      </x:c>
      <x:c r="F705" s="380" t="n">
        <x:v>1</x:v>
      </x:c>
      <x:c r="G705" s="380" t="n">
        <x:f>--(F705&lt;='Estimator'!$B$7)</x:f>
        <x:v>1</x:v>
      </x:c>
      <x:c r="H705" s="381" t="n">
        <x:f>SUMIFS('Climate Data'!$G$7:$G$366,'Climate Data'!$A$7:$A$366,'Estimator'!$B$4,'Climate Data'!$B$7:$B$366,C705)</x:f>
        <x:v>0.3111111111111111</x:v>
      </x:c>
      <x:c r="I705" s="382" t="n">
        <x:f>SUMIFS('Climate Data'!$H$7:$H$366,'Climate Data'!$A$7:$A$366,'Estimator'!$B$4,'Climate Data'!$B$7:$B$366,C705)</x:f>
        <x:v>7.382142857142857</x:v>
      </x:c>
      <x:c r="J705" s="381" t="n">
        <x:f>SUMIFS('Wind Proxy'!$H$8:$H$19,'Wind Proxy'!$A$8:$A$19,'Estimator'!$B$4,'Wind Proxy'!$B$8:$B$19,C705)</x:f>
        <x:v>0.22222222222222224</x:v>
      </x:c>
    </x:row>
    <x:row r="706">
      <x:c r="A706" s="379" t="n">
        <x:v>46357</x:v>
      </x:c>
      <x:c r="B706" s="380" t="n">
        <x:v>2026</x:v>
      </x:c>
      <x:c r="C706" s="380" t="n">
        <x:v>12</x:v>
      </x:c>
      <x:c r="D706" s="380" t="str">
        <x:v>Dec</x:v>
      </x:c>
      <x:c r="E706" s="380" t="n">
        <x:v>1</x:v>
      </x:c>
      <x:c r="F706" s="380" t="n">
        <x:v>2</x:v>
      </x:c>
      <x:c r="G706" s="380" t="n">
        <x:f>--(F706&lt;='Estimator'!$B$7)</x:f>
        <x:v>1</x:v>
      </x:c>
      <x:c r="H706" s="381" t="n">
        <x:f>SUMIFS('Climate Data'!$G$7:$G$366,'Climate Data'!$A$7:$A$366,'Estimator'!$B$4,'Climate Data'!$B$7:$B$366,C706)</x:f>
        <x:v>0.2914349276974416</x:v>
      </x:c>
      <x:c r="I706" s="382" t="n">
        <x:f>SUMIFS('Climate Data'!$H$7:$H$366,'Climate Data'!$A$7:$A$366,'Estimator'!$B$4,'Climate Data'!$B$7:$B$366,C706)</x:f>
        <x:v>9.043129770992365</x:v>
      </x:c>
      <x:c r="J706" s="381" t="n">
        <x:f>SUMIFS('Wind Proxy'!$H$8:$H$19,'Wind Proxy'!$A$8:$A$19,'Estimator'!$B$4,'Wind Proxy'!$B$8:$B$19,C706)</x:f>
        <x:v>0.12544802867383514</x:v>
      </x:c>
    </x:row>
    <x:row r="707">
      <x:c r="A707" s="379" t="n">
        <x:v>46358</x:v>
      </x:c>
      <x:c r="B707" s="380" t="n">
        <x:v>2026</x:v>
      </x:c>
      <x:c r="C707" s="380" t="n">
        <x:v>12</x:v>
      </x:c>
      <x:c r="D707" s="380" t="str">
        <x:v>Dec</x:v>
      </x:c>
      <x:c r="E707" s="380" t="n">
        <x:v>2</x:v>
      </x:c>
      <x:c r="F707" s="380" t="n">
        <x:v>3</x:v>
      </x:c>
      <x:c r="G707" s="380" t="n">
        <x:f>--(F707&lt;='Estimator'!$B$7)</x:f>
        <x:v>1</x:v>
      </x:c>
      <x:c r="H707" s="381" t="n">
        <x:f>SUMIFS('Climate Data'!$G$7:$G$366,'Climate Data'!$A$7:$A$366,'Estimator'!$B$4,'Climate Data'!$B$7:$B$366,C707)</x:f>
        <x:v>0.2914349276974416</x:v>
      </x:c>
      <x:c r="I707" s="382" t="n">
        <x:f>SUMIFS('Climate Data'!$H$7:$H$366,'Climate Data'!$A$7:$A$366,'Estimator'!$B$4,'Climate Data'!$B$7:$B$366,C707)</x:f>
        <x:v>9.043129770992365</x:v>
      </x:c>
      <x:c r="J707" s="381" t="n">
        <x:f>SUMIFS('Wind Proxy'!$H$8:$H$19,'Wind Proxy'!$A$8:$A$19,'Estimator'!$B$4,'Wind Proxy'!$B$8:$B$19,C707)</x:f>
        <x:v>0.12544802867383514</x:v>
      </x:c>
    </x:row>
    <x:row r="708">
      <x:c r="A708" s="379" t="n">
        <x:v>46359</x:v>
      </x:c>
      <x:c r="B708" s="380" t="n">
        <x:v>2026</x:v>
      </x:c>
      <x:c r="C708" s="380" t="n">
        <x:v>12</x:v>
      </x:c>
      <x:c r="D708" s="380" t="str">
        <x:v>Dec</x:v>
      </x:c>
      <x:c r="E708" s="380" t="n">
        <x:v>3</x:v>
      </x:c>
      <x:c r="F708" s="380" t="n">
        <x:v>4</x:v>
      </x:c>
      <x:c r="G708" s="380" t="n">
        <x:f>--(F708&lt;='Estimator'!$B$7)</x:f>
        <x:v>1</x:v>
      </x:c>
      <x:c r="H708" s="381" t="n">
        <x:f>SUMIFS('Climate Data'!$G$7:$G$366,'Climate Data'!$A$7:$A$366,'Estimator'!$B$4,'Climate Data'!$B$7:$B$366,C708)</x:f>
        <x:v>0.2914349276974416</x:v>
      </x:c>
      <x:c r="I708" s="382" t="n">
        <x:f>SUMIFS('Climate Data'!$H$7:$H$366,'Climate Data'!$A$7:$A$366,'Estimator'!$B$4,'Climate Data'!$B$7:$B$366,C708)</x:f>
        <x:v>9.043129770992365</x:v>
      </x:c>
      <x:c r="J708" s="381" t="n">
        <x:f>SUMIFS('Wind Proxy'!$H$8:$H$19,'Wind Proxy'!$A$8:$A$19,'Estimator'!$B$4,'Wind Proxy'!$B$8:$B$19,C708)</x:f>
        <x:v>0.12544802867383514</x:v>
      </x:c>
    </x:row>
    <x:row r="709">
      <x:c r="A709" s="379" t="n">
        <x:v>46360</x:v>
      </x:c>
      <x:c r="B709" s="380" t="n">
        <x:v>2026</x:v>
      </x:c>
      <x:c r="C709" s="380" t="n">
        <x:v>12</x:v>
      </x:c>
      <x:c r="D709" s="380" t="str">
        <x:v>Dec</x:v>
      </x:c>
      <x:c r="E709" s="380" t="n">
        <x:v>4</x:v>
      </x:c>
      <x:c r="F709" s="380" t="n">
        <x:v>5</x:v>
      </x:c>
      <x:c r="G709" s="380" t="n">
        <x:f>--(F709&lt;='Estimator'!$B$7)</x:f>
        <x:v>1</x:v>
      </x:c>
      <x:c r="H709" s="381" t="n">
        <x:f>SUMIFS('Climate Data'!$G$7:$G$366,'Climate Data'!$A$7:$A$366,'Estimator'!$B$4,'Climate Data'!$B$7:$B$366,C709)</x:f>
        <x:v>0.2914349276974416</x:v>
      </x:c>
      <x:c r="I709" s="382" t="n">
        <x:f>SUMIFS('Climate Data'!$H$7:$H$366,'Climate Data'!$A$7:$A$366,'Estimator'!$B$4,'Climate Data'!$B$7:$B$366,C709)</x:f>
        <x:v>9.043129770992365</x:v>
      </x:c>
      <x:c r="J709" s="381" t="n">
        <x:f>SUMIFS('Wind Proxy'!$H$8:$H$19,'Wind Proxy'!$A$8:$A$19,'Estimator'!$B$4,'Wind Proxy'!$B$8:$B$19,C709)</x:f>
        <x:v>0.12544802867383514</x:v>
      </x:c>
    </x:row>
    <x:row r="710">
      <x:c r="A710" s="379" t="n">
        <x:v>46361</x:v>
      </x:c>
      <x:c r="B710" s="380" t="n">
        <x:v>2026</x:v>
      </x:c>
      <x:c r="C710" s="380" t="n">
        <x:v>12</x:v>
      </x:c>
      <x:c r="D710" s="380" t="str">
        <x:v>Dec</x:v>
      </x:c>
      <x:c r="E710" s="380" t="n">
        <x:v>5</x:v>
      </x:c>
      <x:c r="F710" s="380" t="n">
        <x:v>6</x:v>
      </x:c>
      <x:c r="G710" s="380" t="n">
        <x:f>--(F710&lt;='Estimator'!$B$7)</x:f>
        <x:v>0</x:v>
      </x:c>
      <x:c r="H710" s="381" t="n">
        <x:f>SUMIFS('Climate Data'!$G$7:$G$366,'Climate Data'!$A$7:$A$366,'Estimator'!$B$4,'Climate Data'!$B$7:$B$366,C710)</x:f>
        <x:v>0.2914349276974416</x:v>
      </x:c>
      <x:c r="I710" s="382" t="n">
        <x:f>SUMIFS('Climate Data'!$H$7:$H$366,'Climate Data'!$A$7:$A$366,'Estimator'!$B$4,'Climate Data'!$B$7:$B$366,C710)</x:f>
        <x:v>9.043129770992365</x:v>
      </x:c>
      <x:c r="J710" s="381" t="n">
        <x:f>SUMIFS('Wind Proxy'!$H$8:$H$19,'Wind Proxy'!$A$8:$A$19,'Estimator'!$B$4,'Wind Proxy'!$B$8:$B$19,C710)</x:f>
        <x:v>0.12544802867383514</x:v>
      </x:c>
    </x:row>
    <x:row r="711">
      <x:c r="A711" s="379" t="n">
        <x:v>46362</x:v>
      </x:c>
      <x:c r="B711" s="380" t="n">
        <x:v>2026</x:v>
      </x:c>
      <x:c r="C711" s="380" t="n">
        <x:v>12</x:v>
      </x:c>
      <x:c r="D711" s="380" t="str">
        <x:v>Dec</x:v>
      </x:c>
      <x:c r="E711" s="380" t="n">
        <x:v>6</x:v>
      </x:c>
      <x:c r="F711" s="380" t="n">
        <x:v>7</x:v>
      </x:c>
      <x:c r="G711" s="380" t="n">
        <x:f>--(F711&lt;='Estimator'!$B$7)</x:f>
        <x:v>0</x:v>
      </x:c>
      <x:c r="H711" s="381" t="n">
        <x:f>SUMIFS('Climate Data'!$G$7:$G$366,'Climate Data'!$A$7:$A$366,'Estimator'!$B$4,'Climate Data'!$B$7:$B$366,C711)</x:f>
        <x:v>0.2914349276974416</x:v>
      </x:c>
      <x:c r="I711" s="382" t="n">
        <x:f>SUMIFS('Climate Data'!$H$7:$H$366,'Climate Data'!$A$7:$A$366,'Estimator'!$B$4,'Climate Data'!$B$7:$B$366,C711)</x:f>
        <x:v>9.043129770992365</x:v>
      </x:c>
      <x:c r="J711" s="381" t="n">
        <x:f>SUMIFS('Wind Proxy'!$H$8:$H$19,'Wind Proxy'!$A$8:$A$19,'Estimator'!$B$4,'Wind Proxy'!$B$8:$B$19,C711)</x:f>
        <x:v>0.12544802867383514</x:v>
      </x:c>
    </x:row>
    <x:row r="712">
      <x:c r="A712" s="379" t="n">
        <x:v>46363</x:v>
      </x:c>
      <x:c r="B712" s="380" t="n">
        <x:v>2026</x:v>
      </x:c>
      <x:c r="C712" s="380" t="n">
        <x:v>12</x:v>
      </x:c>
      <x:c r="D712" s="380" t="str">
        <x:v>Dec</x:v>
      </x:c>
      <x:c r="E712" s="380" t="n">
        <x:v>7</x:v>
      </x:c>
      <x:c r="F712" s="380" t="n">
        <x:v>1</x:v>
      </x:c>
      <x:c r="G712" s="380" t="n">
        <x:f>--(F712&lt;='Estimator'!$B$7)</x:f>
        <x:v>1</x:v>
      </x:c>
      <x:c r="H712" s="381" t="n">
        <x:f>SUMIFS('Climate Data'!$G$7:$G$366,'Climate Data'!$A$7:$A$366,'Estimator'!$B$4,'Climate Data'!$B$7:$B$366,C712)</x:f>
        <x:v>0.2914349276974416</x:v>
      </x:c>
      <x:c r="I712" s="382" t="n">
        <x:f>SUMIFS('Climate Data'!$H$7:$H$366,'Climate Data'!$A$7:$A$366,'Estimator'!$B$4,'Climate Data'!$B$7:$B$366,C712)</x:f>
        <x:v>9.043129770992365</x:v>
      </x:c>
      <x:c r="J712" s="381" t="n">
        <x:f>SUMIFS('Wind Proxy'!$H$8:$H$19,'Wind Proxy'!$A$8:$A$19,'Estimator'!$B$4,'Wind Proxy'!$B$8:$B$19,C712)</x:f>
        <x:v>0.12544802867383514</x:v>
      </x:c>
    </x:row>
    <x:row r="713">
      <x:c r="A713" s="379" t="n">
        <x:v>46364</x:v>
      </x:c>
      <x:c r="B713" s="380" t="n">
        <x:v>2026</x:v>
      </x:c>
      <x:c r="C713" s="380" t="n">
        <x:v>12</x:v>
      </x:c>
      <x:c r="D713" s="380" t="str">
        <x:v>Dec</x:v>
      </x:c>
      <x:c r="E713" s="380" t="n">
        <x:v>8</x:v>
      </x:c>
      <x:c r="F713" s="380" t="n">
        <x:v>2</x:v>
      </x:c>
      <x:c r="G713" s="380" t="n">
        <x:f>--(F713&lt;='Estimator'!$B$7)</x:f>
        <x:v>1</x:v>
      </x:c>
      <x:c r="H713" s="381" t="n">
        <x:f>SUMIFS('Climate Data'!$G$7:$G$366,'Climate Data'!$A$7:$A$366,'Estimator'!$B$4,'Climate Data'!$B$7:$B$366,C713)</x:f>
        <x:v>0.2914349276974416</x:v>
      </x:c>
      <x:c r="I713" s="382" t="n">
        <x:f>SUMIFS('Climate Data'!$H$7:$H$366,'Climate Data'!$A$7:$A$366,'Estimator'!$B$4,'Climate Data'!$B$7:$B$366,C713)</x:f>
        <x:v>9.043129770992365</x:v>
      </x:c>
      <x:c r="J713" s="381" t="n">
        <x:f>SUMIFS('Wind Proxy'!$H$8:$H$19,'Wind Proxy'!$A$8:$A$19,'Estimator'!$B$4,'Wind Proxy'!$B$8:$B$19,C713)</x:f>
        <x:v>0.12544802867383514</x:v>
      </x:c>
    </x:row>
    <x:row r="714">
      <x:c r="A714" s="379" t="n">
        <x:v>46365</x:v>
      </x:c>
      <x:c r="B714" s="380" t="n">
        <x:v>2026</x:v>
      </x:c>
      <x:c r="C714" s="380" t="n">
        <x:v>12</x:v>
      </x:c>
      <x:c r="D714" s="380" t="str">
        <x:v>Dec</x:v>
      </x:c>
      <x:c r="E714" s="380" t="n">
        <x:v>9</x:v>
      </x:c>
      <x:c r="F714" s="380" t="n">
        <x:v>3</x:v>
      </x:c>
      <x:c r="G714" s="380" t="n">
        <x:f>--(F714&lt;='Estimator'!$B$7)</x:f>
        <x:v>1</x:v>
      </x:c>
      <x:c r="H714" s="381" t="n">
        <x:f>SUMIFS('Climate Data'!$G$7:$G$366,'Climate Data'!$A$7:$A$366,'Estimator'!$B$4,'Climate Data'!$B$7:$B$366,C714)</x:f>
        <x:v>0.2914349276974416</x:v>
      </x:c>
      <x:c r="I714" s="382" t="n">
        <x:f>SUMIFS('Climate Data'!$H$7:$H$366,'Climate Data'!$A$7:$A$366,'Estimator'!$B$4,'Climate Data'!$B$7:$B$366,C714)</x:f>
        <x:v>9.043129770992365</x:v>
      </x:c>
      <x:c r="J714" s="381" t="n">
        <x:f>SUMIFS('Wind Proxy'!$H$8:$H$19,'Wind Proxy'!$A$8:$A$19,'Estimator'!$B$4,'Wind Proxy'!$B$8:$B$19,C714)</x:f>
        <x:v>0.12544802867383514</x:v>
      </x:c>
    </x:row>
    <x:row r="715">
      <x:c r="A715" s="379" t="n">
        <x:v>46366</x:v>
      </x:c>
      <x:c r="B715" s="380" t="n">
        <x:v>2026</x:v>
      </x:c>
      <x:c r="C715" s="380" t="n">
        <x:v>12</x:v>
      </x:c>
      <x:c r="D715" s="380" t="str">
        <x:v>Dec</x:v>
      </x:c>
      <x:c r="E715" s="380" t="n">
        <x:v>10</x:v>
      </x:c>
      <x:c r="F715" s="380" t="n">
        <x:v>4</x:v>
      </x:c>
      <x:c r="G715" s="380" t="n">
        <x:f>--(F715&lt;='Estimator'!$B$7)</x:f>
        <x:v>1</x:v>
      </x:c>
      <x:c r="H715" s="381" t="n">
        <x:f>SUMIFS('Climate Data'!$G$7:$G$366,'Climate Data'!$A$7:$A$366,'Estimator'!$B$4,'Climate Data'!$B$7:$B$366,C715)</x:f>
        <x:v>0.2914349276974416</x:v>
      </x:c>
      <x:c r="I715" s="382" t="n">
        <x:f>SUMIFS('Climate Data'!$H$7:$H$366,'Climate Data'!$A$7:$A$366,'Estimator'!$B$4,'Climate Data'!$B$7:$B$366,C715)</x:f>
        <x:v>9.043129770992365</x:v>
      </x:c>
      <x:c r="J715" s="381" t="n">
        <x:f>SUMIFS('Wind Proxy'!$H$8:$H$19,'Wind Proxy'!$A$8:$A$19,'Estimator'!$B$4,'Wind Proxy'!$B$8:$B$19,C715)</x:f>
        <x:v>0.12544802867383514</x:v>
      </x:c>
    </x:row>
    <x:row r="716">
      <x:c r="A716" s="379" t="n">
        <x:v>46367</x:v>
      </x:c>
      <x:c r="B716" s="380" t="n">
        <x:v>2026</x:v>
      </x:c>
      <x:c r="C716" s="380" t="n">
        <x:v>12</x:v>
      </x:c>
      <x:c r="D716" s="380" t="str">
        <x:v>Dec</x:v>
      </x:c>
      <x:c r="E716" s="380" t="n">
        <x:v>11</x:v>
      </x:c>
      <x:c r="F716" s="380" t="n">
        <x:v>5</x:v>
      </x:c>
      <x:c r="G716" s="380" t="n">
        <x:f>--(F716&lt;='Estimator'!$B$7)</x:f>
        <x:v>1</x:v>
      </x:c>
      <x:c r="H716" s="381" t="n">
        <x:f>SUMIFS('Climate Data'!$G$7:$G$366,'Climate Data'!$A$7:$A$366,'Estimator'!$B$4,'Climate Data'!$B$7:$B$366,C716)</x:f>
        <x:v>0.2914349276974416</x:v>
      </x:c>
      <x:c r="I716" s="382" t="n">
        <x:f>SUMIFS('Climate Data'!$H$7:$H$366,'Climate Data'!$A$7:$A$366,'Estimator'!$B$4,'Climate Data'!$B$7:$B$366,C716)</x:f>
        <x:v>9.043129770992365</x:v>
      </x:c>
      <x:c r="J716" s="381" t="n">
        <x:f>SUMIFS('Wind Proxy'!$H$8:$H$19,'Wind Proxy'!$A$8:$A$19,'Estimator'!$B$4,'Wind Proxy'!$B$8:$B$19,C716)</x:f>
        <x:v>0.12544802867383514</x:v>
      </x:c>
    </x:row>
    <x:row r="717">
      <x:c r="A717" s="379" t="n">
        <x:v>46368</x:v>
      </x:c>
      <x:c r="B717" s="380" t="n">
        <x:v>2026</x:v>
      </x:c>
      <x:c r="C717" s="380" t="n">
        <x:v>12</x:v>
      </x:c>
      <x:c r="D717" s="380" t="str">
        <x:v>Dec</x:v>
      </x:c>
      <x:c r="E717" s="380" t="n">
        <x:v>12</x:v>
      </x:c>
      <x:c r="F717" s="380" t="n">
        <x:v>6</x:v>
      </x:c>
      <x:c r="G717" s="380" t="n">
        <x:f>--(F717&lt;='Estimator'!$B$7)</x:f>
        <x:v>0</x:v>
      </x:c>
      <x:c r="H717" s="381" t="n">
        <x:f>SUMIFS('Climate Data'!$G$7:$G$366,'Climate Data'!$A$7:$A$366,'Estimator'!$B$4,'Climate Data'!$B$7:$B$366,C717)</x:f>
        <x:v>0.2914349276974416</x:v>
      </x:c>
      <x:c r="I717" s="382" t="n">
        <x:f>SUMIFS('Climate Data'!$H$7:$H$366,'Climate Data'!$A$7:$A$366,'Estimator'!$B$4,'Climate Data'!$B$7:$B$366,C717)</x:f>
        <x:v>9.043129770992365</x:v>
      </x:c>
      <x:c r="J717" s="381" t="n">
        <x:f>SUMIFS('Wind Proxy'!$H$8:$H$19,'Wind Proxy'!$A$8:$A$19,'Estimator'!$B$4,'Wind Proxy'!$B$8:$B$19,C717)</x:f>
        <x:v>0.12544802867383514</x:v>
      </x:c>
    </x:row>
    <x:row r="718">
      <x:c r="A718" s="379" t="n">
        <x:v>46369</x:v>
      </x:c>
      <x:c r="B718" s="380" t="n">
        <x:v>2026</x:v>
      </x:c>
      <x:c r="C718" s="380" t="n">
        <x:v>12</x:v>
      </x:c>
      <x:c r="D718" s="380" t="str">
        <x:v>Dec</x:v>
      </x:c>
      <x:c r="E718" s="380" t="n">
        <x:v>13</x:v>
      </x:c>
      <x:c r="F718" s="380" t="n">
        <x:v>7</x:v>
      </x:c>
      <x:c r="G718" s="380" t="n">
        <x:f>--(F718&lt;='Estimator'!$B$7)</x:f>
        <x:v>0</x:v>
      </x:c>
      <x:c r="H718" s="381" t="n">
        <x:f>SUMIFS('Climate Data'!$G$7:$G$366,'Climate Data'!$A$7:$A$366,'Estimator'!$B$4,'Climate Data'!$B$7:$B$366,C718)</x:f>
        <x:v>0.2914349276974416</x:v>
      </x:c>
      <x:c r="I718" s="382" t="n">
        <x:f>SUMIFS('Climate Data'!$H$7:$H$366,'Climate Data'!$A$7:$A$366,'Estimator'!$B$4,'Climate Data'!$B$7:$B$366,C718)</x:f>
        <x:v>9.043129770992365</x:v>
      </x:c>
      <x:c r="J718" s="381" t="n">
        <x:f>SUMIFS('Wind Proxy'!$H$8:$H$19,'Wind Proxy'!$A$8:$A$19,'Estimator'!$B$4,'Wind Proxy'!$B$8:$B$19,C718)</x:f>
        <x:v>0.12544802867383514</x:v>
      </x:c>
    </x:row>
    <x:row r="719">
      <x:c r="A719" s="379" t="n">
        <x:v>46370</x:v>
      </x:c>
      <x:c r="B719" s="380" t="n">
        <x:v>2026</x:v>
      </x:c>
      <x:c r="C719" s="380" t="n">
        <x:v>12</x:v>
      </x:c>
      <x:c r="D719" s="380" t="str">
        <x:v>Dec</x:v>
      </x:c>
      <x:c r="E719" s="380" t="n">
        <x:v>14</x:v>
      </x:c>
      <x:c r="F719" s="380" t="n">
        <x:v>1</x:v>
      </x:c>
      <x:c r="G719" s="380" t="n">
        <x:f>--(F719&lt;='Estimator'!$B$7)</x:f>
        <x:v>1</x:v>
      </x:c>
      <x:c r="H719" s="381" t="n">
        <x:f>SUMIFS('Climate Data'!$G$7:$G$366,'Climate Data'!$A$7:$A$366,'Estimator'!$B$4,'Climate Data'!$B$7:$B$366,C719)</x:f>
        <x:v>0.2914349276974416</x:v>
      </x:c>
      <x:c r="I719" s="382" t="n">
        <x:f>SUMIFS('Climate Data'!$H$7:$H$366,'Climate Data'!$A$7:$A$366,'Estimator'!$B$4,'Climate Data'!$B$7:$B$366,C719)</x:f>
        <x:v>9.043129770992365</x:v>
      </x:c>
      <x:c r="J719" s="381" t="n">
        <x:f>SUMIFS('Wind Proxy'!$H$8:$H$19,'Wind Proxy'!$A$8:$A$19,'Estimator'!$B$4,'Wind Proxy'!$B$8:$B$19,C719)</x:f>
        <x:v>0.12544802867383514</x:v>
      </x:c>
    </x:row>
    <x:row r="720">
      <x:c r="A720" s="379" t="n">
        <x:v>46371</x:v>
      </x:c>
      <x:c r="B720" s="380" t="n">
        <x:v>2026</x:v>
      </x:c>
      <x:c r="C720" s="380" t="n">
        <x:v>12</x:v>
      </x:c>
      <x:c r="D720" s="380" t="str">
        <x:v>Dec</x:v>
      </x:c>
      <x:c r="E720" s="380" t="n">
        <x:v>15</x:v>
      </x:c>
      <x:c r="F720" s="380" t="n">
        <x:v>2</x:v>
      </x:c>
      <x:c r="G720" s="380" t="n">
        <x:f>--(F720&lt;='Estimator'!$B$7)</x:f>
        <x:v>1</x:v>
      </x:c>
      <x:c r="H720" s="381" t="n">
        <x:f>SUMIFS('Climate Data'!$G$7:$G$366,'Climate Data'!$A$7:$A$366,'Estimator'!$B$4,'Climate Data'!$B$7:$B$366,C720)</x:f>
        <x:v>0.2914349276974416</x:v>
      </x:c>
      <x:c r="I720" s="382" t="n">
        <x:f>SUMIFS('Climate Data'!$H$7:$H$366,'Climate Data'!$A$7:$A$366,'Estimator'!$B$4,'Climate Data'!$B$7:$B$366,C720)</x:f>
        <x:v>9.043129770992365</x:v>
      </x:c>
      <x:c r="J720" s="381" t="n">
        <x:f>SUMIFS('Wind Proxy'!$H$8:$H$19,'Wind Proxy'!$A$8:$A$19,'Estimator'!$B$4,'Wind Proxy'!$B$8:$B$19,C720)</x:f>
        <x:v>0.12544802867383514</x:v>
      </x:c>
    </x:row>
    <x:row r="721">
      <x:c r="A721" s="379" t="n">
        <x:v>46372</x:v>
      </x:c>
      <x:c r="B721" s="380" t="n">
        <x:v>2026</x:v>
      </x:c>
      <x:c r="C721" s="380" t="n">
        <x:v>12</x:v>
      </x:c>
      <x:c r="D721" s="380" t="str">
        <x:v>Dec</x:v>
      </x:c>
      <x:c r="E721" s="380" t="n">
        <x:v>16</x:v>
      </x:c>
      <x:c r="F721" s="380" t="n">
        <x:v>3</x:v>
      </x:c>
      <x:c r="G721" s="380" t="n">
        <x:f>--(F721&lt;='Estimator'!$B$7)</x:f>
        <x:v>1</x:v>
      </x:c>
      <x:c r="H721" s="381" t="n">
        <x:f>SUMIFS('Climate Data'!$G$7:$G$366,'Climate Data'!$A$7:$A$366,'Estimator'!$B$4,'Climate Data'!$B$7:$B$366,C721)</x:f>
        <x:v>0.2914349276974416</x:v>
      </x:c>
      <x:c r="I721" s="382" t="n">
        <x:f>SUMIFS('Climate Data'!$H$7:$H$366,'Climate Data'!$A$7:$A$366,'Estimator'!$B$4,'Climate Data'!$B$7:$B$366,C721)</x:f>
        <x:v>9.043129770992365</x:v>
      </x:c>
      <x:c r="J721" s="381" t="n">
        <x:f>SUMIFS('Wind Proxy'!$H$8:$H$19,'Wind Proxy'!$A$8:$A$19,'Estimator'!$B$4,'Wind Proxy'!$B$8:$B$19,C721)</x:f>
        <x:v>0.12544802867383514</x:v>
      </x:c>
    </x:row>
    <x:row r="722">
      <x:c r="A722" s="379" t="n">
        <x:v>46373</x:v>
      </x:c>
      <x:c r="B722" s="380" t="n">
        <x:v>2026</x:v>
      </x:c>
      <x:c r="C722" s="380" t="n">
        <x:v>12</x:v>
      </x:c>
      <x:c r="D722" s="380" t="str">
        <x:v>Dec</x:v>
      </x:c>
      <x:c r="E722" s="380" t="n">
        <x:v>17</x:v>
      </x:c>
      <x:c r="F722" s="380" t="n">
        <x:v>4</x:v>
      </x:c>
      <x:c r="G722" s="380" t="n">
        <x:f>--(F722&lt;='Estimator'!$B$7)</x:f>
        <x:v>1</x:v>
      </x:c>
      <x:c r="H722" s="381" t="n">
        <x:f>SUMIFS('Climate Data'!$G$7:$G$366,'Climate Data'!$A$7:$A$366,'Estimator'!$B$4,'Climate Data'!$B$7:$B$366,C722)</x:f>
        <x:v>0.2914349276974416</x:v>
      </x:c>
      <x:c r="I722" s="382" t="n">
        <x:f>SUMIFS('Climate Data'!$H$7:$H$366,'Climate Data'!$A$7:$A$366,'Estimator'!$B$4,'Climate Data'!$B$7:$B$366,C722)</x:f>
        <x:v>9.043129770992365</x:v>
      </x:c>
      <x:c r="J722" s="381" t="n">
        <x:f>SUMIFS('Wind Proxy'!$H$8:$H$19,'Wind Proxy'!$A$8:$A$19,'Estimator'!$B$4,'Wind Proxy'!$B$8:$B$19,C722)</x:f>
        <x:v>0.12544802867383514</x:v>
      </x:c>
    </x:row>
    <x:row r="723">
      <x:c r="A723" s="379" t="n">
        <x:v>46374</x:v>
      </x:c>
      <x:c r="B723" s="380" t="n">
        <x:v>2026</x:v>
      </x:c>
      <x:c r="C723" s="380" t="n">
        <x:v>12</x:v>
      </x:c>
      <x:c r="D723" s="380" t="str">
        <x:v>Dec</x:v>
      </x:c>
      <x:c r="E723" s="380" t="n">
        <x:v>18</x:v>
      </x:c>
      <x:c r="F723" s="380" t="n">
        <x:v>5</x:v>
      </x:c>
      <x:c r="G723" s="380" t="n">
        <x:f>--(F723&lt;='Estimator'!$B$7)</x:f>
        <x:v>1</x:v>
      </x:c>
      <x:c r="H723" s="381" t="n">
        <x:f>SUMIFS('Climate Data'!$G$7:$G$366,'Climate Data'!$A$7:$A$366,'Estimator'!$B$4,'Climate Data'!$B$7:$B$366,C723)</x:f>
        <x:v>0.2914349276974416</x:v>
      </x:c>
      <x:c r="I723" s="382" t="n">
        <x:f>SUMIFS('Climate Data'!$H$7:$H$366,'Climate Data'!$A$7:$A$366,'Estimator'!$B$4,'Climate Data'!$B$7:$B$366,C723)</x:f>
        <x:v>9.043129770992365</x:v>
      </x:c>
      <x:c r="J723" s="381" t="n">
        <x:f>SUMIFS('Wind Proxy'!$H$8:$H$19,'Wind Proxy'!$A$8:$A$19,'Estimator'!$B$4,'Wind Proxy'!$B$8:$B$19,C723)</x:f>
        <x:v>0.12544802867383514</x:v>
      </x:c>
    </x:row>
    <x:row r="724">
      <x:c r="A724" s="379" t="n">
        <x:v>46375</x:v>
      </x:c>
      <x:c r="B724" s="380" t="n">
        <x:v>2026</x:v>
      </x:c>
      <x:c r="C724" s="380" t="n">
        <x:v>12</x:v>
      </x:c>
      <x:c r="D724" s="380" t="str">
        <x:v>Dec</x:v>
      </x:c>
      <x:c r="E724" s="380" t="n">
        <x:v>19</x:v>
      </x:c>
      <x:c r="F724" s="380" t="n">
        <x:v>6</x:v>
      </x:c>
      <x:c r="G724" s="380" t="n">
        <x:f>--(F724&lt;='Estimator'!$B$7)</x:f>
        <x:v>0</x:v>
      </x:c>
      <x:c r="H724" s="381" t="n">
        <x:f>SUMIFS('Climate Data'!$G$7:$G$366,'Climate Data'!$A$7:$A$366,'Estimator'!$B$4,'Climate Data'!$B$7:$B$366,C724)</x:f>
        <x:v>0.2914349276974416</x:v>
      </x:c>
      <x:c r="I724" s="382" t="n">
        <x:f>SUMIFS('Climate Data'!$H$7:$H$366,'Climate Data'!$A$7:$A$366,'Estimator'!$B$4,'Climate Data'!$B$7:$B$366,C724)</x:f>
        <x:v>9.043129770992365</x:v>
      </x:c>
      <x:c r="J724" s="381" t="n">
        <x:f>SUMIFS('Wind Proxy'!$H$8:$H$19,'Wind Proxy'!$A$8:$A$19,'Estimator'!$B$4,'Wind Proxy'!$B$8:$B$19,C724)</x:f>
        <x:v>0.12544802867383514</x:v>
      </x:c>
    </x:row>
    <x:row r="725">
      <x:c r="A725" s="379" t="n">
        <x:v>46376</x:v>
      </x:c>
      <x:c r="B725" s="380" t="n">
        <x:v>2026</x:v>
      </x:c>
      <x:c r="C725" s="380" t="n">
        <x:v>12</x:v>
      </x:c>
      <x:c r="D725" s="380" t="str">
        <x:v>Dec</x:v>
      </x:c>
      <x:c r="E725" s="380" t="n">
        <x:v>20</x:v>
      </x:c>
      <x:c r="F725" s="380" t="n">
        <x:v>7</x:v>
      </x:c>
      <x:c r="G725" s="380" t="n">
        <x:f>--(F725&lt;='Estimator'!$B$7)</x:f>
        <x:v>0</x:v>
      </x:c>
      <x:c r="H725" s="381" t="n">
        <x:f>SUMIFS('Climate Data'!$G$7:$G$366,'Climate Data'!$A$7:$A$366,'Estimator'!$B$4,'Climate Data'!$B$7:$B$366,C725)</x:f>
        <x:v>0.2914349276974416</x:v>
      </x:c>
      <x:c r="I725" s="382" t="n">
        <x:f>SUMIFS('Climate Data'!$H$7:$H$366,'Climate Data'!$A$7:$A$366,'Estimator'!$B$4,'Climate Data'!$B$7:$B$366,C725)</x:f>
        <x:v>9.043129770992365</x:v>
      </x:c>
      <x:c r="J725" s="381" t="n">
        <x:f>SUMIFS('Wind Proxy'!$H$8:$H$19,'Wind Proxy'!$A$8:$A$19,'Estimator'!$B$4,'Wind Proxy'!$B$8:$B$19,C725)</x:f>
        <x:v>0.12544802867383514</x:v>
      </x:c>
    </x:row>
    <x:row r="726">
      <x:c r="A726" s="379" t="n">
        <x:v>46377</x:v>
      </x:c>
      <x:c r="B726" s="380" t="n">
        <x:v>2026</x:v>
      </x:c>
      <x:c r="C726" s="380" t="n">
        <x:v>12</x:v>
      </x:c>
      <x:c r="D726" s="380" t="str">
        <x:v>Dec</x:v>
      </x:c>
      <x:c r="E726" s="380" t="n">
        <x:v>21</x:v>
      </x:c>
      <x:c r="F726" s="380" t="n">
        <x:v>1</x:v>
      </x:c>
      <x:c r="G726" s="380" t="n">
        <x:f>--(F726&lt;='Estimator'!$B$7)</x:f>
        <x:v>1</x:v>
      </x:c>
      <x:c r="H726" s="381" t="n">
        <x:f>SUMIFS('Climate Data'!$G$7:$G$366,'Climate Data'!$A$7:$A$366,'Estimator'!$B$4,'Climate Data'!$B$7:$B$366,C726)</x:f>
        <x:v>0.2914349276974416</x:v>
      </x:c>
      <x:c r="I726" s="382" t="n">
        <x:f>SUMIFS('Climate Data'!$H$7:$H$366,'Climate Data'!$A$7:$A$366,'Estimator'!$B$4,'Climate Data'!$B$7:$B$366,C726)</x:f>
        <x:v>9.043129770992365</x:v>
      </x:c>
      <x:c r="J726" s="381" t="n">
        <x:f>SUMIFS('Wind Proxy'!$H$8:$H$19,'Wind Proxy'!$A$8:$A$19,'Estimator'!$B$4,'Wind Proxy'!$B$8:$B$19,C726)</x:f>
        <x:v>0.12544802867383514</x:v>
      </x:c>
    </x:row>
    <x:row r="727">
      <x:c r="A727" s="379" t="n">
        <x:v>46378</x:v>
      </x:c>
      <x:c r="B727" s="380" t="n">
        <x:v>2026</x:v>
      </x:c>
      <x:c r="C727" s="380" t="n">
        <x:v>12</x:v>
      </x:c>
      <x:c r="D727" s="380" t="str">
        <x:v>Dec</x:v>
      </x:c>
      <x:c r="E727" s="380" t="n">
        <x:v>22</x:v>
      </x:c>
      <x:c r="F727" s="380" t="n">
        <x:v>2</x:v>
      </x:c>
      <x:c r="G727" s="380" t="n">
        <x:f>--(F727&lt;='Estimator'!$B$7)</x:f>
        <x:v>1</x:v>
      </x:c>
      <x:c r="H727" s="381" t="n">
        <x:f>SUMIFS('Climate Data'!$G$7:$G$366,'Climate Data'!$A$7:$A$366,'Estimator'!$B$4,'Climate Data'!$B$7:$B$366,C727)</x:f>
        <x:v>0.2914349276974416</x:v>
      </x:c>
      <x:c r="I727" s="382" t="n">
        <x:f>SUMIFS('Climate Data'!$H$7:$H$366,'Climate Data'!$A$7:$A$366,'Estimator'!$B$4,'Climate Data'!$B$7:$B$366,C727)</x:f>
        <x:v>9.043129770992365</x:v>
      </x:c>
      <x:c r="J727" s="381" t="n">
        <x:f>SUMIFS('Wind Proxy'!$H$8:$H$19,'Wind Proxy'!$A$8:$A$19,'Estimator'!$B$4,'Wind Proxy'!$B$8:$B$19,C727)</x:f>
        <x:v>0.12544802867383514</x:v>
      </x:c>
    </x:row>
    <x:row r="728">
      <x:c r="A728" s="379" t="n">
        <x:v>46379</x:v>
      </x:c>
      <x:c r="B728" s="380" t="n">
        <x:v>2026</x:v>
      </x:c>
      <x:c r="C728" s="380" t="n">
        <x:v>12</x:v>
      </x:c>
      <x:c r="D728" s="380" t="str">
        <x:v>Dec</x:v>
      </x:c>
      <x:c r="E728" s="380" t="n">
        <x:v>23</x:v>
      </x:c>
      <x:c r="F728" s="380" t="n">
        <x:v>3</x:v>
      </x:c>
      <x:c r="G728" s="380" t="n">
        <x:f>--(F728&lt;='Estimator'!$B$7)</x:f>
        <x:v>1</x:v>
      </x:c>
      <x:c r="H728" s="381" t="n">
        <x:f>SUMIFS('Climate Data'!$G$7:$G$366,'Climate Data'!$A$7:$A$366,'Estimator'!$B$4,'Climate Data'!$B$7:$B$366,C728)</x:f>
        <x:v>0.2914349276974416</x:v>
      </x:c>
      <x:c r="I728" s="382" t="n">
        <x:f>SUMIFS('Climate Data'!$H$7:$H$366,'Climate Data'!$A$7:$A$366,'Estimator'!$B$4,'Climate Data'!$B$7:$B$366,C728)</x:f>
        <x:v>9.043129770992365</x:v>
      </x:c>
      <x:c r="J728" s="381" t="n">
        <x:f>SUMIFS('Wind Proxy'!$H$8:$H$19,'Wind Proxy'!$A$8:$A$19,'Estimator'!$B$4,'Wind Proxy'!$B$8:$B$19,C728)</x:f>
        <x:v>0.12544802867383514</x:v>
      </x:c>
    </x:row>
    <x:row r="729">
      <x:c r="A729" s="379" t="n">
        <x:v>46380</x:v>
      </x:c>
      <x:c r="B729" s="380" t="n">
        <x:v>2026</x:v>
      </x:c>
      <x:c r="C729" s="380" t="n">
        <x:v>12</x:v>
      </x:c>
      <x:c r="D729" s="380" t="str">
        <x:v>Dec</x:v>
      </x:c>
      <x:c r="E729" s="380" t="n">
        <x:v>24</x:v>
      </x:c>
      <x:c r="F729" s="380" t="n">
        <x:v>4</x:v>
      </x:c>
      <x:c r="G729" s="380" t="n">
        <x:f>--(F729&lt;='Estimator'!$B$7)</x:f>
        <x:v>1</x:v>
      </x:c>
      <x:c r="H729" s="381" t="n">
        <x:f>SUMIFS('Climate Data'!$G$7:$G$366,'Climate Data'!$A$7:$A$366,'Estimator'!$B$4,'Climate Data'!$B$7:$B$366,C729)</x:f>
        <x:v>0.2914349276974416</x:v>
      </x:c>
      <x:c r="I729" s="382" t="n">
        <x:f>SUMIFS('Climate Data'!$H$7:$H$366,'Climate Data'!$A$7:$A$366,'Estimator'!$B$4,'Climate Data'!$B$7:$B$366,C729)</x:f>
        <x:v>9.043129770992365</x:v>
      </x:c>
      <x:c r="J729" s="381" t="n">
        <x:f>SUMIFS('Wind Proxy'!$H$8:$H$19,'Wind Proxy'!$A$8:$A$19,'Estimator'!$B$4,'Wind Proxy'!$B$8:$B$19,C729)</x:f>
        <x:v>0.12544802867383514</x:v>
      </x:c>
    </x:row>
    <x:row r="730">
      <x:c r="A730" s="379" t="n">
        <x:v>46381</x:v>
      </x:c>
      <x:c r="B730" s="380" t="n">
        <x:v>2026</x:v>
      </x:c>
      <x:c r="C730" s="380" t="n">
        <x:v>12</x:v>
      </x:c>
      <x:c r="D730" s="380" t="str">
        <x:v>Dec</x:v>
      </x:c>
      <x:c r="E730" s="380" t="n">
        <x:v>25</x:v>
      </x:c>
      <x:c r="F730" s="380" t="n">
        <x:v>5</x:v>
      </x:c>
      <x:c r="G730" s="380" t="n">
        <x:f>--(F730&lt;='Estimator'!$B$7)</x:f>
        <x:v>1</x:v>
      </x:c>
      <x:c r="H730" s="381" t="n">
        <x:f>SUMIFS('Climate Data'!$G$7:$G$366,'Climate Data'!$A$7:$A$366,'Estimator'!$B$4,'Climate Data'!$B$7:$B$366,C730)</x:f>
        <x:v>0.2914349276974416</x:v>
      </x:c>
      <x:c r="I730" s="382" t="n">
        <x:f>SUMIFS('Climate Data'!$H$7:$H$366,'Climate Data'!$A$7:$A$366,'Estimator'!$B$4,'Climate Data'!$B$7:$B$366,C730)</x:f>
        <x:v>9.043129770992365</x:v>
      </x:c>
      <x:c r="J730" s="381" t="n">
        <x:f>SUMIFS('Wind Proxy'!$H$8:$H$19,'Wind Proxy'!$A$8:$A$19,'Estimator'!$B$4,'Wind Proxy'!$B$8:$B$19,C730)</x:f>
        <x:v>0.12544802867383514</x:v>
      </x:c>
    </x:row>
    <x:row r="731">
      <x:c r="A731" s="379" t="n">
        <x:v>46382</x:v>
      </x:c>
      <x:c r="B731" s="380" t="n">
        <x:v>2026</x:v>
      </x:c>
      <x:c r="C731" s="380" t="n">
        <x:v>12</x:v>
      </x:c>
      <x:c r="D731" s="380" t="str">
        <x:v>Dec</x:v>
      </x:c>
      <x:c r="E731" s="380" t="n">
        <x:v>26</x:v>
      </x:c>
      <x:c r="F731" s="380" t="n">
        <x:v>6</x:v>
      </x:c>
      <x:c r="G731" s="380" t="n">
        <x:f>--(F731&lt;='Estimator'!$B$7)</x:f>
        <x:v>0</x:v>
      </x:c>
      <x:c r="H731" s="381" t="n">
        <x:f>SUMIFS('Climate Data'!$G$7:$G$366,'Climate Data'!$A$7:$A$366,'Estimator'!$B$4,'Climate Data'!$B$7:$B$366,C731)</x:f>
        <x:v>0.2914349276974416</x:v>
      </x:c>
      <x:c r="I731" s="382" t="n">
        <x:f>SUMIFS('Climate Data'!$H$7:$H$366,'Climate Data'!$A$7:$A$366,'Estimator'!$B$4,'Climate Data'!$B$7:$B$366,C731)</x:f>
        <x:v>9.043129770992365</x:v>
      </x:c>
      <x:c r="J731" s="381" t="n">
        <x:f>SUMIFS('Wind Proxy'!$H$8:$H$19,'Wind Proxy'!$A$8:$A$19,'Estimator'!$B$4,'Wind Proxy'!$B$8:$B$19,C731)</x:f>
        <x:v>0.12544802867383514</x:v>
      </x:c>
    </x:row>
    <x:row r="732">
      <x:c r="A732" s="379" t="n">
        <x:v>46383</x:v>
      </x:c>
      <x:c r="B732" s="380" t="n">
        <x:v>2026</x:v>
      </x:c>
      <x:c r="C732" s="380" t="n">
        <x:v>12</x:v>
      </x:c>
      <x:c r="D732" s="380" t="str">
        <x:v>Dec</x:v>
      </x:c>
      <x:c r="E732" s="380" t="n">
        <x:v>27</x:v>
      </x:c>
      <x:c r="F732" s="380" t="n">
        <x:v>7</x:v>
      </x:c>
      <x:c r="G732" s="380" t="n">
        <x:f>--(F732&lt;='Estimator'!$B$7)</x:f>
        <x:v>0</x:v>
      </x:c>
      <x:c r="H732" s="381" t="n">
        <x:f>SUMIFS('Climate Data'!$G$7:$G$366,'Climate Data'!$A$7:$A$366,'Estimator'!$B$4,'Climate Data'!$B$7:$B$366,C732)</x:f>
        <x:v>0.2914349276974416</x:v>
      </x:c>
      <x:c r="I732" s="382" t="n">
        <x:f>SUMIFS('Climate Data'!$H$7:$H$366,'Climate Data'!$A$7:$A$366,'Estimator'!$B$4,'Climate Data'!$B$7:$B$366,C732)</x:f>
        <x:v>9.043129770992365</x:v>
      </x:c>
      <x:c r="J732" s="381" t="n">
        <x:f>SUMIFS('Wind Proxy'!$H$8:$H$19,'Wind Proxy'!$A$8:$A$19,'Estimator'!$B$4,'Wind Proxy'!$B$8:$B$19,C732)</x:f>
        <x:v>0.12544802867383514</x:v>
      </x:c>
    </x:row>
    <x:row r="733">
      <x:c r="A733" s="379" t="n">
        <x:v>46384</x:v>
      </x:c>
      <x:c r="B733" s="380" t="n">
        <x:v>2026</x:v>
      </x:c>
      <x:c r="C733" s="380" t="n">
        <x:v>12</x:v>
      </x:c>
      <x:c r="D733" s="380" t="str">
        <x:v>Dec</x:v>
      </x:c>
      <x:c r="E733" s="380" t="n">
        <x:v>28</x:v>
      </x:c>
      <x:c r="F733" s="380" t="n">
        <x:v>1</x:v>
      </x:c>
      <x:c r="G733" s="380" t="n">
        <x:f>--(F733&lt;='Estimator'!$B$7)</x:f>
        <x:v>1</x:v>
      </x:c>
      <x:c r="H733" s="381" t="n">
        <x:f>SUMIFS('Climate Data'!$G$7:$G$366,'Climate Data'!$A$7:$A$366,'Estimator'!$B$4,'Climate Data'!$B$7:$B$366,C733)</x:f>
        <x:v>0.2914349276974416</x:v>
      </x:c>
      <x:c r="I733" s="382" t="n">
        <x:f>SUMIFS('Climate Data'!$H$7:$H$366,'Climate Data'!$A$7:$A$366,'Estimator'!$B$4,'Climate Data'!$B$7:$B$366,C733)</x:f>
        <x:v>9.043129770992365</x:v>
      </x:c>
      <x:c r="J733" s="381" t="n">
        <x:f>SUMIFS('Wind Proxy'!$H$8:$H$19,'Wind Proxy'!$A$8:$A$19,'Estimator'!$B$4,'Wind Proxy'!$B$8:$B$19,C733)</x:f>
        <x:v>0.12544802867383514</x:v>
      </x:c>
    </x:row>
    <x:row r="734">
      <x:c r="A734" s="379" t="n">
        <x:v>46385</x:v>
      </x:c>
      <x:c r="B734" s="380" t="n">
        <x:v>2026</x:v>
      </x:c>
      <x:c r="C734" s="380" t="n">
        <x:v>12</x:v>
      </x:c>
      <x:c r="D734" s="380" t="str">
        <x:v>Dec</x:v>
      </x:c>
      <x:c r="E734" s="380" t="n">
        <x:v>29</x:v>
      </x:c>
      <x:c r="F734" s="380" t="n">
        <x:v>2</x:v>
      </x:c>
      <x:c r="G734" s="380" t="n">
        <x:f>--(F734&lt;='Estimator'!$B$7)</x:f>
        <x:v>1</x:v>
      </x:c>
      <x:c r="H734" s="381" t="n">
        <x:f>SUMIFS('Climate Data'!$G$7:$G$366,'Climate Data'!$A$7:$A$366,'Estimator'!$B$4,'Climate Data'!$B$7:$B$366,C734)</x:f>
        <x:v>0.2914349276974416</x:v>
      </x:c>
      <x:c r="I734" s="382" t="n">
        <x:f>SUMIFS('Climate Data'!$H$7:$H$366,'Climate Data'!$A$7:$A$366,'Estimator'!$B$4,'Climate Data'!$B$7:$B$366,C734)</x:f>
        <x:v>9.043129770992365</x:v>
      </x:c>
      <x:c r="J734" s="381" t="n">
        <x:f>SUMIFS('Wind Proxy'!$H$8:$H$19,'Wind Proxy'!$A$8:$A$19,'Estimator'!$B$4,'Wind Proxy'!$B$8:$B$19,C734)</x:f>
        <x:v>0.12544802867383514</x:v>
      </x:c>
    </x:row>
    <x:row r="735">
      <x:c r="A735" s="379" t="n">
        <x:v>46386</x:v>
      </x:c>
      <x:c r="B735" s="380" t="n">
        <x:v>2026</x:v>
      </x:c>
      <x:c r="C735" s="380" t="n">
        <x:v>12</x:v>
      </x:c>
      <x:c r="D735" s="380" t="str">
        <x:v>Dec</x:v>
      </x:c>
      <x:c r="E735" s="380" t="n">
        <x:v>30</x:v>
      </x:c>
      <x:c r="F735" s="380" t="n">
        <x:v>3</x:v>
      </x:c>
      <x:c r="G735" s="380" t="n">
        <x:f>--(F735&lt;='Estimator'!$B$7)</x:f>
        <x:v>1</x:v>
      </x:c>
      <x:c r="H735" s="381" t="n">
        <x:f>SUMIFS('Climate Data'!$G$7:$G$366,'Climate Data'!$A$7:$A$366,'Estimator'!$B$4,'Climate Data'!$B$7:$B$366,C735)</x:f>
        <x:v>0.2914349276974416</x:v>
      </x:c>
      <x:c r="I735" s="382" t="n">
        <x:f>SUMIFS('Climate Data'!$H$7:$H$366,'Climate Data'!$A$7:$A$366,'Estimator'!$B$4,'Climate Data'!$B$7:$B$366,C735)</x:f>
        <x:v>9.043129770992365</x:v>
      </x:c>
      <x:c r="J735" s="381" t="n">
        <x:f>SUMIFS('Wind Proxy'!$H$8:$H$19,'Wind Proxy'!$A$8:$A$19,'Estimator'!$B$4,'Wind Proxy'!$B$8:$B$19,C735)</x:f>
        <x:v>0.12544802867383514</x:v>
      </x:c>
    </x:row>
    <x:row r="736">
      <x:c r="A736" s="379" t="n">
        <x:v>46387</x:v>
      </x:c>
      <x:c r="B736" s="380" t="n">
        <x:v>2026</x:v>
      </x:c>
      <x:c r="C736" s="380" t="n">
        <x:v>12</x:v>
      </x:c>
      <x:c r="D736" s="380" t="str">
        <x:v>Dec</x:v>
      </x:c>
      <x:c r="E736" s="380" t="n">
        <x:v>31</x:v>
      </x:c>
      <x:c r="F736" s="380" t="n">
        <x:v>4</x:v>
      </x:c>
      <x:c r="G736" s="380" t="n">
        <x:f>--(F736&lt;='Estimator'!$B$7)</x:f>
        <x:v>1</x:v>
      </x:c>
      <x:c r="H736" s="381" t="n">
        <x:f>SUMIFS('Climate Data'!$G$7:$G$366,'Climate Data'!$A$7:$A$366,'Estimator'!$B$4,'Climate Data'!$B$7:$B$366,C736)</x:f>
        <x:v>0.2914349276974416</x:v>
      </x:c>
      <x:c r="I736" s="382" t="n">
        <x:f>SUMIFS('Climate Data'!$H$7:$H$366,'Climate Data'!$A$7:$A$366,'Estimator'!$B$4,'Climate Data'!$B$7:$B$366,C736)</x:f>
        <x:v>9.043129770992365</x:v>
      </x:c>
      <x:c r="J736" s="381" t="n">
        <x:f>SUMIFS('Wind Proxy'!$H$8:$H$19,'Wind Proxy'!$A$8:$A$19,'Estimator'!$B$4,'Wind Proxy'!$B$8:$B$19,C736)</x:f>
        <x:v>0.12544802867383514</x:v>
      </x:c>
    </x:row>
    <x:row r="737">
      <x:c r="A737" s="379" t="n">
        <x:v>46388</x:v>
      </x:c>
      <x:c r="B737" s="380" t="n">
        <x:v>2027</x:v>
      </x:c>
      <x:c r="C737" s="380" t="n">
        <x:v>1</x:v>
      </x:c>
      <x:c r="D737" s="380" t="str">
        <x:v>Jan</x:v>
      </x:c>
      <x:c r="E737" s="380" t="n">
        <x:v>1</x:v>
      </x:c>
      <x:c r="F737" s="380" t="n">
        <x:v>5</x:v>
      </x:c>
      <x:c r="G737" s="380" t="n">
        <x:f>--(F737&lt;='Estimator'!$B$7)</x:f>
        <x:v>1</x:v>
      </x:c>
      <x:c r="H737" s="381" t="n">
        <x:f>SUMIFS('Climate Data'!$G$7:$G$366,'Climate Data'!$A$7:$A$366,'Estimator'!$B$4,'Climate Data'!$B$7:$B$366,C737)</x:f>
        <x:v>0.21802002224694106</x:v>
      </x:c>
      <x:c r="I737" s="382" t="n">
        <x:f>SUMIFS('Climate Data'!$H$7:$H$366,'Climate Data'!$A$7:$A$366,'Estimator'!$B$4,'Climate Data'!$B$7:$B$366,C737)</x:f>
        <x:v>8.596428571428572</x:v>
      </x:c>
      <x:c r="J737" s="381" t="n">
        <x:f>SUMIFS('Wind Proxy'!$H$8:$H$19,'Wind Proxy'!$A$8:$A$19,'Estimator'!$B$4,'Wind Proxy'!$B$8:$B$19,C737)</x:f>
        <x:v>0.12544802867383514</x:v>
      </x:c>
    </x:row>
    <x:row r="738">
      <x:c r="A738" s="379" t="n">
        <x:v>46389</x:v>
      </x:c>
      <x:c r="B738" s="380" t="n">
        <x:v>2027</x:v>
      </x:c>
      <x:c r="C738" s="380" t="n">
        <x:v>1</x:v>
      </x:c>
      <x:c r="D738" s="380" t="str">
        <x:v>Jan</x:v>
      </x:c>
      <x:c r="E738" s="380" t="n">
        <x:v>2</x:v>
      </x:c>
      <x:c r="F738" s="380" t="n">
        <x:v>6</x:v>
      </x:c>
      <x:c r="G738" s="380" t="n">
        <x:f>--(F738&lt;='Estimator'!$B$7)</x:f>
        <x:v>0</x:v>
      </x:c>
      <x:c r="H738" s="381" t="n">
        <x:f>SUMIFS('Climate Data'!$G$7:$G$366,'Climate Data'!$A$7:$A$366,'Estimator'!$B$4,'Climate Data'!$B$7:$B$366,C738)</x:f>
        <x:v>0.21802002224694106</x:v>
      </x:c>
      <x:c r="I738" s="382" t="n">
        <x:f>SUMIFS('Climate Data'!$H$7:$H$366,'Climate Data'!$A$7:$A$366,'Estimator'!$B$4,'Climate Data'!$B$7:$B$366,C738)</x:f>
        <x:v>8.596428571428572</x:v>
      </x:c>
      <x:c r="J738" s="381" t="n">
        <x:f>SUMIFS('Wind Proxy'!$H$8:$H$19,'Wind Proxy'!$A$8:$A$19,'Estimator'!$B$4,'Wind Proxy'!$B$8:$B$19,C738)</x:f>
        <x:v>0.12544802867383514</x:v>
      </x:c>
    </x:row>
    <x:row r="739">
      <x:c r="A739" s="379" t="n">
        <x:v>46390</x:v>
      </x:c>
      <x:c r="B739" s="380" t="n">
        <x:v>2027</x:v>
      </x:c>
      <x:c r="C739" s="380" t="n">
        <x:v>1</x:v>
      </x:c>
      <x:c r="D739" s="380" t="str">
        <x:v>Jan</x:v>
      </x:c>
      <x:c r="E739" s="380" t="n">
        <x:v>3</x:v>
      </x:c>
      <x:c r="F739" s="380" t="n">
        <x:v>7</x:v>
      </x:c>
      <x:c r="G739" s="380" t="n">
        <x:f>--(F739&lt;='Estimator'!$B$7)</x:f>
        <x:v>0</x:v>
      </x:c>
      <x:c r="H739" s="381" t="n">
        <x:f>SUMIFS('Climate Data'!$G$7:$G$366,'Climate Data'!$A$7:$A$366,'Estimator'!$B$4,'Climate Data'!$B$7:$B$366,C739)</x:f>
        <x:v>0.21802002224694106</x:v>
      </x:c>
      <x:c r="I739" s="382" t="n">
        <x:f>SUMIFS('Climate Data'!$H$7:$H$366,'Climate Data'!$A$7:$A$366,'Estimator'!$B$4,'Climate Data'!$B$7:$B$366,C739)</x:f>
        <x:v>8.596428571428572</x:v>
      </x:c>
      <x:c r="J739" s="381" t="n">
        <x:f>SUMIFS('Wind Proxy'!$H$8:$H$19,'Wind Proxy'!$A$8:$A$19,'Estimator'!$B$4,'Wind Proxy'!$B$8:$B$19,C739)</x:f>
        <x:v>0.12544802867383514</x:v>
      </x:c>
    </x:row>
    <x:row r="740">
      <x:c r="A740" s="379" t="n">
        <x:v>46391</x:v>
      </x:c>
      <x:c r="B740" s="380" t="n">
        <x:v>2027</x:v>
      </x:c>
      <x:c r="C740" s="380" t="n">
        <x:v>1</x:v>
      </x:c>
      <x:c r="D740" s="380" t="str">
        <x:v>Jan</x:v>
      </x:c>
      <x:c r="E740" s="380" t="n">
        <x:v>4</x:v>
      </x:c>
      <x:c r="F740" s="380" t="n">
        <x:v>1</x:v>
      </x:c>
      <x:c r="G740" s="380" t="n">
        <x:f>--(F740&lt;='Estimator'!$B$7)</x:f>
        <x:v>1</x:v>
      </x:c>
      <x:c r="H740" s="381" t="n">
        <x:f>SUMIFS('Climate Data'!$G$7:$G$366,'Climate Data'!$A$7:$A$366,'Estimator'!$B$4,'Climate Data'!$B$7:$B$366,C740)</x:f>
        <x:v>0.21802002224694106</x:v>
      </x:c>
      <x:c r="I740" s="382" t="n">
        <x:f>SUMIFS('Climate Data'!$H$7:$H$366,'Climate Data'!$A$7:$A$366,'Estimator'!$B$4,'Climate Data'!$B$7:$B$366,C740)</x:f>
        <x:v>8.596428571428572</x:v>
      </x:c>
      <x:c r="J740" s="381" t="n">
        <x:f>SUMIFS('Wind Proxy'!$H$8:$H$19,'Wind Proxy'!$A$8:$A$19,'Estimator'!$B$4,'Wind Proxy'!$B$8:$B$19,C740)</x:f>
        <x:v>0.12544802867383514</x:v>
      </x:c>
    </x:row>
    <x:row r="741">
      <x:c r="A741" s="379" t="n">
        <x:v>46392</x:v>
      </x:c>
      <x:c r="B741" s="380" t="n">
        <x:v>2027</x:v>
      </x:c>
      <x:c r="C741" s="380" t="n">
        <x:v>1</x:v>
      </x:c>
      <x:c r="D741" s="380" t="str">
        <x:v>Jan</x:v>
      </x:c>
      <x:c r="E741" s="380" t="n">
        <x:v>5</x:v>
      </x:c>
      <x:c r="F741" s="380" t="n">
        <x:v>2</x:v>
      </x:c>
      <x:c r="G741" s="380" t="n">
        <x:f>--(F741&lt;='Estimator'!$B$7)</x:f>
        <x:v>1</x:v>
      </x:c>
      <x:c r="H741" s="381" t="n">
        <x:f>SUMIFS('Climate Data'!$G$7:$G$366,'Climate Data'!$A$7:$A$366,'Estimator'!$B$4,'Climate Data'!$B$7:$B$366,C741)</x:f>
        <x:v>0.21802002224694106</x:v>
      </x:c>
      <x:c r="I741" s="382" t="n">
        <x:f>SUMIFS('Climate Data'!$H$7:$H$366,'Climate Data'!$A$7:$A$366,'Estimator'!$B$4,'Climate Data'!$B$7:$B$366,C741)</x:f>
        <x:v>8.596428571428572</x:v>
      </x:c>
      <x:c r="J741" s="381" t="n">
        <x:f>SUMIFS('Wind Proxy'!$H$8:$H$19,'Wind Proxy'!$A$8:$A$19,'Estimator'!$B$4,'Wind Proxy'!$B$8:$B$19,C741)</x:f>
        <x:v>0.12544802867383514</x:v>
      </x:c>
    </x:row>
    <x:row r="742">
      <x:c r="A742" s="379" t="n">
        <x:v>46393</x:v>
      </x:c>
      <x:c r="B742" s="380" t="n">
        <x:v>2027</x:v>
      </x:c>
      <x:c r="C742" s="380" t="n">
        <x:v>1</x:v>
      </x:c>
      <x:c r="D742" s="380" t="str">
        <x:v>Jan</x:v>
      </x:c>
      <x:c r="E742" s="380" t="n">
        <x:v>6</x:v>
      </x:c>
      <x:c r="F742" s="380" t="n">
        <x:v>3</x:v>
      </x:c>
      <x:c r="G742" s="380" t="n">
        <x:f>--(F742&lt;='Estimator'!$B$7)</x:f>
        <x:v>1</x:v>
      </x:c>
      <x:c r="H742" s="381" t="n">
        <x:f>SUMIFS('Climate Data'!$G$7:$G$366,'Climate Data'!$A$7:$A$366,'Estimator'!$B$4,'Climate Data'!$B$7:$B$366,C742)</x:f>
        <x:v>0.21802002224694106</x:v>
      </x:c>
      <x:c r="I742" s="382" t="n">
        <x:f>SUMIFS('Climate Data'!$H$7:$H$366,'Climate Data'!$A$7:$A$366,'Estimator'!$B$4,'Climate Data'!$B$7:$B$366,C742)</x:f>
        <x:v>8.596428571428572</x:v>
      </x:c>
      <x:c r="J742" s="381" t="n">
        <x:f>SUMIFS('Wind Proxy'!$H$8:$H$19,'Wind Proxy'!$A$8:$A$19,'Estimator'!$B$4,'Wind Proxy'!$B$8:$B$19,C742)</x:f>
        <x:v>0.12544802867383514</x:v>
      </x:c>
    </x:row>
    <x:row r="743">
      <x:c r="A743" s="379" t="n">
        <x:v>46394</x:v>
      </x:c>
      <x:c r="B743" s="380" t="n">
        <x:v>2027</x:v>
      </x:c>
      <x:c r="C743" s="380" t="n">
        <x:v>1</x:v>
      </x:c>
      <x:c r="D743" s="380" t="str">
        <x:v>Jan</x:v>
      </x:c>
      <x:c r="E743" s="380" t="n">
        <x:v>7</x:v>
      </x:c>
      <x:c r="F743" s="380" t="n">
        <x:v>4</x:v>
      </x:c>
      <x:c r="G743" s="380" t="n">
        <x:f>--(F743&lt;='Estimator'!$B$7)</x:f>
        <x:v>1</x:v>
      </x:c>
      <x:c r="H743" s="381" t="n">
        <x:f>SUMIFS('Climate Data'!$G$7:$G$366,'Climate Data'!$A$7:$A$366,'Estimator'!$B$4,'Climate Data'!$B$7:$B$366,C743)</x:f>
        <x:v>0.21802002224694106</x:v>
      </x:c>
      <x:c r="I743" s="382" t="n">
        <x:f>SUMIFS('Climate Data'!$H$7:$H$366,'Climate Data'!$A$7:$A$366,'Estimator'!$B$4,'Climate Data'!$B$7:$B$366,C743)</x:f>
        <x:v>8.596428571428572</x:v>
      </x:c>
      <x:c r="J743" s="381" t="n">
        <x:f>SUMIFS('Wind Proxy'!$H$8:$H$19,'Wind Proxy'!$A$8:$A$19,'Estimator'!$B$4,'Wind Proxy'!$B$8:$B$19,C743)</x:f>
        <x:v>0.12544802867383514</x:v>
      </x:c>
    </x:row>
    <x:row r="744">
      <x:c r="A744" s="379" t="n">
        <x:v>46395</x:v>
      </x:c>
      <x:c r="B744" s="380" t="n">
        <x:v>2027</x:v>
      </x:c>
      <x:c r="C744" s="380" t="n">
        <x:v>1</x:v>
      </x:c>
      <x:c r="D744" s="380" t="str">
        <x:v>Jan</x:v>
      </x:c>
      <x:c r="E744" s="380" t="n">
        <x:v>8</x:v>
      </x:c>
      <x:c r="F744" s="380" t="n">
        <x:v>5</x:v>
      </x:c>
      <x:c r="G744" s="380" t="n">
        <x:f>--(F744&lt;='Estimator'!$B$7)</x:f>
        <x:v>1</x:v>
      </x:c>
      <x:c r="H744" s="381" t="n">
        <x:f>SUMIFS('Climate Data'!$G$7:$G$366,'Climate Data'!$A$7:$A$366,'Estimator'!$B$4,'Climate Data'!$B$7:$B$366,C744)</x:f>
        <x:v>0.21802002224694106</x:v>
      </x:c>
      <x:c r="I744" s="382" t="n">
        <x:f>SUMIFS('Climate Data'!$H$7:$H$366,'Climate Data'!$A$7:$A$366,'Estimator'!$B$4,'Climate Data'!$B$7:$B$366,C744)</x:f>
        <x:v>8.596428571428572</x:v>
      </x:c>
      <x:c r="J744" s="381" t="n">
        <x:f>SUMIFS('Wind Proxy'!$H$8:$H$19,'Wind Proxy'!$A$8:$A$19,'Estimator'!$B$4,'Wind Proxy'!$B$8:$B$19,C744)</x:f>
        <x:v>0.12544802867383514</x:v>
      </x:c>
    </x:row>
    <x:row r="745">
      <x:c r="A745" s="379" t="n">
        <x:v>46396</x:v>
      </x:c>
      <x:c r="B745" s="380" t="n">
        <x:v>2027</x:v>
      </x:c>
      <x:c r="C745" s="380" t="n">
        <x:v>1</x:v>
      </x:c>
      <x:c r="D745" s="380" t="str">
        <x:v>Jan</x:v>
      </x:c>
      <x:c r="E745" s="380" t="n">
        <x:v>9</x:v>
      </x:c>
      <x:c r="F745" s="380" t="n">
        <x:v>6</x:v>
      </x:c>
      <x:c r="G745" s="380" t="n">
        <x:f>--(F745&lt;='Estimator'!$B$7)</x:f>
        <x:v>0</x:v>
      </x:c>
      <x:c r="H745" s="381" t="n">
        <x:f>SUMIFS('Climate Data'!$G$7:$G$366,'Climate Data'!$A$7:$A$366,'Estimator'!$B$4,'Climate Data'!$B$7:$B$366,C745)</x:f>
        <x:v>0.21802002224694106</x:v>
      </x:c>
      <x:c r="I745" s="382" t="n">
        <x:f>SUMIFS('Climate Data'!$H$7:$H$366,'Climate Data'!$A$7:$A$366,'Estimator'!$B$4,'Climate Data'!$B$7:$B$366,C745)</x:f>
        <x:v>8.596428571428572</x:v>
      </x:c>
      <x:c r="J745" s="381" t="n">
        <x:f>SUMIFS('Wind Proxy'!$H$8:$H$19,'Wind Proxy'!$A$8:$A$19,'Estimator'!$B$4,'Wind Proxy'!$B$8:$B$19,C745)</x:f>
        <x:v>0.12544802867383514</x:v>
      </x:c>
    </x:row>
    <x:row r="746">
      <x:c r="A746" s="379" t="n">
        <x:v>46397</x:v>
      </x:c>
      <x:c r="B746" s="380" t="n">
        <x:v>2027</x:v>
      </x:c>
      <x:c r="C746" s="380" t="n">
        <x:v>1</x:v>
      </x:c>
      <x:c r="D746" s="380" t="str">
        <x:v>Jan</x:v>
      </x:c>
      <x:c r="E746" s="380" t="n">
        <x:v>10</x:v>
      </x:c>
      <x:c r="F746" s="380" t="n">
        <x:v>7</x:v>
      </x:c>
      <x:c r="G746" s="380" t="n">
        <x:f>--(F746&lt;='Estimator'!$B$7)</x:f>
        <x:v>0</x:v>
      </x:c>
      <x:c r="H746" s="381" t="n">
        <x:f>SUMIFS('Climate Data'!$G$7:$G$366,'Climate Data'!$A$7:$A$366,'Estimator'!$B$4,'Climate Data'!$B$7:$B$366,C746)</x:f>
        <x:v>0.21802002224694106</x:v>
      </x:c>
      <x:c r="I746" s="382" t="n">
        <x:f>SUMIFS('Climate Data'!$H$7:$H$366,'Climate Data'!$A$7:$A$366,'Estimator'!$B$4,'Climate Data'!$B$7:$B$366,C746)</x:f>
        <x:v>8.596428571428572</x:v>
      </x:c>
      <x:c r="J746" s="381" t="n">
        <x:f>SUMIFS('Wind Proxy'!$H$8:$H$19,'Wind Proxy'!$A$8:$A$19,'Estimator'!$B$4,'Wind Proxy'!$B$8:$B$19,C746)</x:f>
        <x:v>0.12544802867383514</x:v>
      </x:c>
    </x:row>
    <x:row r="747">
      <x:c r="A747" s="379" t="n">
        <x:v>46398</x:v>
      </x:c>
      <x:c r="B747" s="380" t="n">
        <x:v>2027</x:v>
      </x:c>
      <x:c r="C747" s="380" t="n">
        <x:v>1</x:v>
      </x:c>
      <x:c r="D747" s="380" t="str">
        <x:v>Jan</x:v>
      </x:c>
      <x:c r="E747" s="380" t="n">
        <x:v>11</x:v>
      </x:c>
      <x:c r="F747" s="380" t="n">
        <x:v>1</x:v>
      </x:c>
      <x:c r="G747" s="380" t="n">
        <x:f>--(F747&lt;='Estimator'!$B$7)</x:f>
        <x:v>1</x:v>
      </x:c>
      <x:c r="H747" s="381" t="n">
        <x:f>SUMIFS('Climate Data'!$G$7:$G$366,'Climate Data'!$A$7:$A$366,'Estimator'!$B$4,'Climate Data'!$B$7:$B$366,C747)</x:f>
        <x:v>0.21802002224694106</x:v>
      </x:c>
      <x:c r="I747" s="382" t="n">
        <x:f>SUMIFS('Climate Data'!$H$7:$H$366,'Climate Data'!$A$7:$A$366,'Estimator'!$B$4,'Climate Data'!$B$7:$B$366,C747)</x:f>
        <x:v>8.596428571428572</x:v>
      </x:c>
      <x:c r="J747" s="381" t="n">
        <x:f>SUMIFS('Wind Proxy'!$H$8:$H$19,'Wind Proxy'!$A$8:$A$19,'Estimator'!$B$4,'Wind Proxy'!$B$8:$B$19,C747)</x:f>
        <x:v>0.12544802867383514</x:v>
      </x:c>
    </x:row>
    <x:row r="748">
      <x:c r="A748" s="379" t="n">
        <x:v>46399</x:v>
      </x:c>
      <x:c r="B748" s="380" t="n">
        <x:v>2027</x:v>
      </x:c>
      <x:c r="C748" s="380" t="n">
        <x:v>1</x:v>
      </x:c>
      <x:c r="D748" s="380" t="str">
        <x:v>Jan</x:v>
      </x:c>
      <x:c r="E748" s="380" t="n">
        <x:v>12</x:v>
      </x:c>
      <x:c r="F748" s="380" t="n">
        <x:v>2</x:v>
      </x:c>
      <x:c r="G748" s="380" t="n">
        <x:f>--(F748&lt;='Estimator'!$B$7)</x:f>
        <x:v>1</x:v>
      </x:c>
      <x:c r="H748" s="381" t="n">
        <x:f>SUMIFS('Climate Data'!$G$7:$G$366,'Climate Data'!$A$7:$A$366,'Estimator'!$B$4,'Climate Data'!$B$7:$B$366,C748)</x:f>
        <x:v>0.21802002224694106</x:v>
      </x:c>
      <x:c r="I748" s="382" t="n">
        <x:f>SUMIFS('Climate Data'!$H$7:$H$366,'Climate Data'!$A$7:$A$366,'Estimator'!$B$4,'Climate Data'!$B$7:$B$366,C748)</x:f>
        <x:v>8.596428571428572</x:v>
      </x:c>
      <x:c r="J748" s="381" t="n">
        <x:f>SUMIFS('Wind Proxy'!$H$8:$H$19,'Wind Proxy'!$A$8:$A$19,'Estimator'!$B$4,'Wind Proxy'!$B$8:$B$19,C748)</x:f>
        <x:v>0.12544802867383514</x:v>
      </x:c>
    </x:row>
    <x:row r="749">
      <x:c r="A749" s="379" t="n">
        <x:v>46400</x:v>
      </x:c>
      <x:c r="B749" s="380" t="n">
        <x:v>2027</x:v>
      </x:c>
      <x:c r="C749" s="380" t="n">
        <x:v>1</x:v>
      </x:c>
      <x:c r="D749" s="380" t="str">
        <x:v>Jan</x:v>
      </x:c>
      <x:c r="E749" s="380" t="n">
        <x:v>13</x:v>
      </x:c>
      <x:c r="F749" s="380" t="n">
        <x:v>3</x:v>
      </x:c>
      <x:c r="G749" s="380" t="n">
        <x:f>--(F749&lt;='Estimator'!$B$7)</x:f>
        <x:v>1</x:v>
      </x:c>
      <x:c r="H749" s="381" t="n">
        <x:f>SUMIFS('Climate Data'!$G$7:$G$366,'Climate Data'!$A$7:$A$366,'Estimator'!$B$4,'Climate Data'!$B$7:$B$366,C749)</x:f>
        <x:v>0.21802002224694106</x:v>
      </x:c>
      <x:c r="I749" s="382" t="n">
        <x:f>SUMIFS('Climate Data'!$H$7:$H$366,'Climate Data'!$A$7:$A$366,'Estimator'!$B$4,'Climate Data'!$B$7:$B$366,C749)</x:f>
        <x:v>8.596428571428572</x:v>
      </x:c>
      <x:c r="J749" s="381" t="n">
        <x:f>SUMIFS('Wind Proxy'!$H$8:$H$19,'Wind Proxy'!$A$8:$A$19,'Estimator'!$B$4,'Wind Proxy'!$B$8:$B$19,C749)</x:f>
        <x:v>0.12544802867383514</x:v>
      </x:c>
    </x:row>
    <x:row r="750">
      <x:c r="A750" s="379" t="n">
        <x:v>46401</x:v>
      </x:c>
      <x:c r="B750" s="380" t="n">
        <x:v>2027</x:v>
      </x:c>
      <x:c r="C750" s="380" t="n">
        <x:v>1</x:v>
      </x:c>
      <x:c r="D750" s="380" t="str">
        <x:v>Jan</x:v>
      </x:c>
      <x:c r="E750" s="380" t="n">
        <x:v>14</x:v>
      </x:c>
      <x:c r="F750" s="380" t="n">
        <x:v>4</x:v>
      </x:c>
      <x:c r="G750" s="380" t="n">
        <x:f>--(F750&lt;='Estimator'!$B$7)</x:f>
        <x:v>1</x:v>
      </x:c>
      <x:c r="H750" s="381" t="n">
        <x:f>SUMIFS('Climate Data'!$G$7:$G$366,'Climate Data'!$A$7:$A$366,'Estimator'!$B$4,'Climate Data'!$B$7:$B$366,C750)</x:f>
        <x:v>0.21802002224694106</x:v>
      </x:c>
      <x:c r="I750" s="382" t="n">
        <x:f>SUMIFS('Climate Data'!$H$7:$H$366,'Climate Data'!$A$7:$A$366,'Estimator'!$B$4,'Climate Data'!$B$7:$B$366,C750)</x:f>
        <x:v>8.596428571428572</x:v>
      </x:c>
      <x:c r="J750" s="381" t="n">
        <x:f>SUMIFS('Wind Proxy'!$H$8:$H$19,'Wind Proxy'!$A$8:$A$19,'Estimator'!$B$4,'Wind Proxy'!$B$8:$B$19,C750)</x:f>
        <x:v>0.12544802867383514</x:v>
      </x:c>
    </x:row>
    <x:row r="751">
      <x:c r="A751" s="379" t="n">
        <x:v>46402</x:v>
      </x:c>
      <x:c r="B751" s="380" t="n">
        <x:v>2027</x:v>
      </x:c>
      <x:c r="C751" s="380" t="n">
        <x:v>1</x:v>
      </x:c>
      <x:c r="D751" s="380" t="str">
        <x:v>Jan</x:v>
      </x:c>
      <x:c r="E751" s="380" t="n">
        <x:v>15</x:v>
      </x:c>
      <x:c r="F751" s="380" t="n">
        <x:v>5</x:v>
      </x:c>
      <x:c r="G751" s="380" t="n">
        <x:f>--(F751&lt;='Estimator'!$B$7)</x:f>
        <x:v>1</x:v>
      </x:c>
      <x:c r="H751" s="381" t="n">
        <x:f>SUMIFS('Climate Data'!$G$7:$G$366,'Climate Data'!$A$7:$A$366,'Estimator'!$B$4,'Climate Data'!$B$7:$B$366,C751)</x:f>
        <x:v>0.21802002224694106</x:v>
      </x:c>
      <x:c r="I751" s="382" t="n">
        <x:f>SUMIFS('Climate Data'!$H$7:$H$366,'Climate Data'!$A$7:$A$366,'Estimator'!$B$4,'Climate Data'!$B$7:$B$366,C751)</x:f>
        <x:v>8.596428571428572</x:v>
      </x:c>
      <x:c r="J751" s="381" t="n">
        <x:f>SUMIFS('Wind Proxy'!$H$8:$H$19,'Wind Proxy'!$A$8:$A$19,'Estimator'!$B$4,'Wind Proxy'!$B$8:$B$19,C751)</x:f>
        <x:v>0.12544802867383514</x:v>
      </x:c>
    </x:row>
    <x:row r="752">
      <x:c r="A752" s="379" t="n">
        <x:v>46403</x:v>
      </x:c>
      <x:c r="B752" s="380" t="n">
        <x:v>2027</x:v>
      </x:c>
      <x:c r="C752" s="380" t="n">
        <x:v>1</x:v>
      </x:c>
      <x:c r="D752" s="380" t="str">
        <x:v>Jan</x:v>
      </x:c>
      <x:c r="E752" s="380" t="n">
        <x:v>16</x:v>
      </x:c>
      <x:c r="F752" s="380" t="n">
        <x:v>6</x:v>
      </x:c>
      <x:c r="G752" s="380" t="n">
        <x:f>--(F752&lt;='Estimator'!$B$7)</x:f>
        <x:v>0</x:v>
      </x:c>
      <x:c r="H752" s="381" t="n">
        <x:f>SUMIFS('Climate Data'!$G$7:$G$366,'Climate Data'!$A$7:$A$366,'Estimator'!$B$4,'Climate Data'!$B$7:$B$366,C752)</x:f>
        <x:v>0.21802002224694106</x:v>
      </x:c>
      <x:c r="I752" s="382" t="n">
        <x:f>SUMIFS('Climate Data'!$H$7:$H$366,'Climate Data'!$A$7:$A$366,'Estimator'!$B$4,'Climate Data'!$B$7:$B$366,C752)</x:f>
        <x:v>8.596428571428572</x:v>
      </x:c>
      <x:c r="J752" s="381" t="n">
        <x:f>SUMIFS('Wind Proxy'!$H$8:$H$19,'Wind Proxy'!$A$8:$A$19,'Estimator'!$B$4,'Wind Proxy'!$B$8:$B$19,C752)</x:f>
        <x:v>0.12544802867383514</x:v>
      </x:c>
    </x:row>
    <x:row r="753">
      <x:c r="A753" s="379" t="n">
        <x:v>46404</x:v>
      </x:c>
      <x:c r="B753" s="380" t="n">
        <x:v>2027</x:v>
      </x:c>
      <x:c r="C753" s="380" t="n">
        <x:v>1</x:v>
      </x:c>
      <x:c r="D753" s="380" t="str">
        <x:v>Jan</x:v>
      </x:c>
      <x:c r="E753" s="380" t="n">
        <x:v>17</x:v>
      </x:c>
      <x:c r="F753" s="380" t="n">
        <x:v>7</x:v>
      </x:c>
      <x:c r="G753" s="380" t="n">
        <x:f>--(F753&lt;='Estimator'!$B$7)</x:f>
        <x:v>0</x:v>
      </x:c>
      <x:c r="H753" s="381" t="n">
        <x:f>SUMIFS('Climate Data'!$G$7:$G$366,'Climate Data'!$A$7:$A$366,'Estimator'!$B$4,'Climate Data'!$B$7:$B$366,C753)</x:f>
        <x:v>0.21802002224694106</x:v>
      </x:c>
      <x:c r="I753" s="382" t="n">
        <x:f>SUMIFS('Climate Data'!$H$7:$H$366,'Climate Data'!$A$7:$A$366,'Estimator'!$B$4,'Climate Data'!$B$7:$B$366,C753)</x:f>
        <x:v>8.596428571428572</x:v>
      </x:c>
      <x:c r="J753" s="381" t="n">
        <x:f>SUMIFS('Wind Proxy'!$H$8:$H$19,'Wind Proxy'!$A$8:$A$19,'Estimator'!$B$4,'Wind Proxy'!$B$8:$B$19,C753)</x:f>
        <x:v>0.12544802867383514</x:v>
      </x:c>
    </x:row>
    <x:row r="754">
      <x:c r="A754" s="379" t="n">
        <x:v>46405</x:v>
      </x:c>
      <x:c r="B754" s="380" t="n">
        <x:v>2027</x:v>
      </x:c>
      <x:c r="C754" s="380" t="n">
        <x:v>1</x:v>
      </x:c>
      <x:c r="D754" s="380" t="str">
        <x:v>Jan</x:v>
      </x:c>
      <x:c r="E754" s="380" t="n">
        <x:v>18</x:v>
      </x:c>
      <x:c r="F754" s="380" t="n">
        <x:v>1</x:v>
      </x:c>
      <x:c r="G754" s="380" t="n">
        <x:f>--(F754&lt;='Estimator'!$B$7)</x:f>
        <x:v>1</x:v>
      </x:c>
      <x:c r="H754" s="381" t="n">
        <x:f>SUMIFS('Climate Data'!$G$7:$G$366,'Climate Data'!$A$7:$A$366,'Estimator'!$B$4,'Climate Data'!$B$7:$B$366,C754)</x:f>
        <x:v>0.21802002224694106</x:v>
      </x:c>
      <x:c r="I754" s="382" t="n">
        <x:f>SUMIFS('Climate Data'!$H$7:$H$366,'Climate Data'!$A$7:$A$366,'Estimator'!$B$4,'Climate Data'!$B$7:$B$366,C754)</x:f>
        <x:v>8.596428571428572</x:v>
      </x:c>
      <x:c r="J754" s="381" t="n">
        <x:f>SUMIFS('Wind Proxy'!$H$8:$H$19,'Wind Proxy'!$A$8:$A$19,'Estimator'!$B$4,'Wind Proxy'!$B$8:$B$19,C754)</x:f>
        <x:v>0.12544802867383514</x:v>
      </x:c>
    </x:row>
    <x:row r="755">
      <x:c r="A755" s="379" t="n">
        <x:v>46406</x:v>
      </x:c>
      <x:c r="B755" s="380" t="n">
        <x:v>2027</x:v>
      </x:c>
      <x:c r="C755" s="380" t="n">
        <x:v>1</x:v>
      </x:c>
      <x:c r="D755" s="380" t="str">
        <x:v>Jan</x:v>
      </x:c>
      <x:c r="E755" s="380" t="n">
        <x:v>19</x:v>
      </x:c>
      <x:c r="F755" s="380" t="n">
        <x:v>2</x:v>
      </x:c>
      <x:c r="G755" s="380" t="n">
        <x:f>--(F755&lt;='Estimator'!$B$7)</x:f>
        <x:v>1</x:v>
      </x:c>
      <x:c r="H755" s="381" t="n">
        <x:f>SUMIFS('Climate Data'!$G$7:$G$366,'Climate Data'!$A$7:$A$366,'Estimator'!$B$4,'Climate Data'!$B$7:$B$366,C755)</x:f>
        <x:v>0.21802002224694106</x:v>
      </x:c>
      <x:c r="I755" s="382" t="n">
        <x:f>SUMIFS('Climate Data'!$H$7:$H$366,'Climate Data'!$A$7:$A$366,'Estimator'!$B$4,'Climate Data'!$B$7:$B$366,C755)</x:f>
        <x:v>8.596428571428572</x:v>
      </x:c>
      <x:c r="J755" s="381" t="n">
        <x:f>SUMIFS('Wind Proxy'!$H$8:$H$19,'Wind Proxy'!$A$8:$A$19,'Estimator'!$B$4,'Wind Proxy'!$B$8:$B$19,C755)</x:f>
        <x:v>0.12544802867383514</x:v>
      </x:c>
    </x:row>
    <x:row r="756">
      <x:c r="A756" s="379" t="n">
        <x:v>46407</x:v>
      </x:c>
      <x:c r="B756" s="380" t="n">
        <x:v>2027</x:v>
      </x:c>
      <x:c r="C756" s="380" t="n">
        <x:v>1</x:v>
      </x:c>
      <x:c r="D756" s="380" t="str">
        <x:v>Jan</x:v>
      </x:c>
      <x:c r="E756" s="380" t="n">
        <x:v>20</x:v>
      </x:c>
      <x:c r="F756" s="380" t="n">
        <x:v>3</x:v>
      </x:c>
      <x:c r="G756" s="380" t="n">
        <x:f>--(F756&lt;='Estimator'!$B$7)</x:f>
        <x:v>1</x:v>
      </x:c>
      <x:c r="H756" s="381" t="n">
        <x:f>SUMIFS('Climate Data'!$G$7:$G$366,'Climate Data'!$A$7:$A$366,'Estimator'!$B$4,'Climate Data'!$B$7:$B$366,C756)</x:f>
        <x:v>0.21802002224694106</x:v>
      </x:c>
      <x:c r="I756" s="382" t="n">
        <x:f>SUMIFS('Climate Data'!$H$7:$H$366,'Climate Data'!$A$7:$A$366,'Estimator'!$B$4,'Climate Data'!$B$7:$B$366,C756)</x:f>
        <x:v>8.596428571428572</x:v>
      </x:c>
      <x:c r="J756" s="381" t="n">
        <x:f>SUMIFS('Wind Proxy'!$H$8:$H$19,'Wind Proxy'!$A$8:$A$19,'Estimator'!$B$4,'Wind Proxy'!$B$8:$B$19,C756)</x:f>
        <x:v>0.12544802867383514</x:v>
      </x:c>
    </x:row>
    <x:row r="757">
      <x:c r="A757" s="379" t="n">
        <x:v>46408</x:v>
      </x:c>
      <x:c r="B757" s="380" t="n">
        <x:v>2027</x:v>
      </x:c>
      <x:c r="C757" s="380" t="n">
        <x:v>1</x:v>
      </x:c>
      <x:c r="D757" s="380" t="str">
        <x:v>Jan</x:v>
      </x:c>
      <x:c r="E757" s="380" t="n">
        <x:v>21</x:v>
      </x:c>
      <x:c r="F757" s="380" t="n">
        <x:v>4</x:v>
      </x:c>
      <x:c r="G757" s="380" t="n">
        <x:f>--(F757&lt;='Estimator'!$B$7)</x:f>
        <x:v>1</x:v>
      </x:c>
      <x:c r="H757" s="381" t="n">
        <x:f>SUMIFS('Climate Data'!$G$7:$G$366,'Climate Data'!$A$7:$A$366,'Estimator'!$B$4,'Climate Data'!$B$7:$B$366,C757)</x:f>
        <x:v>0.21802002224694106</x:v>
      </x:c>
      <x:c r="I757" s="382" t="n">
        <x:f>SUMIFS('Climate Data'!$H$7:$H$366,'Climate Data'!$A$7:$A$366,'Estimator'!$B$4,'Climate Data'!$B$7:$B$366,C757)</x:f>
        <x:v>8.596428571428572</x:v>
      </x:c>
      <x:c r="J757" s="381" t="n">
        <x:f>SUMIFS('Wind Proxy'!$H$8:$H$19,'Wind Proxy'!$A$8:$A$19,'Estimator'!$B$4,'Wind Proxy'!$B$8:$B$19,C757)</x:f>
        <x:v>0.12544802867383514</x:v>
      </x:c>
    </x:row>
    <x:row r="758">
      <x:c r="A758" s="379" t="n">
        <x:v>46409</x:v>
      </x:c>
      <x:c r="B758" s="380" t="n">
        <x:v>2027</x:v>
      </x:c>
      <x:c r="C758" s="380" t="n">
        <x:v>1</x:v>
      </x:c>
      <x:c r="D758" s="380" t="str">
        <x:v>Jan</x:v>
      </x:c>
      <x:c r="E758" s="380" t="n">
        <x:v>22</x:v>
      </x:c>
      <x:c r="F758" s="380" t="n">
        <x:v>5</x:v>
      </x:c>
      <x:c r="G758" s="380" t="n">
        <x:f>--(F758&lt;='Estimator'!$B$7)</x:f>
        <x:v>1</x:v>
      </x:c>
      <x:c r="H758" s="381" t="n">
        <x:f>SUMIFS('Climate Data'!$G$7:$G$366,'Climate Data'!$A$7:$A$366,'Estimator'!$B$4,'Climate Data'!$B$7:$B$366,C758)</x:f>
        <x:v>0.21802002224694106</x:v>
      </x:c>
      <x:c r="I758" s="382" t="n">
        <x:f>SUMIFS('Climate Data'!$H$7:$H$366,'Climate Data'!$A$7:$A$366,'Estimator'!$B$4,'Climate Data'!$B$7:$B$366,C758)</x:f>
        <x:v>8.596428571428572</x:v>
      </x:c>
      <x:c r="J758" s="381" t="n">
        <x:f>SUMIFS('Wind Proxy'!$H$8:$H$19,'Wind Proxy'!$A$8:$A$19,'Estimator'!$B$4,'Wind Proxy'!$B$8:$B$19,C758)</x:f>
        <x:v>0.12544802867383514</x:v>
      </x:c>
    </x:row>
    <x:row r="759">
      <x:c r="A759" s="379" t="n">
        <x:v>46410</x:v>
      </x:c>
      <x:c r="B759" s="380" t="n">
        <x:v>2027</x:v>
      </x:c>
      <x:c r="C759" s="380" t="n">
        <x:v>1</x:v>
      </x:c>
      <x:c r="D759" s="380" t="str">
        <x:v>Jan</x:v>
      </x:c>
      <x:c r="E759" s="380" t="n">
        <x:v>23</x:v>
      </x:c>
      <x:c r="F759" s="380" t="n">
        <x:v>6</x:v>
      </x:c>
      <x:c r="G759" s="380" t="n">
        <x:f>--(F759&lt;='Estimator'!$B$7)</x:f>
        <x:v>0</x:v>
      </x:c>
      <x:c r="H759" s="381" t="n">
        <x:f>SUMIFS('Climate Data'!$G$7:$G$366,'Climate Data'!$A$7:$A$366,'Estimator'!$B$4,'Climate Data'!$B$7:$B$366,C759)</x:f>
        <x:v>0.21802002224694106</x:v>
      </x:c>
      <x:c r="I759" s="382" t="n">
        <x:f>SUMIFS('Climate Data'!$H$7:$H$366,'Climate Data'!$A$7:$A$366,'Estimator'!$B$4,'Climate Data'!$B$7:$B$366,C759)</x:f>
        <x:v>8.596428571428572</x:v>
      </x:c>
      <x:c r="J759" s="381" t="n">
        <x:f>SUMIFS('Wind Proxy'!$H$8:$H$19,'Wind Proxy'!$A$8:$A$19,'Estimator'!$B$4,'Wind Proxy'!$B$8:$B$19,C759)</x:f>
        <x:v>0.12544802867383514</x:v>
      </x:c>
    </x:row>
    <x:row r="760">
      <x:c r="A760" s="379" t="n">
        <x:v>46411</x:v>
      </x:c>
      <x:c r="B760" s="380" t="n">
        <x:v>2027</x:v>
      </x:c>
      <x:c r="C760" s="380" t="n">
        <x:v>1</x:v>
      </x:c>
      <x:c r="D760" s="380" t="str">
        <x:v>Jan</x:v>
      </x:c>
      <x:c r="E760" s="380" t="n">
        <x:v>24</x:v>
      </x:c>
      <x:c r="F760" s="380" t="n">
        <x:v>7</x:v>
      </x:c>
      <x:c r="G760" s="380" t="n">
        <x:f>--(F760&lt;='Estimator'!$B$7)</x:f>
        <x:v>0</x:v>
      </x:c>
      <x:c r="H760" s="381" t="n">
        <x:f>SUMIFS('Climate Data'!$G$7:$G$366,'Climate Data'!$A$7:$A$366,'Estimator'!$B$4,'Climate Data'!$B$7:$B$366,C760)</x:f>
        <x:v>0.21802002224694106</x:v>
      </x:c>
      <x:c r="I760" s="382" t="n">
        <x:f>SUMIFS('Climate Data'!$H$7:$H$366,'Climate Data'!$A$7:$A$366,'Estimator'!$B$4,'Climate Data'!$B$7:$B$366,C760)</x:f>
        <x:v>8.596428571428572</x:v>
      </x:c>
      <x:c r="J760" s="381" t="n">
        <x:f>SUMIFS('Wind Proxy'!$H$8:$H$19,'Wind Proxy'!$A$8:$A$19,'Estimator'!$B$4,'Wind Proxy'!$B$8:$B$19,C760)</x:f>
        <x:v>0.12544802867383514</x:v>
      </x:c>
    </x:row>
    <x:row r="761">
      <x:c r="A761" s="379" t="n">
        <x:v>46412</x:v>
      </x:c>
      <x:c r="B761" s="380" t="n">
        <x:v>2027</x:v>
      </x:c>
      <x:c r="C761" s="380" t="n">
        <x:v>1</x:v>
      </x:c>
      <x:c r="D761" s="380" t="str">
        <x:v>Jan</x:v>
      </x:c>
      <x:c r="E761" s="380" t="n">
        <x:v>25</x:v>
      </x:c>
      <x:c r="F761" s="380" t="n">
        <x:v>1</x:v>
      </x:c>
      <x:c r="G761" s="380" t="n">
        <x:f>--(F761&lt;='Estimator'!$B$7)</x:f>
        <x:v>1</x:v>
      </x:c>
      <x:c r="H761" s="381" t="n">
        <x:f>SUMIFS('Climate Data'!$G$7:$G$366,'Climate Data'!$A$7:$A$366,'Estimator'!$B$4,'Climate Data'!$B$7:$B$366,C761)</x:f>
        <x:v>0.21802002224694106</x:v>
      </x:c>
      <x:c r="I761" s="382" t="n">
        <x:f>SUMIFS('Climate Data'!$H$7:$H$366,'Climate Data'!$A$7:$A$366,'Estimator'!$B$4,'Climate Data'!$B$7:$B$366,C761)</x:f>
        <x:v>8.596428571428572</x:v>
      </x:c>
      <x:c r="J761" s="381" t="n">
        <x:f>SUMIFS('Wind Proxy'!$H$8:$H$19,'Wind Proxy'!$A$8:$A$19,'Estimator'!$B$4,'Wind Proxy'!$B$8:$B$19,C761)</x:f>
        <x:v>0.12544802867383514</x:v>
      </x:c>
    </x:row>
    <x:row r="762">
      <x:c r="A762" s="379" t="n">
        <x:v>46413</x:v>
      </x:c>
      <x:c r="B762" s="380" t="n">
        <x:v>2027</x:v>
      </x:c>
      <x:c r="C762" s="380" t="n">
        <x:v>1</x:v>
      </x:c>
      <x:c r="D762" s="380" t="str">
        <x:v>Jan</x:v>
      </x:c>
      <x:c r="E762" s="380" t="n">
        <x:v>26</x:v>
      </x:c>
      <x:c r="F762" s="380" t="n">
        <x:v>2</x:v>
      </x:c>
      <x:c r="G762" s="380" t="n">
        <x:f>--(F762&lt;='Estimator'!$B$7)</x:f>
        <x:v>1</x:v>
      </x:c>
      <x:c r="H762" s="381" t="n">
        <x:f>SUMIFS('Climate Data'!$G$7:$G$366,'Climate Data'!$A$7:$A$366,'Estimator'!$B$4,'Climate Data'!$B$7:$B$366,C762)</x:f>
        <x:v>0.21802002224694106</x:v>
      </x:c>
      <x:c r="I762" s="382" t="n">
        <x:f>SUMIFS('Climate Data'!$H$7:$H$366,'Climate Data'!$A$7:$A$366,'Estimator'!$B$4,'Climate Data'!$B$7:$B$366,C762)</x:f>
        <x:v>8.596428571428572</x:v>
      </x:c>
      <x:c r="J762" s="381" t="n">
        <x:f>SUMIFS('Wind Proxy'!$H$8:$H$19,'Wind Proxy'!$A$8:$A$19,'Estimator'!$B$4,'Wind Proxy'!$B$8:$B$19,C762)</x:f>
        <x:v>0.12544802867383514</x:v>
      </x:c>
    </x:row>
    <x:row r="763">
      <x:c r="A763" s="379" t="n">
        <x:v>46414</x:v>
      </x:c>
      <x:c r="B763" s="380" t="n">
        <x:v>2027</x:v>
      </x:c>
      <x:c r="C763" s="380" t="n">
        <x:v>1</x:v>
      </x:c>
      <x:c r="D763" s="380" t="str">
        <x:v>Jan</x:v>
      </x:c>
      <x:c r="E763" s="380" t="n">
        <x:v>27</x:v>
      </x:c>
      <x:c r="F763" s="380" t="n">
        <x:v>3</x:v>
      </x:c>
      <x:c r="G763" s="380" t="n">
        <x:f>--(F763&lt;='Estimator'!$B$7)</x:f>
        <x:v>1</x:v>
      </x:c>
      <x:c r="H763" s="381" t="n">
        <x:f>SUMIFS('Climate Data'!$G$7:$G$366,'Climate Data'!$A$7:$A$366,'Estimator'!$B$4,'Climate Data'!$B$7:$B$366,C763)</x:f>
        <x:v>0.21802002224694106</x:v>
      </x:c>
      <x:c r="I763" s="382" t="n">
        <x:f>SUMIFS('Climate Data'!$H$7:$H$366,'Climate Data'!$A$7:$A$366,'Estimator'!$B$4,'Climate Data'!$B$7:$B$366,C763)</x:f>
        <x:v>8.596428571428572</x:v>
      </x:c>
      <x:c r="J763" s="381" t="n">
        <x:f>SUMIFS('Wind Proxy'!$H$8:$H$19,'Wind Proxy'!$A$8:$A$19,'Estimator'!$B$4,'Wind Proxy'!$B$8:$B$19,C763)</x:f>
        <x:v>0.12544802867383514</x:v>
      </x:c>
    </x:row>
    <x:row r="764">
      <x:c r="A764" s="379" t="n">
        <x:v>46415</x:v>
      </x:c>
      <x:c r="B764" s="380" t="n">
        <x:v>2027</x:v>
      </x:c>
      <x:c r="C764" s="380" t="n">
        <x:v>1</x:v>
      </x:c>
      <x:c r="D764" s="380" t="str">
        <x:v>Jan</x:v>
      </x:c>
      <x:c r="E764" s="380" t="n">
        <x:v>28</x:v>
      </x:c>
      <x:c r="F764" s="380" t="n">
        <x:v>4</x:v>
      </x:c>
      <x:c r="G764" s="380" t="n">
        <x:f>--(F764&lt;='Estimator'!$B$7)</x:f>
        <x:v>1</x:v>
      </x:c>
      <x:c r="H764" s="381" t="n">
        <x:f>SUMIFS('Climate Data'!$G$7:$G$366,'Climate Data'!$A$7:$A$366,'Estimator'!$B$4,'Climate Data'!$B$7:$B$366,C764)</x:f>
        <x:v>0.21802002224694106</x:v>
      </x:c>
      <x:c r="I764" s="382" t="n">
        <x:f>SUMIFS('Climate Data'!$H$7:$H$366,'Climate Data'!$A$7:$A$366,'Estimator'!$B$4,'Climate Data'!$B$7:$B$366,C764)</x:f>
        <x:v>8.596428571428572</x:v>
      </x:c>
      <x:c r="J764" s="381" t="n">
        <x:f>SUMIFS('Wind Proxy'!$H$8:$H$19,'Wind Proxy'!$A$8:$A$19,'Estimator'!$B$4,'Wind Proxy'!$B$8:$B$19,C764)</x:f>
        <x:v>0.12544802867383514</x:v>
      </x:c>
    </x:row>
    <x:row r="765">
      <x:c r="A765" s="379" t="n">
        <x:v>46416</x:v>
      </x:c>
      <x:c r="B765" s="380" t="n">
        <x:v>2027</x:v>
      </x:c>
      <x:c r="C765" s="380" t="n">
        <x:v>1</x:v>
      </x:c>
      <x:c r="D765" s="380" t="str">
        <x:v>Jan</x:v>
      </x:c>
      <x:c r="E765" s="380" t="n">
        <x:v>29</x:v>
      </x:c>
      <x:c r="F765" s="380" t="n">
        <x:v>5</x:v>
      </x:c>
      <x:c r="G765" s="380" t="n">
        <x:f>--(F765&lt;='Estimator'!$B$7)</x:f>
        <x:v>1</x:v>
      </x:c>
      <x:c r="H765" s="381" t="n">
        <x:f>SUMIFS('Climate Data'!$G$7:$G$366,'Climate Data'!$A$7:$A$366,'Estimator'!$B$4,'Climate Data'!$B$7:$B$366,C765)</x:f>
        <x:v>0.21802002224694106</x:v>
      </x:c>
      <x:c r="I765" s="382" t="n">
        <x:f>SUMIFS('Climate Data'!$H$7:$H$366,'Climate Data'!$A$7:$A$366,'Estimator'!$B$4,'Climate Data'!$B$7:$B$366,C765)</x:f>
        <x:v>8.596428571428572</x:v>
      </x:c>
      <x:c r="J765" s="381" t="n">
        <x:f>SUMIFS('Wind Proxy'!$H$8:$H$19,'Wind Proxy'!$A$8:$A$19,'Estimator'!$B$4,'Wind Proxy'!$B$8:$B$19,C765)</x:f>
        <x:v>0.12544802867383514</x:v>
      </x:c>
    </x:row>
    <x:row r="766">
      <x:c r="A766" s="379" t="n">
        <x:v>46417</x:v>
      </x:c>
      <x:c r="B766" s="380" t="n">
        <x:v>2027</x:v>
      </x:c>
      <x:c r="C766" s="380" t="n">
        <x:v>1</x:v>
      </x:c>
      <x:c r="D766" s="380" t="str">
        <x:v>Jan</x:v>
      </x:c>
      <x:c r="E766" s="380" t="n">
        <x:v>30</x:v>
      </x:c>
      <x:c r="F766" s="380" t="n">
        <x:v>6</x:v>
      </x:c>
      <x:c r="G766" s="380" t="n">
        <x:f>--(F766&lt;='Estimator'!$B$7)</x:f>
        <x:v>0</x:v>
      </x:c>
      <x:c r="H766" s="381" t="n">
        <x:f>SUMIFS('Climate Data'!$G$7:$G$366,'Climate Data'!$A$7:$A$366,'Estimator'!$B$4,'Climate Data'!$B$7:$B$366,C766)</x:f>
        <x:v>0.21802002224694106</x:v>
      </x:c>
      <x:c r="I766" s="382" t="n">
        <x:f>SUMIFS('Climate Data'!$H$7:$H$366,'Climate Data'!$A$7:$A$366,'Estimator'!$B$4,'Climate Data'!$B$7:$B$366,C766)</x:f>
        <x:v>8.596428571428572</x:v>
      </x:c>
      <x:c r="J766" s="381" t="n">
        <x:f>SUMIFS('Wind Proxy'!$H$8:$H$19,'Wind Proxy'!$A$8:$A$19,'Estimator'!$B$4,'Wind Proxy'!$B$8:$B$19,C766)</x:f>
        <x:v>0.12544802867383514</x:v>
      </x:c>
    </x:row>
    <x:row r="767">
      <x:c r="A767" s="379" t="n">
        <x:v>46418</x:v>
      </x:c>
      <x:c r="B767" s="380" t="n">
        <x:v>2027</x:v>
      </x:c>
      <x:c r="C767" s="380" t="n">
        <x:v>1</x:v>
      </x:c>
      <x:c r="D767" s="380" t="str">
        <x:v>Jan</x:v>
      </x:c>
      <x:c r="E767" s="380" t="n">
        <x:v>31</x:v>
      </x:c>
      <x:c r="F767" s="380" t="n">
        <x:v>7</x:v>
      </x:c>
      <x:c r="G767" s="380" t="n">
        <x:f>--(F767&lt;='Estimator'!$B$7)</x:f>
        <x:v>0</x:v>
      </x:c>
      <x:c r="H767" s="381" t="n">
        <x:f>SUMIFS('Climate Data'!$G$7:$G$366,'Climate Data'!$A$7:$A$366,'Estimator'!$B$4,'Climate Data'!$B$7:$B$366,C767)</x:f>
        <x:v>0.21802002224694106</x:v>
      </x:c>
      <x:c r="I767" s="382" t="n">
        <x:f>SUMIFS('Climate Data'!$H$7:$H$366,'Climate Data'!$A$7:$A$366,'Estimator'!$B$4,'Climate Data'!$B$7:$B$366,C767)</x:f>
        <x:v>8.596428571428572</x:v>
      </x:c>
      <x:c r="J767" s="381" t="n">
        <x:f>SUMIFS('Wind Proxy'!$H$8:$H$19,'Wind Proxy'!$A$8:$A$19,'Estimator'!$B$4,'Wind Proxy'!$B$8:$B$19,C767)</x:f>
        <x:v>0.12544802867383514</x:v>
      </x:c>
    </x:row>
    <x:row r="768">
      <x:c r="A768" s="379" t="n">
        <x:v>46419</x:v>
      </x:c>
      <x:c r="B768" s="380" t="n">
        <x:v>2027</x:v>
      </x:c>
      <x:c r="C768" s="380" t="n">
        <x:v>2</x:v>
      </x:c>
      <x:c r="D768" s="380" t="str">
        <x:v>Feb</x:v>
      </x:c>
      <x:c r="E768" s="380" t="n">
        <x:v>1</x:v>
      </x:c>
      <x:c r="F768" s="380" t="n">
        <x:v>1</x:v>
      </x:c>
      <x:c r="G768" s="380" t="n">
        <x:f>--(F768&lt;='Estimator'!$B$7)</x:f>
        <x:v>1</x:v>
      </x:c>
      <x:c r="H768" s="381" t="n">
        <x:f>SUMIFS('Climate Data'!$G$7:$G$366,'Climate Data'!$A$7:$A$366,'Estimator'!$B$4,'Climate Data'!$B$7:$B$366,C768)</x:f>
        <x:v>0.23056278464541316</x:v>
      </x:c>
      <x:c r="I768" s="382" t="n">
        <x:f>SUMIFS('Climate Data'!$H$7:$H$366,'Climate Data'!$A$7:$A$366,'Estimator'!$B$4,'Climate Data'!$B$7:$B$366,C768)</x:f>
        <x:v>9.682010582010582</x:v>
      </x:c>
      <x:c r="J768" s="381" t="n">
        <x:f>SUMIFS('Wind Proxy'!$H$8:$H$19,'Wind Proxy'!$A$8:$A$19,'Estimator'!$B$4,'Wind Proxy'!$B$8:$B$19,C768)</x:f>
        <x:v>0.13757861635220128</x:v>
      </x:c>
    </x:row>
    <x:row r="769">
      <x:c r="A769" s="379" t="n">
        <x:v>46420</x:v>
      </x:c>
      <x:c r="B769" s="380" t="n">
        <x:v>2027</x:v>
      </x:c>
      <x:c r="C769" s="380" t="n">
        <x:v>2</x:v>
      </x:c>
      <x:c r="D769" s="380" t="str">
        <x:v>Feb</x:v>
      </x:c>
      <x:c r="E769" s="380" t="n">
        <x:v>2</x:v>
      </x:c>
      <x:c r="F769" s="380" t="n">
        <x:v>2</x:v>
      </x:c>
      <x:c r="G769" s="380" t="n">
        <x:f>--(F769&lt;='Estimator'!$B$7)</x:f>
        <x:v>1</x:v>
      </x:c>
      <x:c r="H769" s="381" t="n">
        <x:f>SUMIFS('Climate Data'!$G$7:$G$366,'Climate Data'!$A$7:$A$366,'Estimator'!$B$4,'Climate Data'!$B$7:$B$366,C769)</x:f>
        <x:v>0.23056278464541316</x:v>
      </x:c>
      <x:c r="I769" s="382" t="n">
        <x:f>SUMIFS('Climate Data'!$H$7:$H$366,'Climate Data'!$A$7:$A$366,'Estimator'!$B$4,'Climate Data'!$B$7:$B$366,C769)</x:f>
        <x:v>9.682010582010582</x:v>
      </x:c>
      <x:c r="J769" s="381" t="n">
        <x:f>SUMIFS('Wind Proxy'!$H$8:$H$19,'Wind Proxy'!$A$8:$A$19,'Estimator'!$B$4,'Wind Proxy'!$B$8:$B$19,C769)</x:f>
        <x:v>0.13757861635220128</x:v>
      </x:c>
    </x:row>
    <x:row r="770">
      <x:c r="A770" s="379" t="n">
        <x:v>46421</x:v>
      </x:c>
      <x:c r="B770" s="380" t="n">
        <x:v>2027</x:v>
      </x:c>
      <x:c r="C770" s="380" t="n">
        <x:v>2</x:v>
      </x:c>
      <x:c r="D770" s="380" t="str">
        <x:v>Feb</x:v>
      </x:c>
      <x:c r="E770" s="380" t="n">
        <x:v>3</x:v>
      </x:c>
      <x:c r="F770" s="380" t="n">
        <x:v>3</x:v>
      </x:c>
      <x:c r="G770" s="380" t="n">
        <x:f>--(F770&lt;='Estimator'!$B$7)</x:f>
        <x:v>1</x:v>
      </x:c>
      <x:c r="H770" s="381" t="n">
        <x:f>SUMIFS('Climate Data'!$G$7:$G$366,'Climate Data'!$A$7:$A$366,'Estimator'!$B$4,'Climate Data'!$B$7:$B$366,C770)</x:f>
        <x:v>0.23056278464541316</x:v>
      </x:c>
      <x:c r="I770" s="382" t="n">
        <x:f>SUMIFS('Climate Data'!$H$7:$H$366,'Climate Data'!$A$7:$A$366,'Estimator'!$B$4,'Climate Data'!$B$7:$B$366,C770)</x:f>
        <x:v>9.682010582010582</x:v>
      </x:c>
      <x:c r="J770" s="381" t="n">
        <x:f>SUMIFS('Wind Proxy'!$H$8:$H$19,'Wind Proxy'!$A$8:$A$19,'Estimator'!$B$4,'Wind Proxy'!$B$8:$B$19,C770)</x:f>
        <x:v>0.13757861635220128</x:v>
      </x:c>
    </x:row>
    <x:row r="771">
      <x:c r="A771" s="379" t="n">
        <x:v>46422</x:v>
      </x:c>
      <x:c r="B771" s="380" t="n">
        <x:v>2027</x:v>
      </x:c>
      <x:c r="C771" s="380" t="n">
        <x:v>2</x:v>
      </x:c>
      <x:c r="D771" s="380" t="str">
        <x:v>Feb</x:v>
      </x:c>
      <x:c r="E771" s="380" t="n">
        <x:v>4</x:v>
      </x:c>
      <x:c r="F771" s="380" t="n">
        <x:v>4</x:v>
      </x:c>
      <x:c r="G771" s="380" t="n">
        <x:f>--(F771&lt;='Estimator'!$B$7)</x:f>
        <x:v>1</x:v>
      </x:c>
      <x:c r="H771" s="381" t="n">
        <x:f>SUMIFS('Climate Data'!$G$7:$G$366,'Climate Data'!$A$7:$A$366,'Estimator'!$B$4,'Climate Data'!$B$7:$B$366,C771)</x:f>
        <x:v>0.23056278464541316</x:v>
      </x:c>
      <x:c r="I771" s="382" t="n">
        <x:f>SUMIFS('Climate Data'!$H$7:$H$366,'Climate Data'!$A$7:$A$366,'Estimator'!$B$4,'Climate Data'!$B$7:$B$366,C771)</x:f>
        <x:v>9.682010582010582</x:v>
      </x:c>
      <x:c r="J771" s="381" t="n">
        <x:f>SUMIFS('Wind Proxy'!$H$8:$H$19,'Wind Proxy'!$A$8:$A$19,'Estimator'!$B$4,'Wind Proxy'!$B$8:$B$19,C771)</x:f>
        <x:v>0.13757861635220128</x:v>
      </x:c>
    </x:row>
    <x:row r="772">
      <x:c r="A772" s="379" t="n">
        <x:v>46423</x:v>
      </x:c>
      <x:c r="B772" s="380" t="n">
        <x:v>2027</x:v>
      </x:c>
      <x:c r="C772" s="380" t="n">
        <x:v>2</x:v>
      </x:c>
      <x:c r="D772" s="380" t="str">
        <x:v>Feb</x:v>
      </x:c>
      <x:c r="E772" s="380" t="n">
        <x:v>5</x:v>
      </x:c>
      <x:c r="F772" s="380" t="n">
        <x:v>5</x:v>
      </x:c>
      <x:c r="G772" s="380" t="n">
        <x:f>--(F772&lt;='Estimator'!$B$7)</x:f>
        <x:v>1</x:v>
      </x:c>
      <x:c r="H772" s="381" t="n">
        <x:f>SUMIFS('Climate Data'!$G$7:$G$366,'Climate Data'!$A$7:$A$366,'Estimator'!$B$4,'Climate Data'!$B$7:$B$366,C772)</x:f>
        <x:v>0.23056278464541316</x:v>
      </x:c>
      <x:c r="I772" s="382" t="n">
        <x:f>SUMIFS('Climate Data'!$H$7:$H$366,'Climate Data'!$A$7:$A$366,'Estimator'!$B$4,'Climate Data'!$B$7:$B$366,C772)</x:f>
        <x:v>9.682010582010582</x:v>
      </x:c>
      <x:c r="J772" s="381" t="n">
        <x:f>SUMIFS('Wind Proxy'!$H$8:$H$19,'Wind Proxy'!$A$8:$A$19,'Estimator'!$B$4,'Wind Proxy'!$B$8:$B$19,C772)</x:f>
        <x:v>0.13757861635220128</x:v>
      </x:c>
    </x:row>
    <x:row r="773">
      <x:c r="A773" s="379" t="n">
        <x:v>46424</x:v>
      </x:c>
      <x:c r="B773" s="380" t="n">
        <x:v>2027</x:v>
      </x:c>
      <x:c r="C773" s="380" t="n">
        <x:v>2</x:v>
      </x:c>
      <x:c r="D773" s="380" t="str">
        <x:v>Feb</x:v>
      </x:c>
      <x:c r="E773" s="380" t="n">
        <x:v>6</x:v>
      </x:c>
      <x:c r="F773" s="380" t="n">
        <x:v>6</x:v>
      </x:c>
      <x:c r="G773" s="380" t="n">
        <x:f>--(F773&lt;='Estimator'!$B$7)</x:f>
        <x:v>0</x:v>
      </x:c>
      <x:c r="H773" s="381" t="n">
        <x:f>SUMIFS('Climate Data'!$G$7:$G$366,'Climate Data'!$A$7:$A$366,'Estimator'!$B$4,'Climate Data'!$B$7:$B$366,C773)</x:f>
        <x:v>0.23056278464541316</x:v>
      </x:c>
      <x:c r="I773" s="382" t="n">
        <x:f>SUMIFS('Climate Data'!$H$7:$H$366,'Climate Data'!$A$7:$A$366,'Estimator'!$B$4,'Climate Data'!$B$7:$B$366,C773)</x:f>
        <x:v>9.682010582010582</x:v>
      </x:c>
      <x:c r="J773" s="381" t="n">
        <x:f>SUMIFS('Wind Proxy'!$H$8:$H$19,'Wind Proxy'!$A$8:$A$19,'Estimator'!$B$4,'Wind Proxy'!$B$8:$B$19,C773)</x:f>
        <x:v>0.13757861635220128</x:v>
      </x:c>
    </x:row>
    <x:row r="774">
      <x:c r="A774" s="379" t="n">
        <x:v>46425</x:v>
      </x:c>
      <x:c r="B774" s="380" t="n">
        <x:v>2027</x:v>
      </x:c>
      <x:c r="C774" s="380" t="n">
        <x:v>2</x:v>
      </x:c>
      <x:c r="D774" s="380" t="str">
        <x:v>Feb</x:v>
      </x:c>
      <x:c r="E774" s="380" t="n">
        <x:v>7</x:v>
      </x:c>
      <x:c r="F774" s="380" t="n">
        <x:v>7</x:v>
      </x:c>
      <x:c r="G774" s="380" t="n">
        <x:f>--(F774&lt;='Estimator'!$B$7)</x:f>
        <x:v>0</x:v>
      </x:c>
      <x:c r="H774" s="381" t="n">
        <x:f>SUMIFS('Climate Data'!$G$7:$G$366,'Climate Data'!$A$7:$A$366,'Estimator'!$B$4,'Climate Data'!$B$7:$B$366,C774)</x:f>
        <x:v>0.23056278464541316</x:v>
      </x:c>
      <x:c r="I774" s="382" t="n">
        <x:f>SUMIFS('Climate Data'!$H$7:$H$366,'Climate Data'!$A$7:$A$366,'Estimator'!$B$4,'Climate Data'!$B$7:$B$366,C774)</x:f>
        <x:v>9.682010582010582</x:v>
      </x:c>
      <x:c r="J774" s="381" t="n">
        <x:f>SUMIFS('Wind Proxy'!$H$8:$H$19,'Wind Proxy'!$A$8:$A$19,'Estimator'!$B$4,'Wind Proxy'!$B$8:$B$19,C774)</x:f>
        <x:v>0.13757861635220128</x:v>
      </x:c>
    </x:row>
    <x:row r="775">
      <x:c r="A775" s="379" t="n">
        <x:v>46426</x:v>
      </x:c>
      <x:c r="B775" s="380" t="n">
        <x:v>2027</x:v>
      </x:c>
      <x:c r="C775" s="380" t="n">
        <x:v>2</x:v>
      </x:c>
      <x:c r="D775" s="380" t="str">
        <x:v>Feb</x:v>
      </x:c>
      <x:c r="E775" s="380" t="n">
        <x:v>8</x:v>
      </x:c>
      <x:c r="F775" s="380" t="n">
        <x:v>1</x:v>
      </x:c>
      <x:c r="G775" s="380" t="n">
        <x:f>--(F775&lt;='Estimator'!$B$7)</x:f>
        <x:v>1</x:v>
      </x:c>
      <x:c r="H775" s="381" t="n">
        <x:f>SUMIFS('Climate Data'!$G$7:$G$366,'Climate Data'!$A$7:$A$366,'Estimator'!$B$4,'Climate Data'!$B$7:$B$366,C775)</x:f>
        <x:v>0.23056278464541316</x:v>
      </x:c>
      <x:c r="I775" s="382" t="n">
        <x:f>SUMIFS('Climate Data'!$H$7:$H$366,'Climate Data'!$A$7:$A$366,'Estimator'!$B$4,'Climate Data'!$B$7:$B$366,C775)</x:f>
        <x:v>9.682010582010582</x:v>
      </x:c>
      <x:c r="J775" s="381" t="n">
        <x:f>SUMIFS('Wind Proxy'!$H$8:$H$19,'Wind Proxy'!$A$8:$A$19,'Estimator'!$B$4,'Wind Proxy'!$B$8:$B$19,C775)</x:f>
        <x:v>0.13757861635220128</x:v>
      </x:c>
    </x:row>
    <x:row r="776">
      <x:c r="A776" s="379" t="n">
        <x:v>46427</x:v>
      </x:c>
      <x:c r="B776" s="380" t="n">
        <x:v>2027</x:v>
      </x:c>
      <x:c r="C776" s="380" t="n">
        <x:v>2</x:v>
      </x:c>
      <x:c r="D776" s="380" t="str">
        <x:v>Feb</x:v>
      </x:c>
      <x:c r="E776" s="380" t="n">
        <x:v>9</x:v>
      </x:c>
      <x:c r="F776" s="380" t="n">
        <x:v>2</x:v>
      </x:c>
      <x:c r="G776" s="380" t="n">
        <x:f>--(F776&lt;='Estimator'!$B$7)</x:f>
        <x:v>1</x:v>
      </x:c>
      <x:c r="H776" s="381" t="n">
        <x:f>SUMIFS('Climate Data'!$G$7:$G$366,'Climate Data'!$A$7:$A$366,'Estimator'!$B$4,'Climate Data'!$B$7:$B$366,C776)</x:f>
        <x:v>0.23056278464541316</x:v>
      </x:c>
      <x:c r="I776" s="382" t="n">
        <x:f>SUMIFS('Climate Data'!$H$7:$H$366,'Climate Data'!$A$7:$A$366,'Estimator'!$B$4,'Climate Data'!$B$7:$B$366,C776)</x:f>
        <x:v>9.682010582010582</x:v>
      </x:c>
      <x:c r="J776" s="381" t="n">
        <x:f>SUMIFS('Wind Proxy'!$H$8:$H$19,'Wind Proxy'!$A$8:$A$19,'Estimator'!$B$4,'Wind Proxy'!$B$8:$B$19,C776)</x:f>
        <x:v>0.13757861635220128</x:v>
      </x:c>
    </x:row>
    <x:row r="777">
      <x:c r="A777" s="379" t="n">
        <x:v>46428</x:v>
      </x:c>
      <x:c r="B777" s="380" t="n">
        <x:v>2027</x:v>
      </x:c>
      <x:c r="C777" s="380" t="n">
        <x:v>2</x:v>
      </x:c>
      <x:c r="D777" s="380" t="str">
        <x:v>Feb</x:v>
      </x:c>
      <x:c r="E777" s="380" t="n">
        <x:v>10</x:v>
      </x:c>
      <x:c r="F777" s="380" t="n">
        <x:v>3</x:v>
      </x:c>
      <x:c r="G777" s="380" t="n">
        <x:f>--(F777&lt;='Estimator'!$B$7)</x:f>
        <x:v>1</x:v>
      </x:c>
      <x:c r="H777" s="381" t="n">
        <x:f>SUMIFS('Climate Data'!$G$7:$G$366,'Climate Data'!$A$7:$A$366,'Estimator'!$B$4,'Climate Data'!$B$7:$B$366,C777)</x:f>
        <x:v>0.23056278464541316</x:v>
      </x:c>
      <x:c r="I777" s="382" t="n">
        <x:f>SUMIFS('Climate Data'!$H$7:$H$366,'Climate Data'!$A$7:$A$366,'Estimator'!$B$4,'Climate Data'!$B$7:$B$366,C777)</x:f>
        <x:v>9.682010582010582</x:v>
      </x:c>
      <x:c r="J777" s="381" t="n">
        <x:f>SUMIFS('Wind Proxy'!$H$8:$H$19,'Wind Proxy'!$A$8:$A$19,'Estimator'!$B$4,'Wind Proxy'!$B$8:$B$19,C777)</x:f>
        <x:v>0.13757861635220128</x:v>
      </x:c>
    </x:row>
    <x:row r="778">
      <x:c r="A778" s="379" t="n">
        <x:v>46429</x:v>
      </x:c>
      <x:c r="B778" s="380" t="n">
        <x:v>2027</x:v>
      </x:c>
      <x:c r="C778" s="380" t="n">
        <x:v>2</x:v>
      </x:c>
      <x:c r="D778" s="380" t="str">
        <x:v>Feb</x:v>
      </x:c>
      <x:c r="E778" s="380" t="n">
        <x:v>11</x:v>
      </x:c>
      <x:c r="F778" s="380" t="n">
        <x:v>4</x:v>
      </x:c>
      <x:c r="G778" s="380" t="n">
        <x:f>--(F778&lt;='Estimator'!$B$7)</x:f>
        <x:v>1</x:v>
      </x:c>
      <x:c r="H778" s="381" t="n">
        <x:f>SUMIFS('Climate Data'!$G$7:$G$366,'Climate Data'!$A$7:$A$366,'Estimator'!$B$4,'Climate Data'!$B$7:$B$366,C778)</x:f>
        <x:v>0.23056278464541316</x:v>
      </x:c>
      <x:c r="I778" s="382" t="n">
        <x:f>SUMIFS('Climate Data'!$H$7:$H$366,'Climate Data'!$A$7:$A$366,'Estimator'!$B$4,'Climate Data'!$B$7:$B$366,C778)</x:f>
        <x:v>9.682010582010582</x:v>
      </x:c>
      <x:c r="J778" s="381" t="n">
        <x:f>SUMIFS('Wind Proxy'!$H$8:$H$19,'Wind Proxy'!$A$8:$A$19,'Estimator'!$B$4,'Wind Proxy'!$B$8:$B$19,C778)</x:f>
        <x:v>0.13757861635220128</x:v>
      </x:c>
    </x:row>
    <x:row r="779">
      <x:c r="A779" s="379" t="n">
        <x:v>46430</x:v>
      </x:c>
      <x:c r="B779" s="380" t="n">
        <x:v>2027</x:v>
      </x:c>
      <x:c r="C779" s="380" t="n">
        <x:v>2</x:v>
      </x:c>
      <x:c r="D779" s="380" t="str">
        <x:v>Feb</x:v>
      </x:c>
      <x:c r="E779" s="380" t="n">
        <x:v>12</x:v>
      </x:c>
      <x:c r="F779" s="380" t="n">
        <x:v>5</x:v>
      </x:c>
      <x:c r="G779" s="380" t="n">
        <x:f>--(F779&lt;='Estimator'!$B$7)</x:f>
        <x:v>1</x:v>
      </x:c>
      <x:c r="H779" s="381" t="n">
        <x:f>SUMIFS('Climate Data'!$G$7:$G$366,'Climate Data'!$A$7:$A$366,'Estimator'!$B$4,'Climate Data'!$B$7:$B$366,C779)</x:f>
        <x:v>0.23056278464541316</x:v>
      </x:c>
      <x:c r="I779" s="382" t="n">
        <x:f>SUMIFS('Climate Data'!$H$7:$H$366,'Climate Data'!$A$7:$A$366,'Estimator'!$B$4,'Climate Data'!$B$7:$B$366,C779)</x:f>
        <x:v>9.682010582010582</x:v>
      </x:c>
      <x:c r="J779" s="381" t="n">
        <x:f>SUMIFS('Wind Proxy'!$H$8:$H$19,'Wind Proxy'!$A$8:$A$19,'Estimator'!$B$4,'Wind Proxy'!$B$8:$B$19,C779)</x:f>
        <x:v>0.13757861635220128</x:v>
      </x:c>
    </x:row>
    <x:row r="780">
      <x:c r="A780" s="379" t="n">
        <x:v>46431</x:v>
      </x:c>
      <x:c r="B780" s="380" t="n">
        <x:v>2027</x:v>
      </x:c>
      <x:c r="C780" s="380" t="n">
        <x:v>2</x:v>
      </x:c>
      <x:c r="D780" s="380" t="str">
        <x:v>Feb</x:v>
      </x:c>
      <x:c r="E780" s="380" t="n">
        <x:v>13</x:v>
      </x:c>
      <x:c r="F780" s="380" t="n">
        <x:v>6</x:v>
      </x:c>
      <x:c r="G780" s="380" t="n">
        <x:f>--(F780&lt;='Estimator'!$B$7)</x:f>
        <x:v>0</x:v>
      </x:c>
      <x:c r="H780" s="381" t="n">
        <x:f>SUMIFS('Climate Data'!$G$7:$G$366,'Climate Data'!$A$7:$A$366,'Estimator'!$B$4,'Climate Data'!$B$7:$B$366,C780)</x:f>
        <x:v>0.23056278464541316</x:v>
      </x:c>
      <x:c r="I780" s="382" t="n">
        <x:f>SUMIFS('Climate Data'!$H$7:$H$366,'Climate Data'!$A$7:$A$366,'Estimator'!$B$4,'Climate Data'!$B$7:$B$366,C780)</x:f>
        <x:v>9.682010582010582</x:v>
      </x:c>
      <x:c r="J780" s="381" t="n">
        <x:f>SUMIFS('Wind Proxy'!$H$8:$H$19,'Wind Proxy'!$A$8:$A$19,'Estimator'!$B$4,'Wind Proxy'!$B$8:$B$19,C780)</x:f>
        <x:v>0.13757861635220128</x:v>
      </x:c>
    </x:row>
    <x:row r="781">
      <x:c r="A781" s="379" t="n">
        <x:v>46432</x:v>
      </x:c>
      <x:c r="B781" s="380" t="n">
        <x:v>2027</x:v>
      </x:c>
      <x:c r="C781" s="380" t="n">
        <x:v>2</x:v>
      </x:c>
      <x:c r="D781" s="380" t="str">
        <x:v>Feb</x:v>
      </x:c>
      <x:c r="E781" s="380" t="n">
        <x:v>14</x:v>
      </x:c>
      <x:c r="F781" s="380" t="n">
        <x:v>7</x:v>
      </x:c>
      <x:c r="G781" s="380" t="n">
        <x:f>--(F781&lt;='Estimator'!$B$7)</x:f>
        <x:v>0</x:v>
      </x:c>
      <x:c r="H781" s="381" t="n">
        <x:f>SUMIFS('Climate Data'!$G$7:$G$366,'Climate Data'!$A$7:$A$366,'Estimator'!$B$4,'Climate Data'!$B$7:$B$366,C781)</x:f>
        <x:v>0.23056278464541316</x:v>
      </x:c>
      <x:c r="I781" s="382" t="n">
        <x:f>SUMIFS('Climate Data'!$H$7:$H$366,'Climate Data'!$A$7:$A$366,'Estimator'!$B$4,'Climate Data'!$B$7:$B$366,C781)</x:f>
        <x:v>9.682010582010582</x:v>
      </x:c>
      <x:c r="J781" s="381" t="n">
        <x:f>SUMIFS('Wind Proxy'!$H$8:$H$19,'Wind Proxy'!$A$8:$A$19,'Estimator'!$B$4,'Wind Proxy'!$B$8:$B$19,C781)</x:f>
        <x:v>0.13757861635220128</x:v>
      </x:c>
    </x:row>
    <x:row r="782">
      <x:c r="A782" s="379" t="n">
        <x:v>46433</x:v>
      </x:c>
      <x:c r="B782" s="380" t="n">
        <x:v>2027</x:v>
      </x:c>
      <x:c r="C782" s="380" t="n">
        <x:v>2</x:v>
      </x:c>
      <x:c r="D782" s="380" t="str">
        <x:v>Feb</x:v>
      </x:c>
      <x:c r="E782" s="380" t="n">
        <x:v>15</x:v>
      </x:c>
      <x:c r="F782" s="380" t="n">
        <x:v>1</x:v>
      </x:c>
      <x:c r="G782" s="380" t="n">
        <x:f>--(F782&lt;='Estimator'!$B$7)</x:f>
        <x:v>1</x:v>
      </x:c>
      <x:c r="H782" s="381" t="n">
        <x:f>SUMIFS('Climate Data'!$G$7:$G$366,'Climate Data'!$A$7:$A$366,'Estimator'!$B$4,'Climate Data'!$B$7:$B$366,C782)</x:f>
        <x:v>0.23056278464541316</x:v>
      </x:c>
      <x:c r="I782" s="382" t="n">
        <x:f>SUMIFS('Climate Data'!$H$7:$H$366,'Climate Data'!$A$7:$A$366,'Estimator'!$B$4,'Climate Data'!$B$7:$B$366,C782)</x:f>
        <x:v>9.682010582010582</x:v>
      </x:c>
      <x:c r="J782" s="381" t="n">
        <x:f>SUMIFS('Wind Proxy'!$H$8:$H$19,'Wind Proxy'!$A$8:$A$19,'Estimator'!$B$4,'Wind Proxy'!$B$8:$B$19,C782)</x:f>
        <x:v>0.13757861635220128</x:v>
      </x:c>
    </x:row>
    <x:row r="783">
      <x:c r="A783" s="379" t="n">
        <x:v>46434</x:v>
      </x:c>
      <x:c r="B783" s="380" t="n">
        <x:v>2027</x:v>
      </x:c>
      <x:c r="C783" s="380" t="n">
        <x:v>2</x:v>
      </x:c>
      <x:c r="D783" s="380" t="str">
        <x:v>Feb</x:v>
      </x:c>
      <x:c r="E783" s="380" t="n">
        <x:v>16</x:v>
      </x:c>
      <x:c r="F783" s="380" t="n">
        <x:v>2</x:v>
      </x:c>
      <x:c r="G783" s="380" t="n">
        <x:f>--(F783&lt;='Estimator'!$B$7)</x:f>
        <x:v>1</x:v>
      </x:c>
      <x:c r="H783" s="381" t="n">
        <x:f>SUMIFS('Climate Data'!$G$7:$G$366,'Climate Data'!$A$7:$A$366,'Estimator'!$B$4,'Climate Data'!$B$7:$B$366,C783)</x:f>
        <x:v>0.23056278464541316</x:v>
      </x:c>
      <x:c r="I783" s="382" t="n">
        <x:f>SUMIFS('Climate Data'!$H$7:$H$366,'Climate Data'!$A$7:$A$366,'Estimator'!$B$4,'Climate Data'!$B$7:$B$366,C783)</x:f>
        <x:v>9.682010582010582</x:v>
      </x:c>
      <x:c r="J783" s="381" t="n">
        <x:f>SUMIFS('Wind Proxy'!$H$8:$H$19,'Wind Proxy'!$A$8:$A$19,'Estimator'!$B$4,'Wind Proxy'!$B$8:$B$19,C783)</x:f>
        <x:v>0.13757861635220128</x:v>
      </x:c>
    </x:row>
    <x:row r="784">
      <x:c r="A784" s="379" t="n">
        <x:v>46435</x:v>
      </x:c>
      <x:c r="B784" s="380" t="n">
        <x:v>2027</x:v>
      </x:c>
      <x:c r="C784" s="380" t="n">
        <x:v>2</x:v>
      </x:c>
      <x:c r="D784" s="380" t="str">
        <x:v>Feb</x:v>
      </x:c>
      <x:c r="E784" s="380" t="n">
        <x:v>17</x:v>
      </x:c>
      <x:c r="F784" s="380" t="n">
        <x:v>3</x:v>
      </x:c>
      <x:c r="G784" s="380" t="n">
        <x:f>--(F784&lt;='Estimator'!$B$7)</x:f>
        <x:v>1</x:v>
      </x:c>
      <x:c r="H784" s="381" t="n">
        <x:f>SUMIFS('Climate Data'!$G$7:$G$366,'Climate Data'!$A$7:$A$366,'Estimator'!$B$4,'Climate Data'!$B$7:$B$366,C784)</x:f>
        <x:v>0.23056278464541316</x:v>
      </x:c>
      <x:c r="I784" s="382" t="n">
        <x:f>SUMIFS('Climate Data'!$H$7:$H$366,'Climate Data'!$A$7:$A$366,'Estimator'!$B$4,'Climate Data'!$B$7:$B$366,C784)</x:f>
        <x:v>9.682010582010582</x:v>
      </x:c>
      <x:c r="J784" s="381" t="n">
        <x:f>SUMIFS('Wind Proxy'!$H$8:$H$19,'Wind Proxy'!$A$8:$A$19,'Estimator'!$B$4,'Wind Proxy'!$B$8:$B$19,C784)</x:f>
        <x:v>0.13757861635220128</x:v>
      </x:c>
    </x:row>
    <x:row r="785">
      <x:c r="A785" s="379" t="n">
        <x:v>46436</x:v>
      </x:c>
      <x:c r="B785" s="380" t="n">
        <x:v>2027</x:v>
      </x:c>
      <x:c r="C785" s="380" t="n">
        <x:v>2</x:v>
      </x:c>
      <x:c r="D785" s="380" t="str">
        <x:v>Feb</x:v>
      </x:c>
      <x:c r="E785" s="380" t="n">
        <x:v>18</x:v>
      </x:c>
      <x:c r="F785" s="380" t="n">
        <x:v>4</x:v>
      </x:c>
      <x:c r="G785" s="380" t="n">
        <x:f>--(F785&lt;='Estimator'!$B$7)</x:f>
        <x:v>1</x:v>
      </x:c>
      <x:c r="H785" s="381" t="n">
        <x:f>SUMIFS('Climate Data'!$G$7:$G$366,'Climate Data'!$A$7:$A$366,'Estimator'!$B$4,'Climate Data'!$B$7:$B$366,C785)</x:f>
        <x:v>0.23056278464541316</x:v>
      </x:c>
      <x:c r="I785" s="382" t="n">
        <x:f>SUMIFS('Climate Data'!$H$7:$H$366,'Climate Data'!$A$7:$A$366,'Estimator'!$B$4,'Climate Data'!$B$7:$B$366,C785)</x:f>
        <x:v>9.682010582010582</x:v>
      </x:c>
      <x:c r="J785" s="381" t="n">
        <x:f>SUMIFS('Wind Proxy'!$H$8:$H$19,'Wind Proxy'!$A$8:$A$19,'Estimator'!$B$4,'Wind Proxy'!$B$8:$B$19,C785)</x:f>
        <x:v>0.13757861635220128</x:v>
      </x:c>
    </x:row>
    <x:row r="786">
      <x:c r="A786" s="379" t="n">
        <x:v>46437</x:v>
      </x:c>
      <x:c r="B786" s="380" t="n">
        <x:v>2027</x:v>
      </x:c>
      <x:c r="C786" s="380" t="n">
        <x:v>2</x:v>
      </x:c>
      <x:c r="D786" s="380" t="str">
        <x:v>Feb</x:v>
      </x:c>
      <x:c r="E786" s="380" t="n">
        <x:v>19</x:v>
      </x:c>
      <x:c r="F786" s="380" t="n">
        <x:v>5</x:v>
      </x:c>
      <x:c r="G786" s="380" t="n">
        <x:f>--(F786&lt;='Estimator'!$B$7)</x:f>
        <x:v>1</x:v>
      </x:c>
      <x:c r="H786" s="381" t="n">
        <x:f>SUMIFS('Climate Data'!$G$7:$G$366,'Climate Data'!$A$7:$A$366,'Estimator'!$B$4,'Climate Data'!$B$7:$B$366,C786)</x:f>
        <x:v>0.23056278464541316</x:v>
      </x:c>
      <x:c r="I786" s="382" t="n">
        <x:f>SUMIFS('Climate Data'!$H$7:$H$366,'Climate Data'!$A$7:$A$366,'Estimator'!$B$4,'Climate Data'!$B$7:$B$366,C786)</x:f>
        <x:v>9.682010582010582</x:v>
      </x:c>
      <x:c r="J786" s="381" t="n">
        <x:f>SUMIFS('Wind Proxy'!$H$8:$H$19,'Wind Proxy'!$A$8:$A$19,'Estimator'!$B$4,'Wind Proxy'!$B$8:$B$19,C786)</x:f>
        <x:v>0.13757861635220128</x:v>
      </x:c>
    </x:row>
    <x:row r="787">
      <x:c r="A787" s="379" t="n">
        <x:v>46438</x:v>
      </x:c>
      <x:c r="B787" s="380" t="n">
        <x:v>2027</x:v>
      </x:c>
      <x:c r="C787" s="380" t="n">
        <x:v>2</x:v>
      </x:c>
      <x:c r="D787" s="380" t="str">
        <x:v>Feb</x:v>
      </x:c>
      <x:c r="E787" s="380" t="n">
        <x:v>20</x:v>
      </x:c>
      <x:c r="F787" s="380" t="n">
        <x:v>6</x:v>
      </x:c>
      <x:c r="G787" s="380" t="n">
        <x:f>--(F787&lt;='Estimator'!$B$7)</x:f>
        <x:v>0</x:v>
      </x:c>
      <x:c r="H787" s="381" t="n">
        <x:f>SUMIFS('Climate Data'!$G$7:$G$366,'Climate Data'!$A$7:$A$366,'Estimator'!$B$4,'Climate Data'!$B$7:$B$366,C787)</x:f>
        <x:v>0.23056278464541316</x:v>
      </x:c>
      <x:c r="I787" s="382" t="n">
        <x:f>SUMIFS('Climate Data'!$H$7:$H$366,'Climate Data'!$A$7:$A$366,'Estimator'!$B$4,'Climate Data'!$B$7:$B$366,C787)</x:f>
        <x:v>9.682010582010582</x:v>
      </x:c>
      <x:c r="J787" s="381" t="n">
        <x:f>SUMIFS('Wind Proxy'!$H$8:$H$19,'Wind Proxy'!$A$8:$A$19,'Estimator'!$B$4,'Wind Proxy'!$B$8:$B$19,C787)</x:f>
        <x:v>0.13757861635220128</x:v>
      </x:c>
    </x:row>
    <x:row r="788">
      <x:c r="A788" s="379" t="n">
        <x:v>46439</x:v>
      </x:c>
      <x:c r="B788" s="380" t="n">
        <x:v>2027</x:v>
      </x:c>
      <x:c r="C788" s="380" t="n">
        <x:v>2</x:v>
      </x:c>
      <x:c r="D788" s="380" t="str">
        <x:v>Feb</x:v>
      </x:c>
      <x:c r="E788" s="380" t="n">
        <x:v>21</x:v>
      </x:c>
      <x:c r="F788" s="380" t="n">
        <x:v>7</x:v>
      </x:c>
      <x:c r="G788" s="380" t="n">
        <x:f>--(F788&lt;='Estimator'!$B$7)</x:f>
        <x:v>0</x:v>
      </x:c>
      <x:c r="H788" s="381" t="n">
        <x:f>SUMIFS('Climate Data'!$G$7:$G$366,'Climate Data'!$A$7:$A$366,'Estimator'!$B$4,'Climate Data'!$B$7:$B$366,C788)</x:f>
        <x:v>0.23056278464541316</x:v>
      </x:c>
      <x:c r="I788" s="382" t="n">
        <x:f>SUMIFS('Climate Data'!$H$7:$H$366,'Climate Data'!$A$7:$A$366,'Estimator'!$B$4,'Climate Data'!$B$7:$B$366,C788)</x:f>
        <x:v>9.682010582010582</x:v>
      </x:c>
      <x:c r="J788" s="381" t="n">
        <x:f>SUMIFS('Wind Proxy'!$H$8:$H$19,'Wind Proxy'!$A$8:$A$19,'Estimator'!$B$4,'Wind Proxy'!$B$8:$B$19,C788)</x:f>
        <x:v>0.13757861635220128</x:v>
      </x:c>
    </x:row>
    <x:row r="789">
      <x:c r="A789" s="379" t="n">
        <x:v>46440</x:v>
      </x:c>
      <x:c r="B789" s="380" t="n">
        <x:v>2027</x:v>
      </x:c>
      <x:c r="C789" s="380" t="n">
        <x:v>2</x:v>
      </x:c>
      <x:c r="D789" s="380" t="str">
        <x:v>Feb</x:v>
      </x:c>
      <x:c r="E789" s="380" t="n">
        <x:v>22</x:v>
      </x:c>
      <x:c r="F789" s="380" t="n">
        <x:v>1</x:v>
      </x:c>
      <x:c r="G789" s="380" t="n">
        <x:f>--(F789&lt;='Estimator'!$B$7)</x:f>
        <x:v>1</x:v>
      </x:c>
      <x:c r="H789" s="381" t="n">
        <x:f>SUMIFS('Climate Data'!$G$7:$G$366,'Climate Data'!$A$7:$A$366,'Estimator'!$B$4,'Climate Data'!$B$7:$B$366,C789)</x:f>
        <x:v>0.23056278464541316</x:v>
      </x:c>
      <x:c r="I789" s="382" t="n">
        <x:f>SUMIFS('Climate Data'!$H$7:$H$366,'Climate Data'!$A$7:$A$366,'Estimator'!$B$4,'Climate Data'!$B$7:$B$366,C789)</x:f>
        <x:v>9.682010582010582</x:v>
      </x:c>
      <x:c r="J789" s="381" t="n">
        <x:f>SUMIFS('Wind Proxy'!$H$8:$H$19,'Wind Proxy'!$A$8:$A$19,'Estimator'!$B$4,'Wind Proxy'!$B$8:$B$19,C789)</x:f>
        <x:v>0.13757861635220128</x:v>
      </x:c>
    </x:row>
    <x:row r="790">
      <x:c r="A790" s="379" t="n">
        <x:v>46441</x:v>
      </x:c>
      <x:c r="B790" s="380" t="n">
        <x:v>2027</x:v>
      </x:c>
      <x:c r="C790" s="380" t="n">
        <x:v>2</x:v>
      </x:c>
      <x:c r="D790" s="380" t="str">
        <x:v>Feb</x:v>
      </x:c>
      <x:c r="E790" s="380" t="n">
        <x:v>23</x:v>
      </x:c>
      <x:c r="F790" s="380" t="n">
        <x:v>2</x:v>
      </x:c>
      <x:c r="G790" s="380" t="n">
        <x:f>--(F790&lt;='Estimator'!$B$7)</x:f>
        <x:v>1</x:v>
      </x:c>
      <x:c r="H790" s="381" t="n">
        <x:f>SUMIFS('Climate Data'!$G$7:$G$366,'Climate Data'!$A$7:$A$366,'Estimator'!$B$4,'Climate Data'!$B$7:$B$366,C790)</x:f>
        <x:v>0.23056278464541316</x:v>
      </x:c>
      <x:c r="I790" s="382" t="n">
        <x:f>SUMIFS('Climate Data'!$H$7:$H$366,'Climate Data'!$A$7:$A$366,'Estimator'!$B$4,'Climate Data'!$B$7:$B$366,C790)</x:f>
        <x:v>9.682010582010582</x:v>
      </x:c>
      <x:c r="J790" s="381" t="n">
        <x:f>SUMIFS('Wind Proxy'!$H$8:$H$19,'Wind Proxy'!$A$8:$A$19,'Estimator'!$B$4,'Wind Proxy'!$B$8:$B$19,C790)</x:f>
        <x:v>0.13757861635220128</x:v>
      </x:c>
    </x:row>
    <x:row r="791">
      <x:c r="A791" s="379" t="n">
        <x:v>46442</x:v>
      </x:c>
      <x:c r="B791" s="380" t="n">
        <x:v>2027</x:v>
      </x:c>
      <x:c r="C791" s="380" t="n">
        <x:v>2</x:v>
      </x:c>
      <x:c r="D791" s="380" t="str">
        <x:v>Feb</x:v>
      </x:c>
      <x:c r="E791" s="380" t="n">
        <x:v>24</x:v>
      </x:c>
      <x:c r="F791" s="380" t="n">
        <x:v>3</x:v>
      </x:c>
      <x:c r="G791" s="380" t="n">
        <x:f>--(F791&lt;='Estimator'!$B$7)</x:f>
        <x:v>1</x:v>
      </x:c>
      <x:c r="H791" s="381" t="n">
        <x:f>SUMIFS('Climate Data'!$G$7:$G$366,'Climate Data'!$A$7:$A$366,'Estimator'!$B$4,'Climate Data'!$B$7:$B$366,C791)</x:f>
        <x:v>0.23056278464541316</x:v>
      </x:c>
      <x:c r="I791" s="382" t="n">
        <x:f>SUMIFS('Climate Data'!$H$7:$H$366,'Climate Data'!$A$7:$A$366,'Estimator'!$B$4,'Climate Data'!$B$7:$B$366,C791)</x:f>
        <x:v>9.682010582010582</x:v>
      </x:c>
      <x:c r="J791" s="381" t="n">
        <x:f>SUMIFS('Wind Proxy'!$H$8:$H$19,'Wind Proxy'!$A$8:$A$19,'Estimator'!$B$4,'Wind Proxy'!$B$8:$B$19,C791)</x:f>
        <x:v>0.13757861635220128</x:v>
      </x:c>
    </x:row>
    <x:row r="792">
      <x:c r="A792" s="379" t="n">
        <x:v>46443</x:v>
      </x:c>
      <x:c r="B792" s="380" t="n">
        <x:v>2027</x:v>
      </x:c>
      <x:c r="C792" s="380" t="n">
        <x:v>2</x:v>
      </x:c>
      <x:c r="D792" s="380" t="str">
        <x:v>Feb</x:v>
      </x:c>
      <x:c r="E792" s="380" t="n">
        <x:v>25</x:v>
      </x:c>
      <x:c r="F792" s="380" t="n">
        <x:v>4</x:v>
      </x:c>
      <x:c r="G792" s="380" t="n">
        <x:f>--(F792&lt;='Estimator'!$B$7)</x:f>
        <x:v>1</x:v>
      </x:c>
      <x:c r="H792" s="381" t="n">
        <x:f>SUMIFS('Climate Data'!$G$7:$G$366,'Climate Data'!$A$7:$A$366,'Estimator'!$B$4,'Climate Data'!$B$7:$B$366,C792)</x:f>
        <x:v>0.23056278464541316</x:v>
      </x:c>
      <x:c r="I792" s="382" t="n">
        <x:f>SUMIFS('Climate Data'!$H$7:$H$366,'Climate Data'!$A$7:$A$366,'Estimator'!$B$4,'Climate Data'!$B$7:$B$366,C792)</x:f>
        <x:v>9.682010582010582</x:v>
      </x:c>
      <x:c r="J792" s="381" t="n">
        <x:f>SUMIFS('Wind Proxy'!$H$8:$H$19,'Wind Proxy'!$A$8:$A$19,'Estimator'!$B$4,'Wind Proxy'!$B$8:$B$19,C792)</x:f>
        <x:v>0.13757861635220128</x:v>
      </x:c>
    </x:row>
    <x:row r="793">
      <x:c r="A793" s="379" t="n">
        <x:v>46444</x:v>
      </x:c>
      <x:c r="B793" s="380" t="n">
        <x:v>2027</x:v>
      </x:c>
      <x:c r="C793" s="380" t="n">
        <x:v>2</x:v>
      </x:c>
      <x:c r="D793" s="380" t="str">
        <x:v>Feb</x:v>
      </x:c>
      <x:c r="E793" s="380" t="n">
        <x:v>26</x:v>
      </x:c>
      <x:c r="F793" s="380" t="n">
        <x:v>5</x:v>
      </x:c>
      <x:c r="G793" s="380" t="n">
        <x:f>--(F793&lt;='Estimator'!$B$7)</x:f>
        <x:v>1</x:v>
      </x:c>
      <x:c r="H793" s="381" t="n">
        <x:f>SUMIFS('Climate Data'!$G$7:$G$366,'Climate Data'!$A$7:$A$366,'Estimator'!$B$4,'Climate Data'!$B$7:$B$366,C793)</x:f>
        <x:v>0.23056278464541316</x:v>
      </x:c>
      <x:c r="I793" s="382" t="n">
        <x:f>SUMIFS('Climate Data'!$H$7:$H$366,'Climate Data'!$A$7:$A$366,'Estimator'!$B$4,'Climate Data'!$B$7:$B$366,C793)</x:f>
        <x:v>9.682010582010582</x:v>
      </x:c>
      <x:c r="J793" s="381" t="n">
        <x:f>SUMIFS('Wind Proxy'!$H$8:$H$19,'Wind Proxy'!$A$8:$A$19,'Estimator'!$B$4,'Wind Proxy'!$B$8:$B$19,C793)</x:f>
        <x:v>0.13757861635220128</x:v>
      </x:c>
    </x:row>
    <x:row r="794">
      <x:c r="A794" s="379" t="n">
        <x:v>46445</x:v>
      </x:c>
      <x:c r="B794" s="380" t="n">
        <x:v>2027</x:v>
      </x:c>
      <x:c r="C794" s="380" t="n">
        <x:v>2</x:v>
      </x:c>
      <x:c r="D794" s="380" t="str">
        <x:v>Feb</x:v>
      </x:c>
      <x:c r="E794" s="380" t="n">
        <x:v>27</x:v>
      </x:c>
      <x:c r="F794" s="380" t="n">
        <x:v>6</x:v>
      </x:c>
      <x:c r="G794" s="380" t="n">
        <x:f>--(F794&lt;='Estimator'!$B$7)</x:f>
        <x:v>0</x:v>
      </x:c>
      <x:c r="H794" s="381" t="n">
        <x:f>SUMIFS('Climate Data'!$G$7:$G$366,'Climate Data'!$A$7:$A$366,'Estimator'!$B$4,'Climate Data'!$B$7:$B$366,C794)</x:f>
        <x:v>0.23056278464541316</x:v>
      </x:c>
      <x:c r="I794" s="382" t="n">
        <x:f>SUMIFS('Climate Data'!$H$7:$H$366,'Climate Data'!$A$7:$A$366,'Estimator'!$B$4,'Climate Data'!$B$7:$B$366,C794)</x:f>
        <x:v>9.682010582010582</x:v>
      </x:c>
      <x:c r="J794" s="381" t="n">
        <x:f>SUMIFS('Wind Proxy'!$H$8:$H$19,'Wind Proxy'!$A$8:$A$19,'Estimator'!$B$4,'Wind Proxy'!$B$8:$B$19,C794)</x:f>
        <x:v>0.13757861635220128</x:v>
      </x:c>
    </x:row>
    <x:row r="795">
      <x:c r="A795" s="379" t="n">
        <x:v>46446</x:v>
      </x:c>
      <x:c r="B795" s="380" t="n">
        <x:v>2027</x:v>
      </x:c>
      <x:c r="C795" s="380" t="n">
        <x:v>2</x:v>
      </x:c>
      <x:c r="D795" s="380" t="str">
        <x:v>Feb</x:v>
      </x:c>
      <x:c r="E795" s="380" t="n">
        <x:v>28</x:v>
      </x:c>
      <x:c r="F795" s="380" t="n">
        <x:v>7</x:v>
      </x:c>
      <x:c r="G795" s="380" t="n">
        <x:f>--(F795&lt;='Estimator'!$B$7)</x:f>
        <x:v>0</x:v>
      </x:c>
      <x:c r="H795" s="381" t="n">
        <x:f>SUMIFS('Climate Data'!$G$7:$G$366,'Climate Data'!$A$7:$A$366,'Estimator'!$B$4,'Climate Data'!$B$7:$B$366,C795)</x:f>
        <x:v>0.23056278464541316</x:v>
      </x:c>
      <x:c r="I795" s="382" t="n">
        <x:f>SUMIFS('Climate Data'!$H$7:$H$366,'Climate Data'!$A$7:$A$366,'Estimator'!$B$4,'Climate Data'!$B$7:$B$366,C795)</x:f>
        <x:v>9.682010582010582</x:v>
      </x:c>
      <x:c r="J795" s="381" t="n">
        <x:f>SUMIFS('Wind Proxy'!$H$8:$H$19,'Wind Proxy'!$A$8:$A$19,'Estimator'!$B$4,'Wind Proxy'!$B$8:$B$19,C795)</x:f>
        <x:v>0.13757861635220128</x:v>
      </x:c>
    </x:row>
    <x:row r="796">
      <x:c r="A796" s="379" t="n">
        <x:v>46447</x:v>
      </x:c>
      <x:c r="B796" s="380" t="n">
        <x:v>2027</x:v>
      </x:c>
      <x:c r="C796" s="380" t="n">
        <x:v>3</x:v>
      </x:c>
      <x:c r="D796" s="380" t="str">
        <x:v>Mar</x:v>
      </x:c>
      <x:c r="E796" s="380" t="n">
        <x:v>1</x:v>
      </x:c>
      <x:c r="F796" s="380" t="n">
        <x:v>1</x:v>
      </x:c>
      <x:c r="G796" s="380" t="n">
        <x:f>--(F796&lt;='Estimator'!$B$7)</x:f>
        <x:v>1</x:v>
      </x:c>
      <x:c r="H796" s="381" t="n">
        <x:f>SUMIFS('Climate Data'!$G$7:$G$366,'Climate Data'!$A$7:$A$366,'Estimator'!$B$4,'Climate Data'!$B$7:$B$366,C796)</x:f>
        <x:v>0.24916573971078979</x:v>
      </x:c>
      <x:c r="I796" s="382" t="n">
        <x:f>SUMIFS('Climate Data'!$H$7:$H$366,'Climate Data'!$A$7:$A$366,'Estimator'!$B$4,'Climate Data'!$B$7:$B$366,C796)</x:f>
        <x:v>9.709821428571429</x:v>
      </x:c>
      <x:c r="J796" s="381" t="n">
        <x:f>SUMIFS('Wind Proxy'!$H$8:$H$19,'Wind Proxy'!$A$8:$A$19,'Estimator'!$B$4,'Wind Proxy'!$B$8:$B$19,C796)</x:f>
        <x:v>0.11350059737156513</x:v>
      </x:c>
    </x:row>
    <x:row r="797">
      <x:c r="A797" s="379" t="n">
        <x:v>46448</x:v>
      </x:c>
      <x:c r="B797" s="380" t="n">
        <x:v>2027</x:v>
      </x:c>
      <x:c r="C797" s="380" t="n">
        <x:v>3</x:v>
      </x:c>
      <x:c r="D797" s="380" t="str">
        <x:v>Mar</x:v>
      </x:c>
      <x:c r="E797" s="380" t="n">
        <x:v>2</x:v>
      </x:c>
      <x:c r="F797" s="380" t="n">
        <x:v>2</x:v>
      </x:c>
      <x:c r="G797" s="380" t="n">
        <x:f>--(F797&lt;='Estimator'!$B$7)</x:f>
        <x:v>1</x:v>
      </x:c>
      <x:c r="H797" s="381" t="n">
        <x:f>SUMIFS('Climate Data'!$G$7:$G$366,'Climate Data'!$A$7:$A$366,'Estimator'!$B$4,'Climate Data'!$B$7:$B$366,C797)</x:f>
        <x:v>0.24916573971078979</x:v>
      </x:c>
      <x:c r="I797" s="382" t="n">
        <x:f>SUMIFS('Climate Data'!$H$7:$H$366,'Climate Data'!$A$7:$A$366,'Estimator'!$B$4,'Climate Data'!$B$7:$B$366,C797)</x:f>
        <x:v>9.709821428571429</x:v>
      </x:c>
      <x:c r="J797" s="381" t="n">
        <x:f>SUMIFS('Wind Proxy'!$H$8:$H$19,'Wind Proxy'!$A$8:$A$19,'Estimator'!$B$4,'Wind Proxy'!$B$8:$B$19,C797)</x:f>
        <x:v>0.11350059737156513</x:v>
      </x:c>
    </x:row>
    <x:row r="798">
      <x:c r="A798" s="379" t="n">
        <x:v>46449</x:v>
      </x:c>
      <x:c r="B798" s="380" t="n">
        <x:v>2027</x:v>
      </x:c>
      <x:c r="C798" s="380" t="n">
        <x:v>3</x:v>
      </x:c>
      <x:c r="D798" s="380" t="str">
        <x:v>Mar</x:v>
      </x:c>
      <x:c r="E798" s="380" t="n">
        <x:v>3</x:v>
      </x:c>
      <x:c r="F798" s="380" t="n">
        <x:v>3</x:v>
      </x:c>
      <x:c r="G798" s="380" t="n">
        <x:f>--(F798&lt;='Estimator'!$B$7)</x:f>
        <x:v>1</x:v>
      </x:c>
      <x:c r="H798" s="381" t="n">
        <x:f>SUMIFS('Climate Data'!$G$7:$G$366,'Climate Data'!$A$7:$A$366,'Estimator'!$B$4,'Climate Data'!$B$7:$B$366,C798)</x:f>
        <x:v>0.24916573971078979</x:v>
      </x:c>
      <x:c r="I798" s="382" t="n">
        <x:f>SUMIFS('Climate Data'!$H$7:$H$366,'Climate Data'!$A$7:$A$366,'Estimator'!$B$4,'Climate Data'!$B$7:$B$366,C798)</x:f>
        <x:v>9.709821428571429</x:v>
      </x:c>
      <x:c r="J798" s="381" t="n">
        <x:f>SUMIFS('Wind Proxy'!$H$8:$H$19,'Wind Proxy'!$A$8:$A$19,'Estimator'!$B$4,'Wind Proxy'!$B$8:$B$19,C798)</x:f>
        <x:v>0.11350059737156513</x:v>
      </x:c>
    </x:row>
    <x:row r="799">
      <x:c r="A799" s="379" t="n">
        <x:v>46450</x:v>
      </x:c>
      <x:c r="B799" s="380" t="n">
        <x:v>2027</x:v>
      </x:c>
      <x:c r="C799" s="380" t="n">
        <x:v>3</x:v>
      </x:c>
      <x:c r="D799" s="380" t="str">
        <x:v>Mar</x:v>
      </x:c>
      <x:c r="E799" s="380" t="n">
        <x:v>4</x:v>
      </x:c>
      <x:c r="F799" s="380" t="n">
        <x:v>4</x:v>
      </x:c>
      <x:c r="G799" s="380" t="n">
        <x:f>--(F799&lt;='Estimator'!$B$7)</x:f>
        <x:v>1</x:v>
      </x:c>
      <x:c r="H799" s="381" t="n">
        <x:f>SUMIFS('Climate Data'!$G$7:$G$366,'Climate Data'!$A$7:$A$366,'Estimator'!$B$4,'Climate Data'!$B$7:$B$366,C799)</x:f>
        <x:v>0.24916573971078979</x:v>
      </x:c>
      <x:c r="I799" s="382" t="n">
        <x:f>SUMIFS('Climate Data'!$H$7:$H$366,'Climate Data'!$A$7:$A$366,'Estimator'!$B$4,'Climate Data'!$B$7:$B$366,C799)</x:f>
        <x:v>9.709821428571429</x:v>
      </x:c>
      <x:c r="J799" s="381" t="n">
        <x:f>SUMIFS('Wind Proxy'!$H$8:$H$19,'Wind Proxy'!$A$8:$A$19,'Estimator'!$B$4,'Wind Proxy'!$B$8:$B$19,C799)</x:f>
        <x:v>0.11350059737156513</x:v>
      </x:c>
    </x:row>
    <x:row r="800">
      <x:c r="A800" s="379" t="n">
        <x:v>46451</x:v>
      </x:c>
      <x:c r="B800" s="380" t="n">
        <x:v>2027</x:v>
      </x:c>
      <x:c r="C800" s="380" t="n">
        <x:v>3</x:v>
      </x:c>
      <x:c r="D800" s="380" t="str">
        <x:v>Mar</x:v>
      </x:c>
      <x:c r="E800" s="380" t="n">
        <x:v>5</x:v>
      </x:c>
      <x:c r="F800" s="380" t="n">
        <x:v>5</x:v>
      </x:c>
      <x:c r="G800" s="380" t="n">
        <x:f>--(F800&lt;='Estimator'!$B$7)</x:f>
        <x:v>1</x:v>
      </x:c>
      <x:c r="H800" s="381" t="n">
        <x:f>SUMIFS('Climate Data'!$G$7:$G$366,'Climate Data'!$A$7:$A$366,'Estimator'!$B$4,'Climate Data'!$B$7:$B$366,C800)</x:f>
        <x:v>0.24916573971078979</x:v>
      </x:c>
      <x:c r="I800" s="382" t="n">
        <x:f>SUMIFS('Climate Data'!$H$7:$H$366,'Climate Data'!$A$7:$A$366,'Estimator'!$B$4,'Climate Data'!$B$7:$B$366,C800)</x:f>
        <x:v>9.709821428571429</x:v>
      </x:c>
      <x:c r="J800" s="381" t="n">
        <x:f>SUMIFS('Wind Proxy'!$H$8:$H$19,'Wind Proxy'!$A$8:$A$19,'Estimator'!$B$4,'Wind Proxy'!$B$8:$B$19,C800)</x:f>
        <x:v>0.11350059737156513</x:v>
      </x:c>
    </x:row>
    <x:row r="801">
      <x:c r="A801" s="379" t="n">
        <x:v>46452</x:v>
      </x:c>
      <x:c r="B801" s="380" t="n">
        <x:v>2027</x:v>
      </x:c>
      <x:c r="C801" s="380" t="n">
        <x:v>3</x:v>
      </x:c>
      <x:c r="D801" s="380" t="str">
        <x:v>Mar</x:v>
      </x:c>
      <x:c r="E801" s="380" t="n">
        <x:v>6</x:v>
      </x:c>
      <x:c r="F801" s="380" t="n">
        <x:v>6</x:v>
      </x:c>
      <x:c r="G801" s="380" t="n">
        <x:f>--(F801&lt;='Estimator'!$B$7)</x:f>
        <x:v>0</x:v>
      </x:c>
      <x:c r="H801" s="381" t="n">
        <x:f>SUMIFS('Climate Data'!$G$7:$G$366,'Climate Data'!$A$7:$A$366,'Estimator'!$B$4,'Climate Data'!$B$7:$B$366,C801)</x:f>
        <x:v>0.24916573971078979</x:v>
      </x:c>
      <x:c r="I801" s="382" t="n">
        <x:f>SUMIFS('Climate Data'!$H$7:$H$366,'Climate Data'!$A$7:$A$366,'Estimator'!$B$4,'Climate Data'!$B$7:$B$366,C801)</x:f>
        <x:v>9.709821428571429</x:v>
      </x:c>
      <x:c r="J801" s="381" t="n">
        <x:f>SUMIFS('Wind Proxy'!$H$8:$H$19,'Wind Proxy'!$A$8:$A$19,'Estimator'!$B$4,'Wind Proxy'!$B$8:$B$19,C801)</x:f>
        <x:v>0.11350059737156513</x:v>
      </x:c>
    </x:row>
    <x:row r="802">
      <x:c r="A802" s="379" t="n">
        <x:v>46453</x:v>
      </x:c>
      <x:c r="B802" s="380" t="n">
        <x:v>2027</x:v>
      </x:c>
      <x:c r="C802" s="380" t="n">
        <x:v>3</x:v>
      </x:c>
      <x:c r="D802" s="380" t="str">
        <x:v>Mar</x:v>
      </x:c>
      <x:c r="E802" s="380" t="n">
        <x:v>7</x:v>
      </x:c>
      <x:c r="F802" s="380" t="n">
        <x:v>7</x:v>
      </x:c>
      <x:c r="G802" s="380" t="n">
        <x:f>--(F802&lt;='Estimator'!$B$7)</x:f>
        <x:v>0</x:v>
      </x:c>
      <x:c r="H802" s="381" t="n">
        <x:f>SUMIFS('Climate Data'!$G$7:$G$366,'Climate Data'!$A$7:$A$366,'Estimator'!$B$4,'Climate Data'!$B$7:$B$366,C802)</x:f>
        <x:v>0.24916573971078979</x:v>
      </x:c>
      <x:c r="I802" s="382" t="n">
        <x:f>SUMIFS('Climate Data'!$H$7:$H$366,'Climate Data'!$A$7:$A$366,'Estimator'!$B$4,'Climate Data'!$B$7:$B$366,C802)</x:f>
        <x:v>9.709821428571429</x:v>
      </x:c>
      <x:c r="J802" s="381" t="n">
        <x:f>SUMIFS('Wind Proxy'!$H$8:$H$19,'Wind Proxy'!$A$8:$A$19,'Estimator'!$B$4,'Wind Proxy'!$B$8:$B$19,C802)</x:f>
        <x:v>0.11350059737156513</x:v>
      </x:c>
    </x:row>
    <x:row r="803">
      <x:c r="A803" s="379" t="n">
        <x:v>46454</x:v>
      </x:c>
      <x:c r="B803" s="380" t="n">
        <x:v>2027</x:v>
      </x:c>
      <x:c r="C803" s="380" t="n">
        <x:v>3</x:v>
      </x:c>
      <x:c r="D803" s="380" t="str">
        <x:v>Mar</x:v>
      </x:c>
      <x:c r="E803" s="380" t="n">
        <x:v>8</x:v>
      </x:c>
      <x:c r="F803" s="380" t="n">
        <x:v>1</x:v>
      </x:c>
      <x:c r="G803" s="380" t="n">
        <x:f>--(F803&lt;='Estimator'!$B$7)</x:f>
        <x:v>1</x:v>
      </x:c>
      <x:c r="H803" s="381" t="n">
        <x:f>SUMIFS('Climate Data'!$G$7:$G$366,'Climate Data'!$A$7:$A$366,'Estimator'!$B$4,'Climate Data'!$B$7:$B$366,C803)</x:f>
        <x:v>0.24916573971078979</x:v>
      </x:c>
      <x:c r="I803" s="382" t="n">
        <x:f>SUMIFS('Climate Data'!$H$7:$H$366,'Climate Data'!$A$7:$A$366,'Estimator'!$B$4,'Climate Data'!$B$7:$B$366,C803)</x:f>
        <x:v>9.709821428571429</x:v>
      </x:c>
      <x:c r="J803" s="381" t="n">
        <x:f>SUMIFS('Wind Proxy'!$H$8:$H$19,'Wind Proxy'!$A$8:$A$19,'Estimator'!$B$4,'Wind Proxy'!$B$8:$B$19,C803)</x:f>
        <x:v>0.11350059737156513</x:v>
      </x:c>
    </x:row>
    <x:row r="804">
      <x:c r="A804" s="379" t="n">
        <x:v>46455</x:v>
      </x:c>
      <x:c r="B804" s="380" t="n">
        <x:v>2027</x:v>
      </x:c>
      <x:c r="C804" s="380" t="n">
        <x:v>3</x:v>
      </x:c>
      <x:c r="D804" s="380" t="str">
        <x:v>Mar</x:v>
      </x:c>
      <x:c r="E804" s="380" t="n">
        <x:v>9</x:v>
      </x:c>
      <x:c r="F804" s="380" t="n">
        <x:v>2</x:v>
      </x:c>
      <x:c r="G804" s="380" t="n">
        <x:f>--(F804&lt;='Estimator'!$B$7)</x:f>
        <x:v>1</x:v>
      </x:c>
      <x:c r="H804" s="381" t="n">
        <x:f>SUMIFS('Climate Data'!$G$7:$G$366,'Climate Data'!$A$7:$A$366,'Estimator'!$B$4,'Climate Data'!$B$7:$B$366,C804)</x:f>
        <x:v>0.24916573971078979</x:v>
      </x:c>
      <x:c r="I804" s="382" t="n">
        <x:f>SUMIFS('Climate Data'!$H$7:$H$366,'Climate Data'!$A$7:$A$366,'Estimator'!$B$4,'Climate Data'!$B$7:$B$366,C804)</x:f>
        <x:v>9.709821428571429</x:v>
      </x:c>
      <x:c r="J804" s="381" t="n">
        <x:f>SUMIFS('Wind Proxy'!$H$8:$H$19,'Wind Proxy'!$A$8:$A$19,'Estimator'!$B$4,'Wind Proxy'!$B$8:$B$19,C804)</x:f>
        <x:v>0.11350059737156513</x:v>
      </x:c>
    </x:row>
    <x:row r="805">
      <x:c r="A805" s="379" t="n">
        <x:v>46456</x:v>
      </x:c>
      <x:c r="B805" s="380" t="n">
        <x:v>2027</x:v>
      </x:c>
      <x:c r="C805" s="380" t="n">
        <x:v>3</x:v>
      </x:c>
      <x:c r="D805" s="380" t="str">
        <x:v>Mar</x:v>
      </x:c>
      <x:c r="E805" s="380" t="n">
        <x:v>10</x:v>
      </x:c>
      <x:c r="F805" s="380" t="n">
        <x:v>3</x:v>
      </x:c>
      <x:c r="G805" s="380" t="n">
        <x:f>--(F805&lt;='Estimator'!$B$7)</x:f>
        <x:v>1</x:v>
      </x:c>
      <x:c r="H805" s="381" t="n">
        <x:f>SUMIFS('Climate Data'!$G$7:$G$366,'Climate Data'!$A$7:$A$366,'Estimator'!$B$4,'Climate Data'!$B$7:$B$366,C805)</x:f>
        <x:v>0.24916573971078979</x:v>
      </x:c>
      <x:c r="I805" s="382" t="n">
        <x:f>SUMIFS('Climate Data'!$H$7:$H$366,'Climate Data'!$A$7:$A$366,'Estimator'!$B$4,'Climate Data'!$B$7:$B$366,C805)</x:f>
        <x:v>9.709821428571429</x:v>
      </x:c>
      <x:c r="J805" s="381" t="n">
        <x:f>SUMIFS('Wind Proxy'!$H$8:$H$19,'Wind Proxy'!$A$8:$A$19,'Estimator'!$B$4,'Wind Proxy'!$B$8:$B$19,C805)</x:f>
        <x:v>0.11350059737156513</x:v>
      </x:c>
    </x:row>
    <x:row r="806">
      <x:c r="A806" s="379" t="n">
        <x:v>46457</x:v>
      </x:c>
      <x:c r="B806" s="380" t="n">
        <x:v>2027</x:v>
      </x:c>
      <x:c r="C806" s="380" t="n">
        <x:v>3</x:v>
      </x:c>
      <x:c r="D806" s="380" t="str">
        <x:v>Mar</x:v>
      </x:c>
      <x:c r="E806" s="380" t="n">
        <x:v>11</x:v>
      </x:c>
      <x:c r="F806" s="380" t="n">
        <x:v>4</x:v>
      </x:c>
      <x:c r="G806" s="380" t="n">
        <x:f>--(F806&lt;='Estimator'!$B$7)</x:f>
        <x:v>1</x:v>
      </x:c>
      <x:c r="H806" s="381" t="n">
        <x:f>SUMIFS('Climate Data'!$G$7:$G$366,'Climate Data'!$A$7:$A$366,'Estimator'!$B$4,'Climate Data'!$B$7:$B$366,C806)</x:f>
        <x:v>0.24916573971078979</x:v>
      </x:c>
      <x:c r="I806" s="382" t="n">
        <x:f>SUMIFS('Climate Data'!$H$7:$H$366,'Climate Data'!$A$7:$A$366,'Estimator'!$B$4,'Climate Data'!$B$7:$B$366,C806)</x:f>
        <x:v>9.709821428571429</x:v>
      </x:c>
      <x:c r="J806" s="381" t="n">
        <x:f>SUMIFS('Wind Proxy'!$H$8:$H$19,'Wind Proxy'!$A$8:$A$19,'Estimator'!$B$4,'Wind Proxy'!$B$8:$B$19,C806)</x:f>
        <x:v>0.11350059737156513</x:v>
      </x:c>
    </x:row>
    <x:row r="807">
      <x:c r="A807" s="379" t="n">
        <x:v>46458</x:v>
      </x:c>
      <x:c r="B807" s="380" t="n">
        <x:v>2027</x:v>
      </x:c>
      <x:c r="C807" s="380" t="n">
        <x:v>3</x:v>
      </x:c>
      <x:c r="D807" s="380" t="str">
        <x:v>Mar</x:v>
      </x:c>
      <x:c r="E807" s="380" t="n">
        <x:v>12</x:v>
      </x:c>
      <x:c r="F807" s="380" t="n">
        <x:v>5</x:v>
      </x:c>
      <x:c r="G807" s="380" t="n">
        <x:f>--(F807&lt;='Estimator'!$B$7)</x:f>
        <x:v>1</x:v>
      </x:c>
      <x:c r="H807" s="381" t="n">
        <x:f>SUMIFS('Climate Data'!$G$7:$G$366,'Climate Data'!$A$7:$A$366,'Estimator'!$B$4,'Climate Data'!$B$7:$B$366,C807)</x:f>
        <x:v>0.24916573971078979</x:v>
      </x:c>
      <x:c r="I807" s="382" t="n">
        <x:f>SUMIFS('Climate Data'!$H$7:$H$366,'Climate Data'!$A$7:$A$366,'Estimator'!$B$4,'Climate Data'!$B$7:$B$366,C807)</x:f>
        <x:v>9.709821428571429</x:v>
      </x:c>
      <x:c r="J807" s="381" t="n">
        <x:f>SUMIFS('Wind Proxy'!$H$8:$H$19,'Wind Proxy'!$A$8:$A$19,'Estimator'!$B$4,'Wind Proxy'!$B$8:$B$19,C807)</x:f>
        <x:v>0.11350059737156513</x:v>
      </x:c>
    </x:row>
    <x:row r="808">
      <x:c r="A808" s="379" t="n">
        <x:v>46459</x:v>
      </x:c>
      <x:c r="B808" s="380" t="n">
        <x:v>2027</x:v>
      </x:c>
      <x:c r="C808" s="380" t="n">
        <x:v>3</x:v>
      </x:c>
      <x:c r="D808" s="380" t="str">
        <x:v>Mar</x:v>
      </x:c>
      <x:c r="E808" s="380" t="n">
        <x:v>13</x:v>
      </x:c>
      <x:c r="F808" s="380" t="n">
        <x:v>6</x:v>
      </x:c>
      <x:c r="G808" s="380" t="n">
        <x:f>--(F808&lt;='Estimator'!$B$7)</x:f>
        <x:v>0</x:v>
      </x:c>
      <x:c r="H808" s="381" t="n">
        <x:f>SUMIFS('Climate Data'!$G$7:$G$366,'Climate Data'!$A$7:$A$366,'Estimator'!$B$4,'Climate Data'!$B$7:$B$366,C808)</x:f>
        <x:v>0.24916573971078979</x:v>
      </x:c>
      <x:c r="I808" s="382" t="n">
        <x:f>SUMIFS('Climate Data'!$H$7:$H$366,'Climate Data'!$A$7:$A$366,'Estimator'!$B$4,'Climate Data'!$B$7:$B$366,C808)</x:f>
        <x:v>9.709821428571429</x:v>
      </x:c>
      <x:c r="J808" s="381" t="n">
        <x:f>SUMIFS('Wind Proxy'!$H$8:$H$19,'Wind Proxy'!$A$8:$A$19,'Estimator'!$B$4,'Wind Proxy'!$B$8:$B$19,C808)</x:f>
        <x:v>0.11350059737156513</x:v>
      </x:c>
    </x:row>
    <x:row r="809">
      <x:c r="A809" s="379" t="n">
        <x:v>46460</x:v>
      </x:c>
      <x:c r="B809" s="380" t="n">
        <x:v>2027</x:v>
      </x:c>
      <x:c r="C809" s="380" t="n">
        <x:v>3</x:v>
      </x:c>
      <x:c r="D809" s="380" t="str">
        <x:v>Mar</x:v>
      </x:c>
      <x:c r="E809" s="380" t="n">
        <x:v>14</x:v>
      </x:c>
      <x:c r="F809" s="380" t="n">
        <x:v>7</x:v>
      </x:c>
      <x:c r="G809" s="380" t="n">
        <x:f>--(F809&lt;='Estimator'!$B$7)</x:f>
        <x:v>0</x:v>
      </x:c>
      <x:c r="H809" s="381" t="n">
        <x:f>SUMIFS('Climate Data'!$G$7:$G$366,'Climate Data'!$A$7:$A$366,'Estimator'!$B$4,'Climate Data'!$B$7:$B$366,C809)</x:f>
        <x:v>0.24916573971078979</x:v>
      </x:c>
      <x:c r="I809" s="382" t="n">
        <x:f>SUMIFS('Climate Data'!$H$7:$H$366,'Climate Data'!$A$7:$A$366,'Estimator'!$B$4,'Climate Data'!$B$7:$B$366,C809)</x:f>
        <x:v>9.709821428571429</x:v>
      </x:c>
      <x:c r="J809" s="381" t="n">
        <x:f>SUMIFS('Wind Proxy'!$H$8:$H$19,'Wind Proxy'!$A$8:$A$19,'Estimator'!$B$4,'Wind Proxy'!$B$8:$B$19,C809)</x:f>
        <x:v>0.11350059737156513</x:v>
      </x:c>
    </x:row>
    <x:row r="810">
      <x:c r="A810" s="379" t="n">
        <x:v>46461</x:v>
      </x:c>
      <x:c r="B810" s="380" t="n">
        <x:v>2027</x:v>
      </x:c>
      <x:c r="C810" s="380" t="n">
        <x:v>3</x:v>
      </x:c>
      <x:c r="D810" s="380" t="str">
        <x:v>Mar</x:v>
      </x:c>
      <x:c r="E810" s="380" t="n">
        <x:v>15</x:v>
      </x:c>
      <x:c r="F810" s="380" t="n">
        <x:v>1</x:v>
      </x:c>
      <x:c r="G810" s="380" t="n">
        <x:f>--(F810&lt;='Estimator'!$B$7)</x:f>
        <x:v>1</x:v>
      </x:c>
      <x:c r="H810" s="381" t="n">
        <x:f>SUMIFS('Climate Data'!$G$7:$G$366,'Climate Data'!$A$7:$A$366,'Estimator'!$B$4,'Climate Data'!$B$7:$B$366,C810)</x:f>
        <x:v>0.24916573971078979</x:v>
      </x:c>
      <x:c r="I810" s="382" t="n">
        <x:f>SUMIFS('Climate Data'!$H$7:$H$366,'Climate Data'!$A$7:$A$366,'Estimator'!$B$4,'Climate Data'!$B$7:$B$366,C810)</x:f>
        <x:v>9.709821428571429</x:v>
      </x:c>
      <x:c r="J810" s="381" t="n">
        <x:f>SUMIFS('Wind Proxy'!$H$8:$H$19,'Wind Proxy'!$A$8:$A$19,'Estimator'!$B$4,'Wind Proxy'!$B$8:$B$19,C810)</x:f>
        <x:v>0.11350059737156513</x:v>
      </x:c>
    </x:row>
    <x:row r="811">
      <x:c r="A811" s="379" t="n">
        <x:v>46462</x:v>
      </x:c>
      <x:c r="B811" s="380" t="n">
        <x:v>2027</x:v>
      </x:c>
      <x:c r="C811" s="380" t="n">
        <x:v>3</x:v>
      </x:c>
      <x:c r="D811" s="380" t="str">
        <x:v>Mar</x:v>
      </x:c>
      <x:c r="E811" s="380" t="n">
        <x:v>16</x:v>
      </x:c>
      <x:c r="F811" s="380" t="n">
        <x:v>2</x:v>
      </x:c>
      <x:c r="G811" s="380" t="n">
        <x:f>--(F811&lt;='Estimator'!$B$7)</x:f>
        <x:v>1</x:v>
      </x:c>
      <x:c r="H811" s="381" t="n">
        <x:f>SUMIFS('Climate Data'!$G$7:$G$366,'Climate Data'!$A$7:$A$366,'Estimator'!$B$4,'Climate Data'!$B$7:$B$366,C811)</x:f>
        <x:v>0.24916573971078979</x:v>
      </x:c>
      <x:c r="I811" s="382" t="n">
        <x:f>SUMIFS('Climate Data'!$H$7:$H$366,'Climate Data'!$A$7:$A$366,'Estimator'!$B$4,'Climate Data'!$B$7:$B$366,C811)</x:f>
        <x:v>9.709821428571429</x:v>
      </x:c>
      <x:c r="J811" s="381" t="n">
        <x:f>SUMIFS('Wind Proxy'!$H$8:$H$19,'Wind Proxy'!$A$8:$A$19,'Estimator'!$B$4,'Wind Proxy'!$B$8:$B$19,C811)</x:f>
        <x:v>0.11350059737156513</x:v>
      </x:c>
    </x:row>
    <x:row r="812">
      <x:c r="A812" s="379" t="n">
        <x:v>46463</x:v>
      </x:c>
      <x:c r="B812" s="380" t="n">
        <x:v>2027</x:v>
      </x:c>
      <x:c r="C812" s="380" t="n">
        <x:v>3</x:v>
      </x:c>
      <x:c r="D812" s="380" t="str">
        <x:v>Mar</x:v>
      </x:c>
      <x:c r="E812" s="380" t="n">
        <x:v>17</x:v>
      </x:c>
      <x:c r="F812" s="380" t="n">
        <x:v>3</x:v>
      </x:c>
      <x:c r="G812" s="380" t="n">
        <x:f>--(F812&lt;='Estimator'!$B$7)</x:f>
        <x:v>1</x:v>
      </x:c>
      <x:c r="H812" s="381" t="n">
        <x:f>SUMIFS('Climate Data'!$G$7:$G$366,'Climate Data'!$A$7:$A$366,'Estimator'!$B$4,'Climate Data'!$B$7:$B$366,C812)</x:f>
        <x:v>0.24916573971078979</x:v>
      </x:c>
      <x:c r="I812" s="382" t="n">
        <x:f>SUMIFS('Climate Data'!$H$7:$H$366,'Climate Data'!$A$7:$A$366,'Estimator'!$B$4,'Climate Data'!$B$7:$B$366,C812)</x:f>
        <x:v>9.709821428571429</x:v>
      </x:c>
      <x:c r="J812" s="381" t="n">
        <x:f>SUMIFS('Wind Proxy'!$H$8:$H$19,'Wind Proxy'!$A$8:$A$19,'Estimator'!$B$4,'Wind Proxy'!$B$8:$B$19,C812)</x:f>
        <x:v>0.11350059737156513</x:v>
      </x:c>
    </x:row>
    <x:row r="813">
      <x:c r="A813" s="379" t="n">
        <x:v>46464</x:v>
      </x:c>
      <x:c r="B813" s="380" t="n">
        <x:v>2027</x:v>
      </x:c>
      <x:c r="C813" s="380" t="n">
        <x:v>3</x:v>
      </x:c>
      <x:c r="D813" s="380" t="str">
        <x:v>Mar</x:v>
      </x:c>
      <x:c r="E813" s="380" t="n">
        <x:v>18</x:v>
      </x:c>
      <x:c r="F813" s="380" t="n">
        <x:v>4</x:v>
      </x:c>
      <x:c r="G813" s="380" t="n">
        <x:f>--(F813&lt;='Estimator'!$B$7)</x:f>
        <x:v>1</x:v>
      </x:c>
      <x:c r="H813" s="381" t="n">
        <x:f>SUMIFS('Climate Data'!$G$7:$G$366,'Climate Data'!$A$7:$A$366,'Estimator'!$B$4,'Climate Data'!$B$7:$B$366,C813)</x:f>
        <x:v>0.24916573971078979</x:v>
      </x:c>
      <x:c r="I813" s="382" t="n">
        <x:f>SUMIFS('Climate Data'!$H$7:$H$366,'Climate Data'!$A$7:$A$366,'Estimator'!$B$4,'Climate Data'!$B$7:$B$366,C813)</x:f>
        <x:v>9.709821428571429</x:v>
      </x:c>
      <x:c r="J813" s="381" t="n">
        <x:f>SUMIFS('Wind Proxy'!$H$8:$H$19,'Wind Proxy'!$A$8:$A$19,'Estimator'!$B$4,'Wind Proxy'!$B$8:$B$19,C813)</x:f>
        <x:v>0.11350059737156513</x:v>
      </x:c>
    </x:row>
    <x:row r="814">
      <x:c r="A814" s="379" t="n">
        <x:v>46465</x:v>
      </x:c>
      <x:c r="B814" s="380" t="n">
        <x:v>2027</x:v>
      </x:c>
      <x:c r="C814" s="380" t="n">
        <x:v>3</x:v>
      </x:c>
      <x:c r="D814" s="380" t="str">
        <x:v>Mar</x:v>
      </x:c>
      <x:c r="E814" s="380" t="n">
        <x:v>19</x:v>
      </x:c>
      <x:c r="F814" s="380" t="n">
        <x:v>5</x:v>
      </x:c>
      <x:c r="G814" s="380" t="n">
        <x:f>--(F814&lt;='Estimator'!$B$7)</x:f>
        <x:v>1</x:v>
      </x:c>
      <x:c r="H814" s="381" t="n">
        <x:f>SUMIFS('Climate Data'!$G$7:$G$366,'Climate Data'!$A$7:$A$366,'Estimator'!$B$4,'Climate Data'!$B$7:$B$366,C814)</x:f>
        <x:v>0.24916573971078979</x:v>
      </x:c>
      <x:c r="I814" s="382" t="n">
        <x:f>SUMIFS('Climate Data'!$H$7:$H$366,'Climate Data'!$A$7:$A$366,'Estimator'!$B$4,'Climate Data'!$B$7:$B$366,C814)</x:f>
        <x:v>9.709821428571429</x:v>
      </x:c>
      <x:c r="J814" s="381" t="n">
        <x:f>SUMIFS('Wind Proxy'!$H$8:$H$19,'Wind Proxy'!$A$8:$A$19,'Estimator'!$B$4,'Wind Proxy'!$B$8:$B$19,C814)</x:f>
        <x:v>0.11350059737156513</x:v>
      </x:c>
    </x:row>
    <x:row r="815">
      <x:c r="A815" s="379" t="n">
        <x:v>46466</x:v>
      </x:c>
      <x:c r="B815" s="380" t="n">
        <x:v>2027</x:v>
      </x:c>
      <x:c r="C815" s="380" t="n">
        <x:v>3</x:v>
      </x:c>
      <x:c r="D815" s="380" t="str">
        <x:v>Mar</x:v>
      </x:c>
      <x:c r="E815" s="380" t="n">
        <x:v>20</x:v>
      </x:c>
      <x:c r="F815" s="380" t="n">
        <x:v>6</x:v>
      </x:c>
      <x:c r="G815" s="380" t="n">
        <x:f>--(F815&lt;='Estimator'!$B$7)</x:f>
        <x:v>0</x:v>
      </x:c>
      <x:c r="H815" s="381" t="n">
        <x:f>SUMIFS('Climate Data'!$G$7:$G$366,'Climate Data'!$A$7:$A$366,'Estimator'!$B$4,'Climate Data'!$B$7:$B$366,C815)</x:f>
        <x:v>0.24916573971078979</x:v>
      </x:c>
      <x:c r="I815" s="382" t="n">
        <x:f>SUMIFS('Climate Data'!$H$7:$H$366,'Climate Data'!$A$7:$A$366,'Estimator'!$B$4,'Climate Data'!$B$7:$B$366,C815)</x:f>
        <x:v>9.709821428571429</x:v>
      </x:c>
      <x:c r="J815" s="381" t="n">
        <x:f>SUMIFS('Wind Proxy'!$H$8:$H$19,'Wind Proxy'!$A$8:$A$19,'Estimator'!$B$4,'Wind Proxy'!$B$8:$B$19,C815)</x:f>
        <x:v>0.11350059737156513</x:v>
      </x:c>
    </x:row>
    <x:row r="816">
      <x:c r="A816" s="379" t="n">
        <x:v>46467</x:v>
      </x:c>
      <x:c r="B816" s="380" t="n">
        <x:v>2027</x:v>
      </x:c>
      <x:c r="C816" s="380" t="n">
        <x:v>3</x:v>
      </x:c>
      <x:c r="D816" s="380" t="str">
        <x:v>Mar</x:v>
      </x:c>
      <x:c r="E816" s="380" t="n">
        <x:v>21</x:v>
      </x:c>
      <x:c r="F816" s="380" t="n">
        <x:v>7</x:v>
      </x:c>
      <x:c r="G816" s="380" t="n">
        <x:f>--(F816&lt;='Estimator'!$B$7)</x:f>
        <x:v>0</x:v>
      </x:c>
      <x:c r="H816" s="381" t="n">
        <x:f>SUMIFS('Climate Data'!$G$7:$G$366,'Climate Data'!$A$7:$A$366,'Estimator'!$B$4,'Climate Data'!$B$7:$B$366,C816)</x:f>
        <x:v>0.24916573971078979</x:v>
      </x:c>
      <x:c r="I816" s="382" t="n">
        <x:f>SUMIFS('Climate Data'!$H$7:$H$366,'Climate Data'!$A$7:$A$366,'Estimator'!$B$4,'Climate Data'!$B$7:$B$366,C816)</x:f>
        <x:v>9.709821428571429</x:v>
      </x:c>
      <x:c r="J816" s="381" t="n">
        <x:f>SUMIFS('Wind Proxy'!$H$8:$H$19,'Wind Proxy'!$A$8:$A$19,'Estimator'!$B$4,'Wind Proxy'!$B$8:$B$19,C816)</x:f>
        <x:v>0.11350059737156513</x:v>
      </x:c>
    </x:row>
    <x:row r="817">
      <x:c r="A817" s="379" t="n">
        <x:v>46468</x:v>
      </x:c>
      <x:c r="B817" s="380" t="n">
        <x:v>2027</x:v>
      </x:c>
      <x:c r="C817" s="380" t="n">
        <x:v>3</x:v>
      </x:c>
      <x:c r="D817" s="380" t="str">
        <x:v>Mar</x:v>
      </x:c>
      <x:c r="E817" s="380" t="n">
        <x:v>22</x:v>
      </x:c>
      <x:c r="F817" s="380" t="n">
        <x:v>1</x:v>
      </x:c>
      <x:c r="G817" s="380" t="n">
        <x:f>--(F817&lt;='Estimator'!$B$7)</x:f>
        <x:v>1</x:v>
      </x:c>
      <x:c r="H817" s="381" t="n">
        <x:f>SUMIFS('Climate Data'!$G$7:$G$366,'Climate Data'!$A$7:$A$366,'Estimator'!$B$4,'Climate Data'!$B$7:$B$366,C817)</x:f>
        <x:v>0.24916573971078979</x:v>
      </x:c>
      <x:c r="I817" s="382" t="n">
        <x:f>SUMIFS('Climate Data'!$H$7:$H$366,'Climate Data'!$A$7:$A$366,'Estimator'!$B$4,'Climate Data'!$B$7:$B$366,C817)</x:f>
        <x:v>9.709821428571429</x:v>
      </x:c>
      <x:c r="J817" s="381" t="n">
        <x:f>SUMIFS('Wind Proxy'!$H$8:$H$19,'Wind Proxy'!$A$8:$A$19,'Estimator'!$B$4,'Wind Proxy'!$B$8:$B$19,C817)</x:f>
        <x:v>0.11350059737156513</x:v>
      </x:c>
    </x:row>
    <x:row r="818">
      <x:c r="A818" s="379" t="n">
        <x:v>46469</x:v>
      </x:c>
      <x:c r="B818" s="380" t="n">
        <x:v>2027</x:v>
      </x:c>
      <x:c r="C818" s="380" t="n">
        <x:v>3</x:v>
      </x:c>
      <x:c r="D818" s="380" t="str">
        <x:v>Mar</x:v>
      </x:c>
      <x:c r="E818" s="380" t="n">
        <x:v>23</x:v>
      </x:c>
      <x:c r="F818" s="380" t="n">
        <x:v>2</x:v>
      </x:c>
      <x:c r="G818" s="380" t="n">
        <x:f>--(F818&lt;='Estimator'!$B$7)</x:f>
        <x:v>1</x:v>
      </x:c>
      <x:c r="H818" s="381" t="n">
        <x:f>SUMIFS('Climate Data'!$G$7:$G$366,'Climate Data'!$A$7:$A$366,'Estimator'!$B$4,'Climate Data'!$B$7:$B$366,C818)</x:f>
        <x:v>0.24916573971078979</x:v>
      </x:c>
      <x:c r="I818" s="382" t="n">
        <x:f>SUMIFS('Climate Data'!$H$7:$H$366,'Climate Data'!$A$7:$A$366,'Estimator'!$B$4,'Climate Data'!$B$7:$B$366,C818)</x:f>
        <x:v>9.709821428571429</x:v>
      </x:c>
      <x:c r="J818" s="381" t="n">
        <x:f>SUMIFS('Wind Proxy'!$H$8:$H$19,'Wind Proxy'!$A$8:$A$19,'Estimator'!$B$4,'Wind Proxy'!$B$8:$B$19,C818)</x:f>
        <x:v>0.11350059737156513</x:v>
      </x:c>
    </x:row>
    <x:row r="819">
      <x:c r="A819" s="379" t="n">
        <x:v>46470</x:v>
      </x:c>
      <x:c r="B819" s="380" t="n">
        <x:v>2027</x:v>
      </x:c>
      <x:c r="C819" s="380" t="n">
        <x:v>3</x:v>
      </x:c>
      <x:c r="D819" s="380" t="str">
        <x:v>Mar</x:v>
      </x:c>
      <x:c r="E819" s="380" t="n">
        <x:v>24</x:v>
      </x:c>
      <x:c r="F819" s="380" t="n">
        <x:v>3</x:v>
      </x:c>
      <x:c r="G819" s="380" t="n">
        <x:f>--(F819&lt;='Estimator'!$B$7)</x:f>
        <x:v>1</x:v>
      </x:c>
      <x:c r="H819" s="381" t="n">
        <x:f>SUMIFS('Climate Data'!$G$7:$G$366,'Climate Data'!$A$7:$A$366,'Estimator'!$B$4,'Climate Data'!$B$7:$B$366,C819)</x:f>
        <x:v>0.24916573971078979</x:v>
      </x:c>
      <x:c r="I819" s="382" t="n">
        <x:f>SUMIFS('Climate Data'!$H$7:$H$366,'Climate Data'!$A$7:$A$366,'Estimator'!$B$4,'Climate Data'!$B$7:$B$366,C819)</x:f>
        <x:v>9.709821428571429</x:v>
      </x:c>
      <x:c r="J819" s="381" t="n">
        <x:f>SUMIFS('Wind Proxy'!$H$8:$H$19,'Wind Proxy'!$A$8:$A$19,'Estimator'!$B$4,'Wind Proxy'!$B$8:$B$19,C819)</x:f>
        <x:v>0.11350059737156513</x:v>
      </x:c>
    </x:row>
    <x:row r="820">
      <x:c r="A820" s="379" t="n">
        <x:v>46471</x:v>
      </x:c>
      <x:c r="B820" s="380" t="n">
        <x:v>2027</x:v>
      </x:c>
      <x:c r="C820" s="380" t="n">
        <x:v>3</x:v>
      </x:c>
      <x:c r="D820" s="380" t="str">
        <x:v>Mar</x:v>
      </x:c>
      <x:c r="E820" s="380" t="n">
        <x:v>25</x:v>
      </x:c>
      <x:c r="F820" s="380" t="n">
        <x:v>4</x:v>
      </x:c>
      <x:c r="G820" s="380" t="n">
        <x:f>--(F820&lt;='Estimator'!$B$7)</x:f>
        <x:v>1</x:v>
      </x:c>
      <x:c r="H820" s="381" t="n">
        <x:f>SUMIFS('Climate Data'!$G$7:$G$366,'Climate Data'!$A$7:$A$366,'Estimator'!$B$4,'Climate Data'!$B$7:$B$366,C820)</x:f>
        <x:v>0.24916573971078979</x:v>
      </x:c>
      <x:c r="I820" s="382" t="n">
        <x:f>SUMIFS('Climate Data'!$H$7:$H$366,'Climate Data'!$A$7:$A$366,'Estimator'!$B$4,'Climate Data'!$B$7:$B$366,C820)</x:f>
        <x:v>9.709821428571429</x:v>
      </x:c>
      <x:c r="J820" s="381" t="n">
        <x:f>SUMIFS('Wind Proxy'!$H$8:$H$19,'Wind Proxy'!$A$8:$A$19,'Estimator'!$B$4,'Wind Proxy'!$B$8:$B$19,C820)</x:f>
        <x:v>0.11350059737156513</x:v>
      </x:c>
    </x:row>
    <x:row r="821">
      <x:c r="A821" s="379" t="n">
        <x:v>46472</x:v>
      </x:c>
      <x:c r="B821" s="380" t="n">
        <x:v>2027</x:v>
      </x:c>
      <x:c r="C821" s="380" t="n">
        <x:v>3</x:v>
      </x:c>
      <x:c r="D821" s="380" t="str">
        <x:v>Mar</x:v>
      </x:c>
      <x:c r="E821" s="380" t="n">
        <x:v>26</x:v>
      </x:c>
      <x:c r="F821" s="380" t="n">
        <x:v>5</x:v>
      </x:c>
      <x:c r="G821" s="380" t="n">
        <x:f>--(F821&lt;='Estimator'!$B$7)</x:f>
        <x:v>1</x:v>
      </x:c>
      <x:c r="H821" s="381" t="n">
        <x:f>SUMIFS('Climate Data'!$G$7:$G$366,'Climate Data'!$A$7:$A$366,'Estimator'!$B$4,'Climate Data'!$B$7:$B$366,C821)</x:f>
        <x:v>0.24916573971078979</x:v>
      </x:c>
      <x:c r="I821" s="382" t="n">
        <x:f>SUMIFS('Climate Data'!$H$7:$H$366,'Climate Data'!$A$7:$A$366,'Estimator'!$B$4,'Climate Data'!$B$7:$B$366,C821)</x:f>
        <x:v>9.709821428571429</x:v>
      </x:c>
      <x:c r="J821" s="381" t="n">
        <x:f>SUMIFS('Wind Proxy'!$H$8:$H$19,'Wind Proxy'!$A$8:$A$19,'Estimator'!$B$4,'Wind Proxy'!$B$8:$B$19,C821)</x:f>
        <x:v>0.11350059737156513</x:v>
      </x:c>
    </x:row>
    <x:row r="822">
      <x:c r="A822" s="379" t="n">
        <x:v>46473</x:v>
      </x:c>
      <x:c r="B822" s="380" t="n">
        <x:v>2027</x:v>
      </x:c>
      <x:c r="C822" s="380" t="n">
        <x:v>3</x:v>
      </x:c>
      <x:c r="D822" s="380" t="str">
        <x:v>Mar</x:v>
      </x:c>
      <x:c r="E822" s="380" t="n">
        <x:v>27</x:v>
      </x:c>
      <x:c r="F822" s="380" t="n">
        <x:v>6</x:v>
      </x:c>
      <x:c r="G822" s="380" t="n">
        <x:f>--(F822&lt;='Estimator'!$B$7)</x:f>
        <x:v>0</x:v>
      </x:c>
      <x:c r="H822" s="381" t="n">
        <x:f>SUMIFS('Climate Data'!$G$7:$G$366,'Climate Data'!$A$7:$A$366,'Estimator'!$B$4,'Climate Data'!$B$7:$B$366,C822)</x:f>
        <x:v>0.24916573971078979</x:v>
      </x:c>
      <x:c r="I822" s="382" t="n">
        <x:f>SUMIFS('Climate Data'!$H$7:$H$366,'Climate Data'!$A$7:$A$366,'Estimator'!$B$4,'Climate Data'!$B$7:$B$366,C822)</x:f>
        <x:v>9.709821428571429</x:v>
      </x:c>
      <x:c r="J822" s="381" t="n">
        <x:f>SUMIFS('Wind Proxy'!$H$8:$H$19,'Wind Proxy'!$A$8:$A$19,'Estimator'!$B$4,'Wind Proxy'!$B$8:$B$19,C822)</x:f>
        <x:v>0.11350059737156513</x:v>
      </x:c>
    </x:row>
    <x:row r="823">
      <x:c r="A823" s="379" t="n">
        <x:v>46474</x:v>
      </x:c>
      <x:c r="B823" s="380" t="n">
        <x:v>2027</x:v>
      </x:c>
      <x:c r="C823" s="380" t="n">
        <x:v>3</x:v>
      </x:c>
      <x:c r="D823" s="380" t="str">
        <x:v>Mar</x:v>
      </x:c>
      <x:c r="E823" s="380" t="n">
        <x:v>28</x:v>
      </x:c>
      <x:c r="F823" s="380" t="n">
        <x:v>7</x:v>
      </x:c>
      <x:c r="G823" s="380" t="n">
        <x:f>--(F823&lt;='Estimator'!$B$7)</x:f>
        <x:v>0</x:v>
      </x:c>
      <x:c r="H823" s="381" t="n">
        <x:f>SUMIFS('Climate Data'!$G$7:$G$366,'Climate Data'!$A$7:$A$366,'Estimator'!$B$4,'Climate Data'!$B$7:$B$366,C823)</x:f>
        <x:v>0.24916573971078979</x:v>
      </x:c>
      <x:c r="I823" s="382" t="n">
        <x:f>SUMIFS('Climate Data'!$H$7:$H$366,'Climate Data'!$A$7:$A$366,'Estimator'!$B$4,'Climate Data'!$B$7:$B$366,C823)</x:f>
        <x:v>9.709821428571429</x:v>
      </x:c>
      <x:c r="J823" s="381" t="n">
        <x:f>SUMIFS('Wind Proxy'!$H$8:$H$19,'Wind Proxy'!$A$8:$A$19,'Estimator'!$B$4,'Wind Proxy'!$B$8:$B$19,C823)</x:f>
        <x:v>0.11350059737156513</x:v>
      </x:c>
    </x:row>
    <x:row r="824">
      <x:c r="A824" s="379" t="n">
        <x:v>46475</x:v>
      </x:c>
      <x:c r="B824" s="380" t="n">
        <x:v>2027</x:v>
      </x:c>
      <x:c r="C824" s="380" t="n">
        <x:v>3</x:v>
      </x:c>
      <x:c r="D824" s="380" t="str">
        <x:v>Mar</x:v>
      </x:c>
      <x:c r="E824" s="380" t="n">
        <x:v>29</x:v>
      </x:c>
      <x:c r="F824" s="380" t="n">
        <x:v>1</x:v>
      </x:c>
      <x:c r="G824" s="380" t="n">
        <x:f>--(F824&lt;='Estimator'!$B$7)</x:f>
        <x:v>1</x:v>
      </x:c>
      <x:c r="H824" s="381" t="n">
        <x:f>SUMIFS('Climate Data'!$G$7:$G$366,'Climate Data'!$A$7:$A$366,'Estimator'!$B$4,'Climate Data'!$B$7:$B$366,C824)</x:f>
        <x:v>0.24916573971078979</x:v>
      </x:c>
      <x:c r="I824" s="382" t="n">
        <x:f>SUMIFS('Climate Data'!$H$7:$H$366,'Climate Data'!$A$7:$A$366,'Estimator'!$B$4,'Climate Data'!$B$7:$B$366,C824)</x:f>
        <x:v>9.709821428571429</x:v>
      </x:c>
      <x:c r="J824" s="381" t="n">
        <x:f>SUMIFS('Wind Proxy'!$H$8:$H$19,'Wind Proxy'!$A$8:$A$19,'Estimator'!$B$4,'Wind Proxy'!$B$8:$B$19,C824)</x:f>
        <x:v>0.11350059737156513</x:v>
      </x:c>
    </x:row>
    <x:row r="825">
      <x:c r="A825" s="379" t="n">
        <x:v>46476</x:v>
      </x:c>
      <x:c r="B825" s="380" t="n">
        <x:v>2027</x:v>
      </x:c>
      <x:c r="C825" s="380" t="n">
        <x:v>3</x:v>
      </x:c>
      <x:c r="D825" s="380" t="str">
        <x:v>Mar</x:v>
      </x:c>
      <x:c r="E825" s="380" t="n">
        <x:v>30</x:v>
      </x:c>
      <x:c r="F825" s="380" t="n">
        <x:v>2</x:v>
      </x:c>
      <x:c r="G825" s="380" t="n">
        <x:f>--(F825&lt;='Estimator'!$B$7)</x:f>
        <x:v>1</x:v>
      </x:c>
      <x:c r="H825" s="381" t="n">
        <x:f>SUMIFS('Climate Data'!$G$7:$G$366,'Climate Data'!$A$7:$A$366,'Estimator'!$B$4,'Climate Data'!$B$7:$B$366,C825)</x:f>
        <x:v>0.24916573971078979</x:v>
      </x:c>
      <x:c r="I825" s="382" t="n">
        <x:f>SUMIFS('Climate Data'!$H$7:$H$366,'Climate Data'!$A$7:$A$366,'Estimator'!$B$4,'Climate Data'!$B$7:$B$366,C825)</x:f>
        <x:v>9.709821428571429</x:v>
      </x:c>
      <x:c r="J825" s="381" t="n">
        <x:f>SUMIFS('Wind Proxy'!$H$8:$H$19,'Wind Proxy'!$A$8:$A$19,'Estimator'!$B$4,'Wind Proxy'!$B$8:$B$19,C825)</x:f>
        <x:v>0.11350059737156513</x:v>
      </x:c>
    </x:row>
    <x:row r="826">
      <x:c r="A826" s="379" t="n">
        <x:v>46477</x:v>
      </x:c>
      <x:c r="B826" s="380" t="n">
        <x:v>2027</x:v>
      </x:c>
      <x:c r="C826" s="380" t="n">
        <x:v>3</x:v>
      </x:c>
      <x:c r="D826" s="380" t="str">
        <x:v>Mar</x:v>
      </x:c>
      <x:c r="E826" s="380" t="n">
        <x:v>31</x:v>
      </x:c>
      <x:c r="F826" s="380" t="n">
        <x:v>3</x:v>
      </x:c>
      <x:c r="G826" s="380" t="n">
        <x:f>--(F826&lt;='Estimator'!$B$7)</x:f>
        <x:v>1</x:v>
      </x:c>
      <x:c r="H826" s="381" t="n">
        <x:f>SUMIFS('Climate Data'!$G$7:$G$366,'Climate Data'!$A$7:$A$366,'Estimator'!$B$4,'Climate Data'!$B$7:$B$366,C826)</x:f>
        <x:v>0.24916573971078979</x:v>
      </x:c>
      <x:c r="I826" s="382" t="n">
        <x:f>SUMIFS('Climate Data'!$H$7:$H$366,'Climate Data'!$A$7:$A$366,'Estimator'!$B$4,'Climate Data'!$B$7:$B$366,C826)</x:f>
        <x:v>9.709821428571429</x:v>
      </x:c>
      <x:c r="J826" s="381" t="n">
        <x:f>SUMIFS('Wind Proxy'!$H$8:$H$19,'Wind Proxy'!$A$8:$A$19,'Estimator'!$B$4,'Wind Proxy'!$B$8:$B$19,C826)</x:f>
        <x:v>0.11350059737156513</x:v>
      </x:c>
    </x:row>
    <x:row r="827">
      <x:c r="A827" s="379" t="n">
        <x:v>46478</x:v>
      </x:c>
      <x:c r="B827" s="380" t="n">
        <x:v>2027</x:v>
      </x:c>
      <x:c r="C827" s="380" t="n">
        <x:v>4</x:v>
      </x:c>
      <x:c r="D827" s="380" t="str">
        <x:v>Apr</x:v>
      </x:c>
      <x:c r="E827" s="380" t="n">
        <x:v>1</x:v>
      </x:c>
      <x:c r="F827" s="380" t="n">
        <x:v>4</x:v>
      </x:c>
      <x:c r="G827" s="380" t="n">
        <x:f>--(F827&lt;='Estimator'!$B$7)</x:f>
        <x:v>1</x:v>
      </x:c>
      <x:c r="H827" s="381" t="n">
        <x:f>SUMIFS('Climate Data'!$G$7:$G$366,'Climate Data'!$A$7:$A$366,'Estimator'!$B$4,'Climate Data'!$B$7:$B$366,C827)</x:f>
        <x:v>0.32023809523809527</x:v>
      </x:c>
      <x:c r="I827" s="382" t="n">
        <x:f>SUMIFS('Climate Data'!$H$7:$H$366,'Climate Data'!$A$7:$A$366,'Estimator'!$B$4,'Climate Data'!$B$7:$B$366,C827)</x:f>
        <x:v>9.066171003717471</x:v>
      </x:c>
      <x:c r="J827" s="381" t="n">
        <x:f>SUMIFS('Wind Proxy'!$H$8:$H$19,'Wind Proxy'!$A$8:$A$19,'Estimator'!$B$4,'Wind Proxy'!$B$8:$B$19,C827)</x:f>
        <x:v>0.11728395061728397</x:v>
      </x:c>
    </x:row>
    <x:row r="828">
      <x:c r="A828" s="379" t="n">
        <x:v>46479</x:v>
      </x:c>
      <x:c r="B828" s="380" t="n">
        <x:v>2027</x:v>
      </x:c>
      <x:c r="C828" s="380" t="n">
        <x:v>4</x:v>
      </x:c>
      <x:c r="D828" s="380" t="str">
        <x:v>Apr</x:v>
      </x:c>
      <x:c r="E828" s="380" t="n">
        <x:v>2</x:v>
      </x:c>
      <x:c r="F828" s="380" t="n">
        <x:v>5</x:v>
      </x:c>
      <x:c r="G828" s="380" t="n">
        <x:f>--(F828&lt;='Estimator'!$B$7)</x:f>
        <x:v>1</x:v>
      </x:c>
      <x:c r="H828" s="381" t="n">
        <x:f>SUMIFS('Climate Data'!$G$7:$G$366,'Climate Data'!$A$7:$A$366,'Estimator'!$B$4,'Climate Data'!$B$7:$B$366,C828)</x:f>
        <x:v>0.32023809523809527</x:v>
      </x:c>
      <x:c r="I828" s="382" t="n">
        <x:f>SUMIFS('Climate Data'!$H$7:$H$366,'Climate Data'!$A$7:$A$366,'Estimator'!$B$4,'Climate Data'!$B$7:$B$366,C828)</x:f>
        <x:v>9.066171003717471</x:v>
      </x:c>
      <x:c r="J828" s="381" t="n">
        <x:f>SUMIFS('Wind Proxy'!$H$8:$H$19,'Wind Proxy'!$A$8:$A$19,'Estimator'!$B$4,'Wind Proxy'!$B$8:$B$19,C828)</x:f>
        <x:v>0.11728395061728397</x:v>
      </x:c>
    </x:row>
    <x:row r="829">
      <x:c r="A829" s="379" t="n">
        <x:v>46480</x:v>
      </x:c>
      <x:c r="B829" s="380" t="n">
        <x:v>2027</x:v>
      </x:c>
      <x:c r="C829" s="380" t="n">
        <x:v>4</x:v>
      </x:c>
      <x:c r="D829" s="380" t="str">
        <x:v>Apr</x:v>
      </x:c>
      <x:c r="E829" s="380" t="n">
        <x:v>3</x:v>
      </x:c>
      <x:c r="F829" s="380" t="n">
        <x:v>6</x:v>
      </x:c>
      <x:c r="G829" s="380" t="n">
        <x:f>--(F829&lt;='Estimator'!$B$7)</x:f>
        <x:v>0</x:v>
      </x:c>
      <x:c r="H829" s="381" t="n">
        <x:f>SUMIFS('Climate Data'!$G$7:$G$366,'Climate Data'!$A$7:$A$366,'Estimator'!$B$4,'Climate Data'!$B$7:$B$366,C829)</x:f>
        <x:v>0.32023809523809527</x:v>
      </x:c>
      <x:c r="I829" s="382" t="n">
        <x:f>SUMIFS('Climate Data'!$H$7:$H$366,'Climate Data'!$A$7:$A$366,'Estimator'!$B$4,'Climate Data'!$B$7:$B$366,C829)</x:f>
        <x:v>9.066171003717471</x:v>
      </x:c>
      <x:c r="J829" s="381" t="n">
        <x:f>SUMIFS('Wind Proxy'!$H$8:$H$19,'Wind Proxy'!$A$8:$A$19,'Estimator'!$B$4,'Wind Proxy'!$B$8:$B$19,C829)</x:f>
        <x:v>0.11728395061728397</x:v>
      </x:c>
    </x:row>
    <x:row r="830">
      <x:c r="A830" s="379" t="n">
        <x:v>46481</x:v>
      </x:c>
      <x:c r="B830" s="380" t="n">
        <x:v>2027</x:v>
      </x:c>
      <x:c r="C830" s="380" t="n">
        <x:v>4</x:v>
      </x:c>
      <x:c r="D830" s="380" t="str">
        <x:v>Apr</x:v>
      </x:c>
      <x:c r="E830" s="380" t="n">
        <x:v>4</x:v>
      </x:c>
      <x:c r="F830" s="380" t="n">
        <x:v>7</x:v>
      </x:c>
      <x:c r="G830" s="380" t="n">
        <x:f>--(F830&lt;='Estimator'!$B$7)</x:f>
        <x:v>0</x:v>
      </x:c>
      <x:c r="H830" s="381" t="n">
        <x:f>SUMIFS('Climate Data'!$G$7:$G$366,'Climate Data'!$A$7:$A$366,'Estimator'!$B$4,'Climate Data'!$B$7:$B$366,C830)</x:f>
        <x:v>0.32023809523809527</x:v>
      </x:c>
      <x:c r="I830" s="382" t="n">
        <x:f>SUMIFS('Climate Data'!$H$7:$H$366,'Climate Data'!$A$7:$A$366,'Estimator'!$B$4,'Climate Data'!$B$7:$B$366,C830)</x:f>
        <x:v>9.066171003717471</x:v>
      </x:c>
      <x:c r="J830" s="381" t="n">
        <x:f>SUMIFS('Wind Proxy'!$H$8:$H$19,'Wind Proxy'!$A$8:$A$19,'Estimator'!$B$4,'Wind Proxy'!$B$8:$B$19,C830)</x:f>
        <x:v>0.11728395061728397</x:v>
      </x:c>
    </x:row>
    <x:row r="831">
      <x:c r="A831" s="379" t="n">
        <x:v>46482</x:v>
      </x:c>
      <x:c r="B831" s="380" t="n">
        <x:v>2027</x:v>
      </x:c>
      <x:c r="C831" s="380" t="n">
        <x:v>4</x:v>
      </x:c>
      <x:c r="D831" s="380" t="str">
        <x:v>Apr</x:v>
      </x:c>
      <x:c r="E831" s="380" t="n">
        <x:v>5</x:v>
      </x:c>
      <x:c r="F831" s="380" t="n">
        <x:v>1</x:v>
      </x:c>
      <x:c r="G831" s="380" t="n">
        <x:f>--(F831&lt;='Estimator'!$B$7)</x:f>
        <x:v>1</x:v>
      </x:c>
      <x:c r="H831" s="381" t="n">
        <x:f>SUMIFS('Climate Data'!$G$7:$G$366,'Climate Data'!$A$7:$A$366,'Estimator'!$B$4,'Climate Data'!$B$7:$B$366,C831)</x:f>
        <x:v>0.32023809523809527</x:v>
      </x:c>
      <x:c r="I831" s="382" t="n">
        <x:f>SUMIFS('Climate Data'!$H$7:$H$366,'Climate Data'!$A$7:$A$366,'Estimator'!$B$4,'Climate Data'!$B$7:$B$366,C831)</x:f>
        <x:v>9.066171003717471</x:v>
      </x:c>
      <x:c r="J831" s="381" t="n">
        <x:f>SUMIFS('Wind Proxy'!$H$8:$H$19,'Wind Proxy'!$A$8:$A$19,'Estimator'!$B$4,'Wind Proxy'!$B$8:$B$19,C831)</x:f>
        <x:v>0.11728395061728397</x:v>
      </x:c>
    </x:row>
    <x:row r="832">
      <x:c r="A832" s="379" t="n">
        <x:v>46483</x:v>
      </x:c>
      <x:c r="B832" s="380" t="n">
        <x:v>2027</x:v>
      </x:c>
      <x:c r="C832" s="380" t="n">
        <x:v>4</x:v>
      </x:c>
      <x:c r="D832" s="380" t="str">
        <x:v>Apr</x:v>
      </x:c>
      <x:c r="E832" s="380" t="n">
        <x:v>6</x:v>
      </x:c>
      <x:c r="F832" s="380" t="n">
        <x:v>2</x:v>
      </x:c>
      <x:c r="G832" s="380" t="n">
        <x:f>--(F832&lt;='Estimator'!$B$7)</x:f>
        <x:v>1</x:v>
      </x:c>
      <x:c r="H832" s="381" t="n">
        <x:f>SUMIFS('Climate Data'!$G$7:$G$366,'Climate Data'!$A$7:$A$366,'Estimator'!$B$4,'Climate Data'!$B$7:$B$366,C832)</x:f>
        <x:v>0.32023809523809527</x:v>
      </x:c>
      <x:c r="I832" s="382" t="n">
        <x:f>SUMIFS('Climate Data'!$H$7:$H$366,'Climate Data'!$A$7:$A$366,'Estimator'!$B$4,'Climate Data'!$B$7:$B$366,C832)</x:f>
        <x:v>9.066171003717471</x:v>
      </x:c>
      <x:c r="J832" s="381" t="n">
        <x:f>SUMIFS('Wind Proxy'!$H$8:$H$19,'Wind Proxy'!$A$8:$A$19,'Estimator'!$B$4,'Wind Proxy'!$B$8:$B$19,C832)</x:f>
        <x:v>0.11728395061728397</x:v>
      </x:c>
    </x:row>
    <x:row r="833">
      <x:c r="A833" s="379" t="n">
        <x:v>46484</x:v>
      </x:c>
      <x:c r="B833" s="380" t="n">
        <x:v>2027</x:v>
      </x:c>
      <x:c r="C833" s="380" t="n">
        <x:v>4</x:v>
      </x:c>
      <x:c r="D833" s="380" t="str">
        <x:v>Apr</x:v>
      </x:c>
      <x:c r="E833" s="380" t="n">
        <x:v>7</x:v>
      </x:c>
      <x:c r="F833" s="380" t="n">
        <x:v>3</x:v>
      </x:c>
      <x:c r="G833" s="380" t="n">
        <x:f>--(F833&lt;='Estimator'!$B$7)</x:f>
        <x:v>1</x:v>
      </x:c>
      <x:c r="H833" s="381" t="n">
        <x:f>SUMIFS('Climate Data'!$G$7:$G$366,'Climate Data'!$A$7:$A$366,'Estimator'!$B$4,'Climate Data'!$B$7:$B$366,C833)</x:f>
        <x:v>0.32023809523809527</x:v>
      </x:c>
      <x:c r="I833" s="382" t="n">
        <x:f>SUMIFS('Climate Data'!$H$7:$H$366,'Climate Data'!$A$7:$A$366,'Estimator'!$B$4,'Climate Data'!$B$7:$B$366,C833)</x:f>
        <x:v>9.066171003717471</x:v>
      </x:c>
      <x:c r="J833" s="381" t="n">
        <x:f>SUMIFS('Wind Proxy'!$H$8:$H$19,'Wind Proxy'!$A$8:$A$19,'Estimator'!$B$4,'Wind Proxy'!$B$8:$B$19,C833)</x:f>
        <x:v>0.11728395061728397</x:v>
      </x:c>
    </x:row>
    <x:row r="834">
      <x:c r="A834" s="379" t="n">
        <x:v>46485</x:v>
      </x:c>
      <x:c r="B834" s="380" t="n">
        <x:v>2027</x:v>
      </x:c>
      <x:c r="C834" s="380" t="n">
        <x:v>4</x:v>
      </x:c>
      <x:c r="D834" s="380" t="str">
        <x:v>Apr</x:v>
      </x:c>
      <x:c r="E834" s="380" t="n">
        <x:v>8</x:v>
      </x:c>
      <x:c r="F834" s="380" t="n">
        <x:v>4</x:v>
      </x:c>
      <x:c r="G834" s="380" t="n">
        <x:f>--(F834&lt;='Estimator'!$B$7)</x:f>
        <x:v>1</x:v>
      </x:c>
      <x:c r="H834" s="381" t="n">
        <x:f>SUMIFS('Climate Data'!$G$7:$G$366,'Climate Data'!$A$7:$A$366,'Estimator'!$B$4,'Climate Data'!$B$7:$B$366,C834)</x:f>
        <x:v>0.32023809523809527</x:v>
      </x:c>
      <x:c r="I834" s="382" t="n">
        <x:f>SUMIFS('Climate Data'!$H$7:$H$366,'Climate Data'!$A$7:$A$366,'Estimator'!$B$4,'Climate Data'!$B$7:$B$366,C834)</x:f>
        <x:v>9.066171003717471</x:v>
      </x:c>
      <x:c r="J834" s="381" t="n">
        <x:f>SUMIFS('Wind Proxy'!$H$8:$H$19,'Wind Proxy'!$A$8:$A$19,'Estimator'!$B$4,'Wind Proxy'!$B$8:$B$19,C834)</x:f>
        <x:v>0.11728395061728397</x:v>
      </x:c>
    </x:row>
    <x:row r="835">
      <x:c r="A835" s="379" t="n">
        <x:v>46486</x:v>
      </x:c>
      <x:c r="B835" s="380" t="n">
        <x:v>2027</x:v>
      </x:c>
      <x:c r="C835" s="380" t="n">
        <x:v>4</x:v>
      </x:c>
      <x:c r="D835" s="380" t="str">
        <x:v>Apr</x:v>
      </x:c>
      <x:c r="E835" s="380" t="n">
        <x:v>9</x:v>
      </x:c>
      <x:c r="F835" s="380" t="n">
        <x:v>5</x:v>
      </x:c>
      <x:c r="G835" s="380" t="n">
        <x:f>--(F835&lt;='Estimator'!$B$7)</x:f>
        <x:v>1</x:v>
      </x:c>
      <x:c r="H835" s="381" t="n">
        <x:f>SUMIFS('Climate Data'!$G$7:$G$366,'Climate Data'!$A$7:$A$366,'Estimator'!$B$4,'Climate Data'!$B$7:$B$366,C835)</x:f>
        <x:v>0.32023809523809527</x:v>
      </x:c>
      <x:c r="I835" s="382" t="n">
        <x:f>SUMIFS('Climate Data'!$H$7:$H$366,'Climate Data'!$A$7:$A$366,'Estimator'!$B$4,'Climate Data'!$B$7:$B$366,C835)</x:f>
        <x:v>9.066171003717471</x:v>
      </x:c>
      <x:c r="J835" s="381" t="n">
        <x:f>SUMIFS('Wind Proxy'!$H$8:$H$19,'Wind Proxy'!$A$8:$A$19,'Estimator'!$B$4,'Wind Proxy'!$B$8:$B$19,C835)</x:f>
        <x:v>0.11728395061728397</x:v>
      </x:c>
    </x:row>
    <x:row r="836">
      <x:c r="A836" s="379" t="n">
        <x:v>46487</x:v>
      </x:c>
      <x:c r="B836" s="380" t="n">
        <x:v>2027</x:v>
      </x:c>
      <x:c r="C836" s="380" t="n">
        <x:v>4</x:v>
      </x:c>
      <x:c r="D836" s="380" t="str">
        <x:v>Apr</x:v>
      </x:c>
      <x:c r="E836" s="380" t="n">
        <x:v>10</x:v>
      </x:c>
      <x:c r="F836" s="380" t="n">
        <x:v>6</x:v>
      </x:c>
      <x:c r="G836" s="380" t="n">
        <x:f>--(F836&lt;='Estimator'!$B$7)</x:f>
        <x:v>0</x:v>
      </x:c>
      <x:c r="H836" s="381" t="n">
        <x:f>SUMIFS('Climate Data'!$G$7:$G$366,'Climate Data'!$A$7:$A$366,'Estimator'!$B$4,'Climate Data'!$B$7:$B$366,C836)</x:f>
        <x:v>0.32023809523809527</x:v>
      </x:c>
      <x:c r="I836" s="382" t="n">
        <x:f>SUMIFS('Climate Data'!$H$7:$H$366,'Climate Data'!$A$7:$A$366,'Estimator'!$B$4,'Climate Data'!$B$7:$B$366,C836)</x:f>
        <x:v>9.066171003717471</x:v>
      </x:c>
      <x:c r="J836" s="381" t="n">
        <x:f>SUMIFS('Wind Proxy'!$H$8:$H$19,'Wind Proxy'!$A$8:$A$19,'Estimator'!$B$4,'Wind Proxy'!$B$8:$B$19,C836)</x:f>
        <x:v>0.11728395061728397</x:v>
      </x:c>
    </x:row>
    <x:row r="837">
      <x:c r="A837" s="379" t="n">
        <x:v>46488</x:v>
      </x:c>
      <x:c r="B837" s="380" t="n">
        <x:v>2027</x:v>
      </x:c>
      <x:c r="C837" s="380" t="n">
        <x:v>4</x:v>
      </x:c>
      <x:c r="D837" s="380" t="str">
        <x:v>Apr</x:v>
      </x:c>
      <x:c r="E837" s="380" t="n">
        <x:v>11</x:v>
      </x:c>
      <x:c r="F837" s="380" t="n">
        <x:v>7</x:v>
      </x:c>
      <x:c r="G837" s="380" t="n">
        <x:f>--(F837&lt;='Estimator'!$B$7)</x:f>
        <x:v>0</x:v>
      </x:c>
      <x:c r="H837" s="381" t="n">
        <x:f>SUMIFS('Climate Data'!$G$7:$G$366,'Climate Data'!$A$7:$A$366,'Estimator'!$B$4,'Climate Data'!$B$7:$B$366,C837)</x:f>
        <x:v>0.32023809523809527</x:v>
      </x:c>
      <x:c r="I837" s="382" t="n">
        <x:f>SUMIFS('Climate Data'!$H$7:$H$366,'Climate Data'!$A$7:$A$366,'Estimator'!$B$4,'Climate Data'!$B$7:$B$366,C837)</x:f>
        <x:v>9.066171003717471</x:v>
      </x:c>
      <x:c r="J837" s="381" t="n">
        <x:f>SUMIFS('Wind Proxy'!$H$8:$H$19,'Wind Proxy'!$A$8:$A$19,'Estimator'!$B$4,'Wind Proxy'!$B$8:$B$19,C837)</x:f>
        <x:v>0.11728395061728397</x:v>
      </x:c>
    </x:row>
    <x:row r="838">
      <x:c r="A838" s="379" t="n">
        <x:v>46489</x:v>
      </x:c>
      <x:c r="B838" s="380" t="n">
        <x:v>2027</x:v>
      </x:c>
      <x:c r="C838" s="380" t="n">
        <x:v>4</x:v>
      </x:c>
      <x:c r="D838" s="380" t="str">
        <x:v>Apr</x:v>
      </x:c>
      <x:c r="E838" s="380" t="n">
        <x:v>12</x:v>
      </x:c>
      <x:c r="F838" s="380" t="n">
        <x:v>1</x:v>
      </x:c>
      <x:c r="G838" s="380" t="n">
        <x:f>--(F838&lt;='Estimator'!$B$7)</x:f>
        <x:v>1</x:v>
      </x:c>
      <x:c r="H838" s="381" t="n">
        <x:f>SUMIFS('Climate Data'!$G$7:$G$366,'Climate Data'!$A$7:$A$366,'Estimator'!$B$4,'Climate Data'!$B$7:$B$366,C838)</x:f>
        <x:v>0.32023809523809527</x:v>
      </x:c>
      <x:c r="I838" s="382" t="n">
        <x:f>SUMIFS('Climate Data'!$H$7:$H$366,'Climate Data'!$A$7:$A$366,'Estimator'!$B$4,'Climate Data'!$B$7:$B$366,C838)</x:f>
        <x:v>9.066171003717471</x:v>
      </x:c>
      <x:c r="J838" s="381" t="n">
        <x:f>SUMIFS('Wind Proxy'!$H$8:$H$19,'Wind Proxy'!$A$8:$A$19,'Estimator'!$B$4,'Wind Proxy'!$B$8:$B$19,C838)</x:f>
        <x:v>0.11728395061728397</x:v>
      </x:c>
    </x:row>
    <x:row r="839">
      <x:c r="A839" s="379" t="n">
        <x:v>46490</x:v>
      </x:c>
      <x:c r="B839" s="380" t="n">
        <x:v>2027</x:v>
      </x:c>
      <x:c r="C839" s="380" t="n">
        <x:v>4</x:v>
      </x:c>
      <x:c r="D839" s="380" t="str">
        <x:v>Apr</x:v>
      </x:c>
      <x:c r="E839" s="380" t="n">
        <x:v>13</x:v>
      </x:c>
      <x:c r="F839" s="380" t="n">
        <x:v>2</x:v>
      </x:c>
      <x:c r="G839" s="380" t="n">
        <x:f>--(F839&lt;='Estimator'!$B$7)</x:f>
        <x:v>1</x:v>
      </x:c>
      <x:c r="H839" s="381" t="n">
        <x:f>SUMIFS('Climate Data'!$G$7:$G$366,'Climate Data'!$A$7:$A$366,'Estimator'!$B$4,'Climate Data'!$B$7:$B$366,C839)</x:f>
        <x:v>0.32023809523809527</x:v>
      </x:c>
      <x:c r="I839" s="382" t="n">
        <x:f>SUMIFS('Climate Data'!$H$7:$H$366,'Climate Data'!$A$7:$A$366,'Estimator'!$B$4,'Climate Data'!$B$7:$B$366,C839)</x:f>
        <x:v>9.066171003717471</x:v>
      </x:c>
      <x:c r="J839" s="381" t="n">
        <x:f>SUMIFS('Wind Proxy'!$H$8:$H$19,'Wind Proxy'!$A$8:$A$19,'Estimator'!$B$4,'Wind Proxy'!$B$8:$B$19,C839)</x:f>
        <x:v>0.11728395061728397</x:v>
      </x:c>
    </x:row>
    <x:row r="840">
      <x:c r="A840" s="379" t="n">
        <x:v>46491</x:v>
      </x:c>
      <x:c r="B840" s="380" t="n">
        <x:v>2027</x:v>
      </x:c>
      <x:c r="C840" s="380" t="n">
        <x:v>4</x:v>
      </x:c>
      <x:c r="D840" s="380" t="str">
        <x:v>Apr</x:v>
      </x:c>
      <x:c r="E840" s="380" t="n">
        <x:v>14</x:v>
      </x:c>
      <x:c r="F840" s="380" t="n">
        <x:v>3</x:v>
      </x:c>
      <x:c r="G840" s="380" t="n">
        <x:f>--(F840&lt;='Estimator'!$B$7)</x:f>
        <x:v>1</x:v>
      </x:c>
      <x:c r="H840" s="381" t="n">
        <x:f>SUMIFS('Climate Data'!$G$7:$G$366,'Climate Data'!$A$7:$A$366,'Estimator'!$B$4,'Climate Data'!$B$7:$B$366,C840)</x:f>
        <x:v>0.32023809523809527</x:v>
      </x:c>
      <x:c r="I840" s="382" t="n">
        <x:f>SUMIFS('Climate Data'!$H$7:$H$366,'Climate Data'!$A$7:$A$366,'Estimator'!$B$4,'Climate Data'!$B$7:$B$366,C840)</x:f>
        <x:v>9.066171003717471</x:v>
      </x:c>
      <x:c r="J840" s="381" t="n">
        <x:f>SUMIFS('Wind Proxy'!$H$8:$H$19,'Wind Proxy'!$A$8:$A$19,'Estimator'!$B$4,'Wind Proxy'!$B$8:$B$19,C840)</x:f>
        <x:v>0.11728395061728397</x:v>
      </x:c>
    </x:row>
    <x:row r="841">
      <x:c r="A841" s="379" t="n">
        <x:v>46492</x:v>
      </x:c>
      <x:c r="B841" s="380" t="n">
        <x:v>2027</x:v>
      </x:c>
      <x:c r="C841" s="380" t="n">
        <x:v>4</x:v>
      </x:c>
      <x:c r="D841" s="380" t="str">
        <x:v>Apr</x:v>
      </x:c>
      <x:c r="E841" s="380" t="n">
        <x:v>15</x:v>
      </x:c>
      <x:c r="F841" s="380" t="n">
        <x:v>4</x:v>
      </x:c>
      <x:c r="G841" s="380" t="n">
        <x:f>--(F841&lt;='Estimator'!$B$7)</x:f>
        <x:v>1</x:v>
      </x:c>
      <x:c r="H841" s="381" t="n">
        <x:f>SUMIFS('Climate Data'!$G$7:$G$366,'Climate Data'!$A$7:$A$366,'Estimator'!$B$4,'Climate Data'!$B$7:$B$366,C841)</x:f>
        <x:v>0.32023809523809527</x:v>
      </x:c>
      <x:c r="I841" s="382" t="n">
        <x:f>SUMIFS('Climate Data'!$H$7:$H$366,'Climate Data'!$A$7:$A$366,'Estimator'!$B$4,'Climate Data'!$B$7:$B$366,C841)</x:f>
        <x:v>9.066171003717471</x:v>
      </x:c>
      <x:c r="J841" s="381" t="n">
        <x:f>SUMIFS('Wind Proxy'!$H$8:$H$19,'Wind Proxy'!$A$8:$A$19,'Estimator'!$B$4,'Wind Proxy'!$B$8:$B$19,C841)</x:f>
        <x:v>0.11728395061728397</x:v>
      </x:c>
    </x:row>
    <x:row r="842">
      <x:c r="A842" s="379" t="n">
        <x:v>46493</x:v>
      </x:c>
      <x:c r="B842" s="380" t="n">
        <x:v>2027</x:v>
      </x:c>
      <x:c r="C842" s="380" t="n">
        <x:v>4</x:v>
      </x:c>
      <x:c r="D842" s="380" t="str">
        <x:v>Apr</x:v>
      </x:c>
      <x:c r="E842" s="380" t="n">
        <x:v>16</x:v>
      </x:c>
      <x:c r="F842" s="380" t="n">
        <x:v>5</x:v>
      </x:c>
      <x:c r="G842" s="380" t="n">
        <x:f>--(F842&lt;='Estimator'!$B$7)</x:f>
        <x:v>1</x:v>
      </x:c>
      <x:c r="H842" s="381" t="n">
        <x:f>SUMIFS('Climate Data'!$G$7:$G$366,'Climate Data'!$A$7:$A$366,'Estimator'!$B$4,'Climate Data'!$B$7:$B$366,C842)</x:f>
        <x:v>0.32023809523809527</x:v>
      </x:c>
      <x:c r="I842" s="382" t="n">
        <x:f>SUMIFS('Climate Data'!$H$7:$H$366,'Climate Data'!$A$7:$A$366,'Estimator'!$B$4,'Climate Data'!$B$7:$B$366,C842)</x:f>
        <x:v>9.066171003717471</x:v>
      </x:c>
      <x:c r="J842" s="381" t="n">
        <x:f>SUMIFS('Wind Proxy'!$H$8:$H$19,'Wind Proxy'!$A$8:$A$19,'Estimator'!$B$4,'Wind Proxy'!$B$8:$B$19,C842)</x:f>
        <x:v>0.11728395061728397</x:v>
      </x:c>
    </x:row>
    <x:row r="843">
      <x:c r="A843" s="379" t="n">
        <x:v>46494</x:v>
      </x:c>
      <x:c r="B843" s="380" t="n">
        <x:v>2027</x:v>
      </x:c>
      <x:c r="C843" s="380" t="n">
        <x:v>4</x:v>
      </x:c>
      <x:c r="D843" s="380" t="str">
        <x:v>Apr</x:v>
      </x:c>
      <x:c r="E843" s="380" t="n">
        <x:v>17</x:v>
      </x:c>
      <x:c r="F843" s="380" t="n">
        <x:v>6</x:v>
      </x:c>
      <x:c r="G843" s="380" t="n">
        <x:f>--(F843&lt;='Estimator'!$B$7)</x:f>
        <x:v>0</x:v>
      </x:c>
      <x:c r="H843" s="381" t="n">
        <x:f>SUMIFS('Climate Data'!$G$7:$G$366,'Climate Data'!$A$7:$A$366,'Estimator'!$B$4,'Climate Data'!$B$7:$B$366,C843)</x:f>
        <x:v>0.32023809523809527</x:v>
      </x:c>
      <x:c r="I843" s="382" t="n">
        <x:f>SUMIFS('Climate Data'!$H$7:$H$366,'Climate Data'!$A$7:$A$366,'Estimator'!$B$4,'Climate Data'!$B$7:$B$366,C843)</x:f>
        <x:v>9.066171003717471</x:v>
      </x:c>
      <x:c r="J843" s="381" t="n">
        <x:f>SUMIFS('Wind Proxy'!$H$8:$H$19,'Wind Proxy'!$A$8:$A$19,'Estimator'!$B$4,'Wind Proxy'!$B$8:$B$19,C843)</x:f>
        <x:v>0.11728395061728397</x:v>
      </x:c>
    </x:row>
    <x:row r="844">
      <x:c r="A844" s="379" t="n">
        <x:v>46495</x:v>
      </x:c>
      <x:c r="B844" s="380" t="n">
        <x:v>2027</x:v>
      </x:c>
      <x:c r="C844" s="380" t="n">
        <x:v>4</x:v>
      </x:c>
      <x:c r="D844" s="380" t="str">
        <x:v>Apr</x:v>
      </x:c>
      <x:c r="E844" s="380" t="n">
        <x:v>18</x:v>
      </x:c>
      <x:c r="F844" s="380" t="n">
        <x:v>7</x:v>
      </x:c>
      <x:c r="G844" s="380" t="n">
        <x:f>--(F844&lt;='Estimator'!$B$7)</x:f>
        <x:v>0</x:v>
      </x:c>
      <x:c r="H844" s="381" t="n">
        <x:f>SUMIFS('Climate Data'!$G$7:$G$366,'Climate Data'!$A$7:$A$366,'Estimator'!$B$4,'Climate Data'!$B$7:$B$366,C844)</x:f>
        <x:v>0.32023809523809527</x:v>
      </x:c>
      <x:c r="I844" s="382" t="n">
        <x:f>SUMIFS('Climate Data'!$H$7:$H$366,'Climate Data'!$A$7:$A$366,'Estimator'!$B$4,'Climate Data'!$B$7:$B$366,C844)</x:f>
        <x:v>9.066171003717471</x:v>
      </x:c>
      <x:c r="J844" s="381" t="n">
        <x:f>SUMIFS('Wind Proxy'!$H$8:$H$19,'Wind Proxy'!$A$8:$A$19,'Estimator'!$B$4,'Wind Proxy'!$B$8:$B$19,C844)</x:f>
        <x:v>0.11728395061728397</x:v>
      </x:c>
    </x:row>
    <x:row r="845">
      <x:c r="A845" s="379" t="n">
        <x:v>46496</x:v>
      </x:c>
      <x:c r="B845" s="380" t="n">
        <x:v>2027</x:v>
      </x:c>
      <x:c r="C845" s="380" t="n">
        <x:v>4</x:v>
      </x:c>
      <x:c r="D845" s="380" t="str">
        <x:v>Apr</x:v>
      </x:c>
      <x:c r="E845" s="380" t="n">
        <x:v>19</x:v>
      </x:c>
      <x:c r="F845" s="380" t="n">
        <x:v>1</x:v>
      </x:c>
      <x:c r="G845" s="380" t="n">
        <x:f>--(F845&lt;='Estimator'!$B$7)</x:f>
        <x:v>1</x:v>
      </x:c>
      <x:c r="H845" s="381" t="n">
        <x:f>SUMIFS('Climate Data'!$G$7:$G$366,'Climate Data'!$A$7:$A$366,'Estimator'!$B$4,'Climate Data'!$B$7:$B$366,C845)</x:f>
        <x:v>0.32023809523809527</x:v>
      </x:c>
      <x:c r="I845" s="382" t="n">
        <x:f>SUMIFS('Climate Data'!$H$7:$H$366,'Climate Data'!$A$7:$A$366,'Estimator'!$B$4,'Climate Data'!$B$7:$B$366,C845)</x:f>
        <x:v>9.066171003717471</x:v>
      </x:c>
      <x:c r="J845" s="381" t="n">
        <x:f>SUMIFS('Wind Proxy'!$H$8:$H$19,'Wind Proxy'!$A$8:$A$19,'Estimator'!$B$4,'Wind Proxy'!$B$8:$B$19,C845)</x:f>
        <x:v>0.11728395061728397</x:v>
      </x:c>
    </x:row>
    <x:row r="846">
      <x:c r="A846" s="379" t="n">
        <x:v>46497</x:v>
      </x:c>
      <x:c r="B846" s="380" t="n">
        <x:v>2027</x:v>
      </x:c>
      <x:c r="C846" s="380" t="n">
        <x:v>4</x:v>
      </x:c>
      <x:c r="D846" s="380" t="str">
        <x:v>Apr</x:v>
      </x:c>
      <x:c r="E846" s="380" t="n">
        <x:v>20</x:v>
      </x:c>
      <x:c r="F846" s="380" t="n">
        <x:v>2</x:v>
      </x:c>
      <x:c r="G846" s="380" t="n">
        <x:f>--(F846&lt;='Estimator'!$B$7)</x:f>
        <x:v>1</x:v>
      </x:c>
      <x:c r="H846" s="381" t="n">
        <x:f>SUMIFS('Climate Data'!$G$7:$G$366,'Climate Data'!$A$7:$A$366,'Estimator'!$B$4,'Climate Data'!$B$7:$B$366,C846)</x:f>
        <x:v>0.32023809523809527</x:v>
      </x:c>
      <x:c r="I846" s="382" t="n">
        <x:f>SUMIFS('Climate Data'!$H$7:$H$366,'Climate Data'!$A$7:$A$366,'Estimator'!$B$4,'Climate Data'!$B$7:$B$366,C846)</x:f>
        <x:v>9.066171003717471</x:v>
      </x:c>
      <x:c r="J846" s="381" t="n">
        <x:f>SUMIFS('Wind Proxy'!$H$8:$H$19,'Wind Proxy'!$A$8:$A$19,'Estimator'!$B$4,'Wind Proxy'!$B$8:$B$19,C846)</x:f>
        <x:v>0.11728395061728397</x:v>
      </x:c>
    </x:row>
    <x:row r="847">
      <x:c r="A847" s="379" t="n">
        <x:v>46498</x:v>
      </x:c>
      <x:c r="B847" s="380" t="n">
        <x:v>2027</x:v>
      </x:c>
      <x:c r="C847" s="380" t="n">
        <x:v>4</x:v>
      </x:c>
      <x:c r="D847" s="380" t="str">
        <x:v>Apr</x:v>
      </x:c>
      <x:c r="E847" s="380" t="n">
        <x:v>21</x:v>
      </x:c>
      <x:c r="F847" s="380" t="n">
        <x:v>3</x:v>
      </x:c>
      <x:c r="G847" s="380" t="n">
        <x:f>--(F847&lt;='Estimator'!$B$7)</x:f>
        <x:v>1</x:v>
      </x:c>
      <x:c r="H847" s="381" t="n">
        <x:f>SUMIFS('Climate Data'!$G$7:$G$366,'Climate Data'!$A$7:$A$366,'Estimator'!$B$4,'Climate Data'!$B$7:$B$366,C847)</x:f>
        <x:v>0.32023809523809527</x:v>
      </x:c>
      <x:c r="I847" s="382" t="n">
        <x:f>SUMIFS('Climate Data'!$H$7:$H$366,'Climate Data'!$A$7:$A$366,'Estimator'!$B$4,'Climate Data'!$B$7:$B$366,C847)</x:f>
        <x:v>9.066171003717471</x:v>
      </x:c>
      <x:c r="J847" s="381" t="n">
        <x:f>SUMIFS('Wind Proxy'!$H$8:$H$19,'Wind Proxy'!$A$8:$A$19,'Estimator'!$B$4,'Wind Proxy'!$B$8:$B$19,C847)</x:f>
        <x:v>0.11728395061728397</x:v>
      </x:c>
    </x:row>
    <x:row r="848">
      <x:c r="A848" s="379" t="n">
        <x:v>46499</x:v>
      </x:c>
      <x:c r="B848" s="380" t="n">
        <x:v>2027</x:v>
      </x:c>
      <x:c r="C848" s="380" t="n">
        <x:v>4</x:v>
      </x:c>
      <x:c r="D848" s="380" t="str">
        <x:v>Apr</x:v>
      </x:c>
      <x:c r="E848" s="380" t="n">
        <x:v>22</x:v>
      </x:c>
      <x:c r="F848" s="380" t="n">
        <x:v>4</x:v>
      </x:c>
      <x:c r="G848" s="380" t="n">
        <x:f>--(F848&lt;='Estimator'!$B$7)</x:f>
        <x:v>1</x:v>
      </x:c>
      <x:c r="H848" s="381" t="n">
        <x:f>SUMIFS('Climate Data'!$G$7:$G$366,'Climate Data'!$A$7:$A$366,'Estimator'!$B$4,'Climate Data'!$B$7:$B$366,C848)</x:f>
        <x:v>0.32023809523809527</x:v>
      </x:c>
      <x:c r="I848" s="382" t="n">
        <x:f>SUMIFS('Climate Data'!$H$7:$H$366,'Climate Data'!$A$7:$A$366,'Estimator'!$B$4,'Climate Data'!$B$7:$B$366,C848)</x:f>
        <x:v>9.066171003717471</x:v>
      </x:c>
      <x:c r="J848" s="381" t="n">
        <x:f>SUMIFS('Wind Proxy'!$H$8:$H$19,'Wind Proxy'!$A$8:$A$19,'Estimator'!$B$4,'Wind Proxy'!$B$8:$B$19,C848)</x:f>
        <x:v>0.11728395061728397</x:v>
      </x:c>
    </x:row>
    <x:row r="849">
      <x:c r="A849" s="379" t="n">
        <x:v>46500</x:v>
      </x:c>
      <x:c r="B849" s="380" t="n">
        <x:v>2027</x:v>
      </x:c>
      <x:c r="C849" s="380" t="n">
        <x:v>4</x:v>
      </x:c>
      <x:c r="D849" s="380" t="str">
        <x:v>Apr</x:v>
      </x:c>
      <x:c r="E849" s="380" t="n">
        <x:v>23</x:v>
      </x:c>
      <x:c r="F849" s="380" t="n">
        <x:v>5</x:v>
      </x:c>
      <x:c r="G849" s="380" t="n">
        <x:f>--(F849&lt;='Estimator'!$B$7)</x:f>
        <x:v>1</x:v>
      </x:c>
      <x:c r="H849" s="381" t="n">
        <x:f>SUMIFS('Climate Data'!$G$7:$G$366,'Climate Data'!$A$7:$A$366,'Estimator'!$B$4,'Climate Data'!$B$7:$B$366,C849)</x:f>
        <x:v>0.32023809523809527</x:v>
      </x:c>
      <x:c r="I849" s="382" t="n">
        <x:f>SUMIFS('Climate Data'!$H$7:$H$366,'Climate Data'!$A$7:$A$366,'Estimator'!$B$4,'Climate Data'!$B$7:$B$366,C849)</x:f>
        <x:v>9.066171003717471</x:v>
      </x:c>
      <x:c r="J849" s="381" t="n">
        <x:f>SUMIFS('Wind Proxy'!$H$8:$H$19,'Wind Proxy'!$A$8:$A$19,'Estimator'!$B$4,'Wind Proxy'!$B$8:$B$19,C849)</x:f>
        <x:v>0.11728395061728397</x:v>
      </x:c>
    </x:row>
    <x:row r="850">
      <x:c r="A850" s="379" t="n">
        <x:v>46501</x:v>
      </x:c>
      <x:c r="B850" s="380" t="n">
        <x:v>2027</x:v>
      </x:c>
      <x:c r="C850" s="380" t="n">
        <x:v>4</x:v>
      </x:c>
      <x:c r="D850" s="380" t="str">
        <x:v>Apr</x:v>
      </x:c>
      <x:c r="E850" s="380" t="n">
        <x:v>24</x:v>
      </x:c>
      <x:c r="F850" s="380" t="n">
        <x:v>6</x:v>
      </x:c>
      <x:c r="G850" s="380" t="n">
        <x:f>--(F850&lt;='Estimator'!$B$7)</x:f>
        <x:v>0</x:v>
      </x:c>
      <x:c r="H850" s="381" t="n">
        <x:f>SUMIFS('Climate Data'!$G$7:$G$366,'Climate Data'!$A$7:$A$366,'Estimator'!$B$4,'Climate Data'!$B$7:$B$366,C850)</x:f>
        <x:v>0.32023809523809527</x:v>
      </x:c>
      <x:c r="I850" s="382" t="n">
        <x:f>SUMIFS('Climate Data'!$H$7:$H$366,'Climate Data'!$A$7:$A$366,'Estimator'!$B$4,'Climate Data'!$B$7:$B$366,C850)</x:f>
        <x:v>9.066171003717471</x:v>
      </x:c>
      <x:c r="J850" s="381" t="n">
        <x:f>SUMIFS('Wind Proxy'!$H$8:$H$19,'Wind Proxy'!$A$8:$A$19,'Estimator'!$B$4,'Wind Proxy'!$B$8:$B$19,C850)</x:f>
        <x:v>0.11728395061728397</x:v>
      </x:c>
    </x:row>
    <x:row r="851">
      <x:c r="A851" s="379" t="n">
        <x:v>46502</x:v>
      </x:c>
      <x:c r="B851" s="380" t="n">
        <x:v>2027</x:v>
      </x:c>
      <x:c r="C851" s="380" t="n">
        <x:v>4</x:v>
      </x:c>
      <x:c r="D851" s="380" t="str">
        <x:v>Apr</x:v>
      </x:c>
      <x:c r="E851" s="380" t="n">
        <x:v>25</x:v>
      </x:c>
      <x:c r="F851" s="380" t="n">
        <x:v>7</x:v>
      </x:c>
      <x:c r="G851" s="380" t="n">
        <x:f>--(F851&lt;='Estimator'!$B$7)</x:f>
        <x:v>0</x:v>
      </x:c>
      <x:c r="H851" s="381" t="n">
        <x:f>SUMIFS('Climate Data'!$G$7:$G$366,'Climate Data'!$A$7:$A$366,'Estimator'!$B$4,'Climate Data'!$B$7:$B$366,C851)</x:f>
        <x:v>0.32023809523809527</x:v>
      </x:c>
      <x:c r="I851" s="382" t="n">
        <x:f>SUMIFS('Climate Data'!$H$7:$H$366,'Climate Data'!$A$7:$A$366,'Estimator'!$B$4,'Climate Data'!$B$7:$B$366,C851)</x:f>
        <x:v>9.066171003717471</x:v>
      </x:c>
      <x:c r="J851" s="381" t="n">
        <x:f>SUMIFS('Wind Proxy'!$H$8:$H$19,'Wind Proxy'!$A$8:$A$19,'Estimator'!$B$4,'Wind Proxy'!$B$8:$B$19,C851)</x:f>
        <x:v>0.11728395061728397</x:v>
      </x:c>
    </x:row>
    <x:row r="852">
      <x:c r="A852" s="379" t="n">
        <x:v>46503</x:v>
      </x:c>
      <x:c r="B852" s="380" t="n">
        <x:v>2027</x:v>
      </x:c>
      <x:c r="C852" s="380" t="n">
        <x:v>4</x:v>
      </x:c>
      <x:c r="D852" s="380" t="str">
        <x:v>Apr</x:v>
      </x:c>
      <x:c r="E852" s="380" t="n">
        <x:v>26</x:v>
      </x:c>
      <x:c r="F852" s="380" t="n">
        <x:v>1</x:v>
      </x:c>
      <x:c r="G852" s="380" t="n">
        <x:f>--(F852&lt;='Estimator'!$B$7)</x:f>
        <x:v>1</x:v>
      </x:c>
      <x:c r="H852" s="381" t="n">
        <x:f>SUMIFS('Climate Data'!$G$7:$G$366,'Climate Data'!$A$7:$A$366,'Estimator'!$B$4,'Climate Data'!$B$7:$B$366,C852)</x:f>
        <x:v>0.32023809523809527</x:v>
      </x:c>
      <x:c r="I852" s="382" t="n">
        <x:f>SUMIFS('Climate Data'!$H$7:$H$366,'Climate Data'!$A$7:$A$366,'Estimator'!$B$4,'Climate Data'!$B$7:$B$366,C852)</x:f>
        <x:v>9.066171003717471</x:v>
      </x:c>
      <x:c r="J852" s="381" t="n">
        <x:f>SUMIFS('Wind Proxy'!$H$8:$H$19,'Wind Proxy'!$A$8:$A$19,'Estimator'!$B$4,'Wind Proxy'!$B$8:$B$19,C852)</x:f>
        <x:v>0.11728395061728397</x:v>
      </x:c>
    </x:row>
    <x:row r="853">
      <x:c r="A853" s="379" t="n">
        <x:v>46504</x:v>
      </x:c>
      <x:c r="B853" s="380" t="n">
        <x:v>2027</x:v>
      </x:c>
      <x:c r="C853" s="380" t="n">
        <x:v>4</x:v>
      </x:c>
      <x:c r="D853" s="380" t="str">
        <x:v>Apr</x:v>
      </x:c>
      <x:c r="E853" s="380" t="n">
        <x:v>27</x:v>
      </x:c>
      <x:c r="F853" s="380" t="n">
        <x:v>2</x:v>
      </x:c>
      <x:c r="G853" s="380" t="n">
        <x:f>--(F853&lt;='Estimator'!$B$7)</x:f>
        <x:v>1</x:v>
      </x:c>
      <x:c r="H853" s="381" t="n">
        <x:f>SUMIFS('Climate Data'!$G$7:$G$366,'Climate Data'!$A$7:$A$366,'Estimator'!$B$4,'Climate Data'!$B$7:$B$366,C853)</x:f>
        <x:v>0.32023809523809527</x:v>
      </x:c>
      <x:c r="I853" s="382" t="n">
        <x:f>SUMIFS('Climate Data'!$H$7:$H$366,'Climate Data'!$A$7:$A$366,'Estimator'!$B$4,'Climate Data'!$B$7:$B$366,C853)</x:f>
        <x:v>9.066171003717471</x:v>
      </x:c>
      <x:c r="J853" s="381" t="n">
        <x:f>SUMIFS('Wind Proxy'!$H$8:$H$19,'Wind Proxy'!$A$8:$A$19,'Estimator'!$B$4,'Wind Proxy'!$B$8:$B$19,C853)</x:f>
        <x:v>0.11728395061728397</x:v>
      </x:c>
    </x:row>
    <x:row r="854">
      <x:c r="A854" s="379" t="n">
        <x:v>46505</x:v>
      </x:c>
      <x:c r="B854" s="380" t="n">
        <x:v>2027</x:v>
      </x:c>
      <x:c r="C854" s="380" t="n">
        <x:v>4</x:v>
      </x:c>
      <x:c r="D854" s="380" t="str">
        <x:v>Apr</x:v>
      </x:c>
      <x:c r="E854" s="380" t="n">
        <x:v>28</x:v>
      </x:c>
      <x:c r="F854" s="380" t="n">
        <x:v>3</x:v>
      </x:c>
      <x:c r="G854" s="380" t="n">
        <x:f>--(F854&lt;='Estimator'!$B$7)</x:f>
        <x:v>1</x:v>
      </x:c>
      <x:c r="H854" s="381" t="n">
        <x:f>SUMIFS('Climate Data'!$G$7:$G$366,'Climate Data'!$A$7:$A$366,'Estimator'!$B$4,'Climate Data'!$B$7:$B$366,C854)</x:f>
        <x:v>0.32023809523809527</x:v>
      </x:c>
      <x:c r="I854" s="382" t="n">
        <x:f>SUMIFS('Climate Data'!$H$7:$H$366,'Climate Data'!$A$7:$A$366,'Estimator'!$B$4,'Climate Data'!$B$7:$B$366,C854)</x:f>
        <x:v>9.066171003717471</x:v>
      </x:c>
      <x:c r="J854" s="381" t="n">
        <x:f>SUMIFS('Wind Proxy'!$H$8:$H$19,'Wind Proxy'!$A$8:$A$19,'Estimator'!$B$4,'Wind Proxy'!$B$8:$B$19,C854)</x:f>
        <x:v>0.11728395061728397</x:v>
      </x:c>
    </x:row>
    <x:row r="855">
      <x:c r="A855" s="379" t="n">
        <x:v>46506</x:v>
      </x:c>
      <x:c r="B855" s="380" t="n">
        <x:v>2027</x:v>
      </x:c>
      <x:c r="C855" s="380" t="n">
        <x:v>4</x:v>
      </x:c>
      <x:c r="D855" s="380" t="str">
        <x:v>Apr</x:v>
      </x:c>
      <x:c r="E855" s="380" t="n">
        <x:v>29</x:v>
      </x:c>
      <x:c r="F855" s="380" t="n">
        <x:v>4</x:v>
      </x:c>
      <x:c r="G855" s="380" t="n">
        <x:f>--(F855&lt;='Estimator'!$B$7)</x:f>
        <x:v>1</x:v>
      </x:c>
      <x:c r="H855" s="381" t="n">
        <x:f>SUMIFS('Climate Data'!$G$7:$G$366,'Climate Data'!$A$7:$A$366,'Estimator'!$B$4,'Climate Data'!$B$7:$B$366,C855)</x:f>
        <x:v>0.32023809523809527</x:v>
      </x:c>
      <x:c r="I855" s="382" t="n">
        <x:f>SUMIFS('Climate Data'!$H$7:$H$366,'Climate Data'!$A$7:$A$366,'Estimator'!$B$4,'Climate Data'!$B$7:$B$366,C855)</x:f>
        <x:v>9.066171003717471</x:v>
      </x:c>
      <x:c r="J855" s="381" t="n">
        <x:f>SUMIFS('Wind Proxy'!$H$8:$H$19,'Wind Proxy'!$A$8:$A$19,'Estimator'!$B$4,'Wind Proxy'!$B$8:$B$19,C855)</x:f>
        <x:v>0.11728395061728397</x:v>
      </x:c>
    </x:row>
    <x:row r="856">
      <x:c r="A856" s="379" t="n">
        <x:v>46507</x:v>
      </x:c>
      <x:c r="B856" s="380" t="n">
        <x:v>2027</x:v>
      </x:c>
      <x:c r="C856" s="380" t="n">
        <x:v>4</x:v>
      </x:c>
      <x:c r="D856" s="380" t="str">
        <x:v>Apr</x:v>
      </x:c>
      <x:c r="E856" s="380" t="n">
        <x:v>30</x:v>
      </x:c>
      <x:c r="F856" s="380" t="n">
        <x:v>5</x:v>
      </x:c>
      <x:c r="G856" s="380" t="n">
        <x:f>--(F856&lt;='Estimator'!$B$7)</x:f>
        <x:v>1</x:v>
      </x:c>
      <x:c r="H856" s="381" t="n">
        <x:f>SUMIFS('Climate Data'!$G$7:$G$366,'Climate Data'!$A$7:$A$366,'Estimator'!$B$4,'Climate Data'!$B$7:$B$366,C856)</x:f>
        <x:v>0.32023809523809527</x:v>
      </x:c>
      <x:c r="I856" s="382" t="n">
        <x:f>SUMIFS('Climate Data'!$H$7:$H$366,'Climate Data'!$A$7:$A$366,'Estimator'!$B$4,'Climate Data'!$B$7:$B$366,C856)</x:f>
        <x:v>9.066171003717471</x:v>
      </x:c>
      <x:c r="J856" s="381" t="n">
        <x:f>SUMIFS('Wind Proxy'!$H$8:$H$19,'Wind Proxy'!$A$8:$A$19,'Estimator'!$B$4,'Wind Proxy'!$B$8:$B$19,C856)</x:f>
        <x:v>0.11728395061728397</x:v>
      </x:c>
    </x:row>
    <x:row r="857">
      <x:c r="A857" s="379" t="n">
        <x:v>46508</x:v>
      </x:c>
      <x:c r="B857" s="380" t="n">
        <x:v>2027</x:v>
      </x:c>
      <x:c r="C857" s="380" t="n">
        <x:v>5</x:v>
      </x:c>
      <x:c r="D857" s="380" t="str">
        <x:v>May</x:v>
      </x:c>
      <x:c r="E857" s="380" t="n">
        <x:v>1</x:v>
      </x:c>
      <x:c r="F857" s="380" t="n">
        <x:v>6</x:v>
      </x:c>
      <x:c r="G857" s="380" t="n">
        <x:f>--(F857&lt;='Estimator'!$B$7)</x:f>
        <x:v>0</x:v>
      </x:c>
      <x:c r="H857" s="381" t="n">
        <x:f>SUMIFS('Climate Data'!$G$7:$G$366,'Climate Data'!$A$7:$A$366,'Estimator'!$B$4,'Climate Data'!$B$7:$B$366,C857)</x:f>
        <x:v>0.41935483870967744</x:v>
      </x:c>
      <x:c r="I857" s="382" t="n">
        <x:f>SUMIFS('Climate Data'!$H$7:$H$366,'Climate Data'!$A$7:$A$366,'Estimator'!$B$4,'Climate Data'!$B$7:$B$366,C857)</x:f>
        <x:v>9.215384615384615</x:v>
      </x:c>
      <x:c r="J857" s="381" t="n">
        <x:f>SUMIFS('Wind Proxy'!$H$8:$H$19,'Wind Proxy'!$A$8:$A$19,'Estimator'!$B$4,'Wind Proxy'!$B$8:$B$19,C857)</x:f>
        <x:v>0.11350059737156513</x:v>
      </x:c>
    </x:row>
    <x:row r="858">
      <x:c r="A858" s="379" t="n">
        <x:v>46509</x:v>
      </x:c>
      <x:c r="B858" s="380" t="n">
        <x:v>2027</x:v>
      </x:c>
      <x:c r="C858" s="380" t="n">
        <x:v>5</x:v>
      </x:c>
      <x:c r="D858" s="380" t="str">
        <x:v>May</x:v>
      </x:c>
      <x:c r="E858" s="380" t="n">
        <x:v>2</x:v>
      </x:c>
      <x:c r="F858" s="380" t="n">
        <x:v>7</x:v>
      </x:c>
      <x:c r="G858" s="380" t="n">
        <x:f>--(F858&lt;='Estimator'!$B$7)</x:f>
        <x:v>0</x:v>
      </x:c>
      <x:c r="H858" s="381" t="n">
        <x:f>SUMIFS('Climate Data'!$G$7:$G$366,'Climate Data'!$A$7:$A$366,'Estimator'!$B$4,'Climate Data'!$B$7:$B$366,C858)</x:f>
        <x:v>0.41935483870967744</x:v>
      </x:c>
      <x:c r="I858" s="382" t="n">
        <x:f>SUMIFS('Climate Data'!$H$7:$H$366,'Climate Data'!$A$7:$A$366,'Estimator'!$B$4,'Climate Data'!$B$7:$B$366,C858)</x:f>
        <x:v>9.215384615384615</x:v>
      </x:c>
      <x:c r="J858" s="381" t="n">
        <x:f>SUMIFS('Wind Proxy'!$H$8:$H$19,'Wind Proxy'!$A$8:$A$19,'Estimator'!$B$4,'Wind Proxy'!$B$8:$B$19,C858)</x:f>
        <x:v>0.11350059737156513</x:v>
      </x:c>
    </x:row>
    <x:row r="859">
      <x:c r="A859" s="379" t="n">
        <x:v>46510</x:v>
      </x:c>
      <x:c r="B859" s="380" t="n">
        <x:v>2027</x:v>
      </x:c>
      <x:c r="C859" s="380" t="n">
        <x:v>5</x:v>
      </x:c>
      <x:c r="D859" s="380" t="str">
        <x:v>May</x:v>
      </x:c>
      <x:c r="E859" s="380" t="n">
        <x:v>3</x:v>
      </x:c>
      <x:c r="F859" s="380" t="n">
        <x:v>1</x:v>
      </x:c>
      <x:c r="G859" s="380" t="n">
        <x:f>--(F859&lt;='Estimator'!$B$7)</x:f>
        <x:v>1</x:v>
      </x:c>
      <x:c r="H859" s="381" t="n">
        <x:f>SUMIFS('Climate Data'!$G$7:$G$366,'Climate Data'!$A$7:$A$366,'Estimator'!$B$4,'Climate Data'!$B$7:$B$366,C859)</x:f>
        <x:v>0.41935483870967744</x:v>
      </x:c>
      <x:c r="I859" s="382" t="n">
        <x:f>SUMIFS('Climate Data'!$H$7:$H$366,'Climate Data'!$A$7:$A$366,'Estimator'!$B$4,'Climate Data'!$B$7:$B$366,C859)</x:f>
        <x:v>9.215384615384615</x:v>
      </x:c>
      <x:c r="J859" s="381" t="n">
        <x:f>SUMIFS('Wind Proxy'!$H$8:$H$19,'Wind Proxy'!$A$8:$A$19,'Estimator'!$B$4,'Wind Proxy'!$B$8:$B$19,C859)</x:f>
        <x:v>0.11350059737156513</x:v>
      </x:c>
    </x:row>
    <x:row r="860">
      <x:c r="A860" s="379" t="n">
        <x:v>46511</x:v>
      </x:c>
      <x:c r="B860" s="380" t="n">
        <x:v>2027</x:v>
      </x:c>
      <x:c r="C860" s="380" t="n">
        <x:v>5</x:v>
      </x:c>
      <x:c r="D860" s="380" t="str">
        <x:v>May</x:v>
      </x:c>
      <x:c r="E860" s="380" t="n">
        <x:v>4</x:v>
      </x:c>
      <x:c r="F860" s="380" t="n">
        <x:v>2</x:v>
      </x:c>
      <x:c r="G860" s="380" t="n">
        <x:f>--(F860&lt;='Estimator'!$B$7)</x:f>
        <x:v>1</x:v>
      </x:c>
      <x:c r="H860" s="381" t="n">
        <x:f>SUMIFS('Climate Data'!$G$7:$G$366,'Climate Data'!$A$7:$A$366,'Estimator'!$B$4,'Climate Data'!$B$7:$B$366,C860)</x:f>
        <x:v>0.41935483870967744</x:v>
      </x:c>
      <x:c r="I860" s="382" t="n">
        <x:f>SUMIFS('Climate Data'!$H$7:$H$366,'Climate Data'!$A$7:$A$366,'Estimator'!$B$4,'Climate Data'!$B$7:$B$366,C860)</x:f>
        <x:v>9.215384615384615</x:v>
      </x:c>
      <x:c r="J860" s="381" t="n">
        <x:f>SUMIFS('Wind Proxy'!$H$8:$H$19,'Wind Proxy'!$A$8:$A$19,'Estimator'!$B$4,'Wind Proxy'!$B$8:$B$19,C860)</x:f>
        <x:v>0.11350059737156513</x:v>
      </x:c>
    </x:row>
    <x:row r="861">
      <x:c r="A861" s="379" t="n">
        <x:v>46512</x:v>
      </x:c>
      <x:c r="B861" s="380" t="n">
        <x:v>2027</x:v>
      </x:c>
      <x:c r="C861" s="380" t="n">
        <x:v>5</x:v>
      </x:c>
      <x:c r="D861" s="380" t="str">
        <x:v>May</x:v>
      </x:c>
      <x:c r="E861" s="380" t="n">
        <x:v>5</x:v>
      </x:c>
      <x:c r="F861" s="380" t="n">
        <x:v>3</x:v>
      </x:c>
      <x:c r="G861" s="380" t="n">
        <x:f>--(F861&lt;='Estimator'!$B$7)</x:f>
        <x:v>1</x:v>
      </x:c>
      <x:c r="H861" s="381" t="n">
        <x:f>SUMIFS('Climate Data'!$G$7:$G$366,'Climate Data'!$A$7:$A$366,'Estimator'!$B$4,'Climate Data'!$B$7:$B$366,C861)</x:f>
        <x:v>0.41935483870967744</x:v>
      </x:c>
      <x:c r="I861" s="382" t="n">
        <x:f>SUMIFS('Climate Data'!$H$7:$H$366,'Climate Data'!$A$7:$A$366,'Estimator'!$B$4,'Climate Data'!$B$7:$B$366,C861)</x:f>
        <x:v>9.215384615384615</x:v>
      </x:c>
      <x:c r="J861" s="381" t="n">
        <x:f>SUMIFS('Wind Proxy'!$H$8:$H$19,'Wind Proxy'!$A$8:$A$19,'Estimator'!$B$4,'Wind Proxy'!$B$8:$B$19,C861)</x:f>
        <x:v>0.11350059737156513</x:v>
      </x:c>
    </x:row>
    <x:row r="862">
      <x:c r="A862" s="379" t="n">
        <x:v>46513</x:v>
      </x:c>
      <x:c r="B862" s="380" t="n">
        <x:v>2027</x:v>
      </x:c>
      <x:c r="C862" s="380" t="n">
        <x:v>5</x:v>
      </x:c>
      <x:c r="D862" s="380" t="str">
        <x:v>May</x:v>
      </x:c>
      <x:c r="E862" s="380" t="n">
        <x:v>6</x:v>
      </x:c>
      <x:c r="F862" s="380" t="n">
        <x:v>4</x:v>
      </x:c>
      <x:c r="G862" s="380" t="n">
        <x:f>--(F862&lt;='Estimator'!$B$7)</x:f>
        <x:v>1</x:v>
      </x:c>
      <x:c r="H862" s="381" t="n">
        <x:f>SUMIFS('Climate Data'!$G$7:$G$366,'Climate Data'!$A$7:$A$366,'Estimator'!$B$4,'Climate Data'!$B$7:$B$366,C862)</x:f>
        <x:v>0.41935483870967744</x:v>
      </x:c>
      <x:c r="I862" s="382" t="n">
        <x:f>SUMIFS('Climate Data'!$H$7:$H$366,'Climate Data'!$A$7:$A$366,'Estimator'!$B$4,'Climate Data'!$B$7:$B$366,C862)</x:f>
        <x:v>9.215384615384615</x:v>
      </x:c>
      <x:c r="J862" s="381" t="n">
        <x:f>SUMIFS('Wind Proxy'!$H$8:$H$19,'Wind Proxy'!$A$8:$A$19,'Estimator'!$B$4,'Wind Proxy'!$B$8:$B$19,C862)</x:f>
        <x:v>0.11350059737156513</x:v>
      </x:c>
    </x:row>
    <x:row r="863">
      <x:c r="A863" s="379" t="n">
        <x:v>46514</x:v>
      </x:c>
      <x:c r="B863" s="380" t="n">
        <x:v>2027</x:v>
      </x:c>
      <x:c r="C863" s="380" t="n">
        <x:v>5</x:v>
      </x:c>
      <x:c r="D863" s="380" t="str">
        <x:v>May</x:v>
      </x:c>
      <x:c r="E863" s="380" t="n">
        <x:v>7</x:v>
      </x:c>
      <x:c r="F863" s="380" t="n">
        <x:v>5</x:v>
      </x:c>
      <x:c r="G863" s="380" t="n">
        <x:f>--(F863&lt;='Estimator'!$B$7)</x:f>
        <x:v>1</x:v>
      </x:c>
      <x:c r="H863" s="381" t="n">
        <x:f>SUMIFS('Climate Data'!$G$7:$G$366,'Climate Data'!$A$7:$A$366,'Estimator'!$B$4,'Climate Data'!$B$7:$B$366,C863)</x:f>
        <x:v>0.41935483870967744</x:v>
      </x:c>
      <x:c r="I863" s="382" t="n">
        <x:f>SUMIFS('Climate Data'!$H$7:$H$366,'Climate Data'!$A$7:$A$366,'Estimator'!$B$4,'Climate Data'!$B$7:$B$366,C863)</x:f>
        <x:v>9.215384615384615</x:v>
      </x:c>
      <x:c r="J863" s="381" t="n">
        <x:f>SUMIFS('Wind Proxy'!$H$8:$H$19,'Wind Proxy'!$A$8:$A$19,'Estimator'!$B$4,'Wind Proxy'!$B$8:$B$19,C863)</x:f>
        <x:v>0.11350059737156513</x:v>
      </x:c>
    </x:row>
    <x:row r="864">
      <x:c r="A864" s="379" t="n">
        <x:v>46515</x:v>
      </x:c>
      <x:c r="B864" s="380" t="n">
        <x:v>2027</x:v>
      </x:c>
      <x:c r="C864" s="380" t="n">
        <x:v>5</x:v>
      </x:c>
      <x:c r="D864" s="380" t="str">
        <x:v>May</x:v>
      </x:c>
      <x:c r="E864" s="380" t="n">
        <x:v>8</x:v>
      </x:c>
      <x:c r="F864" s="380" t="n">
        <x:v>6</x:v>
      </x:c>
      <x:c r="G864" s="380" t="n">
        <x:f>--(F864&lt;='Estimator'!$B$7)</x:f>
        <x:v>0</x:v>
      </x:c>
      <x:c r="H864" s="381" t="n">
        <x:f>SUMIFS('Climate Data'!$G$7:$G$366,'Climate Data'!$A$7:$A$366,'Estimator'!$B$4,'Climate Data'!$B$7:$B$366,C864)</x:f>
        <x:v>0.41935483870967744</x:v>
      </x:c>
      <x:c r="I864" s="382" t="n">
        <x:f>SUMIFS('Climate Data'!$H$7:$H$366,'Climate Data'!$A$7:$A$366,'Estimator'!$B$4,'Climate Data'!$B$7:$B$366,C864)</x:f>
        <x:v>9.215384615384615</x:v>
      </x:c>
      <x:c r="J864" s="381" t="n">
        <x:f>SUMIFS('Wind Proxy'!$H$8:$H$19,'Wind Proxy'!$A$8:$A$19,'Estimator'!$B$4,'Wind Proxy'!$B$8:$B$19,C864)</x:f>
        <x:v>0.11350059737156513</x:v>
      </x:c>
    </x:row>
    <x:row r="865">
      <x:c r="A865" s="379" t="n">
        <x:v>46516</x:v>
      </x:c>
      <x:c r="B865" s="380" t="n">
        <x:v>2027</x:v>
      </x:c>
      <x:c r="C865" s="380" t="n">
        <x:v>5</x:v>
      </x:c>
      <x:c r="D865" s="380" t="str">
        <x:v>May</x:v>
      </x:c>
      <x:c r="E865" s="380" t="n">
        <x:v>9</x:v>
      </x:c>
      <x:c r="F865" s="380" t="n">
        <x:v>7</x:v>
      </x:c>
      <x:c r="G865" s="380" t="n">
        <x:f>--(F865&lt;='Estimator'!$B$7)</x:f>
        <x:v>0</x:v>
      </x:c>
      <x:c r="H865" s="381" t="n">
        <x:f>SUMIFS('Climate Data'!$G$7:$G$366,'Climate Data'!$A$7:$A$366,'Estimator'!$B$4,'Climate Data'!$B$7:$B$366,C865)</x:f>
        <x:v>0.41935483870967744</x:v>
      </x:c>
      <x:c r="I865" s="382" t="n">
        <x:f>SUMIFS('Climate Data'!$H$7:$H$366,'Climate Data'!$A$7:$A$366,'Estimator'!$B$4,'Climate Data'!$B$7:$B$366,C865)</x:f>
        <x:v>9.215384615384615</x:v>
      </x:c>
      <x:c r="J865" s="381" t="n">
        <x:f>SUMIFS('Wind Proxy'!$H$8:$H$19,'Wind Proxy'!$A$8:$A$19,'Estimator'!$B$4,'Wind Proxy'!$B$8:$B$19,C865)</x:f>
        <x:v>0.11350059737156513</x:v>
      </x:c>
    </x:row>
    <x:row r="866">
      <x:c r="A866" s="379" t="n">
        <x:v>46517</x:v>
      </x:c>
      <x:c r="B866" s="380" t="n">
        <x:v>2027</x:v>
      </x:c>
      <x:c r="C866" s="380" t="n">
        <x:v>5</x:v>
      </x:c>
      <x:c r="D866" s="380" t="str">
        <x:v>May</x:v>
      </x:c>
      <x:c r="E866" s="380" t="n">
        <x:v>10</x:v>
      </x:c>
      <x:c r="F866" s="380" t="n">
        <x:v>1</x:v>
      </x:c>
      <x:c r="G866" s="380" t="n">
        <x:f>--(F866&lt;='Estimator'!$B$7)</x:f>
        <x:v>1</x:v>
      </x:c>
      <x:c r="H866" s="381" t="n">
        <x:f>SUMIFS('Climate Data'!$G$7:$G$366,'Climate Data'!$A$7:$A$366,'Estimator'!$B$4,'Climate Data'!$B$7:$B$366,C866)</x:f>
        <x:v>0.41935483870967744</x:v>
      </x:c>
      <x:c r="I866" s="382" t="n">
        <x:f>SUMIFS('Climate Data'!$H$7:$H$366,'Climate Data'!$A$7:$A$366,'Estimator'!$B$4,'Climate Data'!$B$7:$B$366,C866)</x:f>
        <x:v>9.215384615384615</x:v>
      </x:c>
      <x:c r="J866" s="381" t="n">
        <x:f>SUMIFS('Wind Proxy'!$H$8:$H$19,'Wind Proxy'!$A$8:$A$19,'Estimator'!$B$4,'Wind Proxy'!$B$8:$B$19,C866)</x:f>
        <x:v>0.11350059737156513</x:v>
      </x:c>
    </x:row>
    <x:row r="867">
      <x:c r="A867" s="379" t="n">
        <x:v>46518</x:v>
      </x:c>
      <x:c r="B867" s="380" t="n">
        <x:v>2027</x:v>
      </x:c>
      <x:c r="C867" s="380" t="n">
        <x:v>5</x:v>
      </x:c>
      <x:c r="D867" s="380" t="str">
        <x:v>May</x:v>
      </x:c>
      <x:c r="E867" s="380" t="n">
        <x:v>11</x:v>
      </x:c>
      <x:c r="F867" s="380" t="n">
        <x:v>2</x:v>
      </x:c>
      <x:c r="G867" s="380" t="n">
        <x:f>--(F867&lt;='Estimator'!$B$7)</x:f>
        <x:v>1</x:v>
      </x:c>
      <x:c r="H867" s="381" t="n">
        <x:f>SUMIFS('Climate Data'!$G$7:$G$366,'Climate Data'!$A$7:$A$366,'Estimator'!$B$4,'Climate Data'!$B$7:$B$366,C867)</x:f>
        <x:v>0.41935483870967744</x:v>
      </x:c>
      <x:c r="I867" s="382" t="n">
        <x:f>SUMIFS('Climate Data'!$H$7:$H$366,'Climate Data'!$A$7:$A$366,'Estimator'!$B$4,'Climate Data'!$B$7:$B$366,C867)</x:f>
        <x:v>9.215384615384615</x:v>
      </x:c>
      <x:c r="J867" s="381" t="n">
        <x:f>SUMIFS('Wind Proxy'!$H$8:$H$19,'Wind Proxy'!$A$8:$A$19,'Estimator'!$B$4,'Wind Proxy'!$B$8:$B$19,C867)</x:f>
        <x:v>0.11350059737156513</x:v>
      </x:c>
    </x:row>
    <x:row r="868">
      <x:c r="A868" s="379" t="n">
        <x:v>46519</x:v>
      </x:c>
      <x:c r="B868" s="380" t="n">
        <x:v>2027</x:v>
      </x:c>
      <x:c r="C868" s="380" t="n">
        <x:v>5</x:v>
      </x:c>
      <x:c r="D868" s="380" t="str">
        <x:v>May</x:v>
      </x:c>
      <x:c r="E868" s="380" t="n">
        <x:v>12</x:v>
      </x:c>
      <x:c r="F868" s="380" t="n">
        <x:v>3</x:v>
      </x:c>
      <x:c r="G868" s="380" t="n">
        <x:f>--(F868&lt;='Estimator'!$B$7)</x:f>
        <x:v>1</x:v>
      </x:c>
      <x:c r="H868" s="381" t="n">
        <x:f>SUMIFS('Climate Data'!$G$7:$G$366,'Climate Data'!$A$7:$A$366,'Estimator'!$B$4,'Climate Data'!$B$7:$B$366,C868)</x:f>
        <x:v>0.41935483870967744</x:v>
      </x:c>
      <x:c r="I868" s="382" t="n">
        <x:f>SUMIFS('Climate Data'!$H$7:$H$366,'Climate Data'!$A$7:$A$366,'Estimator'!$B$4,'Climate Data'!$B$7:$B$366,C868)</x:f>
        <x:v>9.215384615384615</x:v>
      </x:c>
      <x:c r="J868" s="381" t="n">
        <x:f>SUMIFS('Wind Proxy'!$H$8:$H$19,'Wind Proxy'!$A$8:$A$19,'Estimator'!$B$4,'Wind Proxy'!$B$8:$B$19,C868)</x:f>
        <x:v>0.11350059737156513</x:v>
      </x:c>
    </x:row>
    <x:row r="869">
      <x:c r="A869" s="379" t="n">
        <x:v>46520</x:v>
      </x:c>
      <x:c r="B869" s="380" t="n">
        <x:v>2027</x:v>
      </x:c>
      <x:c r="C869" s="380" t="n">
        <x:v>5</x:v>
      </x:c>
      <x:c r="D869" s="380" t="str">
        <x:v>May</x:v>
      </x:c>
      <x:c r="E869" s="380" t="n">
        <x:v>13</x:v>
      </x:c>
      <x:c r="F869" s="380" t="n">
        <x:v>4</x:v>
      </x:c>
      <x:c r="G869" s="380" t="n">
        <x:f>--(F869&lt;='Estimator'!$B$7)</x:f>
        <x:v>1</x:v>
      </x:c>
      <x:c r="H869" s="381" t="n">
        <x:f>SUMIFS('Climate Data'!$G$7:$G$366,'Climate Data'!$A$7:$A$366,'Estimator'!$B$4,'Climate Data'!$B$7:$B$366,C869)</x:f>
        <x:v>0.41935483870967744</x:v>
      </x:c>
      <x:c r="I869" s="382" t="n">
        <x:f>SUMIFS('Climate Data'!$H$7:$H$366,'Climate Data'!$A$7:$A$366,'Estimator'!$B$4,'Climate Data'!$B$7:$B$366,C869)</x:f>
        <x:v>9.215384615384615</x:v>
      </x:c>
      <x:c r="J869" s="381" t="n">
        <x:f>SUMIFS('Wind Proxy'!$H$8:$H$19,'Wind Proxy'!$A$8:$A$19,'Estimator'!$B$4,'Wind Proxy'!$B$8:$B$19,C869)</x:f>
        <x:v>0.11350059737156513</x:v>
      </x:c>
    </x:row>
    <x:row r="870">
      <x:c r="A870" s="379" t="n">
        <x:v>46521</x:v>
      </x:c>
      <x:c r="B870" s="380" t="n">
        <x:v>2027</x:v>
      </x:c>
      <x:c r="C870" s="380" t="n">
        <x:v>5</x:v>
      </x:c>
      <x:c r="D870" s="380" t="str">
        <x:v>May</x:v>
      </x:c>
      <x:c r="E870" s="380" t="n">
        <x:v>14</x:v>
      </x:c>
      <x:c r="F870" s="380" t="n">
        <x:v>5</x:v>
      </x:c>
      <x:c r="G870" s="380" t="n">
        <x:f>--(F870&lt;='Estimator'!$B$7)</x:f>
        <x:v>1</x:v>
      </x:c>
      <x:c r="H870" s="381" t="n">
        <x:f>SUMIFS('Climate Data'!$G$7:$G$366,'Climate Data'!$A$7:$A$366,'Estimator'!$B$4,'Climate Data'!$B$7:$B$366,C870)</x:f>
        <x:v>0.41935483870967744</x:v>
      </x:c>
      <x:c r="I870" s="382" t="n">
        <x:f>SUMIFS('Climate Data'!$H$7:$H$366,'Climate Data'!$A$7:$A$366,'Estimator'!$B$4,'Climate Data'!$B$7:$B$366,C870)</x:f>
        <x:v>9.215384615384615</x:v>
      </x:c>
      <x:c r="J870" s="381" t="n">
        <x:f>SUMIFS('Wind Proxy'!$H$8:$H$19,'Wind Proxy'!$A$8:$A$19,'Estimator'!$B$4,'Wind Proxy'!$B$8:$B$19,C870)</x:f>
        <x:v>0.11350059737156513</x:v>
      </x:c>
    </x:row>
    <x:row r="871">
      <x:c r="A871" s="379" t="n">
        <x:v>46522</x:v>
      </x:c>
      <x:c r="B871" s="380" t="n">
        <x:v>2027</x:v>
      </x:c>
      <x:c r="C871" s="380" t="n">
        <x:v>5</x:v>
      </x:c>
      <x:c r="D871" s="380" t="str">
        <x:v>May</x:v>
      </x:c>
      <x:c r="E871" s="380" t="n">
        <x:v>15</x:v>
      </x:c>
      <x:c r="F871" s="380" t="n">
        <x:v>6</x:v>
      </x:c>
      <x:c r="G871" s="380" t="n">
        <x:f>--(F871&lt;='Estimator'!$B$7)</x:f>
        <x:v>0</x:v>
      </x:c>
      <x:c r="H871" s="381" t="n">
        <x:f>SUMIFS('Climate Data'!$G$7:$G$366,'Climate Data'!$A$7:$A$366,'Estimator'!$B$4,'Climate Data'!$B$7:$B$366,C871)</x:f>
        <x:v>0.41935483870967744</x:v>
      </x:c>
      <x:c r="I871" s="382" t="n">
        <x:f>SUMIFS('Climate Data'!$H$7:$H$366,'Climate Data'!$A$7:$A$366,'Estimator'!$B$4,'Climate Data'!$B$7:$B$366,C871)</x:f>
        <x:v>9.215384615384615</x:v>
      </x:c>
      <x:c r="J871" s="381" t="n">
        <x:f>SUMIFS('Wind Proxy'!$H$8:$H$19,'Wind Proxy'!$A$8:$A$19,'Estimator'!$B$4,'Wind Proxy'!$B$8:$B$19,C871)</x:f>
        <x:v>0.11350059737156513</x:v>
      </x:c>
    </x:row>
    <x:row r="872">
      <x:c r="A872" s="379" t="n">
        <x:v>46523</x:v>
      </x:c>
      <x:c r="B872" s="380" t="n">
        <x:v>2027</x:v>
      </x:c>
      <x:c r="C872" s="380" t="n">
        <x:v>5</x:v>
      </x:c>
      <x:c r="D872" s="380" t="str">
        <x:v>May</x:v>
      </x:c>
      <x:c r="E872" s="380" t="n">
        <x:v>16</x:v>
      </x:c>
      <x:c r="F872" s="380" t="n">
        <x:v>7</x:v>
      </x:c>
      <x:c r="G872" s="380" t="n">
        <x:f>--(F872&lt;='Estimator'!$B$7)</x:f>
        <x:v>0</x:v>
      </x:c>
      <x:c r="H872" s="381" t="n">
        <x:f>SUMIFS('Climate Data'!$G$7:$G$366,'Climate Data'!$A$7:$A$366,'Estimator'!$B$4,'Climate Data'!$B$7:$B$366,C872)</x:f>
        <x:v>0.41935483870967744</x:v>
      </x:c>
      <x:c r="I872" s="382" t="n">
        <x:f>SUMIFS('Climate Data'!$H$7:$H$366,'Climate Data'!$A$7:$A$366,'Estimator'!$B$4,'Climate Data'!$B$7:$B$366,C872)</x:f>
        <x:v>9.215384615384615</x:v>
      </x:c>
      <x:c r="J872" s="381" t="n">
        <x:f>SUMIFS('Wind Proxy'!$H$8:$H$19,'Wind Proxy'!$A$8:$A$19,'Estimator'!$B$4,'Wind Proxy'!$B$8:$B$19,C872)</x:f>
        <x:v>0.11350059737156513</x:v>
      </x:c>
    </x:row>
    <x:row r="873">
      <x:c r="A873" s="379" t="n">
        <x:v>46524</x:v>
      </x:c>
      <x:c r="B873" s="380" t="n">
        <x:v>2027</x:v>
      </x:c>
      <x:c r="C873" s="380" t="n">
        <x:v>5</x:v>
      </x:c>
      <x:c r="D873" s="380" t="str">
        <x:v>May</x:v>
      </x:c>
      <x:c r="E873" s="380" t="n">
        <x:v>17</x:v>
      </x:c>
      <x:c r="F873" s="380" t="n">
        <x:v>1</x:v>
      </x:c>
      <x:c r="G873" s="380" t="n">
        <x:f>--(F873&lt;='Estimator'!$B$7)</x:f>
        <x:v>1</x:v>
      </x:c>
      <x:c r="H873" s="381" t="n">
        <x:f>SUMIFS('Climate Data'!$G$7:$G$366,'Climate Data'!$A$7:$A$366,'Estimator'!$B$4,'Climate Data'!$B$7:$B$366,C873)</x:f>
        <x:v>0.41935483870967744</x:v>
      </x:c>
      <x:c r="I873" s="382" t="n">
        <x:f>SUMIFS('Climate Data'!$H$7:$H$366,'Climate Data'!$A$7:$A$366,'Estimator'!$B$4,'Climate Data'!$B$7:$B$366,C873)</x:f>
        <x:v>9.215384615384615</x:v>
      </x:c>
      <x:c r="J873" s="381" t="n">
        <x:f>SUMIFS('Wind Proxy'!$H$8:$H$19,'Wind Proxy'!$A$8:$A$19,'Estimator'!$B$4,'Wind Proxy'!$B$8:$B$19,C873)</x:f>
        <x:v>0.11350059737156513</x:v>
      </x:c>
    </x:row>
    <x:row r="874">
      <x:c r="A874" s="379" t="n">
        <x:v>46525</x:v>
      </x:c>
      <x:c r="B874" s="380" t="n">
        <x:v>2027</x:v>
      </x:c>
      <x:c r="C874" s="380" t="n">
        <x:v>5</x:v>
      </x:c>
      <x:c r="D874" s="380" t="str">
        <x:v>May</x:v>
      </x:c>
      <x:c r="E874" s="380" t="n">
        <x:v>18</x:v>
      </x:c>
      <x:c r="F874" s="380" t="n">
        <x:v>2</x:v>
      </x:c>
      <x:c r="G874" s="380" t="n">
        <x:f>--(F874&lt;='Estimator'!$B$7)</x:f>
        <x:v>1</x:v>
      </x:c>
      <x:c r="H874" s="381" t="n">
        <x:f>SUMIFS('Climate Data'!$G$7:$G$366,'Climate Data'!$A$7:$A$366,'Estimator'!$B$4,'Climate Data'!$B$7:$B$366,C874)</x:f>
        <x:v>0.41935483870967744</x:v>
      </x:c>
      <x:c r="I874" s="382" t="n">
        <x:f>SUMIFS('Climate Data'!$H$7:$H$366,'Climate Data'!$A$7:$A$366,'Estimator'!$B$4,'Climate Data'!$B$7:$B$366,C874)</x:f>
        <x:v>9.215384615384615</x:v>
      </x:c>
      <x:c r="J874" s="381" t="n">
        <x:f>SUMIFS('Wind Proxy'!$H$8:$H$19,'Wind Proxy'!$A$8:$A$19,'Estimator'!$B$4,'Wind Proxy'!$B$8:$B$19,C874)</x:f>
        <x:v>0.11350059737156513</x:v>
      </x:c>
    </x:row>
    <x:row r="875">
      <x:c r="A875" s="379" t="n">
        <x:v>46526</x:v>
      </x:c>
      <x:c r="B875" s="380" t="n">
        <x:v>2027</x:v>
      </x:c>
      <x:c r="C875" s="380" t="n">
        <x:v>5</x:v>
      </x:c>
      <x:c r="D875" s="380" t="str">
        <x:v>May</x:v>
      </x:c>
      <x:c r="E875" s="380" t="n">
        <x:v>19</x:v>
      </x:c>
      <x:c r="F875" s="380" t="n">
        <x:v>3</x:v>
      </x:c>
      <x:c r="G875" s="380" t="n">
        <x:f>--(F875&lt;='Estimator'!$B$7)</x:f>
        <x:v>1</x:v>
      </x:c>
      <x:c r="H875" s="381" t="n">
        <x:f>SUMIFS('Climate Data'!$G$7:$G$366,'Climate Data'!$A$7:$A$366,'Estimator'!$B$4,'Climate Data'!$B$7:$B$366,C875)</x:f>
        <x:v>0.41935483870967744</x:v>
      </x:c>
      <x:c r="I875" s="382" t="n">
        <x:f>SUMIFS('Climate Data'!$H$7:$H$366,'Climate Data'!$A$7:$A$366,'Estimator'!$B$4,'Climate Data'!$B$7:$B$366,C875)</x:f>
        <x:v>9.215384615384615</x:v>
      </x:c>
      <x:c r="J875" s="381" t="n">
        <x:f>SUMIFS('Wind Proxy'!$H$8:$H$19,'Wind Proxy'!$A$8:$A$19,'Estimator'!$B$4,'Wind Proxy'!$B$8:$B$19,C875)</x:f>
        <x:v>0.11350059737156513</x:v>
      </x:c>
    </x:row>
    <x:row r="876">
      <x:c r="A876" s="379" t="n">
        <x:v>46527</x:v>
      </x:c>
      <x:c r="B876" s="380" t="n">
        <x:v>2027</x:v>
      </x:c>
      <x:c r="C876" s="380" t="n">
        <x:v>5</x:v>
      </x:c>
      <x:c r="D876" s="380" t="str">
        <x:v>May</x:v>
      </x:c>
      <x:c r="E876" s="380" t="n">
        <x:v>20</x:v>
      </x:c>
      <x:c r="F876" s="380" t="n">
        <x:v>4</x:v>
      </x:c>
      <x:c r="G876" s="380" t="n">
        <x:f>--(F876&lt;='Estimator'!$B$7)</x:f>
        <x:v>1</x:v>
      </x:c>
      <x:c r="H876" s="381" t="n">
        <x:f>SUMIFS('Climate Data'!$G$7:$G$366,'Climate Data'!$A$7:$A$366,'Estimator'!$B$4,'Climate Data'!$B$7:$B$366,C876)</x:f>
        <x:v>0.41935483870967744</x:v>
      </x:c>
      <x:c r="I876" s="382" t="n">
        <x:f>SUMIFS('Climate Data'!$H$7:$H$366,'Climate Data'!$A$7:$A$366,'Estimator'!$B$4,'Climate Data'!$B$7:$B$366,C876)</x:f>
        <x:v>9.215384615384615</x:v>
      </x:c>
      <x:c r="J876" s="381" t="n">
        <x:f>SUMIFS('Wind Proxy'!$H$8:$H$19,'Wind Proxy'!$A$8:$A$19,'Estimator'!$B$4,'Wind Proxy'!$B$8:$B$19,C876)</x:f>
        <x:v>0.11350059737156513</x:v>
      </x:c>
    </x:row>
    <x:row r="877">
      <x:c r="A877" s="379" t="n">
        <x:v>46528</x:v>
      </x:c>
      <x:c r="B877" s="380" t="n">
        <x:v>2027</x:v>
      </x:c>
      <x:c r="C877" s="380" t="n">
        <x:v>5</x:v>
      </x:c>
      <x:c r="D877" s="380" t="str">
        <x:v>May</x:v>
      </x:c>
      <x:c r="E877" s="380" t="n">
        <x:v>21</x:v>
      </x:c>
      <x:c r="F877" s="380" t="n">
        <x:v>5</x:v>
      </x:c>
      <x:c r="G877" s="380" t="n">
        <x:f>--(F877&lt;='Estimator'!$B$7)</x:f>
        <x:v>1</x:v>
      </x:c>
      <x:c r="H877" s="381" t="n">
        <x:f>SUMIFS('Climate Data'!$G$7:$G$366,'Climate Data'!$A$7:$A$366,'Estimator'!$B$4,'Climate Data'!$B$7:$B$366,C877)</x:f>
        <x:v>0.41935483870967744</x:v>
      </x:c>
      <x:c r="I877" s="382" t="n">
        <x:f>SUMIFS('Climate Data'!$H$7:$H$366,'Climate Data'!$A$7:$A$366,'Estimator'!$B$4,'Climate Data'!$B$7:$B$366,C877)</x:f>
        <x:v>9.215384615384615</x:v>
      </x:c>
      <x:c r="J877" s="381" t="n">
        <x:f>SUMIFS('Wind Proxy'!$H$8:$H$19,'Wind Proxy'!$A$8:$A$19,'Estimator'!$B$4,'Wind Proxy'!$B$8:$B$19,C877)</x:f>
        <x:v>0.11350059737156513</x:v>
      </x:c>
    </x:row>
    <x:row r="878">
      <x:c r="A878" s="379" t="n">
        <x:v>46529</x:v>
      </x:c>
      <x:c r="B878" s="380" t="n">
        <x:v>2027</x:v>
      </x:c>
      <x:c r="C878" s="380" t="n">
        <x:v>5</x:v>
      </x:c>
      <x:c r="D878" s="380" t="str">
        <x:v>May</x:v>
      </x:c>
      <x:c r="E878" s="380" t="n">
        <x:v>22</x:v>
      </x:c>
      <x:c r="F878" s="380" t="n">
        <x:v>6</x:v>
      </x:c>
      <x:c r="G878" s="380" t="n">
        <x:f>--(F878&lt;='Estimator'!$B$7)</x:f>
        <x:v>0</x:v>
      </x:c>
      <x:c r="H878" s="381" t="n">
        <x:f>SUMIFS('Climate Data'!$G$7:$G$366,'Climate Data'!$A$7:$A$366,'Estimator'!$B$4,'Climate Data'!$B$7:$B$366,C878)</x:f>
        <x:v>0.41935483870967744</x:v>
      </x:c>
      <x:c r="I878" s="382" t="n">
        <x:f>SUMIFS('Climate Data'!$H$7:$H$366,'Climate Data'!$A$7:$A$366,'Estimator'!$B$4,'Climate Data'!$B$7:$B$366,C878)</x:f>
        <x:v>9.215384615384615</x:v>
      </x:c>
      <x:c r="J878" s="381" t="n">
        <x:f>SUMIFS('Wind Proxy'!$H$8:$H$19,'Wind Proxy'!$A$8:$A$19,'Estimator'!$B$4,'Wind Proxy'!$B$8:$B$19,C878)</x:f>
        <x:v>0.11350059737156513</x:v>
      </x:c>
    </x:row>
    <x:row r="879">
      <x:c r="A879" s="379" t="n">
        <x:v>46530</x:v>
      </x:c>
      <x:c r="B879" s="380" t="n">
        <x:v>2027</x:v>
      </x:c>
      <x:c r="C879" s="380" t="n">
        <x:v>5</x:v>
      </x:c>
      <x:c r="D879" s="380" t="str">
        <x:v>May</x:v>
      </x:c>
      <x:c r="E879" s="380" t="n">
        <x:v>23</x:v>
      </x:c>
      <x:c r="F879" s="380" t="n">
        <x:v>7</x:v>
      </x:c>
      <x:c r="G879" s="380" t="n">
        <x:f>--(F879&lt;='Estimator'!$B$7)</x:f>
        <x:v>0</x:v>
      </x:c>
      <x:c r="H879" s="381" t="n">
        <x:f>SUMIFS('Climate Data'!$G$7:$G$366,'Climate Data'!$A$7:$A$366,'Estimator'!$B$4,'Climate Data'!$B$7:$B$366,C879)</x:f>
        <x:v>0.41935483870967744</x:v>
      </x:c>
      <x:c r="I879" s="382" t="n">
        <x:f>SUMIFS('Climate Data'!$H$7:$H$366,'Climate Data'!$A$7:$A$366,'Estimator'!$B$4,'Climate Data'!$B$7:$B$366,C879)</x:f>
        <x:v>9.215384615384615</x:v>
      </x:c>
      <x:c r="J879" s="381" t="n">
        <x:f>SUMIFS('Wind Proxy'!$H$8:$H$19,'Wind Proxy'!$A$8:$A$19,'Estimator'!$B$4,'Wind Proxy'!$B$8:$B$19,C879)</x:f>
        <x:v>0.11350059737156513</x:v>
      </x:c>
    </x:row>
    <x:row r="880">
      <x:c r="A880" s="379" t="n">
        <x:v>46531</x:v>
      </x:c>
      <x:c r="B880" s="380" t="n">
        <x:v>2027</x:v>
      </x:c>
      <x:c r="C880" s="380" t="n">
        <x:v>5</x:v>
      </x:c>
      <x:c r="D880" s="380" t="str">
        <x:v>May</x:v>
      </x:c>
      <x:c r="E880" s="380" t="n">
        <x:v>24</x:v>
      </x:c>
      <x:c r="F880" s="380" t="n">
        <x:v>1</x:v>
      </x:c>
      <x:c r="G880" s="380" t="n">
        <x:f>--(F880&lt;='Estimator'!$B$7)</x:f>
        <x:v>1</x:v>
      </x:c>
      <x:c r="H880" s="381" t="n">
        <x:f>SUMIFS('Climate Data'!$G$7:$G$366,'Climate Data'!$A$7:$A$366,'Estimator'!$B$4,'Climate Data'!$B$7:$B$366,C880)</x:f>
        <x:v>0.41935483870967744</x:v>
      </x:c>
      <x:c r="I880" s="382" t="n">
        <x:f>SUMIFS('Climate Data'!$H$7:$H$366,'Climate Data'!$A$7:$A$366,'Estimator'!$B$4,'Climate Data'!$B$7:$B$366,C880)</x:f>
        <x:v>9.215384615384615</x:v>
      </x:c>
      <x:c r="J880" s="381" t="n">
        <x:f>SUMIFS('Wind Proxy'!$H$8:$H$19,'Wind Proxy'!$A$8:$A$19,'Estimator'!$B$4,'Wind Proxy'!$B$8:$B$19,C880)</x:f>
        <x:v>0.11350059737156513</x:v>
      </x:c>
    </x:row>
    <x:row r="881">
      <x:c r="A881" s="379" t="n">
        <x:v>46532</x:v>
      </x:c>
      <x:c r="B881" s="380" t="n">
        <x:v>2027</x:v>
      </x:c>
      <x:c r="C881" s="380" t="n">
        <x:v>5</x:v>
      </x:c>
      <x:c r="D881" s="380" t="str">
        <x:v>May</x:v>
      </x:c>
      <x:c r="E881" s="380" t="n">
        <x:v>25</x:v>
      </x:c>
      <x:c r="F881" s="380" t="n">
        <x:v>2</x:v>
      </x:c>
      <x:c r="G881" s="380" t="n">
        <x:f>--(F881&lt;='Estimator'!$B$7)</x:f>
        <x:v>1</x:v>
      </x:c>
      <x:c r="H881" s="381" t="n">
        <x:f>SUMIFS('Climate Data'!$G$7:$G$366,'Climate Data'!$A$7:$A$366,'Estimator'!$B$4,'Climate Data'!$B$7:$B$366,C881)</x:f>
        <x:v>0.41935483870967744</x:v>
      </x:c>
      <x:c r="I881" s="382" t="n">
        <x:f>SUMIFS('Climate Data'!$H$7:$H$366,'Climate Data'!$A$7:$A$366,'Estimator'!$B$4,'Climate Data'!$B$7:$B$366,C881)</x:f>
        <x:v>9.215384615384615</x:v>
      </x:c>
      <x:c r="J881" s="381" t="n">
        <x:f>SUMIFS('Wind Proxy'!$H$8:$H$19,'Wind Proxy'!$A$8:$A$19,'Estimator'!$B$4,'Wind Proxy'!$B$8:$B$19,C881)</x:f>
        <x:v>0.11350059737156513</x:v>
      </x:c>
    </x:row>
    <x:row r="882">
      <x:c r="A882" s="379" t="n">
        <x:v>46533</x:v>
      </x:c>
      <x:c r="B882" s="380" t="n">
        <x:v>2027</x:v>
      </x:c>
      <x:c r="C882" s="380" t="n">
        <x:v>5</x:v>
      </x:c>
      <x:c r="D882" s="380" t="str">
        <x:v>May</x:v>
      </x:c>
      <x:c r="E882" s="380" t="n">
        <x:v>26</x:v>
      </x:c>
      <x:c r="F882" s="380" t="n">
        <x:v>3</x:v>
      </x:c>
      <x:c r="G882" s="380" t="n">
        <x:f>--(F882&lt;='Estimator'!$B$7)</x:f>
        <x:v>1</x:v>
      </x:c>
      <x:c r="H882" s="381" t="n">
        <x:f>SUMIFS('Climate Data'!$G$7:$G$366,'Climate Data'!$A$7:$A$366,'Estimator'!$B$4,'Climate Data'!$B$7:$B$366,C882)</x:f>
        <x:v>0.41935483870967744</x:v>
      </x:c>
      <x:c r="I882" s="382" t="n">
        <x:f>SUMIFS('Climate Data'!$H$7:$H$366,'Climate Data'!$A$7:$A$366,'Estimator'!$B$4,'Climate Data'!$B$7:$B$366,C882)</x:f>
        <x:v>9.215384615384615</x:v>
      </x:c>
      <x:c r="J882" s="381" t="n">
        <x:f>SUMIFS('Wind Proxy'!$H$8:$H$19,'Wind Proxy'!$A$8:$A$19,'Estimator'!$B$4,'Wind Proxy'!$B$8:$B$19,C882)</x:f>
        <x:v>0.11350059737156513</x:v>
      </x:c>
    </x:row>
    <x:row r="883">
      <x:c r="A883" s="379" t="n">
        <x:v>46534</x:v>
      </x:c>
      <x:c r="B883" s="380" t="n">
        <x:v>2027</x:v>
      </x:c>
      <x:c r="C883" s="380" t="n">
        <x:v>5</x:v>
      </x:c>
      <x:c r="D883" s="380" t="str">
        <x:v>May</x:v>
      </x:c>
      <x:c r="E883" s="380" t="n">
        <x:v>27</x:v>
      </x:c>
      <x:c r="F883" s="380" t="n">
        <x:v>4</x:v>
      </x:c>
      <x:c r="G883" s="380" t="n">
        <x:f>--(F883&lt;='Estimator'!$B$7)</x:f>
        <x:v>1</x:v>
      </x:c>
      <x:c r="H883" s="381" t="n">
        <x:f>SUMIFS('Climate Data'!$G$7:$G$366,'Climate Data'!$A$7:$A$366,'Estimator'!$B$4,'Climate Data'!$B$7:$B$366,C883)</x:f>
        <x:v>0.41935483870967744</x:v>
      </x:c>
      <x:c r="I883" s="382" t="n">
        <x:f>SUMIFS('Climate Data'!$H$7:$H$366,'Climate Data'!$A$7:$A$366,'Estimator'!$B$4,'Climate Data'!$B$7:$B$366,C883)</x:f>
        <x:v>9.215384615384615</x:v>
      </x:c>
      <x:c r="J883" s="381" t="n">
        <x:f>SUMIFS('Wind Proxy'!$H$8:$H$19,'Wind Proxy'!$A$8:$A$19,'Estimator'!$B$4,'Wind Proxy'!$B$8:$B$19,C883)</x:f>
        <x:v>0.11350059737156513</x:v>
      </x:c>
    </x:row>
    <x:row r="884">
      <x:c r="A884" s="379" t="n">
        <x:v>46535</x:v>
      </x:c>
      <x:c r="B884" s="380" t="n">
        <x:v>2027</x:v>
      </x:c>
      <x:c r="C884" s="380" t="n">
        <x:v>5</x:v>
      </x:c>
      <x:c r="D884" s="380" t="str">
        <x:v>May</x:v>
      </x:c>
      <x:c r="E884" s="380" t="n">
        <x:v>28</x:v>
      </x:c>
      <x:c r="F884" s="380" t="n">
        <x:v>5</x:v>
      </x:c>
      <x:c r="G884" s="380" t="n">
        <x:f>--(F884&lt;='Estimator'!$B$7)</x:f>
        <x:v>1</x:v>
      </x:c>
      <x:c r="H884" s="381" t="n">
        <x:f>SUMIFS('Climate Data'!$G$7:$G$366,'Climate Data'!$A$7:$A$366,'Estimator'!$B$4,'Climate Data'!$B$7:$B$366,C884)</x:f>
        <x:v>0.41935483870967744</x:v>
      </x:c>
      <x:c r="I884" s="382" t="n">
        <x:f>SUMIFS('Climate Data'!$H$7:$H$366,'Climate Data'!$A$7:$A$366,'Estimator'!$B$4,'Climate Data'!$B$7:$B$366,C884)</x:f>
        <x:v>9.215384615384615</x:v>
      </x:c>
      <x:c r="J884" s="381" t="n">
        <x:f>SUMIFS('Wind Proxy'!$H$8:$H$19,'Wind Proxy'!$A$8:$A$19,'Estimator'!$B$4,'Wind Proxy'!$B$8:$B$19,C884)</x:f>
        <x:v>0.11350059737156513</x:v>
      </x:c>
    </x:row>
    <x:row r="885">
      <x:c r="A885" s="379" t="n">
        <x:v>46536</x:v>
      </x:c>
      <x:c r="B885" s="380" t="n">
        <x:v>2027</x:v>
      </x:c>
      <x:c r="C885" s="380" t="n">
        <x:v>5</x:v>
      </x:c>
      <x:c r="D885" s="380" t="str">
        <x:v>May</x:v>
      </x:c>
      <x:c r="E885" s="380" t="n">
        <x:v>29</x:v>
      </x:c>
      <x:c r="F885" s="380" t="n">
        <x:v>6</x:v>
      </x:c>
      <x:c r="G885" s="380" t="n">
        <x:f>--(F885&lt;='Estimator'!$B$7)</x:f>
        <x:v>0</x:v>
      </x:c>
      <x:c r="H885" s="381" t="n">
        <x:f>SUMIFS('Climate Data'!$G$7:$G$366,'Climate Data'!$A$7:$A$366,'Estimator'!$B$4,'Climate Data'!$B$7:$B$366,C885)</x:f>
        <x:v>0.41935483870967744</x:v>
      </x:c>
      <x:c r="I885" s="382" t="n">
        <x:f>SUMIFS('Climate Data'!$H$7:$H$366,'Climate Data'!$A$7:$A$366,'Estimator'!$B$4,'Climate Data'!$B$7:$B$366,C885)</x:f>
        <x:v>9.215384615384615</x:v>
      </x:c>
      <x:c r="J885" s="381" t="n">
        <x:f>SUMIFS('Wind Proxy'!$H$8:$H$19,'Wind Proxy'!$A$8:$A$19,'Estimator'!$B$4,'Wind Proxy'!$B$8:$B$19,C885)</x:f>
        <x:v>0.11350059737156513</x:v>
      </x:c>
    </x:row>
    <x:row r="886">
      <x:c r="A886" s="379" t="n">
        <x:v>46537</x:v>
      </x:c>
      <x:c r="B886" s="380" t="n">
        <x:v>2027</x:v>
      </x:c>
      <x:c r="C886" s="380" t="n">
        <x:v>5</x:v>
      </x:c>
      <x:c r="D886" s="380" t="str">
        <x:v>May</x:v>
      </x:c>
      <x:c r="E886" s="380" t="n">
        <x:v>30</x:v>
      </x:c>
      <x:c r="F886" s="380" t="n">
        <x:v>7</x:v>
      </x:c>
      <x:c r="G886" s="380" t="n">
        <x:f>--(F886&lt;='Estimator'!$B$7)</x:f>
        <x:v>0</x:v>
      </x:c>
      <x:c r="H886" s="381" t="n">
        <x:f>SUMIFS('Climate Data'!$G$7:$G$366,'Climate Data'!$A$7:$A$366,'Estimator'!$B$4,'Climate Data'!$B$7:$B$366,C886)</x:f>
        <x:v>0.41935483870967744</x:v>
      </x:c>
      <x:c r="I886" s="382" t="n">
        <x:f>SUMIFS('Climate Data'!$H$7:$H$366,'Climate Data'!$A$7:$A$366,'Estimator'!$B$4,'Climate Data'!$B$7:$B$366,C886)</x:f>
        <x:v>9.215384615384615</x:v>
      </x:c>
      <x:c r="J886" s="381" t="n">
        <x:f>SUMIFS('Wind Proxy'!$H$8:$H$19,'Wind Proxy'!$A$8:$A$19,'Estimator'!$B$4,'Wind Proxy'!$B$8:$B$19,C886)</x:f>
        <x:v>0.11350059737156513</x:v>
      </x:c>
    </x:row>
    <x:row r="887">
      <x:c r="A887" s="379" t="n">
        <x:v>46538</x:v>
      </x:c>
      <x:c r="B887" s="380" t="n">
        <x:v>2027</x:v>
      </x:c>
      <x:c r="C887" s="380" t="n">
        <x:v>5</x:v>
      </x:c>
      <x:c r="D887" s="380" t="str">
        <x:v>May</x:v>
      </x:c>
      <x:c r="E887" s="380" t="n">
        <x:v>31</x:v>
      </x:c>
      <x:c r="F887" s="380" t="n">
        <x:v>1</x:v>
      </x:c>
      <x:c r="G887" s="380" t="n">
        <x:f>--(F887&lt;='Estimator'!$B$7)</x:f>
        <x:v>1</x:v>
      </x:c>
      <x:c r="H887" s="381" t="n">
        <x:f>SUMIFS('Climate Data'!$G$7:$G$366,'Climate Data'!$A$7:$A$366,'Estimator'!$B$4,'Climate Data'!$B$7:$B$366,C887)</x:f>
        <x:v>0.41935483870967744</x:v>
      </x:c>
      <x:c r="I887" s="382" t="n">
        <x:f>SUMIFS('Climate Data'!$H$7:$H$366,'Climate Data'!$A$7:$A$366,'Estimator'!$B$4,'Climate Data'!$B$7:$B$366,C887)</x:f>
        <x:v>9.215384615384615</x:v>
      </x:c>
      <x:c r="J887" s="381" t="n">
        <x:f>SUMIFS('Wind Proxy'!$H$8:$H$19,'Wind Proxy'!$A$8:$A$19,'Estimator'!$B$4,'Wind Proxy'!$B$8:$B$19,C887)</x:f>
        <x:v>0.11350059737156513</x:v>
      </x:c>
    </x:row>
    <x:row r="888">
      <x:c r="A888" s="379" t="n">
        <x:v>46539</x:v>
      </x:c>
      <x:c r="B888" s="380" t="n">
        <x:v>2027</x:v>
      </x:c>
      <x:c r="C888" s="380" t="n">
        <x:v>6</x:v>
      </x:c>
      <x:c r="D888" s="380" t="str">
        <x:v>Jun</x:v>
      </x:c>
      <x:c r="E888" s="380" t="n">
        <x:v>1</x:v>
      </x:c>
      <x:c r="F888" s="380" t="n">
        <x:v>2</x:v>
      </x:c>
      <x:c r="G888" s="380" t="n">
        <x:f>--(F888&lt;='Estimator'!$B$7)</x:f>
        <x:v>1</x:v>
      </x:c>
      <x:c r="H888" s="381" t="n">
        <x:f>SUMIFS('Climate Data'!$G$7:$G$366,'Climate Data'!$A$7:$A$366,'Estimator'!$B$4,'Climate Data'!$B$7:$B$366,C888)</x:f>
        <x:v>0.475</x:v>
      </x:c>
      <x:c r="I888" s="382" t="n">
        <x:f>SUMIFS('Climate Data'!$H$7:$H$366,'Climate Data'!$A$7:$A$366,'Estimator'!$B$4,'Climate Data'!$B$7:$B$366,C888)</x:f>
        <x:v>8.378947368421054</x:v>
      </x:c>
      <x:c r="J888" s="381" t="n">
        <x:f>SUMIFS('Wind Proxy'!$H$8:$H$19,'Wind Proxy'!$A$8:$A$19,'Estimator'!$B$4,'Wind Proxy'!$B$8:$B$19,C888)</x:f>
        <x:v>0.14197530864197533</x:v>
      </x:c>
    </x:row>
    <x:row r="889">
      <x:c r="A889" s="379" t="n">
        <x:v>46540</x:v>
      </x:c>
      <x:c r="B889" s="380" t="n">
        <x:v>2027</x:v>
      </x:c>
      <x:c r="C889" s="380" t="n">
        <x:v>6</x:v>
      </x:c>
      <x:c r="D889" s="380" t="str">
        <x:v>Jun</x:v>
      </x:c>
      <x:c r="E889" s="380" t="n">
        <x:v>2</x:v>
      </x:c>
      <x:c r="F889" s="380" t="n">
        <x:v>3</x:v>
      </x:c>
      <x:c r="G889" s="380" t="n">
        <x:f>--(F889&lt;='Estimator'!$B$7)</x:f>
        <x:v>1</x:v>
      </x:c>
      <x:c r="H889" s="381" t="n">
        <x:f>SUMIFS('Climate Data'!$G$7:$G$366,'Climate Data'!$A$7:$A$366,'Estimator'!$B$4,'Climate Data'!$B$7:$B$366,C889)</x:f>
        <x:v>0.475</x:v>
      </x:c>
      <x:c r="I889" s="382" t="n">
        <x:f>SUMIFS('Climate Data'!$H$7:$H$366,'Climate Data'!$A$7:$A$366,'Estimator'!$B$4,'Climate Data'!$B$7:$B$366,C889)</x:f>
        <x:v>8.378947368421054</x:v>
      </x:c>
      <x:c r="J889" s="381" t="n">
        <x:f>SUMIFS('Wind Proxy'!$H$8:$H$19,'Wind Proxy'!$A$8:$A$19,'Estimator'!$B$4,'Wind Proxy'!$B$8:$B$19,C889)</x:f>
        <x:v>0.14197530864197533</x:v>
      </x:c>
    </x:row>
    <x:row r="890">
      <x:c r="A890" s="379" t="n">
        <x:v>46541</x:v>
      </x:c>
      <x:c r="B890" s="380" t="n">
        <x:v>2027</x:v>
      </x:c>
      <x:c r="C890" s="380" t="n">
        <x:v>6</x:v>
      </x:c>
      <x:c r="D890" s="380" t="str">
        <x:v>Jun</x:v>
      </x:c>
      <x:c r="E890" s="380" t="n">
        <x:v>3</x:v>
      </x:c>
      <x:c r="F890" s="380" t="n">
        <x:v>4</x:v>
      </x:c>
      <x:c r="G890" s="380" t="n">
        <x:f>--(F890&lt;='Estimator'!$B$7)</x:f>
        <x:v>1</x:v>
      </x:c>
      <x:c r="H890" s="381" t="n">
        <x:f>SUMIFS('Climate Data'!$G$7:$G$366,'Climate Data'!$A$7:$A$366,'Estimator'!$B$4,'Climate Data'!$B$7:$B$366,C890)</x:f>
        <x:v>0.475</x:v>
      </x:c>
      <x:c r="I890" s="382" t="n">
        <x:f>SUMIFS('Climate Data'!$H$7:$H$366,'Climate Data'!$A$7:$A$366,'Estimator'!$B$4,'Climate Data'!$B$7:$B$366,C890)</x:f>
        <x:v>8.378947368421054</x:v>
      </x:c>
      <x:c r="J890" s="381" t="n">
        <x:f>SUMIFS('Wind Proxy'!$H$8:$H$19,'Wind Proxy'!$A$8:$A$19,'Estimator'!$B$4,'Wind Proxy'!$B$8:$B$19,C890)</x:f>
        <x:v>0.14197530864197533</x:v>
      </x:c>
    </x:row>
    <x:row r="891">
      <x:c r="A891" s="379" t="n">
        <x:v>46542</x:v>
      </x:c>
      <x:c r="B891" s="380" t="n">
        <x:v>2027</x:v>
      </x:c>
      <x:c r="C891" s="380" t="n">
        <x:v>6</x:v>
      </x:c>
      <x:c r="D891" s="380" t="str">
        <x:v>Jun</x:v>
      </x:c>
      <x:c r="E891" s="380" t="n">
        <x:v>4</x:v>
      </x:c>
      <x:c r="F891" s="380" t="n">
        <x:v>5</x:v>
      </x:c>
      <x:c r="G891" s="380" t="n">
        <x:f>--(F891&lt;='Estimator'!$B$7)</x:f>
        <x:v>1</x:v>
      </x:c>
      <x:c r="H891" s="381" t="n">
        <x:f>SUMIFS('Climate Data'!$G$7:$G$366,'Climate Data'!$A$7:$A$366,'Estimator'!$B$4,'Climate Data'!$B$7:$B$366,C891)</x:f>
        <x:v>0.475</x:v>
      </x:c>
      <x:c r="I891" s="382" t="n">
        <x:f>SUMIFS('Climate Data'!$H$7:$H$366,'Climate Data'!$A$7:$A$366,'Estimator'!$B$4,'Climate Data'!$B$7:$B$366,C891)</x:f>
        <x:v>8.378947368421054</x:v>
      </x:c>
      <x:c r="J891" s="381" t="n">
        <x:f>SUMIFS('Wind Proxy'!$H$8:$H$19,'Wind Proxy'!$A$8:$A$19,'Estimator'!$B$4,'Wind Proxy'!$B$8:$B$19,C891)</x:f>
        <x:v>0.14197530864197533</x:v>
      </x:c>
    </x:row>
    <x:row r="892">
      <x:c r="A892" s="379" t="n">
        <x:v>46543</x:v>
      </x:c>
      <x:c r="B892" s="380" t="n">
        <x:v>2027</x:v>
      </x:c>
      <x:c r="C892" s="380" t="n">
        <x:v>6</x:v>
      </x:c>
      <x:c r="D892" s="380" t="str">
        <x:v>Jun</x:v>
      </x:c>
      <x:c r="E892" s="380" t="n">
        <x:v>5</x:v>
      </x:c>
      <x:c r="F892" s="380" t="n">
        <x:v>6</x:v>
      </x:c>
      <x:c r="G892" s="380" t="n">
        <x:f>--(F892&lt;='Estimator'!$B$7)</x:f>
        <x:v>0</x:v>
      </x:c>
      <x:c r="H892" s="381" t="n">
        <x:f>SUMIFS('Climate Data'!$G$7:$G$366,'Climate Data'!$A$7:$A$366,'Estimator'!$B$4,'Climate Data'!$B$7:$B$366,C892)</x:f>
        <x:v>0.475</x:v>
      </x:c>
      <x:c r="I892" s="382" t="n">
        <x:f>SUMIFS('Climate Data'!$H$7:$H$366,'Climate Data'!$A$7:$A$366,'Estimator'!$B$4,'Climate Data'!$B$7:$B$366,C892)</x:f>
        <x:v>8.378947368421054</x:v>
      </x:c>
      <x:c r="J892" s="381" t="n">
        <x:f>SUMIFS('Wind Proxy'!$H$8:$H$19,'Wind Proxy'!$A$8:$A$19,'Estimator'!$B$4,'Wind Proxy'!$B$8:$B$19,C892)</x:f>
        <x:v>0.14197530864197533</x:v>
      </x:c>
    </x:row>
    <x:row r="893">
      <x:c r="A893" s="379" t="n">
        <x:v>46544</x:v>
      </x:c>
      <x:c r="B893" s="380" t="n">
        <x:v>2027</x:v>
      </x:c>
      <x:c r="C893" s="380" t="n">
        <x:v>6</x:v>
      </x:c>
      <x:c r="D893" s="380" t="str">
        <x:v>Jun</x:v>
      </x:c>
      <x:c r="E893" s="380" t="n">
        <x:v>6</x:v>
      </x:c>
      <x:c r="F893" s="380" t="n">
        <x:v>7</x:v>
      </x:c>
      <x:c r="G893" s="380" t="n">
        <x:f>--(F893&lt;='Estimator'!$B$7)</x:f>
        <x:v>0</x:v>
      </x:c>
      <x:c r="H893" s="381" t="n">
        <x:f>SUMIFS('Climate Data'!$G$7:$G$366,'Climate Data'!$A$7:$A$366,'Estimator'!$B$4,'Climate Data'!$B$7:$B$366,C893)</x:f>
        <x:v>0.475</x:v>
      </x:c>
      <x:c r="I893" s="382" t="n">
        <x:f>SUMIFS('Climate Data'!$H$7:$H$366,'Climate Data'!$A$7:$A$366,'Estimator'!$B$4,'Climate Data'!$B$7:$B$366,C893)</x:f>
        <x:v>8.378947368421054</x:v>
      </x:c>
      <x:c r="J893" s="381" t="n">
        <x:f>SUMIFS('Wind Proxy'!$H$8:$H$19,'Wind Proxy'!$A$8:$A$19,'Estimator'!$B$4,'Wind Proxy'!$B$8:$B$19,C893)</x:f>
        <x:v>0.14197530864197533</x:v>
      </x:c>
    </x:row>
    <x:row r="894">
      <x:c r="A894" s="379" t="n">
        <x:v>46545</x:v>
      </x:c>
      <x:c r="B894" s="380" t="n">
        <x:v>2027</x:v>
      </x:c>
      <x:c r="C894" s="380" t="n">
        <x:v>6</x:v>
      </x:c>
      <x:c r="D894" s="380" t="str">
        <x:v>Jun</x:v>
      </x:c>
      <x:c r="E894" s="380" t="n">
        <x:v>7</x:v>
      </x:c>
      <x:c r="F894" s="380" t="n">
        <x:v>1</x:v>
      </x:c>
      <x:c r="G894" s="380" t="n">
        <x:f>--(F894&lt;='Estimator'!$B$7)</x:f>
        <x:v>1</x:v>
      </x:c>
      <x:c r="H894" s="381" t="n">
        <x:f>SUMIFS('Climate Data'!$G$7:$G$366,'Climate Data'!$A$7:$A$366,'Estimator'!$B$4,'Climate Data'!$B$7:$B$366,C894)</x:f>
        <x:v>0.475</x:v>
      </x:c>
      <x:c r="I894" s="382" t="n">
        <x:f>SUMIFS('Climate Data'!$H$7:$H$366,'Climate Data'!$A$7:$A$366,'Estimator'!$B$4,'Climate Data'!$B$7:$B$366,C894)</x:f>
        <x:v>8.378947368421054</x:v>
      </x:c>
      <x:c r="J894" s="381" t="n">
        <x:f>SUMIFS('Wind Proxy'!$H$8:$H$19,'Wind Proxy'!$A$8:$A$19,'Estimator'!$B$4,'Wind Proxy'!$B$8:$B$19,C894)</x:f>
        <x:v>0.14197530864197533</x:v>
      </x:c>
    </x:row>
    <x:row r="895">
      <x:c r="A895" s="379" t="n">
        <x:v>46546</x:v>
      </x:c>
      <x:c r="B895" s="380" t="n">
        <x:v>2027</x:v>
      </x:c>
      <x:c r="C895" s="380" t="n">
        <x:v>6</x:v>
      </x:c>
      <x:c r="D895" s="380" t="str">
        <x:v>Jun</x:v>
      </x:c>
      <x:c r="E895" s="380" t="n">
        <x:v>8</x:v>
      </x:c>
      <x:c r="F895" s="380" t="n">
        <x:v>2</x:v>
      </x:c>
      <x:c r="G895" s="380" t="n">
        <x:f>--(F895&lt;='Estimator'!$B$7)</x:f>
        <x:v>1</x:v>
      </x:c>
      <x:c r="H895" s="381" t="n">
        <x:f>SUMIFS('Climate Data'!$G$7:$G$366,'Climate Data'!$A$7:$A$366,'Estimator'!$B$4,'Climate Data'!$B$7:$B$366,C895)</x:f>
        <x:v>0.475</x:v>
      </x:c>
      <x:c r="I895" s="382" t="n">
        <x:f>SUMIFS('Climate Data'!$H$7:$H$366,'Climate Data'!$A$7:$A$366,'Estimator'!$B$4,'Climate Data'!$B$7:$B$366,C895)</x:f>
        <x:v>8.378947368421054</x:v>
      </x:c>
      <x:c r="J895" s="381" t="n">
        <x:f>SUMIFS('Wind Proxy'!$H$8:$H$19,'Wind Proxy'!$A$8:$A$19,'Estimator'!$B$4,'Wind Proxy'!$B$8:$B$19,C895)</x:f>
        <x:v>0.14197530864197533</x:v>
      </x:c>
    </x:row>
    <x:row r="896">
      <x:c r="A896" s="379" t="n">
        <x:v>46547</x:v>
      </x:c>
      <x:c r="B896" s="380" t="n">
        <x:v>2027</x:v>
      </x:c>
      <x:c r="C896" s="380" t="n">
        <x:v>6</x:v>
      </x:c>
      <x:c r="D896" s="380" t="str">
        <x:v>Jun</x:v>
      </x:c>
      <x:c r="E896" s="380" t="n">
        <x:v>9</x:v>
      </x:c>
      <x:c r="F896" s="380" t="n">
        <x:v>3</x:v>
      </x:c>
      <x:c r="G896" s="380" t="n">
        <x:f>--(F896&lt;='Estimator'!$B$7)</x:f>
        <x:v>1</x:v>
      </x:c>
      <x:c r="H896" s="381" t="n">
        <x:f>SUMIFS('Climate Data'!$G$7:$G$366,'Climate Data'!$A$7:$A$366,'Estimator'!$B$4,'Climate Data'!$B$7:$B$366,C896)</x:f>
        <x:v>0.475</x:v>
      </x:c>
      <x:c r="I896" s="382" t="n">
        <x:f>SUMIFS('Climate Data'!$H$7:$H$366,'Climate Data'!$A$7:$A$366,'Estimator'!$B$4,'Climate Data'!$B$7:$B$366,C896)</x:f>
        <x:v>8.378947368421054</x:v>
      </x:c>
      <x:c r="J896" s="381" t="n">
        <x:f>SUMIFS('Wind Proxy'!$H$8:$H$19,'Wind Proxy'!$A$8:$A$19,'Estimator'!$B$4,'Wind Proxy'!$B$8:$B$19,C896)</x:f>
        <x:v>0.14197530864197533</x:v>
      </x:c>
    </x:row>
    <x:row r="897">
      <x:c r="A897" s="379" t="n">
        <x:v>46548</x:v>
      </x:c>
      <x:c r="B897" s="380" t="n">
        <x:v>2027</x:v>
      </x:c>
      <x:c r="C897" s="380" t="n">
        <x:v>6</x:v>
      </x:c>
      <x:c r="D897" s="380" t="str">
        <x:v>Jun</x:v>
      </x:c>
      <x:c r="E897" s="380" t="n">
        <x:v>10</x:v>
      </x:c>
      <x:c r="F897" s="380" t="n">
        <x:v>4</x:v>
      </x:c>
      <x:c r="G897" s="380" t="n">
        <x:f>--(F897&lt;='Estimator'!$B$7)</x:f>
        <x:v>1</x:v>
      </x:c>
      <x:c r="H897" s="381" t="n">
        <x:f>SUMIFS('Climate Data'!$G$7:$G$366,'Climate Data'!$A$7:$A$366,'Estimator'!$B$4,'Climate Data'!$B$7:$B$366,C897)</x:f>
        <x:v>0.475</x:v>
      </x:c>
      <x:c r="I897" s="382" t="n">
        <x:f>SUMIFS('Climate Data'!$H$7:$H$366,'Climate Data'!$A$7:$A$366,'Estimator'!$B$4,'Climate Data'!$B$7:$B$366,C897)</x:f>
        <x:v>8.378947368421054</x:v>
      </x:c>
      <x:c r="J897" s="381" t="n">
        <x:f>SUMIFS('Wind Proxy'!$H$8:$H$19,'Wind Proxy'!$A$8:$A$19,'Estimator'!$B$4,'Wind Proxy'!$B$8:$B$19,C897)</x:f>
        <x:v>0.14197530864197533</x:v>
      </x:c>
    </x:row>
    <x:row r="898">
      <x:c r="A898" s="379" t="n">
        <x:v>46549</x:v>
      </x:c>
      <x:c r="B898" s="380" t="n">
        <x:v>2027</x:v>
      </x:c>
      <x:c r="C898" s="380" t="n">
        <x:v>6</x:v>
      </x:c>
      <x:c r="D898" s="380" t="str">
        <x:v>Jun</x:v>
      </x:c>
      <x:c r="E898" s="380" t="n">
        <x:v>11</x:v>
      </x:c>
      <x:c r="F898" s="380" t="n">
        <x:v>5</x:v>
      </x:c>
      <x:c r="G898" s="380" t="n">
        <x:f>--(F898&lt;='Estimator'!$B$7)</x:f>
        <x:v>1</x:v>
      </x:c>
      <x:c r="H898" s="381" t="n">
        <x:f>SUMIFS('Climate Data'!$G$7:$G$366,'Climate Data'!$A$7:$A$366,'Estimator'!$B$4,'Climate Data'!$B$7:$B$366,C898)</x:f>
        <x:v>0.475</x:v>
      </x:c>
      <x:c r="I898" s="382" t="n">
        <x:f>SUMIFS('Climate Data'!$H$7:$H$366,'Climate Data'!$A$7:$A$366,'Estimator'!$B$4,'Climate Data'!$B$7:$B$366,C898)</x:f>
        <x:v>8.378947368421054</x:v>
      </x:c>
      <x:c r="J898" s="381" t="n">
        <x:f>SUMIFS('Wind Proxy'!$H$8:$H$19,'Wind Proxy'!$A$8:$A$19,'Estimator'!$B$4,'Wind Proxy'!$B$8:$B$19,C898)</x:f>
        <x:v>0.14197530864197533</x:v>
      </x:c>
    </x:row>
    <x:row r="899">
      <x:c r="A899" s="379" t="n">
        <x:v>46550</x:v>
      </x:c>
      <x:c r="B899" s="380" t="n">
        <x:v>2027</x:v>
      </x:c>
      <x:c r="C899" s="380" t="n">
        <x:v>6</x:v>
      </x:c>
      <x:c r="D899" s="380" t="str">
        <x:v>Jun</x:v>
      </x:c>
      <x:c r="E899" s="380" t="n">
        <x:v>12</x:v>
      </x:c>
      <x:c r="F899" s="380" t="n">
        <x:v>6</x:v>
      </x:c>
      <x:c r="G899" s="380" t="n">
        <x:f>--(F899&lt;='Estimator'!$B$7)</x:f>
        <x:v>0</x:v>
      </x:c>
      <x:c r="H899" s="381" t="n">
        <x:f>SUMIFS('Climate Data'!$G$7:$G$366,'Climate Data'!$A$7:$A$366,'Estimator'!$B$4,'Climate Data'!$B$7:$B$366,C899)</x:f>
        <x:v>0.475</x:v>
      </x:c>
      <x:c r="I899" s="382" t="n">
        <x:f>SUMIFS('Climate Data'!$H$7:$H$366,'Climate Data'!$A$7:$A$366,'Estimator'!$B$4,'Climate Data'!$B$7:$B$366,C899)</x:f>
        <x:v>8.378947368421054</x:v>
      </x:c>
      <x:c r="J899" s="381" t="n">
        <x:f>SUMIFS('Wind Proxy'!$H$8:$H$19,'Wind Proxy'!$A$8:$A$19,'Estimator'!$B$4,'Wind Proxy'!$B$8:$B$19,C899)</x:f>
        <x:v>0.14197530864197533</x:v>
      </x:c>
    </x:row>
    <x:row r="900">
      <x:c r="A900" s="379" t="n">
        <x:v>46551</x:v>
      </x:c>
      <x:c r="B900" s="380" t="n">
        <x:v>2027</x:v>
      </x:c>
      <x:c r="C900" s="380" t="n">
        <x:v>6</x:v>
      </x:c>
      <x:c r="D900" s="380" t="str">
        <x:v>Jun</x:v>
      </x:c>
      <x:c r="E900" s="380" t="n">
        <x:v>13</x:v>
      </x:c>
      <x:c r="F900" s="380" t="n">
        <x:v>7</x:v>
      </x:c>
      <x:c r="G900" s="380" t="n">
        <x:f>--(F900&lt;='Estimator'!$B$7)</x:f>
        <x:v>0</x:v>
      </x:c>
      <x:c r="H900" s="381" t="n">
        <x:f>SUMIFS('Climate Data'!$G$7:$G$366,'Climate Data'!$A$7:$A$366,'Estimator'!$B$4,'Climate Data'!$B$7:$B$366,C900)</x:f>
        <x:v>0.475</x:v>
      </x:c>
      <x:c r="I900" s="382" t="n">
        <x:f>SUMIFS('Climate Data'!$H$7:$H$366,'Climate Data'!$A$7:$A$366,'Estimator'!$B$4,'Climate Data'!$B$7:$B$366,C900)</x:f>
        <x:v>8.378947368421054</x:v>
      </x:c>
      <x:c r="J900" s="381" t="n">
        <x:f>SUMIFS('Wind Proxy'!$H$8:$H$19,'Wind Proxy'!$A$8:$A$19,'Estimator'!$B$4,'Wind Proxy'!$B$8:$B$19,C900)</x:f>
        <x:v>0.14197530864197533</x:v>
      </x:c>
    </x:row>
    <x:row r="901">
      <x:c r="A901" s="379" t="n">
        <x:v>46552</x:v>
      </x:c>
      <x:c r="B901" s="380" t="n">
        <x:v>2027</x:v>
      </x:c>
      <x:c r="C901" s="380" t="n">
        <x:v>6</x:v>
      </x:c>
      <x:c r="D901" s="380" t="str">
        <x:v>Jun</x:v>
      </x:c>
      <x:c r="E901" s="380" t="n">
        <x:v>14</x:v>
      </x:c>
      <x:c r="F901" s="380" t="n">
        <x:v>1</x:v>
      </x:c>
      <x:c r="G901" s="380" t="n">
        <x:f>--(F901&lt;='Estimator'!$B$7)</x:f>
        <x:v>1</x:v>
      </x:c>
      <x:c r="H901" s="381" t="n">
        <x:f>SUMIFS('Climate Data'!$G$7:$G$366,'Climate Data'!$A$7:$A$366,'Estimator'!$B$4,'Climate Data'!$B$7:$B$366,C901)</x:f>
        <x:v>0.475</x:v>
      </x:c>
      <x:c r="I901" s="382" t="n">
        <x:f>SUMIFS('Climate Data'!$H$7:$H$366,'Climate Data'!$A$7:$A$366,'Estimator'!$B$4,'Climate Data'!$B$7:$B$366,C901)</x:f>
        <x:v>8.378947368421054</x:v>
      </x:c>
      <x:c r="J901" s="381" t="n">
        <x:f>SUMIFS('Wind Proxy'!$H$8:$H$19,'Wind Proxy'!$A$8:$A$19,'Estimator'!$B$4,'Wind Proxy'!$B$8:$B$19,C901)</x:f>
        <x:v>0.14197530864197533</x:v>
      </x:c>
    </x:row>
    <x:row r="902">
      <x:c r="A902" s="379" t="n">
        <x:v>46553</x:v>
      </x:c>
      <x:c r="B902" s="380" t="n">
        <x:v>2027</x:v>
      </x:c>
      <x:c r="C902" s="380" t="n">
        <x:v>6</x:v>
      </x:c>
      <x:c r="D902" s="380" t="str">
        <x:v>Jun</x:v>
      </x:c>
      <x:c r="E902" s="380" t="n">
        <x:v>15</x:v>
      </x:c>
      <x:c r="F902" s="380" t="n">
        <x:v>2</x:v>
      </x:c>
      <x:c r="G902" s="380" t="n">
        <x:f>--(F902&lt;='Estimator'!$B$7)</x:f>
        <x:v>1</x:v>
      </x:c>
      <x:c r="H902" s="381" t="n">
        <x:f>SUMIFS('Climate Data'!$G$7:$G$366,'Climate Data'!$A$7:$A$366,'Estimator'!$B$4,'Climate Data'!$B$7:$B$366,C902)</x:f>
        <x:v>0.475</x:v>
      </x:c>
      <x:c r="I902" s="382" t="n">
        <x:f>SUMIFS('Climate Data'!$H$7:$H$366,'Climate Data'!$A$7:$A$366,'Estimator'!$B$4,'Climate Data'!$B$7:$B$366,C902)</x:f>
        <x:v>8.378947368421054</x:v>
      </x:c>
      <x:c r="J902" s="381" t="n">
        <x:f>SUMIFS('Wind Proxy'!$H$8:$H$19,'Wind Proxy'!$A$8:$A$19,'Estimator'!$B$4,'Wind Proxy'!$B$8:$B$19,C902)</x:f>
        <x:v>0.14197530864197533</x:v>
      </x:c>
    </x:row>
    <x:row r="903">
      <x:c r="A903" s="379" t="n">
        <x:v>46554</x:v>
      </x:c>
      <x:c r="B903" s="380" t="n">
        <x:v>2027</x:v>
      </x:c>
      <x:c r="C903" s="380" t="n">
        <x:v>6</x:v>
      </x:c>
      <x:c r="D903" s="380" t="str">
        <x:v>Jun</x:v>
      </x:c>
      <x:c r="E903" s="380" t="n">
        <x:v>16</x:v>
      </x:c>
      <x:c r="F903" s="380" t="n">
        <x:v>3</x:v>
      </x:c>
      <x:c r="G903" s="380" t="n">
        <x:f>--(F903&lt;='Estimator'!$B$7)</x:f>
        <x:v>1</x:v>
      </x:c>
      <x:c r="H903" s="381" t="n">
        <x:f>SUMIFS('Climate Data'!$G$7:$G$366,'Climate Data'!$A$7:$A$366,'Estimator'!$B$4,'Climate Data'!$B$7:$B$366,C903)</x:f>
        <x:v>0.475</x:v>
      </x:c>
      <x:c r="I903" s="382" t="n">
        <x:f>SUMIFS('Climate Data'!$H$7:$H$366,'Climate Data'!$A$7:$A$366,'Estimator'!$B$4,'Climate Data'!$B$7:$B$366,C903)</x:f>
        <x:v>8.378947368421054</x:v>
      </x:c>
      <x:c r="J903" s="381" t="n">
        <x:f>SUMIFS('Wind Proxy'!$H$8:$H$19,'Wind Proxy'!$A$8:$A$19,'Estimator'!$B$4,'Wind Proxy'!$B$8:$B$19,C903)</x:f>
        <x:v>0.14197530864197533</x:v>
      </x:c>
    </x:row>
    <x:row r="904">
      <x:c r="A904" s="379" t="n">
        <x:v>46555</x:v>
      </x:c>
      <x:c r="B904" s="380" t="n">
        <x:v>2027</x:v>
      </x:c>
      <x:c r="C904" s="380" t="n">
        <x:v>6</x:v>
      </x:c>
      <x:c r="D904" s="380" t="str">
        <x:v>Jun</x:v>
      </x:c>
      <x:c r="E904" s="380" t="n">
        <x:v>17</x:v>
      </x:c>
      <x:c r="F904" s="380" t="n">
        <x:v>4</x:v>
      </x:c>
      <x:c r="G904" s="380" t="n">
        <x:f>--(F904&lt;='Estimator'!$B$7)</x:f>
        <x:v>1</x:v>
      </x:c>
      <x:c r="H904" s="381" t="n">
        <x:f>SUMIFS('Climate Data'!$G$7:$G$366,'Climate Data'!$A$7:$A$366,'Estimator'!$B$4,'Climate Data'!$B$7:$B$366,C904)</x:f>
        <x:v>0.475</x:v>
      </x:c>
      <x:c r="I904" s="382" t="n">
        <x:f>SUMIFS('Climate Data'!$H$7:$H$366,'Climate Data'!$A$7:$A$366,'Estimator'!$B$4,'Climate Data'!$B$7:$B$366,C904)</x:f>
        <x:v>8.378947368421054</x:v>
      </x:c>
      <x:c r="J904" s="381" t="n">
        <x:f>SUMIFS('Wind Proxy'!$H$8:$H$19,'Wind Proxy'!$A$8:$A$19,'Estimator'!$B$4,'Wind Proxy'!$B$8:$B$19,C904)</x:f>
        <x:v>0.14197530864197533</x:v>
      </x:c>
    </x:row>
    <x:row r="905">
      <x:c r="A905" s="379" t="n">
        <x:v>46556</x:v>
      </x:c>
      <x:c r="B905" s="380" t="n">
        <x:v>2027</x:v>
      </x:c>
      <x:c r="C905" s="380" t="n">
        <x:v>6</x:v>
      </x:c>
      <x:c r="D905" s="380" t="str">
        <x:v>Jun</x:v>
      </x:c>
      <x:c r="E905" s="380" t="n">
        <x:v>18</x:v>
      </x:c>
      <x:c r="F905" s="380" t="n">
        <x:v>5</x:v>
      </x:c>
      <x:c r="G905" s="380" t="n">
        <x:f>--(F905&lt;='Estimator'!$B$7)</x:f>
        <x:v>1</x:v>
      </x:c>
      <x:c r="H905" s="381" t="n">
        <x:f>SUMIFS('Climate Data'!$G$7:$G$366,'Climate Data'!$A$7:$A$366,'Estimator'!$B$4,'Climate Data'!$B$7:$B$366,C905)</x:f>
        <x:v>0.475</x:v>
      </x:c>
      <x:c r="I905" s="382" t="n">
        <x:f>SUMIFS('Climate Data'!$H$7:$H$366,'Climate Data'!$A$7:$A$366,'Estimator'!$B$4,'Climate Data'!$B$7:$B$366,C905)</x:f>
        <x:v>8.378947368421054</x:v>
      </x:c>
      <x:c r="J905" s="381" t="n">
        <x:f>SUMIFS('Wind Proxy'!$H$8:$H$19,'Wind Proxy'!$A$8:$A$19,'Estimator'!$B$4,'Wind Proxy'!$B$8:$B$19,C905)</x:f>
        <x:v>0.14197530864197533</x:v>
      </x:c>
    </x:row>
    <x:row r="906">
      <x:c r="A906" s="379" t="n">
        <x:v>46557</x:v>
      </x:c>
      <x:c r="B906" s="380" t="n">
        <x:v>2027</x:v>
      </x:c>
      <x:c r="C906" s="380" t="n">
        <x:v>6</x:v>
      </x:c>
      <x:c r="D906" s="380" t="str">
        <x:v>Jun</x:v>
      </x:c>
      <x:c r="E906" s="380" t="n">
        <x:v>19</x:v>
      </x:c>
      <x:c r="F906" s="380" t="n">
        <x:v>6</x:v>
      </x:c>
      <x:c r="G906" s="380" t="n">
        <x:f>--(F906&lt;='Estimator'!$B$7)</x:f>
        <x:v>0</x:v>
      </x:c>
      <x:c r="H906" s="381" t="n">
        <x:f>SUMIFS('Climate Data'!$G$7:$G$366,'Climate Data'!$A$7:$A$366,'Estimator'!$B$4,'Climate Data'!$B$7:$B$366,C906)</x:f>
        <x:v>0.475</x:v>
      </x:c>
      <x:c r="I906" s="382" t="n">
        <x:f>SUMIFS('Climate Data'!$H$7:$H$366,'Climate Data'!$A$7:$A$366,'Estimator'!$B$4,'Climate Data'!$B$7:$B$366,C906)</x:f>
        <x:v>8.378947368421054</x:v>
      </x:c>
      <x:c r="J906" s="381" t="n">
        <x:f>SUMIFS('Wind Proxy'!$H$8:$H$19,'Wind Proxy'!$A$8:$A$19,'Estimator'!$B$4,'Wind Proxy'!$B$8:$B$19,C906)</x:f>
        <x:v>0.14197530864197533</x:v>
      </x:c>
    </x:row>
    <x:row r="907">
      <x:c r="A907" s="379" t="n">
        <x:v>46558</x:v>
      </x:c>
      <x:c r="B907" s="380" t="n">
        <x:v>2027</x:v>
      </x:c>
      <x:c r="C907" s="380" t="n">
        <x:v>6</x:v>
      </x:c>
      <x:c r="D907" s="380" t="str">
        <x:v>Jun</x:v>
      </x:c>
      <x:c r="E907" s="380" t="n">
        <x:v>20</x:v>
      </x:c>
      <x:c r="F907" s="380" t="n">
        <x:v>7</x:v>
      </x:c>
      <x:c r="G907" s="380" t="n">
        <x:f>--(F907&lt;='Estimator'!$B$7)</x:f>
        <x:v>0</x:v>
      </x:c>
      <x:c r="H907" s="381" t="n">
        <x:f>SUMIFS('Climate Data'!$G$7:$G$366,'Climate Data'!$A$7:$A$366,'Estimator'!$B$4,'Climate Data'!$B$7:$B$366,C907)</x:f>
        <x:v>0.475</x:v>
      </x:c>
      <x:c r="I907" s="382" t="n">
        <x:f>SUMIFS('Climate Data'!$H$7:$H$366,'Climate Data'!$A$7:$A$366,'Estimator'!$B$4,'Climate Data'!$B$7:$B$366,C907)</x:f>
        <x:v>8.378947368421054</x:v>
      </x:c>
      <x:c r="J907" s="381" t="n">
        <x:f>SUMIFS('Wind Proxy'!$H$8:$H$19,'Wind Proxy'!$A$8:$A$19,'Estimator'!$B$4,'Wind Proxy'!$B$8:$B$19,C907)</x:f>
        <x:v>0.14197530864197533</x:v>
      </x:c>
    </x:row>
    <x:row r="908">
      <x:c r="A908" s="379" t="n">
        <x:v>46559</x:v>
      </x:c>
      <x:c r="B908" s="380" t="n">
        <x:v>2027</x:v>
      </x:c>
      <x:c r="C908" s="380" t="n">
        <x:v>6</x:v>
      </x:c>
      <x:c r="D908" s="380" t="str">
        <x:v>Jun</x:v>
      </x:c>
      <x:c r="E908" s="380" t="n">
        <x:v>21</x:v>
      </x:c>
      <x:c r="F908" s="380" t="n">
        <x:v>1</x:v>
      </x:c>
      <x:c r="G908" s="380" t="n">
        <x:f>--(F908&lt;='Estimator'!$B$7)</x:f>
        <x:v>1</x:v>
      </x:c>
      <x:c r="H908" s="381" t="n">
        <x:f>SUMIFS('Climate Data'!$G$7:$G$366,'Climate Data'!$A$7:$A$366,'Estimator'!$B$4,'Climate Data'!$B$7:$B$366,C908)</x:f>
        <x:v>0.475</x:v>
      </x:c>
      <x:c r="I908" s="382" t="n">
        <x:f>SUMIFS('Climate Data'!$H$7:$H$366,'Climate Data'!$A$7:$A$366,'Estimator'!$B$4,'Climate Data'!$B$7:$B$366,C908)</x:f>
        <x:v>8.378947368421054</x:v>
      </x:c>
      <x:c r="J908" s="381" t="n">
        <x:f>SUMIFS('Wind Proxy'!$H$8:$H$19,'Wind Proxy'!$A$8:$A$19,'Estimator'!$B$4,'Wind Proxy'!$B$8:$B$19,C908)</x:f>
        <x:v>0.14197530864197533</x:v>
      </x:c>
    </x:row>
    <x:row r="909">
      <x:c r="A909" s="379" t="n">
        <x:v>46560</x:v>
      </x:c>
      <x:c r="B909" s="380" t="n">
        <x:v>2027</x:v>
      </x:c>
      <x:c r="C909" s="380" t="n">
        <x:v>6</x:v>
      </x:c>
      <x:c r="D909" s="380" t="str">
        <x:v>Jun</x:v>
      </x:c>
      <x:c r="E909" s="380" t="n">
        <x:v>22</x:v>
      </x:c>
      <x:c r="F909" s="380" t="n">
        <x:v>2</x:v>
      </x:c>
      <x:c r="G909" s="380" t="n">
        <x:f>--(F909&lt;='Estimator'!$B$7)</x:f>
        <x:v>1</x:v>
      </x:c>
      <x:c r="H909" s="381" t="n">
        <x:f>SUMIFS('Climate Data'!$G$7:$G$366,'Climate Data'!$A$7:$A$366,'Estimator'!$B$4,'Climate Data'!$B$7:$B$366,C909)</x:f>
        <x:v>0.475</x:v>
      </x:c>
      <x:c r="I909" s="382" t="n">
        <x:f>SUMIFS('Climate Data'!$H$7:$H$366,'Climate Data'!$A$7:$A$366,'Estimator'!$B$4,'Climate Data'!$B$7:$B$366,C909)</x:f>
        <x:v>8.378947368421054</x:v>
      </x:c>
      <x:c r="J909" s="381" t="n">
        <x:f>SUMIFS('Wind Proxy'!$H$8:$H$19,'Wind Proxy'!$A$8:$A$19,'Estimator'!$B$4,'Wind Proxy'!$B$8:$B$19,C909)</x:f>
        <x:v>0.14197530864197533</x:v>
      </x:c>
    </x:row>
    <x:row r="910">
      <x:c r="A910" s="379" t="n">
        <x:v>46561</x:v>
      </x:c>
      <x:c r="B910" s="380" t="n">
        <x:v>2027</x:v>
      </x:c>
      <x:c r="C910" s="380" t="n">
        <x:v>6</x:v>
      </x:c>
      <x:c r="D910" s="380" t="str">
        <x:v>Jun</x:v>
      </x:c>
      <x:c r="E910" s="380" t="n">
        <x:v>23</x:v>
      </x:c>
      <x:c r="F910" s="380" t="n">
        <x:v>3</x:v>
      </x:c>
      <x:c r="G910" s="380" t="n">
        <x:f>--(F910&lt;='Estimator'!$B$7)</x:f>
        <x:v>1</x:v>
      </x:c>
      <x:c r="H910" s="381" t="n">
        <x:f>SUMIFS('Climate Data'!$G$7:$G$366,'Climate Data'!$A$7:$A$366,'Estimator'!$B$4,'Climate Data'!$B$7:$B$366,C910)</x:f>
        <x:v>0.475</x:v>
      </x:c>
      <x:c r="I910" s="382" t="n">
        <x:f>SUMIFS('Climate Data'!$H$7:$H$366,'Climate Data'!$A$7:$A$366,'Estimator'!$B$4,'Climate Data'!$B$7:$B$366,C910)</x:f>
        <x:v>8.378947368421054</x:v>
      </x:c>
      <x:c r="J910" s="381" t="n">
        <x:f>SUMIFS('Wind Proxy'!$H$8:$H$19,'Wind Proxy'!$A$8:$A$19,'Estimator'!$B$4,'Wind Proxy'!$B$8:$B$19,C910)</x:f>
        <x:v>0.14197530864197533</x:v>
      </x:c>
    </x:row>
    <x:row r="911">
      <x:c r="A911" s="379" t="n">
        <x:v>46562</x:v>
      </x:c>
      <x:c r="B911" s="380" t="n">
        <x:v>2027</x:v>
      </x:c>
      <x:c r="C911" s="380" t="n">
        <x:v>6</x:v>
      </x:c>
      <x:c r="D911" s="380" t="str">
        <x:v>Jun</x:v>
      </x:c>
      <x:c r="E911" s="380" t="n">
        <x:v>24</x:v>
      </x:c>
      <x:c r="F911" s="380" t="n">
        <x:v>4</x:v>
      </x:c>
      <x:c r="G911" s="380" t="n">
        <x:f>--(F911&lt;='Estimator'!$B$7)</x:f>
        <x:v>1</x:v>
      </x:c>
      <x:c r="H911" s="381" t="n">
        <x:f>SUMIFS('Climate Data'!$G$7:$G$366,'Climate Data'!$A$7:$A$366,'Estimator'!$B$4,'Climate Data'!$B$7:$B$366,C911)</x:f>
        <x:v>0.475</x:v>
      </x:c>
      <x:c r="I911" s="382" t="n">
        <x:f>SUMIFS('Climate Data'!$H$7:$H$366,'Climate Data'!$A$7:$A$366,'Estimator'!$B$4,'Climate Data'!$B$7:$B$366,C911)</x:f>
        <x:v>8.378947368421054</x:v>
      </x:c>
      <x:c r="J911" s="381" t="n">
        <x:f>SUMIFS('Wind Proxy'!$H$8:$H$19,'Wind Proxy'!$A$8:$A$19,'Estimator'!$B$4,'Wind Proxy'!$B$8:$B$19,C911)</x:f>
        <x:v>0.14197530864197533</x:v>
      </x:c>
    </x:row>
    <x:row r="912">
      <x:c r="A912" s="379" t="n">
        <x:v>46563</x:v>
      </x:c>
      <x:c r="B912" s="380" t="n">
        <x:v>2027</x:v>
      </x:c>
      <x:c r="C912" s="380" t="n">
        <x:v>6</x:v>
      </x:c>
      <x:c r="D912" s="380" t="str">
        <x:v>Jun</x:v>
      </x:c>
      <x:c r="E912" s="380" t="n">
        <x:v>25</x:v>
      </x:c>
      <x:c r="F912" s="380" t="n">
        <x:v>5</x:v>
      </x:c>
      <x:c r="G912" s="380" t="n">
        <x:f>--(F912&lt;='Estimator'!$B$7)</x:f>
        <x:v>1</x:v>
      </x:c>
      <x:c r="H912" s="381" t="n">
        <x:f>SUMIFS('Climate Data'!$G$7:$G$366,'Climate Data'!$A$7:$A$366,'Estimator'!$B$4,'Climate Data'!$B$7:$B$366,C912)</x:f>
        <x:v>0.475</x:v>
      </x:c>
      <x:c r="I912" s="382" t="n">
        <x:f>SUMIFS('Climate Data'!$H$7:$H$366,'Climate Data'!$A$7:$A$366,'Estimator'!$B$4,'Climate Data'!$B$7:$B$366,C912)</x:f>
        <x:v>8.378947368421054</x:v>
      </x:c>
      <x:c r="J912" s="381" t="n">
        <x:f>SUMIFS('Wind Proxy'!$H$8:$H$19,'Wind Proxy'!$A$8:$A$19,'Estimator'!$B$4,'Wind Proxy'!$B$8:$B$19,C912)</x:f>
        <x:v>0.14197530864197533</x:v>
      </x:c>
    </x:row>
    <x:row r="913">
      <x:c r="A913" s="379" t="n">
        <x:v>46564</x:v>
      </x:c>
      <x:c r="B913" s="380" t="n">
        <x:v>2027</x:v>
      </x:c>
      <x:c r="C913" s="380" t="n">
        <x:v>6</x:v>
      </x:c>
      <x:c r="D913" s="380" t="str">
        <x:v>Jun</x:v>
      </x:c>
      <x:c r="E913" s="380" t="n">
        <x:v>26</x:v>
      </x:c>
      <x:c r="F913" s="380" t="n">
        <x:v>6</x:v>
      </x:c>
      <x:c r="G913" s="380" t="n">
        <x:f>--(F913&lt;='Estimator'!$B$7)</x:f>
        <x:v>0</x:v>
      </x:c>
      <x:c r="H913" s="381" t="n">
        <x:f>SUMIFS('Climate Data'!$G$7:$G$366,'Climate Data'!$A$7:$A$366,'Estimator'!$B$4,'Climate Data'!$B$7:$B$366,C913)</x:f>
        <x:v>0.475</x:v>
      </x:c>
      <x:c r="I913" s="382" t="n">
        <x:f>SUMIFS('Climate Data'!$H$7:$H$366,'Climate Data'!$A$7:$A$366,'Estimator'!$B$4,'Climate Data'!$B$7:$B$366,C913)</x:f>
        <x:v>8.378947368421054</x:v>
      </x:c>
      <x:c r="J913" s="381" t="n">
        <x:f>SUMIFS('Wind Proxy'!$H$8:$H$19,'Wind Proxy'!$A$8:$A$19,'Estimator'!$B$4,'Wind Proxy'!$B$8:$B$19,C913)</x:f>
        <x:v>0.14197530864197533</x:v>
      </x:c>
    </x:row>
    <x:row r="914">
      <x:c r="A914" s="379" t="n">
        <x:v>46565</x:v>
      </x:c>
      <x:c r="B914" s="380" t="n">
        <x:v>2027</x:v>
      </x:c>
      <x:c r="C914" s="380" t="n">
        <x:v>6</x:v>
      </x:c>
      <x:c r="D914" s="380" t="str">
        <x:v>Jun</x:v>
      </x:c>
      <x:c r="E914" s="380" t="n">
        <x:v>27</x:v>
      </x:c>
      <x:c r="F914" s="380" t="n">
        <x:v>7</x:v>
      </x:c>
      <x:c r="G914" s="380" t="n">
        <x:f>--(F914&lt;='Estimator'!$B$7)</x:f>
        <x:v>0</x:v>
      </x:c>
      <x:c r="H914" s="381" t="n">
        <x:f>SUMIFS('Climate Data'!$G$7:$G$366,'Climate Data'!$A$7:$A$366,'Estimator'!$B$4,'Climate Data'!$B$7:$B$366,C914)</x:f>
        <x:v>0.475</x:v>
      </x:c>
      <x:c r="I914" s="382" t="n">
        <x:f>SUMIFS('Climate Data'!$H$7:$H$366,'Climate Data'!$A$7:$A$366,'Estimator'!$B$4,'Climate Data'!$B$7:$B$366,C914)</x:f>
        <x:v>8.378947368421054</x:v>
      </x:c>
      <x:c r="J914" s="381" t="n">
        <x:f>SUMIFS('Wind Proxy'!$H$8:$H$19,'Wind Proxy'!$A$8:$A$19,'Estimator'!$B$4,'Wind Proxy'!$B$8:$B$19,C914)</x:f>
        <x:v>0.14197530864197533</x:v>
      </x:c>
    </x:row>
    <x:row r="915">
      <x:c r="A915" s="379" t="n">
        <x:v>46566</x:v>
      </x:c>
      <x:c r="B915" s="380" t="n">
        <x:v>2027</x:v>
      </x:c>
      <x:c r="C915" s="380" t="n">
        <x:v>6</x:v>
      </x:c>
      <x:c r="D915" s="380" t="str">
        <x:v>Jun</x:v>
      </x:c>
      <x:c r="E915" s="380" t="n">
        <x:v>28</x:v>
      </x:c>
      <x:c r="F915" s="380" t="n">
        <x:v>1</x:v>
      </x:c>
      <x:c r="G915" s="380" t="n">
        <x:f>--(F915&lt;='Estimator'!$B$7)</x:f>
        <x:v>1</x:v>
      </x:c>
      <x:c r="H915" s="381" t="n">
        <x:f>SUMIFS('Climate Data'!$G$7:$G$366,'Climate Data'!$A$7:$A$366,'Estimator'!$B$4,'Climate Data'!$B$7:$B$366,C915)</x:f>
        <x:v>0.475</x:v>
      </x:c>
      <x:c r="I915" s="382" t="n">
        <x:f>SUMIFS('Climate Data'!$H$7:$H$366,'Climate Data'!$A$7:$A$366,'Estimator'!$B$4,'Climate Data'!$B$7:$B$366,C915)</x:f>
        <x:v>8.378947368421054</x:v>
      </x:c>
      <x:c r="J915" s="381" t="n">
        <x:f>SUMIFS('Wind Proxy'!$H$8:$H$19,'Wind Proxy'!$A$8:$A$19,'Estimator'!$B$4,'Wind Proxy'!$B$8:$B$19,C915)</x:f>
        <x:v>0.14197530864197533</x:v>
      </x:c>
    </x:row>
    <x:row r="916">
      <x:c r="A916" s="379" t="n">
        <x:v>46567</x:v>
      </x:c>
      <x:c r="B916" s="380" t="n">
        <x:v>2027</x:v>
      </x:c>
      <x:c r="C916" s="380" t="n">
        <x:v>6</x:v>
      </x:c>
      <x:c r="D916" s="380" t="str">
        <x:v>Jun</x:v>
      </x:c>
      <x:c r="E916" s="380" t="n">
        <x:v>29</x:v>
      </x:c>
      <x:c r="F916" s="380" t="n">
        <x:v>2</x:v>
      </x:c>
      <x:c r="G916" s="380" t="n">
        <x:f>--(F916&lt;='Estimator'!$B$7)</x:f>
        <x:v>1</x:v>
      </x:c>
      <x:c r="H916" s="381" t="n">
        <x:f>SUMIFS('Climate Data'!$G$7:$G$366,'Climate Data'!$A$7:$A$366,'Estimator'!$B$4,'Climate Data'!$B$7:$B$366,C916)</x:f>
        <x:v>0.475</x:v>
      </x:c>
      <x:c r="I916" s="382" t="n">
        <x:f>SUMIFS('Climate Data'!$H$7:$H$366,'Climate Data'!$A$7:$A$366,'Estimator'!$B$4,'Climate Data'!$B$7:$B$366,C916)</x:f>
        <x:v>8.378947368421054</x:v>
      </x:c>
      <x:c r="J916" s="381" t="n">
        <x:f>SUMIFS('Wind Proxy'!$H$8:$H$19,'Wind Proxy'!$A$8:$A$19,'Estimator'!$B$4,'Wind Proxy'!$B$8:$B$19,C916)</x:f>
        <x:v>0.14197530864197533</x:v>
      </x:c>
    </x:row>
    <x:row r="917">
      <x:c r="A917" s="379" t="n">
        <x:v>46568</x:v>
      </x:c>
      <x:c r="B917" s="380" t="n">
        <x:v>2027</x:v>
      </x:c>
      <x:c r="C917" s="380" t="n">
        <x:v>6</x:v>
      </x:c>
      <x:c r="D917" s="380" t="str">
        <x:v>Jun</x:v>
      </x:c>
      <x:c r="E917" s="380" t="n">
        <x:v>30</x:v>
      </x:c>
      <x:c r="F917" s="380" t="n">
        <x:v>3</x:v>
      </x:c>
      <x:c r="G917" s="380" t="n">
        <x:f>--(F917&lt;='Estimator'!$B$7)</x:f>
        <x:v>1</x:v>
      </x:c>
      <x:c r="H917" s="381" t="n">
        <x:f>SUMIFS('Climate Data'!$G$7:$G$366,'Climate Data'!$A$7:$A$366,'Estimator'!$B$4,'Climate Data'!$B$7:$B$366,C917)</x:f>
        <x:v>0.475</x:v>
      </x:c>
      <x:c r="I917" s="382" t="n">
        <x:f>SUMIFS('Climate Data'!$H$7:$H$366,'Climate Data'!$A$7:$A$366,'Estimator'!$B$4,'Climate Data'!$B$7:$B$366,C917)</x:f>
        <x:v>8.378947368421054</x:v>
      </x:c>
      <x:c r="J917" s="381" t="n">
        <x:f>SUMIFS('Wind Proxy'!$H$8:$H$19,'Wind Proxy'!$A$8:$A$19,'Estimator'!$B$4,'Wind Proxy'!$B$8:$B$19,C917)</x:f>
        <x:v>0.14197530864197533</x:v>
      </x:c>
    </x:row>
    <x:row r="918">
      <x:c r="A918" s="379" t="n">
        <x:v>46569</x:v>
      </x:c>
      <x:c r="B918" s="380" t="n">
        <x:v>2027</x:v>
      </x:c>
      <x:c r="C918" s="380" t="n">
        <x:v>7</x:v>
      </x:c>
      <x:c r="D918" s="380" t="str">
        <x:v>Jul</x:v>
      </x:c>
      <x:c r="E918" s="380" t="n">
        <x:v>1</x:v>
      </x:c>
      <x:c r="F918" s="380" t="n">
        <x:v>4</x:v>
      </x:c>
      <x:c r="G918" s="380" t="n">
        <x:f>--(F918&lt;='Estimator'!$B$7)</x:f>
        <x:v>1</x:v>
      </x:c>
      <x:c r="H918" s="381" t="n">
        <x:f>SUMIFS('Climate Data'!$G$7:$G$366,'Climate Data'!$A$7:$A$366,'Estimator'!$B$4,'Climate Data'!$B$7:$B$366,C918)</x:f>
        <x:v>0.49078341013824883</x:v>
      </x:c>
      <x:c r="I918" s="382" t="n">
        <x:f>SUMIFS('Climate Data'!$H$7:$H$366,'Climate Data'!$A$7:$A$366,'Estimator'!$B$4,'Climate Data'!$B$7:$B$366,C918)</x:f>
        <x:v>8.998122065727701</x:v>
      </x:c>
      <x:c r="J918" s="381" t="n">
        <x:f>SUMIFS('Wind Proxy'!$H$8:$H$19,'Wind Proxy'!$A$8:$A$19,'Estimator'!$B$4,'Wind Proxy'!$B$8:$B$19,C918)</x:f>
        <x:v>0.13739545997610514</x:v>
      </x:c>
    </x:row>
    <x:row r="919">
      <x:c r="A919" s="379" t="n">
        <x:v>46570</x:v>
      </x:c>
      <x:c r="B919" s="380" t="n">
        <x:v>2027</x:v>
      </x:c>
      <x:c r="C919" s="380" t="n">
        <x:v>7</x:v>
      </x:c>
      <x:c r="D919" s="380" t="str">
        <x:v>Jul</x:v>
      </x:c>
      <x:c r="E919" s="380" t="n">
        <x:v>2</x:v>
      </x:c>
      <x:c r="F919" s="380" t="n">
        <x:v>5</x:v>
      </x:c>
      <x:c r="G919" s="380" t="n">
        <x:f>--(F919&lt;='Estimator'!$B$7)</x:f>
        <x:v>1</x:v>
      </x:c>
      <x:c r="H919" s="381" t="n">
        <x:f>SUMIFS('Climate Data'!$G$7:$G$366,'Climate Data'!$A$7:$A$366,'Estimator'!$B$4,'Climate Data'!$B$7:$B$366,C919)</x:f>
        <x:v>0.49078341013824883</x:v>
      </x:c>
      <x:c r="I919" s="382" t="n">
        <x:f>SUMIFS('Climate Data'!$H$7:$H$366,'Climate Data'!$A$7:$A$366,'Estimator'!$B$4,'Climate Data'!$B$7:$B$366,C919)</x:f>
        <x:v>8.998122065727701</x:v>
      </x:c>
      <x:c r="J919" s="381" t="n">
        <x:f>SUMIFS('Wind Proxy'!$H$8:$H$19,'Wind Proxy'!$A$8:$A$19,'Estimator'!$B$4,'Wind Proxy'!$B$8:$B$19,C919)</x:f>
        <x:v>0.13739545997610514</x:v>
      </x:c>
    </x:row>
    <x:row r="920">
      <x:c r="A920" s="379" t="n">
        <x:v>46571</x:v>
      </x:c>
      <x:c r="B920" s="380" t="n">
        <x:v>2027</x:v>
      </x:c>
      <x:c r="C920" s="380" t="n">
        <x:v>7</x:v>
      </x:c>
      <x:c r="D920" s="380" t="str">
        <x:v>Jul</x:v>
      </x:c>
      <x:c r="E920" s="380" t="n">
        <x:v>3</x:v>
      </x:c>
      <x:c r="F920" s="380" t="n">
        <x:v>6</x:v>
      </x:c>
      <x:c r="G920" s="380" t="n">
        <x:f>--(F920&lt;='Estimator'!$B$7)</x:f>
        <x:v>0</x:v>
      </x:c>
      <x:c r="H920" s="381" t="n">
        <x:f>SUMIFS('Climate Data'!$G$7:$G$366,'Climate Data'!$A$7:$A$366,'Estimator'!$B$4,'Climate Data'!$B$7:$B$366,C920)</x:f>
        <x:v>0.49078341013824883</x:v>
      </x:c>
      <x:c r="I920" s="382" t="n">
        <x:f>SUMIFS('Climate Data'!$H$7:$H$366,'Climate Data'!$A$7:$A$366,'Estimator'!$B$4,'Climate Data'!$B$7:$B$366,C920)</x:f>
        <x:v>8.998122065727701</x:v>
      </x:c>
      <x:c r="J920" s="381" t="n">
        <x:f>SUMIFS('Wind Proxy'!$H$8:$H$19,'Wind Proxy'!$A$8:$A$19,'Estimator'!$B$4,'Wind Proxy'!$B$8:$B$19,C920)</x:f>
        <x:v>0.13739545997610514</x:v>
      </x:c>
    </x:row>
    <x:row r="921">
      <x:c r="A921" s="379" t="n">
        <x:v>46572</x:v>
      </x:c>
      <x:c r="B921" s="380" t="n">
        <x:v>2027</x:v>
      </x:c>
      <x:c r="C921" s="380" t="n">
        <x:v>7</x:v>
      </x:c>
      <x:c r="D921" s="380" t="str">
        <x:v>Jul</x:v>
      </x:c>
      <x:c r="E921" s="380" t="n">
        <x:v>4</x:v>
      </x:c>
      <x:c r="F921" s="380" t="n">
        <x:v>7</x:v>
      </x:c>
      <x:c r="G921" s="380" t="n">
        <x:f>--(F921&lt;='Estimator'!$B$7)</x:f>
        <x:v>0</x:v>
      </x:c>
      <x:c r="H921" s="381" t="n">
        <x:f>SUMIFS('Climate Data'!$G$7:$G$366,'Climate Data'!$A$7:$A$366,'Estimator'!$B$4,'Climate Data'!$B$7:$B$366,C921)</x:f>
        <x:v>0.49078341013824883</x:v>
      </x:c>
      <x:c r="I921" s="382" t="n">
        <x:f>SUMIFS('Climate Data'!$H$7:$H$366,'Climate Data'!$A$7:$A$366,'Estimator'!$B$4,'Climate Data'!$B$7:$B$366,C921)</x:f>
        <x:v>8.998122065727701</x:v>
      </x:c>
      <x:c r="J921" s="381" t="n">
        <x:f>SUMIFS('Wind Proxy'!$H$8:$H$19,'Wind Proxy'!$A$8:$A$19,'Estimator'!$B$4,'Wind Proxy'!$B$8:$B$19,C921)</x:f>
        <x:v>0.13739545997610514</x:v>
      </x:c>
    </x:row>
    <x:row r="922">
      <x:c r="A922" s="379" t="n">
        <x:v>46573</x:v>
      </x:c>
      <x:c r="B922" s="380" t="n">
        <x:v>2027</x:v>
      </x:c>
      <x:c r="C922" s="380" t="n">
        <x:v>7</x:v>
      </x:c>
      <x:c r="D922" s="380" t="str">
        <x:v>Jul</x:v>
      </x:c>
      <x:c r="E922" s="380" t="n">
        <x:v>5</x:v>
      </x:c>
      <x:c r="F922" s="380" t="n">
        <x:v>1</x:v>
      </x:c>
      <x:c r="G922" s="380" t="n">
        <x:f>--(F922&lt;='Estimator'!$B$7)</x:f>
        <x:v>1</x:v>
      </x:c>
      <x:c r="H922" s="381" t="n">
        <x:f>SUMIFS('Climate Data'!$G$7:$G$366,'Climate Data'!$A$7:$A$366,'Estimator'!$B$4,'Climate Data'!$B$7:$B$366,C922)</x:f>
        <x:v>0.49078341013824883</x:v>
      </x:c>
      <x:c r="I922" s="382" t="n">
        <x:f>SUMIFS('Climate Data'!$H$7:$H$366,'Climate Data'!$A$7:$A$366,'Estimator'!$B$4,'Climate Data'!$B$7:$B$366,C922)</x:f>
        <x:v>8.998122065727701</x:v>
      </x:c>
      <x:c r="J922" s="381" t="n">
        <x:f>SUMIFS('Wind Proxy'!$H$8:$H$19,'Wind Proxy'!$A$8:$A$19,'Estimator'!$B$4,'Wind Proxy'!$B$8:$B$19,C922)</x:f>
        <x:v>0.13739545997610514</x:v>
      </x:c>
    </x:row>
    <x:row r="923">
      <x:c r="A923" s="379" t="n">
        <x:v>46574</x:v>
      </x:c>
      <x:c r="B923" s="380" t="n">
        <x:v>2027</x:v>
      </x:c>
      <x:c r="C923" s="380" t="n">
        <x:v>7</x:v>
      </x:c>
      <x:c r="D923" s="380" t="str">
        <x:v>Jul</x:v>
      </x:c>
      <x:c r="E923" s="380" t="n">
        <x:v>6</x:v>
      </x:c>
      <x:c r="F923" s="380" t="n">
        <x:v>2</x:v>
      </x:c>
      <x:c r="G923" s="380" t="n">
        <x:f>--(F923&lt;='Estimator'!$B$7)</x:f>
        <x:v>1</x:v>
      </x:c>
      <x:c r="H923" s="381" t="n">
        <x:f>SUMIFS('Climate Data'!$G$7:$G$366,'Climate Data'!$A$7:$A$366,'Estimator'!$B$4,'Climate Data'!$B$7:$B$366,C923)</x:f>
        <x:v>0.49078341013824883</x:v>
      </x:c>
      <x:c r="I923" s="382" t="n">
        <x:f>SUMIFS('Climate Data'!$H$7:$H$366,'Climate Data'!$A$7:$A$366,'Estimator'!$B$4,'Climate Data'!$B$7:$B$366,C923)</x:f>
        <x:v>8.998122065727701</x:v>
      </x:c>
      <x:c r="J923" s="381" t="n">
        <x:f>SUMIFS('Wind Proxy'!$H$8:$H$19,'Wind Proxy'!$A$8:$A$19,'Estimator'!$B$4,'Wind Proxy'!$B$8:$B$19,C923)</x:f>
        <x:v>0.13739545997610514</x:v>
      </x:c>
    </x:row>
    <x:row r="924">
      <x:c r="A924" s="379" t="n">
        <x:v>46575</x:v>
      </x:c>
      <x:c r="B924" s="380" t="n">
        <x:v>2027</x:v>
      </x:c>
      <x:c r="C924" s="380" t="n">
        <x:v>7</x:v>
      </x:c>
      <x:c r="D924" s="380" t="str">
        <x:v>Jul</x:v>
      </x:c>
      <x:c r="E924" s="380" t="n">
        <x:v>7</x:v>
      </x:c>
      <x:c r="F924" s="380" t="n">
        <x:v>3</x:v>
      </x:c>
      <x:c r="G924" s="380" t="n">
        <x:f>--(F924&lt;='Estimator'!$B$7)</x:f>
        <x:v>1</x:v>
      </x:c>
      <x:c r="H924" s="381" t="n">
        <x:f>SUMIFS('Climate Data'!$G$7:$G$366,'Climate Data'!$A$7:$A$366,'Estimator'!$B$4,'Climate Data'!$B$7:$B$366,C924)</x:f>
        <x:v>0.49078341013824883</x:v>
      </x:c>
      <x:c r="I924" s="382" t="n">
        <x:f>SUMIFS('Climate Data'!$H$7:$H$366,'Climate Data'!$A$7:$A$366,'Estimator'!$B$4,'Climate Data'!$B$7:$B$366,C924)</x:f>
        <x:v>8.998122065727701</x:v>
      </x:c>
      <x:c r="J924" s="381" t="n">
        <x:f>SUMIFS('Wind Proxy'!$H$8:$H$19,'Wind Proxy'!$A$8:$A$19,'Estimator'!$B$4,'Wind Proxy'!$B$8:$B$19,C924)</x:f>
        <x:v>0.13739545997610514</x:v>
      </x:c>
    </x:row>
    <x:row r="925">
      <x:c r="A925" s="379" t="n">
        <x:v>46576</x:v>
      </x:c>
      <x:c r="B925" s="380" t="n">
        <x:v>2027</x:v>
      </x:c>
      <x:c r="C925" s="380" t="n">
        <x:v>7</x:v>
      </x:c>
      <x:c r="D925" s="380" t="str">
        <x:v>Jul</x:v>
      </x:c>
      <x:c r="E925" s="380" t="n">
        <x:v>8</x:v>
      </x:c>
      <x:c r="F925" s="380" t="n">
        <x:v>4</x:v>
      </x:c>
      <x:c r="G925" s="380" t="n">
        <x:f>--(F925&lt;='Estimator'!$B$7)</x:f>
        <x:v>1</x:v>
      </x:c>
      <x:c r="H925" s="381" t="n">
        <x:f>SUMIFS('Climate Data'!$G$7:$G$366,'Climate Data'!$A$7:$A$366,'Estimator'!$B$4,'Climate Data'!$B$7:$B$366,C925)</x:f>
        <x:v>0.49078341013824883</x:v>
      </x:c>
      <x:c r="I925" s="382" t="n">
        <x:f>SUMIFS('Climate Data'!$H$7:$H$366,'Climate Data'!$A$7:$A$366,'Estimator'!$B$4,'Climate Data'!$B$7:$B$366,C925)</x:f>
        <x:v>8.998122065727701</x:v>
      </x:c>
      <x:c r="J925" s="381" t="n">
        <x:f>SUMIFS('Wind Proxy'!$H$8:$H$19,'Wind Proxy'!$A$8:$A$19,'Estimator'!$B$4,'Wind Proxy'!$B$8:$B$19,C925)</x:f>
        <x:v>0.13739545997610514</x:v>
      </x:c>
    </x:row>
    <x:row r="926">
      <x:c r="A926" s="379" t="n">
        <x:v>46577</x:v>
      </x:c>
      <x:c r="B926" s="380" t="n">
        <x:v>2027</x:v>
      </x:c>
      <x:c r="C926" s="380" t="n">
        <x:v>7</x:v>
      </x:c>
      <x:c r="D926" s="380" t="str">
        <x:v>Jul</x:v>
      </x:c>
      <x:c r="E926" s="380" t="n">
        <x:v>9</x:v>
      </x:c>
      <x:c r="F926" s="380" t="n">
        <x:v>5</x:v>
      </x:c>
      <x:c r="G926" s="380" t="n">
        <x:f>--(F926&lt;='Estimator'!$B$7)</x:f>
        <x:v>1</x:v>
      </x:c>
      <x:c r="H926" s="381" t="n">
        <x:f>SUMIFS('Climate Data'!$G$7:$G$366,'Climate Data'!$A$7:$A$366,'Estimator'!$B$4,'Climate Data'!$B$7:$B$366,C926)</x:f>
        <x:v>0.49078341013824883</x:v>
      </x:c>
      <x:c r="I926" s="382" t="n">
        <x:f>SUMIFS('Climate Data'!$H$7:$H$366,'Climate Data'!$A$7:$A$366,'Estimator'!$B$4,'Climate Data'!$B$7:$B$366,C926)</x:f>
        <x:v>8.998122065727701</x:v>
      </x:c>
      <x:c r="J926" s="381" t="n">
        <x:f>SUMIFS('Wind Proxy'!$H$8:$H$19,'Wind Proxy'!$A$8:$A$19,'Estimator'!$B$4,'Wind Proxy'!$B$8:$B$19,C926)</x:f>
        <x:v>0.13739545997610514</x:v>
      </x:c>
    </x:row>
    <x:row r="927">
      <x:c r="A927" s="379" t="n">
        <x:v>46578</x:v>
      </x:c>
      <x:c r="B927" s="380" t="n">
        <x:v>2027</x:v>
      </x:c>
      <x:c r="C927" s="380" t="n">
        <x:v>7</x:v>
      </x:c>
      <x:c r="D927" s="380" t="str">
        <x:v>Jul</x:v>
      </x:c>
      <x:c r="E927" s="380" t="n">
        <x:v>10</x:v>
      </x:c>
      <x:c r="F927" s="380" t="n">
        <x:v>6</x:v>
      </x:c>
      <x:c r="G927" s="380" t="n">
        <x:f>--(F927&lt;='Estimator'!$B$7)</x:f>
        <x:v>0</x:v>
      </x:c>
      <x:c r="H927" s="381" t="n">
        <x:f>SUMIFS('Climate Data'!$G$7:$G$366,'Climate Data'!$A$7:$A$366,'Estimator'!$B$4,'Climate Data'!$B$7:$B$366,C927)</x:f>
        <x:v>0.49078341013824883</x:v>
      </x:c>
      <x:c r="I927" s="382" t="n">
        <x:f>SUMIFS('Climate Data'!$H$7:$H$366,'Climate Data'!$A$7:$A$366,'Estimator'!$B$4,'Climate Data'!$B$7:$B$366,C927)</x:f>
        <x:v>8.998122065727701</x:v>
      </x:c>
      <x:c r="J927" s="381" t="n">
        <x:f>SUMIFS('Wind Proxy'!$H$8:$H$19,'Wind Proxy'!$A$8:$A$19,'Estimator'!$B$4,'Wind Proxy'!$B$8:$B$19,C927)</x:f>
        <x:v>0.13739545997610514</x:v>
      </x:c>
    </x:row>
    <x:row r="928">
      <x:c r="A928" s="379" t="n">
        <x:v>46579</x:v>
      </x:c>
      <x:c r="B928" s="380" t="n">
        <x:v>2027</x:v>
      </x:c>
      <x:c r="C928" s="380" t="n">
        <x:v>7</x:v>
      </x:c>
      <x:c r="D928" s="380" t="str">
        <x:v>Jul</x:v>
      </x:c>
      <x:c r="E928" s="380" t="n">
        <x:v>11</x:v>
      </x:c>
      <x:c r="F928" s="380" t="n">
        <x:v>7</x:v>
      </x:c>
      <x:c r="G928" s="380" t="n">
        <x:f>--(F928&lt;='Estimator'!$B$7)</x:f>
        <x:v>0</x:v>
      </x:c>
      <x:c r="H928" s="381" t="n">
        <x:f>SUMIFS('Climate Data'!$G$7:$G$366,'Climate Data'!$A$7:$A$366,'Estimator'!$B$4,'Climate Data'!$B$7:$B$366,C928)</x:f>
        <x:v>0.49078341013824883</x:v>
      </x:c>
      <x:c r="I928" s="382" t="n">
        <x:f>SUMIFS('Climate Data'!$H$7:$H$366,'Climate Data'!$A$7:$A$366,'Estimator'!$B$4,'Climate Data'!$B$7:$B$366,C928)</x:f>
        <x:v>8.998122065727701</x:v>
      </x:c>
      <x:c r="J928" s="381" t="n">
        <x:f>SUMIFS('Wind Proxy'!$H$8:$H$19,'Wind Proxy'!$A$8:$A$19,'Estimator'!$B$4,'Wind Proxy'!$B$8:$B$19,C928)</x:f>
        <x:v>0.13739545997610514</x:v>
      </x:c>
    </x:row>
    <x:row r="929">
      <x:c r="A929" s="379" t="n">
        <x:v>46580</x:v>
      </x:c>
      <x:c r="B929" s="380" t="n">
        <x:v>2027</x:v>
      </x:c>
      <x:c r="C929" s="380" t="n">
        <x:v>7</x:v>
      </x:c>
      <x:c r="D929" s="380" t="str">
        <x:v>Jul</x:v>
      </x:c>
      <x:c r="E929" s="380" t="n">
        <x:v>12</x:v>
      </x:c>
      <x:c r="F929" s="380" t="n">
        <x:v>1</x:v>
      </x:c>
      <x:c r="G929" s="380" t="n">
        <x:f>--(F929&lt;='Estimator'!$B$7)</x:f>
        <x:v>1</x:v>
      </x:c>
      <x:c r="H929" s="381" t="n">
        <x:f>SUMIFS('Climate Data'!$G$7:$G$366,'Climate Data'!$A$7:$A$366,'Estimator'!$B$4,'Climate Data'!$B$7:$B$366,C929)</x:f>
        <x:v>0.49078341013824883</x:v>
      </x:c>
      <x:c r="I929" s="382" t="n">
        <x:f>SUMIFS('Climate Data'!$H$7:$H$366,'Climate Data'!$A$7:$A$366,'Estimator'!$B$4,'Climate Data'!$B$7:$B$366,C929)</x:f>
        <x:v>8.998122065727701</x:v>
      </x:c>
      <x:c r="J929" s="381" t="n">
        <x:f>SUMIFS('Wind Proxy'!$H$8:$H$19,'Wind Proxy'!$A$8:$A$19,'Estimator'!$B$4,'Wind Proxy'!$B$8:$B$19,C929)</x:f>
        <x:v>0.13739545997610514</x:v>
      </x:c>
    </x:row>
    <x:row r="930">
      <x:c r="A930" s="379" t="n">
        <x:v>46581</x:v>
      </x:c>
      <x:c r="B930" s="380" t="n">
        <x:v>2027</x:v>
      </x:c>
      <x:c r="C930" s="380" t="n">
        <x:v>7</x:v>
      </x:c>
      <x:c r="D930" s="380" t="str">
        <x:v>Jul</x:v>
      </x:c>
      <x:c r="E930" s="380" t="n">
        <x:v>13</x:v>
      </x:c>
      <x:c r="F930" s="380" t="n">
        <x:v>2</x:v>
      </x:c>
      <x:c r="G930" s="380" t="n">
        <x:f>--(F930&lt;='Estimator'!$B$7)</x:f>
        <x:v>1</x:v>
      </x:c>
      <x:c r="H930" s="381" t="n">
        <x:f>SUMIFS('Climate Data'!$G$7:$G$366,'Climate Data'!$A$7:$A$366,'Estimator'!$B$4,'Climate Data'!$B$7:$B$366,C930)</x:f>
        <x:v>0.49078341013824883</x:v>
      </x:c>
      <x:c r="I930" s="382" t="n">
        <x:f>SUMIFS('Climate Data'!$H$7:$H$366,'Climate Data'!$A$7:$A$366,'Estimator'!$B$4,'Climate Data'!$B$7:$B$366,C930)</x:f>
        <x:v>8.998122065727701</x:v>
      </x:c>
      <x:c r="J930" s="381" t="n">
        <x:f>SUMIFS('Wind Proxy'!$H$8:$H$19,'Wind Proxy'!$A$8:$A$19,'Estimator'!$B$4,'Wind Proxy'!$B$8:$B$19,C930)</x:f>
        <x:v>0.13739545997610514</x:v>
      </x:c>
    </x:row>
    <x:row r="931">
      <x:c r="A931" s="379" t="n">
        <x:v>46582</x:v>
      </x:c>
      <x:c r="B931" s="380" t="n">
        <x:v>2027</x:v>
      </x:c>
      <x:c r="C931" s="380" t="n">
        <x:v>7</x:v>
      </x:c>
      <x:c r="D931" s="380" t="str">
        <x:v>Jul</x:v>
      </x:c>
      <x:c r="E931" s="380" t="n">
        <x:v>14</x:v>
      </x:c>
      <x:c r="F931" s="380" t="n">
        <x:v>3</x:v>
      </x:c>
      <x:c r="G931" s="380" t="n">
        <x:f>--(F931&lt;='Estimator'!$B$7)</x:f>
        <x:v>1</x:v>
      </x:c>
      <x:c r="H931" s="381" t="n">
        <x:f>SUMIFS('Climate Data'!$G$7:$G$366,'Climate Data'!$A$7:$A$366,'Estimator'!$B$4,'Climate Data'!$B$7:$B$366,C931)</x:f>
        <x:v>0.49078341013824883</x:v>
      </x:c>
      <x:c r="I931" s="382" t="n">
        <x:f>SUMIFS('Climate Data'!$H$7:$H$366,'Climate Data'!$A$7:$A$366,'Estimator'!$B$4,'Climate Data'!$B$7:$B$366,C931)</x:f>
        <x:v>8.998122065727701</x:v>
      </x:c>
      <x:c r="J931" s="381" t="n">
        <x:f>SUMIFS('Wind Proxy'!$H$8:$H$19,'Wind Proxy'!$A$8:$A$19,'Estimator'!$B$4,'Wind Proxy'!$B$8:$B$19,C931)</x:f>
        <x:v>0.13739545997610514</x:v>
      </x:c>
    </x:row>
    <x:row r="932">
      <x:c r="A932" s="379" t="n">
        <x:v>46583</x:v>
      </x:c>
      <x:c r="B932" s="380" t="n">
        <x:v>2027</x:v>
      </x:c>
      <x:c r="C932" s="380" t="n">
        <x:v>7</x:v>
      </x:c>
      <x:c r="D932" s="380" t="str">
        <x:v>Jul</x:v>
      </x:c>
      <x:c r="E932" s="380" t="n">
        <x:v>15</x:v>
      </x:c>
      <x:c r="F932" s="380" t="n">
        <x:v>4</x:v>
      </x:c>
      <x:c r="G932" s="380" t="n">
        <x:f>--(F932&lt;='Estimator'!$B$7)</x:f>
        <x:v>1</x:v>
      </x:c>
      <x:c r="H932" s="381" t="n">
        <x:f>SUMIFS('Climate Data'!$G$7:$G$366,'Climate Data'!$A$7:$A$366,'Estimator'!$B$4,'Climate Data'!$B$7:$B$366,C932)</x:f>
        <x:v>0.49078341013824883</x:v>
      </x:c>
      <x:c r="I932" s="382" t="n">
        <x:f>SUMIFS('Climate Data'!$H$7:$H$366,'Climate Data'!$A$7:$A$366,'Estimator'!$B$4,'Climate Data'!$B$7:$B$366,C932)</x:f>
        <x:v>8.998122065727701</x:v>
      </x:c>
      <x:c r="J932" s="381" t="n">
        <x:f>SUMIFS('Wind Proxy'!$H$8:$H$19,'Wind Proxy'!$A$8:$A$19,'Estimator'!$B$4,'Wind Proxy'!$B$8:$B$19,C932)</x:f>
        <x:v>0.13739545997610514</x:v>
      </x:c>
    </x:row>
    <x:row r="933">
      <x:c r="A933" s="379" t="n">
        <x:v>46584</x:v>
      </x:c>
      <x:c r="B933" s="380" t="n">
        <x:v>2027</x:v>
      </x:c>
      <x:c r="C933" s="380" t="n">
        <x:v>7</x:v>
      </x:c>
      <x:c r="D933" s="380" t="str">
        <x:v>Jul</x:v>
      </x:c>
      <x:c r="E933" s="380" t="n">
        <x:v>16</x:v>
      </x:c>
      <x:c r="F933" s="380" t="n">
        <x:v>5</x:v>
      </x:c>
      <x:c r="G933" s="380" t="n">
        <x:f>--(F933&lt;='Estimator'!$B$7)</x:f>
        <x:v>1</x:v>
      </x:c>
      <x:c r="H933" s="381" t="n">
        <x:f>SUMIFS('Climate Data'!$G$7:$G$366,'Climate Data'!$A$7:$A$366,'Estimator'!$B$4,'Climate Data'!$B$7:$B$366,C933)</x:f>
        <x:v>0.49078341013824883</x:v>
      </x:c>
      <x:c r="I933" s="382" t="n">
        <x:f>SUMIFS('Climate Data'!$H$7:$H$366,'Climate Data'!$A$7:$A$366,'Estimator'!$B$4,'Climate Data'!$B$7:$B$366,C933)</x:f>
        <x:v>8.998122065727701</x:v>
      </x:c>
      <x:c r="J933" s="381" t="n">
        <x:f>SUMIFS('Wind Proxy'!$H$8:$H$19,'Wind Proxy'!$A$8:$A$19,'Estimator'!$B$4,'Wind Proxy'!$B$8:$B$19,C933)</x:f>
        <x:v>0.13739545997610514</x:v>
      </x:c>
    </x:row>
    <x:row r="934">
      <x:c r="A934" s="379" t="n">
        <x:v>46585</x:v>
      </x:c>
      <x:c r="B934" s="380" t="n">
        <x:v>2027</x:v>
      </x:c>
      <x:c r="C934" s="380" t="n">
        <x:v>7</x:v>
      </x:c>
      <x:c r="D934" s="380" t="str">
        <x:v>Jul</x:v>
      </x:c>
      <x:c r="E934" s="380" t="n">
        <x:v>17</x:v>
      </x:c>
      <x:c r="F934" s="380" t="n">
        <x:v>6</x:v>
      </x:c>
      <x:c r="G934" s="380" t="n">
        <x:f>--(F934&lt;='Estimator'!$B$7)</x:f>
        <x:v>0</x:v>
      </x:c>
      <x:c r="H934" s="381" t="n">
        <x:f>SUMIFS('Climate Data'!$G$7:$G$366,'Climate Data'!$A$7:$A$366,'Estimator'!$B$4,'Climate Data'!$B$7:$B$366,C934)</x:f>
        <x:v>0.49078341013824883</x:v>
      </x:c>
      <x:c r="I934" s="382" t="n">
        <x:f>SUMIFS('Climate Data'!$H$7:$H$366,'Climate Data'!$A$7:$A$366,'Estimator'!$B$4,'Climate Data'!$B$7:$B$366,C934)</x:f>
        <x:v>8.998122065727701</x:v>
      </x:c>
      <x:c r="J934" s="381" t="n">
        <x:f>SUMIFS('Wind Proxy'!$H$8:$H$19,'Wind Proxy'!$A$8:$A$19,'Estimator'!$B$4,'Wind Proxy'!$B$8:$B$19,C934)</x:f>
        <x:v>0.13739545997610514</x:v>
      </x:c>
    </x:row>
    <x:row r="935">
      <x:c r="A935" s="379" t="n">
        <x:v>46586</x:v>
      </x:c>
      <x:c r="B935" s="380" t="n">
        <x:v>2027</x:v>
      </x:c>
      <x:c r="C935" s="380" t="n">
        <x:v>7</x:v>
      </x:c>
      <x:c r="D935" s="380" t="str">
        <x:v>Jul</x:v>
      </x:c>
      <x:c r="E935" s="380" t="n">
        <x:v>18</x:v>
      </x:c>
      <x:c r="F935" s="380" t="n">
        <x:v>7</x:v>
      </x:c>
      <x:c r="G935" s="380" t="n">
        <x:f>--(F935&lt;='Estimator'!$B$7)</x:f>
        <x:v>0</x:v>
      </x:c>
      <x:c r="H935" s="381" t="n">
        <x:f>SUMIFS('Climate Data'!$G$7:$G$366,'Climate Data'!$A$7:$A$366,'Estimator'!$B$4,'Climate Data'!$B$7:$B$366,C935)</x:f>
        <x:v>0.49078341013824883</x:v>
      </x:c>
      <x:c r="I935" s="382" t="n">
        <x:f>SUMIFS('Climate Data'!$H$7:$H$366,'Climate Data'!$A$7:$A$366,'Estimator'!$B$4,'Climate Data'!$B$7:$B$366,C935)</x:f>
        <x:v>8.998122065727701</x:v>
      </x:c>
      <x:c r="J935" s="381" t="n">
        <x:f>SUMIFS('Wind Proxy'!$H$8:$H$19,'Wind Proxy'!$A$8:$A$19,'Estimator'!$B$4,'Wind Proxy'!$B$8:$B$19,C935)</x:f>
        <x:v>0.13739545997610514</x:v>
      </x:c>
    </x:row>
    <x:row r="936">
      <x:c r="A936" s="379" t="n">
        <x:v>46587</x:v>
      </x:c>
      <x:c r="B936" s="380" t="n">
        <x:v>2027</x:v>
      </x:c>
      <x:c r="C936" s="380" t="n">
        <x:v>7</x:v>
      </x:c>
      <x:c r="D936" s="380" t="str">
        <x:v>Jul</x:v>
      </x:c>
      <x:c r="E936" s="380" t="n">
        <x:v>19</x:v>
      </x:c>
      <x:c r="F936" s="380" t="n">
        <x:v>1</x:v>
      </x:c>
      <x:c r="G936" s="380" t="n">
        <x:f>--(F936&lt;='Estimator'!$B$7)</x:f>
        <x:v>1</x:v>
      </x:c>
      <x:c r="H936" s="381" t="n">
        <x:f>SUMIFS('Climate Data'!$G$7:$G$366,'Climate Data'!$A$7:$A$366,'Estimator'!$B$4,'Climate Data'!$B$7:$B$366,C936)</x:f>
        <x:v>0.49078341013824883</x:v>
      </x:c>
      <x:c r="I936" s="382" t="n">
        <x:f>SUMIFS('Climate Data'!$H$7:$H$366,'Climate Data'!$A$7:$A$366,'Estimator'!$B$4,'Climate Data'!$B$7:$B$366,C936)</x:f>
        <x:v>8.998122065727701</x:v>
      </x:c>
      <x:c r="J936" s="381" t="n">
        <x:f>SUMIFS('Wind Proxy'!$H$8:$H$19,'Wind Proxy'!$A$8:$A$19,'Estimator'!$B$4,'Wind Proxy'!$B$8:$B$19,C936)</x:f>
        <x:v>0.13739545997610514</x:v>
      </x:c>
    </x:row>
    <x:row r="937">
      <x:c r="A937" s="379" t="n">
        <x:v>46588</x:v>
      </x:c>
      <x:c r="B937" s="380" t="n">
        <x:v>2027</x:v>
      </x:c>
      <x:c r="C937" s="380" t="n">
        <x:v>7</x:v>
      </x:c>
      <x:c r="D937" s="380" t="str">
        <x:v>Jul</x:v>
      </x:c>
      <x:c r="E937" s="380" t="n">
        <x:v>20</x:v>
      </x:c>
      <x:c r="F937" s="380" t="n">
        <x:v>2</x:v>
      </x:c>
      <x:c r="G937" s="380" t="n">
        <x:f>--(F937&lt;='Estimator'!$B$7)</x:f>
        <x:v>1</x:v>
      </x:c>
      <x:c r="H937" s="381" t="n">
        <x:f>SUMIFS('Climate Data'!$G$7:$G$366,'Climate Data'!$A$7:$A$366,'Estimator'!$B$4,'Climate Data'!$B$7:$B$366,C937)</x:f>
        <x:v>0.49078341013824883</x:v>
      </x:c>
      <x:c r="I937" s="382" t="n">
        <x:f>SUMIFS('Climate Data'!$H$7:$H$366,'Climate Data'!$A$7:$A$366,'Estimator'!$B$4,'Climate Data'!$B$7:$B$366,C937)</x:f>
        <x:v>8.998122065727701</x:v>
      </x:c>
      <x:c r="J937" s="381" t="n">
        <x:f>SUMIFS('Wind Proxy'!$H$8:$H$19,'Wind Proxy'!$A$8:$A$19,'Estimator'!$B$4,'Wind Proxy'!$B$8:$B$19,C937)</x:f>
        <x:v>0.13739545997610514</x:v>
      </x:c>
    </x:row>
    <x:row r="938">
      <x:c r="A938" s="379" t="n">
        <x:v>46589</x:v>
      </x:c>
      <x:c r="B938" s="380" t="n">
        <x:v>2027</x:v>
      </x:c>
      <x:c r="C938" s="380" t="n">
        <x:v>7</x:v>
      </x:c>
      <x:c r="D938" s="380" t="str">
        <x:v>Jul</x:v>
      </x:c>
      <x:c r="E938" s="380" t="n">
        <x:v>21</x:v>
      </x:c>
      <x:c r="F938" s="380" t="n">
        <x:v>3</x:v>
      </x:c>
      <x:c r="G938" s="380" t="n">
        <x:f>--(F938&lt;='Estimator'!$B$7)</x:f>
        <x:v>1</x:v>
      </x:c>
      <x:c r="H938" s="381" t="n">
        <x:f>SUMIFS('Climate Data'!$G$7:$G$366,'Climate Data'!$A$7:$A$366,'Estimator'!$B$4,'Climate Data'!$B$7:$B$366,C938)</x:f>
        <x:v>0.49078341013824883</x:v>
      </x:c>
      <x:c r="I938" s="382" t="n">
        <x:f>SUMIFS('Climate Data'!$H$7:$H$366,'Climate Data'!$A$7:$A$366,'Estimator'!$B$4,'Climate Data'!$B$7:$B$366,C938)</x:f>
        <x:v>8.998122065727701</x:v>
      </x:c>
      <x:c r="J938" s="381" t="n">
        <x:f>SUMIFS('Wind Proxy'!$H$8:$H$19,'Wind Proxy'!$A$8:$A$19,'Estimator'!$B$4,'Wind Proxy'!$B$8:$B$19,C938)</x:f>
        <x:v>0.13739545997610514</x:v>
      </x:c>
    </x:row>
    <x:row r="939">
      <x:c r="A939" s="379" t="n">
        <x:v>46590</x:v>
      </x:c>
      <x:c r="B939" s="380" t="n">
        <x:v>2027</x:v>
      </x:c>
      <x:c r="C939" s="380" t="n">
        <x:v>7</x:v>
      </x:c>
      <x:c r="D939" s="380" t="str">
        <x:v>Jul</x:v>
      </x:c>
      <x:c r="E939" s="380" t="n">
        <x:v>22</x:v>
      </x:c>
      <x:c r="F939" s="380" t="n">
        <x:v>4</x:v>
      </x:c>
      <x:c r="G939" s="380" t="n">
        <x:f>--(F939&lt;='Estimator'!$B$7)</x:f>
        <x:v>1</x:v>
      </x:c>
      <x:c r="H939" s="381" t="n">
        <x:f>SUMIFS('Climate Data'!$G$7:$G$366,'Climate Data'!$A$7:$A$366,'Estimator'!$B$4,'Climate Data'!$B$7:$B$366,C939)</x:f>
        <x:v>0.49078341013824883</x:v>
      </x:c>
      <x:c r="I939" s="382" t="n">
        <x:f>SUMIFS('Climate Data'!$H$7:$H$366,'Climate Data'!$A$7:$A$366,'Estimator'!$B$4,'Climate Data'!$B$7:$B$366,C939)</x:f>
        <x:v>8.998122065727701</x:v>
      </x:c>
      <x:c r="J939" s="381" t="n">
        <x:f>SUMIFS('Wind Proxy'!$H$8:$H$19,'Wind Proxy'!$A$8:$A$19,'Estimator'!$B$4,'Wind Proxy'!$B$8:$B$19,C939)</x:f>
        <x:v>0.13739545997610514</x:v>
      </x:c>
    </x:row>
    <x:row r="940">
      <x:c r="A940" s="379" t="n">
        <x:v>46591</x:v>
      </x:c>
      <x:c r="B940" s="380" t="n">
        <x:v>2027</x:v>
      </x:c>
      <x:c r="C940" s="380" t="n">
        <x:v>7</x:v>
      </x:c>
      <x:c r="D940" s="380" t="str">
        <x:v>Jul</x:v>
      </x:c>
      <x:c r="E940" s="380" t="n">
        <x:v>23</x:v>
      </x:c>
      <x:c r="F940" s="380" t="n">
        <x:v>5</x:v>
      </x:c>
      <x:c r="G940" s="380" t="n">
        <x:f>--(F940&lt;='Estimator'!$B$7)</x:f>
        <x:v>1</x:v>
      </x:c>
      <x:c r="H940" s="381" t="n">
        <x:f>SUMIFS('Climate Data'!$G$7:$G$366,'Climate Data'!$A$7:$A$366,'Estimator'!$B$4,'Climate Data'!$B$7:$B$366,C940)</x:f>
        <x:v>0.49078341013824883</x:v>
      </x:c>
      <x:c r="I940" s="382" t="n">
        <x:f>SUMIFS('Climate Data'!$H$7:$H$366,'Climate Data'!$A$7:$A$366,'Estimator'!$B$4,'Climate Data'!$B$7:$B$366,C940)</x:f>
        <x:v>8.998122065727701</x:v>
      </x:c>
      <x:c r="J940" s="381" t="n">
        <x:f>SUMIFS('Wind Proxy'!$H$8:$H$19,'Wind Proxy'!$A$8:$A$19,'Estimator'!$B$4,'Wind Proxy'!$B$8:$B$19,C940)</x:f>
        <x:v>0.13739545997610514</x:v>
      </x:c>
    </x:row>
    <x:row r="941">
      <x:c r="A941" s="379" t="n">
        <x:v>46592</x:v>
      </x:c>
      <x:c r="B941" s="380" t="n">
        <x:v>2027</x:v>
      </x:c>
      <x:c r="C941" s="380" t="n">
        <x:v>7</x:v>
      </x:c>
      <x:c r="D941" s="380" t="str">
        <x:v>Jul</x:v>
      </x:c>
      <x:c r="E941" s="380" t="n">
        <x:v>24</x:v>
      </x:c>
      <x:c r="F941" s="380" t="n">
        <x:v>6</x:v>
      </x:c>
      <x:c r="G941" s="380" t="n">
        <x:f>--(F941&lt;='Estimator'!$B$7)</x:f>
        <x:v>0</x:v>
      </x:c>
      <x:c r="H941" s="381" t="n">
        <x:f>SUMIFS('Climate Data'!$G$7:$G$366,'Climate Data'!$A$7:$A$366,'Estimator'!$B$4,'Climate Data'!$B$7:$B$366,C941)</x:f>
        <x:v>0.49078341013824883</x:v>
      </x:c>
      <x:c r="I941" s="382" t="n">
        <x:f>SUMIFS('Climate Data'!$H$7:$H$366,'Climate Data'!$A$7:$A$366,'Estimator'!$B$4,'Climate Data'!$B$7:$B$366,C941)</x:f>
        <x:v>8.998122065727701</x:v>
      </x:c>
      <x:c r="J941" s="381" t="n">
        <x:f>SUMIFS('Wind Proxy'!$H$8:$H$19,'Wind Proxy'!$A$8:$A$19,'Estimator'!$B$4,'Wind Proxy'!$B$8:$B$19,C941)</x:f>
        <x:v>0.13739545997610514</x:v>
      </x:c>
    </x:row>
    <x:row r="942">
      <x:c r="A942" s="379" t="n">
        <x:v>46593</x:v>
      </x:c>
      <x:c r="B942" s="380" t="n">
        <x:v>2027</x:v>
      </x:c>
      <x:c r="C942" s="380" t="n">
        <x:v>7</x:v>
      </x:c>
      <x:c r="D942" s="380" t="str">
        <x:v>Jul</x:v>
      </x:c>
      <x:c r="E942" s="380" t="n">
        <x:v>25</x:v>
      </x:c>
      <x:c r="F942" s="380" t="n">
        <x:v>7</x:v>
      </x:c>
      <x:c r="G942" s="380" t="n">
        <x:f>--(F942&lt;='Estimator'!$B$7)</x:f>
        <x:v>0</x:v>
      </x:c>
      <x:c r="H942" s="381" t="n">
        <x:f>SUMIFS('Climate Data'!$G$7:$G$366,'Climate Data'!$A$7:$A$366,'Estimator'!$B$4,'Climate Data'!$B$7:$B$366,C942)</x:f>
        <x:v>0.49078341013824883</x:v>
      </x:c>
      <x:c r="I942" s="382" t="n">
        <x:f>SUMIFS('Climate Data'!$H$7:$H$366,'Climate Data'!$A$7:$A$366,'Estimator'!$B$4,'Climate Data'!$B$7:$B$366,C942)</x:f>
        <x:v>8.998122065727701</x:v>
      </x:c>
      <x:c r="J942" s="381" t="n">
        <x:f>SUMIFS('Wind Proxy'!$H$8:$H$19,'Wind Proxy'!$A$8:$A$19,'Estimator'!$B$4,'Wind Proxy'!$B$8:$B$19,C942)</x:f>
        <x:v>0.13739545997610514</x:v>
      </x:c>
    </x:row>
    <x:row r="943">
      <x:c r="A943" s="379" t="n">
        <x:v>46594</x:v>
      </x:c>
      <x:c r="B943" s="380" t="n">
        <x:v>2027</x:v>
      </x:c>
      <x:c r="C943" s="380" t="n">
        <x:v>7</x:v>
      </x:c>
      <x:c r="D943" s="380" t="str">
        <x:v>Jul</x:v>
      </x:c>
      <x:c r="E943" s="380" t="n">
        <x:v>26</x:v>
      </x:c>
      <x:c r="F943" s="380" t="n">
        <x:v>1</x:v>
      </x:c>
      <x:c r="G943" s="380" t="n">
        <x:f>--(F943&lt;='Estimator'!$B$7)</x:f>
        <x:v>1</x:v>
      </x:c>
      <x:c r="H943" s="381" t="n">
        <x:f>SUMIFS('Climate Data'!$G$7:$G$366,'Climate Data'!$A$7:$A$366,'Estimator'!$B$4,'Climate Data'!$B$7:$B$366,C943)</x:f>
        <x:v>0.49078341013824883</x:v>
      </x:c>
      <x:c r="I943" s="382" t="n">
        <x:f>SUMIFS('Climate Data'!$H$7:$H$366,'Climate Data'!$A$7:$A$366,'Estimator'!$B$4,'Climate Data'!$B$7:$B$366,C943)</x:f>
        <x:v>8.998122065727701</x:v>
      </x:c>
      <x:c r="J943" s="381" t="n">
        <x:f>SUMIFS('Wind Proxy'!$H$8:$H$19,'Wind Proxy'!$A$8:$A$19,'Estimator'!$B$4,'Wind Proxy'!$B$8:$B$19,C943)</x:f>
        <x:v>0.13739545997610514</x:v>
      </x:c>
    </x:row>
    <x:row r="944">
      <x:c r="A944" s="379" t="n">
        <x:v>46595</x:v>
      </x:c>
      <x:c r="B944" s="380" t="n">
        <x:v>2027</x:v>
      </x:c>
      <x:c r="C944" s="380" t="n">
        <x:v>7</x:v>
      </x:c>
      <x:c r="D944" s="380" t="str">
        <x:v>Jul</x:v>
      </x:c>
      <x:c r="E944" s="380" t="n">
        <x:v>27</x:v>
      </x:c>
      <x:c r="F944" s="380" t="n">
        <x:v>2</x:v>
      </x:c>
      <x:c r="G944" s="380" t="n">
        <x:f>--(F944&lt;='Estimator'!$B$7)</x:f>
        <x:v>1</x:v>
      </x:c>
      <x:c r="H944" s="381" t="n">
        <x:f>SUMIFS('Climate Data'!$G$7:$G$366,'Climate Data'!$A$7:$A$366,'Estimator'!$B$4,'Climate Data'!$B$7:$B$366,C944)</x:f>
        <x:v>0.49078341013824883</x:v>
      </x:c>
      <x:c r="I944" s="382" t="n">
        <x:f>SUMIFS('Climate Data'!$H$7:$H$366,'Climate Data'!$A$7:$A$366,'Estimator'!$B$4,'Climate Data'!$B$7:$B$366,C944)</x:f>
        <x:v>8.998122065727701</x:v>
      </x:c>
      <x:c r="J944" s="381" t="n">
        <x:f>SUMIFS('Wind Proxy'!$H$8:$H$19,'Wind Proxy'!$A$8:$A$19,'Estimator'!$B$4,'Wind Proxy'!$B$8:$B$19,C944)</x:f>
        <x:v>0.13739545997610514</x:v>
      </x:c>
    </x:row>
    <x:row r="945">
      <x:c r="A945" s="379" t="n">
        <x:v>46596</x:v>
      </x:c>
      <x:c r="B945" s="380" t="n">
        <x:v>2027</x:v>
      </x:c>
      <x:c r="C945" s="380" t="n">
        <x:v>7</x:v>
      </x:c>
      <x:c r="D945" s="380" t="str">
        <x:v>Jul</x:v>
      </x:c>
      <x:c r="E945" s="380" t="n">
        <x:v>28</x:v>
      </x:c>
      <x:c r="F945" s="380" t="n">
        <x:v>3</x:v>
      </x:c>
      <x:c r="G945" s="380" t="n">
        <x:f>--(F945&lt;='Estimator'!$B$7)</x:f>
        <x:v>1</x:v>
      </x:c>
      <x:c r="H945" s="381" t="n">
        <x:f>SUMIFS('Climate Data'!$G$7:$G$366,'Climate Data'!$A$7:$A$366,'Estimator'!$B$4,'Climate Data'!$B$7:$B$366,C945)</x:f>
        <x:v>0.49078341013824883</x:v>
      </x:c>
      <x:c r="I945" s="382" t="n">
        <x:f>SUMIFS('Climate Data'!$H$7:$H$366,'Climate Data'!$A$7:$A$366,'Estimator'!$B$4,'Climate Data'!$B$7:$B$366,C945)</x:f>
        <x:v>8.998122065727701</x:v>
      </x:c>
      <x:c r="J945" s="381" t="n">
        <x:f>SUMIFS('Wind Proxy'!$H$8:$H$19,'Wind Proxy'!$A$8:$A$19,'Estimator'!$B$4,'Wind Proxy'!$B$8:$B$19,C945)</x:f>
        <x:v>0.13739545997610514</x:v>
      </x:c>
    </x:row>
    <x:row r="946">
      <x:c r="A946" s="379" t="n">
        <x:v>46597</x:v>
      </x:c>
      <x:c r="B946" s="380" t="n">
        <x:v>2027</x:v>
      </x:c>
      <x:c r="C946" s="380" t="n">
        <x:v>7</x:v>
      </x:c>
      <x:c r="D946" s="380" t="str">
        <x:v>Jul</x:v>
      </x:c>
      <x:c r="E946" s="380" t="n">
        <x:v>29</x:v>
      </x:c>
      <x:c r="F946" s="380" t="n">
        <x:v>4</x:v>
      </x:c>
      <x:c r="G946" s="380" t="n">
        <x:f>--(F946&lt;='Estimator'!$B$7)</x:f>
        <x:v>1</x:v>
      </x:c>
      <x:c r="H946" s="381" t="n">
        <x:f>SUMIFS('Climate Data'!$G$7:$G$366,'Climate Data'!$A$7:$A$366,'Estimator'!$B$4,'Climate Data'!$B$7:$B$366,C946)</x:f>
        <x:v>0.49078341013824883</x:v>
      </x:c>
      <x:c r="I946" s="382" t="n">
        <x:f>SUMIFS('Climate Data'!$H$7:$H$366,'Climate Data'!$A$7:$A$366,'Estimator'!$B$4,'Climate Data'!$B$7:$B$366,C946)</x:f>
        <x:v>8.998122065727701</x:v>
      </x:c>
      <x:c r="J946" s="381" t="n">
        <x:f>SUMIFS('Wind Proxy'!$H$8:$H$19,'Wind Proxy'!$A$8:$A$19,'Estimator'!$B$4,'Wind Proxy'!$B$8:$B$19,C946)</x:f>
        <x:v>0.13739545997610514</x:v>
      </x:c>
    </x:row>
    <x:row r="947">
      <x:c r="A947" s="379" t="n">
        <x:v>46598</x:v>
      </x:c>
      <x:c r="B947" s="380" t="n">
        <x:v>2027</x:v>
      </x:c>
      <x:c r="C947" s="380" t="n">
        <x:v>7</x:v>
      </x:c>
      <x:c r="D947" s="380" t="str">
        <x:v>Jul</x:v>
      </x:c>
      <x:c r="E947" s="380" t="n">
        <x:v>30</x:v>
      </x:c>
      <x:c r="F947" s="380" t="n">
        <x:v>5</x:v>
      </x:c>
      <x:c r="G947" s="380" t="n">
        <x:f>--(F947&lt;='Estimator'!$B$7)</x:f>
        <x:v>1</x:v>
      </x:c>
      <x:c r="H947" s="381" t="n">
        <x:f>SUMIFS('Climate Data'!$G$7:$G$366,'Climate Data'!$A$7:$A$366,'Estimator'!$B$4,'Climate Data'!$B$7:$B$366,C947)</x:f>
        <x:v>0.49078341013824883</x:v>
      </x:c>
      <x:c r="I947" s="382" t="n">
        <x:f>SUMIFS('Climate Data'!$H$7:$H$366,'Climate Data'!$A$7:$A$366,'Estimator'!$B$4,'Climate Data'!$B$7:$B$366,C947)</x:f>
        <x:v>8.998122065727701</x:v>
      </x:c>
      <x:c r="J947" s="381" t="n">
        <x:f>SUMIFS('Wind Proxy'!$H$8:$H$19,'Wind Proxy'!$A$8:$A$19,'Estimator'!$B$4,'Wind Proxy'!$B$8:$B$19,C947)</x:f>
        <x:v>0.13739545997610514</x:v>
      </x:c>
    </x:row>
    <x:row r="948">
      <x:c r="A948" s="379" t="n">
        <x:v>46599</x:v>
      </x:c>
      <x:c r="B948" s="380" t="n">
        <x:v>2027</x:v>
      </x:c>
      <x:c r="C948" s="380" t="n">
        <x:v>7</x:v>
      </x:c>
      <x:c r="D948" s="380" t="str">
        <x:v>Jul</x:v>
      </x:c>
      <x:c r="E948" s="380" t="n">
        <x:v>31</x:v>
      </x:c>
      <x:c r="F948" s="380" t="n">
        <x:v>6</x:v>
      </x:c>
      <x:c r="G948" s="380" t="n">
        <x:f>--(F948&lt;='Estimator'!$B$7)</x:f>
        <x:v>0</x:v>
      </x:c>
      <x:c r="H948" s="381" t="n">
        <x:f>SUMIFS('Climate Data'!$G$7:$G$366,'Climate Data'!$A$7:$A$366,'Estimator'!$B$4,'Climate Data'!$B$7:$B$366,C948)</x:f>
        <x:v>0.49078341013824883</x:v>
      </x:c>
      <x:c r="I948" s="382" t="n">
        <x:f>SUMIFS('Climate Data'!$H$7:$H$366,'Climate Data'!$A$7:$A$366,'Estimator'!$B$4,'Climate Data'!$B$7:$B$366,C948)</x:f>
        <x:v>8.998122065727701</x:v>
      </x:c>
      <x:c r="J948" s="381" t="n">
        <x:f>SUMIFS('Wind Proxy'!$H$8:$H$19,'Wind Proxy'!$A$8:$A$19,'Estimator'!$B$4,'Wind Proxy'!$B$8:$B$19,C948)</x:f>
        <x:v>0.13739545997610514</x:v>
      </x:c>
    </x:row>
    <x:row r="949">
      <x:c r="A949" s="379" t="n">
        <x:v>46600</x:v>
      </x:c>
      <x:c r="B949" s="380" t="n">
        <x:v>2027</x:v>
      </x:c>
      <x:c r="C949" s="380" t="n">
        <x:v>8</x:v>
      </x:c>
      <x:c r="D949" s="380" t="str">
        <x:v>Aug</x:v>
      </x:c>
      <x:c r="E949" s="380" t="n">
        <x:v>1</x:v>
      </x:c>
      <x:c r="F949" s="380" t="n">
        <x:v>7</x:v>
      </x:c>
      <x:c r="G949" s="380" t="n">
        <x:f>--(F949&lt;='Estimator'!$B$7)</x:f>
        <x:v>0</x:v>
      </x:c>
      <x:c r="H949" s="381" t="n">
        <x:f>SUMIFS('Climate Data'!$G$7:$G$366,'Climate Data'!$A$7:$A$366,'Estimator'!$B$4,'Climate Data'!$B$7:$B$366,C949)</x:f>
        <x:v>0.47274749721913234</x:v>
      </x:c>
      <x:c r="I949" s="382" t="n">
        <x:f>SUMIFS('Climate Data'!$H$7:$H$366,'Climate Data'!$A$7:$A$366,'Estimator'!$B$4,'Climate Data'!$B$7:$B$366,C949)</x:f>
        <x:v>7.9971764705882356</x:v>
      </x:c>
      <x:c r="J949" s="381" t="n">
        <x:f>SUMIFS('Wind Proxy'!$H$8:$H$19,'Wind Proxy'!$A$8:$A$19,'Estimator'!$B$4,'Wind Proxy'!$B$8:$B$19,C949)</x:f>
        <x:v>0.13739545997610514</x:v>
      </x:c>
    </x:row>
    <x:row r="950">
      <x:c r="A950" s="379" t="n">
        <x:v>46601</x:v>
      </x:c>
      <x:c r="B950" s="380" t="n">
        <x:v>2027</x:v>
      </x:c>
      <x:c r="C950" s="380" t="n">
        <x:v>8</x:v>
      </x:c>
      <x:c r="D950" s="380" t="str">
        <x:v>Aug</x:v>
      </x:c>
      <x:c r="E950" s="380" t="n">
        <x:v>2</x:v>
      </x:c>
      <x:c r="F950" s="380" t="n">
        <x:v>1</x:v>
      </x:c>
      <x:c r="G950" s="380" t="n">
        <x:f>--(F950&lt;='Estimator'!$B$7)</x:f>
        <x:v>1</x:v>
      </x:c>
      <x:c r="H950" s="381" t="n">
        <x:f>SUMIFS('Climate Data'!$G$7:$G$366,'Climate Data'!$A$7:$A$366,'Estimator'!$B$4,'Climate Data'!$B$7:$B$366,C950)</x:f>
        <x:v>0.47274749721913234</x:v>
      </x:c>
      <x:c r="I950" s="382" t="n">
        <x:f>SUMIFS('Climate Data'!$H$7:$H$366,'Climate Data'!$A$7:$A$366,'Estimator'!$B$4,'Climate Data'!$B$7:$B$366,C950)</x:f>
        <x:v>7.9971764705882356</x:v>
      </x:c>
      <x:c r="J950" s="381" t="n">
        <x:f>SUMIFS('Wind Proxy'!$H$8:$H$19,'Wind Proxy'!$A$8:$A$19,'Estimator'!$B$4,'Wind Proxy'!$B$8:$B$19,C950)</x:f>
        <x:v>0.13739545997610514</x:v>
      </x:c>
    </x:row>
    <x:row r="951">
      <x:c r="A951" s="379" t="n">
        <x:v>46602</x:v>
      </x:c>
      <x:c r="B951" s="380" t="n">
        <x:v>2027</x:v>
      </x:c>
      <x:c r="C951" s="380" t="n">
        <x:v>8</x:v>
      </x:c>
      <x:c r="D951" s="380" t="str">
        <x:v>Aug</x:v>
      </x:c>
      <x:c r="E951" s="380" t="n">
        <x:v>3</x:v>
      </x:c>
      <x:c r="F951" s="380" t="n">
        <x:v>2</x:v>
      </x:c>
      <x:c r="G951" s="380" t="n">
        <x:f>--(F951&lt;='Estimator'!$B$7)</x:f>
        <x:v>1</x:v>
      </x:c>
      <x:c r="H951" s="381" t="n">
        <x:f>SUMIFS('Climate Data'!$G$7:$G$366,'Climate Data'!$A$7:$A$366,'Estimator'!$B$4,'Climate Data'!$B$7:$B$366,C951)</x:f>
        <x:v>0.47274749721913234</x:v>
      </x:c>
      <x:c r="I951" s="382" t="n">
        <x:f>SUMIFS('Climate Data'!$H$7:$H$366,'Climate Data'!$A$7:$A$366,'Estimator'!$B$4,'Climate Data'!$B$7:$B$366,C951)</x:f>
        <x:v>7.9971764705882356</x:v>
      </x:c>
      <x:c r="J951" s="381" t="n">
        <x:f>SUMIFS('Wind Proxy'!$H$8:$H$19,'Wind Proxy'!$A$8:$A$19,'Estimator'!$B$4,'Wind Proxy'!$B$8:$B$19,C951)</x:f>
        <x:v>0.13739545997610514</x:v>
      </x:c>
    </x:row>
    <x:row r="952">
      <x:c r="A952" s="379" t="n">
        <x:v>46603</x:v>
      </x:c>
      <x:c r="B952" s="380" t="n">
        <x:v>2027</x:v>
      </x:c>
      <x:c r="C952" s="380" t="n">
        <x:v>8</x:v>
      </x:c>
      <x:c r="D952" s="380" t="str">
        <x:v>Aug</x:v>
      </x:c>
      <x:c r="E952" s="380" t="n">
        <x:v>4</x:v>
      </x:c>
      <x:c r="F952" s="380" t="n">
        <x:v>3</x:v>
      </x:c>
      <x:c r="G952" s="380" t="n">
        <x:f>--(F952&lt;='Estimator'!$B$7)</x:f>
        <x:v>1</x:v>
      </x:c>
      <x:c r="H952" s="381" t="n">
        <x:f>SUMIFS('Climate Data'!$G$7:$G$366,'Climate Data'!$A$7:$A$366,'Estimator'!$B$4,'Climate Data'!$B$7:$B$366,C952)</x:f>
        <x:v>0.47274749721913234</x:v>
      </x:c>
      <x:c r="I952" s="382" t="n">
        <x:f>SUMIFS('Climate Data'!$H$7:$H$366,'Climate Data'!$A$7:$A$366,'Estimator'!$B$4,'Climate Data'!$B$7:$B$366,C952)</x:f>
        <x:v>7.9971764705882356</x:v>
      </x:c>
      <x:c r="J952" s="381" t="n">
        <x:f>SUMIFS('Wind Proxy'!$H$8:$H$19,'Wind Proxy'!$A$8:$A$19,'Estimator'!$B$4,'Wind Proxy'!$B$8:$B$19,C952)</x:f>
        <x:v>0.13739545997610514</x:v>
      </x:c>
    </x:row>
    <x:row r="953">
      <x:c r="A953" s="379" t="n">
        <x:v>46604</x:v>
      </x:c>
      <x:c r="B953" s="380" t="n">
        <x:v>2027</x:v>
      </x:c>
      <x:c r="C953" s="380" t="n">
        <x:v>8</x:v>
      </x:c>
      <x:c r="D953" s="380" t="str">
        <x:v>Aug</x:v>
      </x:c>
      <x:c r="E953" s="380" t="n">
        <x:v>5</x:v>
      </x:c>
      <x:c r="F953" s="380" t="n">
        <x:v>4</x:v>
      </x:c>
      <x:c r="G953" s="380" t="n">
        <x:f>--(F953&lt;='Estimator'!$B$7)</x:f>
        <x:v>1</x:v>
      </x:c>
      <x:c r="H953" s="381" t="n">
        <x:f>SUMIFS('Climate Data'!$G$7:$G$366,'Climate Data'!$A$7:$A$366,'Estimator'!$B$4,'Climate Data'!$B$7:$B$366,C953)</x:f>
        <x:v>0.47274749721913234</x:v>
      </x:c>
      <x:c r="I953" s="382" t="n">
        <x:f>SUMIFS('Climate Data'!$H$7:$H$366,'Climate Data'!$A$7:$A$366,'Estimator'!$B$4,'Climate Data'!$B$7:$B$366,C953)</x:f>
        <x:v>7.9971764705882356</x:v>
      </x:c>
      <x:c r="J953" s="381" t="n">
        <x:f>SUMIFS('Wind Proxy'!$H$8:$H$19,'Wind Proxy'!$A$8:$A$19,'Estimator'!$B$4,'Wind Proxy'!$B$8:$B$19,C953)</x:f>
        <x:v>0.13739545997610514</x:v>
      </x:c>
    </x:row>
    <x:row r="954">
      <x:c r="A954" s="379" t="n">
        <x:v>46605</x:v>
      </x:c>
      <x:c r="B954" s="380" t="n">
        <x:v>2027</x:v>
      </x:c>
      <x:c r="C954" s="380" t="n">
        <x:v>8</x:v>
      </x:c>
      <x:c r="D954" s="380" t="str">
        <x:v>Aug</x:v>
      </x:c>
      <x:c r="E954" s="380" t="n">
        <x:v>6</x:v>
      </x:c>
      <x:c r="F954" s="380" t="n">
        <x:v>5</x:v>
      </x:c>
      <x:c r="G954" s="380" t="n">
        <x:f>--(F954&lt;='Estimator'!$B$7)</x:f>
        <x:v>1</x:v>
      </x:c>
      <x:c r="H954" s="381" t="n">
        <x:f>SUMIFS('Climate Data'!$G$7:$G$366,'Climate Data'!$A$7:$A$366,'Estimator'!$B$4,'Climate Data'!$B$7:$B$366,C954)</x:f>
        <x:v>0.47274749721913234</x:v>
      </x:c>
      <x:c r="I954" s="382" t="n">
        <x:f>SUMIFS('Climate Data'!$H$7:$H$366,'Climate Data'!$A$7:$A$366,'Estimator'!$B$4,'Climate Data'!$B$7:$B$366,C954)</x:f>
        <x:v>7.9971764705882356</x:v>
      </x:c>
      <x:c r="J954" s="381" t="n">
        <x:f>SUMIFS('Wind Proxy'!$H$8:$H$19,'Wind Proxy'!$A$8:$A$19,'Estimator'!$B$4,'Wind Proxy'!$B$8:$B$19,C954)</x:f>
        <x:v>0.13739545997610514</x:v>
      </x:c>
    </x:row>
    <x:row r="955">
      <x:c r="A955" s="379" t="n">
        <x:v>46606</x:v>
      </x:c>
      <x:c r="B955" s="380" t="n">
        <x:v>2027</x:v>
      </x:c>
      <x:c r="C955" s="380" t="n">
        <x:v>8</x:v>
      </x:c>
      <x:c r="D955" s="380" t="str">
        <x:v>Aug</x:v>
      </x:c>
      <x:c r="E955" s="380" t="n">
        <x:v>7</x:v>
      </x:c>
      <x:c r="F955" s="380" t="n">
        <x:v>6</x:v>
      </x:c>
      <x:c r="G955" s="380" t="n">
        <x:f>--(F955&lt;='Estimator'!$B$7)</x:f>
        <x:v>0</x:v>
      </x:c>
      <x:c r="H955" s="381" t="n">
        <x:f>SUMIFS('Climate Data'!$G$7:$G$366,'Climate Data'!$A$7:$A$366,'Estimator'!$B$4,'Climate Data'!$B$7:$B$366,C955)</x:f>
        <x:v>0.47274749721913234</x:v>
      </x:c>
      <x:c r="I955" s="382" t="n">
        <x:f>SUMIFS('Climate Data'!$H$7:$H$366,'Climate Data'!$A$7:$A$366,'Estimator'!$B$4,'Climate Data'!$B$7:$B$366,C955)</x:f>
        <x:v>7.9971764705882356</x:v>
      </x:c>
      <x:c r="J955" s="381" t="n">
        <x:f>SUMIFS('Wind Proxy'!$H$8:$H$19,'Wind Proxy'!$A$8:$A$19,'Estimator'!$B$4,'Wind Proxy'!$B$8:$B$19,C955)</x:f>
        <x:v>0.13739545997610514</x:v>
      </x:c>
    </x:row>
    <x:row r="956">
      <x:c r="A956" s="379" t="n">
        <x:v>46607</x:v>
      </x:c>
      <x:c r="B956" s="380" t="n">
        <x:v>2027</x:v>
      </x:c>
      <x:c r="C956" s="380" t="n">
        <x:v>8</x:v>
      </x:c>
      <x:c r="D956" s="380" t="str">
        <x:v>Aug</x:v>
      </x:c>
      <x:c r="E956" s="380" t="n">
        <x:v>8</x:v>
      </x:c>
      <x:c r="F956" s="380" t="n">
        <x:v>7</x:v>
      </x:c>
      <x:c r="G956" s="380" t="n">
        <x:f>--(F956&lt;='Estimator'!$B$7)</x:f>
        <x:v>0</x:v>
      </x:c>
      <x:c r="H956" s="381" t="n">
        <x:f>SUMIFS('Climate Data'!$G$7:$G$366,'Climate Data'!$A$7:$A$366,'Estimator'!$B$4,'Climate Data'!$B$7:$B$366,C956)</x:f>
        <x:v>0.47274749721913234</x:v>
      </x:c>
      <x:c r="I956" s="382" t="n">
        <x:f>SUMIFS('Climate Data'!$H$7:$H$366,'Climate Data'!$A$7:$A$366,'Estimator'!$B$4,'Climate Data'!$B$7:$B$366,C956)</x:f>
        <x:v>7.9971764705882356</x:v>
      </x:c>
      <x:c r="J956" s="381" t="n">
        <x:f>SUMIFS('Wind Proxy'!$H$8:$H$19,'Wind Proxy'!$A$8:$A$19,'Estimator'!$B$4,'Wind Proxy'!$B$8:$B$19,C956)</x:f>
        <x:v>0.13739545997610514</x:v>
      </x:c>
    </x:row>
    <x:row r="957">
      <x:c r="A957" s="379" t="n">
        <x:v>46608</x:v>
      </x:c>
      <x:c r="B957" s="380" t="n">
        <x:v>2027</x:v>
      </x:c>
      <x:c r="C957" s="380" t="n">
        <x:v>8</x:v>
      </x:c>
      <x:c r="D957" s="380" t="str">
        <x:v>Aug</x:v>
      </x:c>
      <x:c r="E957" s="380" t="n">
        <x:v>9</x:v>
      </x:c>
      <x:c r="F957" s="380" t="n">
        <x:v>1</x:v>
      </x:c>
      <x:c r="G957" s="380" t="n">
        <x:f>--(F957&lt;='Estimator'!$B$7)</x:f>
        <x:v>1</x:v>
      </x:c>
      <x:c r="H957" s="381" t="n">
        <x:f>SUMIFS('Climate Data'!$G$7:$G$366,'Climate Data'!$A$7:$A$366,'Estimator'!$B$4,'Climate Data'!$B$7:$B$366,C957)</x:f>
        <x:v>0.47274749721913234</x:v>
      </x:c>
      <x:c r="I957" s="382" t="n">
        <x:f>SUMIFS('Climate Data'!$H$7:$H$366,'Climate Data'!$A$7:$A$366,'Estimator'!$B$4,'Climate Data'!$B$7:$B$366,C957)</x:f>
        <x:v>7.9971764705882356</x:v>
      </x:c>
      <x:c r="J957" s="381" t="n">
        <x:f>SUMIFS('Wind Proxy'!$H$8:$H$19,'Wind Proxy'!$A$8:$A$19,'Estimator'!$B$4,'Wind Proxy'!$B$8:$B$19,C957)</x:f>
        <x:v>0.13739545997610514</x:v>
      </x:c>
    </x:row>
    <x:row r="958">
      <x:c r="A958" s="379" t="n">
        <x:v>46609</x:v>
      </x:c>
      <x:c r="B958" s="380" t="n">
        <x:v>2027</x:v>
      </x:c>
      <x:c r="C958" s="380" t="n">
        <x:v>8</x:v>
      </x:c>
      <x:c r="D958" s="380" t="str">
        <x:v>Aug</x:v>
      </x:c>
      <x:c r="E958" s="380" t="n">
        <x:v>10</x:v>
      </x:c>
      <x:c r="F958" s="380" t="n">
        <x:v>2</x:v>
      </x:c>
      <x:c r="G958" s="380" t="n">
        <x:f>--(F958&lt;='Estimator'!$B$7)</x:f>
        <x:v>1</x:v>
      </x:c>
      <x:c r="H958" s="381" t="n">
        <x:f>SUMIFS('Climate Data'!$G$7:$G$366,'Climate Data'!$A$7:$A$366,'Estimator'!$B$4,'Climate Data'!$B$7:$B$366,C958)</x:f>
        <x:v>0.47274749721913234</x:v>
      </x:c>
      <x:c r="I958" s="382" t="n">
        <x:f>SUMIFS('Climate Data'!$H$7:$H$366,'Climate Data'!$A$7:$A$366,'Estimator'!$B$4,'Climate Data'!$B$7:$B$366,C958)</x:f>
        <x:v>7.9971764705882356</x:v>
      </x:c>
      <x:c r="J958" s="381" t="n">
        <x:f>SUMIFS('Wind Proxy'!$H$8:$H$19,'Wind Proxy'!$A$8:$A$19,'Estimator'!$B$4,'Wind Proxy'!$B$8:$B$19,C958)</x:f>
        <x:v>0.13739545997610514</x:v>
      </x:c>
    </x:row>
    <x:row r="959">
      <x:c r="A959" s="379" t="n">
        <x:v>46610</x:v>
      </x:c>
      <x:c r="B959" s="380" t="n">
        <x:v>2027</x:v>
      </x:c>
      <x:c r="C959" s="380" t="n">
        <x:v>8</x:v>
      </x:c>
      <x:c r="D959" s="380" t="str">
        <x:v>Aug</x:v>
      </x:c>
      <x:c r="E959" s="380" t="n">
        <x:v>11</x:v>
      </x:c>
      <x:c r="F959" s="380" t="n">
        <x:v>3</x:v>
      </x:c>
      <x:c r="G959" s="380" t="n">
        <x:f>--(F959&lt;='Estimator'!$B$7)</x:f>
        <x:v>1</x:v>
      </x:c>
      <x:c r="H959" s="381" t="n">
        <x:f>SUMIFS('Climate Data'!$G$7:$G$366,'Climate Data'!$A$7:$A$366,'Estimator'!$B$4,'Climate Data'!$B$7:$B$366,C959)</x:f>
        <x:v>0.47274749721913234</x:v>
      </x:c>
      <x:c r="I959" s="382" t="n">
        <x:f>SUMIFS('Climate Data'!$H$7:$H$366,'Climate Data'!$A$7:$A$366,'Estimator'!$B$4,'Climate Data'!$B$7:$B$366,C959)</x:f>
        <x:v>7.9971764705882356</x:v>
      </x:c>
      <x:c r="J959" s="381" t="n">
        <x:f>SUMIFS('Wind Proxy'!$H$8:$H$19,'Wind Proxy'!$A$8:$A$19,'Estimator'!$B$4,'Wind Proxy'!$B$8:$B$19,C959)</x:f>
        <x:v>0.13739545997610514</x:v>
      </x:c>
    </x:row>
    <x:row r="960">
      <x:c r="A960" s="379" t="n">
        <x:v>46611</x:v>
      </x:c>
      <x:c r="B960" s="380" t="n">
        <x:v>2027</x:v>
      </x:c>
      <x:c r="C960" s="380" t="n">
        <x:v>8</x:v>
      </x:c>
      <x:c r="D960" s="380" t="str">
        <x:v>Aug</x:v>
      </x:c>
      <x:c r="E960" s="380" t="n">
        <x:v>12</x:v>
      </x:c>
      <x:c r="F960" s="380" t="n">
        <x:v>4</x:v>
      </x:c>
      <x:c r="G960" s="380" t="n">
        <x:f>--(F960&lt;='Estimator'!$B$7)</x:f>
        <x:v>1</x:v>
      </x:c>
      <x:c r="H960" s="381" t="n">
        <x:f>SUMIFS('Climate Data'!$G$7:$G$366,'Climate Data'!$A$7:$A$366,'Estimator'!$B$4,'Climate Data'!$B$7:$B$366,C960)</x:f>
        <x:v>0.47274749721913234</x:v>
      </x:c>
      <x:c r="I960" s="382" t="n">
        <x:f>SUMIFS('Climate Data'!$H$7:$H$366,'Climate Data'!$A$7:$A$366,'Estimator'!$B$4,'Climate Data'!$B$7:$B$366,C960)</x:f>
        <x:v>7.9971764705882356</x:v>
      </x:c>
      <x:c r="J960" s="381" t="n">
        <x:f>SUMIFS('Wind Proxy'!$H$8:$H$19,'Wind Proxy'!$A$8:$A$19,'Estimator'!$B$4,'Wind Proxy'!$B$8:$B$19,C960)</x:f>
        <x:v>0.13739545997610514</x:v>
      </x:c>
    </x:row>
    <x:row r="961">
      <x:c r="A961" s="379" t="n">
        <x:v>46612</x:v>
      </x:c>
      <x:c r="B961" s="380" t="n">
        <x:v>2027</x:v>
      </x:c>
      <x:c r="C961" s="380" t="n">
        <x:v>8</x:v>
      </x:c>
      <x:c r="D961" s="380" t="str">
        <x:v>Aug</x:v>
      </x:c>
      <x:c r="E961" s="380" t="n">
        <x:v>13</x:v>
      </x:c>
      <x:c r="F961" s="380" t="n">
        <x:v>5</x:v>
      </x:c>
      <x:c r="G961" s="380" t="n">
        <x:f>--(F961&lt;='Estimator'!$B$7)</x:f>
        <x:v>1</x:v>
      </x:c>
      <x:c r="H961" s="381" t="n">
        <x:f>SUMIFS('Climate Data'!$G$7:$G$366,'Climate Data'!$A$7:$A$366,'Estimator'!$B$4,'Climate Data'!$B$7:$B$366,C961)</x:f>
        <x:v>0.47274749721913234</x:v>
      </x:c>
      <x:c r="I961" s="382" t="n">
        <x:f>SUMIFS('Climate Data'!$H$7:$H$366,'Climate Data'!$A$7:$A$366,'Estimator'!$B$4,'Climate Data'!$B$7:$B$366,C961)</x:f>
        <x:v>7.9971764705882356</x:v>
      </x:c>
      <x:c r="J961" s="381" t="n">
        <x:f>SUMIFS('Wind Proxy'!$H$8:$H$19,'Wind Proxy'!$A$8:$A$19,'Estimator'!$B$4,'Wind Proxy'!$B$8:$B$19,C961)</x:f>
        <x:v>0.13739545997610514</x:v>
      </x:c>
    </x:row>
    <x:row r="962">
      <x:c r="A962" s="379" t="n">
        <x:v>46613</x:v>
      </x:c>
      <x:c r="B962" s="380" t="n">
        <x:v>2027</x:v>
      </x:c>
      <x:c r="C962" s="380" t="n">
        <x:v>8</x:v>
      </x:c>
      <x:c r="D962" s="380" t="str">
        <x:v>Aug</x:v>
      </x:c>
      <x:c r="E962" s="380" t="n">
        <x:v>14</x:v>
      </x:c>
      <x:c r="F962" s="380" t="n">
        <x:v>6</x:v>
      </x:c>
      <x:c r="G962" s="380" t="n">
        <x:f>--(F962&lt;='Estimator'!$B$7)</x:f>
        <x:v>0</x:v>
      </x:c>
      <x:c r="H962" s="381" t="n">
        <x:f>SUMIFS('Climate Data'!$G$7:$G$366,'Climate Data'!$A$7:$A$366,'Estimator'!$B$4,'Climate Data'!$B$7:$B$366,C962)</x:f>
        <x:v>0.47274749721913234</x:v>
      </x:c>
      <x:c r="I962" s="382" t="n">
        <x:f>SUMIFS('Climate Data'!$H$7:$H$366,'Climate Data'!$A$7:$A$366,'Estimator'!$B$4,'Climate Data'!$B$7:$B$366,C962)</x:f>
        <x:v>7.9971764705882356</x:v>
      </x:c>
      <x:c r="J962" s="381" t="n">
        <x:f>SUMIFS('Wind Proxy'!$H$8:$H$19,'Wind Proxy'!$A$8:$A$19,'Estimator'!$B$4,'Wind Proxy'!$B$8:$B$19,C962)</x:f>
        <x:v>0.13739545997610514</x:v>
      </x:c>
    </x:row>
    <x:row r="963">
      <x:c r="A963" s="379" t="n">
        <x:v>46614</x:v>
      </x:c>
      <x:c r="B963" s="380" t="n">
        <x:v>2027</x:v>
      </x:c>
      <x:c r="C963" s="380" t="n">
        <x:v>8</x:v>
      </x:c>
      <x:c r="D963" s="380" t="str">
        <x:v>Aug</x:v>
      </x:c>
      <x:c r="E963" s="380" t="n">
        <x:v>15</x:v>
      </x:c>
      <x:c r="F963" s="380" t="n">
        <x:v>7</x:v>
      </x:c>
      <x:c r="G963" s="380" t="n">
        <x:f>--(F963&lt;='Estimator'!$B$7)</x:f>
        <x:v>0</x:v>
      </x:c>
      <x:c r="H963" s="381" t="n">
        <x:f>SUMIFS('Climate Data'!$G$7:$G$366,'Climate Data'!$A$7:$A$366,'Estimator'!$B$4,'Climate Data'!$B$7:$B$366,C963)</x:f>
        <x:v>0.47274749721913234</x:v>
      </x:c>
      <x:c r="I963" s="382" t="n">
        <x:f>SUMIFS('Climate Data'!$H$7:$H$366,'Climate Data'!$A$7:$A$366,'Estimator'!$B$4,'Climate Data'!$B$7:$B$366,C963)</x:f>
        <x:v>7.9971764705882356</x:v>
      </x:c>
      <x:c r="J963" s="381" t="n">
        <x:f>SUMIFS('Wind Proxy'!$H$8:$H$19,'Wind Proxy'!$A$8:$A$19,'Estimator'!$B$4,'Wind Proxy'!$B$8:$B$19,C963)</x:f>
        <x:v>0.13739545997610514</x:v>
      </x:c>
    </x:row>
    <x:row r="964">
      <x:c r="A964" s="379" t="n">
        <x:v>46615</x:v>
      </x:c>
      <x:c r="B964" s="380" t="n">
        <x:v>2027</x:v>
      </x:c>
      <x:c r="C964" s="380" t="n">
        <x:v>8</x:v>
      </x:c>
      <x:c r="D964" s="380" t="str">
        <x:v>Aug</x:v>
      </x:c>
      <x:c r="E964" s="380" t="n">
        <x:v>16</x:v>
      </x:c>
      <x:c r="F964" s="380" t="n">
        <x:v>1</x:v>
      </x:c>
      <x:c r="G964" s="380" t="n">
        <x:f>--(F964&lt;='Estimator'!$B$7)</x:f>
        <x:v>1</x:v>
      </x:c>
      <x:c r="H964" s="381" t="n">
        <x:f>SUMIFS('Climate Data'!$G$7:$G$366,'Climate Data'!$A$7:$A$366,'Estimator'!$B$4,'Climate Data'!$B$7:$B$366,C964)</x:f>
        <x:v>0.47274749721913234</x:v>
      </x:c>
      <x:c r="I964" s="382" t="n">
        <x:f>SUMIFS('Climate Data'!$H$7:$H$366,'Climate Data'!$A$7:$A$366,'Estimator'!$B$4,'Climate Data'!$B$7:$B$366,C964)</x:f>
        <x:v>7.9971764705882356</x:v>
      </x:c>
      <x:c r="J964" s="381" t="n">
        <x:f>SUMIFS('Wind Proxy'!$H$8:$H$19,'Wind Proxy'!$A$8:$A$19,'Estimator'!$B$4,'Wind Proxy'!$B$8:$B$19,C964)</x:f>
        <x:v>0.13739545997610514</x:v>
      </x:c>
    </x:row>
    <x:row r="965">
      <x:c r="A965" s="379" t="n">
        <x:v>46616</x:v>
      </x:c>
      <x:c r="B965" s="380" t="n">
        <x:v>2027</x:v>
      </x:c>
      <x:c r="C965" s="380" t="n">
        <x:v>8</x:v>
      </x:c>
      <x:c r="D965" s="380" t="str">
        <x:v>Aug</x:v>
      </x:c>
      <x:c r="E965" s="380" t="n">
        <x:v>17</x:v>
      </x:c>
      <x:c r="F965" s="380" t="n">
        <x:v>2</x:v>
      </x:c>
      <x:c r="G965" s="380" t="n">
        <x:f>--(F965&lt;='Estimator'!$B$7)</x:f>
        <x:v>1</x:v>
      </x:c>
      <x:c r="H965" s="381" t="n">
        <x:f>SUMIFS('Climate Data'!$G$7:$G$366,'Climate Data'!$A$7:$A$366,'Estimator'!$B$4,'Climate Data'!$B$7:$B$366,C965)</x:f>
        <x:v>0.47274749721913234</x:v>
      </x:c>
      <x:c r="I965" s="382" t="n">
        <x:f>SUMIFS('Climate Data'!$H$7:$H$366,'Climate Data'!$A$7:$A$366,'Estimator'!$B$4,'Climate Data'!$B$7:$B$366,C965)</x:f>
        <x:v>7.9971764705882356</x:v>
      </x:c>
      <x:c r="J965" s="381" t="n">
        <x:f>SUMIFS('Wind Proxy'!$H$8:$H$19,'Wind Proxy'!$A$8:$A$19,'Estimator'!$B$4,'Wind Proxy'!$B$8:$B$19,C965)</x:f>
        <x:v>0.13739545997610514</x:v>
      </x:c>
    </x:row>
    <x:row r="966">
      <x:c r="A966" s="379" t="n">
        <x:v>46617</x:v>
      </x:c>
      <x:c r="B966" s="380" t="n">
        <x:v>2027</x:v>
      </x:c>
      <x:c r="C966" s="380" t="n">
        <x:v>8</x:v>
      </x:c>
      <x:c r="D966" s="380" t="str">
        <x:v>Aug</x:v>
      </x:c>
      <x:c r="E966" s="380" t="n">
        <x:v>18</x:v>
      </x:c>
      <x:c r="F966" s="380" t="n">
        <x:v>3</x:v>
      </x:c>
      <x:c r="G966" s="380" t="n">
        <x:f>--(F966&lt;='Estimator'!$B$7)</x:f>
        <x:v>1</x:v>
      </x:c>
      <x:c r="H966" s="381" t="n">
        <x:f>SUMIFS('Climate Data'!$G$7:$G$366,'Climate Data'!$A$7:$A$366,'Estimator'!$B$4,'Climate Data'!$B$7:$B$366,C966)</x:f>
        <x:v>0.47274749721913234</x:v>
      </x:c>
      <x:c r="I966" s="382" t="n">
        <x:f>SUMIFS('Climate Data'!$H$7:$H$366,'Climate Data'!$A$7:$A$366,'Estimator'!$B$4,'Climate Data'!$B$7:$B$366,C966)</x:f>
        <x:v>7.9971764705882356</x:v>
      </x:c>
      <x:c r="J966" s="381" t="n">
        <x:f>SUMIFS('Wind Proxy'!$H$8:$H$19,'Wind Proxy'!$A$8:$A$19,'Estimator'!$B$4,'Wind Proxy'!$B$8:$B$19,C966)</x:f>
        <x:v>0.13739545997610514</x:v>
      </x:c>
    </x:row>
    <x:row r="967">
      <x:c r="A967" s="379" t="n">
        <x:v>46618</x:v>
      </x:c>
      <x:c r="B967" s="380" t="n">
        <x:v>2027</x:v>
      </x:c>
      <x:c r="C967" s="380" t="n">
        <x:v>8</x:v>
      </x:c>
      <x:c r="D967" s="380" t="str">
        <x:v>Aug</x:v>
      </x:c>
      <x:c r="E967" s="380" t="n">
        <x:v>19</x:v>
      </x:c>
      <x:c r="F967" s="380" t="n">
        <x:v>4</x:v>
      </x:c>
      <x:c r="G967" s="380" t="n">
        <x:f>--(F967&lt;='Estimator'!$B$7)</x:f>
        <x:v>1</x:v>
      </x:c>
      <x:c r="H967" s="381" t="n">
        <x:f>SUMIFS('Climate Data'!$G$7:$G$366,'Climate Data'!$A$7:$A$366,'Estimator'!$B$4,'Climate Data'!$B$7:$B$366,C967)</x:f>
        <x:v>0.47274749721913234</x:v>
      </x:c>
      <x:c r="I967" s="382" t="n">
        <x:f>SUMIFS('Climate Data'!$H$7:$H$366,'Climate Data'!$A$7:$A$366,'Estimator'!$B$4,'Climate Data'!$B$7:$B$366,C967)</x:f>
        <x:v>7.9971764705882356</x:v>
      </x:c>
      <x:c r="J967" s="381" t="n">
        <x:f>SUMIFS('Wind Proxy'!$H$8:$H$19,'Wind Proxy'!$A$8:$A$19,'Estimator'!$B$4,'Wind Proxy'!$B$8:$B$19,C967)</x:f>
        <x:v>0.13739545997610514</x:v>
      </x:c>
    </x:row>
    <x:row r="968">
      <x:c r="A968" s="379" t="n">
        <x:v>46619</x:v>
      </x:c>
      <x:c r="B968" s="380" t="n">
        <x:v>2027</x:v>
      </x:c>
      <x:c r="C968" s="380" t="n">
        <x:v>8</x:v>
      </x:c>
      <x:c r="D968" s="380" t="str">
        <x:v>Aug</x:v>
      </x:c>
      <x:c r="E968" s="380" t="n">
        <x:v>20</x:v>
      </x:c>
      <x:c r="F968" s="380" t="n">
        <x:v>5</x:v>
      </x:c>
      <x:c r="G968" s="380" t="n">
        <x:f>--(F968&lt;='Estimator'!$B$7)</x:f>
        <x:v>1</x:v>
      </x:c>
      <x:c r="H968" s="381" t="n">
        <x:f>SUMIFS('Climate Data'!$G$7:$G$366,'Climate Data'!$A$7:$A$366,'Estimator'!$B$4,'Climate Data'!$B$7:$B$366,C968)</x:f>
        <x:v>0.47274749721913234</x:v>
      </x:c>
      <x:c r="I968" s="382" t="n">
        <x:f>SUMIFS('Climate Data'!$H$7:$H$366,'Climate Data'!$A$7:$A$366,'Estimator'!$B$4,'Climate Data'!$B$7:$B$366,C968)</x:f>
        <x:v>7.9971764705882356</x:v>
      </x:c>
      <x:c r="J968" s="381" t="n">
        <x:f>SUMIFS('Wind Proxy'!$H$8:$H$19,'Wind Proxy'!$A$8:$A$19,'Estimator'!$B$4,'Wind Proxy'!$B$8:$B$19,C968)</x:f>
        <x:v>0.13739545997610514</x:v>
      </x:c>
    </x:row>
    <x:row r="969">
      <x:c r="A969" s="379" t="n">
        <x:v>46620</x:v>
      </x:c>
      <x:c r="B969" s="380" t="n">
        <x:v>2027</x:v>
      </x:c>
      <x:c r="C969" s="380" t="n">
        <x:v>8</x:v>
      </x:c>
      <x:c r="D969" s="380" t="str">
        <x:v>Aug</x:v>
      </x:c>
      <x:c r="E969" s="380" t="n">
        <x:v>21</x:v>
      </x:c>
      <x:c r="F969" s="380" t="n">
        <x:v>6</x:v>
      </x:c>
      <x:c r="G969" s="380" t="n">
        <x:f>--(F969&lt;='Estimator'!$B$7)</x:f>
        <x:v>0</x:v>
      </x:c>
      <x:c r="H969" s="381" t="n">
        <x:f>SUMIFS('Climate Data'!$G$7:$G$366,'Climate Data'!$A$7:$A$366,'Estimator'!$B$4,'Climate Data'!$B$7:$B$366,C969)</x:f>
        <x:v>0.47274749721913234</x:v>
      </x:c>
      <x:c r="I969" s="382" t="n">
        <x:f>SUMIFS('Climate Data'!$H$7:$H$366,'Climate Data'!$A$7:$A$366,'Estimator'!$B$4,'Climate Data'!$B$7:$B$366,C969)</x:f>
        <x:v>7.9971764705882356</x:v>
      </x:c>
      <x:c r="J969" s="381" t="n">
        <x:f>SUMIFS('Wind Proxy'!$H$8:$H$19,'Wind Proxy'!$A$8:$A$19,'Estimator'!$B$4,'Wind Proxy'!$B$8:$B$19,C969)</x:f>
        <x:v>0.13739545997610514</x:v>
      </x:c>
    </x:row>
    <x:row r="970">
      <x:c r="A970" s="379" t="n">
        <x:v>46621</x:v>
      </x:c>
      <x:c r="B970" s="380" t="n">
        <x:v>2027</x:v>
      </x:c>
      <x:c r="C970" s="380" t="n">
        <x:v>8</x:v>
      </x:c>
      <x:c r="D970" s="380" t="str">
        <x:v>Aug</x:v>
      </x:c>
      <x:c r="E970" s="380" t="n">
        <x:v>22</x:v>
      </x:c>
      <x:c r="F970" s="380" t="n">
        <x:v>7</x:v>
      </x:c>
      <x:c r="G970" s="380" t="n">
        <x:f>--(F970&lt;='Estimator'!$B$7)</x:f>
        <x:v>0</x:v>
      </x:c>
      <x:c r="H970" s="381" t="n">
        <x:f>SUMIFS('Climate Data'!$G$7:$G$366,'Climate Data'!$A$7:$A$366,'Estimator'!$B$4,'Climate Data'!$B$7:$B$366,C970)</x:f>
        <x:v>0.47274749721913234</x:v>
      </x:c>
      <x:c r="I970" s="382" t="n">
        <x:f>SUMIFS('Climate Data'!$H$7:$H$366,'Climate Data'!$A$7:$A$366,'Estimator'!$B$4,'Climate Data'!$B$7:$B$366,C970)</x:f>
        <x:v>7.9971764705882356</x:v>
      </x:c>
      <x:c r="J970" s="381" t="n">
        <x:f>SUMIFS('Wind Proxy'!$H$8:$H$19,'Wind Proxy'!$A$8:$A$19,'Estimator'!$B$4,'Wind Proxy'!$B$8:$B$19,C970)</x:f>
        <x:v>0.13739545997610514</x:v>
      </x:c>
    </x:row>
    <x:row r="971">
      <x:c r="A971" s="379" t="n">
        <x:v>46622</x:v>
      </x:c>
      <x:c r="B971" s="380" t="n">
        <x:v>2027</x:v>
      </x:c>
      <x:c r="C971" s="380" t="n">
        <x:v>8</x:v>
      </x:c>
      <x:c r="D971" s="380" t="str">
        <x:v>Aug</x:v>
      </x:c>
      <x:c r="E971" s="380" t="n">
        <x:v>23</x:v>
      </x:c>
      <x:c r="F971" s="380" t="n">
        <x:v>1</x:v>
      </x:c>
      <x:c r="G971" s="380" t="n">
        <x:f>--(F971&lt;='Estimator'!$B$7)</x:f>
        <x:v>1</x:v>
      </x:c>
      <x:c r="H971" s="381" t="n">
        <x:f>SUMIFS('Climate Data'!$G$7:$G$366,'Climate Data'!$A$7:$A$366,'Estimator'!$B$4,'Climate Data'!$B$7:$B$366,C971)</x:f>
        <x:v>0.47274749721913234</x:v>
      </x:c>
      <x:c r="I971" s="382" t="n">
        <x:f>SUMIFS('Climate Data'!$H$7:$H$366,'Climate Data'!$A$7:$A$366,'Estimator'!$B$4,'Climate Data'!$B$7:$B$366,C971)</x:f>
        <x:v>7.9971764705882356</x:v>
      </x:c>
      <x:c r="J971" s="381" t="n">
        <x:f>SUMIFS('Wind Proxy'!$H$8:$H$19,'Wind Proxy'!$A$8:$A$19,'Estimator'!$B$4,'Wind Proxy'!$B$8:$B$19,C971)</x:f>
        <x:v>0.13739545997610514</x:v>
      </x:c>
    </x:row>
    <x:row r="972">
      <x:c r="A972" s="379" t="n">
        <x:v>46623</x:v>
      </x:c>
      <x:c r="B972" s="380" t="n">
        <x:v>2027</x:v>
      </x:c>
      <x:c r="C972" s="380" t="n">
        <x:v>8</x:v>
      </x:c>
      <x:c r="D972" s="380" t="str">
        <x:v>Aug</x:v>
      </x:c>
      <x:c r="E972" s="380" t="n">
        <x:v>24</x:v>
      </x:c>
      <x:c r="F972" s="380" t="n">
        <x:v>2</x:v>
      </x:c>
      <x:c r="G972" s="380" t="n">
        <x:f>--(F972&lt;='Estimator'!$B$7)</x:f>
        <x:v>1</x:v>
      </x:c>
      <x:c r="H972" s="381" t="n">
        <x:f>SUMIFS('Climate Data'!$G$7:$G$366,'Climate Data'!$A$7:$A$366,'Estimator'!$B$4,'Climate Data'!$B$7:$B$366,C972)</x:f>
        <x:v>0.47274749721913234</x:v>
      </x:c>
      <x:c r="I972" s="382" t="n">
        <x:f>SUMIFS('Climate Data'!$H$7:$H$366,'Climate Data'!$A$7:$A$366,'Estimator'!$B$4,'Climate Data'!$B$7:$B$366,C972)</x:f>
        <x:v>7.9971764705882356</x:v>
      </x:c>
      <x:c r="J972" s="381" t="n">
        <x:f>SUMIFS('Wind Proxy'!$H$8:$H$19,'Wind Proxy'!$A$8:$A$19,'Estimator'!$B$4,'Wind Proxy'!$B$8:$B$19,C972)</x:f>
        <x:v>0.13739545997610514</x:v>
      </x:c>
    </x:row>
    <x:row r="973">
      <x:c r="A973" s="379" t="n">
        <x:v>46624</x:v>
      </x:c>
      <x:c r="B973" s="380" t="n">
        <x:v>2027</x:v>
      </x:c>
      <x:c r="C973" s="380" t="n">
        <x:v>8</x:v>
      </x:c>
      <x:c r="D973" s="380" t="str">
        <x:v>Aug</x:v>
      </x:c>
      <x:c r="E973" s="380" t="n">
        <x:v>25</x:v>
      </x:c>
      <x:c r="F973" s="380" t="n">
        <x:v>3</x:v>
      </x:c>
      <x:c r="G973" s="380" t="n">
        <x:f>--(F973&lt;='Estimator'!$B$7)</x:f>
        <x:v>1</x:v>
      </x:c>
      <x:c r="H973" s="381" t="n">
        <x:f>SUMIFS('Climate Data'!$G$7:$G$366,'Climate Data'!$A$7:$A$366,'Estimator'!$B$4,'Climate Data'!$B$7:$B$366,C973)</x:f>
        <x:v>0.47274749721913234</x:v>
      </x:c>
      <x:c r="I973" s="382" t="n">
        <x:f>SUMIFS('Climate Data'!$H$7:$H$366,'Climate Data'!$A$7:$A$366,'Estimator'!$B$4,'Climate Data'!$B$7:$B$366,C973)</x:f>
        <x:v>7.9971764705882356</x:v>
      </x:c>
      <x:c r="J973" s="381" t="n">
        <x:f>SUMIFS('Wind Proxy'!$H$8:$H$19,'Wind Proxy'!$A$8:$A$19,'Estimator'!$B$4,'Wind Proxy'!$B$8:$B$19,C973)</x:f>
        <x:v>0.13739545997610514</x:v>
      </x:c>
    </x:row>
    <x:row r="974">
      <x:c r="A974" s="379" t="n">
        <x:v>46625</x:v>
      </x:c>
      <x:c r="B974" s="380" t="n">
        <x:v>2027</x:v>
      </x:c>
      <x:c r="C974" s="380" t="n">
        <x:v>8</x:v>
      </x:c>
      <x:c r="D974" s="380" t="str">
        <x:v>Aug</x:v>
      </x:c>
      <x:c r="E974" s="380" t="n">
        <x:v>26</x:v>
      </x:c>
      <x:c r="F974" s="380" t="n">
        <x:v>4</x:v>
      </x:c>
      <x:c r="G974" s="380" t="n">
        <x:f>--(F974&lt;='Estimator'!$B$7)</x:f>
        <x:v>1</x:v>
      </x:c>
      <x:c r="H974" s="381" t="n">
        <x:f>SUMIFS('Climate Data'!$G$7:$G$366,'Climate Data'!$A$7:$A$366,'Estimator'!$B$4,'Climate Data'!$B$7:$B$366,C974)</x:f>
        <x:v>0.47274749721913234</x:v>
      </x:c>
      <x:c r="I974" s="382" t="n">
        <x:f>SUMIFS('Climate Data'!$H$7:$H$366,'Climate Data'!$A$7:$A$366,'Estimator'!$B$4,'Climate Data'!$B$7:$B$366,C974)</x:f>
        <x:v>7.9971764705882356</x:v>
      </x:c>
      <x:c r="J974" s="381" t="n">
        <x:f>SUMIFS('Wind Proxy'!$H$8:$H$19,'Wind Proxy'!$A$8:$A$19,'Estimator'!$B$4,'Wind Proxy'!$B$8:$B$19,C974)</x:f>
        <x:v>0.13739545997610514</x:v>
      </x:c>
    </x:row>
    <x:row r="975">
      <x:c r="A975" s="379" t="n">
        <x:v>46626</x:v>
      </x:c>
      <x:c r="B975" s="380" t="n">
        <x:v>2027</x:v>
      </x:c>
      <x:c r="C975" s="380" t="n">
        <x:v>8</x:v>
      </x:c>
      <x:c r="D975" s="380" t="str">
        <x:v>Aug</x:v>
      </x:c>
      <x:c r="E975" s="380" t="n">
        <x:v>27</x:v>
      </x:c>
      <x:c r="F975" s="380" t="n">
        <x:v>5</x:v>
      </x:c>
      <x:c r="G975" s="380" t="n">
        <x:f>--(F975&lt;='Estimator'!$B$7)</x:f>
        <x:v>1</x:v>
      </x:c>
      <x:c r="H975" s="381" t="n">
        <x:f>SUMIFS('Climate Data'!$G$7:$G$366,'Climate Data'!$A$7:$A$366,'Estimator'!$B$4,'Climate Data'!$B$7:$B$366,C975)</x:f>
        <x:v>0.47274749721913234</x:v>
      </x:c>
      <x:c r="I975" s="382" t="n">
        <x:f>SUMIFS('Climate Data'!$H$7:$H$366,'Climate Data'!$A$7:$A$366,'Estimator'!$B$4,'Climate Data'!$B$7:$B$366,C975)</x:f>
        <x:v>7.9971764705882356</x:v>
      </x:c>
      <x:c r="J975" s="381" t="n">
        <x:f>SUMIFS('Wind Proxy'!$H$8:$H$19,'Wind Proxy'!$A$8:$A$19,'Estimator'!$B$4,'Wind Proxy'!$B$8:$B$19,C975)</x:f>
        <x:v>0.13739545997610514</x:v>
      </x:c>
    </x:row>
    <x:row r="976">
      <x:c r="A976" s="379" t="n">
        <x:v>46627</x:v>
      </x:c>
      <x:c r="B976" s="380" t="n">
        <x:v>2027</x:v>
      </x:c>
      <x:c r="C976" s="380" t="n">
        <x:v>8</x:v>
      </x:c>
      <x:c r="D976" s="380" t="str">
        <x:v>Aug</x:v>
      </x:c>
      <x:c r="E976" s="380" t="n">
        <x:v>28</x:v>
      </x:c>
      <x:c r="F976" s="380" t="n">
        <x:v>6</x:v>
      </x:c>
      <x:c r="G976" s="380" t="n">
        <x:f>--(F976&lt;='Estimator'!$B$7)</x:f>
        <x:v>0</x:v>
      </x:c>
      <x:c r="H976" s="381" t="n">
        <x:f>SUMIFS('Climate Data'!$G$7:$G$366,'Climate Data'!$A$7:$A$366,'Estimator'!$B$4,'Climate Data'!$B$7:$B$366,C976)</x:f>
        <x:v>0.47274749721913234</x:v>
      </x:c>
      <x:c r="I976" s="382" t="n">
        <x:f>SUMIFS('Climate Data'!$H$7:$H$366,'Climate Data'!$A$7:$A$366,'Estimator'!$B$4,'Climate Data'!$B$7:$B$366,C976)</x:f>
        <x:v>7.9971764705882356</x:v>
      </x:c>
      <x:c r="J976" s="381" t="n">
        <x:f>SUMIFS('Wind Proxy'!$H$8:$H$19,'Wind Proxy'!$A$8:$A$19,'Estimator'!$B$4,'Wind Proxy'!$B$8:$B$19,C976)</x:f>
        <x:v>0.13739545997610514</x:v>
      </x:c>
    </x:row>
    <x:row r="977">
      <x:c r="A977" s="379" t="n">
        <x:v>46628</x:v>
      </x:c>
      <x:c r="B977" s="380" t="n">
        <x:v>2027</x:v>
      </x:c>
      <x:c r="C977" s="380" t="n">
        <x:v>8</x:v>
      </x:c>
      <x:c r="D977" s="380" t="str">
        <x:v>Aug</x:v>
      </x:c>
      <x:c r="E977" s="380" t="n">
        <x:v>29</x:v>
      </x:c>
      <x:c r="F977" s="380" t="n">
        <x:v>7</x:v>
      </x:c>
      <x:c r="G977" s="380" t="n">
        <x:f>--(F977&lt;='Estimator'!$B$7)</x:f>
        <x:v>0</x:v>
      </x:c>
      <x:c r="H977" s="381" t="n">
        <x:f>SUMIFS('Climate Data'!$G$7:$G$366,'Climate Data'!$A$7:$A$366,'Estimator'!$B$4,'Climate Data'!$B$7:$B$366,C977)</x:f>
        <x:v>0.47274749721913234</x:v>
      </x:c>
      <x:c r="I977" s="382" t="n">
        <x:f>SUMIFS('Climate Data'!$H$7:$H$366,'Climate Data'!$A$7:$A$366,'Estimator'!$B$4,'Climate Data'!$B$7:$B$366,C977)</x:f>
        <x:v>7.9971764705882356</x:v>
      </x:c>
      <x:c r="J977" s="381" t="n">
        <x:f>SUMIFS('Wind Proxy'!$H$8:$H$19,'Wind Proxy'!$A$8:$A$19,'Estimator'!$B$4,'Wind Proxy'!$B$8:$B$19,C977)</x:f>
        <x:v>0.13739545997610514</x:v>
      </x:c>
    </x:row>
    <x:row r="978">
      <x:c r="A978" s="379" t="n">
        <x:v>46629</x:v>
      </x:c>
      <x:c r="B978" s="380" t="n">
        <x:v>2027</x:v>
      </x:c>
      <x:c r="C978" s="380" t="n">
        <x:v>8</x:v>
      </x:c>
      <x:c r="D978" s="380" t="str">
        <x:v>Aug</x:v>
      </x:c>
      <x:c r="E978" s="380" t="n">
        <x:v>30</x:v>
      </x:c>
      <x:c r="F978" s="380" t="n">
        <x:v>1</x:v>
      </x:c>
      <x:c r="G978" s="380" t="n">
        <x:f>--(F978&lt;='Estimator'!$B$7)</x:f>
        <x:v>1</x:v>
      </x:c>
      <x:c r="H978" s="381" t="n">
        <x:f>SUMIFS('Climate Data'!$G$7:$G$366,'Climate Data'!$A$7:$A$366,'Estimator'!$B$4,'Climate Data'!$B$7:$B$366,C978)</x:f>
        <x:v>0.47274749721913234</x:v>
      </x:c>
      <x:c r="I978" s="382" t="n">
        <x:f>SUMIFS('Climate Data'!$H$7:$H$366,'Climate Data'!$A$7:$A$366,'Estimator'!$B$4,'Climate Data'!$B$7:$B$366,C978)</x:f>
        <x:v>7.9971764705882356</x:v>
      </x:c>
      <x:c r="J978" s="381" t="n">
        <x:f>SUMIFS('Wind Proxy'!$H$8:$H$19,'Wind Proxy'!$A$8:$A$19,'Estimator'!$B$4,'Wind Proxy'!$B$8:$B$19,C978)</x:f>
        <x:v>0.13739545997610514</x:v>
      </x:c>
    </x:row>
    <x:row r="979">
      <x:c r="A979" s="379" t="n">
        <x:v>46630</x:v>
      </x:c>
      <x:c r="B979" s="380" t="n">
        <x:v>2027</x:v>
      </x:c>
      <x:c r="C979" s="380" t="n">
        <x:v>8</x:v>
      </x:c>
      <x:c r="D979" s="380" t="str">
        <x:v>Aug</x:v>
      </x:c>
      <x:c r="E979" s="380" t="n">
        <x:v>31</x:v>
      </x:c>
      <x:c r="F979" s="380" t="n">
        <x:v>2</x:v>
      </x:c>
      <x:c r="G979" s="380" t="n">
        <x:f>--(F979&lt;='Estimator'!$B$7)</x:f>
        <x:v>1</x:v>
      </x:c>
      <x:c r="H979" s="381" t="n">
        <x:f>SUMIFS('Climate Data'!$G$7:$G$366,'Climate Data'!$A$7:$A$366,'Estimator'!$B$4,'Climate Data'!$B$7:$B$366,C979)</x:f>
        <x:v>0.47274749721913234</x:v>
      </x:c>
      <x:c r="I979" s="382" t="n">
        <x:f>SUMIFS('Climate Data'!$H$7:$H$366,'Climate Data'!$A$7:$A$366,'Estimator'!$B$4,'Climate Data'!$B$7:$B$366,C979)</x:f>
        <x:v>7.9971764705882356</x:v>
      </x:c>
      <x:c r="J979" s="381" t="n">
        <x:f>SUMIFS('Wind Proxy'!$H$8:$H$19,'Wind Proxy'!$A$8:$A$19,'Estimator'!$B$4,'Wind Proxy'!$B$8:$B$19,C979)</x:f>
        <x:v>0.13739545997610514</x:v>
      </x:c>
    </x:row>
    <x:row r="980">
      <x:c r="A980" s="379" t="n">
        <x:v>46631</x:v>
      </x:c>
      <x:c r="B980" s="380" t="n">
        <x:v>2027</x:v>
      </x:c>
      <x:c r="C980" s="380" t="n">
        <x:v>9</x:v>
      </x:c>
      <x:c r="D980" s="380" t="str">
        <x:v>Sep</x:v>
      </x:c>
      <x:c r="E980" s="380" t="n">
        <x:v>1</x:v>
      </x:c>
      <x:c r="F980" s="380" t="n">
        <x:v>3</x:v>
      </x:c>
      <x:c r="G980" s="380" t="n">
        <x:f>--(F980&lt;='Estimator'!$B$7)</x:f>
        <x:v>1</x:v>
      </x:c>
      <x:c r="H980" s="381" t="n">
        <x:f>SUMIFS('Climate Data'!$G$7:$G$366,'Climate Data'!$A$7:$A$366,'Estimator'!$B$4,'Climate Data'!$B$7:$B$366,C980)</x:f>
        <x:v>0.4160919540229885</x:v>
      </x:c>
      <x:c r="I980" s="382" t="n">
        <x:f>SUMIFS('Climate Data'!$H$7:$H$366,'Climate Data'!$A$7:$A$366,'Estimator'!$B$4,'Climate Data'!$B$7:$B$366,C980)</x:f>
        <x:v>8.019060773480662</x:v>
      </x:c>
      <x:c r="J980" s="381" t="n">
        <x:f>SUMIFS('Wind Proxy'!$H$8:$H$19,'Wind Proxy'!$A$8:$A$19,'Estimator'!$B$4,'Wind Proxy'!$B$8:$B$19,C980)</x:f>
        <x:v>0.22222222222222224</x:v>
      </x:c>
    </x:row>
    <x:row r="981">
      <x:c r="A981" s="379" t="n">
        <x:v>46632</x:v>
      </x:c>
      <x:c r="B981" s="380" t="n">
        <x:v>2027</x:v>
      </x:c>
      <x:c r="C981" s="380" t="n">
        <x:v>9</x:v>
      </x:c>
      <x:c r="D981" s="380" t="str">
        <x:v>Sep</x:v>
      </x:c>
      <x:c r="E981" s="380" t="n">
        <x:v>2</x:v>
      </x:c>
      <x:c r="F981" s="380" t="n">
        <x:v>4</x:v>
      </x:c>
      <x:c r="G981" s="380" t="n">
        <x:f>--(F981&lt;='Estimator'!$B$7)</x:f>
        <x:v>1</x:v>
      </x:c>
      <x:c r="H981" s="381" t="n">
        <x:f>SUMIFS('Climate Data'!$G$7:$G$366,'Climate Data'!$A$7:$A$366,'Estimator'!$B$4,'Climate Data'!$B$7:$B$366,C981)</x:f>
        <x:v>0.4160919540229885</x:v>
      </x:c>
      <x:c r="I981" s="382" t="n">
        <x:f>SUMIFS('Climate Data'!$H$7:$H$366,'Climate Data'!$A$7:$A$366,'Estimator'!$B$4,'Climate Data'!$B$7:$B$366,C981)</x:f>
        <x:v>8.019060773480662</x:v>
      </x:c>
      <x:c r="J981" s="381" t="n">
        <x:f>SUMIFS('Wind Proxy'!$H$8:$H$19,'Wind Proxy'!$A$8:$A$19,'Estimator'!$B$4,'Wind Proxy'!$B$8:$B$19,C981)</x:f>
        <x:v>0.22222222222222224</x:v>
      </x:c>
    </x:row>
    <x:row r="982">
      <x:c r="A982" s="379" t="n">
        <x:v>46633</x:v>
      </x:c>
      <x:c r="B982" s="380" t="n">
        <x:v>2027</x:v>
      </x:c>
      <x:c r="C982" s="380" t="n">
        <x:v>9</x:v>
      </x:c>
      <x:c r="D982" s="380" t="str">
        <x:v>Sep</x:v>
      </x:c>
      <x:c r="E982" s="380" t="n">
        <x:v>3</x:v>
      </x:c>
      <x:c r="F982" s="380" t="n">
        <x:v>5</x:v>
      </x:c>
      <x:c r="G982" s="380" t="n">
        <x:f>--(F982&lt;='Estimator'!$B$7)</x:f>
        <x:v>1</x:v>
      </x:c>
      <x:c r="H982" s="381" t="n">
        <x:f>SUMIFS('Climate Data'!$G$7:$G$366,'Climate Data'!$A$7:$A$366,'Estimator'!$B$4,'Climate Data'!$B$7:$B$366,C982)</x:f>
        <x:v>0.4160919540229885</x:v>
      </x:c>
      <x:c r="I982" s="382" t="n">
        <x:f>SUMIFS('Climate Data'!$H$7:$H$366,'Climate Data'!$A$7:$A$366,'Estimator'!$B$4,'Climate Data'!$B$7:$B$366,C982)</x:f>
        <x:v>8.019060773480662</x:v>
      </x:c>
      <x:c r="J982" s="381" t="n">
        <x:f>SUMIFS('Wind Proxy'!$H$8:$H$19,'Wind Proxy'!$A$8:$A$19,'Estimator'!$B$4,'Wind Proxy'!$B$8:$B$19,C982)</x:f>
        <x:v>0.22222222222222224</x:v>
      </x:c>
    </x:row>
    <x:row r="983">
      <x:c r="A983" s="379" t="n">
        <x:v>46634</x:v>
      </x:c>
      <x:c r="B983" s="380" t="n">
        <x:v>2027</x:v>
      </x:c>
      <x:c r="C983" s="380" t="n">
        <x:v>9</x:v>
      </x:c>
      <x:c r="D983" s="380" t="str">
        <x:v>Sep</x:v>
      </x:c>
      <x:c r="E983" s="380" t="n">
        <x:v>4</x:v>
      </x:c>
      <x:c r="F983" s="380" t="n">
        <x:v>6</x:v>
      </x:c>
      <x:c r="G983" s="380" t="n">
        <x:f>--(F983&lt;='Estimator'!$B$7)</x:f>
        <x:v>0</x:v>
      </x:c>
      <x:c r="H983" s="381" t="n">
        <x:f>SUMIFS('Climate Data'!$G$7:$G$366,'Climate Data'!$A$7:$A$366,'Estimator'!$B$4,'Climate Data'!$B$7:$B$366,C983)</x:f>
        <x:v>0.4160919540229885</x:v>
      </x:c>
      <x:c r="I983" s="382" t="n">
        <x:f>SUMIFS('Climate Data'!$H$7:$H$366,'Climate Data'!$A$7:$A$366,'Estimator'!$B$4,'Climate Data'!$B$7:$B$366,C983)</x:f>
        <x:v>8.019060773480662</x:v>
      </x:c>
      <x:c r="J983" s="381" t="n">
        <x:f>SUMIFS('Wind Proxy'!$H$8:$H$19,'Wind Proxy'!$A$8:$A$19,'Estimator'!$B$4,'Wind Proxy'!$B$8:$B$19,C983)</x:f>
        <x:v>0.22222222222222224</x:v>
      </x:c>
    </x:row>
    <x:row r="984">
      <x:c r="A984" s="379" t="n">
        <x:v>46635</x:v>
      </x:c>
      <x:c r="B984" s="380" t="n">
        <x:v>2027</x:v>
      </x:c>
      <x:c r="C984" s="380" t="n">
        <x:v>9</x:v>
      </x:c>
      <x:c r="D984" s="380" t="str">
        <x:v>Sep</x:v>
      </x:c>
      <x:c r="E984" s="380" t="n">
        <x:v>5</x:v>
      </x:c>
      <x:c r="F984" s="380" t="n">
        <x:v>7</x:v>
      </x:c>
      <x:c r="G984" s="380" t="n">
        <x:f>--(F984&lt;='Estimator'!$B$7)</x:f>
        <x:v>0</x:v>
      </x:c>
      <x:c r="H984" s="381" t="n">
        <x:f>SUMIFS('Climate Data'!$G$7:$G$366,'Climate Data'!$A$7:$A$366,'Estimator'!$B$4,'Climate Data'!$B$7:$B$366,C984)</x:f>
        <x:v>0.4160919540229885</x:v>
      </x:c>
      <x:c r="I984" s="382" t="n">
        <x:f>SUMIFS('Climate Data'!$H$7:$H$366,'Climate Data'!$A$7:$A$366,'Estimator'!$B$4,'Climate Data'!$B$7:$B$366,C984)</x:f>
        <x:v>8.019060773480662</x:v>
      </x:c>
      <x:c r="J984" s="381" t="n">
        <x:f>SUMIFS('Wind Proxy'!$H$8:$H$19,'Wind Proxy'!$A$8:$A$19,'Estimator'!$B$4,'Wind Proxy'!$B$8:$B$19,C984)</x:f>
        <x:v>0.22222222222222224</x:v>
      </x:c>
    </x:row>
    <x:row r="985">
      <x:c r="A985" s="379" t="n">
        <x:v>46636</x:v>
      </x:c>
      <x:c r="B985" s="380" t="n">
        <x:v>2027</x:v>
      </x:c>
      <x:c r="C985" s="380" t="n">
        <x:v>9</x:v>
      </x:c>
      <x:c r="D985" s="380" t="str">
        <x:v>Sep</x:v>
      </x:c>
      <x:c r="E985" s="380" t="n">
        <x:v>6</x:v>
      </x:c>
      <x:c r="F985" s="380" t="n">
        <x:v>1</x:v>
      </x:c>
      <x:c r="G985" s="380" t="n">
        <x:f>--(F985&lt;='Estimator'!$B$7)</x:f>
        <x:v>1</x:v>
      </x:c>
      <x:c r="H985" s="381" t="n">
        <x:f>SUMIFS('Climate Data'!$G$7:$G$366,'Climate Data'!$A$7:$A$366,'Estimator'!$B$4,'Climate Data'!$B$7:$B$366,C985)</x:f>
        <x:v>0.4160919540229885</x:v>
      </x:c>
      <x:c r="I985" s="382" t="n">
        <x:f>SUMIFS('Climate Data'!$H$7:$H$366,'Climate Data'!$A$7:$A$366,'Estimator'!$B$4,'Climate Data'!$B$7:$B$366,C985)</x:f>
        <x:v>8.019060773480662</x:v>
      </x:c>
      <x:c r="J985" s="381" t="n">
        <x:f>SUMIFS('Wind Proxy'!$H$8:$H$19,'Wind Proxy'!$A$8:$A$19,'Estimator'!$B$4,'Wind Proxy'!$B$8:$B$19,C985)</x:f>
        <x:v>0.22222222222222224</x:v>
      </x:c>
    </x:row>
    <x:row r="986">
      <x:c r="A986" s="379" t="n">
        <x:v>46637</x:v>
      </x:c>
      <x:c r="B986" s="380" t="n">
        <x:v>2027</x:v>
      </x:c>
      <x:c r="C986" s="380" t="n">
        <x:v>9</x:v>
      </x:c>
      <x:c r="D986" s="380" t="str">
        <x:v>Sep</x:v>
      </x:c>
      <x:c r="E986" s="380" t="n">
        <x:v>7</x:v>
      </x:c>
      <x:c r="F986" s="380" t="n">
        <x:v>2</x:v>
      </x:c>
      <x:c r="G986" s="380" t="n">
        <x:f>--(F986&lt;='Estimator'!$B$7)</x:f>
        <x:v>1</x:v>
      </x:c>
      <x:c r="H986" s="381" t="n">
        <x:f>SUMIFS('Climate Data'!$G$7:$G$366,'Climate Data'!$A$7:$A$366,'Estimator'!$B$4,'Climate Data'!$B$7:$B$366,C986)</x:f>
        <x:v>0.4160919540229885</x:v>
      </x:c>
      <x:c r="I986" s="382" t="n">
        <x:f>SUMIFS('Climate Data'!$H$7:$H$366,'Climate Data'!$A$7:$A$366,'Estimator'!$B$4,'Climate Data'!$B$7:$B$366,C986)</x:f>
        <x:v>8.019060773480662</x:v>
      </x:c>
      <x:c r="J986" s="381" t="n">
        <x:f>SUMIFS('Wind Proxy'!$H$8:$H$19,'Wind Proxy'!$A$8:$A$19,'Estimator'!$B$4,'Wind Proxy'!$B$8:$B$19,C986)</x:f>
        <x:v>0.22222222222222224</x:v>
      </x:c>
    </x:row>
    <x:row r="987">
      <x:c r="A987" s="379" t="n">
        <x:v>46638</x:v>
      </x:c>
      <x:c r="B987" s="380" t="n">
        <x:v>2027</x:v>
      </x:c>
      <x:c r="C987" s="380" t="n">
        <x:v>9</x:v>
      </x:c>
      <x:c r="D987" s="380" t="str">
        <x:v>Sep</x:v>
      </x:c>
      <x:c r="E987" s="380" t="n">
        <x:v>8</x:v>
      </x:c>
      <x:c r="F987" s="380" t="n">
        <x:v>3</x:v>
      </x:c>
      <x:c r="G987" s="380" t="n">
        <x:f>--(F987&lt;='Estimator'!$B$7)</x:f>
        <x:v>1</x:v>
      </x:c>
      <x:c r="H987" s="381" t="n">
        <x:f>SUMIFS('Climate Data'!$G$7:$G$366,'Climate Data'!$A$7:$A$366,'Estimator'!$B$4,'Climate Data'!$B$7:$B$366,C987)</x:f>
        <x:v>0.4160919540229885</x:v>
      </x:c>
      <x:c r="I987" s="382" t="n">
        <x:f>SUMIFS('Climate Data'!$H$7:$H$366,'Climate Data'!$A$7:$A$366,'Estimator'!$B$4,'Climate Data'!$B$7:$B$366,C987)</x:f>
        <x:v>8.019060773480662</x:v>
      </x:c>
      <x:c r="J987" s="381" t="n">
        <x:f>SUMIFS('Wind Proxy'!$H$8:$H$19,'Wind Proxy'!$A$8:$A$19,'Estimator'!$B$4,'Wind Proxy'!$B$8:$B$19,C987)</x:f>
        <x:v>0.22222222222222224</x:v>
      </x:c>
    </x:row>
    <x:row r="988">
      <x:c r="A988" s="379" t="n">
        <x:v>46639</x:v>
      </x:c>
      <x:c r="B988" s="380" t="n">
        <x:v>2027</x:v>
      </x:c>
      <x:c r="C988" s="380" t="n">
        <x:v>9</x:v>
      </x:c>
      <x:c r="D988" s="380" t="str">
        <x:v>Sep</x:v>
      </x:c>
      <x:c r="E988" s="380" t="n">
        <x:v>9</x:v>
      </x:c>
      <x:c r="F988" s="380" t="n">
        <x:v>4</x:v>
      </x:c>
      <x:c r="G988" s="380" t="n">
        <x:f>--(F988&lt;='Estimator'!$B$7)</x:f>
        <x:v>1</x:v>
      </x:c>
      <x:c r="H988" s="381" t="n">
        <x:f>SUMIFS('Climate Data'!$G$7:$G$366,'Climate Data'!$A$7:$A$366,'Estimator'!$B$4,'Climate Data'!$B$7:$B$366,C988)</x:f>
        <x:v>0.4160919540229885</x:v>
      </x:c>
      <x:c r="I988" s="382" t="n">
        <x:f>SUMIFS('Climate Data'!$H$7:$H$366,'Climate Data'!$A$7:$A$366,'Estimator'!$B$4,'Climate Data'!$B$7:$B$366,C988)</x:f>
        <x:v>8.019060773480662</x:v>
      </x:c>
      <x:c r="J988" s="381" t="n">
        <x:f>SUMIFS('Wind Proxy'!$H$8:$H$19,'Wind Proxy'!$A$8:$A$19,'Estimator'!$B$4,'Wind Proxy'!$B$8:$B$19,C988)</x:f>
        <x:v>0.22222222222222224</x:v>
      </x:c>
    </x:row>
    <x:row r="989">
      <x:c r="A989" s="379" t="n">
        <x:v>46640</x:v>
      </x:c>
      <x:c r="B989" s="380" t="n">
        <x:v>2027</x:v>
      </x:c>
      <x:c r="C989" s="380" t="n">
        <x:v>9</x:v>
      </x:c>
      <x:c r="D989" s="380" t="str">
        <x:v>Sep</x:v>
      </x:c>
      <x:c r="E989" s="380" t="n">
        <x:v>10</x:v>
      </x:c>
      <x:c r="F989" s="380" t="n">
        <x:v>5</x:v>
      </x:c>
      <x:c r="G989" s="380" t="n">
        <x:f>--(F989&lt;='Estimator'!$B$7)</x:f>
        <x:v>1</x:v>
      </x:c>
      <x:c r="H989" s="381" t="n">
        <x:f>SUMIFS('Climate Data'!$G$7:$G$366,'Climate Data'!$A$7:$A$366,'Estimator'!$B$4,'Climate Data'!$B$7:$B$366,C989)</x:f>
        <x:v>0.4160919540229885</x:v>
      </x:c>
      <x:c r="I989" s="382" t="n">
        <x:f>SUMIFS('Climate Data'!$H$7:$H$366,'Climate Data'!$A$7:$A$366,'Estimator'!$B$4,'Climate Data'!$B$7:$B$366,C989)</x:f>
        <x:v>8.019060773480662</x:v>
      </x:c>
      <x:c r="J989" s="381" t="n">
        <x:f>SUMIFS('Wind Proxy'!$H$8:$H$19,'Wind Proxy'!$A$8:$A$19,'Estimator'!$B$4,'Wind Proxy'!$B$8:$B$19,C989)</x:f>
        <x:v>0.22222222222222224</x:v>
      </x:c>
    </x:row>
    <x:row r="990">
      <x:c r="A990" s="379" t="n">
        <x:v>46641</x:v>
      </x:c>
      <x:c r="B990" s="380" t="n">
        <x:v>2027</x:v>
      </x:c>
      <x:c r="C990" s="380" t="n">
        <x:v>9</x:v>
      </x:c>
      <x:c r="D990" s="380" t="str">
        <x:v>Sep</x:v>
      </x:c>
      <x:c r="E990" s="380" t="n">
        <x:v>11</x:v>
      </x:c>
      <x:c r="F990" s="380" t="n">
        <x:v>6</x:v>
      </x:c>
      <x:c r="G990" s="380" t="n">
        <x:f>--(F990&lt;='Estimator'!$B$7)</x:f>
        <x:v>0</x:v>
      </x:c>
      <x:c r="H990" s="381" t="n">
        <x:f>SUMIFS('Climate Data'!$G$7:$G$366,'Climate Data'!$A$7:$A$366,'Estimator'!$B$4,'Climate Data'!$B$7:$B$366,C990)</x:f>
        <x:v>0.4160919540229885</x:v>
      </x:c>
      <x:c r="I990" s="382" t="n">
        <x:f>SUMIFS('Climate Data'!$H$7:$H$366,'Climate Data'!$A$7:$A$366,'Estimator'!$B$4,'Climate Data'!$B$7:$B$366,C990)</x:f>
        <x:v>8.019060773480662</x:v>
      </x:c>
      <x:c r="J990" s="381" t="n">
        <x:f>SUMIFS('Wind Proxy'!$H$8:$H$19,'Wind Proxy'!$A$8:$A$19,'Estimator'!$B$4,'Wind Proxy'!$B$8:$B$19,C990)</x:f>
        <x:v>0.22222222222222224</x:v>
      </x:c>
    </x:row>
    <x:row r="991">
      <x:c r="A991" s="379" t="n">
        <x:v>46642</x:v>
      </x:c>
      <x:c r="B991" s="380" t="n">
        <x:v>2027</x:v>
      </x:c>
      <x:c r="C991" s="380" t="n">
        <x:v>9</x:v>
      </x:c>
      <x:c r="D991" s="380" t="str">
        <x:v>Sep</x:v>
      </x:c>
      <x:c r="E991" s="380" t="n">
        <x:v>12</x:v>
      </x:c>
      <x:c r="F991" s="380" t="n">
        <x:v>7</x:v>
      </x:c>
      <x:c r="G991" s="380" t="n">
        <x:f>--(F991&lt;='Estimator'!$B$7)</x:f>
        <x:v>0</x:v>
      </x:c>
      <x:c r="H991" s="381" t="n">
        <x:f>SUMIFS('Climate Data'!$G$7:$G$366,'Climate Data'!$A$7:$A$366,'Estimator'!$B$4,'Climate Data'!$B$7:$B$366,C991)</x:f>
        <x:v>0.4160919540229885</x:v>
      </x:c>
      <x:c r="I991" s="382" t="n">
        <x:f>SUMIFS('Climate Data'!$H$7:$H$366,'Climate Data'!$A$7:$A$366,'Estimator'!$B$4,'Climate Data'!$B$7:$B$366,C991)</x:f>
        <x:v>8.019060773480662</x:v>
      </x:c>
      <x:c r="J991" s="381" t="n">
        <x:f>SUMIFS('Wind Proxy'!$H$8:$H$19,'Wind Proxy'!$A$8:$A$19,'Estimator'!$B$4,'Wind Proxy'!$B$8:$B$19,C991)</x:f>
        <x:v>0.22222222222222224</x:v>
      </x:c>
    </x:row>
    <x:row r="992">
      <x:c r="A992" s="379" t="n">
        <x:v>46643</x:v>
      </x:c>
      <x:c r="B992" s="380" t="n">
        <x:v>2027</x:v>
      </x:c>
      <x:c r="C992" s="380" t="n">
        <x:v>9</x:v>
      </x:c>
      <x:c r="D992" s="380" t="str">
        <x:v>Sep</x:v>
      </x:c>
      <x:c r="E992" s="380" t="n">
        <x:v>13</x:v>
      </x:c>
      <x:c r="F992" s="380" t="n">
        <x:v>1</x:v>
      </x:c>
      <x:c r="G992" s="380" t="n">
        <x:f>--(F992&lt;='Estimator'!$B$7)</x:f>
        <x:v>1</x:v>
      </x:c>
      <x:c r="H992" s="381" t="n">
        <x:f>SUMIFS('Climate Data'!$G$7:$G$366,'Climate Data'!$A$7:$A$366,'Estimator'!$B$4,'Climate Data'!$B$7:$B$366,C992)</x:f>
        <x:v>0.4160919540229885</x:v>
      </x:c>
      <x:c r="I992" s="382" t="n">
        <x:f>SUMIFS('Climate Data'!$H$7:$H$366,'Climate Data'!$A$7:$A$366,'Estimator'!$B$4,'Climate Data'!$B$7:$B$366,C992)</x:f>
        <x:v>8.019060773480662</x:v>
      </x:c>
      <x:c r="J992" s="381" t="n">
        <x:f>SUMIFS('Wind Proxy'!$H$8:$H$19,'Wind Proxy'!$A$8:$A$19,'Estimator'!$B$4,'Wind Proxy'!$B$8:$B$19,C992)</x:f>
        <x:v>0.22222222222222224</x:v>
      </x:c>
    </x:row>
    <x:row r="993">
      <x:c r="A993" s="379" t="n">
        <x:v>46644</x:v>
      </x:c>
      <x:c r="B993" s="380" t="n">
        <x:v>2027</x:v>
      </x:c>
      <x:c r="C993" s="380" t="n">
        <x:v>9</x:v>
      </x:c>
      <x:c r="D993" s="380" t="str">
        <x:v>Sep</x:v>
      </x:c>
      <x:c r="E993" s="380" t="n">
        <x:v>14</x:v>
      </x:c>
      <x:c r="F993" s="380" t="n">
        <x:v>2</x:v>
      </x:c>
      <x:c r="G993" s="380" t="n">
        <x:f>--(F993&lt;='Estimator'!$B$7)</x:f>
        <x:v>1</x:v>
      </x:c>
      <x:c r="H993" s="381" t="n">
        <x:f>SUMIFS('Climate Data'!$G$7:$G$366,'Climate Data'!$A$7:$A$366,'Estimator'!$B$4,'Climate Data'!$B$7:$B$366,C993)</x:f>
        <x:v>0.4160919540229885</x:v>
      </x:c>
      <x:c r="I993" s="382" t="n">
        <x:f>SUMIFS('Climate Data'!$H$7:$H$366,'Climate Data'!$A$7:$A$366,'Estimator'!$B$4,'Climate Data'!$B$7:$B$366,C993)</x:f>
        <x:v>8.019060773480662</x:v>
      </x:c>
      <x:c r="J993" s="381" t="n">
        <x:f>SUMIFS('Wind Proxy'!$H$8:$H$19,'Wind Proxy'!$A$8:$A$19,'Estimator'!$B$4,'Wind Proxy'!$B$8:$B$19,C993)</x:f>
        <x:v>0.22222222222222224</x:v>
      </x:c>
    </x:row>
    <x:row r="994">
      <x:c r="A994" s="379" t="n">
        <x:v>46645</x:v>
      </x:c>
      <x:c r="B994" s="380" t="n">
        <x:v>2027</x:v>
      </x:c>
      <x:c r="C994" s="380" t="n">
        <x:v>9</x:v>
      </x:c>
      <x:c r="D994" s="380" t="str">
        <x:v>Sep</x:v>
      </x:c>
      <x:c r="E994" s="380" t="n">
        <x:v>15</x:v>
      </x:c>
      <x:c r="F994" s="380" t="n">
        <x:v>3</x:v>
      </x:c>
      <x:c r="G994" s="380" t="n">
        <x:f>--(F994&lt;='Estimator'!$B$7)</x:f>
        <x:v>1</x:v>
      </x:c>
      <x:c r="H994" s="381" t="n">
        <x:f>SUMIFS('Climate Data'!$G$7:$G$366,'Climate Data'!$A$7:$A$366,'Estimator'!$B$4,'Climate Data'!$B$7:$B$366,C994)</x:f>
        <x:v>0.4160919540229885</x:v>
      </x:c>
      <x:c r="I994" s="382" t="n">
        <x:f>SUMIFS('Climate Data'!$H$7:$H$366,'Climate Data'!$A$7:$A$366,'Estimator'!$B$4,'Climate Data'!$B$7:$B$366,C994)</x:f>
        <x:v>8.019060773480662</x:v>
      </x:c>
      <x:c r="J994" s="381" t="n">
        <x:f>SUMIFS('Wind Proxy'!$H$8:$H$19,'Wind Proxy'!$A$8:$A$19,'Estimator'!$B$4,'Wind Proxy'!$B$8:$B$19,C994)</x:f>
        <x:v>0.22222222222222224</x:v>
      </x:c>
    </x:row>
    <x:row r="995">
      <x:c r="A995" s="379" t="n">
        <x:v>46646</x:v>
      </x:c>
      <x:c r="B995" s="380" t="n">
        <x:v>2027</x:v>
      </x:c>
      <x:c r="C995" s="380" t="n">
        <x:v>9</x:v>
      </x:c>
      <x:c r="D995" s="380" t="str">
        <x:v>Sep</x:v>
      </x:c>
      <x:c r="E995" s="380" t="n">
        <x:v>16</x:v>
      </x:c>
      <x:c r="F995" s="380" t="n">
        <x:v>4</x:v>
      </x:c>
      <x:c r="G995" s="380" t="n">
        <x:f>--(F995&lt;='Estimator'!$B$7)</x:f>
        <x:v>1</x:v>
      </x:c>
      <x:c r="H995" s="381" t="n">
        <x:f>SUMIFS('Climate Data'!$G$7:$G$366,'Climate Data'!$A$7:$A$366,'Estimator'!$B$4,'Climate Data'!$B$7:$B$366,C995)</x:f>
        <x:v>0.4160919540229885</x:v>
      </x:c>
      <x:c r="I995" s="382" t="n">
        <x:f>SUMIFS('Climate Data'!$H$7:$H$366,'Climate Data'!$A$7:$A$366,'Estimator'!$B$4,'Climate Data'!$B$7:$B$366,C995)</x:f>
        <x:v>8.019060773480662</x:v>
      </x:c>
      <x:c r="J995" s="381" t="n">
        <x:f>SUMIFS('Wind Proxy'!$H$8:$H$19,'Wind Proxy'!$A$8:$A$19,'Estimator'!$B$4,'Wind Proxy'!$B$8:$B$19,C995)</x:f>
        <x:v>0.22222222222222224</x:v>
      </x:c>
    </x:row>
    <x:row r="996">
      <x:c r="A996" s="379" t="n">
        <x:v>46647</x:v>
      </x:c>
      <x:c r="B996" s="380" t="n">
        <x:v>2027</x:v>
      </x:c>
      <x:c r="C996" s="380" t="n">
        <x:v>9</x:v>
      </x:c>
      <x:c r="D996" s="380" t="str">
        <x:v>Sep</x:v>
      </x:c>
      <x:c r="E996" s="380" t="n">
        <x:v>17</x:v>
      </x:c>
      <x:c r="F996" s="380" t="n">
        <x:v>5</x:v>
      </x:c>
      <x:c r="G996" s="380" t="n">
        <x:f>--(F996&lt;='Estimator'!$B$7)</x:f>
        <x:v>1</x:v>
      </x:c>
      <x:c r="H996" s="381" t="n">
        <x:f>SUMIFS('Climate Data'!$G$7:$G$366,'Climate Data'!$A$7:$A$366,'Estimator'!$B$4,'Climate Data'!$B$7:$B$366,C996)</x:f>
        <x:v>0.4160919540229885</x:v>
      </x:c>
      <x:c r="I996" s="382" t="n">
        <x:f>SUMIFS('Climate Data'!$H$7:$H$366,'Climate Data'!$A$7:$A$366,'Estimator'!$B$4,'Climate Data'!$B$7:$B$366,C996)</x:f>
        <x:v>8.019060773480662</x:v>
      </x:c>
      <x:c r="J996" s="381" t="n">
        <x:f>SUMIFS('Wind Proxy'!$H$8:$H$19,'Wind Proxy'!$A$8:$A$19,'Estimator'!$B$4,'Wind Proxy'!$B$8:$B$19,C996)</x:f>
        <x:v>0.22222222222222224</x:v>
      </x:c>
    </x:row>
    <x:row r="997">
      <x:c r="A997" s="379" t="n">
        <x:v>46648</x:v>
      </x:c>
      <x:c r="B997" s="380" t="n">
        <x:v>2027</x:v>
      </x:c>
      <x:c r="C997" s="380" t="n">
        <x:v>9</x:v>
      </x:c>
      <x:c r="D997" s="380" t="str">
        <x:v>Sep</x:v>
      </x:c>
      <x:c r="E997" s="380" t="n">
        <x:v>18</x:v>
      </x:c>
      <x:c r="F997" s="380" t="n">
        <x:v>6</x:v>
      </x:c>
      <x:c r="G997" s="380" t="n">
        <x:f>--(F997&lt;='Estimator'!$B$7)</x:f>
        <x:v>0</x:v>
      </x:c>
      <x:c r="H997" s="381" t="n">
        <x:f>SUMIFS('Climate Data'!$G$7:$G$366,'Climate Data'!$A$7:$A$366,'Estimator'!$B$4,'Climate Data'!$B$7:$B$366,C997)</x:f>
        <x:v>0.4160919540229885</x:v>
      </x:c>
      <x:c r="I997" s="382" t="n">
        <x:f>SUMIFS('Climate Data'!$H$7:$H$366,'Climate Data'!$A$7:$A$366,'Estimator'!$B$4,'Climate Data'!$B$7:$B$366,C997)</x:f>
        <x:v>8.019060773480662</x:v>
      </x:c>
      <x:c r="J997" s="381" t="n">
        <x:f>SUMIFS('Wind Proxy'!$H$8:$H$19,'Wind Proxy'!$A$8:$A$19,'Estimator'!$B$4,'Wind Proxy'!$B$8:$B$19,C997)</x:f>
        <x:v>0.22222222222222224</x:v>
      </x:c>
    </x:row>
    <x:row r="998">
      <x:c r="A998" s="379" t="n">
        <x:v>46649</x:v>
      </x:c>
      <x:c r="B998" s="380" t="n">
        <x:v>2027</x:v>
      </x:c>
      <x:c r="C998" s="380" t="n">
        <x:v>9</x:v>
      </x:c>
      <x:c r="D998" s="380" t="str">
        <x:v>Sep</x:v>
      </x:c>
      <x:c r="E998" s="380" t="n">
        <x:v>19</x:v>
      </x:c>
      <x:c r="F998" s="380" t="n">
        <x:v>7</x:v>
      </x:c>
      <x:c r="G998" s="380" t="n">
        <x:f>--(F998&lt;='Estimator'!$B$7)</x:f>
        <x:v>0</x:v>
      </x:c>
      <x:c r="H998" s="381" t="n">
        <x:f>SUMIFS('Climate Data'!$G$7:$G$366,'Climate Data'!$A$7:$A$366,'Estimator'!$B$4,'Climate Data'!$B$7:$B$366,C998)</x:f>
        <x:v>0.4160919540229885</x:v>
      </x:c>
      <x:c r="I998" s="382" t="n">
        <x:f>SUMIFS('Climate Data'!$H$7:$H$366,'Climate Data'!$A$7:$A$366,'Estimator'!$B$4,'Climate Data'!$B$7:$B$366,C998)</x:f>
        <x:v>8.019060773480662</x:v>
      </x:c>
      <x:c r="J998" s="381" t="n">
        <x:f>SUMIFS('Wind Proxy'!$H$8:$H$19,'Wind Proxy'!$A$8:$A$19,'Estimator'!$B$4,'Wind Proxy'!$B$8:$B$19,C998)</x:f>
        <x:v>0.22222222222222224</x:v>
      </x:c>
    </x:row>
    <x:row r="999">
      <x:c r="A999" s="379" t="n">
        <x:v>46650</x:v>
      </x:c>
      <x:c r="B999" s="380" t="n">
        <x:v>2027</x:v>
      </x:c>
      <x:c r="C999" s="380" t="n">
        <x:v>9</x:v>
      </x:c>
      <x:c r="D999" s="380" t="str">
        <x:v>Sep</x:v>
      </x:c>
      <x:c r="E999" s="380" t="n">
        <x:v>20</x:v>
      </x:c>
      <x:c r="F999" s="380" t="n">
        <x:v>1</x:v>
      </x:c>
      <x:c r="G999" s="380" t="n">
        <x:f>--(F999&lt;='Estimator'!$B$7)</x:f>
        <x:v>1</x:v>
      </x:c>
      <x:c r="H999" s="381" t="n">
        <x:f>SUMIFS('Climate Data'!$G$7:$G$366,'Climate Data'!$A$7:$A$366,'Estimator'!$B$4,'Climate Data'!$B$7:$B$366,C999)</x:f>
        <x:v>0.4160919540229885</x:v>
      </x:c>
      <x:c r="I999" s="382" t="n">
        <x:f>SUMIFS('Climate Data'!$H$7:$H$366,'Climate Data'!$A$7:$A$366,'Estimator'!$B$4,'Climate Data'!$B$7:$B$366,C999)</x:f>
        <x:v>8.019060773480662</x:v>
      </x:c>
      <x:c r="J999" s="381" t="n">
        <x:f>SUMIFS('Wind Proxy'!$H$8:$H$19,'Wind Proxy'!$A$8:$A$19,'Estimator'!$B$4,'Wind Proxy'!$B$8:$B$19,C999)</x:f>
        <x:v>0.22222222222222224</x:v>
      </x:c>
    </x:row>
    <x:row r="1000">
      <x:c r="A1000" s="379" t="n">
        <x:v>46651</x:v>
      </x:c>
      <x:c r="B1000" s="380" t="n">
        <x:v>2027</x:v>
      </x:c>
      <x:c r="C1000" s="380" t="n">
        <x:v>9</x:v>
      </x:c>
      <x:c r="D1000" s="380" t="str">
        <x:v>Sep</x:v>
      </x:c>
      <x:c r="E1000" s="380" t="n">
        <x:v>21</x:v>
      </x:c>
      <x:c r="F1000" s="380" t="n">
        <x:v>2</x:v>
      </x:c>
      <x:c r="G1000" s="380" t="n">
        <x:f>--(F1000&lt;='Estimator'!$B$7)</x:f>
        <x:v>1</x:v>
      </x:c>
      <x:c r="H1000" s="381" t="n">
        <x:f>SUMIFS('Climate Data'!$G$7:$G$366,'Climate Data'!$A$7:$A$366,'Estimator'!$B$4,'Climate Data'!$B$7:$B$366,C1000)</x:f>
        <x:v>0.4160919540229885</x:v>
      </x:c>
      <x:c r="I1000" s="382" t="n">
        <x:f>SUMIFS('Climate Data'!$H$7:$H$366,'Climate Data'!$A$7:$A$366,'Estimator'!$B$4,'Climate Data'!$B$7:$B$366,C1000)</x:f>
        <x:v>8.019060773480662</x:v>
      </x:c>
      <x:c r="J1000" s="381" t="n">
        <x:f>SUMIFS('Wind Proxy'!$H$8:$H$19,'Wind Proxy'!$A$8:$A$19,'Estimator'!$B$4,'Wind Proxy'!$B$8:$B$19,C1000)</x:f>
        <x:v>0.22222222222222224</x:v>
      </x:c>
    </x:row>
    <x:row r="1001">
      <x:c r="A1001" s="379" t="n">
        <x:v>46652</x:v>
      </x:c>
      <x:c r="B1001" s="380" t="n">
        <x:v>2027</x:v>
      </x:c>
      <x:c r="C1001" s="380" t="n">
        <x:v>9</x:v>
      </x:c>
      <x:c r="D1001" s="380" t="str">
        <x:v>Sep</x:v>
      </x:c>
      <x:c r="E1001" s="380" t="n">
        <x:v>22</x:v>
      </x:c>
      <x:c r="F1001" s="380" t="n">
        <x:v>3</x:v>
      </x:c>
      <x:c r="G1001" s="380" t="n">
        <x:f>--(F1001&lt;='Estimator'!$B$7)</x:f>
        <x:v>1</x:v>
      </x:c>
      <x:c r="H1001" s="381" t="n">
        <x:f>SUMIFS('Climate Data'!$G$7:$G$366,'Climate Data'!$A$7:$A$366,'Estimator'!$B$4,'Climate Data'!$B$7:$B$366,C1001)</x:f>
        <x:v>0.4160919540229885</x:v>
      </x:c>
      <x:c r="I1001" s="382" t="n">
        <x:f>SUMIFS('Climate Data'!$H$7:$H$366,'Climate Data'!$A$7:$A$366,'Estimator'!$B$4,'Climate Data'!$B$7:$B$366,C1001)</x:f>
        <x:v>8.019060773480662</x:v>
      </x:c>
      <x:c r="J1001" s="381" t="n">
        <x:f>SUMIFS('Wind Proxy'!$H$8:$H$19,'Wind Proxy'!$A$8:$A$19,'Estimator'!$B$4,'Wind Proxy'!$B$8:$B$19,C1001)</x:f>
        <x:v>0.22222222222222224</x:v>
      </x:c>
    </x:row>
    <x:row r="1002">
      <x:c r="A1002" s="379" t="n">
        <x:v>46653</x:v>
      </x:c>
      <x:c r="B1002" s="380" t="n">
        <x:v>2027</x:v>
      </x:c>
      <x:c r="C1002" s="380" t="n">
        <x:v>9</x:v>
      </x:c>
      <x:c r="D1002" s="380" t="str">
        <x:v>Sep</x:v>
      </x:c>
      <x:c r="E1002" s="380" t="n">
        <x:v>23</x:v>
      </x:c>
      <x:c r="F1002" s="380" t="n">
        <x:v>4</x:v>
      </x:c>
      <x:c r="G1002" s="380" t="n">
        <x:f>--(F1002&lt;='Estimator'!$B$7)</x:f>
        <x:v>1</x:v>
      </x:c>
      <x:c r="H1002" s="381" t="n">
        <x:f>SUMIFS('Climate Data'!$G$7:$G$366,'Climate Data'!$A$7:$A$366,'Estimator'!$B$4,'Climate Data'!$B$7:$B$366,C1002)</x:f>
        <x:v>0.4160919540229885</x:v>
      </x:c>
      <x:c r="I1002" s="382" t="n">
        <x:f>SUMIFS('Climate Data'!$H$7:$H$366,'Climate Data'!$A$7:$A$366,'Estimator'!$B$4,'Climate Data'!$B$7:$B$366,C1002)</x:f>
        <x:v>8.019060773480662</x:v>
      </x:c>
      <x:c r="J1002" s="381" t="n">
        <x:f>SUMIFS('Wind Proxy'!$H$8:$H$19,'Wind Proxy'!$A$8:$A$19,'Estimator'!$B$4,'Wind Proxy'!$B$8:$B$19,C1002)</x:f>
        <x:v>0.22222222222222224</x:v>
      </x:c>
    </x:row>
    <x:row r="1003">
      <x:c r="A1003" s="379" t="n">
        <x:v>46654</x:v>
      </x:c>
      <x:c r="B1003" s="380" t="n">
        <x:v>2027</x:v>
      </x:c>
      <x:c r="C1003" s="380" t="n">
        <x:v>9</x:v>
      </x:c>
      <x:c r="D1003" s="380" t="str">
        <x:v>Sep</x:v>
      </x:c>
      <x:c r="E1003" s="380" t="n">
        <x:v>24</x:v>
      </x:c>
      <x:c r="F1003" s="380" t="n">
        <x:v>5</x:v>
      </x:c>
      <x:c r="G1003" s="380" t="n">
        <x:f>--(F1003&lt;='Estimator'!$B$7)</x:f>
        <x:v>1</x:v>
      </x:c>
      <x:c r="H1003" s="381" t="n">
        <x:f>SUMIFS('Climate Data'!$G$7:$G$366,'Climate Data'!$A$7:$A$366,'Estimator'!$B$4,'Climate Data'!$B$7:$B$366,C1003)</x:f>
        <x:v>0.4160919540229885</x:v>
      </x:c>
      <x:c r="I1003" s="382" t="n">
        <x:f>SUMIFS('Climate Data'!$H$7:$H$366,'Climate Data'!$A$7:$A$366,'Estimator'!$B$4,'Climate Data'!$B$7:$B$366,C1003)</x:f>
        <x:v>8.019060773480662</x:v>
      </x:c>
      <x:c r="J1003" s="381" t="n">
        <x:f>SUMIFS('Wind Proxy'!$H$8:$H$19,'Wind Proxy'!$A$8:$A$19,'Estimator'!$B$4,'Wind Proxy'!$B$8:$B$19,C1003)</x:f>
        <x:v>0.22222222222222224</x:v>
      </x:c>
    </x:row>
    <x:row r="1004">
      <x:c r="A1004" s="379" t="n">
        <x:v>46655</x:v>
      </x:c>
      <x:c r="B1004" s="380" t="n">
        <x:v>2027</x:v>
      </x:c>
      <x:c r="C1004" s="380" t="n">
        <x:v>9</x:v>
      </x:c>
      <x:c r="D1004" s="380" t="str">
        <x:v>Sep</x:v>
      </x:c>
      <x:c r="E1004" s="380" t="n">
        <x:v>25</x:v>
      </x:c>
      <x:c r="F1004" s="380" t="n">
        <x:v>6</x:v>
      </x:c>
      <x:c r="G1004" s="380" t="n">
        <x:f>--(F1004&lt;='Estimator'!$B$7)</x:f>
        <x:v>0</x:v>
      </x:c>
      <x:c r="H1004" s="381" t="n">
        <x:f>SUMIFS('Climate Data'!$G$7:$G$366,'Climate Data'!$A$7:$A$366,'Estimator'!$B$4,'Climate Data'!$B$7:$B$366,C1004)</x:f>
        <x:v>0.4160919540229885</x:v>
      </x:c>
      <x:c r="I1004" s="382" t="n">
        <x:f>SUMIFS('Climate Data'!$H$7:$H$366,'Climate Data'!$A$7:$A$366,'Estimator'!$B$4,'Climate Data'!$B$7:$B$366,C1004)</x:f>
        <x:v>8.019060773480662</x:v>
      </x:c>
      <x:c r="J1004" s="381" t="n">
        <x:f>SUMIFS('Wind Proxy'!$H$8:$H$19,'Wind Proxy'!$A$8:$A$19,'Estimator'!$B$4,'Wind Proxy'!$B$8:$B$19,C1004)</x:f>
        <x:v>0.22222222222222224</x:v>
      </x:c>
    </x:row>
    <x:row r="1005">
      <x:c r="A1005" s="379" t="n">
        <x:v>46656</x:v>
      </x:c>
      <x:c r="B1005" s="380" t="n">
        <x:v>2027</x:v>
      </x:c>
      <x:c r="C1005" s="380" t="n">
        <x:v>9</x:v>
      </x:c>
      <x:c r="D1005" s="380" t="str">
        <x:v>Sep</x:v>
      </x:c>
      <x:c r="E1005" s="380" t="n">
        <x:v>26</x:v>
      </x:c>
      <x:c r="F1005" s="380" t="n">
        <x:v>7</x:v>
      </x:c>
      <x:c r="G1005" s="380" t="n">
        <x:f>--(F1005&lt;='Estimator'!$B$7)</x:f>
        <x:v>0</x:v>
      </x:c>
      <x:c r="H1005" s="381" t="n">
        <x:f>SUMIFS('Climate Data'!$G$7:$G$366,'Climate Data'!$A$7:$A$366,'Estimator'!$B$4,'Climate Data'!$B$7:$B$366,C1005)</x:f>
        <x:v>0.4160919540229885</x:v>
      </x:c>
      <x:c r="I1005" s="382" t="n">
        <x:f>SUMIFS('Climate Data'!$H$7:$H$366,'Climate Data'!$A$7:$A$366,'Estimator'!$B$4,'Climate Data'!$B$7:$B$366,C1005)</x:f>
        <x:v>8.019060773480662</x:v>
      </x:c>
      <x:c r="J1005" s="381" t="n">
        <x:f>SUMIFS('Wind Proxy'!$H$8:$H$19,'Wind Proxy'!$A$8:$A$19,'Estimator'!$B$4,'Wind Proxy'!$B$8:$B$19,C1005)</x:f>
        <x:v>0.22222222222222224</x:v>
      </x:c>
    </x:row>
    <x:row r="1006">
      <x:c r="A1006" s="379" t="n">
        <x:v>46657</x:v>
      </x:c>
      <x:c r="B1006" s="380" t="n">
        <x:v>2027</x:v>
      </x:c>
      <x:c r="C1006" s="380" t="n">
        <x:v>9</x:v>
      </x:c>
      <x:c r="D1006" s="380" t="str">
        <x:v>Sep</x:v>
      </x:c>
      <x:c r="E1006" s="380" t="n">
        <x:v>27</x:v>
      </x:c>
      <x:c r="F1006" s="380" t="n">
        <x:v>1</x:v>
      </x:c>
      <x:c r="G1006" s="380" t="n">
        <x:f>--(F1006&lt;='Estimator'!$B$7)</x:f>
        <x:v>1</x:v>
      </x:c>
      <x:c r="H1006" s="381" t="n">
        <x:f>SUMIFS('Climate Data'!$G$7:$G$366,'Climate Data'!$A$7:$A$366,'Estimator'!$B$4,'Climate Data'!$B$7:$B$366,C1006)</x:f>
        <x:v>0.4160919540229885</x:v>
      </x:c>
      <x:c r="I1006" s="382" t="n">
        <x:f>SUMIFS('Climate Data'!$H$7:$H$366,'Climate Data'!$A$7:$A$366,'Estimator'!$B$4,'Climate Data'!$B$7:$B$366,C1006)</x:f>
        <x:v>8.019060773480662</x:v>
      </x:c>
      <x:c r="J1006" s="381" t="n">
        <x:f>SUMIFS('Wind Proxy'!$H$8:$H$19,'Wind Proxy'!$A$8:$A$19,'Estimator'!$B$4,'Wind Proxy'!$B$8:$B$19,C1006)</x:f>
        <x:v>0.22222222222222224</x:v>
      </x:c>
    </x:row>
    <x:row r="1007">
      <x:c r="A1007" s="379" t="n">
        <x:v>46658</x:v>
      </x:c>
      <x:c r="B1007" s="380" t="n">
        <x:v>2027</x:v>
      </x:c>
      <x:c r="C1007" s="380" t="n">
        <x:v>9</x:v>
      </x:c>
      <x:c r="D1007" s="380" t="str">
        <x:v>Sep</x:v>
      </x:c>
      <x:c r="E1007" s="380" t="n">
        <x:v>28</x:v>
      </x:c>
      <x:c r="F1007" s="380" t="n">
        <x:v>2</x:v>
      </x:c>
      <x:c r="G1007" s="380" t="n">
        <x:f>--(F1007&lt;='Estimator'!$B$7)</x:f>
        <x:v>1</x:v>
      </x:c>
      <x:c r="H1007" s="381" t="n">
        <x:f>SUMIFS('Climate Data'!$G$7:$G$366,'Climate Data'!$A$7:$A$366,'Estimator'!$B$4,'Climate Data'!$B$7:$B$366,C1007)</x:f>
        <x:v>0.4160919540229885</x:v>
      </x:c>
      <x:c r="I1007" s="382" t="n">
        <x:f>SUMIFS('Climate Data'!$H$7:$H$366,'Climate Data'!$A$7:$A$366,'Estimator'!$B$4,'Climate Data'!$B$7:$B$366,C1007)</x:f>
        <x:v>8.019060773480662</x:v>
      </x:c>
      <x:c r="J1007" s="381" t="n">
        <x:f>SUMIFS('Wind Proxy'!$H$8:$H$19,'Wind Proxy'!$A$8:$A$19,'Estimator'!$B$4,'Wind Proxy'!$B$8:$B$19,C1007)</x:f>
        <x:v>0.22222222222222224</x:v>
      </x:c>
    </x:row>
    <x:row r="1008">
      <x:c r="A1008" s="379" t="n">
        <x:v>46659</x:v>
      </x:c>
      <x:c r="B1008" s="380" t="n">
        <x:v>2027</x:v>
      </x:c>
      <x:c r="C1008" s="380" t="n">
        <x:v>9</x:v>
      </x:c>
      <x:c r="D1008" s="380" t="str">
        <x:v>Sep</x:v>
      </x:c>
      <x:c r="E1008" s="380" t="n">
        <x:v>29</x:v>
      </x:c>
      <x:c r="F1008" s="380" t="n">
        <x:v>3</x:v>
      </x:c>
      <x:c r="G1008" s="380" t="n">
        <x:f>--(F1008&lt;='Estimator'!$B$7)</x:f>
        <x:v>1</x:v>
      </x:c>
      <x:c r="H1008" s="381" t="n">
        <x:f>SUMIFS('Climate Data'!$G$7:$G$366,'Climate Data'!$A$7:$A$366,'Estimator'!$B$4,'Climate Data'!$B$7:$B$366,C1008)</x:f>
        <x:v>0.4160919540229885</x:v>
      </x:c>
      <x:c r="I1008" s="382" t="n">
        <x:f>SUMIFS('Climate Data'!$H$7:$H$366,'Climate Data'!$A$7:$A$366,'Estimator'!$B$4,'Climate Data'!$B$7:$B$366,C1008)</x:f>
        <x:v>8.019060773480662</x:v>
      </x:c>
      <x:c r="J1008" s="381" t="n">
        <x:f>SUMIFS('Wind Proxy'!$H$8:$H$19,'Wind Proxy'!$A$8:$A$19,'Estimator'!$B$4,'Wind Proxy'!$B$8:$B$19,C1008)</x:f>
        <x:v>0.22222222222222224</x:v>
      </x:c>
    </x:row>
    <x:row r="1009">
      <x:c r="A1009" s="379" t="n">
        <x:v>46660</x:v>
      </x:c>
      <x:c r="B1009" s="380" t="n">
        <x:v>2027</x:v>
      </x:c>
      <x:c r="C1009" s="380" t="n">
        <x:v>9</x:v>
      </x:c>
      <x:c r="D1009" s="380" t="str">
        <x:v>Sep</x:v>
      </x:c>
      <x:c r="E1009" s="380" t="n">
        <x:v>30</x:v>
      </x:c>
      <x:c r="F1009" s="380" t="n">
        <x:v>4</x:v>
      </x:c>
      <x:c r="G1009" s="380" t="n">
        <x:f>--(F1009&lt;='Estimator'!$B$7)</x:f>
        <x:v>1</x:v>
      </x:c>
      <x:c r="H1009" s="381" t="n">
        <x:f>SUMIFS('Climate Data'!$G$7:$G$366,'Climate Data'!$A$7:$A$366,'Estimator'!$B$4,'Climate Data'!$B$7:$B$366,C1009)</x:f>
        <x:v>0.4160919540229885</x:v>
      </x:c>
      <x:c r="I1009" s="382" t="n">
        <x:f>SUMIFS('Climate Data'!$H$7:$H$366,'Climate Data'!$A$7:$A$366,'Estimator'!$B$4,'Climate Data'!$B$7:$B$366,C1009)</x:f>
        <x:v>8.019060773480662</x:v>
      </x:c>
      <x:c r="J1009" s="381" t="n">
        <x:f>SUMIFS('Wind Proxy'!$H$8:$H$19,'Wind Proxy'!$A$8:$A$19,'Estimator'!$B$4,'Wind Proxy'!$B$8:$B$19,C1009)</x:f>
        <x:v>0.22222222222222224</x:v>
      </x:c>
    </x:row>
    <x:row r="1010">
      <x:c r="A1010" s="379" t="n">
        <x:v>46661</x:v>
      </x:c>
      <x:c r="B1010" s="380" t="n">
        <x:v>2027</x:v>
      </x:c>
      <x:c r="C1010" s="380" t="n">
        <x:v>10</x:v>
      </x:c>
      <x:c r="D1010" s="380" t="str">
        <x:v>Oct</x:v>
      </x:c>
      <x:c r="E1010" s="380" t="n">
        <x:v>1</x:v>
      </x:c>
      <x:c r="F1010" s="380" t="n">
        <x:v>5</x:v>
      </x:c>
      <x:c r="G1010" s="380" t="n">
        <x:f>--(F1010&lt;='Estimator'!$B$7)</x:f>
        <x:v>1</x:v>
      </x:c>
      <x:c r="H1010" s="381" t="n">
        <x:f>SUMIFS('Climate Data'!$G$7:$G$366,'Climate Data'!$A$7:$A$366,'Estimator'!$B$4,'Climate Data'!$B$7:$B$366,C1010)</x:f>
        <x:v>0.3721198156682028</x:v>
      </x:c>
      <x:c r="I1010" s="382" t="n">
        <x:f>SUMIFS('Climate Data'!$H$7:$H$366,'Climate Data'!$A$7:$A$366,'Estimator'!$B$4,'Climate Data'!$B$7:$B$366,C1010)</x:f>
        <x:v>7.940557275541795</x:v>
      </x:c>
      <x:c r="J1010" s="381" t="n">
        <x:f>SUMIFS('Wind Proxy'!$H$8:$H$19,'Wind Proxy'!$A$8:$A$19,'Estimator'!$B$4,'Wind Proxy'!$B$8:$B$19,C1010)</x:f>
        <x:v>0.21505376344086022</x:v>
      </x:c>
    </x:row>
    <x:row r="1011">
      <x:c r="A1011" s="379" t="n">
        <x:v>46662</x:v>
      </x:c>
      <x:c r="B1011" s="380" t="n">
        <x:v>2027</x:v>
      </x:c>
      <x:c r="C1011" s="380" t="n">
        <x:v>10</x:v>
      </x:c>
      <x:c r="D1011" s="380" t="str">
        <x:v>Oct</x:v>
      </x:c>
      <x:c r="E1011" s="380" t="n">
        <x:v>2</x:v>
      </x:c>
      <x:c r="F1011" s="380" t="n">
        <x:v>6</x:v>
      </x:c>
      <x:c r="G1011" s="380" t="n">
        <x:f>--(F1011&lt;='Estimator'!$B$7)</x:f>
        <x:v>0</x:v>
      </x:c>
      <x:c r="H1011" s="381" t="n">
        <x:f>SUMIFS('Climate Data'!$G$7:$G$366,'Climate Data'!$A$7:$A$366,'Estimator'!$B$4,'Climate Data'!$B$7:$B$366,C1011)</x:f>
        <x:v>0.3721198156682028</x:v>
      </x:c>
      <x:c r="I1011" s="382" t="n">
        <x:f>SUMIFS('Climate Data'!$H$7:$H$366,'Climate Data'!$A$7:$A$366,'Estimator'!$B$4,'Climate Data'!$B$7:$B$366,C1011)</x:f>
        <x:v>7.940557275541795</x:v>
      </x:c>
      <x:c r="J1011" s="381" t="n">
        <x:f>SUMIFS('Wind Proxy'!$H$8:$H$19,'Wind Proxy'!$A$8:$A$19,'Estimator'!$B$4,'Wind Proxy'!$B$8:$B$19,C1011)</x:f>
        <x:v>0.21505376344086022</x:v>
      </x:c>
    </x:row>
    <x:row r="1012">
      <x:c r="A1012" s="379" t="n">
        <x:v>46663</x:v>
      </x:c>
      <x:c r="B1012" s="380" t="n">
        <x:v>2027</x:v>
      </x:c>
      <x:c r="C1012" s="380" t="n">
        <x:v>10</x:v>
      </x:c>
      <x:c r="D1012" s="380" t="str">
        <x:v>Oct</x:v>
      </x:c>
      <x:c r="E1012" s="380" t="n">
        <x:v>3</x:v>
      </x:c>
      <x:c r="F1012" s="380" t="n">
        <x:v>7</x:v>
      </x:c>
      <x:c r="G1012" s="380" t="n">
        <x:f>--(F1012&lt;='Estimator'!$B$7)</x:f>
        <x:v>0</x:v>
      </x:c>
      <x:c r="H1012" s="381" t="n">
        <x:f>SUMIFS('Climate Data'!$G$7:$G$366,'Climate Data'!$A$7:$A$366,'Estimator'!$B$4,'Climate Data'!$B$7:$B$366,C1012)</x:f>
        <x:v>0.3721198156682028</x:v>
      </x:c>
      <x:c r="I1012" s="382" t="n">
        <x:f>SUMIFS('Climate Data'!$H$7:$H$366,'Climate Data'!$A$7:$A$366,'Estimator'!$B$4,'Climate Data'!$B$7:$B$366,C1012)</x:f>
        <x:v>7.940557275541795</x:v>
      </x:c>
      <x:c r="J1012" s="381" t="n">
        <x:f>SUMIFS('Wind Proxy'!$H$8:$H$19,'Wind Proxy'!$A$8:$A$19,'Estimator'!$B$4,'Wind Proxy'!$B$8:$B$19,C1012)</x:f>
        <x:v>0.21505376344086022</x:v>
      </x:c>
    </x:row>
    <x:row r="1013">
      <x:c r="A1013" s="379" t="n">
        <x:v>46664</x:v>
      </x:c>
      <x:c r="B1013" s="380" t="n">
        <x:v>2027</x:v>
      </x:c>
      <x:c r="C1013" s="380" t="n">
        <x:v>10</x:v>
      </x:c>
      <x:c r="D1013" s="380" t="str">
        <x:v>Oct</x:v>
      </x:c>
      <x:c r="E1013" s="380" t="n">
        <x:v>4</x:v>
      </x:c>
      <x:c r="F1013" s="380" t="n">
        <x:v>1</x:v>
      </x:c>
      <x:c r="G1013" s="380" t="n">
        <x:f>--(F1013&lt;='Estimator'!$B$7)</x:f>
        <x:v>1</x:v>
      </x:c>
      <x:c r="H1013" s="381" t="n">
        <x:f>SUMIFS('Climate Data'!$G$7:$G$366,'Climate Data'!$A$7:$A$366,'Estimator'!$B$4,'Climate Data'!$B$7:$B$366,C1013)</x:f>
        <x:v>0.3721198156682028</x:v>
      </x:c>
      <x:c r="I1013" s="382" t="n">
        <x:f>SUMIFS('Climate Data'!$H$7:$H$366,'Climate Data'!$A$7:$A$366,'Estimator'!$B$4,'Climate Data'!$B$7:$B$366,C1013)</x:f>
        <x:v>7.940557275541795</x:v>
      </x:c>
      <x:c r="J1013" s="381" t="n">
        <x:f>SUMIFS('Wind Proxy'!$H$8:$H$19,'Wind Proxy'!$A$8:$A$19,'Estimator'!$B$4,'Wind Proxy'!$B$8:$B$19,C1013)</x:f>
        <x:v>0.21505376344086022</x:v>
      </x:c>
    </x:row>
    <x:row r="1014">
      <x:c r="A1014" s="379" t="n">
        <x:v>46665</x:v>
      </x:c>
      <x:c r="B1014" s="380" t="n">
        <x:v>2027</x:v>
      </x:c>
      <x:c r="C1014" s="380" t="n">
        <x:v>10</x:v>
      </x:c>
      <x:c r="D1014" s="380" t="str">
        <x:v>Oct</x:v>
      </x:c>
      <x:c r="E1014" s="380" t="n">
        <x:v>5</x:v>
      </x:c>
      <x:c r="F1014" s="380" t="n">
        <x:v>2</x:v>
      </x:c>
      <x:c r="G1014" s="380" t="n">
        <x:f>--(F1014&lt;='Estimator'!$B$7)</x:f>
        <x:v>1</x:v>
      </x:c>
      <x:c r="H1014" s="381" t="n">
        <x:f>SUMIFS('Climate Data'!$G$7:$G$366,'Climate Data'!$A$7:$A$366,'Estimator'!$B$4,'Climate Data'!$B$7:$B$366,C1014)</x:f>
        <x:v>0.3721198156682028</x:v>
      </x:c>
      <x:c r="I1014" s="382" t="n">
        <x:f>SUMIFS('Climate Data'!$H$7:$H$366,'Climate Data'!$A$7:$A$366,'Estimator'!$B$4,'Climate Data'!$B$7:$B$366,C1014)</x:f>
        <x:v>7.940557275541795</x:v>
      </x:c>
      <x:c r="J1014" s="381" t="n">
        <x:f>SUMIFS('Wind Proxy'!$H$8:$H$19,'Wind Proxy'!$A$8:$A$19,'Estimator'!$B$4,'Wind Proxy'!$B$8:$B$19,C1014)</x:f>
        <x:v>0.21505376344086022</x:v>
      </x:c>
    </x:row>
    <x:row r="1015">
      <x:c r="A1015" s="379" t="n">
        <x:v>46666</x:v>
      </x:c>
      <x:c r="B1015" s="380" t="n">
        <x:v>2027</x:v>
      </x:c>
      <x:c r="C1015" s="380" t="n">
        <x:v>10</x:v>
      </x:c>
      <x:c r="D1015" s="380" t="str">
        <x:v>Oct</x:v>
      </x:c>
      <x:c r="E1015" s="380" t="n">
        <x:v>6</x:v>
      </x:c>
      <x:c r="F1015" s="380" t="n">
        <x:v>3</x:v>
      </x:c>
      <x:c r="G1015" s="380" t="n">
        <x:f>--(F1015&lt;='Estimator'!$B$7)</x:f>
        <x:v>1</x:v>
      </x:c>
      <x:c r="H1015" s="381" t="n">
        <x:f>SUMIFS('Climate Data'!$G$7:$G$366,'Climate Data'!$A$7:$A$366,'Estimator'!$B$4,'Climate Data'!$B$7:$B$366,C1015)</x:f>
        <x:v>0.3721198156682028</x:v>
      </x:c>
      <x:c r="I1015" s="382" t="n">
        <x:f>SUMIFS('Climate Data'!$H$7:$H$366,'Climate Data'!$A$7:$A$366,'Estimator'!$B$4,'Climate Data'!$B$7:$B$366,C1015)</x:f>
        <x:v>7.940557275541795</x:v>
      </x:c>
      <x:c r="J1015" s="381" t="n">
        <x:f>SUMIFS('Wind Proxy'!$H$8:$H$19,'Wind Proxy'!$A$8:$A$19,'Estimator'!$B$4,'Wind Proxy'!$B$8:$B$19,C1015)</x:f>
        <x:v>0.21505376344086022</x:v>
      </x:c>
    </x:row>
    <x:row r="1016">
      <x:c r="A1016" s="379" t="n">
        <x:v>46667</x:v>
      </x:c>
      <x:c r="B1016" s="380" t="n">
        <x:v>2027</x:v>
      </x:c>
      <x:c r="C1016" s="380" t="n">
        <x:v>10</x:v>
      </x:c>
      <x:c r="D1016" s="380" t="str">
        <x:v>Oct</x:v>
      </x:c>
      <x:c r="E1016" s="380" t="n">
        <x:v>7</x:v>
      </x:c>
      <x:c r="F1016" s="380" t="n">
        <x:v>4</x:v>
      </x:c>
      <x:c r="G1016" s="380" t="n">
        <x:f>--(F1016&lt;='Estimator'!$B$7)</x:f>
        <x:v>1</x:v>
      </x:c>
      <x:c r="H1016" s="381" t="n">
        <x:f>SUMIFS('Climate Data'!$G$7:$G$366,'Climate Data'!$A$7:$A$366,'Estimator'!$B$4,'Climate Data'!$B$7:$B$366,C1016)</x:f>
        <x:v>0.3721198156682028</x:v>
      </x:c>
      <x:c r="I1016" s="382" t="n">
        <x:f>SUMIFS('Climate Data'!$H$7:$H$366,'Climate Data'!$A$7:$A$366,'Estimator'!$B$4,'Climate Data'!$B$7:$B$366,C1016)</x:f>
        <x:v>7.940557275541795</x:v>
      </x:c>
      <x:c r="J1016" s="381" t="n">
        <x:f>SUMIFS('Wind Proxy'!$H$8:$H$19,'Wind Proxy'!$A$8:$A$19,'Estimator'!$B$4,'Wind Proxy'!$B$8:$B$19,C1016)</x:f>
        <x:v>0.21505376344086022</x:v>
      </x:c>
    </x:row>
    <x:row r="1017">
      <x:c r="A1017" s="379" t="n">
        <x:v>46668</x:v>
      </x:c>
      <x:c r="B1017" s="380" t="n">
        <x:v>2027</x:v>
      </x:c>
      <x:c r="C1017" s="380" t="n">
        <x:v>10</x:v>
      </x:c>
      <x:c r="D1017" s="380" t="str">
        <x:v>Oct</x:v>
      </x:c>
      <x:c r="E1017" s="380" t="n">
        <x:v>8</x:v>
      </x:c>
      <x:c r="F1017" s="380" t="n">
        <x:v>5</x:v>
      </x:c>
      <x:c r="G1017" s="380" t="n">
        <x:f>--(F1017&lt;='Estimator'!$B$7)</x:f>
        <x:v>1</x:v>
      </x:c>
      <x:c r="H1017" s="381" t="n">
        <x:f>SUMIFS('Climate Data'!$G$7:$G$366,'Climate Data'!$A$7:$A$366,'Estimator'!$B$4,'Climate Data'!$B$7:$B$366,C1017)</x:f>
        <x:v>0.3721198156682028</x:v>
      </x:c>
      <x:c r="I1017" s="382" t="n">
        <x:f>SUMIFS('Climate Data'!$H$7:$H$366,'Climate Data'!$A$7:$A$366,'Estimator'!$B$4,'Climate Data'!$B$7:$B$366,C1017)</x:f>
        <x:v>7.940557275541795</x:v>
      </x:c>
      <x:c r="J1017" s="381" t="n">
        <x:f>SUMIFS('Wind Proxy'!$H$8:$H$19,'Wind Proxy'!$A$8:$A$19,'Estimator'!$B$4,'Wind Proxy'!$B$8:$B$19,C1017)</x:f>
        <x:v>0.21505376344086022</x:v>
      </x:c>
    </x:row>
    <x:row r="1018">
      <x:c r="A1018" s="379" t="n">
        <x:v>46669</x:v>
      </x:c>
      <x:c r="B1018" s="380" t="n">
        <x:v>2027</x:v>
      </x:c>
      <x:c r="C1018" s="380" t="n">
        <x:v>10</x:v>
      </x:c>
      <x:c r="D1018" s="380" t="str">
        <x:v>Oct</x:v>
      </x:c>
      <x:c r="E1018" s="380" t="n">
        <x:v>9</x:v>
      </x:c>
      <x:c r="F1018" s="380" t="n">
        <x:v>6</x:v>
      </x:c>
      <x:c r="G1018" s="380" t="n">
        <x:f>--(F1018&lt;='Estimator'!$B$7)</x:f>
        <x:v>0</x:v>
      </x:c>
      <x:c r="H1018" s="381" t="n">
        <x:f>SUMIFS('Climate Data'!$G$7:$G$366,'Climate Data'!$A$7:$A$366,'Estimator'!$B$4,'Climate Data'!$B$7:$B$366,C1018)</x:f>
        <x:v>0.3721198156682028</x:v>
      </x:c>
      <x:c r="I1018" s="382" t="n">
        <x:f>SUMIFS('Climate Data'!$H$7:$H$366,'Climate Data'!$A$7:$A$366,'Estimator'!$B$4,'Climate Data'!$B$7:$B$366,C1018)</x:f>
        <x:v>7.940557275541795</x:v>
      </x:c>
      <x:c r="J1018" s="381" t="n">
        <x:f>SUMIFS('Wind Proxy'!$H$8:$H$19,'Wind Proxy'!$A$8:$A$19,'Estimator'!$B$4,'Wind Proxy'!$B$8:$B$19,C1018)</x:f>
        <x:v>0.21505376344086022</x:v>
      </x:c>
    </x:row>
    <x:row r="1019">
      <x:c r="A1019" s="379" t="n">
        <x:v>46670</x:v>
      </x:c>
      <x:c r="B1019" s="380" t="n">
        <x:v>2027</x:v>
      </x:c>
      <x:c r="C1019" s="380" t="n">
        <x:v>10</x:v>
      </x:c>
      <x:c r="D1019" s="380" t="str">
        <x:v>Oct</x:v>
      </x:c>
      <x:c r="E1019" s="380" t="n">
        <x:v>10</x:v>
      </x:c>
      <x:c r="F1019" s="380" t="n">
        <x:v>7</x:v>
      </x:c>
      <x:c r="G1019" s="380" t="n">
        <x:f>--(F1019&lt;='Estimator'!$B$7)</x:f>
        <x:v>0</x:v>
      </x:c>
      <x:c r="H1019" s="381" t="n">
        <x:f>SUMIFS('Climate Data'!$G$7:$G$366,'Climate Data'!$A$7:$A$366,'Estimator'!$B$4,'Climate Data'!$B$7:$B$366,C1019)</x:f>
        <x:v>0.3721198156682028</x:v>
      </x:c>
      <x:c r="I1019" s="382" t="n">
        <x:f>SUMIFS('Climate Data'!$H$7:$H$366,'Climate Data'!$A$7:$A$366,'Estimator'!$B$4,'Climate Data'!$B$7:$B$366,C1019)</x:f>
        <x:v>7.940557275541795</x:v>
      </x:c>
      <x:c r="J1019" s="381" t="n">
        <x:f>SUMIFS('Wind Proxy'!$H$8:$H$19,'Wind Proxy'!$A$8:$A$19,'Estimator'!$B$4,'Wind Proxy'!$B$8:$B$19,C1019)</x:f>
        <x:v>0.21505376344086022</x:v>
      </x:c>
    </x:row>
    <x:row r="1020">
      <x:c r="A1020" s="379" t="n">
        <x:v>46671</x:v>
      </x:c>
      <x:c r="B1020" s="380" t="n">
        <x:v>2027</x:v>
      </x:c>
      <x:c r="C1020" s="380" t="n">
        <x:v>10</x:v>
      </x:c>
      <x:c r="D1020" s="380" t="str">
        <x:v>Oct</x:v>
      </x:c>
      <x:c r="E1020" s="380" t="n">
        <x:v>11</x:v>
      </x:c>
      <x:c r="F1020" s="380" t="n">
        <x:v>1</x:v>
      </x:c>
      <x:c r="G1020" s="380" t="n">
        <x:f>--(F1020&lt;='Estimator'!$B$7)</x:f>
        <x:v>1</x:v>
      </x:c>
      <x:c r="H1020" s="381" t="n">
        <x:f>SUMIFS('Climate Data'!$G$7:$G$366,'Climate Data'!$A$7:$A$366,'Estimator'!$B$4,'Climate Data'!$B$7:$B$366,C1020)</x:f>
        <x:v>0.3721198156682028</x:v>
      </x:c>
      <x:c r="I1020" s="382" t="n">
        <x:f>SUMIFS('Climate Data'!$H$7:$H$366,'Climate Data'!$A$7:$A$366,'Estimator'!$B$4,'Climate Data'!$B$7:$B$366,C1020)</x:f>
        <x:v>7.940557275541795</x:v>
      </x:c>
      <x:c r="J1020" s="381" t="n">
        <x:f>SUMIFS('Wind Proxy'!$H$8:$H$19,'Wind Proxy'!$A$8:$A$19,'Estimator'!$B$4,'Wind Proxy'!$B$8:$B$19,C1020)</x:f>
        <x:v>0.21505376344086022</x:v>
      </x:c>
    </x:row>
    <x:row r="1021">
      <x:c r="A1021" s="379" t="n">
        <x:v>46672</x:v>
      </x:c>
      <x:c r="B1021" s="380" t="n">
        <x:v>2027</x:v>
      </x:c>
      <x:c r="C1021" s="380" t="n">
        <x:v>10</x:v>
      </x:c>
      <x:c r="D1021" s="380" t="str">
        <x:v>Oct</x:v>
      </x:c>
      <x:c r="E1021" s="380" t="n">
        <x:v>12</x:v>
      </x:c>
      <x:c r="F1021" s="380" t="n">
        <x:v>2</x:v>
      </x:c>
      <x:c r="G1021" s="380" t="n">
        <x:f>--(F1021&lt;='Estimator'!$B$7)</x:f>
        <x:v>1</x:v>
      </x:c>
      <x:c r="H1021" s="381" t="n">
        <x:f>SUMIFS('Climate Data'!$G$7:$G$366,'Climate Data'!$A$7:$A$366,'Estimator'!$B$4,'Climate Data'!$B$7:$B$366,C1021)</x:f>
        <x:v>0.3721198156682028</x:v>
      </x:c>
      <x:c r="I1021" s="382" t="n">
        <x:f>SUMIFS('Climate Data'!$H$7:$H$366,'Climate Data'!$A$7:$A$366,'Estimator'!$B$4,'Climate Data'!$B$7:$B$366,C1021)</x:f>
        <x:v>7.940557275541795</x:v>
      </x:c>
      <x:c r="J1021" s="381" t="n">
        <x:f>SUMIFS('Wind Proxy'!$H$8:$H$19,'Wind Proxy'!$A$8:$A$19,'Estimator'!$B$4,'Wind Proxy'!$B$8:$B$19,C1021)</x:f>
        <x:v>0.21505376344086022</x:v>
      </x:c>
    </x:row>
    <x:row r="1022">
      <x:c r="A1022" s="379" t="n">
        <x:v>46673</x:v>
      </x:c>
      <x:c r="B1022" s="380" t="n">
        <x:v>2027</x:v>
      </x:c>
      <x:c r="C1022" s="380" t="n">
        <x:v>10</x:v>
      </x:c>
      <x:c r="D1022" s="380" t="str">
        <x:v>Oct</x:v>
      </x:c>
      <x:c r="E1022" s="380" t="n">
        <x:v>13</x:v>
      </x:c>
      <x:c r="F1022" s="380" t="n">
        <x:v>3</x:v>
      </x:c>
      <x:c r="G1022" s="380" t="n">
        <x:f>--(F1022&lt;='Estimator'!$B$7)</x:f>
        <x:v>1</x:v>
      </x:c>
      <x:c r="H1022" s="381" t="n">
        <x:f>SUMIFS('Climate Data'!$G$7:$G$366,'Climate Data'!$A$7:$A$366,'Estimator'!$B$4,'Climate Data'!$B$7:$B$366,C1022)</x:f>
        <x:v>0.3721198156682028</x:v>
      </x:c>
      <x:c r="I1022" s="382" t="n">
        <x:f>SUMIFS('Climate Data'!$H$7:$H$366,'Climate Data'!$A$7:$A$366,'Estimator'!$B$4,'Climate Data'!$B$7:$B$366,C1022)</x:f>
        <x:v>7.940557275541795</x:v>
      </x:c>
      <x:c r="J1022" s="381" t="n">
        <x:f>SUMIFS('Wind Proxy'!$H$8:$H$19,'Wind Proxy'!$A$8:$A$19,'Estimator'!$B$4,'Wind Proxy'!$B$8:$B$19,C1022)</x:f>
        <x:v>0.21505376344086022</x:v>
      </x:c>
    </x:row>
    <x:row r="1023">
      <x:c r="A1023" s="379" t="n">
        <x:v>46674</x:v>
      </x:c>
      <x:c r="B1023" s="380" t="n">
        <x:v>2027</x:v>
      </x:c>
      <x:c r="C1023" s="380" t="n">
        <x:v>10</x:v>
      </x:c>
      <x:c r="D1023" s="380" t="str">
        <x:v>Oct</x:v>
      </x:c>
      <x:c r="E1023" s="380" t="n">
        <x:v>14</x:v>
      </x:c>
      <x:c r="F1023" s="380" t="n">
        <x:v>4</x:v>
      </x:c>
      <x:c r="G1023" s="380" t="n">
        <x:f>--(F1023&lt;='Estimator'!$B$7)</x:f>
        <x:v>1</x:v>
      </x:c>
      <x:c r="H1023" s="381" t="n">
        <x:f>SUMIFS('Climate Data'!$G$7:$G$366,'Climate Data'!$A$7:$A$366,'Estimator'!$B$4,'Climate Data'!$B$7:$B$366,C1023)</x:f>
        <x:v>0.3721198156682028</x:v>
      </x:c>
      <x:c r="I1023" s="382" t="n">
        <x:f>SUMIFS('Climate Data'!$H$7:$H$366,'Climate Data'!$A$7:$A$366,'Estimator'!$B$4,'Climate Data'!$B$7:$B$366,C1023)</x:f>
        <x:v>7.940557275541795</x:v>
      </x:c>
      <x:c r="J1023" s="381" t="n">
        <x:f>SUMIFS('Wind Proxy'!$H$8:$H$19,'Wind Proxy'!$A$8:$A$19,'Estimator'!$B$4,'Wind Proxy'!$B$8:$B$19,C1023)</x:f>
        <x:v>0.21505376344086022</x:v>
      </x:c>
    </x:row>
    <x:row r="1024">
      <x:c r="A1024" s="379" t="n">
        <x:v>46675</x:v>
      </x:c>
      <x:c r="B1024" s="380" t="n">
        <x:v>2027</x:v>
      </x:c>
      <x:c r="C1024" s="380" t="n">
        <x:v>10</x:v>
      </x:c>
      <x:c r="D1024" s="380" t="str">
        <x:v>Oct</x:v>
      </x:c>
      <x:c r="E1024" s="380" t="n">
        <x:v>15</x:v>
      </x:c>
      <x:c r="F1024" s="380" t="n">
        <x:v>5</x:v>
      </x:c>
      <x:c r="G1024" s="380" t="n">
        <x:f>--(F1024&lt;='Estimator'!$B$7)</x:f>
        <x:v>1</x:v>
      </x:c>
      <x:c r="H1024" s="381" t="n">
        <x:f>SUMIFS('Climate Data'!$G$7:$G$366,'Climate Data'!$A$7:$A$366,'Estimator'!$B$4,'Climate Data'!$B$7:$B$366,C1024)</x:f>
        <x:v>0.3721198156682028</x:v>
      </x:c>
      <x:c r="I1024" s="382" t="n">
        <x:f>SUMIFS('Climate Data'!$H$7:$H$366,'Climate Data'!$A$7:$A$366,'Estimator'!$B$4,'Climate Data'!$B$7:$B$366,C1024)</x:f>
        <x:v>7.940557275541795</x:v>
      </x:c>
      <x:c r="J1024" s="381" t="n">
        <x:f>SUMIFS('Wind Proxy'!$H$8:$H$19,'Wind Proxy'!$A$8:$A$19,'Estimator'!$B$4,'Wind Proxy'!$B$8:$B$19,C1024)</x:f>
        <x:v>0.21505376344086022</x:v>
      </x:c>
    </x:row>
    <x:row r="1025">
      <x:c r="A1025" s="379" t="n">
        <x:v>46676</x:v>
      </x:c>
      <x:c r="B1025" s="380" t="n">
        <x:v>2027</x:v>
      </x:c>
      <x:c r="C1025" s="380" t="n">
        <x:v>10</x:v>
      </x:c>
      <x:c r="D1025" s="380" t="str">
        <x:v>Oct</x:v>
      </x:c>
      <x:c r="E1025" s="380" t="n">
        <x:v>16</x:v>
      </x:c>
      <x:c r="F1025" s="380" t="n">
        <x:v>6</x:v>
      </x:c>
      <x:c r="G1025" s="380" t="n">
        <x:f>--(F1025&lt;='Estimator'!$B$7)</x:f>
        <x:v>0</x:v>
      </x:c>
      <x:c r="H1025" s="381" t="n">
        <x:f>SUMIFS('Climate Data'!$G$7:$G$366,'Climate Data'!$A$7:$A$366,'Estimator'!$B$4,'Climate Data'!$B$7:$B$366,C1025)</x:f>
        <x:v>0.3721198156682028</x:v>
      </x:c>
      <x:c r="I1025" s="382" t="n">
        <x:f>SUMIFS('Climate Data'!$H$7:$H$366,'Climate Data'!$A$7:$A$366,'Estimator'!$B$4,'Climate Data'!$B$7:$B$366,C1025)</x:f>
        <x:v>7.940557275541795</x:v>
      </x:c>
      <x:c r="J1025" s="381" t="n">
        <x:f>SUMIFS('Wind Proxy'!$H$8:$H$19,'Wind Proxy'!$A$8:$A$19,'Estimator'!$B$4,'Wind Proxy'!$B$8:$B$19,C1025)</x:f>
        <x:v>0.21505376344086022</x:v>
      </x:c>
    </x:row>
    <x:row r="1026">
      <x:c r="A1026" s="379" t="n">
        <x:v>46677</x:v>
      </x:c>
      <x:c r="B1026" s="380" t="n">
        <x:v>2027</x:v>
      </x:c>
      <x:c r="C1026" s="380" t="n">
        <x:v>10</x:v>
      </x:c>
      <x:c r="D1026" s="380" t="str">
        <x:v>Oct</x:v>
      </x:c>
      <x:c r="E1026" s="380" t="n">
        <x:v>17</x:v>
      </x:c>
      <x:c r="F1026" s="380" t="n">
        <x:v>7</x:v>
      </x:c>
      <x:c r="G1026" s="380" t="n">
        <x:f>--(F1026&lt;='Estimator'!$B$7)</x:f>
        <x:v>0</x:v>
      </x:c>
      <x:c r="H1026" s="381" t="n">
        <x:f>SUMIFS('Climate Data'!$G$7:$G$366,'Climate Data'!$A$7:$A$366,'Estimator'!$B$4,'Climate Data'!$B$7:$B$366,C1026)</x:f>
        <x:v>0.3721198156682028</x:v>
      </x:c>
      <x:c r="I1026" s="382" t="n">
        <x:f>SUMIFS('Climate Data'!$H$7:$H$366,'Climate Data'!$A$7:$A$366,'Estimator'!$B$4,'Climate Data'!$B$7:$B$366,C1026)</x:f>
        <x:v>7.940557275541795</x:v>
      </x:c>
      <x:c r="J1026" s="381" t="n">
        <x:f>SUMIFS('Wind Proxy'!$H$8:$H$19,'Wind Proxy'!$A$8:$A$19,'Estimator'!$B$4,'Wind Proxy'!$B$8:$B$19,C1026)</x:f>
        <x:v>0.21505376344086022</x:v>
      </x:c>
    </x:row>
    <x:row r="1027">
      <x:c r="A1027" s="379" t="n">
        <x:v>46678</x:v>
      </x:c>
      <x:c r="B1027" s="380" t="n">
        <x:v>2027</x:v>
      </x:c>
      <x:c r="C1027" s="380" t="n">
        <x:v>10</x:v>
      </x:c>
      <x:c r="D1027" s="380" t="str">
        <x:v>Oct</x:v>
      </x:c>
      <x:c r="E1027" s="380" t="n">
        <x:v>18</x:v>
      </x:c>
      <x:c r="F1027" s="380" t="n">
        <x:v>1</x:v>
      </x:c>
      <x:c r="G1027" s="380" t="n">
        <x:f>--(F1027&lt;='Estimator'!$B$7)</x:f>
        <x:v>1</x:v>
      </x:c>
      <x:c r="H1027" s="381" t="n">
        <x:f>SUMIFS('Climate Data'!$G$7:$G$366,'Climate Data'!$A$7:$A$366,'Estimator'!$B$4,'Climate Data'!$B$7:$B$366,C1027)</x:f>
        <x:v>0.3721198156682028</x:v>
      </x:c>
      <x:c r="I1027" s="382" t="n">
        <x:f>SUMIFS('Climate Data'!$H$7:$H$366,'Climate Data'!$A$7:$A$366,'Estimator'!$B$4,'Climate Data'!$B$7:$B$366,C1027)</x:f>
        <x:v>7.940557275541795</x:v>
      </x:c>
      <x:c r="J1027" s="381" t="n">
        <x:f>SUMIFS('Wind Proxy'!$H$8:$H$19,'Wind Proxy'!$A$8:$A$19,'Estimator'!$B$4,'Wind Proxy'!$B$8:$B$19,C1027)</x:f>
        <x:v>0.21505376344086022</x:v>
      </x:c>
    </x:row>
    <x:row r="1028">
      <x:c r="A1028" s="379" t="n">
        <x:v>46679</x:v>
      </x:c>
      <x:c r="B1028" s="380" t="n">
        <x:v>2027</x:v>
      </x:c>
      <x:c r="C1028" s="380" t="n">
        <x:v>10</x:v>
      </x:c>
      <x:c r="D1028" s="380" t="str">
        <x:v>Oct</x:v>
      </x:c>
      <x:c r="E1028" s="380" t="n">
        <x:v>19</x:v>
      </x:c>
      <x:c r="F1028" s="380" t="n">
        <x:v>2</x:v>
      </x:c>
      <x:c r="G1028" s="380" t="n">
        <x:f>--(F1028&lt;='Estimator'!$B$7)</x:f>
        <x:v>1</x:v>
      </x:c>
      <x:c r="H1028" s="381" t="n">
        <x:f>SUMIFS('Climate Data'!$G$7:$G$366,'Climate Data'!$A$7:$A$366,'Estimator'!$B$4,'Climate Data'!$B$7:$B$366,C1028)</x:f>
        <x:v>0.3721198156682028</x:v>
      </x:c>
      <x:c r="I1028" s="382" t="n">
        <x:f>SUMIFS('Climate Data'!$H$7:$H$366,'Climate Data'!$A$7:$A$366,'Estimator'!$B$4,'Climate Data'!$B$7:$B$366,C1028)</x:f>
        <x:v>7.940557275541795</x:v>
      </x:c>
      <x:c r="J1028" s="381" t="n">
        <x:f>SUMIFS('Wind Proxy'!$H$8:$H$19,'Wind Proxy'!$A$8:$A$19,'Estimator'!$B$4,'Wind Proxy'!$B$8:$B$19,C1028)</x:f>
        <x:v>0.21505376344086022</x:v>
      </x:c>
    </x:row>
    <x:row r="1029">
      <x:c r="A1029" s="379" t="n">
        <x:v>46680</x:v>
      </x:c>
      <x:c r="B1029" s="380" t="n">
        <x:v>2027</x:v>
      </x:c>
      <x:c r="C1029" s="380" t="n">
        <x:v>10</x:v>
      </x:c>
      <x:c r="D1029" s="380" t="str">
        <x:v>Oct</x:v>
      </x:c>
      <x:c r="E1029" s="380" t="n">
        <x:v>20</x:v>
      </x:c>
      <x:c r="F1029" s="380" t="n">
        <x:v>3</x:v>
      </x:c>
      <x:c r="G1029" s="380" t="n">
        <x:f>--(F1029&lt;='Estimator'!$B$7)</x:f>
        <x:v>1</x:v>
      </x:c>
      <x:c r="H1029" s="381" t="n">
        <x:f>SUMIFS('Climate Data'!$G$7:$G$366,'Climate Data'!$A$7:$A$366,'Estimator'!$B$4,'Climate Data'!$B$7:$B$366,C1029)</x:f>
        <x:v>0.3721198156682028</x:v>
      </x:c>
      <x:c r="I1029" s="382" t="n">
        <x:f>SUMIFS('Climate Data'!$H$7:$H$366,'Climate Data'!$A$7:$A$366,'Estimator'!$B$4,'Climate Data'!$B$7:$B$366,C1029)</x:f>
        <x:v>7.940557275541795</x:v>
      </x:c>
      <x:c r="J1029" s="381" t="n">
        <x:f>SUMIFS('Wind Proxy'!$H$8:$H$19,'Wind Proxy'!$A$8:$A$19,'Estimator'!$B$4,'Wind Proxy'!$B$8:$B$19,C1029)</x:f>
        <x:v>0.21505376344086022</x:v>
      </x:c>
    </x:row>
    <x:row r="1030">
      <x:c r="A1030" s="379" t="n">
        <x:v>46681</x:v>
      </x:c>
      <x:c r="B1030" s="380" t="n">
        <x:v>2027</x:v>
      </x:c>
      <x:c r="C1030" s="380" t="n">
        <x:v>10</x:v>
      </x:c>
      <x:c r="D1030" s="380" t="str">
        <x:v>Oct</x:v>
      </x:c>
      <x:c r="E1030" s="380" t="n">
        <x:v>21</x:v>
      </x:c>
      <x:c r="F1030" s="380" t="n">
        <x:v>4</x:v>
      </x:c>
      <x:c r="G1030" s="380" t="n">
        <x:f>--(F1030&lt;='Estimator'!$B$7)</x:f>
        <x:v>1</x:v>
      </x:c>
      <x:c r="H1030" s="381" t="n">
        <x:f>SUMIFS('Climate Data'!$G$7:$G$366,'Climate Data'!$A$7:$A$366,'Estimator'!$B$4,'Climate Data'!$B$7:$B$366,C1030)</x:f>
        <x:v>0.3721198156682028</x:v>
      </x:c>
      <x:c r="I1030" s="382" t="n">
        <x:f>SUMIFS('Climate Data'!$H$7:$H$366,'Climate Data'!$A$7:$A$366,'Estimator'!$B$4,'Climate Data'!$B$7:$B$366,C1030)</x:f>
        <x:v>7.940557275541795</x:v>
      </x:c>
      <x:c r="J1030" s="381" t="n">
        <x:f>SUMIFS('Wind Proxy'!$H$8:$H$19,'Wind Proxy'!$A$8:$A$19,'Estimator'!$B$4,'Wind Proxy'!$B$8:$B$19,C1030)</x:f>
        <x:v>0.21505376344086022</x:v>
      </x:c>
    </x:row>
    <x:row r="1031">
      <x:c r="A1031" s="379" t="n">
        <x:v>46682</x:v>
      </x:c>
      <x:c r="B1031" s="380" t="n">
        <x:v>2027</x:v>
      </x:c>
      <x:c r="C1031" s="380" t="n">
        <x:v>10</x:v>
      </x:c>
      <x:c r="D1031" s="380" t="str">
        <x:v>Oct</x:v>
      </x:c>
      <x:c r="E1031" s="380" t="n">
        <x:v>22</x:v>
      </x:c>
      <x:c r="F1031" s="380" t="n">
        <x:v>5</x:v>
      </x:c>
      <x:c r="G1031" s="380" t="n">
        <x:f>--(F1031&lt;='Estimator'!$B$7)</x:f>
        <x:v>1</x:v>
      </x:c>
      <x:c r="H1031" s="381" t="n">
        <x:f>SUMIFS('Climate Data'!$G$7:$G$366,'Climate Data'!$A$7:$A$366,'Estimator'!$B$4,'Climate Data'!$B$7:$B$366,C1031)</x:f>
        <x:v>0.3721198156682028</x:v>
      </x:c>
      <x:c r="I1031" s="382" t="n">
        <x:f>SUMIFS('Climate Data'!$H$7:$H$366,'Climate Data'!$A$7:$A$366,'Estimator'!$B$4,'Climate Data'!$B$7:$B$366,C1031)</x:f>
        <x:v>7.940557275541795</x:v>
      </x:c>
      <x:c r="J1031" s="381" t="n">
        <x:f>SUMIFS('Wind Proxy'!$H$8:$H$19,'Wind Proxy'!$A$8:$A$19,'Estimator'!$B$4,'Wind Proxy'!$B$8:$B$19,C1031)</x:f>
        <x:v>0.21505376344086022</x:v>
      </x:c>
    </x:row>
    <x:row r="1032">
      <x:c r="A1032" s="379" t="n">
        <x:v>46683</x:v>
      </x:c>
      <x:c r="B1032" s="380" t="n">
        <x:v>2027</x:v>
      </x:c>
      <x:c r="C1032" s="380" t="n">
        <x:v>10</x:v>
      </x:c>
      <x:c r="D1032" s="380" t="str">
        <x:v>Oct</x:v>
      </x:c>
      <x:c r="E1032" s="380" t="n">
        <x:v>23</x:v>
      </x:c>
      <x:c r="F1032" s="380" t="n">
        <x:v>6</x:v>
      </x:c>
      <x:c r="G1032" s="380" t="n">
        <x:f>--(F1032&lt;='Estimator'!$B$7)</x:f>
        <x:v>0</x:v>
      </x:c>
      <x:c r="H1032" s="381" t="n">
        <x:f>SUMIFS('Climate Data'!$G$7:$G$366,'Climate Data'!$A$7:$A$366,'Estimator'!$B$4,'Climate Data'!$B$7:$B$366,C1032)</x:f>
        <x:v>0.3721198156682028</x:v>
      </x:c>
      <x:c r="I1032" s="382" t="n">
        <x:f>SUMIFS('Climate Data'!$H$7:$H$366,'Climate Data'!$A$7:$A$366,'Estimator'!$B$4,'Climate Data'!$B$7:$B$366,C1032)</x:f>
        <x:v>7.940557275541795</x:v>
      </x:c>
      <x:c r="J1032" s="381" t="n">
        <x:f>SUMIFS('Wind Proxy'!$H$8:$H$19,'Wind Proxy'!$A$8:$A$19,'Estimator'!$B$4,'Wind Proxy'!$B$8:$B$19,C1032)</x:f>
        <x:v>0.21505376344086022</x:v>
      </x:c>
    </x:row>
    <x:row r="1033">
      <x:c r="A1033" s="379" t="n">
        <x:v>46684</x:v>
      </x:c>
      <x:c r="B1033" s="380" t="n">
        <x:v>2027</x:v>
      </x:c>
      <x:c r="C1033" s="380" t="n">
        <x:v>10</x:v>
      </x:c>
      <x:c r="D1033" s="380" t="str">
        <x:v>Oct</x:v>
      </x:c>
      <x:c r="E1033" s="380" t="n">
        <x:v>24</x:v>
      </x:c>
      <x:c r="F1033" s="380" t="n">
        <x:v>7</x:v>
      </x:c>
      <x:c r="G1033" s="380" t="n">
        <x:f>--(F1033&lt;='Estimator'!$B$7)</x:f>
        <x:v>0</x:v>
      </x:c>
      <x:c r="H1033" s="381" t="n">
        <x:f>SUMIFS('Climate Data'!$G$7:$G$366,'Climate Data'!$A$7:$A$366,'Estimator'!$B$4,'Climate Data'!$B$7:$B$366,C1033)</x:f>
        <x:v>0.3721198156682028</x:v>
      </x:c>
      <x:c r="I1033" s="382" t="n">
        <x:f>SUMIFS('Climate Data'!$H$7:$H$366,'Climate Data'!$A$7:$A$366,'Estimator'!$B$4,'Climate Data'!$B$7:$B$366,C1033)</x:f>
        <x:v>7.940557275541795</x:v>
      </x:c>
      <x:c r="J1033" s="381" t="n">
        <x:f>SUMIFS('Wind Proxy'!$H$8:$H$19,'Wind Proxy'!$A$8:$A$19,'Estimator'!$B$4,'Wind Proxy'!$B$8:$B$19,C1033)</x:f>
        <x:v>0.21505376344086022</x:v>
      </x:c>
    </x:row>
    <x:row r="1034">
      <x:c r="A1034" s="379" t="n">
        <x:v>46685</x:v>
      </x:c>
      <x:c r="B1034" s="380" t="n">
        <x:v>2027</x:v>
      </x:c>
      <x:c r="C1034" s="380" t="n">
        <x:v>10</x:v>
      </x:c>
      <x:c r="D1034" s="380" t="str">
        <x:v>Oct</x:v>
      </x:c>
      <x:c r="E1034" s="380" t="n">
        <x:v>25</x:v>
      </x:c>
      <x:c r="F1034" s="380" t="n">
        <x:v>1</x:v>
      </x:c>
      <x:c r="G1034" s="380" t="n">
        <x:f>--(F1034&lt;='Estimator'!$B$7)</x:f>
        <x:v>1</x:v>
      </x:c>
      <x:c r="H1034" s="381" t="n">
        <x:f>SUMIFS('Climate Data'!$G$7:$G$366,'Climate Data'!$A$7:$A$366,'Estimator'!$B$4,'Climate Data'!$B$7:$B$366,C1034)</x:f>
        <x:v>0.3721198156682028</x:v>
      </x:c>
      <x:c r="I1034" s="382" t="n">
        <x:f>SUMIFS('Climate Data'!$H$7:$H$366,'Climate Data'!$A$7:$A$366,'Estimator'!$B$4,'Climate Data'!$B$7:$B$366,C1034)</x:f>
        <x:v>7.940557275541795</x:v>
      </x:c>
      <x:c r="J1034" s="381" t="n">
        <x:f>SUMIFS('Wind Proxy'!$H$8:$H$19,'Wind Proxy'!$A$8:$A$19,'Estimator'!$B$4,'Wind Proxy'!$B$8:$B$19,C1034)</x:f>
        <x:v>0.21505376344086022</x:v>
      </x:c>
    </x:row>
    <x:row r="1035">
      <x:c r="A1035" s="379" t="n">
        <x:v>46686</x:v>
      </x:c>
      <x:c r="B1035" s="380" t="n">
        <x:v>2027</x:v>
      </x:c>
      <x:c r="C1035" s="380" t="n">
        <x:v>10</x:v>
      </x:c>
      <x:c r="D1035" s="380" t="str">
        <x:v>Oct</x:v>
      </x:c>
      <x:c r="E1035" s="380" t="n">
        <x:v>26</x:v>
      </x:c>
      <x:c r="F1035" s="380" t="n">
        <x:v>2</x:v>
      </x:c>
      <x:c r="G1035" s="380" t="n">
        <x:f>--(F1035&lt;='Estimator'!$B$7)</x:f>
        <x:v>1</x:v>
      </x:c>
      <x:c r="H1035" s="381" t="n">
        <x:f>SUMIFS('Climate Data'!$G$7:$G$366,'Climate Data'!$A$7:$A$366,'Estimator'!$B$4,'Climate Data'!$B$7:$B$366,C1035)</x:f>
        <x:v>0.3721198156682028</x:v>
      </x:c>
      <x:c r="I1035" s="382" t="n">
        <x:f>SUMIFS('Climate Data'!$H$7:$H$366,'Climate Data'!$A$7:$A$366,'Estimator'!$B$4,'Climate Data'!$B$7:$B$366,C1035)</x:f>
        <x:v>7.940557275541795</x:v>
      </x:c>
      <x:c r="J1035" s="381" t="n">
        <x:f>SUMIFS('Wind Proxy'!$H$8:$H$19,'Wind Proxy'!$A$8:$A$19,'Estimator'!$B$4,'Wind Proxy'!$B$8:$B$19,C1035)</x:f>
        <x:v>0.21505376344086022</x:v>
      </x:c>
    </x:row>
    <x:row r="1036">
      <x:c r="A1036" s="379" t="n">
        <x:v>46687</x:v>
      </x:c>
      <x:c r="B1036" s="380" t="n">
        <x:v>2027</x:v>
      </x:c>
      <x:c r="C1036" s="380" t="n">
        <x:v>10</x:v>
      </x:c>
      <x:c r="D1036" s="380" t="str">
        <x:v>Oct</x:v>
      </x:c>
      <x:c r="E1036" s="380" t="n">
        <x:v>27</x:v>
      </x:c>
      <x:c r="F1036" s="380" t="n">
        <x:v>3</x:v>
      </x:c>
      <x:c r="G1036" s="380" t="n">
        <x:f>--(F1036&lt;='Estimator'!$B$7)</x:f>
        <x:v>1</x:v>
      </x:c>
      <x:c r="H1036" s="381" t="n">
        <x:f>SUMIFS('Climate Data'!$G$7:$G$366,'Climate Data'!$A$7:$A$366,'Estimator'!$B$4,'Climate Data'!$B$7:$B$366,C1036)</x:f>
        <x:v>0.3721198156682028</x:v>
      </x:c>
      <x:c r="I1036" s="382" t="n">
        <x:f>SUMIFS('Climate Data'!$H$7:$H$366,'Climate Data'!$A$7:$A$366,'Estimator'!$B$4,'Climate Data'!$B$7:$B$366,C1036)</x:f>
        <x:v>7.940557275541795</x:v>
      </x:c>
      <x:c r="J1036" s="381" t="n">
        <x:f>SUMIFS('Wind Proxy'!$H$8:$H$19,'Wind Proxy'!$A$8:$A$19,'Estimator'!$B$4,'Wind Proxy'!$B$8:$B$19,C1036)</x:f>
        <x:v>0.21505376344086022</x:v>
      </x:c>
    </x:row>
    <x:row r="1037">
      <x:c r="A1037" s="379" t="n">
        <x:v>46688</x:v>
      </x:c>
      <x:c r="B1037" s="380" t="n">
        <x:v>2027</x:v>
      </x:c>
      <x:c r="C1037" s="380" t="n">
        <x:v>10</x:v>
      </x:c>
      <x:c r="D1037" s="380" t="str">
        <x:v>Oct</x:v>
      </x:c>
      <x:c r="E1037" s="380" t="n">
        <x:v>28</x:v>
      </x:c>
      <x:c r="F1037" s="380" t="n">
        <x:v>4</x:v>
      </x:c>
      <x:c r="G1037" s="380" t="n">
        <x:f>--(F1037&lt;='Estimator'!$B$7)</x:f>
        <x:v>1</x:v>
      </x:c>
      <x:c r="H1037" s="381" t="n">
        <x:f>SUMIFS('Climate Data'!$G$7:$G$366,'Climate Data'!$A$7:$A$366,'Estimator'!$B$4,'Climate Data'!$B$7:$B$366,C1037)</x:f>
        <x:v>0.3721198156682028</x:v>
      </x:c>
      <x:c r="I1037" s="382" t="n">
        <x:f>SUMIFS('Climate Data'!$H$7:$H$366,'Climate Data'!$A$7:$A$366,'Estimator'!$B$4,'Climate Data'!$B$7:$B$366,C1037)</x:f>
        <x:v>7.940557275541795</x:v>
      </x:c>
      <x:c r="J1037" s="381" t="n">
        <x:f>SUMIFS('Wind Proxy'!$H$8:$H$19,'Wind Proxy'!$A$8:$A$19,'Estimator'!$B$4,'Wind Proxy'!$B$8:$B$19,C1037)</x:f>
        <x:v>0.21505376344086022</x:v>
      </x:c>
    </x:row>
    <x:row r="1038">
      <x:c r="A1038" s="379" t="n">
        <x:v>46689</x:v>
      </x:c>
      <x:c r="B1038" s="380" t="n">
        <x:v>2027</x:v>
      </x:c>
      <x:c r="C1038" s="380" t="n">
        <x:v>10</x:v>
      </x:c>
      <x:c r="D1038" s="380" t="str">
        <x:v>Oct</x:v>
      </x:c>
      <x:c r="E1038" s="380" t="n">
        <x:v>29</x:v>
      </x:c>
      <x:c r="F1038" s="380" t="n">
        <x:v>5</x:v>
      </x:c>
      <x:c r="G1038" s="380" t="n">
        <x:f>--(F1038&lt;='Estimator'!$B$7)</x:f>
        <x:v>1</x:v>
      </x:c>
      <x:c r="H1038" s="381" t="n">
        <x:f>SUMIFS('Climate Data'!$G$7:$G$366,'Climate Data'!$A$7:$A$366,'Estimator'!$B$4,'Climate Data'!$B$7:$B$366,C1038)</x:f>
        <x:v>0.3721198156682028</x:v>
      </x:c>
      <x:c r="I1038" s="382" t="n">
        <x:f>SUMIFS('Climate Data'!$H$7:$H$366,'Climate Data'!$A$7:$A$366,'Estimator'!$B$4,'Climate Data'!$B$7:$B$366,C1038)</x:f>
        <x:v>7.940557275541795</x:v>
      </x:c>
      <x:c r="J1038" s="381" t="n">
        <x:f>SUMIFS('Wind Proxy'!$H$8:$H$19,'Wind Proxy'!$A$8:$A$19,'Estimator'!$B$4,'Wind Proxy'!$B$8:$B$19,C1038)</x:f>
        <x:v>0.21505376344086022</x:v>
      </x:c>
    </x:row>
    <x:row r="1039">
      <x:c r="A1039" s="379" t="n">
        <x:v>46690</x:v>
      </x:c>
      <x:c r="B1039" s="380" t="n">
        <x:v>2027</x:v>
      </x:c>
      <x:c r="C1039" s="380" t="n">
        <x:v>10</x:v>
      </x:c>
      <x:c r="D1039" s="380" t="str">
        <x:v>Oct</x:v>
      </x:c>
      <x:c r="E1039" s="380" t="n">
        <x:v>30</x:v>
      </x:c>
      <x:c r="F1039" s="380" t="n">
        <x:v>6</x:v>
      </x:c>
      <x:c r="G1039" s="380" t="n">
        <x:f>--(F1039&lt;='Estimator'!$B$7)</x:f>
        <x:v>0</x:v>
      </x:c>
      <x:c r="H1039" s="381" t="n">
        <x:f>SUMIFS('Climate Data'!$G$7:$G$366,'Climate Data'!$A$7:$A$366,'Estimator'!$B$4,'Climate Data'!$B$7:$B$366,C1039)</x:f>
        <x:v>0.3721198156682028</x:v>
      </x:c>
      <x:c r="I1039" s="382" t="n">
        <x:f>SUMIFS('Climate Data'!$H$7:$H$366,'Climate Data'!$A$7:$A$366,'Estimator'!$B$4,'Climate Data'!$B$7:$B$366,C1039)</x:f>
        <x:v>7.940557275541795</x:v>
      </x:c>
      <x:c r="J1039" s="381" t="n">
        <x:f>SUMIFS('Wind Proxy'!$H$8:$H$19,'Wind Proxy'!$A$8:$A$19,'Estimator'!$B$4,'Wind Proxy'!$B$8:$B$19,C1039)</x:f>
        <x:v>0.21505376344086022</x:v>
      </x:c>
    </x:row>
    <x:row r="1040">
      <x:c r="A1040" s="379" t="n">
        <x:v>46691</x:v>
      </x:c>
      <x:c r="B1040" s="380" t="n">
        <x:v>2027</x:v>
      </x:c>
      <x:c r="C1040" s="380" t="n">
        <x:v>10</x:v>
      </x:c>
      <x:c r="D1040" s="380" t="str">
        <x:v>Oct</x:v>
      </x:c>
      <x:c r="E1040" s="380" t="n">
        <x:v>31</x:v>
      </x:c>
      <x:c r="F1040" s="380" t="n">
        <x:v>7</x:v>
      </x:c>
      <x:c r="G1040" s="380" t="n">
        <x:f>--(F1040&lt;='Estimator'!$B$7)</x:f>
        <x:v>0</x:v>
      </x:c>
      <x:c r="H1040" s="381" t="n">
        <x:f>SUMIFS('Climate Data'!$G$7:$G$366,'Climate Data'!$A$7:$A$366,'Estimator'!$B$4,'Climate Data'!$B$7:$B$366,C1040)</x:f>
        <x:v>0.3721198156682028</x:v>
      </x:c>
      <x:c r="I1040" s="382" t="n">
        <x:f>SUMIFS('Climate Data'!$H$7:$H$366,'Climate Data'!$A$7:$A$366,'Estimator'!$B$4,'Climate Data'!$B$7:$B$366,C1040)</x:f>
        <x:v>7.940557275541795</x:v>
      </x:c>
      <x:c r="J1040" s="381" t="n">
        <x:f>SUMIFS('Wind Proxy'!$H$8:$H$19,'Wind Proxy'!$A$8:$A$19,'Estimator'!$B$4,'Wind Proxy'!$B$8:$B$19,C1040)</x:f>
        <x:v>0.21505376344086022</x:v>
      </x:c>
    </x:row>
    <x:row r="1041">
      <x:c r="A1041" s="379" t="n">
        <x:v>46692</x:v>
      </x:c>
      <x:c r="B1041" s="380" t="n">
        <x:v>2027</x:v>
      </x:c>
      <x:c r="C1041" s="380" t="n">
        <x:v>11</x:v>
      </x:c>
      <x:c r="D1041" s="380" t="str">
        <x:v>Nov</x:v>
      </x:c>
      <x:c r="E1041" s="380" t="n">
        <x:v>1</x:v>
      </x:c>
      <x:c r="F1041" s="380" t="n">
        <x:v>1</x:v>
      </x:c>
      <x:c r="G1041" s="380" t="n">
        <x:f>--(F1041&lt;='Estimator'!$B$7)</x:f>
        <x:v>1</x:v>
      </x:c>
      <x:c r="H1041" s="381" t="n">
        <x:f>SUMIFS('Climate Data'!$G$7:$G$366,'Climate Data'!$A$7:$A$366,'Estimator'!$B$4,'Climate Data'!$B$7:$B$366,C1041)</x:f>
        <x:v>0.3111111111111111</x:v>
      </x:c>
      <x:c r="I1041" s="382" t="n">
        <x:f>SUMIFS('Climate Data'!$H$7:$H$366,'Climate Data'!$A$7:$A$366,'Estimator'!$B$4,'Climate Data'!$B$7:$B$366,C1041)</x:f>
        <x:v>7.382142857142857</x:v>
      </x:c>
      <x:c r="J1041" s="381" t="n">
        <x:f>SUMIFS('Wind Proxy'!$H$8:$H$19,'Wind Proxy'!$A$8:$A$19,'Estimator'!$B$4,'Wind Proxy'!$B$8:$B$19,C1041)</x:f>
        <x:v>0.22222222222222224</x:v>
      </x:c>
    </x:row>
    <x:row r="1042">
      <x:c r="A1042" s="379" t="n">
        <x:v>46693</x:v>
      </x:c>
      <x:c r="B1042" s="380" t="n">
        <x:v>2027</x:v>
      </x:c>
      <x:c r="C1042" s="380" t="n">
        <x:v>11</x:v>
      </x:c>
      <x:c r="D1042" s="380" t="str">
        <x:v>Nov</x:v>
      </x:c>
      <x:c r="E1042" s="380" t="n">
        <x:v>2</x:v>
      </x:c>
      <x:c r="F1042" s="380" t="n">
        <x:v>2</x:v>
      </x:c>
      <x:c r="G1042" s="380" t="n">
        <x:f>--(F1042&lt;='Estimator'!$B$7)</x:f>
        <x:v>1</x:v>
      </x:c>
      <x:c r="H1042" s="381" t="n">
        <x:f>SUMIFS('Climate Data'!$G$7:$G$366,'Climate Data'!$A$7:$A$366,'Estimator'!$B$4,'Climate Data'!$B$7:$B$366,C1042)</x:f>
        <x:v>0.3111111111111111</x:v>
      </x:c>
      <x:c r="I1042" s="382" t="n">
        <x:f>SUMIFS('Climate Data'!$H$7:$H$366,'Climate Data'!$A$7:$A$366,'Estimator'!$B$4,'Climate Data'!$B$7:$B$366,C1042)</x:f>
        <x:v>7.382142857142857</x:v>
      </x:c>
      <x:c r="J1042" s="381" t="n">
        <x:f>SUMIFS('Wind Proxy'!$H$8:$H$19,'Wind Proxy'!$A$8:$A$19,'Estimator'!$B$4,'Wind Proxy'!$B$8:$B$19,C1042)</x:f>
        <x:v>0.22222222222222224</x:v>
      </x:c>
    </x:row>
    <x:row r="1043">
      <x:c r="A1043" s="379" t="n">
        <x:v>46694</x:v>
      </x:c>
      <x:c r="B1043" s="380" t="n">
        <x:v>2027</x:v>
      </x:c>
      <x:c r="C1043" s="380" t="n">
        <x:v>11</x:v>
      </x:c>
      <x:c r="D1043" s="380" t="str">
        <x:v>Nov</x:v>
      </x:c>
      <x:c r="E1043" s="380" t="n">
        <x:v>3</x:v>
      </x:c>
      <x:c r="F1043" s="380" t="n">
        <x:v>3</x:v>
      </x:c>
      <x:c r="G1043" s="380" t="n">
        <x:f>--(F1043&lt;='Estimator'!$B$7)</x:f>
        <x:v>1</x:v>
      </x:c>
      <x:c r="H1043" s="381" t="n">
        <x:f>SUMIFS('Climate Data'!$G$7:$G$366,'Climate Data'!$A$7:$A$366,'Estimator'!$B$4,'Climate Data'!$B$7:$B$366,C1043)</x:f>
        <x:v>0.3111111111111111</x:v>
      </x:c>
      <x:c r="I1043" s="382" t="n">
        <x:f>SUMIFS('Climate Data'!$H$7:$H$366,'Climate Data'!$A$7:$A$366,'Estimator'!$B$4,'Climate Data'!$B$7:$B$366,C1043)</x:f>
        <x:v>7.382142857142857</x:v>
      </x:c>
      <x:c r="J1043" s="381" t="n">
        <x:f>SUMIFS('Wind Proxy'!$H$8:$H$19,'Wind Proxy'!$A$8:$A$19,'Estimator'!$B$4,'Wind Proxy'!$B$8:$B$19,C1043)</x:f>
        <x:v>0.22222222222222224</x:v>
      </x:c>
    </x:row>
    <x:row r="1044">
      <x:c r="A1044" s="379" t="n">
        <x:v>46695</x:v>
      </x:c>
      <x:c r="B1044" s="380" t="n">
        <x:v>2027</x:v>
      </x:c>
      <x:c r="C1044" s="380" t="n">
        <x:v>11</x:v>
      </x:c>
      <x:c r="D1044" s="380" t="str">
        <x:v>Nov</x:v>
      </x:c>
      <x:c r="E1044" s="380" t="n">
        <x:v>4</x:v>
      </x:c>
      <x:c r="F1044" s="380" t="n">
        <x:v>4</x:v>
      </x:c>
      <x:c r="G1044" s="380" t="n">
        <x:f>--(F1044&lt;='Estimator'!$B$7)</x:f>
        <x:v>1</x:v>
      </x:c>
      <x:c r="H1044" s="381" t="n">
        <x:f>SUMIFS('Climate Data'!$G$7:$G$366,'Climate Data'!$A$7:$A$366,'Estimator'!$B$4,'Climate Data'!$B$7:$B$366,C1044)</x:f>
        <x:v>0.3111111111111111</x:v>
      </x:c>
      <x:c r="I1044" s="382" t="n">
        <x:f>SUMIFS('Climate Data'!$H$7:$H$366,'Climate Data'!$A$7:$A$366,'Estimator'!$B$4,'Climate Data'!$B$7:$B$366,C1044)</x:f>
        <x:v>7.382142857142857</x:v>
      </x:c>
      <x:c r="J1044" s="381" t="n">
        <x:f>SUMIFS('Wind Proxy'!$H$8:$H$19,'Wind Proxy'!$A$8:$A$19,'Estimator'!$B$4,'Wind Proxy'!$B$8:$B$19,C1044)</x:f>
        <x:v>0.22222222222222224</x:v>
      </x:c>
    </x:row>
    <x:row r="1045">
      <x:c r="A1045" s="379" t="n">
        <x:v>46696</x:v>
      </x:c>
      <x:c r="B1045" s="380" t="n">
        <x:v>2027</x:v>
      </x:c>
      <x:c r="C1045" s="380" t="n">
        <x:v>11</x:v>
      </x:c>
      <x:c r="D1045" s="380" t="str">
        <x:v>Nov</x:v>
      </x:c>
      <x:c r="E1045" s="380" t="n">
        <x:v>5</x:v>
      </x:c>
      <x:c r="F1045" s="380" t="n">
        <x:v>5</x:v>
      </x:c>
      <x:c r="G1045" s="380" t="n">
        <x:f>--(F1045&lt;='Estimator'!$B$7)</x:f>
        <x:v>1</x:v>
      </x:c>
      <x:c r="H1045" s="381" t="n">
        <x:f>SUMIFS('Climate Data'!$G$7:$G$366,'Climate Data'!$A$7:$A$366,'Estimator'!$B$4,'Climate Data'!$B$7:$B$366,C1045)</x:f>
        <x:v>0.3111111111111111</x:v>
      </x:c>
      <x:c r="I1045" s="382" t="n">
        <x:f>SUMIFS('Climate Data'!$H$7:$H$366,'Climate Data'!$A$7:$A$366,'Estimator'!$B$4,'Climate Data'!$B$7:$B$366,C1045)</x:f>
        <x:v>7.382142857142857</x:v>
      </x:c>
      <x:c r="J1045" s="381" t="n">
        <x:f>SUMIFS('Wind Proxy'!$H$8:$H$19,'Wind Proxy'!$A$8:$A$19,'Estimator'!$B$4,'Wind Proxy'!$B$8:$B$19,C1045)</x:f>
        <x:v>0.22222222222222224</x:v>
      </x:c>
    </x:row>
    <x:row r="1046">
      <x:c r="A1046" s="379" t="n">
        <x:v>46697</x:v>
      </x:c>
      <x:c r="B1046" s="380" t="n">
        <x:v>2027</x:v>
      </x:c>
      <x:c r="C1046" s="380" t="n">
        <x:v>11</x:v>
      </x:c>
      <x:c r="D1046" s="380" t="str">
        <x:v>Nov</x:v>
      </x:c>
      <x:c r="E1046" s="380" t="n">
        <x:v>6</x:v>
      </x:c>
      <x:c r="F1046" s="380" t="n">
        <x:v>6</x:v>
      </x:c>
      <x:c r="G1046" s="380" t="n">
        <x:f>--(F1046&lt;='Estimator'!$B$7)</x:f>
        <x:v>0</x:v>
      </x:c>
      <x:c r="H1046" s="381" t="n">
        <x:f>SUMIFS('Climate Data'!$G$7:$G$366,'Climate Data'!$A$7:$A$366,'Estimator'!$B$4,'Climate Data'!$B$7:$B$366,C1046)</x:f>
        <x:v>0.3111111111111111</x:v>
      </x:c>
      <x:c r="I1046" s="382" t="n">
        <x:f>SUMIFS('Climate Data'!$H$7:$H$366,'Climate Data'!$A$7:$A$366,'Estimator'!$B$4,'Climate Data'!$B$7:$B$366,C1046)</x:f>
        <x:v>7.382142857142857</x:v>
      </x:c>
      <x:c r="J1046" s="381" t="n">
        <x:f>SUMIFS('Wind Proxy'!$H$8:$H$19,'Wind Proxy'!$A$8:$A$19,'Estimator'!$B$4,'Wind Proxy'!$B$8:$B$19,C1046)</x:f>
        <x:v>0.22222222222222224</x:v>
      </x:c>
    </x:row>
    <x:row r="1047">
      <x:c r="A1047" s="379" t="n">
        <x:v>46698</x:v>
      </x:c>
      <x:c r="B1047" s="380" t="n">
        <x:v>2027</x:v>
      </x:c>
      <x:c r="C1047" s="380" t="n">
        <x:v>11</x:v>
      </x:c>
      <x:c r="D1047" s="380" t="str">
        <x:v>Nov</x:v>
      </x:c>
      <x:c r="E1047" s="380" t="n">
        <x:v>7</x:v>
      </x:c>
      <x:c r="F1047" s="380" t="n">
        <x:v>7</x:v>
      </x:c>
      <x:c r="G1047" s="380" t="n">
        <x:f>--(F1047&lt;='Estimator'!$B$7)</x:f>
        <x:v>0</x:v>
      </x:c>
      <x:c r="H1047" s="381" t="n">
        <x:f>SUMIFS('Climate Data'!$G$7:$G$366,'Climate Data'!$A$7:$A$366,'Estimator'!$B$4,'Climate Data'!$B$7:$B$366,C1047)</x:f>
        <x:v>0.3111111111111111</x:v>
      </x:c>
      <x:c r="I1047" s="382" t="n">
        <x:f>SUMIFS('Climate Data'!$H$7:$H$366,'Climate Data'!$A$7:$A$366,'Estimator'!$B$4,'Climate Data'!$B$7:$B$366,C1047)</x:f>
        <x:v>7.382142857142857</x:v>
      </x:c>
      <x:c r="J1047" s="381" t="n">
        <x:f>SUMIFS('Wind Proxy'!$H$8:$H$19,'Wind Proxy'!$A$8:$A$19,'Estimator'!$B$4,'Wind Proxy'!$B$8:$B$19,C1047)</x:f>
        <x:v>0.22222222222222224</x:v>
      </x:c>
    </x:row>
    <x:row r="1048">
      <x:c r="A1048" s="379" t="n">
        <x:v>46699</x:v>
      </x:c>
      <x:c r="B1048" s="380" t="n">
        <x:v>2027</x:v>
      </x:c>
      <x:c r="C1048" s="380" t="n">
        <x:v>11</x:v>
      </x:c>
      <x:c r="D1048" s="380" t="str">
        <x:v>Nov</x:v>
      </x:c>
      <x:c r="E1048" s="380" t="n">
        <x:v>8</x:v>
      </x:c>
      <x:c r="F1048" s="380" t="n">
        <x:v>1</x:v>
      </x:c>
      <x:c r="G1048" s="380" t="n">
        <x:f>--(F1048&lt;='Estimator'!$B$7)</x:f>
        <x:v>1</x:v>
      </x:c>
      <x:c r="H1048" s="381" t="n">
        <x:f>SUMIFS('Climate Data'!$G$7:$G$366,'Climate Data'!$A$7:$A$366,'Estimator'!$B$4,'Climate Data'!$B$7:$B$366,C1048)</x:f>
        <x:v>0.3111111111111111</x:v>
      </x:c>
      <x:c r="I1048" s="382" t="n">
        <x:f>SUMIFS('Climate Data'!$H$7:$H$366,'Climate Data'!$A$7:$A$366,'Estimator'!$B$4,'Climate Data'!$B$7:$B$366,C1048)</x:f>
        <x:v>7.382142857142857</x:v>
      </x:c>
      <x:c r="J1048" s="381" t="n">
        <x:f>SUMIFS('Wind Proxy'!$H$8:$H$19,'Wind Proxy'!$A$8:$A$19,'Estimator'!$B$4,'Wind Proxy'!$B$8:$B$19,C1048)</x:f>
        <x:v>0.22222222222222224</x:v>
      </x:c>
    </x:row>
    <x:row r="1049">
      <x:c r="A1049" s="379" t="n">
        <x:v>46700</x:v>
      </x:c>
      <x:c r="B1049" s="380" t="n">
        <x:v>2027</x:v>
      </x:c>
      <x:c r="C1049" s="380" t="n">
        <x:v>11</x:v>
      </x:c>
      <x:c r="D1049" s="380" t="str">
        <x:v>Nov</x:v>
      </x:c>
      <x:c r="E1049" s="380" t="n">
        <x:v>9</x:v>
      </x:c>
      <x:c r="F1049" s="380" t="n">
        <x:v>2</x:v>
      </x:c>
      <x:c r="G1049" s="380" t="n">
        <x:f>--(F1049&lt;='Estimator'!$B$7)</x:f>
        <x:v>1</x:v>
      </x:c>
      <x:c r="H1049" s="381" t="n">
        <x:f>SUMIFS('Climate Data'!$G$7:$G$366,'Climate Data'!$A$7:$A$366,'Estimator'!$B$4,'Climate Data'!$B$7:$B$366,C1049)</x:f>
        <x:v>0.3111111111111111</x:v>
      </x:c>
      <x:c r="I1049" s="382" t="n">
        <x:f>SUMIFS('Climate Data'!$H$7:$H$366,'Climate Data'!$A$7:$A$366,'Estimator'!$B$4,'Climate Data'!$B$7:$B$366,C1049)</x:f>
        <x:v>7.382142857142857</x:v>
      </x:c>
      <x:c r="J1049" s="381" t="n">
        <x:f>SUMIFS('Wind Proxy'!$H$8:$H$19,'Wind Proxy'!$A$8:$A$19,'Estimator'!$B$4,'Wind Proxy'!$B$8:$B$19,C1049)</x:f>
        <x:v>0.22222222222222224</x:v>
      </x:c>
    </x:row>
    <x:row r="1050">
      <x:c r="A1050" s="379" t="n">
        <x:v>46701</x:v>
      </x:c>
      <x:c r="B1050" s="380" t="n">
        <x:v>2027</x:v>
      </x:c>
      <x:c r="C1050" s="380" t="n">
        <x:v>11</x:v>
      </x:c>
      <x:c r="D1050" s="380" t="str">
        <x:v>Nov</x:v>
      </x:c>
      <x:c r="E1050" s="380" t="n">
        <x:v>10</x:v>
      </x:c>
      <x:c r="F1050" s="380" t="n">
        <x:v>3</x:v>
      </x:c>
      <x:c r="G1050" s="380" t="n">
        <x:f>--(F1050&lt;='Estimator'!$B$7)</x:f>
        <x:v>1</x:v>
      </x:c>
      <x:c r="H1050" s="381" t="n">
        <x:f>SUMIFS('Climate Data'!$G$7:$G$366,'Climate Data'!$A$7:$A$366,'Estimator'!$B$4,'Climate Data'!$B$7:$B$366,C1050)</x:f>
        <x:v>0.3111111111111111</x:v>
      </x:c>
      <x:c r="I1050" s="382" t="n">
        <x:f>SUMIFS('Climate Data'!$H$7:$H$366,'Climate Data'!$A$7:$A$366,'Estimator'!$B$4,'Climate Data'!$B$7:$B$366,C1050)</x:f>
        <x:v>7.382142857142857</x:v>
      </x:c>
      <x:c r="J1050" s="381" t="n">
        <x:f>SUMIFS('Wind Proxy'!$H$8:$H$19,'Wind Proxy'!$A$8:$A$19,'Estimator'!$B$4,'Wind Proxy'!$B$8:$B$19,C1050)</x:f>
        <x:v>0.22222222222222224</x:v>
      </x:c>
    </x:row>
    <x:row r="1051">
      <x:c r="A1051" s="379" t="n">
        <x:v>46702</x:v>
      </x:c>
      <x:c r="B1051" s="380" t="n">
        <x:v>2027</x:v>
      </x:c>
      <x:c r="C1051" s="380" t="n">
        <x:v>11</x:v>
      </x:c>
      <x:c r="D1051" s="380" t="str">
        <x:v>Nov</x:v>
      </x:c>
      <x:c r="E1051" s="380" t="n">
        <x:v>11</x:v>
      </x:c>
      <x:c r="F1051" s="380" t="n">
        <x:v>4</x:v>
      </x:c>
      <x:c r="G1051" s="380" t="n">
        <x:f>--(F1051&lt;='Estimator'!$B$7)</x:f>
        <x:v>1</x:v>
      </x:c>
      <x:c r="H1051" s="381" t="n">
        <x:f>SUMIFS('Climate Data'!$G$7:$G$366,'Climate Data'!$A$7:$A$366,'Estimator'!$B$4,'Climate Data'!$B$7:$B$366,C1051)</x:f>
        <x:v>0.3111111111111111</x:v>
      </x:c>
      <x:c r="I1051" s="382" t="n">
        <x:f>SUMIFS('Climate Data'!$H$7:$H$366,'Climate Data'!$A$7:$A$366,'Estimator'!$B$4,'Climate Data'!$B$7:$B$366,C1051)</x:f>
        <x:v>7.382142857142857</x:v>
      </x:c>
      <x:c r="J1051" s="381" t="n">
        <x:f>SUMIFS('Wind Proxy'!$H$8:$H$19,'Wind Proxy'!$A$8:$A$19,'Estimator'!$B$4,'Wind Proxy'!$B$8:$B$19,C1051)</x:f>
        <x:v>0.22222222222222224</x:v>
      </x:c>
    </x:row>
    <x:row r="1052">
      <x:c r="A1052" s="379" t="n">
        <x:v>46703</x:v>
      </x:c>
      <x:c r="B1052" s="380" t="n">
        <x:v>2027</x:v>
      </x:c>
      <x:c r="C1052" s="380" t="n">
        <x:v>11</x:v>
      </x:c>
      <x:c r="D1052" s="380" t="str">
        <x:v>Nov</x:v>
      </x:c>
      <x:c r="E1052" s="380" t="n">
        <x:v>12</x:v>
      </x:c>
      <x:c r="F1052" s="380" t="n">
        <x:v>5</x:v>
      </x:c>
      <x:c r="G1052" s="380" t="n">
        <x:f>--(F1052&lt;='Estimator'!$B$7)</x:f>
        <x:v>1</x:v>
      </x:c>
      <x:c r="H1052" s="381" t="n">
        <x:f>SUMIFS('Climate Data'!$G$7:$G$366,'Climate Data'!$A$7:$A$366,'Estimator'!$B$4,'Climate Data'!$B$7:$B$366,C1052)</x:f>
        <x:v>0.3111111111111111</x:v>
      </x:c>
      <x:c r="I1052" s="382" t="n">
        <x:f>SUMIFS('Climate Data'!$H$7:$H$366,'Climate Data'!$A$7:$A$366,'Estimator'!$B$4,'Climate Data'!$B$7:$B$366,C1052)</x:f>
        <x:v>7.382142857142857</x:v>
      </x:c>
      <x:c r="J1052" s="381" t="n">
        <x:f>SUMIFS('Wind Proxy'!$H$8:$H$19,'Wind Proxy'!$A$8:$A$19,'Estimator'!$B$4,'Wind Proxy'!$B$8:$B$19,C1052)</x:f>
        <x:v>0.22222222222222224</x:v>
      </x:c>
    </x:row>
    <x:row r="1053">
      <x:c r="A1053" s="379" t="n">
        <x:v>46704</x:v>
      </x:c>
      <x:c r="B1053" s="380" t="n">
        <x:v>2027</x:v>
      </x:c>
      <x:c r="C1053" s="380" t="n">
        <x:v>11</x:v>
      </x:c>
      <x:c r="D1053" s="380" t="str">
        <x:v>Nov</x:v>
      </x:c>
      <x:c r="E1053" s="380" t="n">
        <x:v>13</x:v>
      </x:c>
      <x:c r="F1053" s="380" t="n">
        <x:v>6</x:v>
      </x:c>
      <x:c r="G1053" s="380" t="n">
        <x:f>--(F1053&lt;='Estimator'!$B$7)</x:f>
        <x:v>0</x:v>
      </x:c>
      <x:c r="H1053" s="381" t="n">
        <x:f>SUMIFS('Climate Data'!$G$7:$G$366,'Climate Data'!$A$7:$A$366,'Estimator'!$B$4,'Climate Data'!$B$7:$B$366,C1053)</x:f>
        <x:v>0.3111111111111111</x:v>
      </x:c>
      <x:c r="I1053" s="382" t="n">
        <x:f>SUMIFS('Climate Data'!$H$7:$H$366,'Climate Data'!$A$7:$A$366,'Estimator'!$B$4,'Climate Data'!$B$7:$B$366,C1053)</x:f>
        <x:v>7.382142857142857</x:v>
      </x:c>
      <x:c r="J1053" s="381" t="n">
        <x:f>SUMIFS('Wind Proxy'!$H$8:$H$19,'Wind Proxy'!$A$8:$A$19,'Estimator'!$B$4,'Wind Proxy'!$B$8:$B$19,C1053)</x:f>
        <x:v>0.22222222222222224</x:v>
      </x:c>
    </x:row>
    <x:row r="1054">
      <x:c r="A1054" s="379" t="n">
        <x:v>46705</x:v>
      </x:c>
      <x:c r="B1054" s="380" t="n">
        <x:v>2027</x:v>
      </x:c>
      <x:c r="C1054" s="380" t="n">
        <x:v>11</x:v>
      </x:c>
      <x:c r="D1054" s="380" t="str">
        <x:v>Nov</x:v>
      </x:c>
      <x:c r="E1054" s="380" t="n">
        <x:v>14</x:v>
      </x:c>
      <x:c r="F1054" s="380" t="n">
        <x:v>7</x:v>
      </x:c>
      <x:c r="G1054" s="380" t="n">
        <x:f>--(F1054&lt;='Estimator'!$B$7)</x:f>
        <x:v>0</x:v>
      </x:c>
      <x:c r="H1054" s="381" t="n">
        <x:f>SUMIFS('Climate Data'!$G$7:$G$366,'Climate Data'!$A$7:$A$366,'Estimator'!$B$4,'Climate Data'!$B$7:$B$366,C1054)</x:f>
        <x:v>0.3111111111111111</x:v>
      </x:c>
      <x:c r="I1054" s="382" t="n">
        <x:f>SUMIFS('Climate Data'!$H$7:$H$366,'Climate Data'!$A$7:$A$366,'Estimator'!$B$4,'Climate Data'!$B$7:$B$366,C1054)</x:f>
        <x:v>7.382142857142857</x:v>
      </x:c>
      <x:c r="J1054" s="381" t="n">
        <x:f>SUMIFS('Wind Proxy'!$H$8:$H$19,'Wind Proxy'!$A$8:$A$19,'Estimator'!$B$4,'Wind Proxy'!$B$8:$B$19,C1054)</x:f>
        <x:v>0.22222222222222224</x:v>
      </x:c>
    </x:row>
    <x:row r="1055">
      <x:c r="A1055" s="379" t="n">
        <x:v>46706</x:v>
      </x:c>
      <x:c r="B1055" s="380" t="n">
        <x:v>2027</x:v>
      </x:c>
      <x:c r="C1055" s="380" t="n">
        <x:v>11</x:v>
      </x:c>
      <x:c r="D1055" s="380" t="str">
        <x:v>Nov</x:v>
      </x:c>
      <x:c r="E1055" s="380" t="n">
        <x:v>15</x:v>
      </x:c>
      <x:c r="F1055" s="380" t="n">
        <x:v>1</x:v>
      </x:c>
      <x:c r="G1055" s="380" t="n">
        <x:f>--(F1055&lt;='Estimator'!$B$7)</x:f>
        <x:v>1</x:v>
      </x:c>
      <x:c r="H1055" s="381" t="n">
        <x:f>SUMIFS('Climate Data'!$G$7:$G$366,'Climate Data'!$A$7:$A$366,'Estimator'!$B$4,'Climate Data'!$B$7:$B$366,C1055)</x:f>
        <x:v>0.3111111111111111</x:v>
      </x:c>
      <x:c r="I1055" s="382" t="n">
        <x:f>SUMIFS('Climate Data'!$H$7:$H$366,'Climate Data'!$A$7:$A$366,'Estimator'!$B$4,'Climate Data'!$B$7:$B$366,C1055)</x:f>
        <x:v>7.382142857142857</x:v>
      </x:c>
      <x:c r="J1055" s="381" t="n">
        <x:f>SUMIFS('Wind Proxy'!$H$8:$H$19,'Wind Proxy'!$A$8:$A$19,'Estimator'!$B$4,'Wind Proxy'!$B$8:$B$19,C1055)</x:f>
        <x:v>0.22222222222222224</x:v>
      </x:c>
    </x:row>
    <x:row r="1056">
      <x:c r="A1056" s="379" t="n">
        <x:v>46707</x:v>
      </x:c>
      <x:c r="B1056" s="380" t="n">
        <x:v>2027</x:v>
      </x:c>
      <x:c r="C1056" s="380" t="n">
        <x:v>11</x:v>
      </x:c>
      <x:c r="D1056" s="380" t="str">
        <x:v>Nov</x:v>
      </x:c>
      <x:c r="E1056" s="380" t="n">
        <x:v>16</x:v>
      </x:c>
      <x:c r="F1056" s="380" t="n">
        <x:v>2</x:v>
      </x:c>
      <x:c r="G1056" s="380" t="n">
        <x:f>--(F1056&lt;='Estimator'!$B$7)</x:f>
        <x:v>1</x:v>
      </x:c>
      <x:c r="H1056" s="381" t="n">
        <x:f>SUMIFS('Climate Data'!$G$7:$G$366,'Climate Data'!$A$7:$A$366,'Estimator'!$B$4,'Climate Data'!$B$7:$B$366,C1056)</x:f>
        <x:v>0.3111111111111111</x:v>
      </x:c>
      <x:c r="I1056" s="382" t="n">
        <x:f>SUMIFS('Climate Data'!$H$7:$H$366,'Climate Data'!$A$7:$A$366,'Estimator'!$B$4,'Climate Data'!$B$7:$B$366,C1056)</x:f>
        <x:v>7.382142857142857</x:v>
      </x:c>
      <x:c r="J1056" s="381" t="n">
        <x:f>SUMIFS('Wind Proxy'!$H$8:$H$19,'Wind Proxy'!$A$8:$A$19,'Estimator'!$B$4,'Wind Proxy'!$B$8:$B$19,C1056)</x:f>
        <x:v>0.22222222222222224</x:v>
      </x:c>
    </x:row>
    <x:row r="1057">
      <x:c r="A1057" s="379" t="n">
        <x:v>46708</x:v>
      </x:c>
      <x:c r="B1057" s="380" t="n">
        <x:v>2027</x:v>
      </x:c>
      <x:c r="C1057" s="380" t="n">
        <x:v>11</x:v>
      </x:c>
      <x:c r="D1057" s="380" t="str">
        <x:v>Nov</x:v>
      </x:c>
      <x:c r="E1057" s="380" t="n">
        <x:v>17</x:v>
      </x:c>
      <x:c r="F1057" s="380" t="n">
        <x:v>3</x:v>
      </x:c>
      <x:c r="G1057" s="380" t="n">
        <x:f>--(F1057&lt;='Estimator'!$B$7)</x:f>
        <x:v>1</x:v>
      </x:c>
      <x:c r="H1057" s="381" t="n">
        <x:f>SUMIFS('Climate Data'!$G$7:$G$366,'Climate Data'!$A$7:$A$366,'Estimator'!$B$4,'Climate Data'!$B$7:$B$366,C1057)</x:f>
        <x:v>0.3111111111111111</x:v>
      </x:c>
      <x:c r="I1057" s="382" t="n">
        <x:f>SUMIFS('Climate Data'!$H$7:$H$366,'Climate Data'!$A$7:$A$366,'Estimator'!$B$4,'Climate Data'!$B$7:$B$366,C1057)</x:f>
        <x:v>7.382142857142857</x:v>
      </x:c>
      <x:c r="J1057" s="381" t="n">
        <x:f>SUMIFS('Wind Proxy'!$H$8:$H$19,'Wind Proxy'!$A$8:$A$19,'Estimator'!$B$4,'Wind Proxy'!$B$8:$B$19,C1057)</x:f>
        <x:v>0.22222222222222224</x:v>
      </x:c>
    </x:row>
    <x:row r="1058">
      <x:c r="A1058" s="379" t="n">
        <x:v>46709</x:v>
      </x:c>
      <x:c r="B1058" s="380" t="n">
        <x:v>2027</x:v>
      </x:c>
      <x:c r="C1058" s="380" t="n">
        <x:v>11</x:v>
      </x:c>
      <x:c r="D1058" s="380" t="str">
        <x:v>Nov</x:v>
      </x:c>
      <x:c r="E1058" s="380" t="n">
        <x:v>18</x:v>
      </x:c>
      <x:c r="F1058" s="380" t="n">
        <x:v>4</x:v>
      </x:c>
      <x:c r="G1058" s="380" t="n">
        <x:f>--(F1058&lt;='Estimator'!$B$7)</x:f>
        <x:v>1</x:v>
      </x:c>
      <x:c r="H1058" s="381" t="n">
        <x:f>SUMIFS('Climate Data'!$G$7:$G$366,'Climate Data'!$A$7:$A$366,'Estimator'!$B$4,'Climate Data'!$B$7:$B$366,C1058)</x:f>
        <x:v>0.3111111111111111</x:v>
      </x:c>
      <x:c r="I1058" s="382" t="n">
        <x:f>SUMIFS('Climate Data'!$H$7:$H$366,'Climate Data'!$A$7:$A$366,'Estimator'!$B$4,'Climate Data'!$B$7:$B$366,C1058)</x:f>
        <x:v>7.382142857142857</x:v>
      </x:c>
      <x:c r="J1058" s="381" t="n">
        <x:f>SUMIFS('Wind Proxy'!$H$8:$H$19,'Wind Proxy'!$A$8:$A$19,'Estimator'!$B$4,'Wind Proxy'!$B$8:$B$19,C1058)</x:f>
        <x:v>0.22222222222222224</x:v>
      </x:c>
    </x:row>
    <x:row r="1059">
      <x:c r="A1059" s="379" t="n">
        <x:v>46710</x:v>
      </x:c>
      <x:c r="B1059" s="380" t="n">
        <x:v>2027</x:v>
      </x:c>
      <x:c r="C1059" s="380" t="n">
        <x:v>11</x:v>
      </x:c>
      <x:c r="D1059" s="380" t="str">
        <x:v>Nov</x:v>
      </x:c>
      <x:c r="E1059" s="380" t="n">
        <x:v>19</x:v>
      </x:c>
      <x:c r="F1059" s="380" t="n">
        <x:v>5</x:v>
      </x:c>
      <x:c r="G1059" s="380" t="n">
        <x:f>--(F1059&lt;='Estimator'!$B$7)</x:f>
        <x:v>1</x:v>
      </x:c>
      <x:c r="H1059" s="381" t="n">
        <x:f>SUMIFS('Climate Data'!$G$7:$G$366,'Climate Data'!$A$7:$A$366,'Estimator'!$B$4,'Climate Data'!$B$7:$B$366,C1059)</x:f>
        <x:v>0.3111111111111111</x:v>
      </x:c>
      <x:c r="I1059" s="382" t="n">
        <x:f>SUMIFS('Climate Data'!$H$7:$H$366,'Climate Data'!$A$7:$A$366,'Estimator'!$B$4,'Climate Data'!$B$7:$B$366,C1059)</x:f>
        <x:v>7.382142857142857</x:v>
      </x:c>
      <x:c r="J1059" s="381" t="n">
        <x:f>SUMIFS('Wind Proxy'!$H$8:$H$19,'Wind Proxy'!$A$8:$A$19,'Estimator'!$B$4,'Wind Proxy'!$B$8:$B$19,C1059)</x:f>
        <x:v>0.22222222222222224</x:v>
      </x:c>
    </x:row>
    <x:row r="1060">
      <x:c r="A1060" s="379" t="n">
        <x:v>46711</x:v>
      </x:c>
      <x:c r="B1060" s="380" t="n">
        <x:v>2027</x:v>
      </x:c>
      <x:c r="C1060" s="380" t="n">
        <x:v>11</x:v>
      </x:c>
      <x:c r="D1060" s="380" t="str">
        <x:v>Nov</x:v>
      </x:c>
      <x:c r="E1060" s="380" t="n">
        <x:v>20</x:v>
      </x:c>
      <x:c r="F1060" s="380" t="n">
        <x:v>6</x:v>
      </x:c>
      <x:c r="G1060" s="380" t="n">
        <x:f>--(F1060&lt;='Estimator'!$B$7)</x:f>
        <x:v>0</x:v>
      </x:c>
      <x:c r="H1060" s="381" t="n">
        <x:f>SUMIFS('Climate Data'!$G$7:$G$366,'Climate Data'!$A$7:$A$366,'Estimator'!$B$4,'Climate Data'!$B$7:$B$366,C1060)</x:f>
        <x:v>0.3111111111111111</x:v>
      </x:c>
      <x:c r="I1060" s="382" t="n">
        <x:f>SUMIFS('Climate Data'!$H$7:$H$366,'Climate Data'!$A$7:$A$366,'Estimator'!$B$4,'Climate Data'!$B$7:$B$366,C1060)</x:f>
        <x:v>7.382142857142857</x:v>
      </x:c>
      <x:c r="J1060" s="381" t="n">
        <x:f>SUMIFS('Wind Proxy'!$H$8:$H$19,'Wind Proxy'!$A$8:$A$19,'Estimator'!$B$4,'Wind Proxy'!$B$8:$B$19,C1060)</x:f>
        <x:v>0.22222222222222224</x:v>
      </x:c>
    </x:row>
    <x:row r="1061">
      <x:c r="A1061" s="379" t="n">
        <x:v>46712</x:v>
      </x:c>
      <x:c r="B1061" s="380" t="n">
        <x:v>2027</x:v>
      </x:c>
      <x:c r="C1061" s="380" t="n">
        <x:v>11</x:v>
      </x:c>
      <x:c r="D1061" s="380" t="str">
        <x:v>Nov</x:v>
      </x:c>
      <x:c r="E1061" s="380" t="n">
        <x:v>21</x:v>
      </x:c>
      <x:c r="F1061" s="380" t="n">
        <x:v>7</x:v>
      </x:c>
      <x:c r="G1061" s="380" t="n">
        <x:f>--(F1061&lt;='Estimator'!$B$7)</x:f>
        <x:v>0</x:v>
      </x:c>
      <x:c r="H1061" s="381" t="n">
        <x:f>SUMIFS('Climate Data'!$G$7:$G$366,'Climate Data'!$A$7:$A$366,'Estimator'!$B$4,'Climate Data'!$B$7:$B$366,C1061)</x:f>
        <x:v>0.3111111111111111</x:v>
      </x:c>
      <x:c r="I1061" s="382" t="n">
        <x:f>SUMIFS('Climate Data'!$H$7:$H$366,'Climate Data'!$A$7:$A$366,'Estimator'!$B$4,'Climate Data'!$B$7:$B$366,C1061)</x:f>
        <x:v>7.382142857142857</x:v>
      </x:c>
      <x:c r="J1061" s="381" t="n">
        <x:f>SUMIFS('Wind Proxy'!$H$8:$H$19,'Wind Proxy'!$A$8:$A$19,'Estimator'!$B$4,'Wind Proxy'!$B$8:$B$19,C1061)</x:f>
        <x:v>0.22222222222222224</x:v>
      </x:c>
    </x:row>
    <x:row r="1062">
      <x:c r="A1062" s="379" t="n">
        <x:v>46713</x:v>
      </x:c>
      <x:c r="B1062" s="380" t="n">
        <x:v>2027</x:v>
      </x:c>
      <x:c r="C1062" s="380" t="n">
        <x:v>11</x:v>
      </x:c>
      <x:c r="D1062" s="380" t="str">
        <x:v>Nov</x:v>
      </x:c>
      <x:c r="E1062" s="380" t="n">
        <x:v>22</x:v>
      </x:c>
      <x:c r="F1062" s="380" t="n">
        <x:v>1</x:v>
      </x:c>
      <x:c r="G1062" s="380" t="n">
        <x:f>--(F1062&lt;='Estimator'!$B$7)</x:f>
        <x:v>1</x:v>
      </x:c>
      <x:c r="H1062" s="381" t="n">
        <x:f>SUMIFS('Climate Data'!$G$7:$G$366,'Climate Data'!$A$7:$A$366,'Estimator'!$B$4,'Climate Data'!$B$7:$B$366,C1062)</x:f>
        <x:v>0.3111111111111111</x:v>
      </x:c>
      <x:c r="I1062" s="382" t="n">
        <x:f>SUMIFS('Climate Data'!$H$7:$H$366,'Climate Data'!$A$7:$A$366,'Estimator'!$B$4,'Climate Data'!$B$7:$B$366,C1062)</x:f>
        <x:v>7.382142857142857</x:v>
      </x:c>
      <x:c r="J1062" s="381" t="n">
        <x:f>SUMIFS('Wind Proxy'!$H$8:$H$19,'Wind Proxy'!$A$8:$A$19,'Estimator'!$B$4,'Wind Proxy'!$B$8:$B$19,C1062)</x:f>
        <x:v>0.22222222222222224</x:v>
      </x:c>
    </x:row>
    <x:row r="1063">
      <x:c r="A1063" s="379" t="n">
        <x:v>46714</x:v>
      </x:c>
      <x:c r="B1063" s="380" t="n">
        <x:v>2027</x:v>
      </x:c>
      <x:c r="C1063" s="380" t="n">
        <x:v>11</x:v>
      </x:c>
      <x:c r="D1063" s="380" t="str">
        <x:v>Nov</x:v>
      </x:c>
      <x:c r="E1063" s="380" t="n">
        <x:v>23</x:v>
      </x:c>
      <x:c r="F1063" s="380" t="n">
        <x:v>2</x:v>
      </x:c>
      <x:c r="G1063" s="380" t="n">
        <x:f>--(F1063&lt;='Estimator'!$B$7)</x:f>
        <x:v>1</x:v>
      </x:c>
      <x:c r="H1063" s="381" t="n">
        <x:f>SUMIFS('Climate Data'!$G$7:$G$366,'Climate Data'!$A$7:$A$366,'Estimator'!$B$4,'Climate Data'!$B$7:$B$366,C1063)</x:f>
        <x:v>0.3111111111111111</x:v>
      </x:c>
      <x:c r="I1063" s="382" t="n">
        <x:f>SUMIFS('Climate Data'!$H$7:$H$366,'Climate Data'!$A$7:$A$366,'Estimator'!$B$4,'Climate Data'!$B$7:$B$366,C1063)</x:f>
        <x:v>7.382142857142857</x:v>
      </x:c>
      <x:c r="J1063" s="381" t="n">
        <x:f>SUMIFS('Wind Proxy'!$H$8:$H$19,'Wind Proxy'!$A$8:$A$19,'Estimator'!$B$4,'Wind Proxy'!$B$8:$B$19,C1063)</x:f>
        <x:v>0.22222222222222224</x:v>
      </x:c>
    </x:row>
    <x:row r="1064">
      <x:c r="A1064" s="379" t="n">
        <x:v>46715</x:v>
      </x:c>
      <x:c r="B1064" s="380" t="n">
        <x:v>2027</x:v>
      </x:c>
      <x:c r="C1064" s="380" t="n">
        <x:v>11</x:v>
      </x:c>
      <x:c r="D1064" s="380" t="str">
        <x:v>Nov</x:v>
      </x:c>
      <x:c r="E1064" s="380" t="n">
        <x:v>24</x:v>
      </x:c>
      <x:c r="F1064" s="380" t="n">
        <x:v>3</x:v>
      </x:c>
      <x:c r="G1064" s="380" t="n">
        <x:f>--(F1064&lt;='Estimator'!$B$7)</x:f>
        <x:v>1</x:v>
      </x:c>
      <x:c r="H1064" s="381" t="n">
        <x:f>SUMIFS('Climate Data'!$G$7:$G$366,'Climate Data'!$A$7:$A$366,'Estimator'!$B$4,'Climate Data'!$B$7:$B$366,C1064)</x:f>
        <x:v>0.3111111111111111</x:v>
      </x:c>
      <x:c r="I1064" s="382" t="n">
        <x:f>SUMIFS('Climate Data'!$H$7:$H$366,'Climate Data'!$A$7:$A$366,'Estimator'!$B$4,'Climate Data'!$B$7:$B$366,C1064)</x:f>
        <x:v>7.382142857142857</x:v>
      </x:c>
      <x:c r="J1064" s="381" t="n">
        <x:f>SUMIFS('Wind Proxy'!$H$8:$H$19,'Wind Proxy'!$A$8:$A$19,'Estimator'!$B$4,'Wind Proxy'!$B$8:$B$19,C1064)</x:f>
        <x:v>0.22222222222222224</x:v>
      </x:c>
    </x:row>
    <x:row r="1065">
      <x:c r="A1065" s="379" t="n">
        <x:v>46716</x:v>
      </x:c>
      <x:c r="B1065" s="380" t="n">
        <x:v>2027</x:v>
      </x:c>
      <x:c r="C1065" s="380" t="n">
        <x:v>11</x:v>
      </x:c>
      <x:c r="D1065" s="380" t="str">
        <x:v>Nov</x:v>
      </x:c>
      <x:c r="E1065" s="380" t="n">
        <x:v>25</x:v>
      </x:c>
      <x:c r="F1065" s="380" t="n">
        <x:v>4</x:v>
      </x:c>
      <x:c r="G1065" s="380" t="n">
        <x:f>--(F1065&lt;='Estimator'!$B$7)</x:f>
        <x:v>1</x:v>
      </x:c>
      <x:c r="H1065" s="381" t="n">
        <x:f>SUMIFS('Climate Data'!$G$7:$G$366,'Climate Data'!$A$7:$A$366,'Estimator'!$B$4,'Climate Data'!$B$7:$B$366,C1065)</x:f>
        <x:v>0.3111111111111111</x:v>
      </x:c>
      <x:c r="I1065" s="382" t="n">
        <x:f>SUMIFS('Climate Data'!$H$7:$H$366,'Climate Data'!$A$7:$A$366,'Estimator'!$B$4,'Climate Data'!$B$7:$B$366,C1065)</x:f>
        <x:v>7.382142857142857</x:v>
      </x:c>
      <x:c r="J1065" s="381" t="n">
        <x:f>SUMIFS('Wind Proxy'!$H$8:$H$19,'Wind Proxy'!$A$8:$A$19,'Estimator'!$B$4,'Wind Proxy'!$B$8:$B$19,C1065)</x:f>
        <x:v>0.22222222222222224</x:v>
      </x:c>
    </x:row>
    <x:row r="1066">
      <x:c r="A1066" s="379" t="n">
        <x:v>46717</x:v>
      </x:c>
      <x:c r="B1066" s="380" t="n">
        <x:v>2027</x:v>
      </x:c>
      <x:c r="C1066" s="380" t="n">
        <x:v>11</x:v>
      </x:c>
      <x:c r="D1066" s="380" t="str">
        <x:v>Nov</x:v>
      </x:c>
      <x:c r="E1066" s="380" t="n">
        <x:v>26</x:v>
      </x:c>
      <x:c r="F1066" s="380" t="n">
        <x:v>5</x:v>
      </x:c>
      <x:c r="G1066" s="380" t="n">
        <x:f>--(F1066&lt;='Estimator'!$B$7)</x:f>
        <x:v>1</x:v>
      </x:c>
      <x:c r="H1066" s="381" t="n">
        <x:f>SUMIFS('Climate Data'!$G$7:$G$366,'Climate Data'!$A$7:$A$366,'Estimator'!$B$4,'Climate Data'!$B$7:$B$366,C1066)</x:f>
        <x:v>0.3111111111111111</x:v>
      </x:c>
      <x:c r="I1066" s="382" t="n">
        <x:f>SUMIFS('Climate Data'!$H$7:$H$366,'Climate Data'!$A$7:$A$366,'Estimator'!$B$4,'Climate Data'!$B$7:$B$366,C1066)</x:f>
        <x:v>7.382142857142857</x:v>
      </x:c>
      <x:c r="J1066" s="381" t="n">
        <x:f>SUMIFS('Wind Proxy'!$H$8:$H$19,'Wind Proxy'!$A$8:$A$19,'Estimator'!$B$4,'Wind Proxy'!$B$8:$B$19,C1066)</x:f>
        <x:v>0.22222222222222224</x:v>
      </x:c>
    </x:row>
    <x:row r="1067">
      <x:c r="A1067" s="379" t="n">
        <x:v>46718</x:v>
      </x:c>
      <x:c r="B1067" s="380" t="n">
        <x:v>2027</x:v>
      </x:c>
      <x:c r="C1067" s="380" t="n">
        <x:v>11</x:v>
      </x:c>
      <x:c r="D1067" s="380" t="str">
        <x:v>Nov</x:v>
      </x:c>
      <x:c r="E1067" s="380" t="n">
        <x:v>27</x:v>
      </x:c>
      <x:c r="F1067" s="380" t="n">
        <x:v>6</x:v>
      </x:c>
      <x:c r="G1067" s="380" t="n">
        <x:f>--(F1067&lt;='Estimator'!$B$7)</x:f>
        <x:v>0</x:v>
      </x:c>
      <x:c r="H1067" s="381" t="n">
        <x:f>SUMIFS('Climate Data'!$G$7:$G$366,'Climate Data'!$A$7:$A$366,'Estimator'!$B$4,'Climate Data'!$B$7:$B$366,C1067)</x:f>
        <x:v>0.3111111111111111</x:v>
      </x:c>
      <x:c r="I1067" s="382" t="n">
        <x:f>SUMIFS('Climate Data'!$H$7:$H$366,'Climate Data'!$A$7:$A$366,'Estimator'!$B$4,'Climate Data'!$B$7:$B$366,C1067)</x:f>
        <x:v>7.382142857142857</x:v>
      </x:c>
      <x:c r="J1067" s="381" t="n">
        <x:f>SUMIFS('Wind Proxy'!$H$8:$H$19,'Wind Proxy'!$A$8:$A$19,'Estimator'!$B$4,'Wind Proxy'!$B$8:$B$19,C1067)</x:f>
        <x:v>0.22222222222222224</x:v>
      </x:c>
    </x:row>
    <x:row r="1068">
      <x:c r="A1068" s="379" t="n">
        <x:v>46719</x:v>
      </x:c>
      <x:c r="B1068" s="380" t="n">
        <x:v>2027</x:v>
      </x:c>
      <x:c r="C1068" s="380" t="n">
        <x:v>11</x:v>
      </x:c>
      <x:c r="D1068" s="380" t="str">
        <x:v>Nov</x:v>
      </x:c>
      <x:c r="E1068" s="380" t="n">
        <x:v>28</x:v>
      </x:c>
      <x:c r="F1068" s="380" t="n">
        <x:v>7</x:v>
      </x:c>
      <x:c r="G1068" s="380" t="n">
        <x:f>--(F1068&lt;='Estimator'!$B$7)</x:f>
        <x:v>0</x:v>
      </x:c>
      <x:c r="H1068" s="381" t="n">
        <x:f>SUMIFS('Climate Data'!$G$7:$G$366,'Climate Data'!$A$7:$A$366,'Estimator'!$B$4,'Climate Data'!$B$7:$B$366,C1068)</x:f>
        <x:v>0.3111111111111111</x:v>
      </x:c>
      <x:c r="I1068" s="382" t="n">
        <x:f>SUMIFS('Climate Data'!$H$7:$H$366,'Climate Data'!$A$7:$A$366,'Estimator'!$B$4,'Climate Data'!$B$7:$B$366,C1068)</x:f>
        <x:v>7.382142857142857</x:v>
      </x:c>
      <x:c r="J1068" s="381" t="n">
        <x:f>SUMIFS('Wind Proxy'!$H$8:$H$19,'Wind Proxy'!$A$8:$A$19,'Estimator'!$B$4,'Wind Proxy'!$B$8:$B$19,C1068)</x:f>
        <x:v>0.22222222222222224</x:v>
      </x:c>
    </x:row>
    <x:row r="1069">
      <x:c r="A1069" s="379" t="n">
        <x:v>46720</x:v>
      </x:c>
      <x:c r="B1069" s="380" t="n">
        <x:v>2027</x:v>
      </x:c>
      <x:c r="C1069" s="380" t="n">
        <x:v>11</x:v>
      </x:c>
      <x:c r="D1069" s="380" t="str">
        <x:v>Nov</x:v>
      </x:c>
      <x:c r="E1069" s="380" t="n">
        <x:v>29</x:v>
      </x:c>
      <x:c r="F1069" s="380" t="n">
        <x:v>1</x:v>
      </x:c>
      <x:c r="G1069" s="380" t="n">
        <x:f>--(F1069&lt;='Estimator'!$B$7)</x:f>
        <x:v>1</x:v>
      </x:c>
      <x:c r="H1069" s="381" t="n">
        <x:f>SUMIFS('Climate Data'!$G$7:$G$366,'Climate Data'!$A$7:$A$366,'Estimator'!$B$4,'Climate Data'!$B$7:$B$366,C1069)</x:f>
        <x:v>0.3111111111111111</x:v>
      </x:c>
      <x:c r="I1069" s="382" t="n">
        <x:f>SUMIFS('Climate Data'!$H$7:$H$366,'Climate Data'!$A$7:$A$366,'Estimator'!$B$4,'Climate Data'!$B$7:$B$366,C1069)</x:f>
        <x:v>7.382142857142857</x:v>
      </x:c>
      <x:c r="J1069" s="381" t="n">
        <x:f>SUMIFS('Wind Proxy'!$H$8:$H$19,'Wind Proxy'!$A$8:$A$19,'Estimator'!$B$4,'Wind Proxy'!$B$8:$B$19,C1069)</x:f>
        <x:v>0.22222222222222224</x:v>
      </x:c>
    </x:row>
    <x:row r="1070">
      <x:c r="A1070" s="379" t="n">
        <x:v>46721</x:v>
      </x:c>
      <x:c r="B1070" s="380" t="n">
        <x:v>2027</x:v>
      </x:c>
      <x:c r="C1070" s="380" t="n">
        <x:v>11</x:v>
      </x:c>
      <x:c r="D1070" s="380" t="str">
        <x:v>Nov</x:v>
      </x:c>
      <x:c r="E1070" s="380" t="n">
        <x:v>30</x:v>
      </x:c>
      <x:c r="F1070" s="380" t="n">
        <x:v>2</x:v>
      </x:c>
      <x:c r="G1070" s="380" t="n">
        <x:f>--(F1070&lt;='Estimator'!$B$7)</x:f>
        <x:v>1</x:v>
      </x:c>
      <x:c r="H1070" s="381" t="n">
        <x:f>SUMIFS('Climate Data'!$G$7:$G$366,'Climate Data'!$A$7:$A$366,'Estimator'!$B$4,'Climate Data'!$B$7:$B$366,C1070)</x:f>
        <x:v>0.3111111111111111</x:v>
      </x:c>
      <x:c r="I1070" s="382" t="n">
        <x:f>SUMIFS('Climate Data'!$H$7:$H$366,'Climate Data'!$A$7:$A$366,'Estimator'!$B$4,'Climate Data'!$B$7:$B$366,C1070)</x:f>
        <x:v>7.382142857142857</x:v>
      </x:c>
      <x:c r="J1070" s="381" t="n">
        <x:f>SUMIFS('Wind Proxy'!$H$8:$H$19,'Wind Proxy'!$A$8:$A$19,'Estimator'!$B$4,'Wind Proxy'!$B$8:$B$19,C1070)</x:f>
        <x:v>0.22222222222222224</x:v>
      </x:c>
    </x:row>
    <x:row r="1071">
      <x:c r="A1071" s="379" t="n">
        <x:v>46722</x:v>
      </x:c>
      <x:c r="B1071" s="380" t="n">
        <x:v>2027</x:v>
      </x:c>
      <x:c r="C1071" s="380" t="n">
        <x:v>12</x:v>
      </x:c>
      <x:c r="D1071" s="380" t="str">
        <x:v>Dec</x:v>
      </x:c>
      <x:c r="E1071" s="380" t="n">
        <x:v>1</x:v>
      </x:c>
      <x:c r="F1071" s="380" t="n">
        <x:v>3</x:v>
      </x:c>
      <x:c r="G1071" s="380" t="n">
        <x:f>--(F1071&lt;='Estimator'!$B$7)</x:f>
        <x:v>1</x:v>
      </x:c>
      <x:c r="H1071" s="381" t="n">
        <x:f>SUMIFS('Climate Data'!$G$7:$G$366,'Climate Data'!$A$7:$A$366,'Estimator'!$B$4,'Climate Data'!$B$7:$B$366,C1071)</x:f>
        <x:v>0.2914349276974416</x:v>
      </x:c>
      <x:c r="I1071" s="382" t="n">
        <x:f>SUMIFS('Climate Data'!$H$7:$H$366,'Climate Data'!$A$7:$A$366,'Estimator'!$B$4,'Climate Data'!$B$7:$B$366,C1071)</x:f>
        <x:v>9.043129770992365</x:v>
      </x:c>
      <x:c r="J1071" s="381" t="n">
        <x:f>SUMIFS('Wind Proxy'!$H$8:$H$19,'Wind Proxy'!$A$8:$A$19,'Estimator'!$B$4,'Wind Proxy'!$B$8:$B$19,C1071)</x:f>
        <x:v>0.12544802867383514</x:v>
      </x:c>
    </x:row>
    <x:row r="1072">
      <x:c r="A1072" s="379" t="n">
        <x:v>46723</x:v>
      </x:c>
      <x:c r="B1072" s="380" t="n">
        <x:v>2027</x:v>
      </x:c>
      <x:c r="C1072" s="380" t="n">
        <x:v>12</x:v>
      </x:c>
      <x:c r="D1072" s="380" t="str">
        <x:v>Dec</x:v>
      </x:c>
      <x:c r="E1072" s="380" t="n">
        <x:v>2</x:v>
      </x:c>
      <x:c r="F1072" s="380" t="n">
        <x:v>4</x:v>
      </x:c>
      <x:c r="G1072" s="380" t="n">
        <x:f>--(F1072&lt;='Estimator'!$B$7)</x:f>
        <x:v>1</x:v>
      </x:c>
      <x:c r="H1072" s="381" t="n">
        <x:f>SUMIFS('Climate Data'!$G$7:$G$366,'Climate Data'!$A$7:$A$366,'Estimator'!$B$4,'Climate Data'!$B$7:$B$366,C1072)</x:f>
        <x:v>0.2914349276974416</x:v>
      </x:c>
      <x:c r="I1072" s="382" t="n">
        <x:f>SUMIFS('Climate Data'!$H$7:$H$366,'Climate Data'!$A$7:$A$366,'Estimator'!$B$4,'Climate Data'!$B$7:$B$366,C1072)</x:f>
        <x:v>9.043129770992365</x:v>
      </x:c>
      <x:c r="J1072" s="381" t="n">
        <x:f>SUMIFS('Wind Proxy'!$H$8:$H$19,'Wind Proxy'!$A$8:$A$19,'Estimator'!$B$4,'Wind Proxy'!$B$8:$B$19,C1072)</x:f>
        <x:v>0.12544802867383514</x:v>
      </x:c>
    </x:row>
    <x:row r="1073">
      <x:c r="A1073" s="379" t="n">
        <x:v>46724</x:v>
      </x:c>
      <x:c r="B1073" s="380" t="n">
        <x:v>2027</x:v>
      </x:c>
      <x:c r="C1073" s="380" t="n">
        <x:v>12</x:v>
      </x:c>
      <x:c r="D1073" s="380" t="str">
        <x:v>Dec</x:v>
      </x:c>
      <x:c r="E1073" s="380" t="n">
        <x:v>3</x:v>
      </x:c>
      <x:c r="F1073" s="380" t="n">
        <x:v>5</x:v>
      </x:c>
      <x:c r="G1073" s="380" t="n">
        <x:f>--(F1073&lt;='Estimator'!$B$7)</x:f>
        <x:v>1</x:v>
      </x:c>
      <x:c r="H1073" s="381" t="n">
        <x:f>SUMIFS('Climate Data'!$G$7:$G$366,'Climate Data'!$A$7:$A$366,'Estimator'!$B$4,'Climate Data'!$B$7:$B$366,C1073)</x:f>
        <x:v>0.2914349276974416</x:v>
      </x:c>
      <x:c r="I1073" s="382" t="n">
        <x:f>SUMIFS('Climate Data'!$H$7:$H$366,'Climate Data'!$A$7:$A$366,'Estimator'!$B$4,'Climate Data'!$B$7:$B$366,C1073)</x:f>
        <x:v>9.043129770992365</x:v>
      </x:c>
      <x:c r="J1073" s="381" t="n">
        <x:f>SUMIFS('Wind Proxy'!$H$8:$H$19,'Wind Proxy'!$A$8:$A$19,'Estimator'!$B$4,'Wind Proxy'!$B$8:$B$19,C1073)</x:f>
        <x:v>0.12544802867383514</x:v>
      </x:c>
    </x:row>
    <x:row r="1074">
      <x:c r="A1074" s="379" t="n">
        <x:v>46725</x:v>
      </x:c>
      <x:c r="B1074" s="380" t="n">
        <x:v>2027</x:v>
      </x:c>
      <x:c r="C1074" s="380" t="n">
        <x:v>12</x:v>
      </x:c>
      <x:c r="D1074" s="380" t="str">
        <x:v>Dec</x:v>
      </x:c>
      <x:c r="E1074" s="380" t="n">
        <x:v>4</x:v>
      </x:c>
      <x:c r="F1074" s="380" t="n">
        <x:v>6</x:v>
      </x:c>
      <x:c r="G1074" s="380" t="n">
        <x:f>--(F1074&lt;='Estimator'!$B$7)</x:f>
        <x:v>0</x:v>
      </x:c>
      <x:c r="H1074" s="381" t="n">
        <x:f>SUMIFS('Climate Data'!$G$7:$G$366,'Climate Data'!$A$7:$A$366,'Estimator'!$B$4,'Climate Data'!$B$7:$B$366,C1074)</x:f>
        <x:v>0.2914349276974416</x:v>
      </x:c>
      <x:c r="I1074" s="382" t="n">
        <x:f>SUMIFS('Climate Data'!$H$7:$H$366,'Climate Data'!$A$7:$A$366,'Estimator'!$B$4,'Climate Data'!$B$7:$B$366,C1074)</x:f>
        <x:v>9.043129770992365</x:v>
      </x:c>
      <x:c r="J1074" s="381" t="n">
        <x:f>SUMIFS('Wind Proxy'!$H$8:$H$19,'Wind Proxy'!$A$8:$A$19,'Estimator'!$B$4,'Wind Proxy'!$B$8:$B$19,C1074)</x:f>
        <x:v>0.12544802867383514</x:v>
      </x:c>
    </x:row>
    <x:row r="1075">
      <x:c r="A1075" s="379" t="n">
        <x:v>46726</x:v>
      </x:c>
      <x:c r="B1075" s="380" t="n">
        <x:v>2027</x:v>
      </x:c>
      <x:c r="C1075" s="380" t="n">
        <x:v>12</x:v>
      </x:c>
      <x:c r="D1075" s="380" t="str">
        <x:v>Dec</x:v>
      </x:c>
      <x:c r="E1075" s="380" t="n">
        <x:v>5</x:v>
      </x:c>
      <x:c r="F1075" s="380" t="n">
        <x:v>7</x:v>
      </x:c>
      <x:c r="G1075" s="380" t="n">
        <x:f>--(F1075&lt;='Estimator'!$B$7)</x:f>
        <x:v>0</x:v>
      </x:c>
      <x:c r="H1075" s="381" t="n">
        <x:f>SUMIFS('Climate Data'!$G$7:$G$366,'Climate Data'!$A$7:$A$366,'Estimator'!$B$4,'Climate Data'!$B$7:$B$366,C1075)</x:f>
        <x:v>0.2914349276974416</x:v>
      </x:c>
      <x:c r="I1075" s="382" t="n">
        <x:f>SUMIFS('Climate Data'!$H$7:$H$366,'Climate Data'!$A$7:$A$366,'Estimator'!$B$4,'Climate Data'!$B$7:$B$366,C1075)</x:f>
        <x:v>9.043129770992365</x:v>
      </x:c>
      <x:c r="J1075" s="381" t="n">
        <x:f>SUMIFS('Wind Proxy'!$H$8:$H$19,'Wind Proxy'!$A$8:$A$19,'Estimator'!$B$4,'Wind Proxy'!$B$8:$B$19,C1075)</x:f>
        <x:v>0.12544802867383514</x:v>
      </x:c>
    </x:row>
    <x:row r="1076">
      <x:c r="A1076" s="379" t="n">
        <x:v>46727</x:v>
      </x:c>
      <x:c r="B1076" s="380" t="n">
        <x:v>2027</x:v>
      </x:c>
      <x:c r="C1076" s="380" t="n">
        <x:v>12</x:v>
      </x:c>
      <x:c r="D1076" s="380" t="str">
        <x:v>Dec</x:v>
      </x:c>
      <x:c r="E1076" s="380" t="n">
        <x:v>6</x:v>
      </x:c>
      <x:c r="F1076" s="380" t="n">
        <x:v>1</x:v>
      </x:c>
      <x:c r="G1076" s="380" t="n">
        <x:f>--(F1076&lt;='Estimator'!$B$7)</x:f>
        <x:v>1</x:v>
      </x:c>
      <x:c r="H1076" s="381" t="n">
        <x:f>SUMIFS('Climate Data'!$G$7:$G$366,'Climate Data'!$A$7:$A$366,'Estimator'!$B$4,'Climate Data'!$B$7:$B$366,C1076)</x:f>
        <x:v>0.2914349276974416</x:v>
      </x:c>
      <x:c r="I1076" s="382" t="n">
        <x:f>SUMIFS('Climate Data'!$H$7:$H$366,'Climate Data'!$A$7:$A$366,'Estimator'!$B$4,'Climate Data'!$B$7:$B$366,C1076)</x:f>
        <x:v>9.043129770992365</x:v>
      </x:c>
      <x:c r="J1076" s="381" t="n">
        <x:f>SUMIFS('Wind Proxy'!$H$8:$H$19,'Wind Proxy'!$A$8:$A$19,'Estimator'!$B$4,'Wind Proxy'!$B$8:$B$19,C1076)</x:f>
        <x:v>0.12544802867383514</x:v>
      </x:c>
    </x:row>
    <x:row r="1077">
      <x:c r="A1077" s="379" t="n">
        <x:v>46728</x:v>
      </x:c>
      <x:c r="B1077" s="380" t="n">
        <x:v>2027</x:v>
      </x:c>
      <x:c r="C1077" s="380" t="n">
        <x:v>12</x:v>
      </x:c>
      <x:c r="D1077" s="380" t="str">
        <x:v>Dec</x:v>
      </x:c>
      <x:c r="E1077" s="380" t="n">
        <x:v>7</x:v>
      </x:c>
      <x:c r="F1077" s="380" t="n">
        <x:v>2</x:v>
      </x:c>
      <x:c r="G1077" s="380" t="n">
        <x:f>--(F1077&lt;='Estimator'!$B$7)</x:f>
        <x:v>1</x:v>
      </x:c>
      <x:c r="H1077" s="381" t="n">
        <x:f>SUMIFS('Climate Data'!$G$7:$G$366,'Climate Data'!$A$7:$A$366,'Estimator'!$B$4,'Climate Data'!$B$7:$B$366,C1077)</x:f>
        <x:v>0.2914349276974416</x:v>
      </x:c>
      <x:c r="I1077" s="382" t="n">
        <x:f>SUMIFS('Climate Data'!$H$7:$H$366,'Climate Data'!$A$7:$A$366,'Estimator'!$B$4,'Climate Data'!$B$7:$B$366,C1077)</x:f>
        <x:v>9.043129770992365</x:v>
      </x:c>
      <x:c r="J1077" s="381" t="n">
        <x:f>SUMIFS('Wind Proxy'!$H$8:$H$19,'Wind Proxy'!$A$8:$A$19,'Estimator'!$B$4,'Wind Proxy'!$B$8:$B$19,C1077)</x:f>
        <x:v>0.12544802867383514</x:v>
      </x:c>
    </x:row>
    <x:row r="1078">
      <x:c r="A1078" s="379" t="n">
        <x:v>46729</x:v>
      </x:c>
      <x:c r="B1078" s="380" t="n">
        <x:v>2027</x:v>
      </x:c>
      <x:c r="C1078" s="380" t="n">
        <x:v>12</x:v>
      </x:c>
      <x:c r="D1078" s="380" t="str">
        <x:v>Dec</x:v>
      </x:c>
      <x:c r="E1078" s="380" t="n">
        <x:v>8</x:v>
      </x:c>
      <x:c r="F1078" s="380" t="n">
        <x:v>3</x:v>
      </x:c>
      <x:c r="G1078" s="380" t="n">
        <x:f>--(F1078&lt;='Estimator'!$B$7)</x:f>
        <x:v>1</x:v>
      </x:c>
      <x:c r="H1078" s="381" t="n">
        <x:f>SUMIFS('Climate Data'!$G$7:$G$366,'Climate Data'!$A$7:$A$366,'Estimator'!$B$4,'Climate Data'!$B$7:$B$366,C1078)</x:f>
        <x:v>0.2914349276974416</x:v>
      </x:c>
      <x:c r="I1078" s="382" t="n">
        <x:f>SUMIFS('Climate Data'!$H$7:$H$366,'Climate Data'!$A$7:$A$366,'Estimator'!$B$4,'Climate Data'!$B$7:$B$366,C1078)</x:f>
        <x:v>9.043129770992365</x:v>
      </x:c>
      <x:c r="J1078" s="381" t="n">
        <x:f>SUMIFS('Wind Proxy'!$H$8:$H$19,'Wind Proxy'!$A$8:$A$19,'Estimator'!$B$4,'Wind Proxy'!$B$8:$B$19,C1078)</x:f>
        <x:v>0.12544802867383514</x:v>
      </x:c>
    </x:row>
    <x:row r="1079">
      <x:c r="A1079" s="379" t="n">
        <x:v>46730</x:v>
      </x:c>
      <x:c r="B1079" s="380" t="n">
        <x:v>2027</x:v>
      </x:c>
      <x:c r="C1079" s="380" t="n">
        <x:v>12</x:v>
      </x:c>
      <x:c r="D1079" s="380" t="str">
        <x:v>Dec</x:v>
      </x:c>
      <x:c r="E1079" s="380" t="n">
        <x:v>9</x:v>
      </x:c>
      <x:c r="F1079" s="380" t="n">
        <x:v>4</x:v>
      </x:c>
      <x:c r="G1079" s="380" t="n">
        <x:f>--(F1079&lt;='Estimator'!$B$7)</x:f>
        <x:v>1</x:v>
      </x:c>
      <x:c r="H1079" s="381" t="n">
        <x:f>SUMIFS('Climate Data'!$G$7:$G$366,'Climate Data'!$A$7:$A$366,'Estimator'!$B$4,'Climate Data'!$B$7:$B$366,C1079)</x:f>
        <x:v>0.2914349276974416</x:v>
      </x:c>
      <x:c r="I1079" s="382" t="n">
        <x:f>SUMIFS('Climate Data'!$H$7:$H$366,'Climate Data'!$A$7:$A$366,'Estimator'!$B$4,'Climate Data'!$B$7:$B$366,C1079)</x:f>
        <x:v>9.043129770992365</x:v>
      </x:c>
      <x:c r="J1079" s="381" t="n">
        <x:f>SUMIFS('Wind Proxy'!$H$8:$H$19,'Wind Proxy'!$A$8:$A$19,'Estimator'!$B$4,'Wind Proxy'!$B$8:$B$19,C1079)</x:f>
        <x:v>0.12544802867383514</x:v>
      </x:c>
    </x:row>
    <x:row r="1080">
      <x:c r="A1080" s="379" t="n">
        <x:v>46731</x:v>
      </x:c>
      <x:c r="B1080" s="380" t="n">
        <x:v>2027</x:v>
      </x:c>
      <x:c r="C1080" s="380" t="n">
        <x:v>12</x:v>
      </x:c>
      <x:c r="D1080" s="380" t="str">
        <x:v>Dec</x:v>
      </x:c>
      <x:c r="E1080" s="380" t="n">
        <x:v>10</x:v>
      </x:c>
      <x:c r="F1080" s="380" t="n">
        <x:v>5</x:v>
      </x:c>
      <x:c r="G1080" s="380" t="n">
        <x:f>--(F1080&lt;='Estimator'!$B$7)</x:f>
        <x:v>1</x:v>
      </x:c>
      <x:c r="H1080" s="381" t="n">
        <x:f>SUMIFS('Climate Data'!$G$7:$G$366,'Climate Data'!$A$7:$A$366,'Estimator'!$B$4,'Climate Data'!$B$7:$B$366,C1080)</x:f>
        <x:v>0.2914349276974416</x:v>
      </x:c>
      <x:c r="I1080" s="382" t="n">
        <x:f>SUMIFS('Climate Data'!$H$7:$H$366,'Climate Data'!$A$7:$A$366,'Estimator'!$B$4,'Climate Data'!$B$7:$B$366,C1080)</x:f>
        <x:v>9.043129770992365</x:v>
      </x:c>
      <x:c r="J1080" s="381" t="n">
        <x:f>SUMIFS('Wind Proxy'!$H$8:$H$19,'Wind Proxy'!$A$8:$A$19,'Estimator'!$B$4,'Wind Proxy'!$B$8:$B$19,C1080)</x:f>
        <x:v>0.12544802867383514</x:v>
      </x:c>
    </x:row>
    <x:row r="1081">
      <x:c r="A1081" s="379" t="n">
        <x:v>46732</x:v>
      </x:c>
      <x:c r="B1081" s="380" t="n">
        <x:v>2027</x:v>
      </x:c>
      <x:c r="C1081" s="380" t="n">
        <x:v>12</x:v>
      </x:c>
      <x:c r="D1081" s="380" t="str">
        <x:v>Dec</x:v>
      </x:c>
      <x:c r="E1081" s="380" t="n">
        <x:v>11</x:v>
      </x:c>
      <x:c r="F1081" s="380" t="n">
        <x:v>6</x:v>
      </x:c>
      <x:c r="G1081" s="380" t="n">
        <x:f>--(F1081&lt;='Estimator'!$B$7)</x:f>
        <x:v>0</x:v>
      </x:c>
      <x:c r="H1081" s="381" t="n">
        <x:f>SUMIFS('Climate Data'!$G$7:$G$366,'Climate Data'!$A$7:$A$366,'Estimator'!$B$4,'Climate Data'!$B$7:$B$366,C1081)</x:f>
        <x:v>0.2914349276974416</x:v>
      </x:c>
      <x:c r="I1081" s="382" t="n">
        <x:f>SUMIFS('Climate Data'!$H$7:$H$366,'Climate Data'!$A$7:$A$366,'Estimator'!$B$4,'Climate Data'!$B$7:$B$366,C1081)</x:f>
        <x:v>9.043129770992365</x:v>
      </x:c>
      <x:c r="J1081" s="381" t="n">
        <x:f>SUMIFS('Wind Proxy'!$H$8:$H$19,'Wind Proxy'!$A$8:$A$19,'Estimator'!$B$4,'Wind Proxy'!$B$8:$B$19,C1081)</x:f>
        <x:v>0.12544802867383514</x:v>
      </x:c>
    </x:row>
    <x:row r="1082">
      <x:c r="A1082" s="379" t="n">
        <x:v>46733</x:v>
      </x:c>
      <x:c r="B1082" s="380" t="n">
        <x:v>2027</x:v>
      </x:c>
      <x:c r="C1082" s="380" t="n">
        <x:v>12</x:v>
      </x:c>
      <x:c r="D1082" s="380" t="str">
        <x:v>Dec</x:v>
      </x:c>
      <x:c r="E1082" s="380" t="n">
        <x:v>12</x:v>
      </x:c>
      <x:c r="F1082" s="380" t="n">
        <x:v>7</x:v>
      </x:c>
      <x:c r="G1082" s="380" t="n">
        <x:f>--(F1082&lt;='Estimator'!$B$7)</x:f>
        <x:v>0</x:v>
      </x:c>
      <x:c r="H1082" s="381" t="n">
        <x:f>SUMIFS('Climate Data'!$G$7:$G$366,'Climate Data'!$A$7:$A$366,'Estimator'!$B$4,'Climate Data'!$B$7:$B$366,C1082)</x:f>
        <x:v>0.2914349276974416</x:v>
      </x:c>
      <x:c r="I1082" s="382" t="n">
        <x:f>SUMIFS('Climate Data'!$H$7:$H$366,'Climate Data'!$A$7:$A$366,'Estimator'!$B$4,'Climate Data'!$B$7:$B$366,C1082)</x:f>
        <x:v>9.043129770992365</x:v>
      </x:c>
      <x:c r="J1082" s="381" t="n">
        <x:f>SUMIFS('Wind Proxy'!$H$8:$H$19,'Wind Proxy'!$A$8:$A$19,'Estimator'!$B$4,'Wind Proxy'!$B$8:$B$19,C1082)</x:f>
        <x:v>0.12544802867383514</x:v>
      </x:c>
    </x:row>
    <x:row r="1083">
      <x:c r="A1083" s="379" t="n">
        <x:v>46734</x:v>
      </x:c>
      <x:c r="B1083" s="380" t="n">
        <x:v>2027</x:v>
      </x:c>
      <x:c r="C1083" s="380" t="n">
        <x:v>12</x:v>
      </x:c>
      <x:c r="D1083" s="380" t="str">
        <x:v>Dec</x:v>
      </x:c>
      <x:c r="E1083" s="380" t="n">
        <x:v>13</x:v>
      </x:c>
      <x:c r="F1083" s="380" t="n">
        <x:v>1</x:v>
      </x:c>
      <x:c r="G1083" s="380" t="n">
        <x:f>--(F1083&lt;='Estimator'!$B$7)</x:f>
        <x:v>1</x:v>
      </x:c>
      <x:c r="H1083" s="381" t="n">
        <x:f>SUMIFS('Climate Data'!$G$7:$G$366,'Climate Data'!$A$7:$A$366,'Estimator'!$B$4,'Climate Data'!$B$7:$B$366,C1083)</x:f>
        <x:v>0.2914349276974416</x:v>
      </x:c>
      <x:c r="I1083" s="382" t="n">
        <x:f>SUMIFS('Climate Data'!$H$7:$H$366,'Climate Data'!$A$7:$A$366,'Estimator'!$B$4,'Climate Data'!$B$7:$B$366,C1083)</x:f>
        <x:v>9.043129770992365</x:v>
      </x:c>
      <x:c r="J1083" s="381" t="n">
        <x:f>SUMIFS('Wind Proxy'!$H$8:$H$19,'Wind Proxy'!$A$8:$A$19,'Estimator'!$B$4,'Wind Proxy'!$B$8:$B$19,C1083)</x:f>
        <x:v>0.12544802867383514</x:v>
      </x:c>
    </x:row>
    <x:row r="1084">
      <x:c r="A1084" s="379" t="n">
        <x:v>46735</x:v>
      </x:c>
      <x:c r="B1084" s="380" t="n">
        <x:v>2027</x:v>
      </x:c>
      <x:c r="C1084" s="380" t="n">
        <x:v>12</x:v>
      </x:c>
      <x:c r="D1084" s="380" t="str">
        <x:v>Dec</x:v>
      </x:c>
      <x:c r="E1084" s="380" t="n">
        <x:v>14</x:v>
      </x:c>
      <x:c r="F1084" s="380" t="n">
        <x:v>2</x:v>
      </x:c>
      <x:c r="G1084" s="380" t="n">
        <x:f>--(F1084&lt;='Estimator'!$B$7)</x:f>
        <x:v>1</x:v>
      </x:c>
      <x:c r="H1084" s="381" t="n">
        <x:f>SUMIFS('Climate Data'!$G$7:$G$366,'Climate Data'!$A$7:$A$366,'Estimator'!$B$4,'Climate Data'!$B$7:$B$366,C1084)</x:f>
        <x:v>0.2914349276974416</x:v>
      </x:c>
      <x:c r="I1084" s="382" t="n">
        <x:f>SUMIFS('Climate Data'!$H$7:$H$366,'Climate Data'!$A$7:$A$366,'Estimator'!$B$4,'Climate Data'!$B$7:$B$366,C1084)</x:f>
        <x:v>9.043129770992365</x:v>
      </x:c>
      <x:c r="J1084" s="381" t="n">
        <x:f>SUMIFS('Wind Proxy'!$H$8:$H$19,'Wind Proxy'!$A$8:$A$19,'Estimator'!$B$4,'Wind Proxy'!$B$8:$B$19,C1084)</x:f>
        <x:v>0.12544802867383514</x:v>
      </x:c>
    </x:row>
    <x:row r="1085">
      <x:c r="A1085" s="379" t="n">
        <x:v>46736</x:v>
      </x:c>
      <x:c r="B1085" s="380" t="n">
        <x:v>2027</x:v>
      </x:c>
      <x:c r="C1085" s="380" t="n">
        <x:v>12</x:v>
      </x:c>
      <x:c r="D1085" s="380" t="str">
        <x:v>Dec</x:v>
      </x:c>
      <x:c r="E1085" s="380" t="n">
        <x:v>15</x:v>
      </x:c>
      <x:c r="F1085" s="380" t="n">
        <x:v>3</x:v>
      </x:c>
      <x:c r="G1085" s="380" t="n">
        <x:f>--(F1085&lt;='Estimator'!$B$7)</x:f>
        <x:v>1</x:v>
      </x:c>
      <x:c r="H1085" s="381" t="n">
        <x:f>SUMIFS('Climate Data'!$G$7:$G$366,'Climate Data'!$A$7:$A$366,'Estimator'!$B$4,'Climate Data'!$B$7:$B$366,C1085)</x:f>
        <x:v>0.2914349276974416</x:v>
      </x:c>
      <x:c r="I1085" s="382" t="n">
        <x:f>SUMIFS('Climate Data'!$H$7:$H$366,'Climate Data'!$A$7:$A$366,'Estimator'!$B$4,'Climate Data'!$B$7:$B$366,C1085)</x:f>
        <x:v>9.043129770992365</x:v>
      </x:c>
      <x:c r="J1085" s="381" t="n">
        <x:f>SUMIFS('Wind Proxy'!$H$8:$H$19,'Wind Proxy'!$A$8:$A$19,'Estimator'!$B$4,'Wind Proxy'!$B$8:$B$19,C1085)</x:f>
        <x:v>0.12544802867383514</x:v>
      </x:c>
    </x:row>
    <x:row r="1086">
      <x:c r="A1086" s="379" t="n">
        <x:v>46737</x:v>
      </x:c>
      <x:c r="B1086" s="380" t="n">
        <x:v>2027</x:v>
      </x:c>
      <x:c r="C1086" s="380" t="n">
        <x:v>12</x:v>
      </x:c>
      <x:c r="D1086" s="380" t="str">
        <x:v>Dec</x:v>
      </x:c>
      <x:c r="E1086" s="380" t="n">
        <x:v>16</x:v>
      </x:c>
      <x:c r="F1086" s="380" t="n">
        <x:v>4</x:v>
      </x:c>
      <x:c r="G1086" s="380" t="n">
        <x:f>--(F1086&lt;='Estimator'!$B$7)</x:f>
        <x:v>1</x:v>
      </x:c>
      <x:c r="H1086" s="381" t="n">
        <x:f>SUMIFS('Climate Data'!$G$7:$G$366,'Climate Data'!$A$7:$A$366,'Estimator'!$B$4,'Climate Data'!$B$7:$B$366,C1086)</x:f>
        <x:v>0.2914349276974416</x:v>
      </x:c>
      <x:c r="I1086" s="382" t="n">
        <x:f>SUMIFS('Climate Data'!$H$7:$H$366,'Climate Data'!$A$7:$A$366,'Estimator'!$B$4,'Climate Data'!$B$7:$B$366,C1086)</x:f>
        <x:v>9.043129770992365</x:v>
      </x:c>
      <x:c r="J1086" s="381" t="n">
        <x:f>SUMIFS('Wind Proxy'!$H$8:$H$19,'Wind Proxy'!$A$8:$A$19,'Estimator'!$B$4,'Wind Proxy'!$B$8:$B$19,C1086)</x:f>
        <x:v>0.12544802867383514</x:v>
      </x:c>
    </x:row>
    <x:row r="1087">
      <x:c r="A1087" s="379" t="n">
        <x:v>46738</x:v>
      </x:c>
      <x:c r="B1087" s="380" t="n">
        <x:v>2027</x:v>
      </x:c>
      <x:c r="C1087" s="380" t="n">
        <x:v>12</x:v>
      </x:c>
      <x:c r="D1087" s="380" t="str">
        <x:v>Dec</x:v>
      </x:c>
      <x:c r="E1087" s="380" t="n">
        <x:v>17</x:v>
      </x:c>
      <x:c r="F1087" s="380" t="n">
        <x:v>5</x:v>
      </x:c>
      <x:c r="G1087" s="380" t="n">
        <x:f>--(F1087&lt;='Estimator'!$B$7)</x:f>
        <x:v>1</x:v>
      </x:c>
      <x:c r="H1087" s="381" t="n">
        <x:f>SUMIFS('Climate Data'!$G$7:$G$366,'Climate Data'!$A$7:$A$366,'Estimator'!$B$4,'Climate Data'!$B$7:$B$366,C1087)</x:f>
        <x:v>0.2914349276974416</x:v>
      </x:c>
      <x:c r="I1087" s="382" t="n">
        <x:f>SUMIFS('Climate Data'!$H$7:$H$366,'Climate Data'!$A$7:$A$366,'Estimator'!$B$4,'Climate Data'!$B$7:$B$366,C1087)</x:f>
        <x:v>9.043129770992365</x:v>
      </x:c>
      <x:c r="J1087" s="381" t="n">
        <x:f>SUMIFS('Wind Proxy'!$H$8:$H$19,'Wind Proxy'!$A$8:$A$19,'Estimator'!$B$4,'Wind Proxy'!$B$8:$B$19,C1087)</x:f>
        <x:v>0.12544802867383514</x:v>
      </x:c>
    </x:row>
    <x:row r="1088">
      <x:c r="A1088" s="379" t="n">
        <x:v>46739</x:v>
      </x:c>
      <x:c r="B1088" s="380" t="n">
        <x:v>2027</x:v>
      </x:c>
      <x:c r="C1088" s="380" t="n">
        <x:v>12</x:v>
      </x:c>
      <x:c r="D1088" s="380" t="str">
        <x:v>Dec</x:v>
      </x:c>
      <x:c r="E1088" s="380" t="n">
        <x:v>18</x:v>
      </x:c>
      <x:c r="F1088" s="380" t="n">
        <x:v>6</x:v>
      </x:c>
      <x:c r="G1088" s="380" t="n">
        <x:f>--(F1088&lt;='Estimator'!$B$7)</x:f>
        <x:v>0</x:v>
      </x:c>
      <x:c r="H1088" s="381" t="n">
        <x:f>SUMIFS('Climate Data'!$G$7:$G$366,'Climate Data'!$A$7:$A$366,'Estimator'!$B$4,'Climate Data'!$B$7:$B$366,C1088)</x:f>
        <x:v>0.2914349276974416</x:v>
      </x:c>
      <x:c r="I1088" s="382" t="n">
        <x:f>SUMIFS('Climate Data'!$H$7:$H$366,'Climate Data'!$A$7:$A$366,'Estimator'!$B$4,'Climate Data'!$B$7:$B$366,C1088)</x:f>
        <x:v>9.043129770992365</x:v>
      </x:c>
      <x:c r="J1088" s="381" t="n">
        <x:f>SUMIFS('Wind Proxy'!$H$8:$H$19,'Wind Proxy'!$A$8:$A$19,'Estimator'!$B$4,'Wind Proxy'!$B$8:$B$19,C1088)</x:f>
        <x:v>0.12544802867383514</x:v>
      </x:c>
    </x:row>
    <x:row r="1089">
      <x:c r="A1089" s="379" t="n">
        <x:v>46740</x:v>
      </x:c>
      <x:c r="B1089" s="380" t="n">
        <x:v>2027</x:v>
      </x:c>
      <x:c r="C1089" s="380" t="n">
        <x:v>12</x:v>
      </x:c>
      <x:c r="D1089" s="380" t="str">
        <x:v>Dec</x:v>
      </x:c>
      <x:c r="E1089" s="380" t="n">
        <x:v>19</x:v>
      </x:c>
      <x:c r="F1089" s="380" t="n">
        <x:v>7</x:v>
      </x:c>
      <x:c r="G1089" s="380" t="n">
        <x:f>--(F1089&lt;='Estimator'!$B$7)</x:f>
        <x:v>0</x:v>
      </x:c>
      <x:c r="H1089" s="381" t="n">
        <x:f>SUMIFS('Climate Data'!$G$7:$G$366,'Climate Data'!$A$7:$A$366,'Estimator'!$B$4,'Climate Data'!$B$7:$B$366,C1089)</x:f>
        <x:v>0.2914349276974416</x:v>
      </x:c>
      <x:c r="I1089" s="382" t="n">
        <x:f>SUMIFS('Climate Data'!$H$7:$H$366,'Climate Data'!$A$7:$A$366,'Estimator'!$B$4,'Climate Data'!$B$7:$B$366,C1089)</x:f>
        <x:v>9.043129770992365</x:v>
      </x:c>
      <x:c r="J1089" s="381" t="n">
        <x:f>SUMIFS('Wind Proxy'!$H$8:$H$19,'Wind Proxy'!$A$8:$A$19,'Estimator'!$B$4,'Wind Proxy'!$B$8:$B$19,C1089)</x:f>
        <x:v>0.12544802867383514</x:v>
      </x:c>
    </x:row>
    <x:row r="1090">
      <x:c r="A1090" s="379" t="n">
        <x:v>46741</x:v>
      </x:c>
      <x:c r="B1090" s="380" t="n">
        <x:v>2027</x:v>
      </x:c>
      <x:c r="C1090" s="380" t="n">
        <x:v>12</x:v>
      </x:c>
      <x:c r="D1090" s="380" t="str">
        <x:v>Dec</x:v>
      </x:c>
      <x:c r="E1090" s="380" t="n">
        <x:v>20</x:v>
      </x:c>
      <x:c r="F1090" s="380" t="n">
        <x:v>1</x:v>
      </x:c>
      <x:c r="G1090" s="380" t="n">
        <x:f>--(F1090&lt;='Estimator'!$B$7)</x:f>
        <x:v>1</x:v>
      </x:c>
      <x:c r="H1090" s="381" t="n">
        <x:f>SUMIFS('Climate Data'!$G$7:$G$366,'Climate Data'!$A$7:$A$366,'Estimator'!$B$4,'Climate Data'!$B$7:$B$366,C1090)</x:f>
        <x:v>0.2914349276974416</x:v>
      </x:c>
      <x:c r="I1090" s="382" t="n">
        <x:f>SUMIFS('Climate Data'!$H$7:$H$366,'Climate Data'!$A$7:$A$366,'Estimator'!$B$4,'Climate Data'!$B$7:$B$366,C1090)</x:f>
        <x:v>9.043129770992365</x:v>
      </x:c>
      <x:c r="J1090" s="381" t="n">
        <x:f>SUMIFS('Wind Proxy'!$H$8:$H$19,'Wind Proxy'!$A$8:$A$19,'Estimator'!$B$4,'Wind Proxy'!$B$8:$B$19,C1090)</x:f>
        <x:v>0.12544802867383514</x:v>
      </x:c>
    </x:row>
    <x:row r="1091">
      <x:c r="A1091" s="379" t="n">
        <x:v>46742</x:v>
      </x:c>
      <x:c r="B1091" s="380" t="n">
        <x:v>2027</x:v>
      </x:c>
      <x:c r="C1091" s="380" t="n">
        <x:v>12</x:v>
      </x:c>
      <x:c r="D1091" s="380" t="str">
        <x:v>Dec</x:v>
      </x:c>
      <x:c r="E1091" s="380" t="n">
        <x:v>21</x:v>
      </x:c>
      <x:c r="F1091" s="380" t="n">
        <x:v>2</x:v>
      </x:c>
      <x:c r="G1091" s="380" t="n">
        <x:f>--(F1091&lt;='Estimator'!$B$7)</x:f>
        <x:v>1</x:v>
      </x:c>
      <x:c r="H1091" s="381" t="n">
        <x:f>SUMIFS('Climate Data'!$G$7:$G$366,'Climate Data'!$A$7:$A$366,'Estimator'!$B$4,'Climate Data'!$B$7:$B$366,C1091)</x:f>
        <x:v>0.2914349276974416</x:v>
      </x:c>
      <x:c r="I1091" s="382" t="n">
        <x:f>SUMIFS('Climate Data'!$H$7:$H$366,'Climate Data'!$A$7:$A$366,'Estimator'!$B$4,'Climate Data'!$B$7:$B$366,C1091)</x:f>
        <x:v>9.043129770992365</x:v>
      </x:c>
      <x:c r="J1091" s="381" t="n">
        <x:f>SUMIFS('Wind Proxy'!$H$8:$H$19,'Wind Proxy'!$A$8:$A$19,'Estimator'!$B$4,'Wind Proxy'!$B$8:$B$19,C1091)</x:f>
        <x:v>0.12544802867383514</x:v>
      </x:c>
    </x:row>
    <x:row r="1092">
      <x:c r="A1092" s="379" t="n">
        <x:v>46743</x:v>
      </x:c>
      <x:c r="B1092" s="380" t="n">
        <x:v>2027</x:v>
      </x:c>
      <x:c r="C1092" s="380" t="n">
        <x:v>12</x:v>
      </x:c>
      <x:c r="D1092" s="380" t="str">
        <x:v>Dec</x:v>
      </x:c>
      <x:c r="E1092" s="380" t="n">
        <x:v>22</x:v>
      </x:c>
      <x:c r="F1092" s="380" t="n">
        <x:v>3</x:v>
      </x:c>
      <x:c r="G1092" s="380" t="n">
        <x:f>--(F1092&lt;='Estimator'!$B$7)</x:f>
        <x:v>1</x:v>
      </x:c>
      <x:c r="H1092" s="381" t="n">
        <x:f>SUMIFS('Climate Data'!$G$7:$G$366,'Climate Data'!$A$7:$A$366,'Estimator'!$B$4,'Climate Data'!$B$7:$B$366,C1092)</x:f>
        <x:v>0.2914349276974416</x:v>
      </x:c>
      <x:c r="I1092" s="382" t="n">
        <x:f>SUMIFS('Climate Data'!$H$7:$H$366,'Climate Data'!$A$7:$A$366,'Estimator'!$B$4,'Climate Data'!$B$7:$B$366,C1092)</x:f>
        <x:v>9.043129770992365</x:v>
      </x:c>
      <x:c r="J1092" s="381" t="n">
        <x:f>SUMIFS('Wind Proxy'!$H$8:$H$19,'Wind Proxy'!$A$8:$A$19,'Estimator'!$B$4,'Wind Proxy'!$B$8:$B$19,C1092)</x:f>
        <x:v>0.12544802867383514</x:v>
      </x:c>
    </x:row>
    <x:row r="1093">
      <x:c r="A1093" s="379" t="n">
        <x:v>46744</x:v>
      </x:c>
      <x:c r="B1093" s="380" t="n">
        <x:v>2027</x:v>
      </x:c>
      <x:c r="C1093" s="380" t="n">
        <x:v>12</x:v>
      </x:c>
      <x:c r="D1093" s="380" t="str">
        <x:v>Dec</x:v>
      </x:c>
      <x:c r="E1093" s="380" t="n">
        <x:v>23</x:v>
      </x:c>
      <x:c r="F1093" s="380" t="n">
        <x:v>4</x:v>
      </x:c>
      <x:c r="G1093" s="380" t="n">
        <x:f>--(F1093&lt;='Estimator'!$B$7)</x:f>
        <x:v>1</x:v>
      </x:c>
      <x:c r="H1093" s="381" t="n">
        <x:f>SUMIFS('Climate Data'!$G$7:$G$366,'Climate Data'!$A$7:$A$366,'Estimator'!$B$4,'Climate Data'!$B$7:$B$366,C1093)</x:f>
        <x:v>0.2914349276974416</x:v>
      </x:c>
      <x:c r="I1093" s="382" t="n">
        <x:f>SUMIFS('Climate Data'!$H$7:$H$366,'Climate Data'!$A$7:$A$366,'Estimator'!$B$4,'Climate Data'!$B$7:$B$366,C1093)</x:f>
        <x:v>9.043129770992365</x:v>
      </x:c>
      <x:c r="J1093" s="381" t="n">
        <x:f>SUMIFS('Wind Proxy'!$H$8:$H$19,'Wind Proxy'!$A$8:$A$19,'Estimator'!$B$4,'Wind Proxy'!$B$8:$B$19,C1093)</x:f>
        <x:v>0.12544802867383514</x:v>
      </x:c>
    </x:row>
    <x:row r="1094">
      <x:c r="A1094" s="379" t="n">
        <x:v>46745</x:v>
      </x:c>
      <x:c r="B1094" s="380" t="n">
        <x:v>2027</x:v>
      </x:c>
      <x:c r="C1094" s="380" t="n">
        <x:v>12</x:v>
      </x:c>
      <x:c r="D1094" s="380" t="str">
        <x:v>Dec</x:v>
      </x:c>
      <x:c r="E1094" s="380" t="n">
        <x:v>24</x:v>
      </x:c>
      <x:c r="F1094" s="380" t="n">
        <x:v>5</x:v>
      </x:c>
      <x:c r="G1094" s="380" t="n">
        <x:f>--(F1094&lt;='Estimator'!$B$7)</x:f>
        <x:v>1</x:v>
      </x:c>
      <x:c r="H1094" s="381" t="n">
        <x:f>SUMIFS('Climate Data'!$G$7:$G$366,'Climate Data'!$A$7:$A$366,'Estimator'!$B$4,'Climate Data'!$B$7:$B$366,C1094)</x:f>
        <x:v>0.2914349276974416</x:v>
      </x:c>
      <x:c r="I1094" s="382" t="n">
        <x:f>SUMIFS('Climate Data'!$H$7:$H$366,'Climate Data'!$A$7:$A$366,'Estimator'!$B$4,'Climate Data'!$B$7:$B$366,C1094)</x:f>
        <x:v>9.043129770992365</x:v>
      </x:c>
      <x:c r="J1094" s="381" t="n">
        <x:f>SUMIFS('Wind Proxy'!$H$8:$H$19,'Wind Proxy'!$A$8:$A$19,'Estimator'!$B$4,'Wind Proxy'!$B$8:$B$19,C1094)</x:f>
        <x:v>0.12544802867383514</x:v>
      </x:c>
    </x:row>
    <x:row r="1095">
      <x:c r="A1095" s="379" t="n">
        <x:v>46746</x:v>
      </x:c>
      <x:c r="B1095" s="380" t="n">
        <x:v>2027</x:v>
      </x:c>
      <x:c r="C1095" s="380" t="n">
        <x:v>12</x:v>
      </x:c>
      <x:c r="D1095" s="380" t="str">
        <x:v>Dec</x:v>
      </x:c>
      <x:c r="E1095" s="380" t="n">
        <x:v>25</x:v>
      </x:c>
      <x:c r="F1095" s="380" t="n">
        <x:v>6</x:v>
      </x:c>
      <x:c r="G1095" s="380" t="n">
        <x:f>--(F1095&lt;='Estimator'!$B$7)</x:f>
        <x:v>0</x:v>
      </x:c>
      <x:c r="H1095" s="381" t="n">
        <x:f>SUMIFS('Climate Data'!$G$7:$G$366,'Climate Data'!$A$7:$A$366,'Estimator'!$B$4,'Climate Data'!$B$7:$B$366,C1095)</x:f>
        <x:v>0.2914349276974416</x:v>
      </x:c>
      <x:c r="I1095" s="382" t="n">
        <x:f>SUMIFS('Climate Data'!$H$7:$H$366,'Climate Data'!$A$7:$A$366,'Estimator'!$B$4,'Climate Data'!$B$7:$B$366,C1095)</x:f>
        <x:v>9.043129770992365</x:v>
      </x:c>
      <x:c r="J1095" s="381" t="n">
        <x:f>SUMIFS('Wind Proxy'!$H$8:$H$19,'Wind Proxy'!$A$8:$A$19,'Estimator'!$B$4,'Wind Proxy'!$B$8:$B$19,C1095)</x:f>
        <x:v>0.12544802867383514</x:v>
      </x:c>
    </x:row>
    <x:row r="1096">
      <x:c r="A1096" s="379" t="n">
        <x:v>46747</x:v>
      </x:c>
      <x:c r="B1096" s="380" t="n">
        <x:v>2027</x:v>
      </x:c>
      <x:c r="C1096" s="380" t="n">
        <x:v>12</x:v>
      </x:c>
      <x:c r="D1096" s="380" t="str">
        <x:v>Dec</x:v>
      </x:c>
      <x:c r="E1096" s="380" t="n">
        <x:v>26</x:v>
      </x:c>
      <x:c r="F1096" s="380" t="n">
        <x:v>7</x:v>
      </x:c>
      <x:c r="G1096" s="380" t="n">
        <x:f>--(F1096&lt;='Estimator'!$B$7)</x:f>
        <x:v>0</x:v>
      </x:c>
      <x:c r="H1096" s="381" t="n">
        <x:f>SUMIFS('Climate Data'!$G$7:$G$366,'Climate Data'!$A$7:$A$366,'Estimator'!$B$4,'Climate Data'!$B$7:$B$366,C1096)</x:f>
        <x:v>0.2914349276974416</x:v>
      </x:c>
      <x:c r="I1096" s="382" t="n">
        <x:f>SUMIFS('Climate Data'!$H$7:$H$366,'Climate Data'!$A$7:$A$366,'Estimator'!$B$4,'Climate Data'!$B$7:$B$366,C1096)</x:f>
        <x:v>9.043129770992365</x:v>
      </x:c>
      <x:c r="J1096" s="381" t="n">
        <x:f>SUMIFS('Wind Proxy'!$H$8:$H$19,'Wind Proxy'!$A$8:$A$19,'Estimator'!$B$4,'Wind Proxy'!$B$8:$B$19,C1096)</x:f>
        <x:v>0.12544802867383514</x:v>
      </x:c>
    </x:row>
    <x:row r="1097">
      <x:c r="A1097" s="379" t="n">
        <x:v>46748</x:v>
      </x:c>
      <x:c r="B1097" s="380" t="n">
        <x:v>2027</x:v>
      </x:c>
      <x:c r="C1097" s="380" t="n">
        <x:v>12</x:v>
      </x:c>
      <x:c r="D1097" s="380" t="str">
        <x:v>Dec</x:v>
      </x:c>
      <x:c r="E1097" s="380" t="n">
        <x:v>27</x:v>
      </x:c>
      <x:c r="F1097" s="380" t="n">
        <x:v>1</x:v>
      </x:c>
      <x:c r="G1097" s="380" t="n">
        <x:f>--(F1097&lt;='Estimator'!$B$7)</x:f>
        <x:v>1</x:v>
      </x:c>
      <x:c r="H1097" s="381" t="n">
        <x:f>SUMIFS('Climate Data'!$G$7:$G$366,'Climate Data'!$A$7:$A$366,'Estimator'!$B$4,'Climate Data'!$B$7:$B$366,C1097)</x:f>
        <x:v>0.2914349276974416</x:v>
      </x:c>
      <x:c r="I1097" s="382" t="n">
        <x:f>SUMIFS('Climate Data'!$H$7:$H$366,'Climate Data'!$A$7:$A$366,'Estimator'!$B$4,'Climate Data'!$B$7:$B$366,C1097)</x:f>
        <x:v>9.043129770992365</x:v>
      </x:c>
      <x:c r="J1097" s="381" t="n">
        <x:f>SUMIFS('Wind Proxy'!$H$8:$H$19,'Wind Proxy'!$A$8:$A$19,'Estimator'!$B$4,'Wind Proxy'!$B$8:$B$19,C1097)</x:f>
        <x:v>0.12544802867383514</x:v>
      </x:c>
    </x:row>
    <x:row r="1098">
      <x:c r="A1098" s="379" t="n">
        <x:v>46749</x:v>
      </x:c>
      <x:c r="B1098" s="380" t="n">
        <x:v>2027</x:v>
      </x:c>
      <x:c r="C1098" s="380" t="n">
        <x:v>12</x:v>
      </x:c>
      <x:c r="D1098" s="380" t="str">
        <x:v>Dec</x:v>
      </x:c>
      <x:c r="E1098" s="380" t="n">
        <x:v>28</x:v>
      </x:c>
      <x:c r="F1098" s="380" t="n">
        <x:v>2</x:v>
      </x:c>
      <x:c r="G1098" s="380" t="n">
        <x:f>--(F1098&lt;='Estimator'!$B$7)</x:f>
        <x:v>1</x:v>
      </x:c>
      <x:c r="H1098" s="381" t="n">
        <x:f>SUMIFS('Climate Data'!$G$7:$G$366,'Climate Data'!$A$7:$A$366,'Estimator'!$B$4,'Climate Data'!$B$7:$B$366,C1098)</x:f>
        <x:v>0.2914349276974416</x:v>
      </x:c>
      <x:c r="I1098" s="382" t="n">
        <x:f>SUMIFS('Climate Data'!$H$7:$H$366,'Climate Data'!$A$7:$A$366,'Estimator'!$B$4,'Climate Data'!$B$7:$B$366,C1098)</x:f>
        <x:v>9.043129770992365</x:v>
      </x:c>
      <x:c r="J1098" s="381" t="n">
        <x:f>SUMIFS('Wind Proxy'!$H$8:$H$19,'Wind Proxy'!$A$8:$A$19,'Estimator'!$B$4,'Wind Proxy'!$B$8:$B$19,C1098)</x:f>
        <x:v>0.12544802867383514</x:v>
      </x:c>
    </x:row>
    <x:row r="1099">
      <x:c r="A1099" s="379" t="n">
        <x:v>46750</x:v>
      </x:c>
      <x:c r="B1099" s="380" t="n">
        <x:v>2027</x:v>
      </x:c>
      <x:c r="C1099" s="380" t="n">
        <x:v>12</x:v>
      </x:c>
      <x:c r="D1099" s="380" t="str">
        <x:v>Dec</x:v>
      </x:c>
      <x:c r="E1099" s="380" t="n">
        <x:v>29</x:v>
      </x:c>
      <x:c r="F1099" s="380" t="n">
        <x:v>3</x:v>
      </x:c>
      <x:c r="G1099" s="380" t="n">
        <x:f>--(F1099&lt;='Estimator'!$B$7)</x:f>
        <x:v>1</x:v>
      </x:c>
      <x:c r="H1099" s="381" t="n">
        <x:f>SUMIFS('Climate Data'!$G$7:$G$366,'Climate Data'!$A$7:$A$366,'Estimator'!$B$4,'Climate Data'!$B$7:$B$366,C1099)</x:f>
        <x:v>0.2914349276974416</x:v>
      </x:c>
      <x:c r="I1099" s="382" t="n">
        <x:f>SUMIFS('Climate Data'!$H$7:$H$366,'Climate Data'!$A$7:$A$366,'Estimator'!$B$4,'Climate Data'!$B$7:$B$366,C1099)</x:f>
        <x:v>9.043129770992365</x:v>
      </x:c>
      <x:c r="J1099" s="381" t="n">
        <x:f>SUMIFS('Wind Proxy'!$H$8:$H$19,'Wind Proxy'!$A$8:$A$19,'Estimator'!$B$4,'Wind Proxy'!$B$8:$B$19,C1099)</x:f>
        <x:v>0.12544802867383514</x:v>
      </x:c>
    </x:row>
    <x:row r="1100">
      <x:c r="A1100" s="379" t="n">
        <x:v>46751</x:v>
      </x:c>
      <x:c r="B1100" s="380" t="n">
        <x:v>2027</x:v>
      </x:c>
      <x:c r="C1100" s="380" t="n">
        <x:v>12</x:v>
      </x:c>
      <x:c r="D1100" s="380" t="str">
        <x:v>Dec</x:v>
      </x:c>
      <x:c r="E1100" s="380" t="n">
        <x:v>30</x:v>
      </x:c>
      <x:c r="F1100" s="380" t="n">
        <x:v>4</x:v>
      </x:c>
      <x:c r="G1100" s="380" t="n">
        <x:f>--(F1100&lt;='Estimator'!$B$7)</x:f>
        <x:v>1</x:v>
      </x:c>
      <x:c r="H1100" s="381" t="n">
        <x:f>SUMIFS('Climate Data'!$G$7:$G$366,'Climate Data'!$A$7:$A$366,'Estimator'!$B$4,'Climate Data'!$B$7:$B$366,C1100)</x:f>
        <x:v>0.2914349276974416</x:v>
      </x:c>
      <x:c r="I1100" s="382" t="n">
        <x:f>SUMIFS('Climate Data'!$H$7:$H$366,'Climate Data'!$A$7:$A$366,'Estimator'!$B$4,'Climate Data'!$B$7:$B$366,C1100)</x:f>
        <x:v>9.043129770992365</x:v>
      </x:c>
      <x:c r="J1100" s="381" t="n">
        <x:f>SUMIFS('Wind Proxy'!$H$8:$H$19,'Wind Proxy'!$A$8:$A$19,'Estimator'!$B$4,'Wind Proxy'!$B$8:$B$19,C1100)</x:f>
        <x:v>0.12544802867383514</x:v>
      </x:c>
    </x:row>
    <x:row r="1101">
      <x:c r="A1101" s="379" t="n">
        <x:v>46752</x:v>
      </x:c>
      <x:c r="B1101" s="380" t="n">
        <x:v>2027</x:v>
      </x:c>
      <x:c r="C1101" s="380" t="n">
        <x:v>12</x:v>
      </x:c>
      <x:c r="D1101" s="380" t="str">
        <x:v>Dec</x:v>
      </x:c>
      <x:c r="E1101" s="380" t="n">
        <x:v>31</x:v>
      </x:c>
      <x:c r="F1101" s="380" t="n">
        <x:v>5</x:v>
      </x:c>
      <x:c r="G1101" s="380" t="n">
        <x:f>--(F1101&lt;='Estimator'!$B$7)</x:f>
        <x:v>1</x:v>
      </x:c>
      <x:c r="H1101" s="381" t="n">
        <x:f>SUMIFS('Climate Data'!$G$7:$G$366,'Climate Data'!$A$7:$A$366,'Estimator'!$B$4,'Climate Data'!$B$7:$B$366,C1101)</x:f>
        <x:v>0.2914349276974416</x:v>
      </x:c>
      <x:c r="I1101" s="382" t="n">
        <x:f>SUMIFS('Climate Data'!$H$7:$H$366,'Climate Data'!$A$7:$A$366,'Estimator'!$B$4,'Climate Data'!$B$7:$B$366,C1101)</x:f>
        <x:v>9.043129770992365</x:v>
      </x:c>
      <x:c r="J1101" s="381" t="n">
        <x:f>SUMIFS('Wind Proxy'!$H$8:$H$19,'Wind Proxy'!$A$8:$A$19,'Estimator'!$B$4,'Wind Proxy'!$B$8:$B$19,C1101)</x:f>
        <x:v>0.12544802867383514</x:v>
      </x:c>
    </x:row>
    <x:row r="1102">
      <x:c r="A1102" s="379" t="n">
        <x:v>46753</x:v>
      </x:c>
      <x:c r="B1102" s="380" t="n">
        <x:v>2028</x:v>
      </x:c>
      <x:c r="C1102" s="380" t="n">
        <x:v>1</x:v>
      </x:c>
      <x:c r="D1102" s="380" t="str">
        <x:v>Jan</x:v>
      </x:c>
      <x:c r="E1102" s="380" t="n">
        <x:v>1</x:v>
      </x:c>
      <x:c r="F1102" s="380" t="n">
        <x:v>6</x:v>
      </x:c>
      <x:c r="G1102" s="380" t="n">
        <x:f>--(F1102&lt;='Estimator'!$B$7)</x:f>
        <x:v>0</x:v>
      </x:c>
      <x:c r="H1102" s="381" t="n">
        <x:f>SUMIFS('Climate Data'!$G$7:$G$366,'Climate Data'!$A$7:$A$366,'Estimator'!$B$4,'Climate Data'!$B$7:$B$366,C1102)</x:f>
        <x:v>0.21802002224694106</x:v>
      </x:c>
      <x:c r="I1102" s="382" t="n">
        <x:f>SUMIFS('Climate Data'!$H$7:$H$366,'Climate Data'!$A$7:$A$366,'Estimator'!$B$4,'Climate Data'!$B$7:$B$366,C1102)</x:f>
        <x:v>8.596428571428572</x:v>
      </x:c>
      <x:c r="J1102" s="381" t="n">
        <x:f>SUMIFS('Wind Proxy'!$H$8:$H$19,'Wind Proxy'!$A$8:$A$19,'Estimator'!$B$4,'Wind Proxy'!$B$8:$B$19,C1102)</x:f>
        <x:v>0.12544802867383514</x:v>
      </x:c>
    </x:row>
    <x:row r="1103">
      <x:c r="A1103" s="379" t="n">
        <x:v>46754</x:v>
      </x:c>
      <x:c r="B1103" s="380" t="n">
        <x:v>2028</x:v>
      </x:c>
      <x:c r="C1103" s="380" t="n">
        <x:v>1</x:v>
      </x:c>
      <x:c r="D1103" s="380" t="str">
        <x:v>Jan</x:v>
      </x:c>
      <x:c r="E1103" s="380" t="n">
        <x:v>2</x:v>
      </x:c>
      <x:c r="F1103" s="380" t="n">
        <x:v>7</x:v>
      </x:c>
      <x:c r="G1103" s="380" t="n">
        <x:f>--(F1103&lt;='Estimator'!$B$7)</x:f>
        <x:v>0</x:v>
      </x:c>
      <x:c r="H1103" s="381" t="n">
        <x:f>SUMIFS('Climate Data'!$G$7:$G$366,'Climate Data'!$A$7:$A$366,'Estimator'!$B$4,'Climate Data'!$B$7:$B$366,C1103)</x:f>
        <x:v>0.21802002224694106</x:v>
      </x:c>
      <x:c r="I1103" s="382" t="n">
        <x:f>SUMIFS('Climate Data'!$H$7:$H$366,'Climate Data'!$A$7:$A$366,'Estimator'!$B$4,'Climate Data'!$B$7:$B$366,C1103)</x:f>
        <x:v>8.596428571428572</x:v>
      </x:c>
      <x:c r="J1103" s="381" t="n">
        <x:f>SUMIFS('Wind Proxy'!$H$8:$H$19,'Wind Proxy'!$A$8:$A$19,'Estimator'!$B$4,'Wind Proxy'!$B$8:$B$19,C1103)</x:f>
        <x:v>0.12544802867383514</x:v>
      </x:c>
    </x:row>
    <x:row r="1104">
      <x:c r="A1104" s="379" t="n">
        <x:v>46755</x:v>
      </x:c>
      <x:c r="B1104" s="380" t="n">
        <x:v>2028</x:v>
      </x:c>
      <x:c r="C1104" s="380" t="n">
        <x:v>1</x:v>
      </x:c>
      <x:c r="D1104" s="380" t="str">
        <x:v>Jan</x:v>
      </x:c>
      <x:c r="E1104" s="380" t="n">
        <x:v>3</x:v>
      </x:c>
      <x:c r="F1104" s="380" t="n">
        <x:v>1</x:v>
      </x:c>
      <x:c r="G1104" s="380" t="n">
        <x:f>--(F1104&lt;='Estimator'!$B$7)</x:f>
        <x:v>1</x:v>
      </x:c>
      <x:c r="H1104" s="381" t="n">
        <x:f>SUMIFS('Climate Data'!$G$7:$G$366,'Climate Data'!$A$7:$A$366,'Estimator'!$B$4,'Climate Data'!$B$7:$B$366,C1104)</x:f>
        <x:v>0.21802002224694106</x:v>
      </x:c>
      <x:c r="I1104" s="382" t="n">
        <x:f>SUMIFS('Climate Data'!$H$7:$H$366,'Climate Data'!$A$7:$A$366,'Estimator'!$B$4,'Climate Data'!$B$7:$B$366,C1104)</x:f>
        <x:v>8.596428571428572</x:v>
      </x:c>
      <x:c r="J1104" s="381" t="n">
        <x:f>SUMIFS('Wind Proxy'!$H$8:$H$19,'Wind Proxy'!$A$8:$A$19,'Estimator'!$B$4,'Wind Proxy'!$B$8:$B$19,C1104)</x:f>
        <x:v>0.12544802867383514</x:v>
      </x:c>
    </x:row>
    <x:row r="1105">
      <x:c r="A1105" s="379" t="n">
        <x:v>46756</x:v>
      </x:c>
      <x:c r="B1105" s="380" t="n">
        <x:v>2028</x:v>
      </x:c>
      <x:c r="C1105" s="380" t="n">
        <x:v>1</x:v>
      </x:c>
      <x:c r="D1105" s="380" t="str">
        <x:v>Jan</x:v>
      </x:c>
      <x:c r="E1105" s="380" t="n">
        <x:v>4</x:v>
      </x:c>
      <x:c r="F1105" s="380" t="n">
        <x:v>2</x:v>
      </x:c>
      <x:c r="G1105" s="380" t="n">
        <x:f>--(F1105&lt;='Estimator'!$B$7)</x:f>
        <x:v>1</x:v>
      </x:c>
      <x:c r="H1105" s="381" t="n">
        <x:f>SUMIFS('Climate Data'!$G$7:$G$366,'Climate Data'!$A$7:$A$366,'Estimator'!$B$4,'Climate Data'!$B$7:$B$366,C1105)</x:f>
        <x:v>0.21802002224694106</x:v>
      </x:c>
      <x:c r="I1105" s="382" t="n">
        <x:f>SUMIFS('Climate Data'!$H$7:$H$366,'Climate Data'!$A$7:$A$366,'Estimator'!$B$4,'Climate Data'!$B$7:$B$366,C1105)</x:f>
        <x:v>8.596428571428572</x:v>
      </x:c>
      <x:c r="J1105" s="381" t="n">
        <x:f>SUMIFS('Wind Proxy'!$H$8:$H$19,'Wind Proxy'!$A$8:$A$19,'Estimator'!$B$4,'Wind Proxy'!$B$8:$B$19,C1105)</x:f>
        <x:v>0.12544802867383514</x:v>
      </x:c>
    </x:row>
    <x:row r="1106">
      <x:c r="A1106" s="379" t="n">
        <x:v>46757</x:v>
      </x:c>
      <x:c r="B1106" s="380" t="n">
        <x:v>2028</x:v>
      </x:c>
      <x:c r="C1106" s="380" t="n">
        <x:v>1</x:v>
      </x:c>
      <x:c r="D1106" s="380" t="str">
        <x:v>Jan</x:v>
      </x:c>
      <x:c r="E1106" s="380" t="n">
        <x:v>5</x:v>
      </x:c>
      <x:c r="F1106" s="380" t="n">
        <x:v>3</x:v>
      </x:c>
      <x:c r="G1106" s="380" t="n">
        <x:f>--(F1106&lt;='Estimator'!$B$7)</x:f>
        <x:v>1</x:v>
      </x:c>
      <x:c r="H1106" s="381" t="n">
        <x:f>SUMIFS('Climate Data'!$G$7:$G$366,'Climate Data'!$A$7:$A$366,'Estimator'!$B$4,'Climate Data'!$B$7:$B$366,C1106)</x:f>
        <x:v>0.21802002224694106</x:v>
      </x:c>
      <x:c r="I1106" s="382" t="n">
        <x:f>SUMIFS('Climate Data'!$H$7:$H$366,'Climate Data'!$A$7:$A$366,'Estimator'!$B$4,'Climate Data'!$B$7:$B$366,C1106)</x:f>
        <x:v>8.596428571428572</x:v>
      </x:c>
      <x:c r="J1106" s="381" t="n">
        <x:f>SUMIFS('Wind Proxy'!$H$8:$H$19,'Wind Proxy'!$A$8:$A$19,'Estimator'!$B$4,'Wind Proxy'!$B$8:$B$19,C1106)</x:f>
        <x:v>0.12544802867383514</x:v>
      </x:c>
    </x:row>
    <x:row r="1107">
      <x:c r="A1107" s="379" t="n">
        <x:v>46758</x:v>
      </x:c>
      <x:c r="B1107" s="380" t="n">
        <x:v>2028</x:v>
      </x:c>
      <x:c r="C1107" s="380" t="n">
        <x:v>1</x:v>
      </x:c>
      <x:c r="D1107" s="380" t="str">
        <x:v>Jan</x:v>
      </x:c>
      <x:c r="E1107" s="380" t="n">
        <x:v>6</x:v>
      </x:c>
      <x:c r="F1107" s="380" t="n">
        <x:v>4</x:v>
      </x:c>
      <x:c r="G1107" s="380" t="n">
        <x:f>--(F1107&lt;='Estimator'!$B$7)</x:f>
        <x:v>1</x:v>
      </x:c>
      <x:c r="H1107" s="381" t="n">
        <x:f>SUMIFS('Climate Data'!$G$7:$G$366,'Climate Data'!$A$7:$A$366,'Estimator'!$B$4,'Climate Data'!$B$7:$B$366,C1107)</x:f>
        <x:v>0.21802002224694106</x:v>
      </x:c>
      <x:c r="I1107" s="382" t="n">
        <x:f>SUMIFS('Climate Data'!$H$7:$H$366,'Climate Data'!$A$7:$A$366,'Estimator'!$B$4,'Climate Data'!$B$7:$B$366,C1107)</x:f>
        <x:v>8.596428571428572</x:v>
      </x:c>
      <x:c r="J1107" s="381" t="n">
        <x:f>SUMIFS('Wind Proxy'!$H$8:$H$19,'Wind Proxy'!$A$8:$A$19,'Estimator'!$B$4,'Wind Proxy'!$B$8:$B$19,C1107)</x:f>
        <x:v>0.12544802867383514</x:v>
      </x:c>
    </x:row>
    <x:row r="1108">
      <x:c r="A1108" s="379" t="n">
        <x:v>46759</x:v>
      </x:c>
      <x:c r="B1108" s="380" t="n">
        <x:v>2028</x:v>
      </x:c>
      <x:c r="C1108" s="380" t="n">
        <x:v>1</x:v>
      </x:c>
      <x:c r="D1108" s="380" t="str">
        <x:v>Jan</x:v>
      </x:c>
      <x:c r="E1108" s="380" t="n">
        <x:v>7</x:v>
      </x:c>
      <x:c r="F1108" s="380" t="n">
        <x:v>5</x:v>
      </x:c>
      <x:c r="G1108" s="380" t="n">
        <x:f>--(F1108&lt;='Estimator'!$B$7)</x:f>
        <x:v>1</x:v>
      </x:c>
      <x:c r="H1108" s="381" t="n">
        <x:f>SUMIFS('Climate Data'!$G$7:$G$366,'Climate Data'!$A$7:$A$366,'Estimator'!$B$4,'Climate Data'!$B$7:$B$366,C1108)</x:f>
        <x:v>0.21802002224694106</x:v>
      </x:c>
      <x:c r="I1108" s="382" t="n">
        <x:f>SUMIFS('Climate Data'!$H$7:$H$366,'Climate Data'!$A$7:$A$366,'Estimator'!$B$4,'Climate Data'!$B$7:$B$366,C1108)</x:f>
        <x:v>8.596428571428572</x:v>
      </x:c>
      <x:c r="J1108" s="381" t="n">
        <x:f>SUMIFS('Wind Proxy'!$H$8:$H$19,'Wind Proxy'!$A$8:$A$19,'Estimator'!$B$4,'Wind Proxy'!$B$8:$B$19,C1108)</x:f>
        <x:v>0.12544802867383514</x:v>
      </x:c>
    </x:row>
    <x:row r="1109">
      <x:c r="A1109" s="379" t="n">
        <x:v>46760</x:v>
      </x:c>
      <x:c r="B1109" s="380" t="n">
        <x:v>2028</x:v>
      </x:c>
      <x:c r="C1109" s="380" t="n">
        <x:v>1</x:v>
      </x:c>
      <x:c r="D1109" s="380" t="str">
        <x:v>Jan</x:v>
      </x:c>
      <x:c r="E1109" s="380" t="n">
        <x:v>8</x:v>
      </x:c>
      <x:c r="F1109" s="380" t="n">
        <x:v>6</x:v>
      </x:c>
      <x:c r="G1109" s="380" t="n">
        <x:f>--(F1109&lt;='Estimator'!$B$7)</x:f>
        <x:v>0</x:v>
      </x:c>
      <x:c r="H1109" s="381" t="n">
        <x:f>SUMIFS('Climate Data'!$G$7:$G$366,'Climate Data'!$A$7:$A$366,'Estimator'!$B$4,'Climate Data'!$B$7:$B$366,C1109)</x:f>
        <x:v>0.21802002224694106</x:v>
      </x:c>
      <x:c r="I1109" s="382" t="n">
        <x:f>SUMIFS('Climate Data'!$H$7:$H$366,'Climate Data'!$A$7:$A$366,'Estimator'!$B$4,'Climate Data'!$B$7:$B$366,C1109)</x:f>
        <x:v>8.596428571428572</x:v>
      </x:c>
      <x:c r="J1109" s="381" t="n">
        <x:f>SUMIFS('Wind Proxy'!$H$8:$H$19,'Wind Proxy'!$A$8:$A$19,'Estimator'!$B$4,'Wind Proxy'!$B$8:$B$19,C1109)</x:f>
        <x:v>0.12544802867383514</x:v>
      </x:c>
    </x:row>
    <x:row r="1110">
      <x:c r="A1110" s="379" t="n">
        <x:v>46761</x:v>
      </x:c>
      <x:c r="B1110" s="380" t="n">
        <x:v>2028</x:v>
      </x:c>
      <x:c r="C1110" s="380" t="n">
        <x:v>1</x:v>
      </x:c>
      <x:c r="D1110" s="380" t="str">
        <x:v>Jan</x:v>
      </x:c>
      <x:c r="E1110" s="380" t="n">
        <x:v>9</x:v>
      </x:c>
      <x:c r="F1110" s="380" t="n">
        <x:v>7</x:v>
      </x:c>
      <x:c r="G1110" s="380" t="n">
        <x:f>--(F1110&lt;='Estimator'!$B$7)</x:f>
        <x:v>0</x:v>
      </x:c>
      <x:c r="H1110" s="381" t="n">
        <x:f>SUMIFS('Climate Data'!$G$7:$G$366,'Climate Data'!$A$7:$A$366,'Estimator'!$B$4,'Climate Data'!$B$7:$B$366,C1110)</x:f>
        <x:v>0.21802002224694106</x:v>
      </x:c>
      <x:c r="I1110" s="382" t="n">
        <x:f>SUMIFS('Climate Data'!$H$7:$H$366,'Climate Data'!$A$7:$A$366,'Estimator'!$B$4,'Climate Data'!$B$7:$B$366,C1110)</x:f>
        <x:v>8.596428571428572</x:v>
      </x:c>
      <x:c r="J1110" s="381" t="n">
        <x:f>SUMIFS('Wind Proxy'!$H$8:$H$19,'Wind Proxy'!$A$8:$A$19,'Estimator'!$B$4,'Wind Proxy'!$B$8:$B$19,C1110)</x:f>
        <x:v>0.12544802867383514</x:v>
      </x:c>
    </x:row>
    <x:row r="1111">
      <x:c r="A1111" s="379" t="n">
        <x:v>46762</x:v>
      </x:c>
      <x:c r="B1111" s="380" t="n">
        <x:v>2028</x:v>
      </x:c>
      <x:c r="C1111" s="380" t="n">
        <x:v>1</x:v>
      </x:c>
      <x:c r="D1111" s="380" t="str">
        <x:v>Jan</x:v>
      </x:c>
      <x:c r="E1111" s="380" t="n">
        <x:v>10</x:v>
      </x:c>
      <x:c r="F1111" s="380" t="n">
        <x:v>1</x:v>
      </x:c>
      <x:c r="G1111" s="380" t="n">
        <x:f>--(F1111&lt;='Estimator'!$B$7)</x:f>
        <x:v>1</x:v>
      </x:c>
      <x:c r="H1111" s="381" t="n">
        <x:f>SUMIFS('Climate Data'!$G$7:$G$366,'Climate Data'!$A$7:$A$366,'Estimator'!$B$4,'Climate Data'!$B$7:$B$366,C1111)</x:f>
        <x:v>0.21802002224694106</x:v>
      </x:c>
      <x:c r="I1111" s="382" t="n">
        <x:f>SUMIFS('Climate Data'!$H$7:$H$366,'Climate Data'!$A$7:$A$366,'Estimator'!$B$4,'Climate Data'!$B$7:$B$366,C1111)</x:f>
        <x:v>8.596428571428572</x:v>
      </x:c>
      <x:c r="J1111" s="381" t="n">
        <x:f>SUMIFS('Wind Proxy'!$H$8:$H$19,'Wind Proxy'!$A$8:$A$19,'Estimator'!$B$4,'Wind Proxy'!$B$8:$B$19,C1111)</x:f>
        <x:v>0.12544802867383514</x:v>
      </x:c>
    </x:row>
    <x:row r="1112">
      <x:c r="A1112" s="379" t="n">
        <x:v>46763</x:v>
      </x:c>
      <x:c r="B1112" s="380" t="n">
        <x:v>2028</x:v>
      </x:c>
      <x:c r="C1112" s="380" t="n">
        <x:v>1</x:v>
      </x:c>
      <x:c r="D1112" s="380" t="str">
        <x:v>Jan</x:v>
      </x:c>
      <x:c r="E1112" s="380" t="n">
        <x:v>11</x:v>
      </x:c>
      <x:c r="F1112" s="380" t="n">
        <x:v>2</x:v>
      </x:c>
      <x:c r="G1112" s="380" t="n">
        <x:f>--(F1112&lt;='Estimator'!$B$7)</x:f>
        <x:v>1</x:v>
      </x:c>
      <x:c r="H1112" s="381" t="n">
        <x:f>SUMIFS('Climate Data'!$G$7:$G$366,'Climate Data'!$A$7:$A$366,'Estimator'!$B$4,'Climate Data'!$B$7:$B$366,C1112)</x:f>
        <x:v>0.21802002224694106</x:v>
      </x:c>
      <x:c r="I1112" s="382" t="n">
        <x:f>SUMIFS('Climate Data'!$H$7:$H$366,'Climate Data'!$A$7:$A$366,'Estimator'!$B$4,'Climate Data'!$B$7:$B$366,C1112)</x:f>
        <x:v>8.596428571428572</x:v>
      </x:c>
      <x:c r="J1112" s="381" t="n">
        <x:f>SUMIFS('Wind Proxy'!$H$8:$H$19,'Wind Proxy'!$A$8:$A$19,'Estimator'!$B$4,'Wind Proxy'!$B$8:$B$19,C1112)</x:f>
        <x:v>0.12544802867383514</x:v>
      </x:c>
    </x:row>
    <x:row r="1113">
      <x:c r="A1113" s="379" t="n">
        <x:v>46764</x:v>
      </x:c>
      <x:c r="B1113" s="380" t="n">
        <x:v>2028</x:v>
      </x:c>
      <x:c r="C1113" s="380" t="n">
        <x:v>1</x:v>
      </x:c>
      <x:c r="D1113" s="380" t="str">
        <x:v>Jan</x:v>
      </x:c>
      <x:c r="E1113" s="380" t="n">
        <x:v>12</x:v>
      </x:c>
      <x:c r="F1113" s="380" t="n">
        <x:v>3</x:v>
      </x:c>
      <x:c r="G1113" s="380" t="n">
        <x:f>--(F1113&lt;='Estimator'!$B$7)</x:f>
        <x:v>1</x:v>
      </x:c>
      <x:c r="H1113" s="381" t="n">
        <x:f>SUMIFS('Climate Data'!$G$7:$G$366,'Climate Data'!$A$7:$A$366,'Estimator'!$B$4,'Climate Data'!$B$7:$B$366,C1113)</x:f>
        <x:v>0.21802002224694106</x:v>
      </x:c>
      <x:c r="I1113" s="382" t="n">
        <x:f>SUMIFS('Climate Data'!$H$7:$H$366,'Climate Data'!$A$7:$A$366,'Estimator'!$B$4,'Climate Data'!$B$7:$B$366,C1113)</x:f>
        <x:v>8.596428571428572</x:v>
      </x:c>
      <x:c r="J1113" s="381" t="n">
        <x:f>SUMIFS('Wind Proxy'!$H$8:$H$19,'Wind Proxy'!$A$8:$A$19,'Estimator'!$B$4,'Wind Proxy'!$B$8:$B$19,C1113)</x:f>
        <x:v>0.12544802867383514</x:v>
      </x:c>
    </x:row>
    <x:row r="1114">
      <x:c r="A1114" s="379" t="n">
        <x:v>46765</x:v>
      </x:c>
      <x:c r="B1114" s="380" t="n">
        <x:v>2028</x:v>
      </x:c>
      <x:c r="C1114" s="380" t="n">
        <x:v>1</x:v>
      </x:c>
      <x:c r="D1114" s="380" t="str">
        <x:v>Jan</x:v>
      </x:c>
      <x:c r="E1114" s="380" t="n">
        <x:v>13</x:v>
      </x:c>
      <x:c r="F1114" s="380" t="n">
        <x:v>4</x:v>
      </x:c>
      <x:c r="G1114" s="380" t="n">
        <x:f>--(F1114&lt;='Estimator'!$B$7)</x:f>
        <x:v>1</x:v>
      </x:c>
      <x:c r="H1114" s="381" t="n">
        <x:f>SUMIFS('Climate Data'!$G$7:$G$366,'Climate Data'!$A$7:$A$366,'Estimator'!$B$4,'Climate Data'!$B$7:$B$366,C1114)</x:f>
        <x:v>0.21802002224694106</x:v>
      </x:c>
      <x:c r="I1114" s="382" t="n">
        <x:f>SUMIFS('Climate Data'!$H$7:$H$366,'Climate Data'!$A$7:$A$366,'Estimator'!$B$4,'Climate Data'!$B$7:$B$366,C1114)</x:f>
        <x:v>8.596428571428572</x:v>
      </x:c>
      <x:c r="J1114" s="381" t="n">
        <x:f>SUMIFS('Wind Proxy'!$H$8:$H$19,'Wind Proxy'!$A$8:$A$19,'Estimator'!$B$4,'Wind Proxy'!$B$8:$B$19,C1114)</x:f>
        <x:v>0.12544802867383514</x:v>
      </x:c>
    </x:row>
    <x:row r="1115">
      <x:c r="A1115" s="379" t="n">
        <x:v>46766</x:v>
      </x:c>
      <x:c r="B1115" s="380" t="n">
        <x:v>2028</x:v>
      </x:c>
      <x:c r="C1115" s="380" t="n">
        <x:v>1</x:v>
      </x:c>
      <x:c r="D1115" s="380" t="str">
        <x:v>Jan</x:v>
      </x:c>
      <x:c r="E1115" s="380" t="n">
        <x:v>14</x:v>
      </x:c>
      <x:c r="F1115" s="380" t="n">
        <x:v>5</x:v>
      </x:c>
      <x:c r="G1115" s="380" t="n">
        <x:f>--(F1115&lt;='Estimator'!$B$7)</x:f>
        <x:v>1</x:v>
      </x:c>
      <x:c r="H1115" s="381" t="n">
        <x:f>SUMIFS('Climate Data'!$G$7:$G$366,'Climate Data'!$A$7:$A$366,'Estimator'!$B$4,'Climate Data'!$B$7:$B$366,C1115)</x:f>
        <x:v>0.21802002224694106</x:v>
      </x:c>
      <x:c r="I1115" s="382" t="n">
        <x:f>SUMIFS('Climate Data'!$H$7:$H$366,'Climate Data'!$A$7:$A$366,'Estimator'!$B$4,'Climate Data'!$B$7:$B$366,C1115)</x:f>
        <x:v>8.596428571428572</x:v>
      </x:c>
      <x:c r="J1115" s="381" t="n">
        <x:f>SUMIFS('Wind Proxy'!$H$8:$H$19,'Wind Proxy'!$A$8:$A$19,'Estimator'!$B$4,'Wind Proxy'!$B$8:$B$19,C1115)</x:f>
        <x:v>0.12544802867383514</x:v>
      </x:c>
    </x:row>
    <x:row r="1116">
      <x:c r="A1116" s="379" t="n">
        <x:v>46767</x:v>
      </x:c>
      <x:c r="B1116" s="380" t="n">
        <x:v>2028</x:v>
      </x:c>
      <x:c r="C1116" s="380" t="n">
        <x:v>1</x:v>
      </x:c>
      <x:c r="D1116" s="380" t="str">
        <x:v>Jan</x:v>
      </x:c>
      <x:c r="E1116" s="380" t="n">
        <x:v>15</x:v>
      </x:c>
      <x:c r="F1116" s="380" t="n">
        <x:v>6</x:v>
      </x:c>
      <x:c r="G1116" s="380" t="n">
        <x:f>--(F1116&lt;='Estimator'!$B$7)</x:f>
        <x:v>0</x:v>
      </x:c>
      <x:c r="H1116" s="381" t="n">
        <x:f>SUMIFS('Climate Data'!$G$7:$G$366,'Climate Data'!$A$7:$A$366,'Estimator'!$B$4,'Climate Data'!$B$7:$B$366,C1116)</x:f>
        <x:v>0.21802002224694106</x:v>
      </x:c>
      <x:c r="I1116" s="382" t="n">
        <x:f>SUMIFS('Climate Data'!$H$7:$H$366,'Climate Data'!$A$7:$A$366,'Estimator'!$B$4,'Climate Data'!$B$7:$B$366,C1116)</x:f>
        <x:v>8.596428571428572</x:v>
      </x:c>
      <x:c r="J1116" s="381" t="n">
        <x:f>SUMIFS('Wind Proxy'!$H$8:$H$19,'Wind Proxy'!$A$8:$A$19,'Estimator'!$B$4,'Wind Proxy'!$B$8:$B$19,C1116)</x:f>
        <x:v>0.12544802867383514</x:v>
      </x:c>
    </x:row>
    <x:row r="1117">
      <x:c r="A1117" s="379" t="n">
        <x:v>46768</x:v>
      </x:c>
      <x:c r="B1117" s="380" t="n">
        <x:v>2028</x:v>
      </x:c>
      <x:c r="C1117" s="380" t="n">
        <x:v>1</x:v>
      </x:c>
      <x:c r="D1117" s="380" t="str">
        <x:v>Jan</x:v>
      </x:c>
      <x:c r="E1117" s="380" t="n">
        <x:v>16</x:v>
      </x:c>
      <x:c r="F1117" s="380" t="n">
        <x:v>7</x:v>
      </x:c>
      <x:c r="G1117" s="380" t="n">
        <x:f>--(F1117&lt;='Estimator'!$B$7)</x:f>
        <x:v>0</x:v>
      </x:c>
      <x:c r="H1117" s="381" t="n">
        <x:f>SUMIFS('Climate Data'!$G$7:$G$366,'Climate Data'!$A$7:$A$366,'Estimator'!$B$4,'Climate Data'!$B$7:$B$366,C1117)</x:f>
        <x:v>0.21802002224694106</x:v>
      </x:c>
      <x:c r="I1117" s="382" t="n">
        <x:f>SUMIFS('Climate Data'!$H$7:$H$366,'Climate Data'!$A$7:$A$366,'Estimator'!$B$4,'Climate Data'!$B$7:$B$366,C1117)</x:f>
        <x:v>8.596428571428572</x:v>
      </x:c>
      <x:c r="J1117" s="381" t="n">
        <x:f>SUMIFS('Wind Proxy'!$H$8:$H$19,'Wind Proxy'!$A$8:$A$19,'Estimator'!$B$4,'Wind Proxy'!$B$8:$B$19,C1117)</x:f>
        <x:v>0.12544802867383514</x:v>
      </x:c>
    </x:row>
    <x:row r="1118">
      <x:c r="A1118" s="379" t="n">
        <x:v>46769</x:v>
      </x:c>
      <x:c r="B1118" s="380" t="n">
        <x:v>2028</x:v>
      </x:c>
      <x:c r="C1118" s="380" t="n">
        <x:v>1</x:v>
      </x:c>
      <x:c r="D1118" s="380" t="str">
        <x:v>Jan</x:v>
      </x:c>
      <x:c r="E1118" s="380" t="n">
        <x:v>17</x:v>
      </x:c>
      <x:c r="F1118" s="380" t="n">
        <x:v>1</x:v>
      </x:c>
      <x:c r="G1118" s="380" t="n">
        <x:f>--(F1118&lt;='Estimator'!$B$7)</x:f>
        <x:v>1</x:v>
      </x:c>
      <x:c r="H1118" s="381" t="n">
        <x:f>SUMIFS('Climate Data'!$G$7:$G$366,'Climate Data'!$A$7:$A$366,'Estimator'!$B$4,'Climate Data'!$B$7:$B$366,C1118)</x:f>
        <x:v>0.21802002224694106</x:v>
      </x:c>
      <x:c r="I1118" s="382" t="n">
        <x:f>SUMIFS('Climate Data'!$H$7:$H$366,'Climate Data'!$A$7:$A$366,'Estimator'!$B$4,'Climate Data'!$B$7:$B$366,C1118)</x:f>
        <x:v>8.596428571428572</x:v>
      </x:c>
      <x:c r="J1118" s="381" t="n">
        <x:f>SUMIFS('Wind Proxy'!$H$8:$H$19,'Wind Proxy'!$A$8:$A$19,'Estimator'!$B$4,'Wind Proxy'!$B$8:$B$19,C1118)</x:f>
        <x:v>0.12544802867383514</x:v>
      </x:c>
    </x:row>
    <x:row r="1119">
      <x:c r="A1119" s="379" t="n">
        <x:v>46770</x:v>
      </x:c>
      <x:c r="B1119" s="380" t="n">
        <x:v>2028</x:v>
      </x:c>
      <x:c r="C1119" s="380" t="n">
        <x:v>1</x:v>
      </x:c>
      <x:c r="D1119" s="380" t="str">
        <x:v>Jan</x:v>
      </x:c>
      <x:c r="E1119" s="380" t="n">
        <x:v>18</x:v>
      </x:c>
      <x:c r="F1119" s="380" t="n">
        <x:v>2</x:v>
      </x:c>
      <x:c r="G1119" s="380" t="n">
        <x:f>--(F1119&lt;='Estimator'!$B$7)</x:f>
        <x:v>1</x:v>
      </x:c>
      <x:c r="H1119" s="381" t="n">
        <x:f>SUMIFS('Climate Data'!$G$7:$G$366,'Climate Data'!$A$7:$A$366,'Estimator'!$B$4,'Climate Data'!$B$7:$B$366,C1119)</x:f>
        <x:v>0.21802002224694106</x:v>
      </x:c>
      <x:c r="I1119" s="382" t="n">
        <x:f>SUMIFS('Climate Data'!$H$7:$H$366,'Climate Data'!$A$7:$A$366,'Estimator'!$B$4,'Climate Data'!$B$7:$B$366,C1119)</x:f>
        <x:v>8.596428571428572</x:v>
      </x:c>
      <x:c r="J1119" s="381" t="n">
        <x:f>SUMIFS('Wind Proxy'!$H$8:$H$19,'Wind Proxy'!$A$8:$A$19,'Estimator'!$B$4,'Wind Proxy'!$B$8:$B$19,C1119)</x:f>
        <x:v>0.12544802867383514</x:v>
      </x:c>
    </x:row>
    <x:row r="1120">
      <x:c r="A1120" s="379" t="n">
        <x:v>46771</x:v>
      </x:c>
      <x:c r="B1120" s="380" t="n">
        <x:v>2028</x:v>
      </x:c>
      <x:c r="C1120" s="380" t="n">
        <x:v>1</x:v>
      </x:c>
      <x:c r="D1120" s="380" t="str">
        <x:v>Jan</x:v>
      </x:c>
      <x:c r="E1120" s="380" t="n">
        <x:v>19</x:v>
      </x:c>
      <x:c r="F1120" s="380" t="n">
        <x:v>3</x:v>
      </x:c>
      <x:c r="G1120" s="380" t="n">
        <x:f>--(F1120&lt;='Estimator'!$B$7)</x:f>
        <x:v>1</x:v>
      </x:c>
      <x:c r="H1120" s="381" t="n">
        <x:f>SUMIFS('Climate Data'!$G$7:$G$366,'Climate Data'!$A$7:$A$366,'Estimator'!$B$4,'Climate Data'!$B$7:$B$366,C1120)</x:f>
        <x:v>0.21802002224694106</x:v>
      </x:c>
      <x:c r="I1120" s="382" t="n">
        <x:f>SUMIFS('Climate Data'!$H$7:$H$366,'Climate Data'!$A$7:$A$366,'Estimator'!$B$4,'Climate Data'!$B$7:$B$366,C1120)</x:f>
        <x:v>8.596428571428572</x:v>
      </x:c>
      <x:c r="J1120" s="381" t="n">
        <x:f>SUMIFS('Wind Proxy'!$H$8:$H$19,'Wind Proxy'!$A$8:$A$19,'Estimator'!$B$4,'Wind Proxy'!$B$8:$B$19,C1120)</x:f>
        <x:v>0.12544802867383514</x:v>
      </x:c>
    </x:row>
    <x:row r="1121">
      <x:c r="A1121" s="379" t="n">
        <x:v>46772</x:v>
      </x:c>
      <x:c r="B1121" s="380" t="n">
        <x:v>2028</x:v>
      </x:c>
      <x:c r="C1121" s="380" t="n">
        <x:v>1</x:v>
      </x:c>
      <x:c r="D1121" s="380" t="str">
        <x:v>Jan</x:v>
      </x:c>
      <x:c r="E1121" s="380" t="n">
        <x:v>20</x:v>
      </x:c>
      <x:c r="F1121" s="380" t="n">
        <x:v>4</x:v>
      </x:c>
      <x:c r="G1121" s="380" t="n">
        <x:f>--(F1121&lt;='Estimator'!$B$7)</x:f>
        <x:v>1</x:v>
      </x:c>
      <x:c r="H1121" s="381" t="n">
        <x:f>SUMIFS('Climate Data'!$G$7:$G$366,'Climate Data'!$A$7:$A$366,'Estimator'!$B$4,'Climate Data'!$B$7:$B$366,C1121)</x:f>
        <x:v>0.21802002224694106</x:v>
      </x:c>
      <x:c r="I1121" s="382" t="n">
        <x:f>SUMIFS('Climate Data'!$H$7:$H$366,'Climate Data'!$A$7:$A$366,'Estimator'!$B$4,'Climate Data'!$B$7:$B$366,C1121)</x:f>
        <x:v>8.596428571428572</x:v>
      </x:c>
      <x:c r="J1121" s="381" t="n">
        <x:f>SUMIFS('Wind Proxy'!$H$8:$H$19,'Wind Proxy'!$A$8:$A$19,'Estimator'!$B$4,'Wind Proxy'!$B$8:$B$19,C1121)</x:f>
        <x:v>0.12544802867383514</x:v>
      </x:c>
    </x:row>
    <x:row r="1122">
      <x:c r="A1122" s="379" t="n">
        <x:v>46773</x:v>
      </x:c>
      <x:c r="B1122" s="380" t="n">
        <x:v>2028</x:v>
      </x:c>
      <x:c r="C1122" s="380" t="n">
        <x:v>1</x:v>
      </x:c>
      <x:c r="D1122" s="380" t="str">
        <x:v>Jan</x:v>
      </x:c>
      <x:c r="E1122" s="380" t="n">
        <x:v>21</x:v>
      </x:c>
      <x:c r="F1122" s="380" t="n">
        <x:v>5</x:v>
      </x:c>
      <x:c r="G1122" s="380" t="n">
        <x:f>--(F1122&lt;='Estimator'!$B$7)</x:f>
        <x:v>1</x:v>
      </x:c>
      <x:c r="H1122" s="381" t="n">
        <x:f>SUMIFS('Climate Data'!$G$7:$G$366,'Climate Data'!$A$7:$A$366,'Estimator'!$B$4,'Climate Data'!$B$7:$B$366,C1122)</x:f>
        <x:v>0.21802002224694106</x:v>
      </x:c>
      <x:c r="I1122" s="382" t="n">
        <x:f>SUMIFS('Climate Data'!$H$7:$H$366,'Climate Data'!$A$7:$A$366,'Estimator'!$B$4,'Climate Data'!$B$7:$B$366,C1122)</x:f>
        <x:v>8.596428571428572</x:v>
      </x:c>
      <x:c r="J1122" s="381" t="n">
        <x:f>SUMIFS('Wind Proxy'!$H$8:$H$19,'Wind Proxy'!$A$8:$A$19,'Estimator'!$B$4,'Wind Proxy'!$B$8:$B$19,C1122)</x:f>
        <x:v>0.12544802867383514</x:v>
      </x:c>
    </x:row>
    <x:row r="1123">
      <x:c r="A1123" s="379" t="n">
        <x:v>46774</x:v>
      </x:c>
      <x:c r="B1123" s="380" t="n">
        <x:v>2028</x:v>
      </x:c>
      <x:c r="C1123" s="380" t="n">
        <x:v>1</x:v>
      </x:c>
      <x:c r="D1123" s="380" t="str">
        <x:v>Jan</x:v>
      </x:c>
      <x:c r="E1123" s="380" t="n">
        <x:v>22</x:v>
      </x:c>
      <x:c r="F1123" s="380" t="n">
        <x:v>6</x:v>
      </x:c>
      <x:c r="G1123" s="380" t="n">
        <x:f>--(F1123&lt;='Estimator'!$B$7)</x:f>
        <x:v>0</x:v>
      </x:c>
      <x:c r="H1123" s="381" t="n">
        <x:f>SUMIFS('Climate Data'!$G$7:$G$366,'Climate Data'!$A$7:$A$366,'Estimator'!$B$4,'Climate Data'!$B$7:$B$366,C1123)</x:f>
        <x:v>0.21802002224694106</x:v>
      </x:c>
      <x:c r="I1123" s="382" t="n">
        <x:f>SUMIFS('Climate Data'!$H$7:$H$366,'Climate Data'!$A$7:$A$366,'Estimator'!$B$4,'Climate Data'!$B$7:$B$366,C1123)</x:f>
        <x:v>8.596428571428572</x:v>
      </x:c>
      <x:c r="J1123" s="381" t="n">
        <x:f>SUMIFS('Wind Proxy'!$H$8:$H$19,'Wind Proxy'!$A$8:$A$19,'Estimator'!$B$4,'Wind Proxy'!$B$8:$B$19,C1123)</x:f>
        <x:v>0.12544802867383514</x:v>
      </x:c>
    </x:row>
    <x:row r="1124">
      <x:c r="A1124" s="379" t="n">
        <x:v>46775</x:v>
      </x:c>
      <x:c r="B1124" s="380" t="n">
        <x:v>2028</x:v>
      </x:c>
      <x:c r="C1124" s="380" t="n">
        <x:v>1</x:v>
      </x:c>
      <x:c r="D1124" s="380" t="str">
        <x:v>Jan</x:v>
      </x:c>
      <x:c r="E1124" s="380" t="n">
        <x:v>23</x:v>
      </x:c>
      <x:c r="F1124" s="380" t="n">
        <x:v>7</x:v>
      </x:c>
      <x:c r="G1124" s="380" t="n">
        <x:f>--(F1124&lt;='Estimator'!$B$7)</x:f>
        <x:v>0</x:v>
      </x:c>
      <x:c r="H1124" s="381" t="n">
        <x:f>SUMIFS('Climate Data'!$G$7:$G$366,'Climate Data'!$A$7:$A$366,'Estimator'!$B$4,'Climate Data'!$B$7:$B$366,C1124)</x:f>
        <x:v>0.21802002224694106</x:v>
      </x:c>
      <x:c r="I1124" s="382" t="n">
        <x:f>SUMIFS('Climate Data'!$H$7:$H$366,'Climate Data'!$A$7:$A$366,'Estimator'!$B$4,'Climate Data'!$B$7:$B$366,C1124)</x:f>
        <x:v>8.596428571428572</x:v>
      </x:c>
      <x:c r="J1124" s="381" t="n">
        <x:f>SUMIFS('Wind Proxy'!$H$8:$H$19,'Wind Proxy'!$A$8:$A$19,'Estimator'!$B$4,'Wind Proxy'!$B$8:$B$19,C1124)</x:f>
        <x:v>0.12544802867383514</x:v>
      </x:c>
    </x:row>
    <x:row r="1125">
      <x:c r="A1125" s="379" t="n">
        <x:v>46776</x:v>
      </x:c>
      <x:c r="B1125" s="380" t="n">
        <x:v>2028</x:v>
      </x:c>
      <x:c r="C1125" s="380" t="n">
        <x:v>1</x:v>
      </x:c>
      <x:c r="D1125" s="380" t="str">
        <x:v>Jan</x:v>
      </x:c>
      <x:c r="E1125" s="380" t="n">
        <x:v>24</x:v>
      </x:c>
      <x:c r="F1125" s="380" t="n">
        <x:v>1</x:v>
      </x:c>
      <x:c r="G1125" s="380" t="n">
        <x:f>--(F1125&lt;='Estimator'!$B$7)</x:f>
        <x:v>1</x:v>
      </x:c>
      <x:c r="H1125" s="381" t="n">
        <x:f>SUMIFS('Climate Data'!$G$7:$G$366,'Climate Data'!$A$7:$A$366,'Estimator'!$B$4,'Climate Data'!$B$7:$B$366,C1125)</x:f>
        <x:v>0.21802002224694106</x:v>
      </x:c>
      <x:c r="I1125" s="382" t="n">
        <x:f>SUMIFS('Climate Data'!$H$7:$H$366,'Climate Data'!$A$7:$A$366,'Estimator'!$B$4,'Climate Data'!$B$7:$B$366,C1125)</x:f>
        <x:v>8.596428571428572</x:v>
      </x:c>
      <x:c r="J1125" s="381" t="n">
        <x:f>SUMIFS('Wind Proxy'!$H$8:$H$19,'Wind Proxy'!$A$8:$A$19,'Estimator'!$B$4,'Wind Proxy'!$B$8:$B$19,C1125)</x:f>
        <x:v>0.12544802867383514</x:v>
      </x:c>
    </x:row>
    <x:row r="1126">
      <x:c r="A1126" s="379" t="n">
        <x:v>46777</x:v>
      </x:c>
      <x:c r="B1126" s="380" t="n">
        <x:v>2028</x:v>
      </x:c>
      <x:c r="C1126" s="380" t="n">
        <x:v>1</x:v>
      </x:c>
      <x:c r="D1126" s="380" t="str">
        <x:v>Jan</x:v>
      </x:c>
      <x:c r="E1126" s="380" t="n">
        <x:v>25</x:v>
      </x:c>
      <x:c r="F1126" s="380" t="n">
        <x:v>2</x:v>
      </x:c>
      <x:c r="G1126" s="380" t="n">
        <x:f>--(F1126&lt;='Estimator'!$B$7)</x:f>
        <x:v>1</x:v>
      </x:c>
      <x:c r="H1126" s="381" t="n">
        <x:f>SUMIFS('Climate Data'!$G$7:$G$366,'Climate Data'!$A$7:$A$366,'Estimator'!$B$4,'Climate Data'!$B$7:$B$366,C1126)</x:f>
        <x:v>0.21802002224694106</x:v>
      </x:c>
      <x:c r="I1126" s="382" t="n">
        <x:f>SUMIFS('Climate Data'!$H$7:$H$366,'Climate Data'!$A$7:$A$366,'Estimator'!$B$4,'Climate Data'!$B$7:$B$366,C1126)</x:f>
        <x:v>8.596428571428572</x:v>
      </x:c>
      <x:c r="J1126" s="381" t="n">
        <x:f>SUMIFS('Wind Proxy'!$H$8:$H$19,'Wind Proxy'!$A$8:$A$19,'Estimator'!$B$4,'Wind Proxy'!$B$8:$B$19,C1126)</x:f>
        <x:v>0.12544802867383514</x:v>
      </x:c>
    </x:row>
    <x:row r="1127">
      <x:c r="A1127" s="379" t="n">
        <x:v>46778</x:v>
      </x:c>
      <x:c r="B1127" s="380" t="n">
        <x:v>2028</x:v>
      </x:c>
      <x:c r="C1127" s="380" t="n">
        <x:v>1</x:v>
      </x:c>
      <x:c r="D1127" s="380" t="str">
        <x:v>Jan</x:v>
      </x:c>
      <x:c r="E1127" s="380" t="n">
        <x:v>26</x:v>
      </x:c>
      <x:c r="F1127" s="380" t="n">
        <x:v>3</x:v>
      </x:c>
      <x:c r="G1127" s="380" t="n">
        <x:f>--(F1127&lt;='Estimator'!$B$7)</x:f>
        <x:v>1</x:v>
      </x:c>
      <x:c r="H1127" s="381" t="n">
        <x:f>SUMIFS('Climate Data'!$G$7:$G$366,'Climate Data'!$A$7:$A$366,'Estimator'!$B$4,'Climate Data'!$B$7:$B$366,C1127)</x:f>
        <x:v>0.21802002224694106</x:v>
      </x:c>
      <x:c r="I1127" s="382" t="n">
        <x:f>SUMIFS('Climate Data'!$H$7:$H$366,'Climate Data'!$A$7:$A$366,'Estimator'!$B$4,'Climate Data'!$B$7:$B$366,C1127)</x:f>
        <x:v>8.596428571428572</x:v>
      </x:c>
      <x:c r="J1127" s="381" t="n">
        <x:f>SUMIFS('Wind Proxy'!$H$8:$H$19,'Wind Proxy'!$A$8:$A$19,'Estimator'!$B$4,'Wind Proxy'!$B$8:$B$19,C1127)</x:f>
        <x:v>0.12544802867383514</x:v>
      </x:c>
    </x:row>
    <x:row r="1128">
      <x:c r="A1128" s="379" t="n">
        <x:v>46779</x:v>
      </x:c>
      <x:c r="B1128" s="380" t="n">
        <x:v>2028</x:v>
      </x:c>
      <x:c r="C1128" s="380" t="n">
        <x:v>1</x:v>
      </x:c>
      <x:c r="D1128" s="380" t="str">
        <x:v>Jan</x:v>
      </x:c>
      <x:c r="E1128" s="380" t="n">
        <x:v>27</x:v>
      </x:c>
      <x:c r="F1128" s="380" t="n">
        <x:v>4</x:v>
      </x:c>
      <x:c r="G1128" s="380" t="n">
        <x:f>--(F1128&lt;='Estimator'!$B$7)</x:f>
        <x:v>1</x:v>
      </x:c>
      <x:c r="H1128" s="381" t="n">
        <x:f>SUMIFS('Climate Data'!$G$7:$G$366,'Climate Data'!$A$7:$A$366,'Estimator'!$B$4,'Climate Data'!$B$7:$B$366,C1128)</x:f>
        <x:v>0.21802002224694106</x:v>
      </x:c>
      <x:c r="I1128" s="382" t="n">
        <x:f>SUMIFS('Climate Data'!$H$7:$H$366,'Climate Data'!$A$7:$A$366,'Estimator'!$B$4,'Climate Data'!$B$7:$B$366,C1128)</x:f>
        <x:v>8.596428571428572</x:v>
      </x:c>
      <x:c r="J1128" s="381" t="n">
        <x:f>SUMIFS('Wind Proxy'!$H$8:$H$19,'Wind Proxy'!$A$8:$A$19,'Estimator'!$B$4,'Wind Proxy'!$B$8:$B$19,C1128)</x:f>
        <x:v>0.12544802867383514</x:v>
      </x:c>
    </x:row>
    <x:row r="1129">
      <x:c r="A1129" s="379" t="n">
        <x:v>46780</x:v>
      </x:c>
      <x:c r="B1129" s="380" t="n">
        <x:v>2028</x:v>
      </x:c>
      <x:c r="C1129" s="380" t="n">
        <x:v>1</x:v>
      </x:c>
      <x:c r="D1129" s="380" t="str">
        <x:v>Jan</x:v>
      </x:c>
      <x:c r="E1129" s="380" t="n">
        <x:v>28</x:v>
      </x:c>
      <x:c r="F1129" s="380" t="n">
        <x:v>5</x:v>
      </x:c>
      <x:c r="G1129" s="380" t="n">
        <x:f>--(F1129&lt;='Estimator'!$B$7)</x:f>
        <x:v>1</x:v>
      </x:c>
      <x:c r="H1129" s="381" t="n">
        <x:f>SUMIFS('Climate Data'!$G$7:$G$366,'Climate Data'!$A$7:$A$366,'Estimator'!$B$4,'Climate Data'!$B$7:$B$366,C1129)</x:f>
        <x:v>0.21802002224694106</x:v>
      </x:c>
      <x:c r="I1129" s="382" t="n">
        <x:f>SUMIFS('Climate Data'!$H$7:$H$366,'Climate Data'!$A$7:$A$366,'Estimator'!$B$4,'Climate Data'!$B$7:$B$366,C1129)</x:f>
        <x:v>8.596428571428572</x:v>
      </x:c>
      <x:c r="J1129" s="381" t="n">
        <x:f>SUMIFS('Wind Proxy'!$H$8:$H$19,'Wind Proxy'!$A$8:$A$19,'Estimator'!$B$4,'Wind Proxy'!$B$8:$B$19,C1129)</x:f>
        <x:v>0.12544802867383514</x:v>
      </x:c>
    </x:row>
    <x:row r="1130">
      <x:c r="A1130" s="379" t="n">
        <x:v>46781</x:v>
      </x:c>
      <x:c r="B1130" s="380" t="n">
        <x:v>2028</x:v>
      </x:c>
      <x:c r="C1130" s="380" t="n">
        <x:v>1</x:v>
      </x:c>
      <x:c r="D1130" s="380" t="str">
        <x:v>Jan</x:v>
      </x:c>
      <x:c r="E1130" s="380" t="n">
        <x:v>29</x:v>
      </x:c>
      <x:c r="F1130" s="380" t="n">
        <x:v>6</x:v>
      </x:c>
      <x:c r="G1130" s="380" t="n">
        <x:f>--(F1130&lt;='Estimator'!$B$7)</x:f>
        <x:v>0</x:v>
      </x:c>
      <x:c r="H1130" s="381" t="n">
        <x:f>SUMIFS('Climate Data'!$G$7:$G$366,'Climate Data'!$A$7:$A$366,'Estimator'!$B$4,'Climate Data'!$B$7:$B$366,C1130)</x:f>
        <x:v>0.21802002224694106</x:v>
      </x:c>
      <x:c r="I1130" s="382" t="n">
        <x:f>SUMIFS('Climate Data'!$H$7:$H$366,'Climate Data'!$A$7:$A$366,'Estimator'!$B$4,'Climate Data'!$B$7:$B$366,C1130)</x:f>
        <x:v>8.596428571428572</x:v>
      </x:c>
      <x:c r="J1130" s="381" t="n">
        <x:f>SUMIFS('Wind Proxy'!$H$8:$H$19,'Wind Proxy'!$A$8:$A$19,'Estimator'!$B$4,'Wind Proxy'!$B$8:$B$19,C1130)</x:f>
        <x:v>0.12544802867383514</x:v>
      </x:c>
    </x:row>
    <x:row r="1131">
      <x:c r="A1131" s="379" t="n">
        <x:v>46782</x:v>
      </x:c>
      <x:c r="B1131" s="380" t="n">
        <x:v>2028</x:v>
      </x:c>
      <x:c r="C1131" s="380" t="n">
        <x:v>1</x:v>
      </x:c>
      <x:c r="D1131" s="380" t="str">
        <x:v>Jan</x:v>
      </x:c>
      <x:c r="E1131" s="380" t="n">
        <x:v>30</x:v>
      </x:c>
      <x:c r="F1131" s="380" t="n">
        <x:v>7</x:v>
      </x:c>
      <x:c r="G1131" s="380" t="n">
        <x:f>--(F1131&lt;='Estimator'!$B$7)</x:f>
        <x:v>0</x:v>
      </x:c>
      <x:c r="H1131" s="381" t="n">
        <x:f>SUMIFS('Climate Data'!$G$7:$G$366,'Climate Data'!$A$7:$A$366,'Estimator'!$B$4,'Climate Data'!$B$7:$B$366,C1131)</x:f>
        <x:v>0.21802002224694106</x:v>
      </x:c>
      <x:c r="I1131" s="382" t="n">
        <x:f>SUMIFS('Climate Data'!$H$7:$H$366,'Climate Data'!$A$7:$A$366,'Estimator'!$B$4,'Climate Data'!$B$7:$B$366,C1131)</x:f>
        <x:v>8.596428571428572</x:v>
      </x:c>
      <x:c r="J1131" s="381" t="n">
        <x:f>SUMIFS('Wind Proxy'!$H$8:$H$19,'Wind Proxy'!$A$8:$A$19,'Estimator'!$B$4,'Wind Proxy'!$B$8:$B$19,C1131)</x:f>
        <x:v>0.12544802867383514</x:v>
      </x:c>
    </x:row>
    <x:row r="1132">
      <x:c r="A1132" s="379" t="n">
        <x:v>46783</x:v>
      </x:c>
      <x:c r="B1132" s="380" t="n">
        <x:v>2028</x:v>
      </x:c>
      <x:c r="C1132" s="380" t="n">
        <x:v>1</x:v>
      </x:c>
      <x:c r="D1132" s="380" t="str">
        <x:v>Jan</x:v>
      </x:c>
      <x:c r="E1132" s="380" t="n">
        <x:v>31</x:v>
      </x:c>
      <x:c r="F1132" s="380" t="n">
        <x:v>1</x:v>
      </x:c>
      <x:c r="G1132" s="380" t="n">
        <x:f>--(F1132&lt;='Estimator'!$B$7)</x:f>
        <x:v>1</x:v>
      </x:c>
      <x:c r="H1132" s="381" t="n">
        <x:f>SUMIFS('Climate Data'!$G$7:$G$366,'Climate Data'!$A$7:$A$366,'Estimator'!$B$4,'Climate Data'!$B$7:$B$366,C1132)</x:f>
        <x:v>0.21802002224694106</x:v>
      </x:c>
      <x:c r="I1132" s="382" t="n">
        <x:f>SUMIFS('Climate Data'!$H$7:$H$366,'Climate Data'!$A$7:$A$366,'Estimator'!$B$4,'Climate Data'!$B$7:$B$366,C1132)</x:f>
        <x:v>8.596428571428572</x:v>
      </x:c>
      <x:c r="J1132" s="381" t="n">
        <x:f>SUMIFS('Wind Proxy'!$H$8:$H$19,'Wind Proxy'!$A$8:$A$19,'Estimator'!$B$4,'Wind Proxy'!$B$8:$B$19,C1132)</x:f>
        <x:v>0.12544802867383514</x:v>
      </x:c>
    </x:row>
    <x:row r="1133">
      <x:c r="A1133" s="379" t="n">
        <x:v>46784</x:v>
      </x:c>
      <x:c r="B1133" s="380" t="n">
        <x:v>2028</x:v>
      </x:c>
      <x:c r="C1133" s="380" t="n">
        <x:v>2</x:v>
      </x:c>
      <x:c r="D1133" s="380" t="str">
        <x:v>Feb</x:v>
      </x:c>
      <x:c r="E1133" s="380" t="n">
        <x:v>1</x:v>
      </x:c>
      <x:c r="F1133" s="380" t="n">
        <x:v>2</x:v>
      </x:c>
      <x:c r="G1133" s="380" t="n">
        <x:f>--(F1133&lt;='Estimator'!$B$7)</x:f>
        <x:v>1</x:v>
      </x:c>
      <x:c r="H1133" s="381" t="n">
        <x:f>SUMIFS('Climate Data'!$G$7:$G$366,'Climate Data'!$A$7:$A$366,'Estimator'!$B$4,'Climate Data'!$B$7:$B$366,C1133)</x:f>
        <x:v>0.23056278464541316</x:v>
      </x:c>
      <x:c r="I1133" s="382" t="n">
        <x:f>SUMIFS('Climate Data'!$H$7:$H$366,'Climate Data'!$A$7:$A$366,'Estimator'!$B$4,'Climate Data'!$B$7:$B$366,C1133)</x:f>
        <x:v>9.682010582010582</x:v>
      </x:c>
      <x:c r="J1133" s="381" t="n">
        <x:f>SUMIFS('Wind Proxy'!$H$8:$H$19,'Wind Proxy'!$A$8:$A$19,'Estimator'!$B$4,'Wind Proxy'!$B$8:$B$19,C1133)</x:f>
        <x:v>0.13757861635220128</x:v>
      </x:c>
    </x:row>
    <x:row r="1134">
      <x:c r="A1134" s="379" t="n">
        <x:v>46785</x:v>
      </x:c>
      <x:c r="B1134" s="380" t="n">
        <x:v>2028</x:v>
      </x:c>
      <x:c r="C1134" s="380" t="n">
        <x:v>2</x:v>
      </x:c>
      <x:c r="D1134" s="380" t="str">
        <x:v>Feb</x:v>
      </x:c>
      <x:c r="E1134" s="380" t="n">
        <x:v>2</x:v>
      </x:c>
      <x:c r="F1134" s="380" t="n">
        <x:v>3</x:v>
      </x:c>
      <x:c r="G1134" s="380" t="n">
        <x:f>--(F1134&lt;='Estimator'!$B$7)</x:f>
        <x:v>1</x:v>
      </x:c>
      <x:c r="H1134" s="381" t="n">
        <x:f>SUMIFS('Climate Data'!$G$7:$G$366,'Climate Data'!$A$7:$A$366,'Estimator'!$B$4,'Climate Data'!$B$7:$B$366,C1134)</x:f>
        <x:v>0.23056278464541316</x:v>
      </x:c>
      <x:c r="I1134" s="382" t="n">
        <x:f>SUMIFS('Climate Data'!$H$7:$H$366,'Climate Data'!$A$7:$A$366,'Estimator'!$B$4,'Climate Data'!$B$7:$B$366,C1134)</x:f>
        <x:v>9.682010582010582</x:v>
      </x:c>
      <x:c r="J1134" s="381" t="n">
        <x:f>SUMIFS('Wind Proxy'!$H$8:$H$19,'Wind Proxy'!$A$8:$A$19,'Estimator'!$B$4,'Wind Proxy'!$B$8:$B$19,C1134)</x:f>
        <x:v>0.13757861635220128</x:v>
      </x:c>
    </x:row>
    <x:row r="1135">
      <x:c r="A1135" s="379" t="n">
        <x:v>46786</x:v>
      </x:c>
      <x:c r="B1135" s="380" t="n">
        <x:v>2028</x:v>
      </x:c>
      <x:c r="C1135" s="380" t="n">
        <x:v>2</x:v>
      </x:c>
      <x:c r="D1135" s="380" t="str">
        <x:v>Feb</x:v>
      </x:c>
      <x:c r="E1135" s="380" t="n">
        <x:v>3</x:v>
      </x:c>
      <x:c r="F1135" s="380" t="n">
        <x:v>4</x:v>
      </x:c>
      <x:c r="G1135" s="380" t="n">
        <x:f>--(F1135&lt;='Estimator'!$B$7)</x:f>
        <x:v>1</x:v>
      </x:c>
      <x:c r="H1135" s="381" t="n">
        <x:f>SUMIFS('Climate Data'!$G$7:$G$366,'Climate Data'!$A$7:$A$366,'Estimator'!$B$4,'Climate Data'!$B$7:$B$366,C1135)</x:f>
        <x:v>0.23056278464541316</x:v>
      </x:c>
      <x:c r="I1135" s="382" t="n">
        <x:f>SUMIFS('Climate Data'!$H$7:$H$366,'Climate Data'!$A$7:$A$366,'Estimator'!$B$4,'Climate Data'!$B$7:$B$366,C1135)</x:f>
        <x:v>9.682010582010582</x:v>
      </x:c>
      <x:c r="J1135" s="381" t="n">
        <x:f>SUMIFS('Wind Proxy'!$H$8:$H$19,'Wind Proxy'!$A$8:$A$19,'Estimator'!$B$4,'Wind Proxy'!$B$8:$B$19,C1135)</x:f>
        <x:v>0.13757861635220128</x:v>
      </x:c>
    </x:row>
    <x:row r="1136">
      <x:c r="A1136" s="379" t="n">
        <x:v>46787</x:v>
      </x:c>
      <x:c r="B1136" s="380" t="n">
        <x:v>2028</x:v>
      </x:c>
      <x:c r="C1136" s="380" t="n">
        <x:v>2</x:v>
      </x:c>
      <x:c r="D1136" s="380" t="str">
        <x:v>Feb</x:v>
      </x:c>
      <x:c r="E1136" s="380" t="n">
        <x:v>4</x:v>
      </x:c>
      <x:c r="F1136" s="380" t="n">
        <x:v>5</x:v>
      </x:c>
      <x:c r="G1136" s="380" t="n">
        <x:f>--(F1136&lt;='Estimator'!$B$7)</x:f>
        <x:v>1</x:v>
      </x:c>
      <x:c r="H1136" s="381" t="n">
        <x:f>SUMIFS('Climate Data'!$G$7:$G$366,'Climate Data'!$A$7:$A$366,'Estimator'!$B$4,'Climate Data'!$B$7:$B$366,C1136)</x:f>
        <x:v>0.23056278464541316</x:v>
      </x:c>
      <x:c r="I1136" s="382" t="n">
        <x:f>SUMIFS('Climate Data'!$H$7:$H$366,'Climate Data'!$A$7:$A$366,'Estimator'!$B$4,'Climate Data'!$B$7:$B$366,C1136)</x:f>
        <x:v>9.682010582010582</x:v>
      </x:c>
      <x:c r="J1136" s="381" t="n">
        <x:f>SUMIFS('Wind Proxy'!$H$8:$H$19,'Wind Proxy'!$A$8:$A$19,'Estimator'!$B$4,'Wind Proxy'!$B$8:$B$19,C1136)</x:f>
        <x:v>0.13757861635220128</x:v>
      </x:c>
    </x:row>
    <x:row r="1137">
      <x:c r="A1137" s="379" t="n">
        <x:v>46788</x:v>
      </x:c>
      <x:c r="B1137" s="380" t="n">
        <x:v>2028</x:v>
      </x:c>
      <x:c r="C1137" s="380" t="n">
        <x:v>2</x:v>
      </x:c>
      <x:c r="D1137" s="380" t="str">
        <x:v>Feb</x:v>
      </x:c>
      <x:c r="E1137" s="380" t="n">
        <x:v>5</x:v>
      </x:c>
      <x:c r="F1137" s="380" t="n">
        <x:v>6</x:v>
      </x:c>
      <x:c r="G1137" s="380" t="n">
        <x:f>--(F1137&lt;='Estimator'!$B$7)</x:f>
        <x:v>0</x:v>
      </x:c>
      <x:c r="H1137" s="381" t="n">
        <x:f>SUMIFS('Climate Data'!$G$7:$G$366,'Climate Data'!$A$7:$A$366,'Estimator'!$B$4,'Climate Data'!$B$7:$B$366,C1137)</x:f>
        <x:v>0.23056278464541316</x:v>
      </x:c>
      <x:c r="I1137" s="382" t="n">
        <x:f>SUMIFS('Climate Data'!$H$7:$H$366,'Climate Data'!$A$7:$A$366,'Estimator'!$B$4,'Climate Data'!$B$7:$B$366,C1137)</x:f>
        <x:v>9.682010582010582</x:v>
      </x:c>
      <x:c r="J1137" s="381" t="n">
        <x:f>SUMIFS('Wind Proxy'!$H$8:$H$19,'Wind Proxy'!$A$8:$A$19,'Estimator'!$B$4,'Wind Proxy'!$B$8:$B$19,C1137)</x:f>
        <x:v>0.13757861635220128</x:v>
      </x:c>
    </x:row>
    <x:row r="1138">
      <x:c r="A1138" s="379" t="n">
        <x:v>46789</x:v>
      </x:c>
      <x:c r="B1138" s="380" t="n">
        <x:v>2028</x:v>
      </x:c>
      <x:c r="C1138" s="380" t="n">
        <x:v>2</x:v>
      </x:c>
      <x:c r="D1138" s="380" t="str">
        <x:v>Feb</x:v>
      </x:c>
      <x:c r="E1138" s="380" t="n">
        <x:v>6</x:v>
      </x:c>
      <x:c r="F1138" s="380" t="n">
        <x:v>7</x:v>
      </x:c>
      <x:c r="G1138" s="380" t="n">
        <x:f>--(F1138&lt;='Estimator'!$B$7)</x:f>
        <x:v>0</x:v>
      </x:c>
      <x:c r="H1138" s="381" t="n">
        <x:f>SUMIFS('Climate Data'!$G$7:$G$366,'Climate Data'!$A$7:$A$366,'Estimator'!$B$4,'Climate Data'!$B$7:$B$366,C1138)</x:f>
        <x:v>0.23056278464541316</x:v>
      </x:c>
      <x:c r="I1138" s="382" t="n">
        <x:f>SUMIFS('Climate Data'!$H$7:$H$366,'Climate Data'!$A$7:$A$366,'Estimator'!$B$4,'Climate Data'!$B$7:$B$366,C1138)</x:f>
        <x:v>9.682010582010582</x:v>
      </x:c>
      <x:c r="J1138" s="381" t="n">
        <x:f>SUMIFS('Wind Proxy'!$H$8:$H$19,'Wind Proxy'!$A$8:$A$19,'Estimator'!$B$4,'Wind Proxy'!$B$8:$B$19,C1138)</x:f>
        <x:v>0.13757861635220128</x:v>
      </x:c>
    </x:row>
    <x:row r="1139">
      <x:c r="A1139" s="379" t="n">
        <x:v>46790</x:v>
      </x:c>
      <x:c r="B1139" s="380" t="n">
        <x:v>2028</x:v>
      </x:c>
      <x:c r="C1139" s="380" t="n">
        <x:v>2</x:v>
      </x:c>
      <x:c r="D1139" s="380" t="str">
        <x:v>Feb</x:v>
      </x:c>
      <x:c r="E1139" s="380" t="n">
        <x:v>7</x:v>
      </x:c>
      <x:c r="F1139" s="380" t="n">
        <x:v>1</x:v>
      </x:c>
      <x:c r="G1139" s="380" t="n">
        <x:f>--(F1139&lt;='Estimator'!$B$7)</x:f>
        <x:v>1</x:v>
      </x:c>
      <x:c r="H1139" s="381" t="n">
        <x:f>SUMIFS('Climate Data'!$G$7:$G$366,'Climate Data'!$A$7:$A$366,'Estimator'!$B$4,'Climate Data'!$B$7:$B$366,C1139)</x:f>
        <x:v>0.23056278464541316</x:v>
      </x:c>
      <x:c r="I1139" s="382" t="n">
        <x:f>SUMIFS('Climate Data'!$H$7:$H$366,'Climate Data'!$A$7:$A$366,'Estimator'!$B$4,'Climate Data'!$B$7:$B$366,C1139)</x:f>
        <x:v>9.682010582010582</x:v>
      </x:c>
      <x:c r="J1139" s="381" t="n">
        <x:f>SUMIFS('Wind Proxy'!$H$8:$H$19,'Wind Proxy'!$A$8:$A$19,'Estimator'!$B$4,'Wind Proxy'!$B$8:$B$19,C1139)</x:f>
        <x:v>0.13757861635220128</x:v>
      </x:c>
    </x:row>
    <x:row r="1140">
      <x:c r="A1140" s="379" t="n">
        <x:v>46791</x:v>
      </x:c>
      <x:c r="B1140" s="380" t="n">
        <x:v>2028</x:v>
      </x:c>
      <x:c r="C1140" s="380" t="n">
        <x:v>2</x:v>
      </x:c>
      <x:c r="D1140" s="380" t="str">
        <x:v>Feb</x:v>
      </x:c>
      <x:c r="E1140" s="380" t="n">
        <x:v>8</x:v>
      </x:c>
      <x:c r="F1140" s="380" t="n">
        <x:v>2</x:v>
      </x:c>
      <x:c r="G1140" s="380" t="n">
        <x:f>--(F1140&lt;='Estimator'!$B$7)</x:f>
        <x:v>1</x:v>
      </x:c>
      <x:c r="H1140" s="381" t="n">
        <x:f>SUMIFS('Climate Data'!$G$7:$G$366,'Climate Data'!$A$7:$A$366,'Estimator'!$B$4,'Climate Data'!$B$7:$B$366,C1140)</x:f>
        <x:v>0.23056278464541316</x:v>
      </x:c>
      <x:c r="I1140" s="382" t="n">
        <x:f>SUMIFS('Climate Data'!$H$7:$H$366,'Climate Data'!$A$7:$A$366,'Estimator'!$B$4,'Climate Data'!$B$7:$B$366,C1140)</x:f>
        <x:v>9.682010582010582</x:v>
      </x:c>
      <x:c r="J1140" s="381" t="n">
        <x:f>SUMIFS('Wind Proxy'!$H$8:$H$19,'Wind Proxy'!$A$8:$A$19,'Estimator'!$B$4,'Wind Proxy'!$B$8:$B$19,C1140)</x:f>
        <x:v>0.13757861635220128</x:v>
      </x:c>
    </x:row>
    <x:row r="1141">
      <x:c r="A1141" s="379" t="n">
        <x:v>46792</x:v>
      </x:c>
      <x:c r="B1141" s="380" t="n">
        <x:v>2028</x:v>
      </x:c>
      <x:c r="C1141" s="380" t="n">
        <x:v>2</x:v>
      </x:c>
      <x:c r="D1141" s="380" t="str">
        <x:v>Feb</x:v>
      </x:c>
      <x:c r="E1141" s="380" t="n">
        <x:v>9</x:v>
      </x:c>
      <x:c r="F1141" s="380" t="n">
        <x:v>3</x:v>
      </x:c>
      <x:c r="G1141" s="380" t="n">
        <x:f>--(F1141&lt;='Estimator'!$B$7)</x:f>
        <x:v>1</x:v>
      </x:c>
      <x:c r="H1141" s="381" t="n">
        <x:f>SUMIFS('Climate Data'!$G$7:$G$366,'Climate Data'!$A$7:$A$366,'Estimator'!$B$4,'Climate Data'!$B$7:$B$366,C1141)</x:f>
        <x:v>0.23056278464541316</x:v>
      </x:c>
      <x:c r="I1141" s="382" t="n">
        <x:f>SUMIFS('Climate Data'!$H$7:$H$366,'Climate Data'!$A$7:$A$366,'Estimator'!$B$4,'Climate Data'!$B$7:$B$366,C1141)</x:f>
        <x:v>9.682010582010582</x:v>
      </x:c>
      <x:c r="J1141" s="381" t="n">
        <x:f>SUMIFS('Wind Proxy'!$H$8:$H$19,'Wind Proxy'!$A$8:$A$19,'Estimator'!$B$4,'Wind Proxy'!$B$8:$B$19,C1141)</x:f>
        <x:v>0.13757861635220128</x:v>
      </x:c>
    </x:row>
    <x:row r="1142">
      <x:c r="A1142" s="379" t="n">
        <x:v>46793</x:v>
      </x:c>
      <x:c r="B1142" s="380" t="n">
        <x:v>2028</x:v>
      </x:c>
      <x:c r="C1142" s="380" t="n">
        <x:v>2</x:v>
      </x:c>
      <x:c r="D1142" s="380" t="str">
        <x:v>Feb</x:v>
      </x:c>
      <x:c r="E1142" s="380" t="n">
        <x:v>10</x:v>
      </x:c>
      <x:c r="F1142" s="380" t="n">
        <x:v>4</x:v>
      </x:c>
      <x:c r="G1142" s="380" t="n">
        <x:f>--(F1142&lt;='Estimator'!$B$7)</x:f>
        <x:v>1</x:v>
      </x:c>
      <x:c r="H1142" s="381" t="n">
        <x:f>SUMIFS('Climate Data'!$G$7:$G$366,'Climate Data'!$A$7:$A$366,'Estimator'!$B$4,'Climate Data'!$B$7:$B$366,C1142)</x:f>
        <x:v>0.23056278464541316</x:v>
      </x:c>
      <x:c r="I1142" s="382" t="n">
        <x:f>SUMIFS('Climate Data'!$H$7:$H$366,'Climate Data'!$A$7:$A$366,'Estimator'!$B$4,'Climate Data'!$B$7:$B$366,C1142)</x:f>
        <x:v>9.682010582010582</x:v>
      </x:c>
      <x:c r="J1142" s="381" t="n">
        <x:f>SUMIFS('Wind Proxy'!$H$8:$H$19,'Wind Proxy'!$A$8:$A$19,'Estimator'!$B$4,'Wind Proxy'!$B$8:$B$19,C1142)</x:f>
        <x:v>0.13757861635220128</x:v>
      </x:c>
    </x:row>
    <x:row r="1143">
      <x:c r="A1143" s="379" t="n">
        <x:v>46794</x:v>
      </x:c>
      <x:c r="B1143" s="380" t="n">
        <x:v>2028</x:v>
      </x:c>
      <x:c r="C1143" s="380" t="n">
        <x:v>2</x:v>
      </x:c>
      <x:c r="D1143" s="380" t="str">
        <x:v>Feb</x:v>
      </x:c>
      <x:c r="E1143" s="380" t="n">
        <x:v>11</x:v>
      </x:c>
      <x:c r="F1143" s="380" t="n">
        <x:v>5</x:v>
      </x:c>
      <x:c r="G1143" s="380" t="n">
        <x:f>--(F1143&lt;='Estimator'!$B$7)</x:f>
        <x:v>1</x:v>
      </x:c>
      <x:c r="H1143" s="381" t="n">
        <x:f>SUMIFS('Climate Data'!$G$7:$G$366,'Climate Data'!$A$7:$A$366,'Estimator'!$B$4,'Climate Data'!$B$7:$B$366,C1143)</x:f>
        <x:v>0.23056278464541316</x:v>
      </x:c>
      <x:c r="I1143" s="382" t="n">
        <x:f>SUMIFS('Climate Data'!$H$7:$H$366,'Climate Data'!$A$7:$A$366,'Estimator'!$B$4,'Climate Data'!$B$7:$B$366,C1143)</x:f>
        <x:v>9.682010582010582</x:v>
      </x:c>
      <x:c r="J1143" s="381" t="n">
        <x:f>SUMIFS('Wind Proxy'!$H$8:$H$19,'Wind Proxy'!$A$8:$A$19,'Estimator'!$B$4,'Wind Proxy'!$B$8:$B$19,C1143)</x:f>
        <x:v>0.13757861635220128</x:v>
      </x:c>
    </x:row>
    <x:row r="1144">
      <x:c r="A1144" s="379" t="n">
        <x:v>46795</x:v>
      </x:c>
      <x:c r="B1144" s="380" t="n">
        <x:v>2028</x:v>
      </x:c>
      <x:c r="C1144" s="380" t="n">
        <x:v>2</x:v>
      </x:c>
      <x:c r="D1144" s="380" t="str">
        <x:v>Feb</x:v>
      </x:c>
      <x:c r="E1144" s="380" t="n">
        <x:v>12</x:v>
      </x:c>
      <x:c r="F1144" s="380" t="n">
        <x:v>6</x:v>
      </x:c>
      <x:c r="G1144" s="380" t="n">
        <x:f>--(F1144&lt;='Estimator'!$B$7)</x:f>
        <x:v>0</x:v>
      </x:c>
      <x:c r="H1144" s="381" t="n">
        <x:f>SUMIFS('Climate Data'!$G$7:$G$366,'Climate Data'!$A$7:$A$366,'Estimator'!$B$4,'Climate Data'!$B$7:$B$366,C1144)</x:f>
        <x:v>0.23056278464541316</x:v>
      </x:c>
      <x:c r="I1144" s="382" t="n">
        <x:f>SUMIFS('Climate Data'!$H$7:$H$366,'Climate Data'!$A$7:$A$366,'Estimator'!$B$4,'Climate Data'!$B$7:$B$366,C1144)</x:f>
        <x:v>9.682010582010582</x:v>
      </x:c>
      <x:c r="J1144" s="381" t="n">
        <x:f>SUMIFS('Wind Proxy'!$H$8:$H$19,'Wind Proxy'!$A$8:$A$19,'Estimator'!$B$4,'Wind Proxy'!$B$8:$B$19,C1144)</x:f>
        <x:v>0.13757861635220128</x:v>
      </x:c>
    </x:row>
    <x:row r="1145">
      <x:c r="A1145" s="379" t="n">
        <x:v>46796</x:v>
      </x:c>
      <x:c r="B1145" s="380" t="n">
        <x:v>2028</x:v>
      </x:c>
      <x:c r="C1145" s="380" t="n">
        <x:v>2</x:v>
      </x:c>
      <x:c r="D1145" s="380" t="str">
        <x:v>Feb</x:v>
      </x:c>
      <x:c r="E1145" s="380" t="n">
        <x:v>13</x:v>
      </x:c>
      <x:c r="F1145" s="380" t="n">
        <x:v>7</x:v>
      </x:c>
      <x:c r="G1145" s="380" t="n">
        <x:f>--(F1145&lt;='Estimator'!$B$7)</x:f>
        <x:v>0</x:v>
      </x:c>
      <x:c r="H1145" s="381" t="n">
        <x:f>SUMIFS('Climate Data'!$G$7:$G$366,'Climate Data'!$A$7:$A$366,'Estimator'!$B$4,'Climate Data'!$B$7:$B$366,C1145)</x:f>
        <x:v>0.23056278464541316</x:v>
      </x:c>
      <x:c r="I1145" s="382" t="n">
        <x:f>SUMIFS('Climate Data'!$H$7:$H$366,'Climate Data'!$A$7:$A$366,'Estimator'!$B$4,'Climate Data'!$B$7:$B$366,C1145)</x:f>
        <x:v>9.682010582010582</x:v>
      </x:c>
      <x:c r="J1145" s="381" t="n">
        <x:f>SUMIFS('Wind Proxy'!$H$8:$H$19,'Wind Proxy'!$A$8:$A$19,'Estimator'!$B$4,'Wind Proxy'!$B$8:$B$19,C1145)</x:f>
        <x:v>0.13757861635220128</x:v>
      </x:c>
    </x:row>
    <x:row r="1146">
      <x:c r="A1146" s="379" t="n">
        <x:v>46797</x:v>
      </x:c>
      <x:c r="B1146" s="380" t="n">
        <x:v>2028</x:v>
      </x:c>
      <x:c r="C1146" s="380" t="n">
        <x:v>2</x:v>
      </x:c>
      <x:c r="D1146" s="380" t="str">
        <x:v>Feb</x:v>
      </x:c>
      <x:c r="E1146" s="380" t="n">
        <x:v>14</x:v>
      </x:c>
      <x:c r="F1146" s="380" t="n">
        <x:v>1</x:v>
      </x:c>
      <x:c r="G1146" s="380" t="n">
        <x:f>--(F1146&lt;='Estimator'!$B$7)</x:f>
        <x:v>1</x:v>
      </x:c>
      <x:c r="H1146" s="381" t="n">
        <x:f>SUMIFS('Climate Data'!$G$7:$G$366,'Climate Data'!$A$7:$A$366,'Estimator'!$B$4,'Climate Data'!$B$7:$B$366,C1146)</x:f>
        <x:v>0.23056278464541316</x:v>
      </x:c>
      <x:c r="I1146" s="382" t="n">
        <x:f>SUMIFS('Climate Data'!$H$7:$H$366,'Climate Data'!$A$7:$A$366,'Estimator'!$B$4,'Climate Data'!$B$7:$B$366,C1146)</x:f>
        <x:v>9.682010582010582</x:v>
      </x:c>
      <x:c r="J1146" s="381" t="n">
        <x:f>SUMIFS('Wind Proxy'!$H$8:$H$19,'Wind Proxy'!$A$8:$A$19,'Estimator'!$B$4,'Wind Proxy'!$B$8:$B$19,C1146)</x:f>
        <x:v>0.13757861635220128</x:v>
      </x:c>
    </x:row>
    <x:row r="1147">
      <x:c r="A1147" s="379" t="n">
        <x:v>46798</x:v>
      </x:c>
      <x:c r="B1147" s="380" t="n">
        <x:v>2028</x:v>
      </x:c>
      <x:c r="C1147" s="380" t="n">
        <x:v>2</x:v>
      </x:c>
      <x:c r="D1147" s="380" t="str">
        <x:v>Feb</x:v>
      </x:c>
      <x:c r="E1147" s="380" t="n">
        <x:v>15</x:v>
      </x:c>
      <x:c r="F1147" s="380" t="n">
        <x:v>2</x:v>
      </x:c>
      <x:c r="G1147" s="380" t="n">
        <x:f>--(F1147&lt;='Estimator'!$B$7)</x:f>
        <x:v>1</x:v>
      </x:c>
      <x:c r="H1147" s="381" t="n">
        <x:f>SUMIFS('Climate Data'!$G$7:$G$366,'Climate Data'!$A$7:$A$366,'Estimator'!$B$4,'Climate Data'!$B$7:$B$366,C1147)</x:f>
        <x:v>0.23056278464541316</x:v>
      </x:c>
      <x:c r="I1147" s="382" t="n">
        <x:f>SUMIFS('Climate Data'!$H$7:$H$366,'Climate Data'!$A$7:$A$366,'Estimator'!$B$4,'Climate Data'!$B$7:$B$366,C1147)</x:f>
        <x:v>9.682010582010582</x:v>
      </x:c>
      <x:c r="J1147" s="381" t="n">
        <x:f>SUMIFS('Wind Proxy'!$H$8:$H$19,'Wind Proxy'!$A$8:$A$19,'Estimator'!$B$4,'Wind Proxy'!$B$8:$B$19,C1147)</x:f>
        <x:v>0.13757861635220128</x:v>
      </x:c>
    </x:row>
    <x:row r="1148">
      <x:c r="A1148" s="379" t="n">
        <x:v>46799</x:v>
      </x:c>
      <x:c r="B1148" s="380" t="n">
        <x:v>2028</x:v>
      </x:c>
      <x:c r="C1148" s="380" t="n">
        <x:v>2</x:v>
      </x:c>
      <x:c r="D1148" s="380" t="str">
        <x:v>Feb</x:v>
      </x:c>
      <x:c r="E1148" s="380" t="n">
        <x:v>16</x:v>
      </x:c>
      <x:c r="F1148" s="380" t="n">
        <x:v>3</x:v>
      </x:c>
      <x:c r="G1148" s="380" t="n">
        <x:f>--(F1148&lt;='Estimator'!$B$7)</x:f>
        <x:v>1</x:v>
      </x:c>
      <x:c r="H1148" s="381" t="n">
        <x:f>SUMIFS('Climate Data'!$G$7:$G$366,'Climate Data'!$A$7:$A$366,'Estimator'!$B$4,'Climate Data'!$B$7:$B$366,C1148)</x:f>
        <x:v>0.23056278464541316</x:v>
      </x:c>
      <x:c r="I1148" s="382" t="n">
        <x:f>SUMIFS('Climate Data'!$H$7:$H$366,'Climate Data'!$A$7:$A$366,'Estimator'!$B$4,'Climate Data'!$B$7:$B$366,C1148)</x:f>
        <x:v>9.682010582010582</x:v>
      </x:c>
      <x:c r="J1148" s="381" t="n">
        <x:f>SUMIFS('Wind Proxy'!$H$8:$H$19,'Wind Proxy'!$A$8:$A$19,'Estimator'!$B$4,'Wind Proxy'!$B$8:$B$19,C1148)</x:f>
        <x:v>0.13757861635220128</x:v>
      </x:c>
    </x:row>
    <x:row r="1149">
      <x:c r="A1149" s="379" t="n">
        <x:v>46800</x:v>
      </x:c>
      <x:c r="B1149" s="380" t="n">
        <x:v>2028</x:v>
      </x:c>
      <x:c r="C1149" s="380" t="n">
        <x:v>2</x:v>
      </x:c>
      <x:c r="D1149" s="380" t="str">
        <x:v>Feb</x:v>
      </x:c>
      <x:c r="E1149" s="380" t="n">
        <x:v>17</x:v>
      </x:c>
      <x:c r="F1149" s="380" t="n">
        <x:v>4</x:v>
      </x:c>
      <x:c r="G1149" s="380" t="n">
        <x:f>--(F1149&lt;='Estimator'!$B$7)</x:f>
        <x:v>1</x:v>
      </x:c>
      <x:c r="H1149" s="381" t="n">
        <x:f>SUMIFS('Climate Data'!$G$7:$G$366,'Climate Data'!$A$7:$A$366,'Estimator'!$B$4,'Climate Data'!$B$7:$B$366,C1149)</x:f>
        <x:v>0.23056278464541316</x:v>
      </x:c>
      <x:c r="I1149" s="382" t="n">
        <x:f>SUMIFS('Climate Data'!$H$7:$H$366,'Climate Data'!$A$7:$A$366,'Estimator'!$B$4,'Climate Data'!$B$7:$B$366,C1149)</x:f>
        <x:v>9.682010582010582</x:v>
      </x:c>
      <x:c r="J1149" s="381" t="n">
        <x:f>SUMIFS('Wind Proxy'!$H$8:$H$19,'Wind Proxy'!$A$8:$A$19,'Estimator'!$B$4,'Wind Proxy'!$B$8:$B$19,C1149)</x:f>
        <x:v>0.13757861635220128</x:v>
      </x:c>
    </x:row>
    <x:row r="1150">
      <x:c r="A1150" s="379" t="n">
        <x:v>46801</x:v>
      </x:c>
      <x:c r="B1150" s="380" t="n">
        <x:v>2028</x:v>
      </x:c>
      <x:c r="C1150" s="380" t="n">
        <x:v>2</x:v>
      </x:c>
      <x:c r="D1150" s="380" t="str">
        <x:v>Feb</x:v>
      </x:c>
      <x:c r="E1150" s="380" t="n">
        <x:v>18</x:v>
      </x:c>
      <x:c r="F1150" s="380" t="n">
        <x:v>5</x:v>
      </x:c>
      <x:c r="G1150" s="380" t="n">
        <x:f>--(F1150&lt;='Estimator'!$B$7)</x:f>
        <x:v>1</x:v>
      </x:c>
      <x:c r="H1150" s="381" t="n">
        <x:f>SUMIFS('Climate Data'!$G$7:$G$366,'Climate Data'!$A$7:$A$366,'Estimator'!$B$4,'Climate Data'!$B$7:$B$366,C1150)</x:f>
        <x:v>0.23056278464541316</x:v>
      </x:c>
      <x:c r="I1150" s="382" t="n">
        <x:f>SUMIFS('Climate Data'!$H$7:$H$366,'Climate Data'!$A$7:$A$366,'Estimator'!$B$4,'Climate Data'!$B$7:$B$366,C1150)</x:f>
        <x:v>9.682010582010582</x:v>
      </x:c>
      <x:c r="J1150" s="381" t="n">
        <x:f>SUMIFS('Wind Proxy'!$H$8:$H$19,'Wind Proxy'!$A$8:$A$19,'Estimator'!$B$4,'Wind Proxy'!$B$8:$B$19,C1150)</x:f>
        <x:v>0.13757861635220128</x:v>
      </x:c>
    </x:row>
    <x:row r="1151">
      <x:c r="A1151" s="379" t="n">
        <x:v>46802</x:v>
      </x:c>
      <x:c r="B1151" s="380" t="n">
        <x:v>2028</x:v>
      </x:c>
      <x:c r="C1151" s="380" t="n">
        <x:v>2</x:v>
      </x:c>
      <x:c r="D1151" s="380" t="str">
        <x:v>Feb</x:v>
      </x:c>
      <x:c r="E1151" s="380" t="n">
        <x:v>19</x:v>
      </x:c>
      <x:c r="F1151" s="380" t="n">
        <x:v>6</x:v>
      </x:c>
      <x:c r="G1151" s="380" t="n">
        <x:f>--(F1151&lt;='Estimator'!$B$7)</x:f>
        <x:v>0</x:v>
      </x:c>
      <x:c r="H1151" s="381" t="n">
        <x:f>SUMIFS('Climate Data'!$G$7:$G$366,'Climate Data'!$A$7:$A$366,'Estimator'!$B$4,'Climate Data'!$B$7:$B$366,C1151)</x:f>
        <x:v>0.23056278464541316</x:v>
      </x:c>
      <x:c r="I1151" s="382" t="n">
        <x:f>SUMIFS('Climate Data'!$H$7:$H$366,'Climate Data'!$A$7:$A$366,'Estimator'!$B$4,'Climate Data'!$B$7:$B$366,C1151)</x:f>
        <x:v>9.682010582010582</x:v>
      </x:c>
      <x:c r="J1151" s="381" t="n">
        <x:f>SUMIFS('Wind Proxy'!$H$8:$H$19,'Wind Proxy'!$A$8:$A$19,'Estimator'!$B$4,'Wind Proxy'!$B$8:$B$19,C1151)</x:f>
        <x:v>0.13757861635220128</x:v>
      </x:c>
    </x:row>
    <x:row r="1152">
      <x:c r="A1152" s="379" t="n">
        <x:v>46803</x:v>
      </x:c>
      <x:c r="B1152" s="380" t="n">
        <x:v>2028</x:v>
      </x:c>
      <x:c r="C1152" s="380" t="n">
        <x:v>2</x:v>
      </x:c>
      <x:c r="D1152" s="380" t="str">
        <x:v>Feb</x:v>
      </x:c>
      <x:c r="E1152" s="380" t="n">
        <x:v>20</x:v>
      </x:c>
      <x:c r="F1152" s="380" t="n">
        <x:v>7</x:v>
      </x:c>
      <x:c r="G1152" s="380" t="n">
        <x:f>--(F1152&lt;='Estimator'!$B$7)</x:f>
        <x:v>0</x:v>
      </x:c>
      <x:c r="H1152" s="381" t="n">
        <x:f>SUMIFS('Climate Data'!$G$7:$G$366,'Climate Data'!$A$7:$A$366,'Estimator'!$B$4,'Climate Data'!$B$7:$B$366,C1152)</x:f>
        <x:v>0.23056278464541316</x:v>
      </x:c>
      <x:c r="I1152" s="382" t="n">
        <x:f>SUMIFS('Climate Data'!$H$7:$H$366,'Climate Data'!$A$7:$A$366,'Estimator'!$B$4,'Climate Data'!$B$7:$B$366,C1152)</x:f>
        <x:v>9.682010582010582</x:v>
      </x:c>
      <x:c r="J1152" s="381" t="n">
        <x:f>SUMIFS('Wind Proxy'!$H$8:$H$19,'Wind Proxy'!$A$8:$A$19,'Estimator'!$B$4,'Wind Proxy'!$B$8:$B$19,C1152)</x:f>
        <x:v>0.13757861635220128</x:v>
      </x:c>
    </x:row>
    <x:row r="1153">
      <x:c r="A1153" s="379" t="n">
        <x:v>46804</x:v>
      </x:c>
      <x:c r="B1153" s="380" t="n">
        <x:v>2028</x:v>
      </x:c>
      <x:c r="C1153" s="380" t="n">
        <x:v>2</x:v>
      </x:c>
      <x:c r="D1153" s="380" t="str">
        <x:v>Feb</x:v>
      </x:c>
      <x:c r="E1153" s="380" t="n">
        <x:v>21</x:v>
      </x:c>
      <x:c r="F1153" s="380" t="n">
        <x:v>1</x:v>
      </x:c>
      <x:c r="G1153" s="380" t="n">
        <x:f>--(F1153&lt;='Estimator'!$B$7)</x:f>
        <x:v>1</x:v>
      </x:c>
      <x:c r="H1153" s="381" t="n">
        <x:f>SUMIFS('Climate Data'!$G$7:$G$366,'Climate Data'!$A$7:$A$366,'Estimator'!$B$4,'Climate Data'!$B$7:$B$366,C1153)</x:f>
        <x:v>0.23056278464541316</x:v>
      </x:c>
      <x:c r="I1153" s="382" t="n">
        <x:f>SUMIFS('Climate Data'!$H$7:$H$366,'Climate Data'!$A$7:$A$366,'Estimator'!$B$4,'Climate Data'!$B$7:$B$366,C1153)</x:f>
        <x:v>9.682010582010582</x:v>
      </x:c>
      <x:c r="J1153" s="381" t="n">
        <x:f>SUMIFS('Wind Proxy'!$H$8:$H$19,'Wind Proxy'!$A$8:$A$19,'Estimator'!$B$4,'Wind Proxy'!$B$8:$B$19,C1153)</x:f>
        <x:v>0.13757861635220128</x:v>
      </x:c>
    </x:row>
    <x:row r="1154">
      <x:c r="A1154" s="379" t="n">
        <x:v>46805</x:v>
      </x:c>
      <x:c r="B1154" s="380" t="n">
        <x:v>2028</x:v>
      </x:c>
      <x:c r="C1154" s="380" t="n">
        <x:v>2</x:v>
      </x:c>
      <x:c r="D1154" s="380" t="str">
        <x:v>Feb</x:v>
      </x:c>
      <x:c r="E1154" s="380" t="n">
        <x:v>22</x:v>
      </x:c>
      <x:c r="F1154" s="380" t="n">
        <x:v>2</x:v>
      </x:c>
      <x:c r="G1154" s="380" t="n">
        <x:f>--(F1154&lt;='Estimator'!$B$7)</x:f>
        <x:v>1</x:v>
      </x:c>
      <x:c r="H1154" s="381" t="n">
        <x:f>SUMIFS('Climate Data'!$G$7:$G$366,'Climate Data'!$A$7:$A$366,'Estimator'!$B$4,'Climate Data'!$B$7:$B$366,C1154)</x:f>
        <x:v>0.23056278464541316</x:v>
      </x:c>
      <x:c r="I1154" s="382" t="n">
        <x:f>SUMIFS('Climate Data'!$H$7:$H$366,'Climate Data'!$A$7:$A$366,'Estimator'!$B$4,'Climate Data'!$B$7:$B$366,C1154)</x:f>
        <x:v>9.682010582010582</x:v>
      </x:c>
      <x:c r="J1154" s="381" t="n">
        <x:f>SUMIFS('Wind Proxy'!$H$8:$H$19,'Wind Proxy'!$A$8:$A$19,'Estimator'!$B$4,'Wind Proxy'!$B$8:$B$19,C1154)</x:f>
        <x:v>0.13757861635220128</x:v>
      </x:c>
    </x:row>
    <x:row r="1155">
      <x:c r="A1155" s="379" t="n">
        <x:v>46806</x:v>
      </x:c>
      <x:c r="B1155" s="380" t="n">
        <x:v>2028</x:v>
      </x:c>
      <x:c r="C1155" s="380" t="n">
        <x:v>2</x:v>
      </x:c>
      <x:c r="D1155" s="380" t="str">
        <x:v>Feb</x:v>
      </x:c>
      <x:c r="E1155" s="380" t="n">
        <x:v>23</x:v>
      </x:c>
      <x:c r="F1155" s="380" t="n">
        <x:v>3</x:v>
      </x:c>
      <x:c r="G1155" s="380" t="n">
        <x:f>--(F1155&lt;='Estimator'!$B$7)</x:f>
        <x:v>1</x:v>
      </x:c>
      <x:c r="H1155" s="381" t="n">
        <x:f>SUMIFS('Climate Data'!$G$7:$G$366,'Climate Data'!$A$7:$A$366,'Estimator'!$B$4,'Climate Data'!$B$7:$B$366,C1155)</x:f>
        <x:v>0.23056278464541316</x:v>
      </x:c>
      <x:c r="I1155" s="382" t="n">
        <x:f>SUMIFS('Climate Data'!$H$7:$H$366,'Climate Data'!$A$7:$A$366,'Estimator'!$B$4,'Climate Data'!$B$7:$B$366,C1155)</x:f>
        <x:v>9.682010582010582</x:v>
      </x:c>
      <x:c r="J1155" s="381" t="n">
        <x:f>SUMIFS('Wind Proxy'!$H$8:$H$19,'Wind Proxy'!$A$8:$A$19,'Estimator'!$B$4,'Wind Proxy'!$B$8:$B$19,C1155)</x:f>
        <x:v>0.13757861635220128</x:v>
      </x:c>
    </x:row>
    <x:row r="1156">
      <x:c r="A1156" s="379" t="n">
        <x:v>46807</x:v>
      </x:c>
      <x:c r="B1156" s="380" t="n">
        <x:v>2028</x:v>
      </x:c>
      <x:c r="C1156" s="380" t="n">
        <x:v>2</x:v>
      </x:c>
      <x:c r="D1156" s="380" t="str">
        <x:v>Feb</x:v>
      </x:c>
      <x:c r="E1156" s="380" t="n">
        <x:v>24</x:v>
      </x:c>
      <x:c r="F1156" s="380" t="n">
        <x:v>4</x:v>
      </x:c>
      <x:c r="G1156" s="380" t="n">
        <x:f>--(F1156&lt;='Estimator'!$B$7)</x:f>
        <x:v>1</x:v>
      </x:c>
      <x:c r="H1156" s="381" t="n">
        <x:f>SUMIFS('Climate Data'!$G$7:$G$366,'Climate Data'!$A$7:$A$366,'Estimator'!$B$4,'Climate Data'!$B$7:$B$366,C1156)</x:f>
        <x:v>0.23056278464541316</x:v>
      </x:c>
      <x:c r="I1156" s="382" t="n">
        <x:f>SUMIFS('Climate Data'!$H$7:$H$366,'Climate Data'!$A$7:$A$366,'Estimator'!$B$4,'Climate Data'!$B$7:$B$366,C1156)</x:f>
        <x:v>9.682010582010582</x:v>
      </x:c>
      <x:c r="J1156" s="381" t="n">
        <x:f>SUMIFS('Wind Proxy'!$H$8:$H$19,'Wind Proxy'!$A$8:$A$19,'Estimator'!$B$4,'Wind Proxy'!$B$8:$B$19,C1156)</x:f>
        <x:v>0.13757861635220128</x:v>
      </x:c>
    </x:row>
    <x:row r="1157">
      <x:c r="A1157" s="379" t="n">
        <x:v>46808</x:v>
      </x:c>
      <x:c r="B1157" s="380" t="n">
        <x:v>2028</x:v>
      </x:c>
      <x:c r="C1157" s="380" t="n">
        <x:v>2</x:v>
      </x:c>
      <x:c r="D1157" s="380" t="str">
        <x:v>Feb</x:v>
      </x:c>
      <x:c r="E1157" s="380" t="n">
        <x:v>25</x:v>
      </x:c>
      <x:c r="F1157" s="380" t="n">
        <x:v>5</x:v>
      </x:c>
      <x:c r="G1157" s="380" t="n">
        <x:f>--(F1157&lt;='Estimator'!$B$7)</x:f>
        <x:v>1</x:v>
      </x:c>
      <x:c r="H1157" s="381" t="n">
        <x:f>SUMIFS('Climate Data'!$G$7:$G$366,'Climate Data'!$A$7:$A$366,'Estimator'!$B$4,'Climate Data'!$B$7:$B$366,C1157)</x:f>
        <x:v>0.23056278464541316</x:v>
      </x:c>
      <x:c r="I1157" s="382" t="n">
        <x:f>SUMIFS('Climate Data'!$H$7:$H$366,'Climate Data'!$A$7:$A$366,'Estimator'!$B$4,'Climate Data'!$B$7:$B$366,C1157)</x:f>
        <x:v>9.682010582010582</x:v>
      </x:c>
      <x:c r="J1157" s="381" t="n">
        <x:f>SUMIFS('Wind Proxy'!$H$8:$H$19,'Wind Proxy'!$A$8:$A$19,'Estimator'!$B$4,'Wind Proxy'!$B$8:$B$19,C1157)</x:f>
        <x:v>0.13757861635220128</x:v>
      </x:c>
    </x:row>
    <x:row r="1158">
      <x:c r="A1158" s="379" t="n">
        <x:v>46809</x:v>
      </x:c>
      <x:c r="B1158" s="380" t="n">
        <x:v>2028</x:v>
      </x:c>
      <x:c r="C1158" s="380" t="n">
        <x:v>2</x:v>
      </x:c>
      <x:c r="D1158" s="380" t="str">
        <x:v>Feb</x:v>
      </x:c>
      <x:c r="E1158" s="380" t="n">
        <x:v>26</x:v>
      </x:c>
      <x:c r="F1158" s="380" t="n">
        <x:v>6</x:v>
      </x:c>
      <x:c r="G1158" s="380" t="n">
        <x:f>--(F1158&lt;='Estimator'!$B$7)</x:f>
        <x:v>0</x:v>
      </x:c>
      <x:c r="H1158" s="381" t="n">
        <x:f>SUMIFS('Climate Data'!$G$7:$G$366,'Climate Data'!$A$7:$A$366,'Estimator'!$B$4,'Climate Data'!$B$7:$B$366,C1158)</x:f>
        <x:v>0.23056278464541316</x:v>
      </x:c>
      <x:c r="I1158" s="382" t="n">
        <x:f>SUMIFS('Climate Data'!$H$7:$H$366,'Climate Data'!$A$7:$A$366,'Estimator'!$B$4,'Climate Data'!$B$7:$B$366,C1158)</x:f>
        <x:v>9.682010582010582</x:v>
      </x:c>
      <x:c r="J1158" s="381" t="n">
        <x:f>SUMIFS('Wind Proxy'!$H$8:$H$19,'Wind Proxy'!$A$8:$A$19,'Estimator'!$B$4,'Wind Proxy'!$B$8:$B$19,C1158)</x:f>
        <x:v>0.13757861635220128</x:v>
      </x:c>
    </x:row>
    <x:row r="1159">
      <x:c r="A1159" s="379" t="n">
        <x:v>46810</x:v>
      </x:c>
      <x:c r="B1159" s="380" t="n">
        <x:v>2028</x:v>
      </x:c>
      <x:c r="C1159" s="380" t="n">
        <x:v>2</x:v>
      </x:c>
      <x:c r="D1159" s="380" t="str">
        <x:v>Feb</x:v>
      </x:c>
      <x:c r="E1159" s="380" t="n">
        <x:v>27</x:v>
      </x:c>
      <x:c r="F1159" s="380" t="n">
        <x:v>7</x:v>
      </x:c>
      <x:c r="G1159" s="380" t="n">
        <x:f>--(F1159&lt;='Estimator'!$B$7)</x:f>
        <x:v>0</x:v>
      </x:c>
      <x:c r="H1159" s="381" t="n">
        <x:f>SUMIFS('Climate Data'!$G$7:$G$366,'Climate Data'!$A$7:$A$366,'Estimator'!$B$4,'Climate Data'!$B$7:$B$366,C1159)</x:f>
        <x:v>0.23056278464541316</x:v>
      </x:c>
      <x:c r="I1159" s="382" t="n">
        <x:f>SUMIFS('Climate Data'!$H$7:$H$366,'Climate Data'!$A$7:$A$366,'Estimator'!$B$4,'Climate Data'!$B$7:$B$366,C1159)</x:f>
        <x:v>9.682010582010582</x:v>
      </x:c>
      <x:c r="J1159" s="381" t="n">
        <x:f>SUMIFS('Wind Proxy'!$H$8:$H$19,'Wind Proxy'!$A$8:$A$19,'Estimator'!$B$4,'Wind Proxy'!$B$8:$B$19,C1159)</x:f>
        <x:v>0.13757861635220128</x:v>
      </x:c>
    </x:row>
    <x:row r="1160">
      <x:c r="A1160" s="379" t="n">
        <x:v>46811</x:v>
      </x:c>
      <x:c r="B1160" s="380" t="n">
        <x:v>2028</x:v>
      </x:c>
      <x:c r="C1160" s="380" t="n">
        <x:v>2</x:v>
      </x:c>
      <x:c r="D1160" s="380" t="str">
        <x:v>Feb</x:v>
      </x:c>
      <x:c r="E1160" s="380" t="n">
        <x:v>28</x:v>
      </x:c>
      <x:c r="F1160" s="380" t="n">
        <x:v>1</x:v>
      </x:c>
      <x:c r="G1160" s="380" t="n">
        <x:f>--(F1160&lt;='Estimator'!$B$7)</x:f>
        <x:v>1</x:v>
      </x:c>
      <x:c r="H1160" s="381" t="n">
        <x:f>SUMIFS('Climate Data'!$G$7:$G$366,'Climate Data'!$A$7:$A$366,'Estimator'!$B$4,'Climate Data'!$B$7:$B$366,C1160)</x:f>
        <x:v>0.23056278464541316</x:v>
      </x:c>
      <x:c r="I1160" s="382" t="n">
        <x:f>SUMIFS('Climate Data'!$H$7:$H$366,'Climate Data'!$A$7:$A$366,'Estimator'!$B$4,'Climate Data'!$B$7:$B$366,C1160)</x:f>
        <x:v>9.682010582010582</x:v>
      </x:c>
      <x:c r="J1160" s="381" t="n">
        <x:f>SUMIFS('Wind Proxy'!$H$8:$H$19,'Wind Proxy'!$A$8:$A$19,'Estimator'!$B$4,'Wind Proxy'!$B$8:$B$19,C1160)</x:f>
        <x:v>0.13757861635220128</x:v>
      </x:c>
    </x:row>
    <x:row r="1161">
      <x:c r="A1161" s="379" t="n">
        <x:v>46812</x:v>
      </x:c>
      <x:c r="B1161" s="380" t="n">
        <x:v>2028</x:v>
      </x:c>
      <x:c r="C1161" s="380" t="n">
        <x:v>2</x:v>
      </x:c>
      <x:c r="D1161" s="380" t="str">
        <x:v>Feb</x:v>
      </x:c>
      <x:c r="E1161" s="380" t="n">
        <x:v>29</x:v>
      </x:c>
      <x:c r="F1161" s="380" t="n">
        <x:v>2</x:v>
      </x:c>
      <x:c r="G1161" s="380" t="n">
        <x:f>--(F1161&lt;='Estimator'!$B$7)</x:f>
        <x:v>1</x:v>
      </x:c>
      <x:c r="H1161" s="381" t="n">
        <x:f>SUMIFS('Climate Data'!$G$7:$G$366,'Climate Data'!$A$7:$A$366,'Estimator'!$B$4,'Climate Data'!$B$7:$B$366,C1161)</x:f>
        <x:v>0.23056278464541316</x:v>
      </x:c>
      <x:c r="I1161" s="382" t="n">
        <x:f>SUMIFS('Climate Data'!$H$7:$H$366,'Climate Data'!$A$7:$A$366,'Estimator'!$B$4,'Climate Data'!$B$7:$B$366,C1161)</x:f>
        <x:v>9.682010582010582</x:v>
      </x:c>
      <x:c r="J1161" s="381" t="n">
        <x:f>SUMIFS('Wind Proxy'!$H$8:$H$19,'Wind Proxy'!$A$8:$A$19,'Estimator'!$B$4,'Wind Proxy'!$B$8:$B$19,C1161)</x:f>
        <x:v>0.13757861635220128</x:v>
      </x:c>
    </x:row>
    <x:row r="1162">
      <x:c r="A1162" s="379" t="n">
        <x:v>46813</x:v>
      </x:c>
      <x:c r="B1162" s="380" t="n">
        <x:v>2028</x:v>
      </x:c>
      <x:c r="C1162" s="380" t="n">
        <x:v>3</x:v>
      </x:c>
      <x:c r="D1162" s="380" t="str">
        <x:v>Mar</x:v>
      </x:c>
      <x:c r="E1162" s="380" t="n">
        <x:v>1</x:v>
      </x:c>
      <x:c r="F1162" s="380" t="n">
        <x:v>3</x:v>
      </x:c>
      <x:c r="G1162" s="380" t="n">
        <x:f>--(F1162&lt;='Estimator'!$B$7)</x:f>
        <x:v>1</x:v>
      </x:c>
      <x:c r="H1162" s="381" t="n">
        <x:f>SUMIFS('Climate Data'!$G$7:$G$366,'Climate Data'!$A$7:$A$366,'Estimator'!$B$4,'Climate Data'!$B$7:$B$366,C1162)</x:f>
        <x:v>0.24916573971078979</x:v>
      </x:c>
      <x:c r="I1162" s="382" t="n">
        <x:f>SUMIFS('Climate Data'!$H$7:$H$366,'Climate Data'!$A$7:$A$366,'Estimator'!$B$4,'Climate Data'!$B$7:$B$366,C1162)</x:f>
        <x:v>9.709821428571429</x:v>
      </x:c>
      <x:c r="J1162" s="381" t="n">
        <x:f>SUMIFS('Wind Proxy'!$H$8:$H$19,'Wind Proxy'!$A$8:$A$19,'Estimator'!$B$4,'Wind Proxy'!$B$8:$B$19,C1162)</x:f>
        <x:v>0.11350059737156513</x:v>
      </x:c>
    </x:row>
    <x:row r="1163">
      <x:c r="A1163" s="379" t="n">
        <x:v>46814</x:v>
      </x:c>
      <x:c r="B1163" s="380" t="n">
        <x:v>2028</x:v>
      </x:c>
      <x:c r="C1163" s="380" t="n">
        <x:v>3</x:v>
      </x:c>
      <x:c r="D1163" s="380" t="str">
        <x:v>Mar</x:v>
      </x:c>
      <x:c r="E1163" s="380" t="n">
        <x:v>2</x:v>
      </x:c>
      <x:c r="F1163" s="380" t="n">
        <x:v>4</x:v>
      </x:c>
      <x:c r="G1163" s="380" t="n">
        <x:f>--(F1163&lt;='Estimator'!$B$7)</x:f>
        <x:v>1</x:v>
      </x:c>
      <x:c r="H1163" s="381" t="n">
        <x:f>SUMIFS('Climate Data'!$G$7:$G$366,'Climate Data'!$A$7:$A$366,'Estimator'!$B$4,'Climate Data'!$B$7:$B$366,C1163)</x:f>
        <x:v>0.24916573971078979</x:v>
      </x:c>
      <x:c r="I1163" s="382" t="n">
        <x:f>SUMIFS('Climate Data'!$H$7:$H$366,'Climate Data'!$A$7:$A$366,'Estimator'!$B$4,'Climate Data'!$B$7:$B$366,C1163)</x:f>
        <x:v>9.709821428571429</x:v>
      </x:c>
      <x:c r="J1163" s="381" t="n">
        <x:f>SUMIFS('Wind Proxy'!$H$8:$H$19,'Wind Proxy'!$A$8:$A$19,'Estimator'!$B$4,'Wind Proxy'!$B$8:$B$19,C1163)</x:f>
        <x:v>0.11350059737156513</x:v>
      </x:c>
    </x:row>
    <x:row r="1164">
      <x:c r="A1164" s="379" t="n">
        <x:v>46815</x:v>
      </x:c>
      <x:c r="B1164" s="380" t="n">
        <x:v>2028</x:v>
      </x:c>
      <x:c r="C1164" s="380" t="n">
        <x:v>3</x:v>
      </x:c>
      <x:c r="D1164" s="380" t="str">
        <x:v>Mar</x:v>
      </x:c>
      <x:c r="E1164" s="380" t="n">
        <x:v>3</x:v>
      </x:c>
      <x:c r="F1164" s="380" t="n">
        <x:v>5</x:v>
      </x:c>
      <x:c r="G1164" s="380" t="n">
        <x:f>--(F1164&lt;='Estimator'!$B$7)</x:f>
        <x:v>1</x:v>
      </x:c>
      <x:c r="H1164" s="381" t="n">
        <x:f>SUMIFS('Climate Data'!$G$7:$G$366,'Climate Data'!$A$7:$A$366,'Estimator'!$B$4,'Climate Data'!$B$7:$B$366,C1164)</x:f>
        <x:v>0.24916573971078979</x:v>
      </x:c>
      <x:c r="I1164" s="382" t="n">
        <x:f>SUMIFS('Climate Data'!$H$7:$H$366,'Climate Data'!$A$7:$A$366,'Estimator'!$B$4,'Climate Data'!$B$7:$B$366,C1164)</x:f>
        <x:v>9.709821428571429</x:v>
      </x:c>
      <x:c r="J1164" s="381" t="n">
        <x:f>SUMIFS('Wind Proxy'!$H$8:$H$19,'Wind Proxy'!$A$8:$A$19,'Estimator'!$B$4,'Wind Proxy'!$B$8:$B$19,C1164)</x:f>
        <x:v>0.11350059737156513</x:v>
      </x:c>
    </x:row>
    <x:row r="1165">
      <x:c r="A1165" s="379" t="n">
        <x:v>46816</x:v>
      </x:c>
      <x:c r="B1165" s="380" t="n">
        <x:v>2028</x:v>
      </x:c>
      <x:c r="C1165" s="380" t="n">
        <x:v>3</x:v>
      </x:c>
      <x:c r="D1165" s="380" t="str">
        <x:v>Mar</x:v>
      </x:c>
      <x:c r="E1165" s="380" t="n">
        <x:v>4</x:v>
      </x:c>
      <x:c r="F1165" s="380" t="n">
        <x:v>6</x:v>
      </x:c>
      <x:c r="G1165" s="380" t="n">
        <x:f>--(F1165&lt;='Estimator'!$B$7)</x:f>
        <x:v>0</x:v>
      </x:c>
      <x:c r="H1165" s="381" t="n">
        <x:f>SUMIFS('Climate Data'!$G$7:$G$366,'Climate Data'!$A$7:$A$366,'Estimator'!$B$4,'Climate Data'!$B$7:$B$366,C1165)</x:f>
        <x:v>0.24916573971078979</x:v>
      </x:c>
      <x:c r="I1165" s="382" t="n">
        <x:f>SUMIFS('Climate Data'!$H$7:$H$366,'Climate Data'!$A$7:$A$366,'Estimator'!$B$4,'Climate Data'!$B$7:$B$366,C1165)</x:f>
        <x:v>9.709821428571429</x:v>
      </x:c>
      <x:c r="J1165" s="381" t="n">
        <x:f>SUMIFS('Wind Proxy'!$H$8:$H$19,'Wind Proxy'!$A$8:$A$19,'Estimator'!$B$4,'Wind Proxy'!$B$8:$B$19,C1165)</x:f>
        <x:v>0.11350059737156513</x:v>
      </x:c>
    </x:row>
    <x:row r="1166">
      <x:c r="A1166" s="379" t="n">
        <x:v>46817</x:v>
      </x:c>
      <x:c r="B1166" s="380" t="n">
        <x:v>2028</x:v>
      </x:c>
      <x:c r="C1166" s="380" t="n">
        <x:v>3</x:v>
      </x:c>
      <x:c r="D1166" s="380" t="str">
        <x:v>Mar</x:v>
      </x:c>
      <x:c r="E1166" s="380" t="n">
        <x:v>5</x:v>
      </x:c>
      <x:c r="F1166" s="380" t="n">
        <x:v>7</x:v>
      </x:c>
      <x:c r="G1166" s="380" t="n">
        <x:f>--(F1166&lt;='Estimator'!$B$7)</x:f>
        <x:v>0</x:v>
      </x:c>
      <x:c r="H1166" s="381" t="n">
        <x:f>SUMIFS('Climate Data'!$G$7:$G$366,'Climate Data'!$A$7:$A$366,'Estimator'!$B$4,'Climate Data'!$B$7:$B$366,C1166)</x:f>
        <x:v>0.24916573971078979</x:v>
      </x:c>
      <x:c r="I1166" s="382" t="n">
        <x:f>SUMIFS('Climate Data'!$H$7:$H$366,'Climate Data'!$A$7:$A$366,'Estimator'!$B$4,'Climate Data'!$B$7:$B$366,C1166)</x:f>
        <x:v>9.709821428571429</x:v>
      </x:c>
      <x:c r="J1166" s="381" t="n">
        <x:f>SUMIFS('Wind Proxy'!$H$8:$H$19,'Wind Proxy'!$A$8:$A$19,'Estimator'!$B$4,'Wind Proxy'!$B$8:$B$19,C1166)</x:f>
        <x:v>0.11350059737156513</x:v>
      </x:c>
    </x:row>
    <x:row r="1167">
      <x:c r="A1167" s="379" t="n">
        <x:v>46818</x:v>
      </x:c>
      <x:c r="B1167" s="380" t="n">
        <x:v>2028</x:v>
      </x:c>
      <x:c r="C1167" s="380" t="n">
        <x:v>3</x:v>
      </x:c>
      <x:c r="D1167" s="380" t="str">
        <x:v>Mar</x:v>
      </x:c>
      <x:c r="E1167" s="380" t="n">
        <x:v>6</x:v>
      </x:c>
      <x:c r="F1167" s="380" t="n">
        <x:v>1</x:v>
      </x:c>
      <x:c r="G1167" s="380" t="n">
        <x:f>--(F1167&lt;='Estimator'!$B$7)</x:f>
        <x:v>1</x:v>
      </x:c>
      <x:c r="H1167" s="381" t="n">
        <x:f>SUMIFS('Climate Data'!$G$7:$G$366,'Climate Data'!$A$7:$A$366,'Estimator'!$B$4,'Climate Data'!$B$7:$B$366,C1167)</x:f>
        <x:v>0.24916573971078979</x:v>
      </x:c>
      <x:c r="I1167" s="382" t="n">
        <x:f>SUMIFS('Climate Data'!$H$7:$H$366,'Climate Data'!$A$7:$A$366,'Estimator'!$B$4,'Climate Data'!$B$7:$B$366,C1167)</x:f>
        <x:v>9.709821428571429</x:v>
      </x:c>
      <x:c r="J1167" s="381" t="n">
        <x:f>SUMIFS('Wind Proxy'!$H$8:$H$19,'Wind Proxy'!$A$8:$A$19,'Estimator'!$B$4,'Wind Proxy'!$B$8:$B$19,C1167)</x:f>
        <x:v>0.11350059737156513</x:v>
      </x:c>
    </x:row>
    <x:row r="1168">
      <x:c r="A1168" s="379" t="n">
        <x:v>46819</x:v>
      </x:c>
      <x:c r="B1168" s="380" t="n">
        <x:v>2028</x:v>
      </x:c>
      <x:c r="C1168" s="380" t="n">
        <x:v>3</x:v>
      </x:c>
      <x:c r="D1168" s="380" t="str">
        <x:v>Mar</x:v>
      </x:c>
      <x:c r="E1168" s="380" t="n">
        <x:v>7</x:v>
      </x:c>
      <x:c r="F1168" s="380" t="n">
        <x:v>2</x:v>
      </x:c>
      <x:c r="G1168" s="380" t="n">
        <x:f>--(F1168&lt;='Estimator'!$B$7)</x:f>
        <x:v>1</x:v>
      </x:c>
      <x:c r="H1168" s="381" t="n">
        <x:f>SUMIFS('Climate Data'!$G$7:$G$366,'Climate Data'!$A$7:$A$366,'Estimator'!$B$4,'Climate Data'!$B$7:$B$366,C1168)</x:f>
        <x:v>0.24916573971078979</x:v>
      </x:c>
      <x:c r="I1168" s="382" t="n">
        <x:f>SUMIFS('Climate Data'!$H$7:$H$366,'Climate Data'!$A$7:$A$366,'Estimator'!$B$4,'Climate Data'!$B$7:$B$366,C1168)</x:f>
        <x:v>9.709821428571429</x:v>
      </x:c>
      <x:c r="J1168" s="381" t="n">
        <x:f>SUMIFS('Wind Proxy'!$H$8:$H$19,'Wind Proxy'!$A$8:$A$19,'Estimator'!$B$4,'Wind Proxy'!$B$8:$B$19,C1168)</x:f>
        <x:v>0.11350059737156513</x:v>
      </x:c>
    </x:row>
    <x:row r="1169">
      <x:c r="A1169" s="379" t="n">
        <x:v>46820</x:v>
      </x:c>
      <x:c r="B1169" s="380" t="n">
        <x:v>2028</x:v>
      </x:c>
      <x:c r="C1169" s="380" t="n">
        <x:v>3</x:v>
      </x:c>
      <x:c r="D1169" s="380" t="str">
        <x:v>Mar</x:v>
      </x:c>
      <x:c r="E1169" s="380" t="n">
        <x:v>8</x:v>
      </x:c>
      <x:c r="F1169" s="380" t="n">
        <x:v>3</x:v>
      </x:c>
      <x:c r="G1169" s="380" t="n">
        <x:f>--(F1169&lt;='Estimator'!$B$7)</x:f>
        <x:v>1</x:v>
      </x:c>
      <x:c r="H1169" s="381" t="n">
        <x:f>SUMIFS('Climate Data'!$G$7:$G$366,'Climate Data'!$A$7:$A$366,'Estimator'!$B$4,'Climate Data'!$B$7:$B$366,C1169)</x:f>
        <x:v>0.24916573971078979</x:v>
      </x:c>
      <x:c r="I1169" s="382" t="n">
        <x:f>SUMIFS('Climate Data'!$H$7:$H$366,'Climate Data'!$A$7:$A$366,'Estimator'!$B$4,'Climate Data'!$B$7:$B$366,C1169)</x:f>
        <x:v>9.709821428571429</x:v>
      </x:c>
      <x:c r="J1169" s="381" t="n">
        <x:f>SUMIFS('Wind Proxy'!$H$8:$H$19,'Wind Proxy'!$A$8:$A$19,'Estimator'!$B$4,'Wind Proxy'!$B$8:$B$19,C1169)</x:f>
        <x:v>0.11350059737156513</x:v>
      </x:c>
    </x:row>
    <x:row r="1170">
      <x:c r="A1170" s="379" t="n">
        <x:v>46821</x:v>
      </x:c>
      <x:c r="B1170" s="380" t="n">
        <x:v>2028</x:v>
      </x:c>
      <x:c r="C1170" s="380" t="n">
        <x:v>3</x:v>
      </x:c>
      <x:c r="D1170" s="380" t="str">
        <x:v>Mar</x:v>
      </x:c>
      <x:c r="E1170" s="380" t="n">
        <x:v>9</x:v>
      </x:c>
      <x:c r="F1170" s="380" t="n">
        <x:v>4</x:v>
      </x:c>
      <x:c r="G1170" s="380" t="n">
        <x:f>--(F1170&lt;='Estimator'!$B$7)</x:f>
        <x:v>1</x:v>
      </x:c>
      <x:c r="H1170" s="381" t="n">
        <x:f>SUMIFS('Climate Data'!$G$7:$G$366,'Climate Data'!$A$7:$A$366,'Estimator'!$B$4,'Climate Data'!$B$7:$B$366,C1170)</x:f>
        <x:v>0.24916573971078979</x:v>
      </x:c>
      <x:c r="I1170" s="382" t="n">
        <x:f>SUMIFS('Climate Data'!$H$7:$H$366,'Climate Data'!$A$7:$A$366,'Estimator'!$B$4,'Climate Data'!$B$7:$B$366,C1170)</x:f>
        <x:v>9.709821428571429</x:v>
      </x:c>
      <x:c r="J1170" s="381" t="n">
        <x:f>SUMIFS('Wind Proxy'!$H$8:$H$19,'Wind Proxy'!$A$8:$A$19,'Estimator'!$B$4,'Wind Proxy'!$B$8:$B$19,C1170)</x:f>
        <x:v>0.11350059737156513</x:v>
      </x:c>
    </x:row>
    <x:row r="1171">
      <x:c r="A1171" s="379" t="n">
        <x:v>46822</x:v>
      </x:c>
      <x:c r="B1171" s="380" t="n">
        <x:v>2028</x:v>
      </x:c>
      <x:c r="C1171" s="380" t="n">
        <x:v>3</x:v>
      </x:c>
      <x:c r="D1171" s="380" t="str">
        <x:v>Mar</x:v>
      </x:c>
      <x:c r="E1171" s="380" t="n">
        <x:v>10</x:v>
      </x:c>
      <x:c r="F1171" s="380" t="n">
        <x:v>5</x:v>
      </x:c>
      <x:c r="G1171" s="380" t="n">
        <x:f>--(F1171&lt;='Estimator'!$B$7)</x:f>
        <x:v>1</x:v>
      </x:c>
      <x:c r="H1171" s="381" t="n">
        <x:f>SUMIFS('Climate Data'!$G$7:$G$366,'Climate Data'!$A$7:$A$366,'Estimator'!$B$4,'Climate Data'!$B$7:$B$366,C1171)</x:f>
        <x:v>0.24916573971078979</x:v>
      </x:c>
      <x:c r="I1171" s="382" t="n">
        <x:f>SUMIFS('Climate Data'!$H$7:$H$366,'Climate Data'!$A$7:$A$366,'Estimator'!$B$4,'Climate Data'!$B$7:$B$366,C1171)</x:f>
        <x:v>9.709821428571429</x:v>
      </x:c>
      <x:c r="J1171" s="381" t="n">
        <x:f>SUMIFS('Wind Proxy'!$H$8:$H$19,'Wind Proxy'!$A$8:$A$19,'Estimator'!$B$4,'Wind Proxy'!$B$8:$B$19,C1171)</x:f>
        <x:v>0.11350059737156513</x:v>
      </x:c>
    </x:row>
    <x:row r="1172">
      <x:c r="A1172" s="379" t="n">
        <x:v>46823</x:v>
      </x:c>
      <x:c r="B1172" s="380" t="n">
        <x:v>2028</x:v>
      </x:c>
      <x:c r="C1172" s="380" t="n">
        <x:v>3</x:v>
      </x:c>
      <x:c r="D1172" s="380" t="str">
        <x:v>Mar</x:v>
      </x:c>
      <x:c r="E1172" s="380" t="n">
        <x:v>11</x:v>
      </x:c>
      <x:c r="F1172" s="380" t="n">
        <x:v>6</x:v>
      </x:c>
      <x:c r="G1172" s="380" t="n">
        <x:f>--(F1172&lt;='Estimator'!$B$7)</x:f>
        <x:v>0</x:v>
      </x:c>
      <x:c r="H1172" s="381" t="n">
        <x:f>SUMIFS('Climate Data'!$G$7:$G$366,'Climate Data'!$A$7:$A$366,'Estimator'!$B$4,'Climate Data'!$B$7:$B$366,C1172)</x:f>
        <x:v>0.24916573971078979</x:v>
      </x:c>
      <x:c r="I1172" s="382" t="n">
        <x:f>SUMIFS('Climate Data'!$H$7:$H$366,'Climate Data'!$A$7:$A$366,'Estimator'!$B$4,'Climate Data'!$B$7:$B$366,C1172)</x:f>
        <x:v>9.709821428571429</x:v>
      </x:c>
      <x:c r="J1172" s="381" t="n">
        <x:f>SUMIFS('Wind Proxy'!$H$8:$H$19,'Wind Proxy'!$A$8:$A$19,'Estimator'!$B$4,'Wind Proxy'!$B$8:$B$19,C1172)</x:f>
        <x:v>0.11350059737156513</x:v>
      </x:c>
    </x:row>
    <x:row r="1173">
      <x:c r="A1173" s="379" t="n">
        <x:v>46824</x:v>
      </x:c>
      <x:c r="B1173" s="380" t="n">
        <x:v>2028</x:v>
      </x:c>
      <x:c r="C1173" s="380" t="n">
        <x:v>3</x:v>
      </x:c>
      <x:c r="D1173" s="380" t="str">
        <x:v>Mar</x:v>
      </x:c>
      <x:c r="E1173" s="380" t="n">
        <x:v>12</x:v>
      </x:c>
      <x:c r="F1173" s="380" t="n">
        <x:v>7</x:v>
      </x:c>
      <x:c r="G1173" s="380" t="n">
        <x:f>--(F1173&lt;='Estimator'!$B$7)</x:f>
        <x:v>0</x:v>
      </x:c>
      <x:c r="H1173" s="381" t="n">
        <x:f>SUMIFS('Climate Data'!$G$7:$G$366,'Climate Data'!$A$7:$A$366,'Estimator'!$B$4,'Climate Data'!$B$7:$B$366,C1173)</x:f>
        <x:v>0.24916573971078979</x:v>
      </x:c>
      <x:c r="I1173" s="382" t="n">
        <x:f>SUMIFS('Climate Data'!$H$7:$H$366,'Climate Data'!$A$7:$A$366,'Estimator'!$B$4,'Climate Data'!$B$7:$B$366,C1173)</x:f>
        <x:v>9.709821428571429</x:v>
      </x:c>
      <x:c r="J1173" s="381" t="n">
        <x:f>SUMIFS('Wind Proxy'!$H$8:$H$19,'Wind Proxy'!$A$8:$A$19,'Estimator'!$B$4,'Wind Proxy'!$B$8:$B$19,C1173)</x:f>
        <x:v>0.11350059737156513</x:v>
      </x:c>
    </x:row>
    <x:row r="1174">
      <x:c r="A1174" s="379" t="n">
        <x:v>46825</x:v>
      </x:c>
      <x:c r="B1174" s="380" t="n">
        <x:v>2028</x:v>
      </x:c>
      <x:c r="C1174" s="380" t="n">
        <x:v>3</x:v>
      </x:c>
      <x:c r="D1174" s="380" t="str">
        <x:v>Mar</x:v>
      </x:c>
      <x:c r="E1174" s="380" t="n">
        <x:v>13</x:v>
      </x:c>
      <x:c r="F1174" s="380" t="n">
        <x:v>1</x:v>
      </x:c>
      <x:c r="G1174" s="380" t="n">
        <x:f>--(F1174&lt;='Estimator'!$B$7)</x:f>
        <x:v>1</x:v>
      </x:c>
      <x:c r="H1174" s="381" t="n">
        <x:f>SUMIFS('Climate Data'!$G$7:$G$366,'Climate Data'!$A$7:$A$366,'Estimator'!$B$4,'Climate Data'!$B$7:$B$366,C1174)</x:f>
        <x:v>0.24916573971078979</x:v>
      </x:c>
      <x:c r="I1174" s="382" t="n">
        <x:f>SUMIFS('Climate Data'!$H$7:$H$366,'Climate Data'!$A$7:$A$366,'Estimator'!$B$4,'Climate Data'!$B$7:$B$366,C1174)</x:f>
        <x:v>9.709821428571429</x:v>
      </x:c>
      <x:c r="J1174" s="381" t="n">
        <x:f>SUMIFS('Wind Proxy'!$H$8:$H$19,'Wind Proxy'!$A$8:$A$19,'Estimator'!$B$4,'Wind Proxy'!$B$8:$B$19,C1174)</x:f>
        <x:v>0.11350059737156513</x:v>
      </x:c>
    </x:row>
    <x:row r="1175">
      <x:c r="A1175" s="379" t="n">
        <x:v>46826</x:v>
      </x:c>
      <x:c r="B1175" s="380" t="n">
        <x:v>2028</x:v>
      </x:c>
      <x:c r="C1175" s="380" t="n">
        <x:v>3</x:v>
      </x:c>
      <x:c r="D1175" s="380" t="str">
        <x:v>Mar</x:v>
      </x:c>
      <x:c r="E1175" s="380" t="n">
        <x:v>14</x:v>
      </x:c>
      <x:c r="F1175" s="380" t="n">
        <x:v>2</x:v>
      </x:c>
      <x:c r="G1175" s="380" t="n">
        <x:f>--(F1175&lt;='Estimator'!$B$7)</x:f>
        <x:v>1</x:v>
      </x:c>
      <x:c r="H1175" s="381" t="n">
        <x:f>SUMIFS('Climate Data'!$G$7:$G$366,'Climate Data'!$A$7:$A$366,'Estimator'!$B$4,'Climate Data'!$B$7:$B$366,C1175)</x:f>
        <x:v>0.24916573971078979</x:v>
      </x:c>
      <x:c r="I1175" s="382" t="n">
        <x:f>SUMIFS('Climate Data'!$H$7:$H$366,'Climate Data'!$A$7:$A$366,'Estimator'!$B$4,'Climate Data'!$B$7:$B$366,C1175)</x:f>
        <x:v>9.709821428571429</x:v>
      </x:c>
      <x:c r="J1175" s="381" t="n">
        <x:f>SUMIFS('Wind Proxy'!$H$8:$H$19,'Wind Proxy'!$A$8:$A$19,'Estimator'!$B$4,'Wind Proxy'!$B$8:$B$19,C1175)</x:f>
        <x:v>0.11350059737156513</x:v>
      </x:c>
    </x:row>
    <x:row r="1176">
      <x:c r="A1176" s="379" t="n">
        <x:v>46827</x:v>
      </x:c>
      <x:c r="B1176" s="380" t="n">
        <x:v>2028</x:v>
      </x:c>
      <x:c r="C1176" s="380" t="n">
        <x:v>3</x:v>
      </x:c>
      <x:c r="D1176" s="380" t="str">
        <x:v>Mar</x:v>
      </x:c>
      <x:c r="E1176" s="380" t="n">
        <x:v>15</x:v>
      </x:c>
      <x:c r="F1176" s="380" t="n">
        <x:v>3</x:v>
      </x:c>
      <x:c r="G1176" s="380" t="n">
        <x:f>--(F1176&lt;='Estimator'!$B$7)</x:f>
        <x:v>1</x:v>
      </x:c>
      <x:c r="H1176" s="381" t="n">
        <x:f>SUMIFS('Climate Data'!$G$7:$G$366,'Climate Data'!$A$7:$A$366,'Estimator'!$B$4,'Climate Data'!$B$7:$B$366,C1176)</x:f>
        <x:v>0.24916573971078979</x:v>
      </x:c>
      <x:c r="I1176" s="382" t="n">
        <x:f>SUMIFS('Climate Data'!$H$7:$H$366,'Climate Data'!$A$7:$A$366,'Estimator'!$B$4,'Climate Data'!$B$7:$B$366,C1176)</x:f>
        <x:v>9.709821428571429</x:v>
      </x:c>
      <x:c r="J1176" s="381" t="n">
        <x:f>SUMIFS('Wind Proxy'!$H$8:$H$19,'Wind Proxy'!$A$8:$A$19,'Estimator'!$B$4,'Wind Proxy'!$B$8:$B$19,C1176)</x:f>
        <x:v>0.11350059737156513</x:v>
      </x:c>
    </x:row>
    <x:row r="1177">
      <x:c r="A1177" s="379" t="n">
        <x:v>46828</x:v>
      </x:c>
      <x:c r="B1177" s="380" t="n">
        <x:v>2028</x:v>
      </x:c>
      <x:c r="C1177" s="380" t="n">
        <x:v>3</x:v>
      </x:c>
      <x:c r="D1177" s="380" t="str">
        <x:v>Mar</x:v>
      </x:c>
      <x:c r="E1177" s="380" t="n">
        <x:v>16</x:v>
      </x:c>
      <x:c r="F1177" s="380" t="n">
        <x:v>4</x:v>
      </x:c>
      <x:c r="G1177" s="380" t="n">
        <x:f>--(F1177&lt;='Estimator'!$B$7)</x:f>
        <x:v>1</x:v>
      </x:c>
      <x:c r="H1177" s="381" t="n">
        <x:f>SUMIFS('Climate Data'!$G$7:$G$366,'Climate Data'!$A$7:$A$366,'Estimator'!$B$4,'Climate Data'!$B$7:$B$366,C1177)</x:f>
        <x:v>0.24916573971078979</x:v>
      </x:c>
      <x:c r="I1177" s="382" t="n">
        <x:f>SUMIFS('Climate Data'!$H$7:$H$366,'Climate Data'!$A$7:$A$366,'Estimator'!$B$4,'Climate Data'!$B$7:$B$366,C1177)</x:f>
        <x:v>9.709821428571429</x:v>
      </x:c>
      <x:c r="J1177" s="381" t="n">
        <x:f>SUMIFS('Wind Proxy'!$H$8:$H$19,'Wind Proxy'!$A$8:$A$19,'Estimator'!$B$4,'Wind Proxy'!$B$8:$B$19,C1177)</x:f>
        <x:v>0.11350059737156513</x:v>
      </x:c>
    </x:row>
    <x:row r="1178">
      <x:c r="A1178" s="379" t="n">
        <x:v>46829</x:v>
      </x:c>
      <x:c r="B1178" s="380" t="n">
        <x:v>2028</x:v>
      </x:c>
      <x:c r="C1178" s="380" t="n">
        <x:v>3</x:v>
      </x:c>
      <x:c r="D1178" s="380" t="str">
        <x:v>Mar</x:v>
      </x:c>
      <x:c r="E1178" s="380" t="n">
        <x:v>17</x:v>
      </x:c>
      <x:c r="F1178" s="380" t="n">
        <x:v>5</x:v>
      </x:c>
      <x:c r="G1178" s="380" t="n">
        <x:f>--(F1178&lt;='Estimator'!$B$7)</x:f>
        <x:v>1</x:v>
      </x:c>
      <x:c r="H1178" s="381" t="n">
        <x:f>SUMIFS('Climate Data'!$G$7:$G$366,'Climate Data'!$A$7:$A$366,'Estimator'!$B$4,'Climate Data'!$B$7:$B$366,C1178)</x:f>
        <x:v>0.24916573971078979</x:v>
      </x:c>
      <x:c r="I1178" s="382" t="n">
        <x:f>SUMIFS('Climate Data'!$H$7:$H$366,'Climate Data'!$A$7:$A$366,'Estimator'!$B$4,'Climate Data'!$B$7:$B$366,C1178)</x:f>
        <x:v>9.709821428571429</x:v>
      </x:c>
      <x:c r="J1178" s="381" t="n">
        <x:f>SUMIFS('Wind Proxy'!$H$8:$H$19,'Wind Proxy'!$A$8:$A$19,'Estimator'!$B$4,'Wind Proxy'!$B$8:$B$19,C1178)</x:f>
        <x:v>0.11350059737156513</x:v>
      </x:c>
    </x:row>
    <x:row r="1179">
      <x:c r="A1179" s="379" t="n">
        <x:v>46830</x:v>
      </x:c>
      <x:c r="B1179" s="380" t="n">
        <x:v>2028</x:v>
      </x:c>
      <x:c r="C1179" s="380" t="n">
        <x:v>3</x:v>
      </x:c>
      <x:c r="D1179" s="380" t="str">
        <x:v>Mar</x:v>
      </x:c>
      <x:c r="E1179" s="380" t="n">
        <x:v>18</x:v>
      </x:c>
      <x:c r="F1179" s="380" t="n">
        <x:v>6</x:v>
      </x:c>
      <x:c r="G1179" s="380" t="n">
        <x:f>--(F1179&lt;='Estimator'!$B$7)</x:f>
        <x:v>0</x:v>
      </x:c>
      <x:c r="H1179" s="381" t="n">
        <x:f>SUMIFS('Climate Data'!$G$7:$G$366,'Climate Data'!$A$7:$A$366,'Estimator'!$B$4,'Climate Data'!$B$7:$B$366,C1179)</x:f>
        <x:v>0.24916573971078979</x:v>
      </x:c>
      <x:c r="I1179" s="382" t="n">
        <x:f>SUMIFS('Climate Data'!$H$7:$H$366,'Climate Data'!$A$7:$A$366,'Estimator'!$B$4,'Climate Data'!$B$7:$B$366,C1179)</x:f>
        <x:v>9.709821428571429</x:v>
      </x:c>
      <x:c r="J1179" s="381" t="n">
        <x:f>SUMIFS('Wind Proxy'!$H$8:$H$19,'Wind Proxy'!$A$8:$A$19,'Estimator'!$B$4,'Wind Proxy'!$B$8:$B$19,C1179)</x:f>
        <x:v>0.11350059737156513</x:v>
      </x:c>
    </x:row>
    <x:row r="1180">
      <x:c r="A1180" s="379" t="n">
        <x:v>46831</x:v>
      </x:c>
      <x:c r="B1180" s="380" t="n">
        <x:v>2028</x:v>
      </x:c>
      <x:c r="C1180" s="380" t="n">
        <x:v>3</x:v>
      </x:c>
      <x:c r="D1180" s="380" t="str">
        <x:v>Mar</x:v>
      </x:c>
      <x:c r="E1180" s="380" t="n">
        <x:v>19</x:v>
      </x:c>
      <x:c r="F1180" s="380" t="n">
        <x:v>7</x:v>
      </x:c>
      <x:c r="G1180" s="380" t="n">
        <x:f>--(F1180&lt;='Estimator'!$B$7)</x:f>
        <x:v>0</x:v>
      </x:c>
      <x:c r="H1180" s="381" t="n">
        <x:f>SUMIFS('Climate Data'!$G$7:$G$366,'Climate Data'!$A$7:$A$366,'Estimator'!$B$4,'Climate Data'!$B$7:$B$366,C1180)</x:f>
        <x:v>0.24916573971078979</x:v>
      </x:c>
      <x:c r="I1180" s="382" t="n">
        <x:f>SUMIFS('Climate Data'!$H$7:$H$366,'Climate Data'!$A$7:$A$366,'Estimator'!$B$4,'Climate Data'!$B$7:$B$366,C1180)</x:f>
        <x:v>9.709821428571429</x:v>
      </x:c>
      <x:c r="J1180" s="381" t="n">
        <x:f>SUMIFS('Wind Proxy'!$H$8:$H$19,'Wind Proxy'!$A$8:$A$19,'Estimator'!$B$4,'Wind Proxy'!$B$8:$B$19,C1180)</x:f>
        <x:v>0.11350059737156513</x:v>
      </x:c>
    </x:row>
    <x:row r="1181">
      <x:c r="A1181" s="379" t="n">
        <x:v>46832</x:v>
      </x:c>
      <x:c r="B1181" s="380" t="n">
        <x:v>2028</x:v>
      </x:c>
      <x:c r="C1181" s="380" t="n">
        <x:v>3</x:v>
      </x:c>
      <x:c r="D1181" s="380" t="str">
        <x:v>Mar</x:v>
      </x:c>
      <x:c r="E1181" s="380" t="n">
        <x:v>20</x:v>
      </x:c>
      <x:c r="F1181" s="380" t="n">
        <x:v>1</x:v>
      </x:c>
      <x:c r="G1181" s="380" t="n">
        <x:f>--(F1181&lt;='Estimator'!$B$7)</x:f>
        <x:v>1</x:v>
      </x:c>
      <x:c r="H1181" s="381" t="n">
        <x:f>SUMIFS('Climate Data'!$G$7:$G$366,'Climate Data'!$A$7:$A$366,'Estimator'!$B$4,'Climate Data'!$B$7:$B$366,C1181)</x:f>
        <x:v>0.24916573971078979</x:v>
      </x:c>
      <x:c r="I1181" s="382" t="n">
        <x:f>SUMIFS('Climate Data'!$H$7:$H$366,'Climate Data'!$A$7:$A$366,'Estimator'!$B$4,'Climate Data'!$B$7:$B$366,C1181)</x:f>
        <x:v>9.709821428571429</x:v>
      </x:c>
      <x:c r="J1181" s="381" t="n">
        <x:f>SUMIFS('Wind Proxy'!$H$8:$H$19,'Wind Proxy'!$A$8:$A$19,'Estimator'!$B$4,'Wind Proxy'!$B$8:$B$19,C1181)</x:f>
        <x:v>0.11350059737156513</x:v>
      </x:c>
    </x:row>
    <x:row r="1182">
      <x:c r="A1182" s="379" t="n">
        <x:v>46833</x:v>
      </x:c>
      <x:c r="B1182" s="380" t="n">
        <x:v>2028</x:v>
      </x:c>
      <x:c r="C1182" s="380" t="n">
        <x:v>3</x:v>
      </x:c>
      <x:c r="D1182" s="380" t="str">
        <x:v>Mar</x:v>
      </x:c>
      <x:c r="E1182" s="380" t="n">
        <x:v>21</x:v>
      </x:c>
      <x:c r="F1182" s="380" t="n">
        <x:v>2</x:v>
      </x:c>
      <x:c r="G1182" s="380" t="n">
        <x:f>--(F1182&lt;='Estimator'!$B$7)</x:f>
        <x:v>1</x:v>
      </x:c>
      <x:c r="H1182" s="381" t="n">
        <x:f>SUMIFS('Climate Data'!$G$7:$G$366,'Climate Data'!$A$7:$A$366,'Estimator'!$B$4,'Climate Data'!$B$7:$B$366,C1182)</x:f>
        <x:v>0.24916573971078979</x:v>
      </x:c>
      <x:c r="I1182" s="382" t="n">
        <x:f>SUMIFS('Climate Data'!$H$7:$H$366,'Climate Data'!$A$7:$A$366,'Estimator'!$B$4,'Climate Data'!$B$7:$B$366,C1182)</x:f>
        <x:v>9.709821428571429</x:v>
      </x:c>
      <x:c r="J1182" s="381" t="n">
        <x:f>SUMIFS('Wind Proxy'!$H$8:$H$19,'Wind Proxy'!$A$8:$A$19,'Estimator'!$B$4,'Wind Proxy'!$B$8:$B$19,C1182)</x:f>
        <x:v>0.11350059737156513</x:v>
      </x:c>
    </x:row>
    <x:row r="1183">
      <x:c r="A1183" s="379" t="n">
        <x:v>46834</x:v>
      </x:c>
      <x:c r="B1183" s="380" t="n">
        <x:v>2028</x:v>
      </x:c>
      <x:c r="C1183" s="380" t="n">
        <x:v>3</x:v>
      </x:c>
      <x:c r="D1183" s="380" t="str">
        <x:v>Mar</x:v>
      </x:c>
      <x:c r="E1183" s="380" t="n">
        <x:v>22</x:v>
      </x:c>
      <x:c r="F1183" s="380" t="n">
        <x:v>3</x:v>
      </x:c>
      <x:c r="G1183" s="380" t="n">
        <x:f>--(F1183&lt;='Estimator'!$B$7)</x:f>
        <x:v>1</x:v>
      </x:c>
      <x:c r="H1183" s="381" t="n">
        <x:f>SUMIFS('Climate Data'!$G$7:$G$366,'Climate Data'!$A$7:$A$366,'Estimator'!$B$4,'Climate Data'!$B$7:$B$366,C1183)</x:f>
        <x:v>0.24916573971078979</x:v>
      </x:c>
      <x:c r="I1183" s="382" t="n">
        <x:f>SUMIFS('Climate Data'!$H$7:$H$366,'Climate Data'!$A$7:$A$366,'Estimator'!$B$4,'Climate Data'!$B$7:$B$366,C1183)</x:f>
        <x:v>9.709821428571429</x:v>
      </x:c>
      <x:c r="J1183" s="381" t="n">
        <x:f>SUMIFS('Wind Proxy'!$H$8:$H$19,'Wind Proxy'!$A$8:$A$19,'Estimator'!$B$4,'Wind Proxy'!$B$8:$B$19,C1183)</x:f>
        <x:v>0.11350059737156513</x:v>
      </x:c>
    </x:row>
    <x:row r="1184">
      <x:c r="A1184" s="379" t="n">
        <x:v>46835</x:v>
      </x:c>
      <x:c r="B1184" s="380" t="n">
        <x:v>2028</x:v>
      </x:c>
      <x:c r="C1184" s="380" t="n">
        <x:v>3</x:v>
      </x:c>
      <x:c r="D1184" s="380" t="str">
        <x:v>Mar</x:v>
      </x:c>
      <x:c r="E1184" s="380" t="n">
        <x:v>23</x:v>
      </x:c>
      <x:c r="F1184" s="380" t="n">
        <x:v>4</x:v>
      </x:c>
      <x:c r="G1184" s="380" t="n">
        <x:f>--(F1184&lt;='Estimator'!$B$7)</x:f>
        <x:v>1</x:v>
      </x:c>
      <x:c r="H1184" s="381" t="n">
        <x:f>SUMIFS('Climate Data'!$G$7:$G$366,'Climate Data'!$A$7:$A$366,'Estimator'!$B$4,'Climate Data'!$B$7:$B$366,C1184)</x:f>
        <x:v>0.24916573971078979</x:v>
      </x:c>
      <x:c r="I1184" s="382" t="n">
        <x:f>SUMIFS('Climate Data'!$H$7:$H$366,'Climate Data'!$A$7:$A$366,'Estimator'!$B$4,'Climate Data'!$B$7:$B$366,C1184)</x:f>
        <x:v>9.709821428571429</x:v>
      </x:c>
      <x:c r="J1184" s="381" t="n">
        <x:f>SUMIFS('Wind Proxy'!$H$8:$H$19,'Wind Proxy'!$A$8:$A$19,'Estimator'!$B$4,'Wind Proxy'!$B$8:$B$19,C1184)</x:f>
        <x:v>0.11350059737156513</x:v>
      </x:c>
    </x:row>
    <x:row r="1185">
      <x:c r="A1185" s="379" t="n">
        <x:v>46836</x:v>
      </x:c>
      <x:c r="B1185" s="380" t="n">
        <x:v>2028</x:v>
      </x:c>
      <x:c r="C1185" s="380" t="n">
        <x:v>3</x:v>
      </x:c>
      <x:c r="D1185" s="380" t="str">
        <x:v>Mar</x:v>
      </x:c>
      <x:c r="E1185" s="380" t="n">
        <x:v>24</x:v>
      </x:c>
      <x:c r="F1185" s="380" t="n">
        <x:v>5</x:v>
      </x:c>
      <x:c r="G1185" s="380" t="n">
        <x:f>--(F1185&lt;='Estimator'!$B$7)</x:f>
        <x:v>1</x:v>
      </x:c>
      <x:c r="H1185" s="381" t="n">
        <x:f>SUMIFS('Climate Data'!$G$7:$G$366,'Climate Data'!$A$7:$A$366,'Estimator'!$B$4,'Climate Data'!$B$7:$B$366,C1185)</x:f>
        <x:v>0.24916573971078979</x:v>
      </x:c>
      <x:c r="I1185" s="382" t="n">
        <x:f>SUMIFS('Climate Data'!$H$7:$H$366,'Climate Data'!$A$7:$A$366,'Estimator'!$B$4,'Climate Data'!$B$7:$B$366,C1185)</x:f>
        <x:v>9.709821428571429</x:v>
      </x:c>
      <x:c r="J1185" s="381" t="n">
        <x:f>SUMIFS('Wind Proxy'!$H$8:$H$19,'Wind Proxy'!$A$8:$A$19,'Estimator'!$B$4,'Wind Proxy'!$B$8:$B$19,C1185)</x:f>
        <x:v>0.11350059737156513</x:v>
      </x:c>
    </x:row>
    <x:row r="1186">
      <x:c r="A1186" s="379" t="n">
        <x:v>46837</x:v>
      </x:c>
      <x:c r="B1186" s="380" t="n">
        <x:v>2028</x:v>
      </x:c>
      <x:c r="C1186" s="380" t="n">
        <x:v>3</x:v>
      </x:c>
      <x:c r="D1186" s="380" t="str">
        <x:v>Mar</x:v>
      </x:c>
      <x:c r="E1186" s="380" t="n">
        <x:v>25</x:v>
      </x:c>
      <x:c r="F1186" s="380" t="n">
        <x:v>6</x:v>
      </x:c>
      <x:c r="G1186" s="380" t="n">
        <x:f>--(F1186&lt;='Estimator'!$B$7)</x:f>
        <x:v>0</x:v>
      </x:c>
      <x:c r="H1186" s="381" t="n">
        <x:f>SUMIFS('Climate Data'!$G$7:$G$366,'Climate Data'!$A$7:$A$366,'Estimator'!$B$4,'Climate Data'!$B$7:$B$366,C1186)</x:f>
        <x:v>0.24916573971078979</x:v>
      </x:c>
      <x:c r="I1186" s="382" t="n">
        <x:f>SUMIFS('Climate Data'!$H$7:$H$366,'Climate Data'!$A$7:$A$366,'Estimator'!$B$4,'Climate Data'!$B$7:$B$366,C1186)</x:f>
        <x:v>9.709821428571429</x:v>
      </x:c>
      <x:c r="J1186" s="381" t="n">
        <x:f>SUMIFS('Wind Proxy'!$H$8:$H$19,'Wind Proxy'!$A$8:$A$19,'Estimator'!$B$4,'Wind Proxy'!$B$8:$B$19,C1186)</x:f>
        <x:v>0.11350059737156513</x:v>
      </x:c>
    </x:row>
    <x:row r="1187">
      <x:c r="A1187" s="379" t="n">
        <x:v>46838</x:v>
      </x:c>
      <x:c r="B1187" s="380" t="n">
        <x:v>2028</x:v>
      </x:c>
      <x:c r="C1187" s="380" t="n">
        <x:v>3</x:v>
      </x:c>
      <x:c r="D1187" s="380" t="str">
        <x:v>Mar</x:v>
      </x:c>
      <x:c r="E1187" s="380" t="n">
        <x:v>26</x:v>
      </x:c>
      <x:c r="F1187" s="380" t="n">
        <x:v>7</x:v>
      </x:c>
      <x:c r="G1187" s="380" t="n">
        <x:f>--(F1187&lt;='Estimator'!$B$7)</x:f>
        <x:v>0</x:v>
      </x:c>
      <x:c r="H1187" s="381" t="n">
        <x:f>SUMIFS('Climate Data'!$G$7:$G$366,'Climate Data'!$A$7:$A$366,'Estimator'!$B$4,'Climate Data'!$B$7:$B$366,C1187)</x:f>
        <x:v>0.24916573971078979</x:v>
      </x:c>
      <x:c r="I1187" s="382" t="n">
        <x:f>SUMIFS('Climate Data'!$H$7:$H$366,'Climate Data'!$A$7:$A$366,'Estimator'!$B$4,'Climate Data'!$B$7:$B$366,C1187)</x:f>
        <x:v>9.709821428571429</x:v>
      </x:c>
      <x:c r="J1187" s="381" t="n">
        <x:f>SUMIFS('Wind Proxy'!$H$8:$H$19,'Wind Proxy'!$A$8:$A$19,'Estimator'!$B$4,'Wind Proxy'!$B$8:$B$19,C1187)</x:f>
        <x:v>0.11350059737156513</x:v>
      </x:c>
    </x:row>
    <x:row r="1188">
      <x:c r="A1188" s="379" t="n">
        <x:v>46839</x:v>
      </x:c>
      <x:c r="B1188" s="380" t="n">
        <x:v>2028</x:v>
      </x:c>
      <x:c r="C1188" s="380" t="n">
        <x:v>3</x:v>
      </x:c>
      <x:c r="D1188" s="380" t="str">
        <x:v>Mar</x:v>
      </x:c>
      <x:c r="E1188" s="380" t="n">
        <x:v>27</x:v>
      </x:c>
      <x:c r="F1188" s="380" t="n">
        <x:v>1</x:v>
      </x:c>
      <x:c r="G1188" s="380" t="n">
        <x:f>--(F1188&lt;='Estimator'!$B$7)</x:f>
        <x:v>1</x:v>
      </x:c>
      <x:c r="H1188" s="381" t="n">
        <x:f>SUMIFS('Climate Data'!$G$7:$G$366,'Climate Data'!$A$7:$A$366,'Estimator'!$B$4,'Climate Data'!$B$7:$B$366,C1188)</x:f>
        <x:v>0.24916573971078979</x:v>
      </x:c>
      <x:c r="I1188" s="382" t="n">
        <x:f>SUMIFS('Climate Data'!$H$7:$H$366,'Climate Data'!$A$7:$A$366,'Estimator'!$B$4,'Climate Data'!$B$7:$B$366,C1188)</x:f>
        <x:v>9.709821428571429</x:v>
      </x:c>
      <x:c r="J1188" s="381" t="n">
        <x:f>SUMIFS('Wind Proxy'!$H$8:$H$19,'Wind Proxy'!$A$8:$A$19,'Estimator'!$B$4,'Wind Proxy'!$B$8:$B$19,C1188)</x:f>
        <x:v>0.11350059737156513</x:v>
      </x:c>
    </x:row>
    <x:row r="1189">
      <x:c r="A1189" s="379" t="n">
        <x:v>46840</x:v>
      </x:c>
      <x:c r="B1189" s="380" t="n">
        <x:v>2028</x:v>
      </x:c>
      <x:c r="C1189" s="380" t="n">
        <x:v>3</x:v>
      </x:c>
      <x:c r="D1189" s="380" t="str">
        <x:v>Mar</x:v>
      </x:c>
      <x:c r="E1189" s="380" t="n">
        <x:v>28</x:v>
      </x:c>
      <x:c r="F1189" s="380" t="n">
        <x:v>2</x:v>
      </x:c>
      <x:c r="G1189" s="380" t="n">
        <x:f>--(F1189&lt;='Estimator'!$B$7)</x:f>
        <x:v>1</x:v>
      </x:c>
      <x:c r="H1189" s="381" t="n">
        <x:f>SUMIFS('Climate Data'!$G$7:$G$366,'Climate Data'!$A$7:$A$366,'Estimator'!$B$4,'Climate Data'!$B$7:$B$366,C1189)</x:f>
        <x:v>0.24916573971078979</x:v>
      </x:c>
      <x:c r="I1189" s="382" t="n">
        <x:f>SUMIFS('Climate Data'!$H$7:$H$366,'Climate Data'!$A$7:$A$366,'Estimator'!$B$4,'Climate Data'!$B$7:$B$366,C1189)</x:f>
        <x:v>9.709821428571429</x:v>
      </x:c>
      <x:c r="J1189" s="381" t="n">
        <x:f>SUMIFS('Wind Proxy'!$H$8:$H$19,'Wind Proxy'!$A$8:$A$19,'Estimator'!$B$4,'Wind Proxy'!$B$8:$B$19,C1189)</x:f>
        <x:v>0.11350059737156513</x:v>
      </x:c>
    </x:row>
    <x:row r="1190">
      <x:c r="A1190" s="379" t="n">
        <x:v>46841</x:v>
      </x:c>
      <x:c r="B1190" s="380" t="n">
        <x:v>2028</x:v>
      </x:c>
      <x:c r="C1190" s="380" t="n">
        <x:v>3</x:v>
      </x:c>
      <x:c r="D1190" s="380" t="str">
        <x:v>Mar</x:v>
      </x:c>
      <x:c r="E1190" s="380" t="n">
        <x:v>29</x:v>
      </x:c>
      <x:c r="F1190" s="380" t="n">
        <x:v>3</x:v>
      </x:c>
      <x:c r="G1190" s="380" t="n">
        <x:f>--(F1190&lt;='Estimator'!$B$7)</x:f>
        <x:v>1</x:v>
      </x:c>
      <x:c r="H1190" s="381" t="n">
        <x:f>SUMIFS('Climate Data'!$G$7:$G$366,'Climate Data'!$A$7:$A$366,'Estimator'!$B$4,'Climate Data'!$B$7:$B$366,C1190)</x:f>
        <x:v>0.24916573971078979</x:v>
      </x:c>
      <x:c r="I1190" s="382" t="n">
        <x:f>SUMIFS('Climate Data'!$H$7:$H$366,'Climate Data'!$A$7:$A$366,'Estimator'!$B$4,'Climate Data'!$B$7:$B$366,C1190)</x:f>
        <x:v>9.709821428571429</x:v>
      </x:c>
      <x:c r="J1190" s="381" t="n">
        <x:f>SUMIFS('Wind Proxy'!$H$8:$H$19,'Wind Proxy'!$A$8:$A$19,'Estimator'!$B$4,'Wind Proxy'!$B$8:$B$19,C1190)</x:f>
        <x:v>0.11350059737156513</x:v>
      </x:c>
    </x:row>
    <x:row r="1191">
      <x:c r="A1191" s="379" t="n">
        <x:v>46842</x:v>
      </x:c>
      <x:c r="B1191" s="380" t="n">
        <x:v>2028</x:v>
      </x:c>
      <x:c r="C1191" s="380" t="n">
        <x:v>3</x:v>
      </x:c>
      <x:c r="D1191" s="380" t="str">
        <x:v>Mar</x:v>
      </x:c>
      <x:c r="E1191" s="380" t="n">
        <x:v>30</x:v>
      </x:c>
      <x:c r="F1191" s="380" t="n">
        <x:v>4</x:v>
      </x:c>
      <x:c r="G1191" s="380" t="n">
        <x:f>--(F1191&lt;='Estimator'!$B$7)</x:f>
        <x:v>1</x:v>
      </x:c>
      <x:c r="H1191" s="381" t="n">
        <x:f>SUMIFS('Climate Data'!$G$7:$G$366,'Climate Data'!$A$7:$A$366,'Estimator'!$B$4,'Climate Data'!$B$7:$B$366,C1191)</x:f>
        <x:v>0.24916573971078979</x:v>
      </x:c>
      <x:c r="I1191" s="382" t="n">
        <x:f>SUMIFS('Climate Data'!$H$7:$H$366,'Climate Data'!$A$7:$A$366,'Estimator'!$B$4,'Climate Data'!$B$7:$B$366,C1191)</x:f>
        <x:v>9.709821428571429</x:v>
      </x:c>
      <x:c r="J1191" s="381" t="n">
        <x:f>SUMIFS('Wind Proxy'!$H$8:$H$19,'Wind Proxy'!$A$8:$A$19,'Estimator'!$B$4,'Wind Proxy'!$B$8:$B$19,C1191)</x:f>
        <x:v>0.11350059737156513</x:v>
      </x:c>
    </x:row>
    <x:row r="1192">
      <x:c r="A1192" s="379" t="n">
        <x:v>46843</x:v>
      </x:c>
      <x:c r="B1192" s="380" t="n">
        <x:v>2028</x:v>
      </x:c>
      <x:c r="C1192" s="380" t="n">
        <x:v>3</x:v>
      </x:c>
      <x:c r="D1192" s="380" t="str">
        <x:v>Mar</x:v>
      </x:c>
      <x:c r="E1192" s="380" t="n">
        <x:v>31</x:v>
      </x:c>
      <x:c r="F1192" s="380" t="n">
        <x:v>5</x:v>
      </x:c>
      <x:c r="G1192" s="380" t="n">
        <x:f>--(F1192&lt;='Estimator'!$B$7)</x:f>
        <x:v>1</x:v>
      </x:c>
      <x:c r="H1192" s="381" t="n">
        <x:f>SUMIFS('Climate Data'!$G$7:$G$366,'Climate Data'!$A$7:$A$366,'Estimator'!$B$4,'Climate Data'!$B$7:$B$366,C1192)</x:f>
        <x:v>0.24916573971078979</x:v>
      </x:c>
      <x:c r="I1192" s="382" t="n">
        <x:f>SUMIFS('Climate Data'!$H$7:$H$366,'Climate Data'!$A$7:$A$366,'Estimator'!$B$4,'Climate Data'!$B$7:$B$366,C1192)</x:f>
        <x:v>9.709821428571429</x:v>
      </x:c>
      <x:c r="J1192" s="381" t="n">
        <x:f>SUMIFS('Wind Proxy'!$H$8:$H$19,'Wind Proxy'!$A$8:$A$19,'Estimator'!$B$4,'Wind Proxy'!$B$8:$B$19,C1192)</x:f>
        <x:v>0.11350059737156513</x:v>
      </x:c>
    </x:row>
    <x:row r="1193">
      <x:c r="A1193" s="379" t="n">
        <x:v>46844</x:v>
      </x:c>
      <x:c r="B1193" s="380" t="n">
        <x:v>2028</x:v>
      </x:c>
      <x:c r="C1193" s="380" t="n">
        <x:v>4</x:v>
      </x:c>
      <x:c r="D1193" s="380" t="str">
        <x:v>Apr</x:v>
      </x:c>
      <x:c r="E1193" s="380" t="n">
        <x:v>1</x:v>
      </x:c>
      <x:c r="F1193" s="380" t="n">
        <x:v>6</x:v>
      </x:c>
      <x:c r="G1193" s="380" t="n">
        <x:f>--(F1193&lt;='Estimator'!$B$7)</x:f>
        <x:v>0</x:v>
      </x:c>
      <x:c r="H1193" s="381" t="n">
        <x:f>SUMIFS('Climate Data'!$G$7:$G$366,'Climate Data'!$A$7:$A$366,'Estimator'!$B$4,'Climate Data'!$B$7:$B$366,C1193)</x:f>
        <x:v>0.32023809523809527</x:v>
      </x:c>
      <x:c r="I1193" s="382" t="n">
        <x:f>SUMIFS('Climate Data'!$H$7:$H$366,'Climate Data'!$A$7:$A$366,'Estimator'!$B$4,'Climate Data'!$B$7:$B$366,C1193)</x:f>
        <x:v>9.066171003717471</x:v>
      </x:c>
      <x:c r="J1193" s="381" t="n">
        <x:f>SUMIFS('Wind Proxy'!$H$8:$H$19,'Wind Proxy'!$A$8:$A$19,'Estimator'!$B$4,'Wind Proxy'!$B$8:$B$19,C1193)</x:f>
        <x:v>0.11728395061728397</x:v>
      </x:c>
    </x:row>
    <x:row r="1194">
      <x:c r="A1194" s="379" t="n">
        <x:v>46845</x:v>
      </x:c>
      <x:c r="B1194" s="380" t="n">
        <x:v>2028</x:v>
      </x:c>
      <x:c r="C1194" s="380" t="n">
        <x:v>4</x:v>
      </x:c>
      <x:c r="D1194" s="380" t="str">
        <x:v>Apr</x:v>
      </x:c>
      <x:c r="E1194" s="380" t="n">
        <x:v>2</x:v>
      </x:c>
      <x:c r="F1194" s="380" t="n">
        <x:v>7</x:v>
      </x:c>
      <x:c r="G1194" s="380" t="n">
        <x:f>--(F1194&lt;='Estimator'!$B$7)</x:f>
        <x:v>0</x:v>
      </x:c>
      <x:c r="H1194" s="381" t="n">
        <x:f>SUMIFS('Climate Data'!$G$7:$G$366,'Climate Data'!$A$7:$A$366,'Estimator'!$B$4,'Climate Data'!$B$7:$B$366,C1194)</x:f>
        <x:v>0.32023809523809527</x:v>
      </x:c>
      <x:c r="I1194" s="382" t="n">
        <x:f>SUMIFS('Climate Data'!$H$7:$H$366,'Climate Data'!$A$7:$A$366,'Estimator'!$B$4,'Climate Data'!$B$7:$B$366,C1194)</x:f>
        <x:v>9.066171003717471</x:v>
      </x:c>
      <x:c r="J1194" s="381" t="n">
        <x:f>SUMIFS('Wind Proxy'!$H$8:$H$19,'Wind Proxy'!$A$8:$A$19,'Estimator'!$B$4,'Wind Proxy'!$B$8:$B$19,C1194)</x:f>
        <x:v>0.11728395061728397</x:v>
      </x:c>
    </x:row>
    <x:row r="1195">
      <x:c r="A1195" s="379" t="n">
        <x:v>46846</x:v>
      </x:c>
      <x:c r="B1195" s="380" t="n">
        <x:v>2028</x:v>
      </x:c>
      <x:c r="C1195" s="380" t="n">
        <x:v>4</x:v>
      </x:c>
      <x:c r="D1195" s="380" t="str">
        <x:v>Apr</x:v>
      </x:c>
      <x:c r="E1195" s="380" t="n">
        <x:v>3</x:v>
      </x:c>
      <x:c r="F1195" s="380" t="n">
        <x:v>1</x:v>
      </x:c>
      <x:c r="G1195" s="380" t="n">
        <x:f>--(F1195&lt;='Estimator'!$B$7)</x:f>
        <x:v>1</x:v>
      </x:c>
      <x:c r="H1195" s="381" t="n">
        <x:f>SUMIFS('Climate Data'!$G$7:$G$366,'Climate Data'!$A$7:$A$366,'Estimator'!$B$4,'Climate Data'!$B$7:$B$366,C1195)</x:f>
        <x:v>0.32023809523809527</x:v>
      </x:c>
      <x:c r="I1195" s="382" t="n">
        <x:f>SUMIFS('Climate Data'!$H$7:$H$366,'Climate Data'!$A$7:$A$366,'Estimator'!$B$4,'Climate Data'!$B$7:$B$366,C1195)</x:f>
        <x:v>9.066171003717471</x:v>
      </x:c>
      <x:c r="J1195" s="381" t="n">
        <x:f>SUMIFS('Wind Proxy'!$H$8:$H$19,'Wind Proxy'!$A$8:$A$19,'Estimator'!$B$4,'Wind Proxy'!$B$8:$B$19,C1195)</x:f>
        <x:v>0.11728395061728397</x:v>
      </x:c>
    </x:row>
    <x:row r="1196">
      <x:c r="A1196" s="379" t="n">
        <x:v>46847</x:v>
      </x:c>
      <x:c r="B1196" s="380" t="n">
        <x:v>2028</x:v>
      </x:c>
      <x:c r="C1196" s="380" t="n">
        <x:v>4</x:v>
      </x:c>
      <x:c r="D1196" s="380" t="str">
        <x:v>Apr</x:v>
      </x:c>
      <x:c r="E1196" s="380" t="n">
        <x:v>4</x:v>
      </x:c>
      <x:c r="F1196" s="380" t="n">
        <x:v>2</x:v>
      </x:c>
      <x:c r="G1196" s="380" t="n">
        <x:f>--(F1196&lt;='Estimator'!$B$7)</x:f>
        <x:v>1</x:v>
      </x:c>
      <x:c r="H1196" s="381" t="n">
        <x:f>SUMIFS('Climate Data'!$G$7:$G$366,'Climate Data'!$A$7:$A$366,'Estimator'!$B$4,'Climate Data'!$B$7:$B$366,C1196)</x:f>
        <x:v>0.32023809523809527</x:v>
      </x:c>
      <x:c r="I1196" s="382" t="n">
        <x:f>SUMIFS('Climate Data'!$H$7:$H$366,'Climate Data'!$A$7:$A$366,'Estimator'!$B$4,'Climate Data'!$B$7:$B$366,C1196)</x:f>
        <x:v>9.066171003717471</x:v>
      </x:c>
      <x:c r="J1196" s="381" t="n">
        <x:f>SUMIFS('Wind Proxy'!$H$8:$H$19,'Wind Proxy'!$A$8:$A$19,'Estimator'!$B$4,'Wind Proxy'!$B$8:$B$19,C1196)</x:f>
        <x:v>0.11728395061728397</x:v>
      </x:c>
    </x:row>
    <x:row r="1197">
      <x:c r="A1197" s="379" t="n">
        <x:v>46848</x:v>
      </x:c>
      <x:c r="B1197" s="380" t="n">
        <x:v>2028</x:v>
      </x:c>
      <x:c r="C1197" s="380" t="n">
        <x:v>4</x:v>
      </x:c>
      <x:c r="D1197" s="380" t="str">
        <x:v>Apr</x:v>
      </x:c>
      <x:c r="E1197" s="380" t="n">
        <x:v>5</x:v>
      </x:c>
      <x:c r="F1197" s="380" t="n">
        <x:v>3</x:v>
      </x:c>
      <x:c r="G1197" s="380" t="n">
        <x:f>--(F1197&lt;='Estimator'!$B$7)</x:f>
        <x:v>1</x:v>
      </x:c>
      <x:c r="H1197" s="381" t="n">
        <x:f>SUMIFS('Climate Data'!$G$7:$G$366,'Climate Data'!$A$7:$A$366,'Estimator'!$B$4,'Climate Data'!$B$7:$B$366,C1197)</x:f>
        <x:v>0.32023809523809527</x:v>
      </x:c>
      <x:c r="I1197" s="382" t="n">
        <x:f>SUMIFS('Climate Data'!$H$7:$H$366,'Climate Data'!$A$7:$A$366,'Estimator'!$B$4,'Climate Data'!$B$7:$B$366,C1197)</x:f>
        <x:v>9.066171003717471</x:v>
      </x:c>
      <x:c r="J1197" s="381" t="n">
        <x:f>SUMIFS('Wind Proxy'!$H$8:$H$19,'Wind Proxy'!$A$8:$A$19,'Estimator'!$B$4,'Wind Proxy'!$B$8:$B$19,C1197)</x:f>
        <x:v>0.11728395061728397</x:v>
      </x:c>
    </x:row>
    <x:row r="1198">
      <x:c r="A1198" s="379" t="n">
        <x:v>46849</x:v>
      </x:c>
      <x:c r="B1198" s="380" t="n">
        <x:v>2028</x:v>
      </x:c>
      <x:c r="C1198" s="380" t="n">
        <x:v>4</x:v>
      </x:c>
      <x:c r="D1198" s="380" t="str">
        <x:v>Apr</x:v>
      </x:c>
      <x:c r="E1198" s="380" t="n">
        <x:v>6</x:v>
      </x:c>
      <x:c r="F1198" s="380" t="n">
        <x:v>4</x:v>
      </x:c>
      <x:c r="G1198" s="380" t="n">
        <x:f>--(F1198&lt;='Estimator'!$B$7)</x:f>
        <x:v>1</x:v>
      </x:c>
      <x:c r="H1198" s="381" t="n">
        <x:f>SUMIFS('Climate Data'!$G$7:$G$366,'Climate Data'!$A$7:$A$366,'Estimator'!$B$4,'Climate Data'!$B$7:$B$366,C1198)</x:f>
        <x:v>0.32023809523809527</x:v>
      </x:c>
      <x:c r="I1198" s="382" t="n">
        <x:f>SUMIFS('Climate Data'!$H$7:$H$366,'Climate Data'!$A$7:$A$366,'Estimator'!$B$4,'Climate Data'!$B$7:$B$366,C1198)</x:f>
        <x:v>9.066171003717471</x:v>
      </x:c>
      <x:c r="J1198" s="381" t="n">
        <x:f>SUMIFS('Wind Proxy'!$H$8:$H$19,'Wind Proxy'!$A$8:$A$19,'Estimator'!$B$4,'Wind Proxy'!$B$8:$B$19,C1198)</x:f>
        <x:v>0.11728395061728397</x:v>
      </x:c>
    </x:row>
    <x:row r="1199">
      <x:c r="A1199" s="379" t="n">
        <x:v>46850</x:v>
      </x:c>
      <x:c r="B1199" s="380" t="n">
        <x:v>2028</x:v>
      </x:c>
      <x:c r="C1199" s="380" t="n">
        <x:v>4</x:v>
      </x:c>
      <x:c r="D1199" s="380" t="str">
        <x:v>Apr</x:v>
      </x:c>
      <x:c r="E1199" s="380" t="n">
        <x:v>7</x:v>
      </x:c>
      <x:c r="F1199" s="380" t="n">
        <x:v>5</x:v>
      </x:c>
      <x:c r="G1199" s="380" t="n">
        <x:f>--(F1199&lt;='Estimator'!$B$7)</x:f>
        <x:v>1</x:v>
      </x:c>
      <x:c r="H1199" s="381" t="n">
        <x:f>SUMIFS('Climate Data'!$G$7:$G$366,'Climate Data'!$A$7:$A$366,'Estimator'!$B$4,'Climate Data'!$B$7:$B$366,C1199)</x:f>
        <x:v>0.32023809523809527</x:v>
      </x:c>
      <x:c r="I1199" s="382" t="n">
        <x:f>SUMIFS('Climate Data'!$H$7:$H$366,'Climate Data'!$A$7:$A$366,'Estimator'!$B$4,'Climate Data'!$B$7:$B$366,C1199)</x:f>
        <x:v>9.066171003717471</x:v>
      </x:c>
      <x:c r="J1199" s="381" t="n">
        <x:f>SUMIFS('Wind Proxy'!$H$8:$H$19,'Wind Proxy'!$A$8:$A$19,'Estimator'!$B$4,'Wind Proxy'!$B$8:$B$19,C1199)</x:f>
        <x:v>0.11728395061728397</x:v>
      </x:c>
    </x:row>
    <x:row r="1200">
      <x:c r="A1200" s="379" t="n">
        <x:v>46851</x:v>
      </x:c>
      <x:c r="B1200" s="380" t="n">
        <x:v>2028</x:v>
      </x:c>
      <x:c r="C1200" s="380" t="n">
        <x:v>4</x:v>
      </x:c>
      <x:c r="D1200" s="380" t="str">
        <x:v>Apr</x:v>
      </x:c>
      <x:c r="E1200" s="380" t="n">
        <x:v>8</x:v>
      </x:c>
      <x:c r="F1200" s="380" t="n">
        <x:v>6</x:v>
      </x:c>
      <x:c r="G1200" s="380" t="n">
        <x:f>--(F1200&lt;='Estimator'!$B$7)</x:f>
        <x:v>0</x:v>
      </x:c>
      <x:c r="H1200" s="381" t="n">
        <x:f>SUMIFS('Climate Data'!$G$7:$G$366,'Climate Data'!$A$7:$A$366,'Estimator'!$B$4,'Climate Data'!$B$7:$B$366,C1200)</x:f>
        <x:v>0.32023809523809527</x:v>
      </x:c>
      <x:c r="I1200" s="382" t="n">
        <x:f>SUMIFS('Climate Data'!$H$7:$H$366,'Climate Data'!$A$7:$A$366,'Estimator'!$B$4,'Climate Data'!$B$7:$B$366,C1200)</x:f>
        <x:v>9.066171003717471</x:v>
      </x:c>
      <x:c r="J1200" s="381" t="n">
        <x:f>SUMIFS('Wind Proxy'!$H$8:$H$19,'Wind Proxy'!$A$8:$A$19,'Estimator'!$B$4,'Wind Proxy'!$B$8:$B$19,C1200)</x:f>
        <x:v>0.11728395061728397</x:v>
      </x:c>
    </x:row>
    <x:row r="1201">
      <x:c r="A1201" s="379" t="n">
        <x:v>46852</x:v>
      </x:c>
      <x:c r="B1201" s="380" t="n">
        <x:v>2028</x:v>
      </x:c>
      <x:c r="C1201" s="380" t="n">
        <x:v>4</x:v>
      </x:c>
      <x:c r="D1201" s="380" t="str">
        <x:v>Apr</x:v>
      </x:c>
      <x:c r="E1201" s="380" t="n">
        <x:v>9</x:v>
      </x:c>
      <x:c r="F1201" s="380" t="n">
        <x:v>7</x:v>
      </x:c>
      <x:c r="G1201" s="380" t="n">
        <x:f>--(F1201&lt;='Estimator'!$B$7)</x:f>
        <x:v>0</x:v>
      </x:c>
      <x:c r="H1201" s="381" t="n">
        <x:f>SUMIFS('Climate Data'!$G$7:$G$366,'Climate Data'!$A$7:$A$366,'Estimator'!$B$4,'Climate Data'!$B$7:$B$366,C1201)</x:f>
        <x:v>0.32023809523809527</x:v>
      </x:c>
      <x:c r="I1201" s="382" t="n">
        <x:f>SUMIFS('Climate Data'!$H$7:$H$366,'Climate Data'!$A$7:$A$366,'Estimator'!$B$4,'Climate Data'!$B$7:$B$366,C1201)</x:f>
        <x:v>9.066171003717471</x:v>
      </x:c>
      <x:c r="J1201" s="381" t="n">
        <x:f>SUMIFS('Wind Proxy'!$H$8:$H$19,'Wind Proxy'!$A$8:$A$19,'Estimator'!$B$4,'Wind Proxy'!$B$8:$B$19,C1201)</x:f>
        <x:v>0.11728395061728397</x:v>
      </x:c>
    </x:row>
    <x:row r="1202">
      <x:c r="A1202" s="379" t="n">
        <x:v>46853</x:v>
      </x:c>
      <x:c r="B1202" s="380" t="n">
        <x:v>2028</x:v>
      </x:c>
      <x:c r="C1202" s="380" t="n">
        <x:v>4</x:v>
      </x:c>
      <x:c r="D1202" s="380" t="str">
        <x:v>Apr</x:v>
      </x:c>
      <x:c r="E1202" s="380" t="n">
        <x:v>10</x:v>
      </x:c>
      <x:c r="F1202" s="380" t="n">
        <x:v>1</x:v>
      </x:c>
      <x:c r="G1202" s="380" t="n">
        <x:f>--(F1202&lt;='Estimator'!$B$7)</x:f>
        <x:v>1</x:v>
      </x:c>
      <x:c r="H1202" s="381" t="n">
        <x:f>SUMIFS('Climate Data'!$G$7:$G$366,'Climate Data'!$A$7:$A$366,'Estimator'!$B$4,'Climate Data'!$B$7:$B$366,C1202)</x:f>
        <x:v>0.32023809523809527</x:v>
      </x:c>
      <x:c r="I1202" s="382" t="n">
        <x:f>SUMIFS('Climate Data'!$H$7:$H$366,'Climate Data'!$A$7:$A$366,'Estimator'!$B$4,'Climate Data'!$B$7:$B$366,C1202)</x:f>
        <x:v>9.066171003717471</x:v>
      </x:c>
      <x:c r="J1202" s="381" t="n">
        <x:f>SUMIFS('Wind Proxy'!$H$8:$H$19,'Wind Proxy'!$A$8:$A$19,'Estimator'!$B$4,'Wind Proxy'!$B$8:$B$19,C1202)</x:f>
        <x:v>0.11728395061728397</x:v>
      </x:c>
    </x:row>
    <x:row r="1203">
      <x:c r="A1203" s="379" t="n">
        <x:v>46854</x:v>
      </x:c>
      <x:c r="B1203" s="380" t="n">
        <x:v>2028</x:v>
      </x:c>
      <x:c r="C1203" s="380" t="n">
        <x:v>4</x:v>
      </x:c>
      <x:c r="D1203" s="380" t="str">
        <x:v>Apr</x:v>
      </x:c>
      <x:c r="E1203" s="380" t="n">
        <x:v>11</x:v>
      </x:c>
      <x:c r="F1203" s="380" t="n">
        <x:v>2</x:v>
      </x:c>
      <x:c r="G1203" s="380" t="n">
        <x:f>--(F1203&lt;='Estimator'!$B$7)</x:f>
        <x:v>1</x:v>
      </x:c>
      <x:c r="H1203" s="381" t="n">
        <x:f>SUMIFS('Climate Data'!$G$7:$G$366,'Climate Data'!$A$7:$A$366,'Estimator'!$B$4,'Climate Data'!$B$7:$B$366,C1203)</x:f>
        <x:v>0.32023809523809527</x:v>
      </x:c>
      <x:c r="I1203" s="382" t="n">
        <x:f>SUMIFS('Climate Data'!$H$7:$H$366,'Climate Data'!$A$7:$A$366,'Estimator'!$B$4,'Climate Data'!$B$7:$B$366,C1203)</x:f>
        <x:v>9.066171003717471</x:v>
      </x:c>
      <x:c r="J1203" s="381" t="n">
        <x:f>SUMIFS('Wind Proxy'!$H$8:$H$19,'Wind Proxy'!$A$8:$A$19,'Estimator'!$B$4,'Wind Proxy'!$B$8:$B$19,C1203)</x:f>
        <x:v>0.11728395061728397</x:v>
      </x:c>
    </x:row>
    <x:row r="1204">
      <x:c r="A1204" s="379" t="n">
        <x:v>46855</x:v>
      </x:c>
      <x:c r="B1204" s="380" t="n">
        <x:v>2028</x:v>
      </x:c>
      <x:c r="C1204" s="380" t="n">
        <x:v>4</x:v>
      </x:c>
      <x:c r="D1204" s="380" t="str">
        <x:v>Apr</x:v>
      </x:c>
      <x:c r="E1204" s="380" t="n">
        <x:v>12</x:v>
      </x:c>
      <x:c r="F1204" s="380" t="n">
        <x:v>3</x:v>
      </x:c>
      <x:c r="G1204" s="380" t="n">
        <x:f>--(F1204&lt;='Estimator'!$B$7)</x:f>
        <x:v>1</x:v>
      </x:c>
      <x:c r="H1204" s="381" t="n">
        <x:f>SUMIFS('Climate Data'!$G$7:$G$366,'Climate Data'!$A$7:$A$366,'Estimator'!$B$4,'Climate Data'!$B$7:$B$366,C1204)</x:f>
        <x:v>0.32023809523809527</x:v>
      </x:c>
      <x:c r="I1204" s="382" t="n">
        <x:f>SUMIFS('Climate Data'!$H$7:$H$366,'Climate Data'!$A$7:$A$366,'Estimator'!$B$4,'Climate Data'!$B$7:$B$366,C1204)</x:f>
        <x:v>9.066171003717471</x:v>
      </x:c>
      <x:c r="J1204" s="381" t="n">
        <x:f>SUMIFS('Wind Proxy'!$H$8:$H$19,'Wind Proxy'!$A$8:$A$19,'Estimator'!$B$4,'Wind Proxy'!$B$8:$B$19,C1204)</x:f>
        <x:v>0.11728395061728397</x:v>
      </x:c>
    </x:row>
    <x:row r="1205">
      <x:c r="A1205" s="379" t="n">
        <x:v>46856</x:v>
      </x:c>
      <x:c r="B1205" s="380" t="n">
        <x:v>2028</x:v>
      </x:c>
      <x:c r="C1205" s="380" t="n">
        <x:v>4</x:v>
      </x:c>
      <x:c r="D1205" s="380" t="str">
        <x:v>Apr</x:v>
      </x:c>
      <x:c r="E1205" s="380" t="n">
        <x:v>13</x:v>
      </x:c>
      <x:c r="F1205" s="380" t="n">
        <x:v>4</x:v>
      </x:c>
      <x:c r="G1205" s="380" t="n">
        <x:f>--(F1205&lt;='Estimator'!$B$7)</x:f>
        <x:v>1</x:v>
      </x:c>
      <x:c r="H1205" s="381" t="n">
        <x:f>SUMIFS('Climate Data'!$G$7:$G$366,'Climate Data'!$A$7:$A$366,'Estimator'!$B$4,'Climate Data'!$B$7:$B$366,C1205)</x:f>
        <x:v>0.32023809523809527</x:v>
      </x:c>
      <x:c r="I1205" s="382" t="n">
        <x:f>SUMIFS('Climate Data'!$H$7:$H$366,'Climate Data'!$A$7:$A$366,'Estimator'!$B$4,'Climate Data'!$B$7:$B$366,C1205)</x:f>
        <x:v>9.066171003717471</x:v>
      </x:c>
      <x:c r="J1205" s="381" t="n">
        <x:f>SUMIFS('Wind Proxy'!$H$8:$H$19,'Wind Proxy'!$A$8:$A$19,'Estimator'!$B$4,'Wind Proxy'!$B$8:$B$19,C1205)</x:f>
        <x:v>0.11728395061728397</x:v>
      </x:c>
    </x:row>
    <x:row r="1206">
      <x:c r="A1206" s="379" t="n">
        <x:v>46857</x:v>
      </x:c>
      <x:c r="B1206" s="380" t="n">
        <x:v>2028</x:v>
      </x:c>
      <x:c r="C1206" s="380" t="n">
        <x:v>4</x:v>
      </x:c>
      <x:c r="D1206" s="380" t="str">
        <x:v>Apr</x:v>
      </x:c>
      <x:c r="E1206" s="380" t="n">
        <x:v>14</x:v>
      </x:c>
      <x:c r="F1206" s="380" t="n">
        <x:v>5</x:v>
      </x:c>
      <x:c r="G1206" s="380" t="n">
        <x:f>--(F1206&lt;='Estimator'!$B$7)</x:f>
        <x:v>1</x:v>
      </x:c>
      <x:c r="H1206" s="381" t="n">
        <x:f>SUMIFS('Climate Data'!$G$7:$G$366,'Climate Data'!$A$7:$A$366,'Estimator'!$B$4,'Climate Data'!$B$7:$B$366,C1206)</x:f>
        <x:v>0.32023809523809527</x:v>
      </x:c>
      <x:c r="I1206" s="382" t="n">
        <x:f>SUMIFS('Climate Data'!$H$7:$H$366,'Climate Data'!$A$7:$A$366,'Estimator'!$B$4,'Climate Data'!$B$7:$B$366,C1206)</x:f>
        <x:v>9.066171003717471</x:v>
      </x:c>
      <x:c r="J1206" s="381" t="n">
        <x:f>SUMIFS('Wind Proxy'!$H$8:$H$19,'Wind Proxy'!$A$8:$A$19,'Estimator'!$B$4,'Wind Proxy'!$B$8:$B$19,C1206)</x:f>
        <x:v>0.11728395061728397</x:v>
      </x:c>
    </x:row>
    <x:row r="1207">
      <x:c r="A1207" s="379" t="n">
        <x:v>46858</x:v>
      </x:c>
      <x:c r="B1207" s="380" t="n">
        <x:v>2028</x:v>
      </x:c>
      <x:c r="C1207" s="380" t="n">
        <x:v>4</x:v>
      </x:c>
      <x:c r="D1207" s="380" t="str">
        <x:v>Apr</x:v>
      </x:c>
      <x:c r="E1207" s="380" t="n">
        <x:v>15</x:v>
      </x:c>
      <x:c r="F1207" s="380" t="n">
        <x:v>6</x:v>
      </x:c>
      <x:c r="G1207" s="380" t="n">
        <x:f>--(F1207&lt;='Estimator'!$B$7)</x:f>
        <x:v>0</x:v>
      </x:c>
      <x:c r="H1207" s="381" t="n">
        <x:f>SUMIFS('Climate Data'!$G$7:$G$366,'Climate Data'!$A$7:$A$366,'Estimator'!$B$4,'Climate Data'!$B$7:$B$366,C1207)</x:f>
        <x:v>0.32023809523809527</x:v>
      </x:c>
      <x:c r="I1207" s="382" t="n">
        <x:f>SUMIFS('Climate Data'!$H$7:$H$366,'Climate Data'!$A$7:$A$366,'Estimator'!$B$4,'Climate Data'!$B$7:$B$366,C1207)</x:f>
        <x:v>9.066171003717471</x:v>
      </x:c>
      <x:c r="J1207" s="381" t="n">
        <x:f>SUMIFS('Wind Proxy'!$H$8:$H$19,'Wind Proxy'!$A$8:$A$19,'Estimator'!$B$4,'Wind Proxy'!$B$8:$B$19,C1207)</x:f>
        <x:v>0.11728395061728397</x:v>
      </x:c>
    </x:row>
    <x:row r="1208">
      <x:c r="A1208" s="379" t="n">
        <x:v>46859</x:v>
      </x:c>
      <x:c r="B1208" s="380" t="n">
        <x:v>2028</x:v>
      </x:c>
      <x:c r="C1208" s="380" t="n">
        <x:v>4</x:v>
      </x:c>
      <x:c r="D1208" s="380" t="str">
        <x:v>Apr</x:v>
      </x:c>
      <x:c r="E1208" s="380" t="n">
        <x:v>16</x:v>
      </x:c>
      <x:c r="F1208" s="380" t="n">
        <x:v>7</x:v>
      </x:c>
      <x:c r="G1208" s="380" t="n">
        <x:f>--(F1208&lt;='Estimator'!$B$7)</x:f>
        <x:v>0</x:v>
      </x:c>
      <x:c r="H1208" s="381" t="n">
        <x:f>SUMIFS('Climate Data'!$G$7:$G$366,'Climate Data'!$A$7:$A$366,'Estimator'!$B$4,'Climate Data'!$B$7:$B$366,C1208)</x:f>
        <x:v>0.32023809523809527</x:v>
      </x:c>
      <x:c r="I1208" s="382" t="n">
        <x:f>SUMIFS('Climate Data'!$H$7:$H$366,'Climate Data'!$A$7:$A$366,'Estimator'!$B$4,'Climate Data'!$B$7:$B$366,C1208)</x:f>
        <x:v>9.066171003717471</x:v>
      </x:c>
      <x:c r="J1208" s="381" t="n">
        <x:f>SUMIFS('Wind Proxy'!$H$8:$H$19,'Wind Proxy'!$A$8:$A$19,'Estimator'!$B$4,'Wind Proxy'!$B$8:$B$19,C1208)</x:f>
        <x:v>0.11728395061728397</x:v>
      </x:c>
    </x:row>
    <x:row r="1209">
      <x:c r="A1209" s="379" t="n">
        <x:v>46860</x:v>
      </x:c>
      <x:c r="B1209" s="380" t="n">
        <x:v>2028</x:v>
      </x:c>
      <x:c r="C1209" s="380" t="n">
        <x:v>4</x:v>
      </x:c>
      <x:c r="D1209" s="380" t="str">
        <x:v>Apr</x:v>
      </x:c>
      <x:c r="E1209" s="380" t="n">
        <x:v>17</x:v>
      </x:c>
      <x:c r="F1209" s="380" t="n">
        <x:v>1</x:v>
      </x:c>
      <x:c r="G1209" s="380" t="n">
        <x:f>--(F1209&lt;='Estimator'!$B$7)</x:f>
        <x:v>1</x:v>
      </x:c>
      <x:c r="H1209" s="381" t="n">
        <x:f>SUMIFS('Climate Data'!$G$7:$G$366,'Climate Data'!$A$7:$A$366,'Estimator'!$B$4,'Climate Data'!$B$7:$B$366,C1209)</x:f>
        <x:v>0.32023809523809527</x:v>
      </x:c>
      <x:c r="I1209" s="382" t="n">
        <x:f>SUMIFS('Climate Data'!$H$7:$H$366,'Climate Data'!$A$7:$A$366,'Estimator'!$B$4,'Climate Data'!$B$7:$B$366,C1209)</x:f>
        <x:v>9.066171003717471</x:v>
      </x:c>
      <x:c r="J1209" s="381" t="n">
        <x:f>SUMIFS('Wind Proxy'!$H$8:$H$19,'Wind Proxy'!$A$8:$A$19,'Estimator'!$B$4,'Wind Proxy'!$B$8:$B$19,C1209)</x:f>
        <x:v>0.11728395061728397</x:v>
      </x:c>
    </x:row>
    <x:row r="1210">
      <x:c r="A1210" s="379" t="n">
        <x:v>46861</x:v>
      </x:c>
      <x:c r="B1210" s="380" t="n">
        <x:v>2028</x:v>
      </x:c>
      <x:c r="C1210" s="380" t="n">
        <x:v>4</x:v>
      </x:c>
      <x:c r="D1210" s="380" t="str">
        <x:v>Apr</x:v>
      </x:c>
      <x:c r="E1210" s="380" t="n">
        <x:v>18</x:v>
      </x:c>
      <x:c r="F1210" s="380" t="n">
        <x:v>2</x:v>
      </x:c>
      <x:c r="G1210" s="380" t="n">
        <x:f>--(F1210&lt;='Estimator'!$B$7)</x:f>
        <x:v>1</x:v>
      </x:c>
      <x:c r="H1210" s="381" t="n">
        <x:f>SUMIFS('Climate Data'!$G$7:$G$366,'Climate Data'!$A$7:$A$366,'Estimator'!$B$4,'Climate Data'!$B$7:$B$366,C1210)</x:f>
        <x:v>0.32023809523809527</x:v>
      </x:c>
      <x:c r="I1210" s="382" t="n">
        <x:f>SUMIFS('Climate Data'!$H$7:$H$366,'Climate Data'!$A$7:$A$366,'Estimator'!$B$4,'Climate Data'!$B$7:$B$366,C1210)</x:f>
        <x:v>9.066171003717471</x:v>
      </x:c>
      <x:c r="J1210" s="381" t="n">
        <x:f>SUMIFS('Wind Proxy'!$H$8:$H$19,'Wind Proxy'!$A$8:$A$19,'Estimator'!$B$4,'Wind Proxy'!$B$8:$B$19,C1210)</x:f>
        <x:v>0.11728395061728397</x:v>
      </x:c>
    </x:row>
    <x:row r="1211">
      <x:c r="A1211" s="379" t="n">
        <x:v>46862</x:v>
      </x:c>
      <x:c r="B1211" s="380" t="n">
        <x:v>2028</x:v>
      </x:c>
      <x:c r="C1211" s="380" t="n">
        <x:v>4</x:v>
      </x:c>
      <x:c r="D1211" s="380" t="str">
        <x:v>Apr</x:v>
      </x:c>
      <x:c r="E1211" s="380" t="n">
        <x:v>19</x:v>
      </x:c>
      <x:c r="F1211" s="380" t="n">
        <x:v>3</x:v>
      </x:c>
      <x:c r="G1211" s="380" t="n">
        <x:f>--(F1211&lt;='Estimator'!$B$7)</x:f>
        <x:v>1</x:v>
      </x:c>
      <x:c r="H1211" s="381" t="n">
        <x:f>SUMIFS('Climate Data'!$G$7:$G$366,'Climate Data'!$A$7:$A$366,'Estimator'!$B$4,'Climate Data'!$B$7:$B$366,C1211)</x:f>
        <x:v>0.32023809523809527</x:v>
      </x:c>
      <x:c r="I1211" s="382" t="n">
        <x:f>SUMIFS('Climate Data'!$H$7:$H$366,'Climate Data'!$A$7:$A$366,'Estimator'!$B$4,'Climate Data'!$B$7:$B$366,C1211)</x:f>
        <x:v>9.066171003717471</x:v>
      </x:c>
      <x:c r="J1211" s="381" t="n">
        <x:f>SUMIFS('Wind Proxy'!$H$8:$H$19,'Wind Proxy'!$A$8:$A$19,'Estimator'!$B$4,'Wind Proxy'!$B$8:$B$19,C1211)</x:f>
        <x:v>0.11728395061728397</x:v>
      </x:c>
    </x:row>
    <x:row r="1212">
      <x:c r="A1212" s="379" t="n">
        <x:v>46863</x:v>
      </x:c>
      <x:c r="B1212" s="380" t="n">
        <x:v>2028</x:v>
      </x:c>
      <x:c r="C1212" s="380" t="n">
        <x:v>4</x:v>
      </x:c>
      <x:c r="D1212" s="380" t="str">
        <x:v>Apr</x:v>
      </x:c>
      <x:c r="E1212" s="380" t="n">
        <x:v>20</x:v>
      </x:c>
      <x:c r="F1212" s="380" t="n">
        <x:v>4</x:v>
      </x:c>
      <x:c r="G1212" s="380" t="n">
        <x:f>--(F1212&lt;='Estimator'!$B$7)</x:f>
        <x:v>1</x:v>
      </x:c>
      <x:c r="H1212" s="381" t="n">
        <x:f>SUMIFS('Climate Data'!$G$7:$G$366,'Climate Data'!$A$7:$A$366,'Estimator'!$B$4,'Climate Data'!$B$7:$B$366,C1212)</x:f>
        <x:v>0.32023809523809527</x:v>
      </x:c>
      <x:c r="I1212" s="382" t="n">
        <x:f>SUMIFS('Climate Data'!$H$7:$H$366,'Climate Data'!$A$7:$A$366,'Estimator'!$B$4,'Climate Data'!$B$7:$B$366,C1212)</x:f>
        <x:v>9.066171003717471</x:v>
      </x:c>
      <x:c r="J1212" s="381" t="n">
        <x:f>SUMIFS('Wind Proxy'!$H$8:$H$19,'Wind Proxy'!$A$8:$A$19,'Estimator'!$B$4,'Wind Proxy'!$B$8:$B$19,C1212)</x:f>
        <x:v>0.11728395061728397</x:v>
      </x:c>
    </x:row>
    <x:row r="1213">
      <x:c r="A1213" s="379" t="n">
        <x:v>46864</x:v>
      </x:c>
      <x:c r="B1213" s="380" t="n">
        <x:v>2028</x:v>
      </x:c>
      <x:c r="C1213" s="380" t="n">
        <x:v>4</x:v>
      </x:c>
      <x:c r="D1213" s="380" t="str">
        <x:v>Apr</x:v>
      </x:c>
      <x:c r="E1213" s="380" t="n">
        <x:v>21</x:v>
      </x:c>
      <x:c r="F1213" s="380" t="n">
        <x:v>5</x:v>
      </x:c>
      <x:c r="G1213" s="380" t="n">
        <x:f>--(F1213&lt;='Estimator'!$B$7)</x:f>
        <x:v>1</x:v>
      </x:c>
      <x:c r="H1213" s="381" t="n">
        <x:f>SUMIFS('Climate Data'!$G$7:$G$366,'Climate Data'!$A$7:$A$366,'Estimator'!$B$4,'Climate Data'!$B$7:$B$366,C1213)</x:f>
        <x:v>0.32023809523809527</x:v>
      </x:c>
      <x:c r="I1213" s="382" t="n">
        <x:f>SUMIFS('Climate Data'!$H$7:$H$366,'Climate Data'!$A$7:$A$366,'Estimator'!$B$4,'Climate Data'!$B$7:$B$366,C1213)</x:f>
        <x:v>9.066171003717471</x:v>
      </x:c>
      <x:c r="J1213" s="381" t="n">
        <x:f>SUMIFS('Wind Proxy'!$H$8:$H$19,'Wind Proxy'!$A$8:$A$19,'Estimator'!$B$4,'Wind Proxy'!$B$8:$B$19,C1213)</x:f>
        <x:v>0.11728395061728397</x:v>
      </x:c>
    </x:row>
    <x:row r="1214">
      <x:c r="A1214" s="379" t="n">
        <x:v>46865</x:v>
      </x:c>
      <x:c r="B1214" s="380" t="n">
        <x:v>2028</x:v>
      </x:c>
      <x:c r="C1214" s="380" t="n">
        <x:v>4</x:v>
      </x:c>
      <x:c r="D1214" s="380" t="str">
        <x:v>Apr</x:v>
      </x:c>
      <x:c r="E1214" s="380" t="n">
        <x:v>22</x:v>
      </x:c>
      <x:c r="F1214" s="380" t="n">
        <x:v>6</x:v>
      </x:c>
      <x:c r="G1214" s="380" t="n">
        <x:f>--(F1214&lt;='Estimator'!$B$7)</x:f>
        <x:v>0</x:v>
      </x:c>
      <x:c r="H1214" s="381" t="n">
        <x:f>SUMIFS('Climate Data'!$G$7:$G$366,'Climate Data'!$A$7:$A$366,'Estimator'!$B$4,'Climate Data'!$B$7:$B$366,C1214)</x:f>
        <x:v>0.32023809523809527</x:v>
      </x:c>
      <x:c r="I1214" s="382" t="n">
        <x:f>SUMIFS('Climate Data'!$H$7:$H$366,'Climate Data'!$A$7:$A$366,'Estimator'!$B$4,'Climate Data'!$B$7:$B$366,C1214)</x:f>
        <x:v>9.066171003717471</x:v>
      </x:c>
      <x:c r="J1214" s="381" t="n">
        <x:f>SUMIFS('Wind Proxy'!$H$8:$H$19,'Wind Proxy'!$A$8:$A$19,'Estimator'!$B$4,'Wind Proxy'!$B$8:$B$19,C1214)</x:f>
        <x:v>0.11728395061728397</x:v>
      </x:c>
    </x:row>
    <x:row r="1215">
      <x:c r="A1215" s="379" t="n">
        <x:v>46866</x:v>
      </x:c>
      <x:c r="B1215" s="380" t="n">
        <x:v>2028</x:v>
      </x:c>
      <x:c r="C1215" s="380" t="n">
        <x:v>4</x:v>
      </x:c>
      <x:c r="D1215" s="380" t="str">
        <x:v>Apr</x:v>
      </x:c>
      <x:c r="E1215" s="380" t="n">
        <x:v>23</x:v>
      </x:c>
      <x:c r="F1215" s="380" t="n">
        <x:v>7</x:v>
      </x:c>
      <x:c r="G1215" s="380" t="n">
        <x:f>--(F1215&lt;='Estimator'!$B$7)</x:f>
        <x:v>0</x:v>
      </x:c>
      <x:c r="H1215" s="381" t="n">
        <x:f>SUMIFS('Climate Data'!$G$7:$G$366,'Climate Data'!$A$7:$A$366,'Estimator'!$B$4,'Climate Data'!$B$7:$B$366,C1215)</x:f>
        <x:v>0.32023809523809527</x:v>
      </x:c>
      <x:c r="I1215" s="382" t="n">
        <x:f>SUMIFS('Climate Data'!$H$7:$H$366,'Climate Data'!$A$7:$A$366,'Estimator'!$B$4,'Climate Data'!$B$7:$B$366,C1215)</x:f>
        <x:v>9.066171003717471</x:v>
      </x:c>
      <x:c r="J1215" s="381" t="n">
        <x:f>SUMIFS('Wind Proxy'!$H$8:$H$19,'Wind Proxy'!$A$8:$A$19,'Estimator'!$B$4,'Wind Proxy'!$B$8:$B$19,C1215)</x:f>
        <x:v>0.11728395061728397</x:v>
      </x:c>
    </x:row>
    <x:row r="1216">
      <x:c r="A1216" s="379" t="n">
        <x:v>46867</x:v>
      </x:c>
      <x:c r="B1216" s="380" t="n">
        <x:v>2028</x:v>
      </x:c>
      <x:c r="C1216" s="380" t="n">
        <x:v>4</x:v>
      </x:c>
      <x:c r="D1216" s="380" t="str">
        <x:v>Apr</x:v>
      </x:c>
      <x:c r="E1216" s="380" t="n">
        <x:v>24</x:v>
      </x:c>
      <x:c r="F1216" s="380" t="n">
        <x:v>1</x:v>
      </x:c>
      <x:c r="G1216" s="380" t="n">
        <x:f>--(F1216&lt;='Estimator'!$B$7)</x:f>
        <x:v>1</x:v>
      </x:c>
      <x:c r="H1216" s="381" t="n">
        <x:f>SUMIFS('Climate Data'!$G$7:$G$366,'Climate Data'!$A$7:$A$366,'Estimator'!$B$4,'Climate Data'!$B$7:$B$366,C1216)</x:f>
        <x:v>0.32023809523809527</x:v>
      </x:c>
      <x:c r="I1216" s="382" t="n">
        <x:f>SUMIFS('Climate Data'!$H$7:$H$366,'Climate Data'!$A$7:$A$366,'Estimator'!$B$4,'Climate Data'!$B$7:$B$366,C1216)</x:f>
        <x:v>9.066171003717471</x:v>
      </x:c>
      <x:c r="J1216" s="381" t="n">
        <x:f>SUMIFS('Wind Proxy'!$H$8:$H$19,'Wind Proxy'!$A$8:$A$19,'Estimator'!$B$4,'Wind Proxy'!$B$8:$B$19,C1216)</x:f>
        <x:v>0.11728395061728397</x:v>
      </x:c>
    </x:row>
    <x:row r="1217">
      <x:c r="A1217" s="379" t="n">
        <x:v>46868</x:v>
      </x:c>
      <x:c r="B1217" s="380" t="n">
        <x:v>2028</x:v>
      </x:c>
      <x:c r="C1217" s="380" t="n">
        <x:v>4</x:v>
      </x:c>
      <x:c r="D1217" s="380" t="str">
        <x:v>Apr</x:v>
      </x:c>
      <x:c r="E1217" s="380" t="n">
        <x:v>25</x:v>
      </x:c>
      <x:c r="F1217" s="380" t="n">
        <x:v>2</x:v>
      </x:c>
      <x:c r="G1217" s="380" t="n">
        <x:f>--(F1217&lt;='Estimator'!$B$7)</x:f>
        <x:v>1</x:v>
      </x:c>
      <x:c r="H1217" s="381" t="n">
        <x:f>SUMIFS('Climate Data'!$G$7:$G$366,'Climate Data'!$A$7:$A$366,'Estimator'!$B$4,'Climate Data'!$B$7:$B$366,C1217)</x:f>
        <x:v>0.32023809523809527</x:v>
      </x:c>
      <x:c r="I1217" s="382" t="n">
        <x:f>SUMIFS('Climate Data'!$H$7:$H$366,'Climate Data'!$A$7:$A$366,'Estimator'!$B$4,'Climate Data'!$B$7:$B$366,C1217)</x:f>
        <x:v>9.066171003717471</x:v>
      </x:c>
      <x:c r="J1217" s="381" t="n">
        <x:f>SUMIFS('Wind Proxy'!$H$8:$H$19,'Wind Proxy'!$A$8:$A$19,'Estimator'!$B$4,'Wind Proxy'!$B$8:$B$19,C1217)</x:f>
        <x:v>0.11728395061728397</x:v>
      </x:c>
    </x:row>
    <x:row r="1218">
      <x:c r="A1218" s="379" t="n">
        <x:v>46869</x:v>
      </x:c>
      <x:c r="B1218" s="380" t="n">
        <x:v>2028</x:v>
      </x:c>
      <x:c r="C1218" s="380" t="n">
        <x:v>4</x:v>
      </x:c>
      <x:c r="D1218" s="380" t="str">
        <x:v>Apr</x:v>
      </x:c>
      <x:c r="E1218" s="380" t="n">
        <x:v>26</x:v>
      </x:c>
      <x:c r="F1218" s="380" t="n">
        <x:v>3</x:v>
      </x:c>
      <x:c r="G1218" s="380" t="n">
        <x:f>--(F1218&lt;='Estimator'!$B$7)</x:f>
        <x:v>1</x:v>
      </x:c>
      <x:c r="H1218" s="381" t="n">
        <x:f>SUMIFS('Climate Data'!$G$7:$G$366,'Climate Data'!$A$7:$A$366,'Estimator'!$B$4,'Climate Data'!$B$7:$B$366,C1218)</x:f>
        <x:v>0.32023809523809527</x:v>
      </x:c>
      <x:c r="I1218" s="382" t="n">
        <x:f>SUMIFS('Climate Data'!$H$7:$H$366,'Climate Data'!$A$7:$A$366,'Estimator'!$B$4,'Climate Data'!$B$7:$B$366,C1218)</x:f>
        <x:v>9.066171003717471</x:v>
      </x:c>
      <x:c r="J1218" s="381" t="n">
        <x:f>SUMIFS('Wind Proxy'!$H$8:$H$19,'Wind Proxy'!$A$8:$A$19,'Estimator'!$B$4,'Wind Proxy'!$B$8:$B$19,C1218)</x:f>
        <x:v>0.11728395061728397</x:v>
      </x:c>
    </x:row>
    <x:row r="1219">
      <x:c r="A1219" s="379" t="n">
        <x:v>46870</x:v>
      </x:c>
      <x:c r="B1219" s="380" t="n">
        <x:v>2028</x:v>
      </x:c>
      <x:c r="C1219" s="380" t="n">
        <x:v>4</x:v>
      </x:c>
      <x:c r="D1219" s="380" t="str">
        <x:v>Apr</x:v>
      </x:c>
      <x:c r="E1219" s="380" t="n">
        <x:v>27</x:v>
      </x:c>
      <x:c r="F1219" s="380" t="n">
        <x:v>4</x:v>
      </x:c>
      <x:c r="G1219" s="380" t="n">
        <x:f>--(F1219&lt;='Estimator'!$B$7)</x:f>
        <x:v>1</x:v>
      </x:c>
      <x:c r="H1219" s="381" t="n">
        <x:f>SUMIFS('Climate Data'!$G$7:$G$366,'Climate Data'!$A$7:$A$366,'Estimator'!$B$4,'Climate Data'!$B$7:$B$366,C1219)</x:f>
        <x:v>0.32023809523809527</x:v>
      </x:c>
      <x:c r="I1219" s="382" t="n">
        <x:f>SUMIFS('Climate Data'!$H$7:$H$366,'Climate Data'!$A$7:$A$366,'Estimator'!$B$4,'Climate Data'!$B$7:$B$366,C1219)</x:f>
        <x:v>9.066171003717471</x:v>
      </x:c>
      <x:c r="J1219" s="381" t="n">
        <x:f>SUMIFS('Wind Proxy'!$H$8:$H$19,'Wind Proxy'!$A$8:$A$19,'Estimator'!$B$4,'Wind Proxy'!$B$8:$B$19,C1219)</x:f>
        <x:v>0.11728395061728397</x:v>
      </x:c>
    </x:row>
    <x:row r="1220">
      <x:c r="A1220" s="379" t="n">
        <x:v>46871</x:v>
      </x:c>
      <x:c r="B1220" s="380" t="n">
        <x:v>2028</x:v>
      </x:c>
      <x:c r="C1220" s="380" t="n">
        <x:v>4</x:v>
      </x:c>
      <x:c r="D1220" s="380" t="str">
        <x:v>Apr</x:v>
      </x:c>
      <x:c r="E1220" s="380" t="n">
        <x:v>28</x:v>
      </x:c>
      <x:c r="F1220" s="380" t="n">
        <x:v>5</x:v>
      </x:c>
      <x:c r="G1220" s="380" t="n">
        <x:f>--(F1220&lt;='Estimator'!$B$7)</x:f>
        <x:v>1</x:v>
      </x:c>
      <x:c r="H1220" s="381" t="n">
        <x:f>SUMIFS('Climate Data'!$G$7:$G$366,'Climate Data'!$A$7:$A$366,'Estimator'!$B$4,'Climate Data'!$B$7:$B$366,C1220)</x:f>
        <x:v>0.32023809523809527</x:v>
      </x:c>
      <x:c r="I1220" s="382" t="n">
        <x:f>SUMIFS('Climate Data'!$H$7:$H$366,'Climate Data'!$A$7:$A$366,'Estimator'!$B$4,'Climate Data'!$B$7:$B$366,C1220)</x:f>
        <x:v>9.066171003717471</x:v>
      </x:c>
      <x:c r="J1220" s="381" t="n">
        <x:f>SUMIFS('Wind Proxy'!$H$8:$H$19,'Wind Proxy'!$A$8:$A$19,'Estimator'!$B$4,'Wind Proxy'!$B$8:$B$19,C1220)</x:f>
        <x:v>0.11728395061728397</x:v>
      </x:c>
    </x:row>
    <x:row r="1221">
      <x:c r="A1221" s="379" t="n">
        <x:v>46872</x:v>
      </x:c>
      <x:c r="B1221" s="380" t="n">
        <x:v>2028</x:v>
      </x:c>
      <x:c r="C1221" s="380" t="n">
        <x:v>4</x:v>
      </x:c>
      <x:c r="D1221" s="380" t="str">
        <x:v>Apr</x:v>
      </x:c>
      <x:c r="E1221" s="380" t="n">
        <x:v>29</x:v>
      </x:c>
      <x:c r="F1221" s="380" t="n">
        <x:v>6</x:v>
      </x:c>
      <x:c r="G1221" s="380" t="n">
        <x:f>--(F1221&lt;='Estimator'!$B$7)</x:f>
        <x:v>0</x:v>
      </x:c>
      <x:c r="H1221" s="381" t="n">
        <x:f>SUMIFS('Climate Data'!$G$7:$G$366,'Climate Data'!$A$7:$A$366,'Estimator'!$B$4,'Climate Data'!$B$7:$B$366,C1221)</x:f>
        <x:v>0.32023809523809527</x:v>
      </x:c>
      <x:c r="I1221" s="382" t="n">
        <x:f>SUMIFS('Climate Data'!$H$7:$H$366,'Climate Data'!$A$7:$A$366,'Estimator'!$B$4,'Climate Data'!$B$7:$B$366,C1221)</x:f>
        <x:v>9.066171003717471</x:v>
      </x:c>
      <x:c r="J1221" s="381" t="n">
        <x:f>SUMIFS('Wind Proxy'!$H$8:$H$19,'Wind Proxy'!$A$8:$A$19,'Estimator'!$B$4,'Wind Proxy'!$B$8:$B$19,C1221)</x:f>
        <x:v>0.11728395061728397</x:v>
      </x:c>
    </x:row>
    <x:row r="1222">
      <x:c r="A1222" s="379" t="n">
        <x:v>46873</x:v>
      </x:c>
      <x:c r="B1222" s="380" t="n">
        <x:v>2028</x:v>
      </x:c>
      <x:c r="C1222" s="380" t="n">
        <x:v>4</x:v>
      </x:c>
      <x:c r="D1222" s="380" t="str">
        <x:v>Apr</x:v>
      </x:c>
      <x:c r="E1222" s="380" t="n">
        <x:v>30</x:v>
      </x:c>
      <x:c r="F1222" s="380" t="n">
        <x:v>7</x:v>
      </x:c>
      <x:c r="G1222" s="380" t="n">
        <x:f>--(F1222&lt;='Estimator'!$B$7)</x:f>
        <x:v>0</x:v>
      </x:c>
      <x:c r="H1222" s="381" t="n">
        <x:f>SUMIFS('Climate Data'!$G$7:$G$366,'Climate Data'!$A$7:$A$366,'Estimator'!$B$4,'Climate Data'!$B$7:$B$366,C1222)</x:f>
        <x:v>0.32023809523809527</x:v>
      </x:c>
      <x:c r="I1222" s="382" t="n">
        <x:f>SUMIFS('Climate Data'!$H$7:$H$366,'Climate Data'!$A$7:$A$366,'Estimator'!$B$4,'Climate Data'!$B$7:$B$366,C1222)</x:f>
        <x:v>9.066171003717471</x:v>
      </x:c>
      <x:c r="J1222" s="381" t="n">
        <x:f>SUMIFS('Wind Proxy'!$H$8:$H$19,'Wind Proxy'!$A$8:$A$19,'Estimator'!$B$4,'Wind Proxy'!$B$8:$B$19,C1222)</x:f>
        <x:v>0.11728395061728397</x:v>
      </x:c>
    </x:row>
    <x:row r="1223">
      <x:c r="A1223" s="379" t="n">
        <x:v>46874</x:v>
      </x:c>
      <x:c r="B1223" s="380" t="n">
        <x:v>2028</x:v>
      </x:c>
      <x:c r="C1223" s="380" t="n">
        <x:v>5</x:v>
      </x:c>
      <x:c r="D1223" s="380" t="str">
        <x:v>May</x:v>
      </x:c>
      <x:c r="E1223" s="380" t="n">
        <x:v>1</x:v>
      </x:c>
      <x:c r="F1223" s="380" t="n">
        <x:v>1</x:v>
      </x:c>
      <x:c r="G1223" s="380" t="n">
        <x:f>--(F1223&lt;='Estimator'!$B$7)</x:f>
        <x:v>1</x:v>
      </x:c>
      <x:c r="H1223" s="381" t="n">
        <x:f>SUMIFS('Climate Data'!$G$7:$G$366,'Climate Data'!$A$7:$A$366,'Estimator'!$B$4,'Climate Data'!$B$7:$B$366,C1223)</x:f>
        <x:v>0.41935483870967744</x:v>
      </x:c>
      <x:c r="I1223" s="382" t="n">
        <x:f>SUMIFS('Climate Data'!$H$7:$H$366,'Climate Data'!$A$7:$A$366,'Estimator'!$B$4,'Climate Data'!$B$7:$B$366,C1223)</x:f>
        <x:v>9.215384615384615</x:v>
      </x:c>
      <x:c r="J1223" s="381" t="n">
        <x:f>SUMIFS('Wind Proxy'!$H$8:$H$19,'Wind Proxy'!$A$8:$A$19,'Estimator'!$B$4,'Wind Proxy'!$B$8:$B$19,C1223)</x:f>
        <x:v>0.11350059737156513</x:v>
      </x:c>
    </x:row>
    <x:row r="1224">
      <x:c r="A1224" s="379" t="n">
        <x:v>46875</x:v>
      </x:c>
      <x:c r="B1224" s="380" t="n">
        <x:v>2028</x:v>
      </x:c>
      <x:c r="C1224" s="380" t="n">
        <x:v>5</x:v>
      </x:c>
      <x:c r="D1224" s="380" t="str">
        <x:v>May</x:v>
      </x:c>
      <x:c r="E1224" s="380" t="n">
        <x:v>2</x:v>
      </x:c>
      <x:c r="F1224" s="380" t="n">
        <x:v>2</x:v>
      </x:c>
      <x:c r="G1224" s="380" t="n">
        <x:f>--(F1224&lt;='Estimator'!$B$7)</x:f>
        <x:v>1</x:v>
      </x:c>
      <x:c r="H1224" s="381" t="n">
        <x:f>SUMIFS('Climate Data'!$G$7:$G$366,'Climate Data'!$A$7:$A$366,'Estimator'!$B$4,'Climate Data'!$B$7:$B$366,C1224)</x:f>
        <x:v>0.41935483870967744</x:v>
      </x:c>
      <x:c r="I1224" s="382" t="n">
        <x:f>SUMIFS('Climate Data'!$H$7:$H$366,'Climate Data'!$A$7:$A$366,'Estimator'!$B$4,'Climate Data'!$B$7:$B$366,C1224)</x:f>
        <x:v>9.215384615384615</x:v>
      </x:c>
      <x:c r="J1224" s="381" t="n">
        <x:f>SUMIFS('Wind Proxy'!$H$8:$H$19,'Wind Proxy'!$A$8:$A$19,'Estimator'!$B$4,'Wind Proxy'!$B$8:$B$19,C1224)</x:f>
        <x:v>0.11350059737156513</x:v>
      </x:c>
    </x:row>
    <x:row r="1225">
      <x:c r="A1225" s="379" t="n">
        <x:v>46876</x:v>
      </x:c>
      <x:c r="B1225" s="380" t="n">
        <x:v>2028</x:v>
      </x:c>
      <x:c r="C1225" s="380" t="n">
        <x:v>5</x:v>
      </x:c>
      <x:c r="D1225" s="380" t="str">
        <x:v>May</x:v>
      </x:c>
      <x:c r="E1225" s="380" t="n">
        <x:v>3</x:v>
      </x:c>
      <x:c r="F1225" s="380" t="n">
        <x:v>3</x:v>
      </x:c>
      <x:c r="G1225" s="380" t="n">
        <x:f>--(F1225&lt;='Estimator'!$B$7)</x:f>
        <x:v>1</x:v>
      </x:c>
      <x:c r="H1225" s="381" t="n">
        <x:f>SUMIFS('Climate Data'!$G$7:$G$366,'Climate Data'!$A$7:$A$366,'Estimator'!$B$4,'Climate Data'!$B$7:$B$366,C1225)</x:f>
        <x:v>0.41935483870967744</x:v>
      </x:c>
      <x:c r="I1225" s="382" t="n">
        <x:f>SUMIFS('Climate Data'!$H$7:$H$366,'Climate Data'!$A$7:$A$366,'Estimator'!$B$4,'Climate Data'!$B$7:$B$366,C1225)</x:f>
        <x:v>9.215384615384615</x:v>
      </x:c>
      <x:c r="J1225" s="381" t="n">
        <x:f>SUMIFS('Wind Proxy'!$H$8:$H$19,'Wind Proxy'!$A$8:$A$19,'Estimator'!$B$4,'Wind Proxy'!$B$8:$B$19,C1225)</x:f>
        <x:v>0.11350059737156513</x:v>
      </x:c>
    </x:row>
    <x:row r="1226">
      <x:c r="A1226" s="379" t="n">
        <x:v>46877</x:v>
      </x:c>
      <x:c r="B1226" s="380" t="n">
        <x:v>2028</x:v>
      </x:c>
      <x:c r="C1226" s="380" t="n">
        <x:v>5</x:v>
      </x:c>
      <x:c r="D1226" s="380" t="str">
        <x:v>May</x:v>
      </x:c>
      <x:c r="E1226" s="380" t="n">
        <x:v>4</x:v>
      </x:c>
      <x:c r="F1226" s="380" t="n">
        <x:v>4</x:v>
      </x:c>
      <x:c r="G1226" s="380" t="n">
        <x:f>--(F1226&lt;='Estimator'!$B$7)</x:f>
        <x:v>1</x:v>
      </x:c>
      <x:c r="H1226" s="381" t="n">
        <x:f>SUMIFS('Climate Data'!$G$7:$G$366,'Climate Data'!$A$7:$A$366,'Estimator'!$B$4,'Climate Data'!$B$7:$B$366,C1226)</x:f>
        <x:v>0.41935483870967744</x:v>
      </x:c>
      <x:c r="I1226" s="382" t="n">
        <x:f>SUMIFS('Climate Data'!$H$7:$H$366,'Climate Data'!$A$7:$A$366,'Estimator'!$B$4,'Climate Data'!$B$7:$B$366,C1226)</x:f>
        <x:v>9.215384615384615</x:v>
      </x:c>
      <x:c r="J1226" s="381" t="n">
        <x:f>SUMIFS('Wind Proxy'!$H$8:$H$19,'Wind Proxy'!$A$8:$A$19,'Estimator'!$B$4,'Wind Proxy'!$B$8:$B$19,C1226)</x:f>
        <x:v>0.11350059737156513</x:v>
      </x:c>
    </x:row>
    <x:row r="1227">
      <x:c r="A1227" s="379" t="n">
        <x:v>46878</x:v>
      </x:c>
      <x:c r="B1227" s="380" t="n">
        <x:v>2028</x:v>
      </x:c>
      <x:c r="C1227" s="380" t="n">
        <x:v>5</x:v>
      </x:c>
      <x:c r="D1227" s="380" t="str">
        <x:v>May</x:v>
      </x:c>
      <x:c r="E1227" s="380" t="n">
        <x:v>5</x:v>
      </x:c>
      <x:c r="F1227" s="380" t="n">
        <x:v>5</x:v>
      </x:c>
      <x:c r="G1227" s="380" t="n">
        <x:f>--(F1227&lt;='Estimator'!$B$7)</x:f>
        <x:v>1</x:v>
      </x:c>
      <x:c r="H1227" s="381" t="n">
        <x:f>SUMIFS('Climate Data'!$G$7:$G$366,'Climate Data'!$A$7:$A$366,'Estimator'!$B$4,'Climate Data'!$B$7:$B$366,C1227)</x:f>
        <x:v>0.41935483870967744</x:v>
      </x:c>
      <x:c r="I1227" s="382" t="n">
        <x:f>SUMIFS('Climate Data'!$H$7:$H$366,'Climate Data'!$A$7:$A$366,'Estimator'!$B$4,'Climate Data'!$B$7:$B$366,C1227)</x:f>
        <x:v>9.215384615384615</x:v>
      </x:c>
      <x:c r="J1227" s="381" t="n">
        <x:f>SUMIFS('Wind Proxy'!$H$8:$H$19,'Wind Proxy'!$A$8:$A$19,'Estimator'!$B$4,'Wind Proxy'!$B$8:$B$19,C1227)</x:f>
        <x:v>0.11350059737156513</x:v>
      </x:c>
    </x:row>
    <x:row r="1228">
      <x:c r="A1228" s="379" t="n">
        <x:v>46879</x:v>
      </x:c>
      <x:c r="B1228" s="380" t="n">
        <x:v>2028</x:v>
      </x:c>
      <x:c r="C1228" s="380" t="n">
        <x:v>5</x:v>
      </x:c>
      <x:c r="D1228" s="380" t="str">
        <x:v>May</x:v>
      </x:c>
      <x:c r="E1228" s="380" t="n">
        <x:v>6</x:v>
      </x:c>
      <x:c r="F1228" s="380" t="n">
        <x:v>6</x:v>
      </x:c>
      <x:c r="G1228" s="380" t="n">
        <x:f>--(F1228&lt;='Estimator'!$B$7)</x:f>
        <x:v>0</x:v>
      </x:c>
      <x:c r="H1228" s="381" t="n">
        <x:f>SUMIFS('Climate Data'!$G$7:$G$366,'Climate Data'!$A$7:$A$366,'Estimator'!$B$4,'Climate Data'!$B$7:$B$366,C1228)</x:f>
        <x:v>0.41935483870967744</x:v>
      </x:c>
      <x:c r="I1228" s="382" t="n">
        <x:f>SUMIFS('Climate Data'!$H$7:$H$366,'Climate Data'!$A$7:$A$366,'Estimator'!$B$4,'Climate Data'!$B$7:$B$366,C1228)</x:f>
        <x:v>9.215384615384615</x:v>
      </x:c>
      <x:c r="J1228" s="381" t="n">
        <x:f>SUMIFS('Wind Proxy'!$H$8:$H$19,'Wind Proxy'!$A$8:$A$19,'Estimator'!$B$4,'Wind Proxy'!$B$8:$B$19,C1228)</x:f>
        <x:v>0.11350059737156513</x:v>
      </x:c>
    </x:row>
    <x:row r="1229">
      <x:c r="A1229" s="379" t="n">
        <x:v>46880</x:v>
      </x:c>
      <x:c r="B1229" s="380" t="n">
        <x:v>2028</x:v>
      </x:c>
      <x:c r="C1229" s="380" t="n">
        <x:v>5</x:v>
      </x:c>
      <x:c r="D1229" s="380" t="str">
        <x:v>May</x:v>
      </x:c>
      <x:c r="E1229" s="380" t="n">
        <x:v>7</x:v>
      </x:c>
      <x:c r="F1229" s="380" t="n">
        <x:v>7</x:v>
      </x:c>
      <x:c r="G1229" s="380" t="n">
        <x:f>--(F1229&lt;='Estimator'!$B$7)</x:f>
        <x:v>0</x:v>
      </x:c>
      <x:c r="H1229" s="381" t="n">
        <x:f>SUMIFS('Climate Data'!$G$7:$G$366,'Climate Data'!$A$7:$A$366,'Estimator'!$B$4,'Climate Data'!$B$7:$B$366,C1229)</x:f>
        <x:v>0.41935483870967744</x:v>
      </x:c>
      <x:c r="I1229" s="382" t="n">
        <x:f>SUMIFS('Climate Data'!$H$7:$H$366,'Climate Data'!$A$7:$A$366,'Estimator'!$B$4,'Climate Data'!$B$7:$B$366,C1229)</x:f>
        <x:v>9.215384615384615</x:v>
      </x:c>
      <x:c r="J1229" s="381" t="n">
        <x:f>SUMIFS('Wind Proxy'!$H$8:$H$19,'Wind Proxy'!$A$8:$A$19,'Estimator'!$B$4,'Wind Proxy'!$B$8:$B$19,C1229)</x:f>
        <x:v>0.11350059737156513</x:v>
      </x:c>
    </x:row>
    <x:row r="1230">
      <x:c r="A1230" s="379" t="n">
        <x:v>46881</x:v>
      </x:c>
      <x:c r="B1230" s="380" t="n">
        <x:v>2028</x:v>
      </x:c>
      <x:c r="C1230" s="380" t="n">
        <x:v>5</x:v>
      </x:c>
      <x:c r="D1230" s="380" t="str">
        <x:v>May</x:v>
      </x:c>
      <x:c r="E1230" s="380" t="n">
        <x:v>8</x:v>
      </x:c>
      <x:c r="F1230" s="380" t="n">
        <x:v>1</x:v>
      </x:c>
      <x:c r="G1230" s="380" t="n">
        <x:f>--(F1230&lt;='Estimator'!$B$7)</x:f>
        <x:v>1</x:v>
      </x:c>
      <x:c r="H1230" s="381" t="n">
        <x:f>SUMIFS('Climate Data'!$G$7:$G$366,'Climate Data'!$A$7:$A$366,'Estimator'!$B$4,'Climate Data'!$B$7:$B$366,C1230)</x:f>
        <x:v>0.41935483870967744</x:v>
      </x:c>
      <x:c r="I1230" s="382" t="n">
        <x:f>SUMIFS('Climate Data'!$H$7:$H$366,'Climate Data'!$A$7:$A$366,'Estimator'!$B$4,'Climate Data'!$B$7:$B$366,C1230)</x:f>
        <x:v>9.215384615384615</x:v>
      </x:c>
      <x:c r="J1230" s="381" t="n">
        <x:f>SUMIFS('Wind Proxy'!$H$8:$H$19,'Wind Proxy'!$A$8:$A$19,'Estimator'!$B$4,'Wind Proxy'!$B$8:$B$19,C1230)</x:f>
        <x:v>0.11350059737156513</x:v>
      </x:c>
    </x:row>
    <x:row r="1231">
      <x:c r="A1231" s="379" t="n">
        <x:v>46882</x:v>
      </x:c>
      <x:c r="B1231" s="380" t="n">
        <x:v>2028</x:v>
      </x:c>
      <x:c r="C1231" s="380" t="n">
        <x:v>5</x:v>
      </x:c>
      <x:c r="D1231" s="380" t="str">
        <x:v>May</x:v>
      </x:c>
      <x:c r="E1231" s="380" t="n">
        <x:v>9</x:v>
      </x:c>
      <x:c r="F1231" s="380" t="n">
        <x:v>2</x:v>
      </x:c>
      <x:c r="G1231" s="380" t="n">
        <x:f>--(F1231&lt;='Estimator'!$B$7)</x:f>
        <x:v>1</x:v>
      </x:c>
      <x:c r="H1231" s="381" t="n">
        <x:f>SUMIFS('Climate Data'!$G$7:$G$366,'Climate Data'!$A$7:$A$366,'Estimator'!$B$4,'Climate Data'!$B$7:$B$366,C1231)</x:f>
        <x:v>0.41935483870967744</x:v>
      </x:c>
      <x:c r="I1231" s="382" t="n">
        <x:f>SUMIFS('Climate Data'!$H$7:$H$366,'Climate Data'!$A$7:$A$366,'Estimator'!$B$4,'Climate Data'!$B$7:$B$366,C1231)</x:f>
        <x:v>9.215384615384615</x:v>
      </x:c>
      <x:c r="J1231" s="381" t="n">
        <x:f>SUMIFS('Wind Proxy'!$H$8:$H$19,'Wind Proxy'!$A$8:$A$19,'Estimator'!$B$4,'Wind Proxy'!$B$8:$B$19,C1231)</x:f>
        <x:v>0.11350059737156513</x:v>
      </x:c>
    </x:row>
    <x:row r="1232">
      <x:c r="A1232" s="379" t="n">
        <x:v>46883</x:v>
      </x:c>
      <x:c r="B1232" s="380" t="n">
        <x:v>2028</x:v>
      </x:c>
      <x:c r="C1232" s="380" t="n">
        <x:v>5</x:v>
      </x:c>
      <x:c r="D1232" s="380" t="str">
        <x:v>May</x:v>
      </x:c>
      <x:c r="E1232" s="380" t="n">
        <x:v>10</x:v>
      </x:c>
      <x:c r="F1232" s="380" t="n">
        <x:v>3</x:v>
      </x:c>
      <x:c r="G1232" s="380" t="n">
        <x:f>--(F1232&lt;='Estimator'!$B$7)</x:f>
        <x:v>1</x:v>
      </x:c>
      <x:c r="H1232" s="381" t="n">
        <x:f>SUMIFS('Climate Data'!$G$7:$G$366,'Climate Data'!$A$7:$A$366,'Estimator'!$B$4,'Climate Data'!$B$7:$B$366,C1232)</x:f>
        <x:v>0.41935483870967744</x:v>
      </x:c>
      <x:c r="I1232" s="382" t="n">
        <x:f>SUMIFS('Climate Data'!$H$7:$H$366,'Climate Data'!$A$7:$A$366,'Estimator'!$B$4,'Climate Data'!$B$7:$B$366,C1232)</x:f>
        <x:v>9.215384615384615</x:v>
      </x:c>
      <x:c r="J1232" s="381" t="n">
        <x:f>SUMIFS('Wind Proxy'!$H$8:$H$19,'Wind Proxy'!$A$8:$A$19,'Estimator'!$B$4,'Wind Proxy'!$B$8:$B$19,C1232)</x:f>
        <x:v>0.11350059737156513</x:v>
      </x:c>
    </x:row>
    <x:row r="1233">
      <x:c r="A1233" s="379" t="n">
        <x:v>46884</x:v>
      </x:c>
      <x:c r="B1233" s="380" t="n">
        <x:v>2028</x:v>
      </x:c>
      <x:c r="C1233" s="380" t="n">
        <x:v>5</x:v>
      </x:c>
      <x:c r="D1233" s="380" t="str">
        <x:v>May</x:v>
      </x:c>
      <x:c r="E1233" s="380" t="n">
        <x:v>11</x:v>
      </x:c>
      <x:c r="F1233" s="380" t="n">
        <x:v>4</x:v>
      </x:c>
      <x:c r="G1233" s="380" t="n">
        <x:f>--(F1233&lt;='Estimator'!$B$7)</x:f>
        <x:v>1</x:v>
      </x:c>
      <x:c r="H1233" s="381" t="n">
        <x:f>SUMIFS('Climate Data'!$G$7:$G$366,'Climate Data'!$A$7:$A$366,'Estimator'!$B$4,'Climate Data'!$B$7:$B$366,C1233)</x:f>
        <x:v>0.41935483870967744</x:v>
      </x:c>
      <x:c r="I1233" s="382" t="n">
        <x:f>SUMIFS('Climate Data'!$H$7:$H$366,'Climate Data'!$A$7:$A$366,'Estimator'!$B$4,'Climate Data'!$B$7:$B$366,C1233)</x:f>
        <x:v>9.215384615384615</x:v>
      </x:c>
      <x:c r="J1233" s="381" t="n">
        <x:f>SUMIFS('Wind Proxy'!$H$8:$H$19,'Wind Proxy'!$A$8:$A$19,'Estimator'!$B$4,'Wind Proxy'!$B$8:$B$19,C1233)</x:f>
        <x:v>0.11350059737156513</x:v>
      </x:c>
    </x:row>
    <x:row r="1234">
      <x:c r="A1234" s="379" t="n">
        <x:v>46885</x:v>
      </x:c>
      <x:c r="B1234" s="380" t="n">
        <x:v>2028</x:v>
      </x:c>
      <x:c r="C1234" s="380" t="n">
        <x:v>5</x:v>
      </x:c>
      <x:c r="D1234" s="380" t="str">
        <x:v>May</x:v>
      </x:c>
      <x:c r="E1234" s="380" t="n">
        <x:v>12</x:v>
      </x:c>
      <x:c r="F1234" s="380" t="n">
        <x:v>5</x:v>
      </x:c>
      <x:c r="G1234" s="380" t="n">
        <x:f>--(F1234&lt;='Estimator'!$B$7)</x:f>
        <x:v>1</x:v>
      </x:c>
      <x:c r="H1234" s="381" t="n">
        <x:f>SUMIFS('Climate Data'!$G$7:$G$366,'Climate Data'!$A$7:$A$366,'Estimator'!$B$4,'Climate Data'!$B$7:$B$366,C1234)</x:f>
        <x:v>0.41935483870967744</x:v>
      </x:c>
      <x:c r="I1234" s="382" t="n">
        <x:f>SUMIFS('Climate Data'!$H$7:$H$366,'Climate Data'!$A$7:$A$366,'Estimator'!$B$4,'Climate Data'!$B$7:$B$366,C1234)</x:f>
        <x:v>9.215384615384615</x:v>
      </x:c>
      <x:c r="J1234" s="381" t="n">
        <x:f>SUMIFS('Wind Proxy'!$H$8:$H$19,'Wind Proxy'!$A$8:$A$19,'Estimator'!$B$4,'Wind Proxy'!$B$8:$B$19,C1234)</x:f>
        <x:v>0.11350059737156513</x:v>
      </x:c>
    </x:row>
    <x:row r="1235">
      <x:c r="A1235" s="379" t="n">
        <x:v>46886</x:v>
      </x:c>
      <x:c r="B1235" s="380" t="n">
        <x:v>2028</x:v>
      </x:c>
      <x:c r="C1235" s="380" t="n">
        <x:v>5</x:v>
      </x:c>
      <x:c r="D1235" s="380" t="str">
        <x:v>May</x:v>
      </x:c>
      <x:c r="E1235" s="380" t="n">
        <x:v>13</x:v>
      </x:c>
      <x:c r="F1235" s="380" t="n">
        <x:v>6</x:v>
      </x:c>
      <x:c r="G1235" s="380" t="n">
        <x:f>--(F1235&lt;='Estimator'!$B$7)</x:f>
        <x:v>0</x:v>
      </x:c>
      <x:c r="H1235" s="381" t="n">
        <x:f>SUMIFS('Climate Data'!$G$7:$G$366,'Climate Data'!$A$7:$A$366,'Estimator'!$B$4,'Climate Data'!$B$7:$B$366,C1235)</x:f>
        <x:v>0.41935483870967744</x:v>
      </x:c>
      <x:c r="I1235" s="382" t="n">
        <x:f>SUMIFS('Climate Data'!$H$7:$H$366,'Climate Data'!$A$7:$A$366,'Estimator'!$B$4,'Climate Data'!$B$7:$B$366,C1235)</x:f>
        <x:v>9.215384615384615</x:v>
      </x:c>
      <x:c r="J1235" s="381" t="n">
        <x:f>SUMIFS('Wind Proxy'!$H$8:$H$19,'Wind Proxy'!$A$8:$A$19,'Estimator'!$B$4,'Wind Proxy'!$B$8:$B$19,C1235)</x:f>
        <x:v>0.11350059737156513</x:v>
      </x:c>
    </x:row>
    <x:row r="1236">
      <x:c r="A1236" s="379" t="n">
        <x:v>46887</x:v>
      </x:c>
      <x:c r="B1236" s="380" t="n">
        <x:v>2028</x:v>
      </x:c>
      <x:c r="C1236" s="380" t="n">
        <x:v>5</x:v>
      </x:c>
      <x:c r="D1236" s="380" t="str">
        <x:v>May</x:v>
      </x:c>
      <x:c r="E1236" s="380" t="n">
        <x:v>14</x:v>
      </x:c>
      <x:c r="F1236" s="380" t="n">
        <x:v>7</x:v>
      </x:c>
      <x:c r="G1236" s="380" t="n">
        <x:f>--(F1236&lt;='Estimator'!$B$7)</x:f>
        <x:v>0</x:v>
      </x:c>
      <x:c r="H1236" s="381" t="n">
        <x:f>SUMIFS('Climate Data'!$G$7:$G$366,'Climate Data'!$A$7:$A$366,'Estimator'!$B$4,'Climate Data'!$B$7:$B$366,C1236)</x:f>
        <x:v>0.41935483870967744</x:v>
      </x:c>
      <x:c r="I1236" s="382" t="n">
        <x:f>SUMIFS('Climate Data'!$H$7:$H$366,'Climate Data'!$A$7:$A$366,'Estimator'!$B$4,'Climate Data'!$B$7:$B$366,C1236)</x:f>
        <x:v>9.215384615384615</x:v>
      </x:c>
      <x:c r="J1236" s="381" t="n">
        <x:f>SUMIFS('Wind Proxy'!$H$8:$H$19,'Wind Proxy'!$A$8:$A$19,'Estimator'!$B$4,'Wind Proxy'!$B$8:$B$19,C1236)</x:f>
        <x:v>0.11350059737156513</x:v>
      </x:c>
    </x:row>
    <x:row r="1237">
      <x:c r="A1237" s="379" t="n">
        <x:v>46888</x:v>
      </x:c>
      <x:c r="B1237" s="380" t="n">
        <x:v>2028</x:v>
      </x:c>
      <x:c r="C1237" s="380" t="n">
        <x:v>5</x:v>
      </x:c>
      <x:c r="D1237" s="380" t="str">
        <x:v>May</x:v>
      </x:c>
      <x:c r="E1237" s="380" t="n">
        <x:v>15</x:v>
      </x:c>
      <x:c r="F1237" s="380" t="n">
        <x:v>1</x:v>
      </x:c>
      <x:c r="G1237" s="380" t="n">
        <x:f>--(F1237&lt;='Estimator'!$B$7)</x:f>
        <x:v>1</x:v>
      </x:c>
      <x:c r="H1237" s="381" t="n">
        <x:f>SUMIFS('Climate Data'!$G$7:$G$366,'Climate Data'!$A$7:$A$366,'Estimator'!$B$4,'Climate Data'!$B$7:$B$366,C1237)</x:f>
        <x:v>0.41935483870967744</x:v>
      </x:c>
      <x:c r="I1237" s="382" t="n">
        <x:f>SUMIFS('Climate Data'!$H$7:$H$366,'Climate Data'!$A$7:$A$366,'Estimator'!$B$4,'Climate Data'!$B$7:$B$366,C1237)</x:f>
        <x:v>9.215384615384615</x:v>
      </x:c>
      <x:c r="J1237" s="381" t="n">
        <x:f>SUMIFS('Wind Proxy'!$H$8:$H$19,'Wind Proxy'!$A$8:$A$19,'Estimator'!$B$4,'Wind Proxy'!$B$8:$B$19,C1237)</x:f>
        <x:v>0.11350059737156513</x:v>
      </x:c>
    </x:row>
    <x:row r="1238">
      <x:c r="A1238" s="379" t="n">
        <x:v>46889</x:v>
      </x:c>
      <x:c r="B1238" s="380" t="n">
        <x:v>2028</x:v>
      </x:c>
      <x:c r="C1238" s="380" t="n">
        <x:v>5</x:v>
      </x:c>
      <x:c r="D1238" s="380" t="str">
        <x:v>May</x:v>
      </x:c>
      <x:c r="E1238" s="380" t="n">
        <x:v>16</x:v>
      </x:c>
      <x:c r="F1238" s="380" t="n">
        <x:v>2</x:v>
      </x:c>
      <x:c r="G1238" s="380" t="n">
        <x:f>--(F1238&lt;='Estimator'!$B$7)</x:f>
        <x:v>1</x:v>
      </x:c>
      <x:c r="H1238" s="381" t="n">
        <x:f>SUMIFS('Climate Data'!$G$7:$G$366,'Climate Data'!$A$7:$A$366,'Estimator'!$B$4,'Climate Data'!$B$7:$B$366,C1238)</x:f>
        <x:v>0.41935483870967744</x:v>
      </x:c>
      <x:c r="I1238" s="382" t="n">
        <x:f>SUMIFS('Climate Data'!$H$7:$H$366,'Climate Data'!$A$7:$A$366,'Estimator'!$B$4,'Climate Data'!$B$7:$B$366,C1238)</x:f>
        <x:v>9.215384615384615</x:v>
      </x:c>
      <x:c r="J1238" s="381" t="n">
        <x:f>SUMIFS('Wind Proxy'!$H$8:$H$19,'Wind Proxy'!$A$8:$A$19,'Estimator'!$B$4,'Wind Proxy'!$B$8:$B$19,C1238)</x:f>
        <x:v>0.11350059737156513</x:v>
      </x:c>
    </x:row>
    <x:row r="1239">
      <x:c r="A1239" s="379" t="n">
        <x:v>46890</x:v>
      </x:c>
      <x:c r="B1239" s="380" t="n">
        <x:v>2028</x:v>
      </x:c>
      <x:c r="C1239" s="380" t="n">
        <x:v>5</x:v>
      </x:c>
      <x:c r="D1239" s="380" t="str">
        <x:v>May</x:v>
      </x:c>
      <x:c r="E1239" s="380" t="n">
        <x:v>17</x:v>
      </x:c>
      <x:c r="F1239" s="380" t="n">
        <x:v>3</x:v>
      </x:c>
      <x:c r="G1239" s="380" t="n">
        <x:f>--(F1239&lt;='Estimator'!$B$7)</x:f>
        <x:v>1</x:v>
      </x:c>
      <x:c r="H1239" s="381" t="n">
        <x:f>SUMIFS('Climate Data'!$G$7:$G$366,'Climate Data'!$A$7:$A$366,'Estimator'!$B$4,'Climate Data'!$B$7:$B$366,C1239)</x:f>
        <x:v>0.41935483870967744</x:v>
      </x:c>
      <x:c r="I1239" s="382" t="n">
        <x:f>SUMIFS('Climate Data'!$H$7:$H$366,'Climate Data'!$A$7:$A$366,'Estimator'!$B$4,'Climate Data'!$B$7:$B$366,C1239)</x:f>
        <x:v>9.215384615384615</x:v>
      </x:c>
      <x:c r="J1239" s="381" t="n">
        <x:f>SUMIFS('Wind Proxy'!$H$8:$H$19,'Wind Proxy'!$A$8:$A$19,'Estimator'!$B$4,'Wind Proxy'!$B$8:$B$19,C1239)</x:f>
        <x:v>0.11350059737156513</x:v>
      </x:c>
    </x:row>
    <x:row r="1240">
      <x:c r="A1240" s="379" t="n">
        <x:v>46891</x:v>
      </x:c>
      <x:c r="B1240" s="380" t="n">
        <x:v>2028</x:v>
      </x:c>
      <x:c r="C1240" s="380" t="n">
        <x:v>5</x:v>
      </x:c>
      <x:c r="D1240" s="380" t="str">
        <x:v>May</x:v>
      </x:c>
      <x:c r="E1240" s="380" t="n">
        <x:v>18</x:v>
      </x:c>
      <x:c r="F1240" s="380" t="n">
        <x:v>4</x:v>
      </x:c>
      <x:c r="G1240" s="380" t="n">
        <x:f>--(F1240&lt;='Estimator'!$B$7)</x:f>
        <x:v>1</x:v>
      </x:c>
      <x:c r="H1240" s="381" t="n">
        <x:f>SUMIFS('Climate Data'!$G$7:$G$366,'Climate Data'!$A$7:$A$366,'Estimator'!$B$4,'Climate Data'!$B$7:$B$366,C1240)</x:f>
        <x:v>0.41935483870967744</x:v>
      </x:c>
      <x:c r="I1240" s="382" t="n">
        <x:f>SUMIFS('Climate Data'!$H$7:$H$366,'Climate Data'!$A$7:$A$366,'Estimator'!$B$4,'Climate Data'!$B$7:$B$366,C1240)</x:f>
        <x:v>9.215384615384615</x:v>
      </x:c>
      <x:c r="J1240" s="381" t="n">
        <x:f>SUMIFS('Wind Proxy'!$H$8:$H$19,'Wind Proxy'!$A$8:$A$19,'Estimator'!$B$4,'Wind Proxy'!$B$8:$B$19,C1240)</x:f>
        <x:v>0.11350059737156513</x:v>
      </x:c>
    </x:row>
    <x:row r="1241">
      <x:c r="A1241" s="379" t="n">
        <x:v>46892</x:v>
      </x:c>
      <x:c r="B1241" s="380" t="n">
        <x:v>2028</x:v>
      </x:c>
      <x:c r="C1241" s="380" t="n">
        <x:v>5</x:v>
      </x:c>
      <x:c r="D1241" s="380" t="str">
        <x:v>May</x:v>
      </x:c>
      <x:c r="E1241" s="380" t="n">
        <x:v>19</x:v>
      </x:c>
      <x:c r="F1241" s="380" t="n">
        <x:v>5</x:v>
      </x:c>
      <x:c r="G1241" s="380" t="n">
        <x:f>--(F1241&lt;='Estimator'!$B$7)</x:f>
        <x:v>1</x:v>
      </x:c>
      <x:c r="H1241" s="381" t="n">
        <x:f>SUMIFS('Climate Data'!$G$7:$G$366,'Climate Data'!$A$7:$A$366,'Estimator'!$B$4,'Climate Data'!$B$7:$B$366,C1241)</x:f>
        <x:v>0.41935483870967744</x:v>
      </x:c>
      <x:c r="I1241" s="382" t="n">
        <x:f>SUMIFS('Climate Data'!$H$7:$H$366,'Climate Data'!$A$7:$A$366,'Estimator'!$B$4,'Climate Data'!$B$7:$B$366,C1241)</x:f>
        <x:v>9.215384615384615</x:v>
      </x:c>
      <x:c r="J1241" s="381" t="n">
        <x:f>SUMIFS('Wind Proxy'!$H$8:$H$19,'Wind Proxy'!$A$8:$A$19,'Estimator'!$B$4,'Wind Proxy'!$B$8:$B$19,C1241)</x:f>
        <x:v>0.11350059737156513</x:v>
      </x:c>
    </x:row>
    <x:row r="1242">
      <x:c r="A1242" s="379" t="n">
        <x:v>46893</x:v>
      </x:c>
      <x:c r="B1242" s="380" t="n">
        <x:v>2028</x:v>
      </x:c>
      <x:c r="C1242" s="380" t="n">
        <x:v>5</x:v>
      </x:c>
      <x:c r="D1242" s="380" t="str">
        <x:v>May</x:v>
      </x:c>
      <x:c r="E1242" s="380" t="n">
        <x:v>20</x:v>
      </x:c>
      <x:c r="F1242" s="380" t="n">
        <x:v>6</x:v>
      </x:c>
      <x:c r="G1242" s="380" t="n">
        <x:f>--(F1242&lt;='Estimator'!$B$7)</x:f>
        <x:v>0</x:v>
      </x:c>
      <x:c r="H1242" s="381" t="n">
        <x:f>SUMIFS('Climate Data'!$G$7:$G$366,'Climate Data'!$A$7:$A$366,'Estimator'!$B$4,'Climate Data'!$B$7:$B$366,C1242)</x:f>
        <x:v>0.41935483870967744</x:v>
      </x:c>
      <x:c r="I1242" s="382" t="n">
        <x:f>SUMIFS('Climate Data'!$H$7:$H$366,'Climate Data'!$A$7:$A$366,'Estimator'!$B$4,'Climate Data'!$B$7:$B$366,C1242)</x:f>
        <x:v>9.215384615384615</x:v>
      </x:c>
      <x:c r="J1242" s="381" t="n">
        <x:f>SUMIFS('Wind Proxy'!$H$8:$H$19,'Wind Proxy'!$A$8:$A$19,'Estimator'!$B$4,'Wind Proxy'!$B$8:$B$19,C1242)</x:f>
        <x:v>0.11350059737156513</x:v>
      </x:c>
    </x:row>
    <x:row r="1243">
      <x:c r="A1243" s="379" t="n">
        <x:v>46894</x:v>
      </x:c>
      <x:c r="B1243" s="380" t="n">
        <x:v>2028</x:v>
      </x:c>
      <x:c r="C1243" s="380" t="n">
        <x:v>5</x:v>
      </x:c>
      <x:c r="D1243" s="380" t="str">
        <x:v>May</x:v>
      </x:c>
      <x:c r="E1243" s="380" t="n">
        <x:v>21</x:v>
      </x:c>
      <x:c r="F1243" s="380" t="n">
        <x:v>7</x:v>
      </x:c>
      <x:c r="G1243" s="380" t="n">
        <x:f>--(F1243&lt;='Estimator'!$B$7)</x:f>
        <x:v>0</x:v>
      </x:c>
      <x:c r="H1243" s="381" t="n">
        <x:f>SUMIFS('Climate Data'!$G$7:$G$366,'Climate Data'!$A$7:$A$366,'Estimator'!$B$4,'Climate Data'!$B$7:$B$366,C1243)</x:f>
        <x:v>0.41935483870967744</x:v>
      </x:c>
      <x:c r="I1243" s="382" t="n">
        <x:f>SUMIFS('Climate Data'!$H$7:$H$366,'Climate Data'!$A$7:$A$366,'Estimator'!$B$4,'Climate Data'!$B$7:$B$366,C1243)</x:f>
        <x:v>9.215384615384615</x:v>
      </x:c>
      <x:c r="J1243" s="381" t="n">
        <x:f>SUMIFS('Wind Proxy'!$H$8:$H$19,'Wind Proxy'!$A$8:$A$19,'Estimator'!$B$4,'Wind Proxy'!$B$8:$B$19,C1243)</x:f>
        <x:v>0.11350059737156513</x:v>
      </x:c>
    </x:row>
    <x:row r="1244">
      <x:c r="A1244" s="379" t="n">
        <x:v>46895</x:v>
      </x:c>
      <x:c r="B1244" s="380" t="n">
        <x:v>2028</x:v>
      </x:c>
      <x:c r="C1244" s="380" t="n">
        <x:v>5</x:v>
      </x:c>
      <x:c r="D1244" s="380" t="str">
        <x:v>May</x:v>
      </x:c>
      <x:c r="E1244" s="380" t="n">
        <x:v>22</x:v>
      </x:c>
      <x:c r="F1244" s="380" t="n">
        <x:v>1</x:v>
      </x:c>
      <x:c r="G1244" s="380" t="n">
        <x:f>--(F1244&lt;='Estimator'!$B$7)</x:f>
        <x:v>1</x:v>
      </x:c>
      <x:c r="H1244" s="381" t="n">
        <x:f>SUMIFS('Climate Data'!$G$7:$G$366,'Climate Data'!$A$7:$A$366,'Estimator'!$B$4,'Climate Data'!$B$7:$B$366,C1244)</x:f>
        <x:v>0.41935483870967744</x:v>
      </x:c>
      <x:c r="I1244" s="382" t="n">
        <x:f>SUMIFS('Climate Data'!$H$7:$H$366,'Climate Data'!$A$7:$A$366,'Estimator'!$B$4,'Climate Data'!$B$7:$B$366,C1244)</x:f>
        <x:v>9.215384615384615</x:v>
      </x:c>
      <x:c r="J1244" s="381" t="n">
        <x:f>SUMIFS('Wind Proxy'!$H$8:$H$19,'Wind Proxy'!$A$8:$A$19,'Estimator'!$B$4,'Wind Proxy'!$B$8:$B$19,C1244)</x:f>
        <x:v>0.11350059737156513</x:v>
      </x:c>
    </x:row>
    <x:row r="1245">
      <x:c r="A1245" s="379" t="n">
        <x:v>46896</x:v>
      </x:c>
      <x:c r="B1245" s="380" t="n">
        <x:v>2028</x:v>
      </x:c>
      <x:c r="C1245" s="380" t="n">
        <x:v>5</x:v>
      </x:c>
      <x:c r="D1245" s="380" t="str">
        <x:v>May</x:v>
      </x:c>
      <x:c r="E1245" s="380" t="n">
        <x:v>23</x:v>
      </x:c>
      <x:c r="F1245" s="380" t="n">
        <x:v>2</x:v>
      </x:c>
      <x:c r="G1245" s="380" t="n">
        <x:f>--(F1245&lt;='Estimator'!$B$7)</x:f>
        <x:v>1</x:v>
      </x:c>
      <x:c r="H1245" s="381" t="n">
        <x:f>SUMIFS('Climate Data'!$G$7:$G$366,'Climate Data'!$A$7:$A$366,'Estimator'!$B$4,'Climate Data'!$B$7:$B$366,C1245)</x:f>
        <x:v>0.41935483870967744</x:v>
      </x:c>
      <x:c r="I1245" s="382" t="n">
        <x:f>SUMIFS('Climate Data'!$H$7:$H$366,'Climate Data'!$A$7:$A$366,'Estimator'!$B$4,'Climate Data'!$B$7:$B$366,C1245)</x:f>
        <x:v>9.215384615384615</x:v>
      </x:c>
      <x:c r="J1245" s="381" t="n">
        <x:f>SUMIFS('Wind Proxy'!$H$8:$H$19,'Wind Proxy'!$A$8:$A$19,'Estimator'!$B$4,'Wind Proxy'!$B$8:$B$19,C1245)</x:f>
        <x:v>0.11350059737156513</x:v>
      </x:c>
    </x:row>
    <x:row r="1246">
      <x:c r="A1246" s="379" t="n">
        <x:v>46897</x:v>
      </x:c>
      <x:c r="B1246" s="380" t="n">
        <x:v>2028</x:v>
      </x:c>
      <x:c r="C1246" s="380" t="n">
        <x:v>5</x:v>
      </x:c>
      <x:c r="D1246" s="380" t="str">
        <x:v>May</x:v>
      </x:c>
      <x:c r="E1246" s="380" t="n">
        <x:v>24</x:v>
      </x:c>
      <x:c r="F1246" s="380" t="n">
        <x:v>3</x:v>
      </x:c>
      <x:c r="G1246" s="380" t="n">
        <x:f>--(F1246&lt;='Estimator'!$B$7)</x:f>
        <x:v>1</x:v>
      </x:c>
      <x:c r="H1246" s="381" t="n">
        <x:f>SUMIFS('Climate Data'!$G$7:$G$366,'Climate Data'!$A$7:$A$366,'Estimator'!$B$4,'Climate Data'!$B$7:$B$366,C1246)</x:f>
        <x:v>0.41935483870967744</x:v>
      </x:c>
      <x:c r="I1246" s="382" t="n">
        <x:f>SUMIFS('Climate Data'!$H$7:$H$366,'Climate Data'!$A$7:$A$366,'Estimator'!$B$4,'Climate Data'!$B$7:$B$366,C1246)</x:f>
        <x:v>9.215384615384615</x:v>
      </x:c>
      <x:c r="J1246" s="381" t="n">
        <x:f>SUMIFS('Wind Proxy'!$H$8:$H$19,'Wind Proxy'!$A$8:$A$19,'Estimator'!$B$4,'Wind Proxy'!$B$8:$B$19,C1246)</x:f>
        <x:v>0.11350059737156513</x:v>
      </x:c>
    </x:row>
    <x:row r="1247">
      <x:c r="A1247" s="379" t="n">
        <x:v>46898</x:v>
      </x:c>
      <x:c r="B1247" s="380" t="n">
        <x:v>2028</x:v>
      </x:c>
      <x:c r="C1247" s="380" t="n">
        <x:v>5</x:v>
      </x:c>
      <x:c r="D1247" s="380" t="str">
        <x:v>May</x:v>
      </x:c>
      <x:c r="E1247" s="380" t="n">
        <x:v>25</x:v>
      </x:c>
      <x:c r="F1247" s="380" t="n">
        <x:v>4</x:v>
      </x:c>
      <x:c r="G1247" s="380" t="n">
        <x:f>--(F1247&lt;='Estimator'!$B$7)</x:f>
        <x:v>1</x:v>
      </x:c>
      <x:c r="H1247" s="381" t="n">
        <x:f>SUMIFS('Climate Data'!$G$7:$G$366,'Climate Data'!$A$7:$A$366,'Estimator'!$B$4,'Climate Data'!$B$7:$B$366,C1247)</x:f>
        <x:v>0.41935483870967744</x:v>
      </x:c>
      <x:c r="I1247" s="382" t="n">
        <x:f>SUMIFS('Climate Data'!$H$7:$H$366,'Climate Data'!$A$7:$A$366,'Estimator'!$B$4,'Climate Data'!$B$7:$B$366,C1247)</x:f>
        <x:v>9.215384615384615</x:v>
      </x:c>
      <x:c r="J1247" s="381" t="n">
        <x:f>SUMIFS('Wind Proxy'!$H$8:$H$19,'Wind Proxy'!$A$8:$A$19,'Estimator'!$B$4,'Wind Proxy'!$B$8:$B$19,C1247)</x:f>
        <x:v>0.11350059737156513</x:v>
      </x:c>
    </x:row>
    <x:row r="1248">
      <x:c r="A1248" s="379" t="n">
        <x:v>46899</x:v>
      </x:c>
      <x:c r="B1248" s="380" t="n">
        <x:v>2028</x:v>
      </x:c>
      <x:c r="C1248" s="380" t="n">
        <x:v>5</x:v>
      </x:c>
      <x:c r="D1248" s="380" t="str">
        <x:v>May</x:v>
      </x:c>
      <x:c r="E1248" s="380" t="n">
        <x:v>26</x:v>
      </x:c>
      <x:c r="F1248" s="380" t="n">
        <x:v>5</x:v>
      </x:c>
      <x:c r="G1248" s="380" t="n">
        <x:f>--(F1248&lt;='Estimator'!$B$7)</x:f>
        <x:v>1</x:v>
      </x:c>
      <x:c r="H1248" s="381" t="n">
        <x:f>SUMIFS('Climate Data'!$G$7:$G$366,'Climate Data'!$A$7:$A$366,'Estimator'!$B$4,'Climate Data'!$B$7:$B$366,C1248)</x:f>
        <x:v>0.41935483870967744</x:v>
      </x:c>
      <x:c r="I1248" s="382" t="n">
        <x:f>SUMIFS('Climate Data'!$H$7:$H$366,'Climate Data'!$A$7:$A$366,'Estimator'!$B$4,'Climate Data'!$B$7:$B$366,C1248)</x:f>
        <x:v>9.215384615384615</x:v>
      </x:c>
      <x:c r="J1248" s="381" t="n">
        <x:f>SUMIFS('Wind Proxy'!$H$8:$H$19,'Wind Proxy'!$A$8:$A$19,'Estimator'!$B$4,'Wind Proxy'!$B$8:$B$19,C1248)</x:f>
        <x:v>0.11350059737156513</x:v>
      </x:c>
    </x:row>
    <x:row r="1249">
      <x:c r="A1249" s="379" t="n">
        <x:v>46900</x:v>
      </x:c>
      <x:c r="B1249" s="380" t="n">
        <x:v>2028</x:v>
      </x:c>
      <x:c r="C1249" s="380" t="n">
        <x:v>5</x:v>
      </x:c>
      <x:c r="D1249" s="380" t="str">
        <x:v>May</x:v>
      </x:c>
      <x:c r="E1249" s="380" t="n">
        <x:v>27</x:v>
      </x:c>
      <x:c r="F1249" s="380" t="n">
        <x:v>6</x:v>
      </x:c>
      <x:c r="G1249" s="380" t="n">
        <x:f>--(F1249&lt;='Estimator'!$B$7)</x:f>
        <x:v>0</x:v>
      </x:c>
      <x:c r="H1249" s="381" t="n">
        <x:f>SUMIFS('Climate Data'!$G$7:$G$366,'Climate Data'!$A$7:$A$366,'Estimator'!$B$4,'Climate Data'!$B$7:$B$366,C1249)</x:f>
        <x:v>0.41935483870967744</x:v>
      </x:c>
      <x:c r="I1249" s="382" t="n">
        <x:f>SUMIFS('Climate Data'!$H$7:$H$366,'Climate Data'!$A$7:$A$366,'Estimator'!$B$4,'Climate Data'!$B$7:$B$366,C1249)</x:f>
        <x:v>9.215384615384615</x:v>
      </x:c>
      <x:c r="J1249" s="381" t="n">
        <x:f>SUMIFS('Wind Proxy'!$H$8:$H$19,'Wind Proxy'!$A$8:$A$19,'Estimator'!$B$4,'Wind Proxy'!$B$8:$B$19,C1249)</x:f>
        <x:v>0.11350059737156513</x:v>
      </x:c>
    </x:row>
    <x:row r="1250">
      <x:c r="A1250" s="379" t="n">
        <x:v>46901</x:v>
      </x:c>
      <x:c r="B1250" s="380" t="n">
        <x:v>2028</x:v>
      </x:c>
      <x:c r="C1250" s="380" t="n">
        <x:v>5</x:v>
      </x:c>
      <x:c r="D1250" s="380" t="str">
        <x:v>May</x:v>
      </x:c>
      <x:c r="E1250" s="380" t="n">
        <x:v>28</x:v>
      </x:c>
      <x:c r="F1250" s="380" t="n">
        <x:v>7</x:v>
      </x:c>
      <x:c r="G1250" s="380" t="n">
        <x:f>--(F1250&lt;='Estimator'!$B$7)</x:f>
        <x:v>0</x:v>
      </x:c>
      <x:c r="H1250" s="381" t="n">
        <x:f>SUMIFS('Climate Data'!$G$7:$G$366,'Climate Data'!$A$7:$A$366,'Estimator'!$B$4,'Climate Data'!$B$7:$B$366,C1250)</x:f>
        <x:v>0.41935483870967744</x:v>
      </x:c>
      <x:c r="I1250" s="382" t="n">
        <x:f>SUMIFS('Climate Data'!$H$7:$H$366,'Climate Data'!$A$7:$A$366,'Estimator'!$B$4,'Climate Data'!$B$7:$B$366,C1250)</x:f>
        <x:v>9.215384615384615</x:v>
      </x:c>
      <x:c r="J1250" s="381" t="n">
        <x:f>SUMIFS('Wind Proxy'!$H$8:$H$19,'Wind Proxy'!$A$8:$A$19,'Estimator'!$B$4,'Wind Proxy'!$B$8:$B$19,C1250)</x:f>
        <x:v>0.11350059737156513</x:v>
      </x:c>
    </x:row>
    <x:row r="1251">
      <x:c r="A1251" s="379" t="n">
        <x:v>46902</x:v>
      </x:c>
      <x:c r="B1251" s="380" t="n">
        <x:v>2028</x:v>
      </x:c>
      <x:c r="C1251" s="380" t="n">
        <x:v>5</x:v>
      </x:c>
      <x:c r="D1251" s="380" t="str">
        <x:v>May</x:v>
      </x:c>
      <x:c r="E1251" s="380" t="n">
        <x:v>29</x:v>
      </x:c>
      <x:c r="F1251" s="380" t="n">
        <x:v>1</x:v>
      </x:c>
      <x:c r="G1251" s="380" t="n">
        <x:f>--(F1251&lt;='Estimator'!$B$7)</x:f>
        <x:v>1</x:v>
      </x:c>
      <x:c r="H1251" s="381" t="n">
        <x:f>SUMIFS('Climate Data'!$G$7:$G$366,'Climate Data'!$A$7:$A$366,'Estimator'!$B$4,'Climate Data'!$B$7:$B$366,C1251)</x:f>
        <x:v>0.41935483870967744</x:v>
      </x:c>
      <x:c r="I1251" s="382" t="n">
        <x:f>SUMIFS('Climate Data'!$H$7:$H$366,'Climate Data'!$A$7:$A$366,'Estimator'!$B$4,'Climate Data'!$B$7:$B$366,C1251)</x:f>
        <x:v>9.215384615384615</x:v>
      </x:c>
      <x:c r="J1251" s="381" t="n">
        <x:f>SUMIFS('Wind Proxy'!$H$8:$H$19,'Wind Proxy'!$A$8:$A$19,'Estimator'!$B$4,'Wind Proxy'!$B$8:$B$19,C1251)</x:f>
        <x:v>0.11350059737156513</x:v>
      </x:c>
    </x:row>
    <x:row r="1252">
      <x:c r="A1252" s="379" t="n">
        <x:v>46903</x:v>
      </x:c>
      <x:c r="B1252" s="380" t="n">
        <x:v>2028</x:v>
      </x:c>
      <x:c r="C1252" s="380" t="n">
        <x:v>5</x:v>
      </x:c>
      <x:c r="D1252" s="380" t="str">
        <x:v>May</x:v>
      </x:c>
      <x:c r="E1252" s="380" t="n">
        <x:v>30</x:v>
      </x:c>
      <x:c r="F1252" s="380" t="n">
        <x:v>2</x:v>
      </x:c>
      <x:c r="G1252" s="380" t="n">
        <x:f>--(F1252&lt;='Estimator'!$B$7)</x:f>
        <x:v>1</x:v>
      </x:c>
      <x:c r="H1252" s="381" t="n">
        <x:f>SUMIFS('Climate Data'!$G$7:$G$366,'Climate Data'!$A$7:$A$366,'Estimator'!$B$4,'Climate Data'!$B$7:$B$366,C1252)</x:f>
        <x:v>0.41935483870967744</x:v>
      </x:c>
      <x:c r="I1252" s="382" t="n">
        <x:f>SUMIFS('Climate Data'!$H$7:$H$366,'Climate Data'!$A$7:$A$366,'Estimator'!$B$4,'Climate Data'!$B$7:$B$366,C1252)</x:f>
        <x:v>9.215384615384615</x:v>
      </x:c>
      <x:c r="J1252" s="381" t="n">
        <x:f>SUMIFS('Wind Proxy'!$H$8:$H$19,'Wind Proxy'!$A$8:$A$19,'Estimator'!$B$4,'Wind Proxy'!$B$8:$B$19,C1252)</x:f>
        <x:v>0.11350059737156513</x:v>
      </x:c>
    </x:row>
    <x:row r="1253">
      <x:c r="A1253" s="379" t="n">
        <x:v>46904</x:v>
      </x:c>
      <x:c r="B1253" s="380" t="n">
        <x:v>2028</x:v>
      </x:c>
      <x:c r="C1253" s="380" t="n">
        <x:v>5</x:v>
      </x:c>
      <x:c r="D1253" s="380" t="str">
        <x:v>May</x:v>
      </x:c>
      <x:c r="E1253" s="380" t="n">
        <x:v>31</x:v>
      </x:c>
      <x:c r="F1253" s="380" t="n">
        <x:v>3</x:v>
      </x:c>
      <x:c r="G1253" s="380" t="n">
        <x:f>--(F1253&lt;='Estimator'!$B$7)</x:f>
        <x:v>1</x:v>
      </x:c>
      <x:c r="H1253" s="381" t="n">
        <x:f>SUMIFS('Climate Data'!$G$7:$G$366,'Climate Data'!$A$7:$A$366,'Estimator'!$B$4,'Climate Data'!$B$7:$B$366,C1253)</x:f>
        <x:v>0.41935483870967744</x:v>
      </x:c>
      <x:c r="I1253" s="382" t="n">
        <x:f>SUMIFS('Climate Data'!$H$7:$H$366,'Climate Data'!$A$7:$A$366,'Estimator'!$B$4,'Climate Data'!$B$7:$B$366,C1253)</x:f>
        <x:v>9.215384615384615</x:v>
      </x:c>
      <x:c r="J1253" s="381" t="n">
        <x:f>SUMIFS('Wind Proxy'!$H$8:$H$19,'Wind Proxy'!$A$8:$A$19,'Estimator'!$B$4,'Wind Proxy'!$B$8:$B$19,C1253)</x:f>
        <x:v>0.11350059737156513</x:v>
      </x:c>
    </x:row>
    <x:row r="1254">
      <x:c r="A1254" s="379" t="n">
        <x:v>46905</x:v>
      </x:c>
      <x:c r="B1254" s="380" t="n">
        <x:v>2028</x:v>
      </x:c>
      <x:c r="C1254" s="380" t="n">
        <x:v>6</x:v>
      </x:c>
      <x:c r="D1254" s="380" t="str">
        <x:v>Jun</x:v>
      </x:c>
      <x:c r="E1254" s="380" t="n">
        <x:v>1</x:v>
      </x:c>
      <x:c r="F1254" s="380" t="n">
        <x:v>4</x:v>
      </x:c>
      <x:c r="G1254" s="380" t="n">
        <x:f>--(F1254&lt;='Estimator'!$B$7)</x:f>
        <x:v>1</x:v>
      </x:c>
      <x:c r="H1254" s="381" t="n">
        <x:f>SUMIFS('Climate Data'!$G$7:$G$366,'Climate Data'!$A$7:$A$366,'Estimator'!$B$4,'Climate Data'!$B$7:$B$366,C1254)</x:f>
        <x:v>0.475</x:v>
      </x:c>
      <x:c r="I1254" s="382" t="n">
        <x:f>SUMIFS('Climate Data'!$H$7:$H$366,'Climate Data'!$A$7:$A$366,'Estimator'!$B$4,'Climate Data'!$B$7:$B$366,C1254)</x:f>
        <x:v>8.378947368421054</x:v>
      </x:c>
      <x:c r="J1254" s="381" t="n">
        <x:f>SUMIFS('Wind Proxy'!$H$8:$H$19,'Wind Proxy'!$A$8:$A$19,'Estimator'!$B$4,'Wind Proxy'!$B$8:$B$19,C1254)</x:f>
        <x:v>0.14197530864197533</x:v>
      </x:c>
    </x:row>
    <x:row r="1255">
      <x:c r="A1255" s="379" t="n">
        <x:v>46906</x:v>
      </x:c>
      <x:c r="B1255" s="380" t="n">
        <x:v>2028</x:v>
      </x:c>
      <x:c r="C1255" s="380" t="n">
        <x:v>6</x:v>
      </x:c>
      <x:c r="D1255" s="380" t="str">
        <x:v>Jun</x:v>
      </x:c>
      <x:c r="E1255" s="380" t="n">
        <x:v>2</x:v>
      </x:c>
      <x:c r="F1255" s="380" t="n">
        <x:v>5</x:v>
      </x:c>
      <x:c r="G1255" s="380" t="n">
        <x:f>--(F1255&lt;='Estimator'!$B$7)</x:f>
        <x:v>1</x:v>
      </x:c>
      <x:c r="H1255" s="381" t="n">
        <x:f>SUMIFS('Climate Data'!$G$7:$G$366,'Climate Data'!$A$7:$A$366,'Estimator'!$B$4,'Climate Data'!$B$7:$B$366,C1255)</x:f>
        <x:v>0.475</x:v>
      </x:c>
      <x:c r="I1255" s="382" t="n">
        <x:f>SUMIFS('Climate Data'!$H$7:$H$366,'Climate Data'!$A$7:$A$366,'Estimator'!$B$4,'Climate Data'!$B$7:$B$366,C1255)</x:f>
        <x:v>8.378947368421054</x:v>
      </x:c>
      <x:c r="J1255" s="381" t="n">
        <x:f>SUMIFS('Wind Proxy'!$H$8:$H$19,'Wind Proxy'!$A$8:$A$19,'Estimator'!$B$4,'Wind Proxy'!$B$8:$B$19,C1255)</x:f>
        <x:v>0.14197530864197533</x:v>
      </x:c>
    </x:row>
    <x:row r="1256">
      <x:c r="A1256" s="379" t="n">
        <x:v>46907</x:v>
      </x:c>
      <x:c r="B1256" s="380" t="n">
        <x:v>2028</x:v>
      </x:c>
      <x:c r="C1256" s="380" t="n">
        <x:v>6</x:v>
      </x:c>
      <x:c r="D1256" s="380" t="str">
        <x:v>Jun</x:v>
      </x:c>
      <x:c r="E1256" s="380" t="n">
        <x:v>3</x:v>
      </x:c>
      <x:c r="F1256" s="380" t="n">
        <x:v>6</x:v>
      </x:c>
      <x:c r="G1256" s="380" t="n">
        <x:f>--(F1256&lt;='Estimator'!$B$7)</x:f>
        <x:v>0</x:v>
      </x:c>
      <x:c r="H1256" s="381" t="n">
        <x:f>SUMIFS('Climate Data'!$G$7:$G$366,'Climate Data'!$A$7:$A$366,'Estimator'!$B$4,'Climate Data'!$B$7:$B$366,C1256)</x:f>
        <x:v>0.475</x:v>
      </x:c>
      <x:c r="I1256" s="382" t="n">
        <x:f>SUMIFS('Climate Data'!$H$7:$H$366,'Climate Data'!$A$7:$A$366,'Estimator'!$B$4,'Climate Data'!$B$7:$B$366,C1256)</x:f>
        <x:v>8.378947368421054</x:v>
      </x:c>
      <x:c r="J1256" s="381" t="n">
        <x:f>SUMIFS('Wind Proxy'!$H$8:$H$19,'Wind Proxy'!$A$8:$A$19,'Estimator'!$B$4,'Wind Proxy'!$B$8:$B$19,C1256)</x:f>
        <x:v>0.14197530864197533</x:v>
      </x:c>
    </x:row>
    <x:row r="1257">
      <x:c r="A1257" s="379" t="n">
        <x:v>46908</x:v>
      </x:c>
      <x:c r="B1257" s="380" t="n">
        <x:v>2028</x:v>
      </x:c>
      <x:c r="C1257" s="380" t="n">
        <x:v>6</x:v>
      </x:c>
      <x:c r="D1257" s="380" t="str">
        <x:v>Jun</x:v>
      </x:c>
      <x:c r="E1257" s="380" t="n">
        <x:v>4</x:v>
      </x:c>
      <x:c r="F1257" s="380" t="n">
        <x:v>7</x:v>
      </x:c>
      <x:c r="G1257" s="380" t="n">
        <x:f>--(F1257&lt;='Estimator'!$B$7)</x:f>
        <x:v>0</x:v>
      </x:c>
      <x:c r="H1257" s="381" t="n">
        <x:f>SUMIFS('Climate Data'!$G$7:$G$366,'Climate Data'!$A$7:$A$366,'Estimator'!$B$4,'Climate Data'!$B$7:$B$366,C1257)</x:f>
        <x:v>0.475</x:v>
      </x:c>
      <x:c r="I1257" s="382" t="n">
        <x:f>SUMIFS('Climate Data'!$H$7:$H$366,'Climate Data'!$A$7:$A$366,'Estimator'!$B$4,'Climate Data'!$B$7:$B$366,C1257)</x:f>
        <x:v>8.378947368421054</x:v>
      </x:c>
      <x:c r="J1257" s="381" t="n">
        <x:f>SUMIFS('Wind Proxy'!$H$8:$H$19,'Wind Proxy'!$A$8:$A$19,'Estimator'!$B$4,'Wind Proxy'!$B$8:$B$19,C1257)</x:f>
        <x:v>0.14197530864197533</x:v>
      </x:c>
    </x:row>
    <x:row r="1258">
      <x:c r="A1258" s="379" t="n">
        <x:v>46909</x:v>
      </x:c>
      <x:c r="B1258" s="380" t="n">
        <x:v>2028</x:v>
      </x:c>
      <x:c r="C1258" s="380" t="n">
        <x:v>6</x:v>
      </x:c>
      <x:c r="D1258" s="380" t="str">
        <x:v>Jun</x:v>
      </x:c>
      <x:c r="E1258" s="380" t="n">
        <x:v>5</x:v>
      </x:c>
      <x:c r="F1258" s="380" t="n">
        <x:v>1</x:v>
      </x:c>
      <x:c r="G1258" s="380" t="n">
        <x:f>--(F1258&lt;='Estimator'!$B$7)</x:f>
        <x:v>1</x:v>
      </x:c>
      <x:c r="H1258" s="381" t="n">
        <x:f>SUMIFS('Climate Data'!$G$7:$G$366,'Climate Data'!$A$7:$A$366,'Estimator'!$B$4,'Climate Data'!$B$7:$B$366,C1258)</x:f>
        <x:v>0.475</x:v>
      </x:c>
      <x:c r="I1258" s="382" t="n">
        <x:f>SUMIFS('Climate Data'!$H$7:$H$366,'Climate Data'!$A$7:$A$366,'Estimator'!$B$4,'Climate Data'!$B$7:$B$366,C1258)</x:f>
        <x:v>8.378947368421054</x:v>
      </x:c>
      <x:c r="J1258" s="381" t="n">
        <x:f>SUMIFS('Wind Proxy'!$H$8:$H$19,'Wind Proxy'!$A$8:$A$19,'Estimator'!$B$4,'Wind Proxy'!$B$8:$B$19,C1258)</x:f>
        <x:v>0.14197530864197533</x:v>
      </x:c>
    </x:row>
    <x:row r="1259">
      <x:c r="A1259" s="379" t="n">
        <x:v>46910</x:v>
      </x:c>
      <x:c r="B1259" s="380" t="n">
        <x:v>2028</x:v>
      </x:c>
      <x:c r="C1259" s="380" t="n">
        <x:v>6</x:v>
      </x:c>
      <x:c r="D1259" s="380" t="str">
        <x:v>Jun</x:v>
      </x:c>
      <x:c r="E1259" s="380" t="n">
        <x:v>6</x:v>
      </x:c>
      <x:c r="F1259" s="380" t="n">
        <x:v>2</x:v>
      </x:c>
      <x:c r="G1259" s="380" t="n">
        <x:f>--(F1259&lt;='Estimator'!$B$7)</x:f>
        <x:v>1</x:v>
      </x:c>
      <x:c r="H1259" s="381" t="n">
        <x:f>SUMIFS('Climate Data'!$G$7:$G$366,'Climate Data'!$A$7:$A$366,'Estimator'!$B$4,'Climate Data'!$B$7:$B$366,C1259)</x:f>
        <x:v>0.475</x:v>
      </x:c>
      <x:c r="I1259" s="382" t="n">
        <x:f>SUMIFS('Climate Data'!$H$7:$H$366,'Climate Data'!$A$7:$A$366,'Estimator'!$B$4,'Climate Data'!$B$7:$B$366,C1259)</x:f>
        <x:v>8.378947368421054</x:v>
      </x:c>
      <x:c r="J1259" s="381" t="n">
        <x:f>SUMIFS('Wind Proxy'!$H$8:$H$19,'Wind Proxy'!$A$8:$A$19,'Estimator'!$B$4,'Wind Proxy'!$B$8:$B$19,C1259)</x:f>
        <x:v>0.14197530864197533</x:v>
      </x:c>
    </x:row>
    <x:row r="1260">
      <x:c r="A1260" s="379" t="n">
        <x:v>46911</x:v>
      </x:c>
      <x:c r="B1260" s="380" t="n">
        <x:v>2028</x:v>
      </x:c>
      <x:c r="C1260" s="380" t="n">
        <x:v>6</x:v>
      </x:c>
      <x:c r="D1260" s="380" t="str">
        <x:v>Jun</x:v>
      </x:c>
      <x:c r="E1260" s="380" t="n">
        <x:v>7</x:v>
      </x:c>
      <x:c r="F1260" s="380" t="n">
        <x:v>3</x:v>
      </x:c>
      <x:c r="G1260" s="380" t="n">
        <x:f>--(F1260&lt;='Estimator'!$B$7)</x:f>
        <x:v>1</x:v>
      </x:c>
      <x:c r="H1260" s="381" t="n">
        <x:f>SUMIFS('Climate Data'!$G$7:$G$366,'Climate Data'!$A$7:$A$366,'Estimator'!$B$4,'Climate Data'!$B$7:$B$366,C1260)</x:f>
        <x:v>0.475</x:v>
      </x:c>
      <x:c r="I1260" s="382" t="n">
        <x:f>SUMIFS('Climate Data'!$H$7:$H$366,'Climate Data'!$A$7:$A$366,'Estimator'!$B$4,'Climate Data'!$B$7:$B$366,C1260)</x:f>
        <x:v>8.378947368421054</x:v>
      </x:c>
      <x:c r="J1260" s="381" t="n">
        <x:f>SUMIFS('Wind Proxy'!$H$8:$H$19,'Wind Proxy'!$A$8:$A$19,'Estimator'!$B$4,'Wind Proxy'!$B$8:$B$19,C1260)</x:f>
        <x:v>0.14197530864197533</x:v>
      </x:c>
    </x:row>
    <x:row r="1261">
      <x:c r="A1261" s="379" t="n">
        <x:v>46912</x:v>
      </x:c>
      <x:c r="B1261" s="380" t="n">
        <x:v>2028</x:v>
      </x:c>
      <x:c r="C1261" s="380" t="n">
        <x:v>6</x:v>
      </x:c>
      <x:c r="D1261" s="380" t="str">
        <x:v>Jun</x:v>
      </x:c>
      <x:c r="E1261" s="380" t="n">
        <x:v>8</x:v>
      </x:c>
      <x:c r="F1261" s="380" t="n">
        <x:v>4</x:v>
      </x:c>
      <x:c r="G1261" s="380" t="n">
        <x:f>--(F1261&lt;='Estimator'!$B$7)</x:f>
        <x:v>1</x:v>
      </x:c>
      <x:c r="H1261" s="381" t="n">
        <x:f>SUMIFS('Climate Data'!$G$7:$G$366,'Climate Data'!$A$7:$A$366,'Estimator'!$B$4,'Climate Data'!$B$7:$B$366,C1261)</x:f>
        <x:v>0.475</x:v>
      </x:c>
      <x:c r="I1261" s="382" t="n">
        <x:f>SUMIFS('Climate Data'!$H$7:$H$366,'Climate Data'!$A$7:$A$366,'Estimator'!$B$4,'Climate Data'!$B$7:$B$366,C1261)</x:f>
        <x:v>8.378947368421054</x:v>
      </x:c>
      <x:c r="J1261" s="381" t="n">
        <x:f>SUMIFS('Wind Proxy'!$H$8:$H$19,'Wind Proxy'!$A$8:$A$19,'Estimator'!$B$4,'Wind Proxy'!$B$8:$B$19,C1261)</x:f>
        <x:v>0.14197530864197533</x:v>
      </x:c>
    </x:row>
    <x:row r="1262">
      <x:c r="A1262" s="379" t="n">
        <x:v>46913</x:v>
      </x:c>
      <x:c r="B1262" s="380" t="n">
        <x:v>2028</x:v>
      </x:c>
      <x:c r="C1262" s="380" t="n">
        <x:v>6</x:v>
      </x:c>
      <x:c r="D1262" s="380" t="str">
        <x:v>Jun</x:v>
      </x:c>
      <x:c r="E1262" s="380" t="n">
        <x:v>9</x:v>
      </x:c>
      <x:c r="F1262" s="380" t="n">
        <x:v>5</x:v>
      </x:c>
      <x:c r="G1262" s="380" t="n">
        <x:f>--(F1262&lt;='Estimator'!$B$7)</x:f>
        <x:v>1</x:v>
      </x:c>
      <x:c r="H1262" s="381" t="n">
        <x:f>SUMIFS('Climate Data'!$G$7:$G$366,'Climate Data'!$A$7:$A$366,'Estimator'!$B$4,'Climate Data'!$B$7:$B$366,C1262)</x:f>
        <x:v>0.475</x:v>
      </x:c>
      <x:c r="I1262" s="382" t="n">
        <x:f>SUMIFS('Climate Data'!$H$7:$H$366,'Climate Data'!$A$7:$A$366,'Estimator'!$B$4,'Climate Data'!$B$7:$B$366,C1262)</x:f>
        <x:v>8.378947368421054</x:v>
      </x:c>
      <x:c r="J1262" s="381" t="n">
        <x:f>SUMIFS('Wind Proxy'!$H$8:$H$19,'Wind Proxy'!$A$8:$A$19,'Estimator'!$B$4,'Wind Proxy'!$B$8:$B$19,C1262)</x:f>
        <x:v>0.14197530864197533</x:v>
      </x:c>
    </x:row>
    <x:row r="1263">
      <x:c r="A1263" s="379" t="n">
        <x:v>46914</x:v>
      </x:c>
      <x:c r="B1263" s="380" t="n">
        <x:v>2028</x:v>
      </x:c>
      <x:c r="C1263" s="380" t="n">
        <x:v>6</x:v>
      </x:c>
      <x:c r="D1263" s="380" t="str">
        <x:v>Jun</x:v>
      </x:c>
      <x:c r="E1263" s="380" t="n">
        <x:v>10</x:v>
      </x:c>
      <x:c r="F1263" s="380" t="n">
        <x:v>6</x:v>
      </x:c>
      <x:c r="G1263" s="380" t="n">
        <x:f>--(F1263&lt;='Estimator'!$B$7)</x:f>
        <x:v>0</x:v>
      </x:c>
      <x:c r="H1263" s="381" t="n">
        <x:f>SUMIFS('Climate Data'!$G$7:$G$366,'Climate Data'!$A$7:$A$366,'Estimator'!$B$4,'Climate Data'!$B$7:$B$366,C1263)</x:f>
        <x:v>0.475</x:v>
      </x:c>
      <x:c r="I1263" s="382" t="n">
        <x:f>SUMIFS('Climate Data'!$H$7:$H$366,'Climate Data'!$A$7:$A$366,'Estimator'!$B$4,'Climate Data'!$B$7:$B$366,C1263)</x:f>
        <x:v>8.378947368421054</x:v>
      </x:c>
      <x:c r="J1263" s="381" t="n">
        <x:f>SUMIFS('Wind Proxy'!$H$8:$H$19,'Wind Proxy'!$A$8:$A$19,'Estimator'!$B$4,'Wind Proxy'!$B$8:$B$19,C1263)</x:f>
        <x:v>0.14197530864197533</x:v>
      </x:c>
    </x:row>
    <x:row r="1264">
      <x:c r="A1264" s="379" t="n">
        <x:v>46915</x:v>
      </x:c>
      <x:c r="B1264" s="380" t="n">
        <x:v>2028</x:v>
      </x:c>
      <x:c r="C1264" s="380" t="n">
        <x:v>6</x:v>
      </x:c>
      <x:c r="D1264" s="380" t="str">
        <x:v>Jun</x:v>
      </x:c>
      <x:c r="E1264" s="380" t="n">
        <x:v>11</x:v>
      </x:c>
      <x:c r="F1264" s="380" t="n">
        <x:v>7</x:v>
      </x:c>
      <x:c r="G1264" s="380" t="n">
        <x:f>--(F1264&lt;='Estimator'!$B$7)</x:f>
        <x:v>0</x:v>
      </x:c>
      <x:c r="H1264" s="381" t="n">
        <x:f>SUMIFS('Climate Data'!$G$7:$G$366,'Climate Data'!$A$7:$A$366,'Estimator'!$B$4,'Climate Data'!$B$7:$B$366,C1264)</x:f>
        <x:v>0.475</x:v>
      </x:c>
      <x:c r="I1264" s="382" t="n">
        <x:f>SUMIFS('Climate Data'!$H$7:$H$366,'Climate Data'!$A$7:$A$366,'Estimator'!$B$4,'Climate Data'!$B$7:$B$366,C1264)</x:f>
        <x:v>8.378947368421054</x:v>
      </x:c>
      <x:c r="J1264" s="381" t="n">
        <x:f>SUMIFS('Wind Proxy'!$H$8:$H$19,'Wind Proxy'!$A$8:$A$19,'Estimator'!$B$4,'Wind Proxy'!$B$8:$B$19,C1264)</x:f>
        <x:v>0.14197530864197533</x:v>
      </x:c>
    </x:row>
    <x:row r="1265">
      <x:c r="A1265" s="379" t="n">
        <x:v>46916</x:v>
      </x:c>
      <x:c r="B1265" s="380" t="n">
        <x:v>2028</x:v>
      </x:c>
      <x:c r="C1265" s="380" t="n">
        <x:v>6</x:v>
      </x:c>
      <x:c r="D1265" s="380" t="str">
        <x:v>Jun</x:v>
      </x:c>
      <x:c r="E1265" s="380" t="n">
        <x:v>12</x:v>
      </x:c>
      <x:c r="F1265" s="380" t="n">
        <x:v>1</x:v>
      </x:c>
      <x:c r="G1265" s="380" t="n">
        <x:f>--(F1265&lt;='Estimator'!$B$7)</x:f>
        <x:v>1</x:v>
      </x:c>
      <x:c r="H1265" s="381" t="n">
        <x:f>SUMIFS('Climate Data'!$G$7:$G$366,'Climate Data'!$A$7:$A$366,'Estimator'!$B$4,'Climate Data'!$B$7:$B$366,C1265)</x:f>
        <x:v>0.475</x:v>
      </x:c>
      <x:c r="I1265" s="382" t="n">
        <x:f>SUMIFS('Climate Data'!$H$7:$H$366,'Climate Data'!$A$7:$A$366,'Estimator'!$B$4,'Climate Data'!$B$7:$B$366,C1265)</x:f>
        <x:v>8.378947368421054</x:v>
      </x:c>
      <x:c r="J1265" s="381" t="n">
        <x:f>SUMIFS('Wind Proxy'!$H$8:$H$19,'Wind Proxy'!$A$8:$A$19,'Estimator'!$B$4,'Wind Proxy'!$B$8:$B$19,C1265)</x:f>
        <x:v>0.14197530864197533</x:v>
      </x:c>
    </x:row>
    <x:row r="1266">
      <x:c r="A1266" s="379" t="n">
        <x:v>46917</x:v>
      </x:c>
      <x:c r="B1266" s="380" t="n">
        <x:v>2028</x:v>
      </x:c>
      <x:c r="C1266" s="380" t="n">
        <x:v>6</x:v>
      </x:c>
      <x:c r="D1266" s="380" t="str">
        <x:v>Jun</x:v>
      </x:c>
      <x:c r="E1266" s="380" t="n">
        <x:v>13</x:v>
      </x:c>
      <x:c r="F1266" s="380" t="n">
        <x:v>2</x:v>
      </x:c>
      <x:c r="G1266" s="380" t="n">
        <x:f>--(F1266&lt;='Estimator'!$B$7)</x:f>
        <x:v>1</x:v>
      </x:c>
      <x:c r="H1266" s="381" t="n">
        <x:f>SUMIFS('Climate Data'!$G$7:$G$366,'Climate Data'!$A$7:$A$366,'Estimator'!$B$4,'Climate Data'!$B$7:$B$366,C1266)</x:f>
        <x:v>0.475</x:v>
      </x:c>
      <x:c r="I1266" s="382" t="n">
        <x:f>SUMIFS('Climate Data'!$H$7:$H$366,'Climate Data'!$A$7:$A$366,'Estimator'!$B$4,'Climate Data'!$B$7:$B$366,C1266)</x:f>
        <x:v>8.378947368421054</x:v>
      </x:c>
      <x:c r="J1266" s="381" t="n">
        <x:f>SUMIFS('Wind Proxy'!$H$8:$H$19,'Wind Proxy'!$A$8:$A$19,'Estimator'!$B$4,'Wind Proxy'!$B$8:$B$19,C1266)</x:f>
        <x:v>0.14197530864197533</x:v>
      </x:c>
    </x:row>
    <x:row r="1267">
      <x:c r="A1267" s="379" t="n">
        <x:v>46918</x:v>
      </x:c>
      <x:c r="B1267" s="380" t="n">
        <x:v>2028</x:v>
      </x:c>
      <x:c r="C1267" s="380" t="n">
        <x:v>6</x:v>
      </x:c>
      <x:c r="D1267" s="380" t="str">
        <x:v>Jun</x:v>
      </x:c>
      <x:c r="E1267" s="380" t="n">
        <x:v>14</x:v>
      </x:c>
      <x:c r="F1267" s="380" t="n">
        <x:v>3</x:v>
      </x:c>
      <x:c r="G1267" s="380" t="n">
        <x:f>--(F1267&lt;='Estimator'!$B$7)</x:f>
        <x:v>1</x:v>
      </x:c>
      <x:c r="H1267" s="381" t="n">
        <x:f>SUMIFS('Climate Data'!$G$7:$G$366,'Climate Data'!$A$7:$A$366,'Estimator'!$B$4,'Climate Data'!$B$7:$B$366,C1267)</x:f>
        <x:v>0.475</x:v>
      </x:c>
      <x:c r="I1267" s="382" t="n">
        <x:f>SUMIFS('Climate Data'!$H$7:$H$366,'Climate Data'!$A$7:$A$366,'Estimator'!$B$4,'Climate Data'!$B$7:$B$366,C1267)</x:f>
        <x:v>8.378947368421054</x:v>
      </x:c>
      <x:c r="J1267" s="381" t="n">
        <x:f>SUMIFS('Wind Proxy'!$H$8:$H$19,'Wind Proxy'!$A$8:$A$19,'Estimator'!$B$4,'Wind Proxy'!$B$8:$B$19,C1267)</x:f>
        <x:v>0.14197530864197533</x:v>
      </x:c>
    </x:row>
    <x:row r="1268">
      <x:c r="A1268" s="379" t="n">
        <x:v>46919</x:v>
      </x:c>
      <x:c r="B1268" s="380" t="n">
        <x:v>2028</x:v>
      </x:c>
      <x:c r="C1268" s="380" t="n">
        <x:v>6</x:v>
      </x:c>
      <x:c r="D1268" s="380" t="str">
        <x:v>Jun</x:v>
      </x:c>
      <x:c r="E1268" s="380" t="n">
        <x:v>15</x:v>
      </x:c>
      <x:c r="F1268" s="380" t="n">
        <x:v>4</x:v>
      </x:c>
      <x:c r="G1268" s="380" t="n">
        <x:f>--(F1268&lt;='Estimator'!$B$7)</x:f>
        <x:v>1</x:v>
      </x:c>
      <x:c r="H1268" s="381" t="n">
        <x:f>SUMIFS('Climate Data'!$G$7:$G$366,'Climate Data'!$A$7:$A$366,'Estimator'!$B$4,'Climate Data'!$B$7:$B$366,C1268)</x:f>
        <x:v>0.475</x:v>
      </x:c>
      <x:c r="I1268" s="382" t="n">
        <x:f>SUMIFS('Climate Data'!$H$7:$H$366,'Climate Data'!$A$7:$A$366,'Estimator'!$B$4,'Climate Data'!$B$7:$B$366,C1268)</x:f>
        <x:v>8.378947368421054</x:v>
      </x:c>
      <x:c r="J1268" s="381" t="n">
        <x:f>SUMIFS('Wind Proxy'!$H$8:$H$19,'Wind Proxy'!$A$8:$A$19,'Estimator'!$B$4,'Wind Proxy'!$B$8:$B$19,C1268)</x:f>
        <x:v>0.14197530864197533</x:v>
      </x:c>
    </x:row>
    <x:row r="1269">
      <x:c r="A1269" s="379" t="n">
        <x:v>46920</x:v>
      </x:c>
      <x:c r="B1269" s="380" t="n">
        <x:v>2028</x:v>
      </x:c>
      <x:c r="C1269" s="380" t="n">
        <x:v>6</x:v>
      </x:c>
      <x:c r="D1269" s="380" t="str">
        <x:v>Jun</x:v>
      </x:c>
      <x:c r="E1269" s="380" t="n">
        <x:v>16</x:v>
      </x:c>
      <x:c r="F1269" s="380" t="n">
        <x:v>5</x:v>
      </x:c>
      <x:c r="G1269" s="380" t="n">
        <x:f>--(F1269&lt;='Estimator'!$B$7)</x:f>
        <x:v>1</x:v>
      </x:c>
      <x:c r="H1269" s="381" t="n">
        <x:f>SUMIFS('Climate Data'!$G$7:$G$366,'Climate Data'!$A$7:$A$366,'Estimator'!$B$4,'Climate Data'!$B$7:$B$366,C1269)</x:f>
        <x:v>0.475</x:v>
      </x:c>
      <x:c r="I1269" s="382" t="n">
        <x:f>SUMIFS('Climate Data'!$H$7:$H$366,'Climate Data'!$A$7:$A$366,'Estimator'!$B$4,'Climate Data'!$B$7:$B$366,C1269)</x:f>
        <x:v>8.378947368421054</x:v>
      </x:c>
      <x:c r="J1269" s="381" t="n">
        <x:f>SUMIFS('Wind Proxy'!$H$8:$H$19,'Wind Proxy'!$A$8:$A$19,'Estimator'!$B$4,'Wind Proxy'!$B$8:$B$19,C1269)</x:f>
        <x:v>0.14197530864197533</x:v>
      </x:c>
    </x:row>
    <x:row r="1270">
      <x:c r="A1270" s="379" t="n">
        <x:v>46921</x:v>
      </x:c>
      <x:c r="B1270" s="380" t="n">
        <x:v>2028</x:v>
      </x:c>
      <x:c r="C1270" s="380" t="n">
        <x:v>6</x:v>
      </x:c>
      <x:c r="D1270" s="380" t="str">
        <x:v>Jun</x:v>
      </x:c>
      <x:c r="E1270" s="380" t="n">
        <x:v>17</x:v>
      </x:c>
      <x:c r="F1270" s="380" t="n">
        <x:v>6</x:v>
      </x:c>
      <x:c r="G1270" s="380" t="n">
        <x:f>--(F1270&lt;='Estimator'!$B$7)</x:f>
        <x:v>0</x:v>
      </x:c>
      <x:c r="H1270" s="381" t="n">
        <x:f>SUMIFS('Climate Data'!$G$7:$G$366,'Climate Data'!$A$7:$A$366,'Estimator'!$B$4,'Climate Data'!$B$7:$B$366,C1270)</x:f>
        <x:v>0.475</x:v>
      </x:c>
      <x:c r="I1270" s="382" t="n">
        <x:f>SUMIFS('Climate Data'!$H$7:$H$366,'Climate Data'!$A$7:$A$366,'Estimator'!$B$4,'Climate Data'!$B$7:$B$366,C1270)</x:f>
        <x:v>8.378947368421054</x:v>
      </x:c>
      <x:c r="J1270" s="381" t="n">
        <x:f>SUMIFS('Wind Proxy'!$H$8:$H$19,'Wind Proxy'!$A$8:$A$19,'Estimator'!$B$4,'Wind Proxy'!$B$8:$B$19,C1270)</x:f>
        <x:v>0.14197530864197533</x:v>
      </x:c>
    </x:row>
    <x:row r="1271">
      <x:c r="A1271" s="379" t="n">
        <x:v>46922</x:v>
      </x:c>
      <x:c r="B1271" s="380" t="n">
        <x:v>2028</x:v>
      </x:c>
      <x:c r="C1271" s="380" t="n">
        <x:v>6</x:v>
      </x:c>
      <x:c r="D1271" s="380" t="str">
        <x:v>Jun</x:v>
      </x:c>
      <x:c r="E1271" s="380" t="n">
        <x:v>18</x:v>
      </x:c>
      <x:c r="F1271" s="380" t="n">
        <x:v>7</x:v>
      </x:c>
      <x:c r="G1271" s="380" t="n">
        <x:f>--(F1271&lt;='Estimator'!$B$7)</x:f>
        <x:v>0</x:v>
      </x:c>
      <x:c r="H1271" s="381" t="n">
        <x:f>SUMIFS('Climate Data'!$G$7:$G$366,'Climate Data'!$A$7:$A$366,'Estimator'!$B$4,'Climate Data'!$B$7:$B$366,C1271)</x:f>
        <x:v>0.475</x:v>
      </x:c>
      <x:c r="I1271" s="382" t="n">
        <x:f>SUMIFS('Climate Data'!$H$7:$H$366,'Climate Data'!$A$7:$A$366,'Estimator'!$B$4,'Climate Data'!$B$7:$B$366,C1271)</x:f>
        <x:v>8.378947368421054</x:v>
      </x:c>
      <x:c r="J1271" s="381" t="n">
        <x:f>SUMIFS('Wind Proxy'!$H$8:$H$19,'Wind Proxy'!$A$8:$A$19,'Estimator'!$B$4,'Wind Proxy'!$B$8:$B$19,C1271)</x:f>
        <x:v>0.14197530864197533</x:v>
      </x:c>
    </x:row>
    <x:row r="1272">
      <x:c r="A1272" s="379" t="n">
        <x:v>46923</x:v>
      </x:c>
      <x:c r="B1272" s="380" t="n">
        <x:v>2028</x:v>
      </x:c>
      <x:c r="C1272" s="380" t="n">
        <x:v>6</x:v>
      </x:c>
      <x:c r="D1272" s="380" t="str">
        <x:v>Jun</x:v>
      </x:c>
      <x:c r="E1272" s="380" t="n">
        <x:v>19</x:v>
      </x:c>
      <x:c r="F1272" s="380" t="n">
        <x:v>1</x:v>
      </x:c>
      <x:c r="G1272" s="380" t="n">
        <x:f>--(F1272&lt;='Estimator'!$B$7)</x:f>
        <x:v>1</x:v>
      </x:c>
      <x:c r="H1272" s="381" t="n">
        <x:f>SUMIFS('Climate Data'!$G$7:$G$366,'Climate Data'!$A$7:$A$366,'Estimator'!$B$4,'Climate Data'!$B$7:$B$366,C1272)</x:f>
        <x:v>0.475</x:v>
      </x:c>
      <x:c r="I1272" s="382" t="n">
        <x:f>SUMIFS('Climate Data'!$H$7:$H$366,'Climate Data'!$A$7:$A$366,'Estimator'!$B$4,'Climate Data'!$B$7:$B$366,C1272)</x:f>
        <x:v>8.378947368421054</x:v>
      </x:c>
      <x:c r="J1272" s="381" t="n">
        <x:f>SUMIFS('Wind Proxy'!$H$8:$H$19,'Wind Proxy'!$A$8:$A$19,'Estimator'!$B$4,'Wind Proxy'!$B$8:$B$19,C1272)</x:f>
        <x:v>0.14197530864197533</x:v>
      </x:c>
    </x:row>
    <x:row r="1273">
      <x:c r="A1273" s="379" t="n">
        <x:v>46924</x:v>
      </x:c>
      <x:c r="B1273" s="380" t="n">
        <x:v>2028</x:v>
      </x:c>
      <x:c r="C1273" s="380" t="n">
        <x:v>6</x:v>
      </x:c>
      <x:c r="D1273" s="380" t="str">
        <x:v>Jun</x:v>
      </x:c>
      <x:c r="E1273" s="380" t="n">
        <x:v>20</x:v>
      </x:c>
      <x:c r="F1273" s="380" t="n">
        <x:v>2</x:v>
      </x:c>
      <x:c r="G1273" s="380" t="n">
        <x:f>--(F1273&lt;='Estimator'!$B$7)</x:f>
        <x:v>1</x:v>
      </x:c>
      <x:c r="H1273" s="381" t="n">
        <x:f>SUMIFS('Climate Data'!$G$7:$G$366,'Climate Data'!$A$7:$A$366,'Estimator'!$B$4,'Climate Data'!$B$7:$B$366,C1273)</x:f>
        <x:v>0.475</x:v>
      </x:c>
      <x:c r="I1273" s="382" t="n">
        <x:f>SUMIFS('Climate Data'!$H$7:$H$366,'Climate Data'!$A$7:$A$366,'Estimator'!$B$4,'Climate Data'!$B$7:$B$366,C1273)</x:f>
        <x:v>8.378947368421054</x:v>
      </x:c>
      <x:c r="J1273" s="381" t="n">
        <x:f>SUMIFS('Wind Proxy'!$H$8:$H$19,'Wind Proxy'!$A$8:$A$19,'Estimator'!$B$4,'Wind Proxy'!$B$8:$B$19,C1273)</x:f>
        <x:v>0.14197530864197533</x:v>
      </x:c>
    </x:row>
    <x:row r="1274">
      <x:c r="A1274" s="379" t="n">
        <x:v>46925</x:v>
      </x:c>
      <x:c r="B1274" s="380" t="n">
        <x:v>2028</x:v>
      </x:c>
      <x:c r="C1274" s="380" t="n">
        <x:v>6</x:v>
      </x:c>
      <x:c r="D1274" s="380" t="str">
        <x:v>Jun</x:v>
      </x:c>
      <x:c r="E1274" s="380" t="n">
        <x:v>21</x:v>
      </x:c>
      <x:c r="F1274" s="380" t="n">
        <x:v>3</x:v>
      </x:c>
      <x:c r="G1274" s="380" t="n">
        <x:f>--(F1274&lt;='Estimator'!$B$7)</x:f>
        <x:v>1</x:v>
      </x:c>
      <x:c r="H1274" s="381" t="n">
        <x:f>SUMIFS('Climate Data'!$G$7:$G$366,'Climate Data'!$A$7:$A$366,'Estimator'!$B$4,'Climate Data'!$B$7:$B$366,C1274)</x:f>
        <x:v>0.475</x:v>
      </x:c>
      <x:c r="I1274" s="382" t="n">
        <x:f>SUMIFS('Climate Data'!$H$7:$H$366,'Climate Data'!$A$7:$A$366,'Estimator'!$B$4,'Climate Data'!$B$7:$B$366,C1274)</x:f>
        <x:v>8.378947368421054</x:v>
      </x:c>
      <x:c r="J1274" s="381" t="n">
        <x:f>SUMIFS('Wind Proxy'!$H$8:$H$19,'Wind Proxy'!$A$8:$A$19,'Estimator'!$B$4,'Wind Proxy'!$B$8:$B$19,C1274)</x:f>
        <x:v>0.14197530864197533</x:v>
      </x:c>
    </x:row>
    <x:row r="1275">
      <x:c r="A1275" s="379" t="n">
        <x:v>46926</x:v>
      </x:c>
      <x:c r="B1275" s="380" t="n">
        <x:v>2028</x:v>
      </x:c>
      <x:c r="C1275" s="380" t="n">
        <x:v>6</x:v>
      </x:c>
      <x:c r="D1275" s="380" t="str">
        <x:v>Jun</x:v>
      </x:c>
      <x:c r="E1275" s="380" t="n">
        <x:v>22</x:v>
      </x:c>
      <x:c r="F1275" s="380" t="n">
        <x:v>4</x:v>
      </x:c>
      <x:c r="G1275" s="380" t="n">
        <x:f>--(F1275&lt;='Estimator'!$B$7)</x:f>
        <x:v>1</x:v>
      </x:c>
      <x:c r="H1275" s="381" t="n">
        <x:f>SUMIFS('Climate Data'!$G$7:$G$366,'Climate Data'!$A$7:$A$366,'Estimator'!$B$4,'Climate Data'!$B$7:$B$366,C1275)</x:f>
        <x:v>0.475</x:v>
      </x:c>
      <x:c r="I1275" s="382" t="n">
        <x:f>SUMIFS('Climate Data'!$H$7:$H$366,'Climate Data'!$A$7:$A$366,'Estimator'!$B$4,'Climate Data'!$B$7:$B$366,C1275)</x:f>
        <x:v>8.378947368421054</x:v>
      </x:c>
      <x:c r="J1275" s="381" t="n">
        <x:f>SUMIFS('Wind Proxy'!$H$8:$H$19,'Wind Proxy'!$A$8:$A$19,'Estimator'!$B$4,'Wind Proxy'!$B$8:$B$19,C1275)</x:f>
        <x:v>0.14197530864197533</x:v>
      </x:c>
    </x:row>
    <x:row r="1276">
      <x:c r="A1276" s="379" t="n">
        <x:v>46927</x:v>
      </x:c>
      <x:c r="B1276" s="380" t="n">
        <x:v>2028</x:v>
      </x:c>
      <x:c r="C1276" s="380" t="n">
        <x:v>6</x:v>
      </x:c>
      <x:c r="D1276" s="380" t="str">
        <x:v>Jun</x:v>
      </x:c>
      <x:c r="E1276" s="380" t="n">
        <x:v>23</x:v>
      </x:c>
      <x:c r="F1276" s="380" t="n">
        <x:v>5</x:v>
      </x:c>
      <x:c r="G1276" s="380" t="n">
        <x:f>--(F1276&lt;='Estimator'!$B$7)</x:f>
        <x:v>1</x:v>
      </x:c>
      <x:c r="H1276" s="381" t="n">
        <x:f>SUMIFS('Climate Data'!$G$7:$G$366,'Climate Data'!$A$7:$A$366,'Estimator'!$B$4,'Climate Data'!$B$7:$B$366,C1276)</x:f>
        <x:v>0.475</x:v>
      </x:c>
      <x:c r="I1276" s="382" t="n">
        <x:f>SUMIFS('Climate Data'!$H$7:$H$366,'Climate Data'!$A$7:$A$366,'Estimator'!$B$4,'Climate Data'!$B$7:$B$366,C1276)</x:f>
        <x:v>8.378947368421054</x:v>
      </x:c>
      <x:c r="J1276" s="381" t="n">
        <x:f>SUMIFS('Wind Proxy'!$H$8:$H$19,'Wind Proxy'!$A$8:$A$19,'Estimator'!$B$4,'Wind Proxy'!$B$8:$B$19,C1276)</x:f>
        <x:v>0.14197530864197533</x:v>
      </x:c>
    </x:row>
    <x:row r="1277">
      <x:c r="A1277" s="379" t="n">
        <x:v>46928</x:v>
      </x:c>
      <x:c r="B1277" s="380" t="n">
        <x:v>2028</x:v>
      </x:c>
      <x:c r="C1277" s="380" t="n">
        <x:v>6</x:v>
      </x:c>
      <x:c r="D1277" s="380" t="str">
        <x:v>Jun</x:v>
      </x:c>
      <x:c r="E1277" s="380" t="n">
        <x:v>24</x:v>
      </x:c>
      <x:c r="F1277" s="380" t="n">
        <x:v>6</x:v>
      </x:c>
      <x:c r="G1277" s="380" t="n">
        <x:f>--(F1277&lt;='Estimator'!$B$7)</x:f>
        <x:v>0</x:v>
      </x:c>
      <x:c r="H1277" s="381" t="n">
        <x:f>SUMIFS('Climate Data'!$G$7:$G$366,'Climate Data'!$A$7:$A$366,'Estimator'!$B$4,'Climate Data'!$B$7:$B$366,C1277)</x:f>
        <x:v>0.475</x:v>
      </x:c>
      <x:c r="I1277" s="382" t="n">
        <x:f>SUMIFS('Climate Data'!$H$7:$H$366,'Climate Data'!$A$7:$A$366,'Estimator'!$B$4,'Climate Data'!$B$7:$B$366,C1277)</x:f>
        <x:v>8.378947368421054</x:v>
      </x:c>
      <x:c r="J1277" s="381" t="n">
        <x:f>SUMIFS('Wind Proxy'!$H$8:$H$19,'Wind Proxy'!$A$8:$A$19,'Estimator'!$B$4,'Wind Proxy'!$B$8:$B$19,C1277)</x:f>
        <x:v>0.14197530864197533</x:v>
      </x:c>
    </x:row>
    <x:row r="1278">
      <x:c r="A1278" s="379" t="n">
        <x:v>46929</x:v>
      </x:c>
      <x:c r="B1278" s="380" t="n">
        <x:v>2028</x:v>
      </x:c>
      <x:c r="C1278" s="380" t="n">
        <x:v>6</x:v>
      </x:c>
      <x:c r="D1278" s="380" t="str">
        <x:v>Jun</x:v>
      </x:c>
      <x:c r="E1278" s="380" t="n">
        <x:v>25</x:v>
      </x:c>
      <x:c r="F1278" s="380" t="n">
        <x:v>7</x:v>
      </x:c>
      <x:c r="G1278" s="380" t="n">
        <x:f>--(F1278&lt;='Estimator'!$B$7)</x:f>
        <x:v>0</x:v>
      </x:c>
      <x:c r="H1278" s="381" t="n">
        <x:f>SUMIFS('Climate Data'!$G$7:$G$366,'Climate Data'!$A$7:$A$366,'Estimator'!$B$4,'Climate Data'!$B$7:$B$366,C1278)</x:f>
        <x:v>0.475</x:v>
      </x:c>
      <x:c r="I1278" s="382" t="n">
        <x:f>SUMIFS('Climate Data'!$H$7:$H$366,'Climate Data'!$A$7:$A$366,'Estimator'!$B$4,'Climate Data'!$B$7:$B$366,C1278)</x:f>
        <x:v>8.378947368421054</x:v>
      </x:c>
      <x:c r="J1278" s="381" t="n">
        <x:f>SUMIFS('Wind Proxy'!$H$8:$H$19,'Wind Proxy'!$A$8:$A$19,'Estimator'!$B$4,'Wind Proxy'!$B$8:$B$19,C1278)</x:f>
        <x:v>0.14197530864197533</x:v>
      </x:c>
    </x:row>
    <x:row r="1279">
      <x:c r="A1279" s="379" t="n">
        <x:v>46930</x:v>
      </x:c>
      <x:c r="B1279" s="380" t="n">
        <x:v>2028</x:v>
      </x:c>
      <x:c r="C1279" s="380" t="n">
        <x:v>6</x:v>
      </x:c>
      <x:c r="D1279" s="380" t="str">
        <x:v>Jun</x:v>
      </x:c>
      <x:c r="E1279" s="380" t="n">
        <x:v>26</x:v>
      </x:c>
      <x:c r="F1279" s="380" t="n">
        <x:v>1</x:v>
      </x:c>
      <x:c r="G1279" s="380" t="n">
        <x:f>--(F1279&lt;='Estimator'!$B$7)</x:f>
        <x:v>1</x:v>
      </x:c>
      <x:c r="H1279" s="381" t="n">
        <x:f>SUMIFS('Climate Data'!$G$7:$G$366,'Climate Data'!$A$7:$A$366,'Estimator'!$B$4,'Climate Data'!$B$7:$B$366,C1279)</x:f>
        <x:v>0.475</x:v>
      </x:c>
      <x:c r="I1279" s="382" t="n">
        <x:f>SUMIFS('Climate Data'!$H$7:$H$366,'Climate Data'!$A$7:$A$366,'Estimator'!$B$4,'Climate Data'!$B$7:$B$366,C1279)</x:f>
        <x:v>8.378947368421054</x:v>
      </x:c>
      <x:c r="J1279" s="381" t="n">
        <x:f>SUMIFS('Wind Proxy'!$H$8:$H$19,'Wind Proxy'!$A$8:$A$19,'Estimator'!$B$4,'Wind Proxy'!$B$8:$B$19,C1279)</x:f>
        <x:v>0.14197530864197533</x:v>
      </x:c>
    </x:row>
    <x:row r="1280">
      <x:c r="A1280" s="379" t="n">
        <x:v>46931</x:v>
      </x:c>
      <x:c r="B1280" s="380" t="n">
        <x:v>2028</x:v>
      </x:c>
      <x:c r="C1280" s="380" t="n">
        <x:v>6</x:v>
      </x:c>
      <x:c r="D1280" s="380" t="str">
        <x:v>Jun</x:v>
      </x:c>
      <x:c r="E1280" s="380" t="n">
        <x:v>27</x:v>
      </x:c>
      <x:c r="F1280" s="380" t="n">
        <x:v>2</x:v>
      </x:c>
      <x:c r="G1280" s="380" t="n">
        <x:f>--(F1280&lt;='Estimator'!$B$7)</x:f>
        <x:v>1</x:v>
      </x:c>
      <x:c r="H1280" s="381" t="n">
        <x:f>SUMIFS('Climate Data'!$G$7:$G$366,'Climate Data'!$A$7:$A$366,'Estimator'!$B$4,'Climate Data'!$B$7:$B$366,C1280)</x:f>
        <x:v>0.475</x:v>
      </x:c>
      <x:c r="I1280" s="382" t="n">
        <x:f>SUMIFS('Climate Data'!$H$7:$H$366,'Climate Data'!$A$7:$A$366,'Estimator'!$B$4,'Climate Data'!$B$7:$B$366,C1280)</x:f>
        <x:v>8.378947368421054</x:v>
      </x:c>
      <x:c r="J1280" s="381" t="n">
        <x:f>SUMIFS('Wind Proxy'!$H$8:$H$19,'Wind Proxy'!$A$8:$A$19,'Estimator'!$B$4,'Wind Proxy'!$B$8:$B$19,C1280)</x:f>
        <x:v>0.14197530864197533</x:v>
      </x:c>
    </x:row>
    <x:row r="1281">
      <x:c r="A1281" s="379" t="n">
        <x:v>46932</x:v>
      </x:c>
      <x:c r="B1281" s="380" t="n">
        <x:v>2028</x:v>
      </x:c>
      <x:c r="C1281" s="380" t="n">
        <x:v>6</x:v>
      </x:c>
      <x:c r="D1281" s="380" t="str">
        <x:v>Jun</x:v>
      </x:c>
      <x:c r="E1281" s="380" t="n">
        <x:v>28</x:v>
      </x:c>
      <x:c r="F1281" s="380" t="n">
        <x:v>3</x:v>
      </x:c>
      <x:c r="G1281" s="380" t="n">
        <x:f>--(F1281&lt;='Estimator'!$B$7)</x:f>
        <x:v>1</x:v>
      </x:c>
      <x:c r="H1281" s="381" t="n">
        <x:f>SUMIFS('Climate Data'!$G$7:$G$366,'Climate Data'!$A$7:$A$366,'Estimator'!$B$4,'Climate Data'!$B$7:$B$366,C1281)</x:f>
        <x:v>0.475</x:v>
      </x:c>
      <x:c r="I1281" s="382" t="n">
        <x:f>SUMIFS('Climate Data'!$H$7:$H$366,'Climate Data'!$A$7:$A$366,'Estimator'!$B$4,'Climate Data'!$B$7:$B$366,C1281)</x:f>
        <x:v>8.378947368421054</x:v>
      </x:c>
      <x:c r="J1281" s="381" t="n">
        <x:f>SUMIFS('Wind Proxy'!$H$8:$H$19,'Wind Proxy'!$A$8:$A$19,'Estimator'!$B$4,'Wind Proxy'!$B$8:$B$19,C1281)</x:f>
        <x:v>0.14197530864197533</x:v>
      </x:c>
    </x:row>
    <x:row r="1282">
      <x:c r="A1282" s="379" t="n">
        <x:v>46933</x:v>
      </x:c>
      <x:c r="B1282" s="380" t="n">
        <x:v>2028</x:v>
      </x:c>
      <x:c r="C1282" s="380" t="n">
        <x:v>6</x:v>
      </x:c>
      <x:c r="D1282" s="380" t="str">
        <x:v>Jun</x:v>
      </x:c>
      <x:c r="E1282" s="380" t="n">
        <x:v>29</x:v>
      </x:c>
      <x:c r="F1282" s="380" t="n">
        <x:v>4</x:v>
      </x:c>
      <x:c r="G1282" s="380" t="n">
        <x:f>--(F1282&lt;='Estimator'!$B$7)</x:f>
        <x:v>1</x:v>
      </x:c>
      <x:c r="H1282" s="381" t="n">
        <x:f>SUMIFS('Climate Data'!$G$7:$G$366,'Climate Data'!$A$7:$A$366,'Estimator'!$B$4,'Climate Data'!$B$7:$B$366,C1282)</x:f>
        <x:v>0.475</x:v>
      </x:c>
      <x:c r="I1282" s="382" t="n">
        <x:f>SUMIFS('Climate Data'!$H$7:$H$366,'Climate Data'!$A$7:$A$366,'Estimator'!$B$4,'Climate Data'!$B$7:$B$366,C1282)</x:f>
        <x:v>8.378947368421054</x:v>
      </x:c>
      <x:c r="J1282" s="381" t="n">
        <x:f>SUMIFS('Wind Proxy'!$H$8:$H$19,'Wind Proxy'!$A$8:$A$19,'Estimator'!$B$4,'Wind Proxy'!$B$8:$B$19,C1282)</x:f>
        <x:v>0.14197530864197533</x:v>
      </x:c>
    </x:row>
    <x:row r="1283">
      <x:c r="A1283" s="379" t="n">
        <x:v>46934</x:v>
      </x:c>
      <x:c r="B1283" s="380" t="n">
        <x:v>2028</x:v>
      </x:c>
      <x:c r="C1283" s="380" t="n">
        <x:v>6</x:v>
      </x:c>
      <x:c r="D1283" s="380" t="str">
        <x:v>Jun</x:v>
      </x:c>
      <x:c r="E1283" s="380" t="n">
        <x:v>30</x:v>
      </x:c>
      <x:c r="F1283" s="380" t="n">
        <x:v>5</x:v>
      </x:c>
      <x:c r="G1283" s="380" t="n">
        <x:f>--(F1283&lt;='Estimator'!$B$7)</x:f>
        <x:v>1</x:v>
      </x:c>
      <x:c r="H1283" s="381" t="n">
        <x:f>SUMIFS('Climate Data'!$G$7:$G$366,'Climate Data'!$A$7:$A$366,'Estimator'!$B$4,'Climate Data'!$B$7:$B$366,C1283)</x:f>
        <x:v>0.475</x:v>
      </x:c>
      <x:c r="I1283" s="382" t="n">
        <x:f>SUMIFS('Climate Data'!$H$7:$H$366,'Climate Data'!$A$7:$A$366,'Estimator'!$B$4,'Climate Data'!$B$7:$B$366,C1283)</x:f>
        <x:v>8.378947368421054</x:v>
      </x:c>
      <x:c r="J1283" s="381" t="n">
        <x:f>SUMIFS('Wind Proxy'!$H$8:$H$19,'Wind Proxy'!$A$8:$A$19,'Estimator'!$B$4,'Wind Proxy'!$B$8:$B$19,C1283)</x:f>
        <x:v>0.14197530864197533</x:v>
      </x:c>
    </x:row>
    <x:row r="1284">
      <x:c r="A1284" s="379" t="n">
        <x:v>46935</x:v>
      </x:c>
      <x:c r="B1284" s="380" t="n">
        <x:v>2028</x:v>
      </x:c>
      <x:c r="C1284" s="380" t="n">
        <x:v>7</x:v>
      </x:c>
      <x:c r="D1284" s="380" t="str">
        <x:v>Jul</x:v>
      </x:c>
      <x:c r="E1284" s="380" t="n">
        <x:v>1</x:v>
      </x:c>
      <x:c r="F1284" s="380" t="n">
        <x:v>6</x:v>
      </x:c>
      <x:c r="G1284" s="380" t="n">
        <x:f>--(F1284&lt;='Estimator'!$B$7)</x:f>
        <x:v>0</x:v>
      </x:c>
      <x:c r="H1284" s="381" t="n">
        <x:f>SUMIFS('Climate Data'!$G$7:$G$366,'Climate Data'!$A$7:$A$366,'Estimator'!$B$4,'Climate Data'!$B$7:$B$366,C1284)</x:f>
        <x:v>0.49078341013824883</x:v>
      </x:c>
      <x:c r="I1284" s="382" t="n">
        <x:f>SUMIFS('Climate Data'!$H$7:$H$366,'Climate Data'!$A$7:$A$366,'Estimator'!$B$4,'Climate Data'!$B$7:$B$366,C1284)</x:f>
        <x:v>8.998122065727701</x:v>
      </x:c>
      <x:c r="J1284" s="381" t="n">
        <x:f>SUMIFS('Wind Proxy'!$H$8:$H$19,'Wind Proxy'!$A$8:$A$19,'Estimator'!$B$4,'Wind Proxy'!$B$8:$B$19,C1284)</x:f>
        <x:v>0.13739545997610514</x:v>
      </x:c>
    </x:row>
    <x:row r="1285">
      <x:c r="A1285" s="379" t="n">
        <x:v>46936</x:v>
      </x:c>
      <x:c r="B1285" s="380" t="n">
        <x:v>2028</x:v>
      </x:c>
      <x:c r="C1285" s="380" t="n">
        <x:v>7</x:v>
      </x:c>
      <x:c r="D1285" s="380" t="str">
        <x:v>Jul</x:v>
      </x:c>
      <x:c r="E1285" s="380" t="n">
        <x:v>2</x:v>
      </x:c>
      <x:c r="F1285" s="380" t="n">
        <x:v>7</x:v>
      </x:c>
      <x:c r="G1285" s="380" t="n">
        <x:f>--(F1285&lt;='Estimator'!$B$7)</x:f>
        <x:v>0</x:v>
      </x:c>
      <x:c r="H1285" s="381" t="n">
        <x:f>SUMIFS('Climate Data'!$G$7:$G$366,'Climate Data'!$A$7:$A$366,'Estimator'!$B$4,'Climate Data'!$B$7:$B$366,C1285)</x:f>
        <x:v>0.49078341013824883</x:v>
      </x:c>
      <x:c r="I1285" s="382" t="n">
        <x:f>SUMIFS('Climate Data'!$H$7:$H$366,'Climate Data'!$A$7:$A$366,'Estimator'!$B$4,'Climate Data'!$B$7:$B$366,C1285)</x:f>
        <x:v>8.998122065727701</x:v>
      </x:c>
      <x:c r="J1285" s="381" t="n">
        <x:f>SUMIFS('Wind Proxy'!$H$8:$H$19,'Wind Proxy'!$A$8:$A$19,'Estimator'!$B$4,'Wind Proxy'!$B$8:$B$19,C1285)</x:f>
        <x:v>0.13739545997610514</x:v>
      </x:c>
    </x:row>
    <x:row r="1286">
      <x:c r="A1286" s="379" t="n">
        <x:v>46937</x:v>
      </x:c>
      <x:c r="B1286" s="380" t="n">
        <x:v>2028</x:v>
      </x:c>
      <x:c r="C1286" s="380" t="n">
        <x:v>7</x:v>
      </x:c>
      <x:c r="D1286" s="380" t="str">
        <x:v>Jul</x:v>
      </x:c>
      <x:c r="E1286" s="380" t="n">
        <x:v>3</x:v>
      </x:c>
      <x:c r="F1286" s="380" t="n">
        <x:v>1</x:v>
      </x:c>
      <x:c r="G1286" s="380" t="n">
        <x:f>--(F1286&lt;='Estimator'!$B$7)</x:f>
        <x:v>1</x:v>
      </x:c>
      <x:c r="H1286" s="381" t="n">
        <x:f>SUMIFS('Climate Data'!$G$7:$G$366,'Climate Data'!$A$7:$A$366,'Estimator'!$B$4,'Climate Data'!$B$7:$B$366,C1286)</x:f>
        <x:v>0.49078341013824883</x:v>
      </x:c>
      <x:c r="I1286" s="382" t="n">
        <x:f>SUMIFS('Climate Data'!$H$7:$H$366,'Climate Data'!$A$7:$A$366,'Estimator'!$B$4,'Climate Data'!$B$7:$B$366,C1286)</x:f>
        <x:v>8.998122065727701</x:v>
      </x:c>
      <x:c r="J1286" s="381" t="n">
        <x:f>SUMIFS('Wind Proxy'!$H$8:$H$19,'Wind Proxy'!$A$8:$A$19,'Estimator'!$B$4,'Wind Proxy'!$B$8:$B$19,C1286)</x:f>
        <x:v>0.13739545997610514</x:v>
      </x:c>
    </x:row>
    <x:row r="1287">
      <x:c r="A1287" s="379" t="n">
        <x:v>46938</x:v>
      </x:c>
      <x:c r="B1287" s="380" t="n">
        <x:v>2028</x:v>
      </x:c>
      <x:c r="C1287" s="380" t="n">
        <x:v>7</x:v>
      </x:c>
      <x:c r="D1287" s="380" t="str">
        <x:v>Jul</x:v>
      </x:c>
      <x:c r="E1287" s="380" t="n">
        <x:v>4</x:v>
      </x:c>
      <x:c r="F1287" s="380" t="n">
        <x:v>2</x:v>
      </x:c>
      <x:c r="G1287" s="380" t="n">
        <x:f>--(F1287&lt;='Estimator'!$B$7)</x:f>
        <x:v>1</x:v>
      </x:c>
      <x:c r="H1287" s="381" t="n">
        <x:f>SUMIFS('Climate Data'!$G$7:$G$366,'Climate Data'!$A$7:$A$366,'Estimator'!$B$4,'Climate Data'!$B$7:$B$366,C1287)</x:f>
        <x:v>0.49078341013824883</x:v>
      </x:c>
      <x:c r="I1287" s="382" t="n">
        <x:f>SUMIFS('Climate Data'!$H$7:$H$366,'Climate Data'!$A$7:$A$366,'Estimator'!$B$4,'Climate Data'!$B$7:$B$366,C1287)</x:f>
        <x:v>8.998122065727701</x:v>
      </x:c>
      <x:c r="J1287" s="381" t="n">
        <x:f>SUMIFS('Wind Proxy'!$H$8:$H$19,'Wind Proxy'!$A$8:$A$19,'Estimator'!$B$4,'Wind Proxy'!$B$8:$B$19,C1287)</x:f>
        <x:v>0.13739545997610514</x:v>
      </x:c>
    </x:row>
    <x:row r="1288">
      <x:c r="A1288" s="379" t="n">
        <x:v>46939</x:v>
      </x:c>
      <x:c r="B1288" s="380" t="n">
        <x:v>2028</x:v>
      </x:c>
      <x:c r="C1288" s="380" t="n">
        <x:v>7</x:v>
      </x:c>
      <x:c r="D1288" s="380" t="str">
        <x:v>Jul</x:v>
      </x:c>
      <x:c r="E1288" s="380" t="n">
        <x:v>5</x:v>
      </x:c>
      <x:c r="F1288" s="380" t="n">
        <x:v>3</x:v>
      </x:c>
      <x:c r="G1288" s="380" t="n">
        <x:f>--(F1288&lt;='Estimator'!$B$7)</x:f>
        <x:v>1</x:v>
      </x:c>
      <x:c r="H1288" s="381" t="n">
        <x:f>SUMIFS('Climate Data'!$G$7:$G$366,'Climate Data'!$A$7:$A$366,'Estimator'!$B$4,'Climate Data'!$B$7:$B$366,C1288)</x:f>
        <x:v>0.49078341013824883</x:v>
      </x:c>
      <x:c r="I1288" s="382" t="n">
        <x:f>SUMIFS('Climate Data'!$H$7:$H$366,'Climate Data'!$A$7:$A$366,'Estimator'!$B$4,'Climate Data'!$B$7:$B$366,C1288)</x:f>
        <x:v>8.998122065727701</x:v>
      </x:c>
      <x:c r="J1288" s="381" t="n">
        <x:f>SUMIFS('Wind Proxy'!$H$8:$H$19,'Wind Proxy'!$A$8:$A$19,'Estimator'!$B$4,'Wind Proxy'!$B$8:$B$19,C1288)</x:f>
        <x:v>0.13739545997610514</x:v>
      </x:c>
    </x:row>
    <x:row r="1289">
      <x:c r="A1289" s="379" t="n">
        <x:v>46940</x:v>
      </x:c>
      <x:c r="B1289" s="380" t="n">
        <x:v>2028</x:v>
      </x:c>
      <x:c r="C1289" s="380" t="n">
        <x:v>7</x:v>
      </x:c>
      <x:c r="D1289" s="380" t="str">
        <x:v>Jul</x:v>
      </x:c>
      <x:c r="E1289" s="380" t="n">
        <x:v>6</x:v>
      </x:c>
      <x:c r="F1289" s="380" t="n">
        <x:v>4</x:v>
      </x:c>
      <x:c r="G1289" s="380" t="n">
        <x:f>--(F1289&lt;='Estimator'!$B$7)</x:f>
        <x:v>1</x:v>
      </x:c>
      <x:c r="H1289" s="381" t="n">
        <x:f>SUMIFS('Climate Data'!$G$7:$G$366,'Climate Data'!$A$7:$A$366,'Estimator'!$B$4,'Climate Data'!$B$7:$B$366,C1289)</x:f>
        <x:v>0.49078341013824883</x:v>
      </x:c>
      <x:c r="I1289" s="382" t="n">
        <x:f>SUMIFS('Climate Data'!$H$7:$H$366,'Climate Data'!$A$7:$A$366,'Estimator'!$B$4,'Climate Data'!$B$7:$B$366,C1289)</x:f>
        <x:v>8.998122065727701</x:v>
      </x:c>
      <x:c r="J1289" s="381" t="n">
        <x:f>SUMIFS('Wind Proxy'!$H$8:$H$19,'Wind Proxy'!$A$8:$A$19,'Estimator'!$B$4,'Wind Proxy'!$B$8:$B$19,C1289)</x:f>
        <x:v>0.13739545997610514</x:v>
      </x:c>
    </x:row>
    <x:row r="1290">
      <x:c r="A1290" s="379" t="n">
        <x:v>46941</x:v>
      </x:c>
      <x:c r="B1290" s="380" t="n">
        <x:v>2028</x:v>
      </x:c>
      <x:c r="C1290" s="380" t="n">
        <x:v>7</x:v>
      </x:c>
      <x:c r="D1290" s="380" t="str">
        <x:v>Jul</x:v>
      </x:c>
      <x:c r="E1290" s="380" t="n">
        <x:v>7</x:v>
      </x:c>
      <x:c r="F1290" s="380" t="n">
        <x:v>5</x:v>
      </x:c>
      <x:c r="G1290" s="380" t="n">
        <x:f>--(F1290&lt;='Estimator'!$B$7)</x:f>
        <x:v>1</x:v>
      </x:c>
      <x:c r="H1290" s="381" t="n">
        <x:f>SUMIFS('Climate Data'!$G$7:$G$366,'Climate Data'!$A$7:$A$366,'Estimator'!$B$4,'Climate Data'!$B$7:$B$366,C1290)</x:f>
        <x:v>0.49078341013824883</x:v>
      </x:c>
      <x:c r="I1290" s="382" t="n">
        <x:f>SUMIFS('Climate Data'!$H$7:$H$366,'Climate Data'!$A$7:$A$366,'Estimator'!$B$4,'Climate Data'!$B$7:$B$366,C1290)</x:f>
        <x:v>8.998122065727701</x:v>
      </x:c>
      <x:c r="J1290" s="381" t="n">
        <x:f>SUMIFS('Wind Proxy'!$H$8:$H$19,'Wind Proxy'!$A$8:$A$19,'Estimator'!$B$4,'Wind Proxy'!$B$8:$B$19,C1290)</x:f>
        <x:v>0.13739545997610514</x:v>
      </x:c>
    </x:row>
    <x:row r="1291">
      <x:c r="A1291" s="379" t="n">
        <x:v>46942</x:v>
      </x:c>
      <x:c r="B1291" s="380" t="n">
        <x:v>2028</x:v>
      </x:c>
      <x:c r="C1291" s="380" t="n">
        <x:v>7</x:v>
      </x:c>
      <x:c r="D1291" s="380" t="str">
        <x:v>Jul</x:v>
      </x:c>
      <x:c r="E1291" s="380" t="n">
        <x:v>8</x:v>
      </x:c>
      <x:c r="F1291" s="380" t="n">
        <x:v>6</x:v>
      </x:c>
      <x:c r="G1291" s="380" t="n">
        <x:f>--(F1291&lt;='Estimator'!$B$7)</x:f>
        <x:v>0</x:v>
      </x:c>
      <x:c r="H1291" s="381" t="n">
        <x:f>SUMIFS('Climate Data'!$G$7:$G$366,'Climate Data'!$A$7:$A$366,'Estimator'!$B$4,'Climate Data'!$B$7:$B$366,C1291)</x:f>
        <x:v>0.49078341013824883</x:v>
      </x:c>
      <x:c r="I1291" s="382" t="n">
        <x:f>SUMIFS('Climate Data'!$H$7:$H$366,'Climate Data'!$A$7:$A$366,'Estimator'!$B$4,'Climate Data'!$B$7:$B$366,C1291)</x:f>
        <x:v>8.998122065727701</x:v>
      </x:c>
      <x:c r="J1291" s="381" t="n">
        <x:f>SUMIFS('Wind Proxy'!$H$8:$H$19,'Wind Proxy'!$A$8:$A$19,'Estimator'!$B$4,'Wind Proxy'!$B$8:$B$19,C1291)</x:f>
        <x:v>0.13739545997610514</x:v>
      </x:c>
    </x:row>
    <x:row r="1292">
      <x:c r="A1292" s="379" t="n">
        <x:v>46943</x:v>
      </x:c>
      <x:c r="B1292" s="380" t="n">
        <x:v>2028</x:v>
      </x:c>
      <x:c r="C1292" s="380" t="n">
        <x:v>7</x:v>
      </x:c>
      <x:c r="D1292" s="380" t="str">
        <x:v>Jul</x:v>
      </x:c>
      <x:c r="E1292" s="380" t="n">
        <x:v>9</x:v>
      </x:c>
      <x:c r="F1292" s="380" t="n">
        <x:v>7</x:v>
      </x:c>
      <x:c r="G1292" s="380" t="n">
        <x:f>--(F1292&lt;='Estimator'!$B$7)</x:f>
        <x:v>0</x:v>
      </x:c>
      <x:c r="H1292" s="381" t="n">
        <x:f>SUMIFS('Climate Data'!$G$7:$G$366,'Climate Data'!$A$7:$A$366,'Estimator'!$B$4,'Climate Data'!$B$7:$B$366,C1292)</x:f>
        <x:v>0.49078341013824883</x:v>
      </x:c>
      <x:c r="I1292" s="382" t="n">
        <x:f>SUMIFS('Climate Data'!$H$7:$H$366,'Climate Data'!$A$7:$A$366,'Estimator'!$B$4,'Climate Data'!$B$7:$B$366,C1292)</x:f>
        <x:v>8.998122065727701</x:v>
      </x:c>
      <x:c r="J1292" s="381" t="n">
        <x:f>SUMIFS('Wind Proxy'!$H$8:$H$19,'Wind Proxy'!$A$8:$A$19,'Estimator'!$B$4,'Wind Proxy'!$B$8:$B$19,C1292)</x:f>
        <x:v>0.13739545997610514</x:v>
      </x:c>
    </x:row>
    <x:row r="1293">
      <x:c r="A1293" s="379" t="n">
        <x:v>46944</x:v>
      </x:c>
      <x:c r="B1293" s="380" t="n">
        <x:v>2028</x:v>
      </x:c>
      <x:c r="C1293" s="380" t="n">
        <x:v>7</x:v>
      </x:c>
      <x:c r="D1293" s="380" t="str">
        <x:v>Jul</x:v>
      </x:c>
      <x:c r="E1293" s="380" t="n">
        <x:v>10</x:v>
      </x:c>
      <x:c r="F1293" s="380" t="n">
        <x:v>1</x:v>
      </x:c>
      <x:c r="G1293" s="380" t="n">
        <x:f>--(F1293&lt;='Estimator'!$B$7)</x:f>
        <x:v>1</x:v>
      </x:c>
      <x:c r="H1293" s="381" t="n">
        <x:f>SUMIFS('Climate Data'!$G$7:$G$366,'Climate Data'!$A$7:$A$366,'Estimator'!$B$4,'Climate Data'!$B$7:$B$366,C1293)</x:f>
        <x:v>0.49078341013824883</x:v>
      </x:c>
      <x:c r="I1293" s="382" t="n">
        <x:f>SUMIFS('Climate Data'!$H$7:$H$366,'Climate Data'!$A$7:$A$366,'Estimator'!$B$4,'Climate Data'!$B$7:$B$366,C1293)</x:f>
        <x:v>8.998122065727701</x:v>
      </x:c>
      <x:c r="J1293" s="381" t="n">
        <x:f>SUMIFS('Wind Proxy'!$H$8:$H$19,'Wind Proxy'!$A$8:$A$19,'Estimator'!$B$4,'Wind Proxy'!$B$8:$B$19,C1293)</x:f>
        <x:v>0.13739545997610514</x:v>
      </x:c>
    </x:row>
    <x:row r="1294">
      <x:c r="A1294" s="379" t="n">
        <x:v>46945</x:v>
      </x:c>
      <x:c r="B1294" s="380" t="n">
        <x:v>2028</x:v>
      </x:c>
      <x:c r="C1294" s="380" t="n">
        <x:v>7</x:v>
      </x:c>
      <x:c r="D1294" s="380" t="str">
        <x:v>Jul</x:v>
      </x:c>
      <x:c r="E1294" s="380" t="n">
        <x:v>11</x:v>
      </x:c>
      <x:c r="F1294" s="380" t="n">
        <x:v>2</x:v>
      </x:c>
      <x:c r="G1294" s="380" t="n">
        <x:f>--(F1294&lt;='Estimator'!$B$7)</x:f>
        <x:v>1</x:v>
      </x:c>
      <x:c r="H1294" s="381" t="n">
        <x:f>SUMIFS('Climate Data'!$G$7:$G$366,'Climate Data'!$A$7:$A$366,'Estimator'!$B$4,'Climate Data'!$B$7:$B$366,C1294)</x:f>
        <x:v>0.49078341013824883</x:v>
      </x:c>
      <x:c r="I1294" s="382" t="n">
        <x:f>SUMIFS('Climate Data'!$H$7:$H$366,'Climate Data'!$A$7:$A$366,'Estimator'!$B$4,'Climate Data'!$B$7:$B$366,C1294)</x:f>
        <x:v>8.998122065727701</x:v>
      </x:c>
      <x:c r="J1294" s="381" t="n">
        <x:f>SUMIFS('Wind Proxy'!$H$8:$H$19,'Wind Proxy'!$A$8:$A$19,'Estimator'!$B$4,'Wind Proxy'!$B$8:$B$19,C1294)</x:f>
        <x:v>0.13739545997610514</x:v>
      </x:c>
    </x:row>
    <x:row r="1295">
      <x:c r="A1295" s="379" t="n">
        <x:v>46946</x:v>
      </x:c>
      <x:c r="B1295" s="380" t="n">
        <x:v>2028</x:v>
      </x:c>
      <x:c r="C1295" s="380" t="n">
        <x:v>7</x:v>
      </x:c>
      <x:c r="D1295" s="380" t="str">
        <x:v>Jul</x:v>
      </x:c>
      <x:c r="E1295" s="380" t="n">
        <x:v>12</x:v>
      </x:c>
      <x:c r="F1295" s="380" t="n">
        <x:v>3</x:v>
      </x:c>
      <x:c r="G1295" s="380" t="n">
        <x:f>--(F1295&lt;='Estimator'!$B$7)</x:f>
        <x:v>1</x:v>
      </x:c>
      <x:c r="H1295" s="381" t="n">
        <x:f>SUMIFS('Climate Data'!$G$7:$G$366,'Climate Data'!$A$7:$A$366,'Estimator'!$B$4,'Climate Data'!$B$7:$B$366,C1295)</x:f>
        <x:v>0.49078341013824883</x:v>
      </x:c>
      <x:c r="I1295" s="382" t="n">
        <x:f>SUMIFS('Climate Data'!$H$7:$H$366,'Climate Data'!$A$7:$A$366,'Estimator'!$B$4,'Climate Data'!$B$7:$B$366,C1295)</x:f>
        <x:v>8.998122065727701</x:v>
      </x:c>
      <x:c r="J1295" s="381" t="n">
        <x:f>SUMIFS('Wind Proxy'!$H$8:$H$19,'Wind Proxy'!$A$8:$A$19,'Estimator'!$B$4,'Wind Proxy'!$B$8:$B$19,C1295)</x:f>
        <x:v>0.13739545997610514</x:v>
      </x:c>
    </x:row>
    <x:row r="1296">
      <x:c r="A1296" s="379" t="n">
        <x:v>46947</x:v>
      </x:c>
      <x:c r="B1296" s="380" t="n">
        <x:v>2028</x:v>
      </x:c>
      <x:c r="C1296" s="380" t="n">
        <x:v>7</x:v>
      </x:c>
      <x:c r="D1296" s="380" t="str">
        <x:v>Jul</x:v>
      </x:c>
      <x:c r="E1296" s="380" t="n">
        <x:v>13</x:v>
      </x:c>
      <x:c r="F1296" s="380" t="n">
        <x:v>4</x:v>
      </x:c>
      <x:c r="G1296" s="380" t="n">
        <x:f>--(F1296&lt;='Estimator'!$B$7)</x:f>
        <x:v>1</x:v>
      </x:c>
      <x:c r="H1296" s="381" t="n">
        <x:f>SUMIFS('Climate Data'!$G$7:$G$366,'Climate Data'!$A$7:$A$366,'Estimator'!$B$4,'Climate Data'!$B$7:$B$366,C1296)</x:f>
        <x:v>0.49078341013824883</x:v>
      </x:c>
      <x:c r="I1296" s="382" t="n">
        <x:f>SUMIFS('Climate Data'!$H$7:$H$366,'Climate Data'!$A$7:$A$366,'Estimator'!$B$4,'Climate Data'!$B$7:$B$366,C1296)</x:f>
        <x:v>8.998122065727701</x:v>
      </x:c>
      <x:c r="J1296" s="381" t="n">
        <x:f>SUMIFS('Wind Proxy'!$H$8:$H$19,'Wind Proxy'!$A$8:$A$19,'Estimator'!$B$4,'Wind Proxy'!$B$8:$B$19,C1296)</x:f>
        <x:v>0.13739545997610514</x:v>
      </x:c>
    </x:row>
    <x:row r="1297">
      <x:c r="A1297" s="379" t="n">
        <x:v>46948</x:v>
      </x:c>
      <x:c r="B1297" s="380" t="n">
        <x:v>2028</x:v>
      </x:c>
      <x:c r="C1297" s="380" t="n">
        <x:v>7</x:v>
      </x:c>
      <x:c r="D1297" s="380" t="str">
        <x:v>Jul</x:v>
      </x:c>
      <x:c r="E1297" s="380" t="n">
        <x:v>14</x:v>
      </x:c>
      <x:c r="F1297" s="380" t="n">
        <x:v>5</x:v>
      </x:c>
      <x:c r="G1297" s="380" t="n">
        <x:f>--(F1297&lt;='Estimator'!$B$7)</x:f>
        <x:v>1</x:v>
      </x:c>
      <x:c r="H1297" s="381" t="n">
        <x:f>SUMIFS('Climate Data'!$G$7:$G$366,'Climate Data'!$A$7:$A$366,'Estimator'!$B$4,'Climate Data'!$B$7:$B$366,C1297)</x:f>
        <x:v>0.49078341013824883</x:v>
      </x:c>
      <x:c r="I1297" s="382" t="n">
        <x:f>SUMIFS('Climate Data'!$H$7:$H$366,'Climate Data'!$A$7:$A$366,'Estimator'!$B$4,'Climate Data'!$B$7:$B$366,C1297)</x:f>
        <x:v>8.998122065727701</x:v>
      </x:c>
      <x:c r="J1297" s="381" t="n">
        <x:f>SUMIFS('Wind Proxy'!$H$8:$H$19,'Wind Proxy'!$A$8:$A$19,'Estimator'!$B$4,'Wind Proxy'!$B$8:$B$19,C1297)</x:f>
        <x:v>0.13739545997610514</x:v>
      </x:c>
    </x:row>
    <x:row r="1298">
      <x:c r="A1298" s="379" t="n">
        <x:v>46949</x:v>
      </x:c>
      <x:c r="B1298" s="380" t="n">
        <x:v>2028</x:v>
      </x:c>
      <x:c r="C1298" s="380" t="n">
        <x:v>7</x:v>
      </x:c>
      <x:c r="D1298" s="380" t="str">
        <x:v>Jul</x:v>
      </x:c>
      <x:c r="E1298" s="380" t="n">
        <x:v>15</x:v>
      </x:c>
      <x:c r="F1298" s="380" t="n">
        <x:v>6</x:v>
      </x:c>
      <x:c r="G1298" s="380" t="n">
        <x:f>--(F1298&lt;='Estimator'!$B$7)</x:f>
        <x:v>0</x:v>
      </x:c>
      <x:c r="H1298" s="381" t="n">
        <x:f>SUMIFS('Climate Data'!$G$7:$G$366,'Climate Data'!$A$7:$A$366,'Estimator'!$B$4,'Climate Data'!$B$7:$B$366,C1298)</x:f>
        <x:v>0.49078341013824883</x:v>
      </x:c>
      <x:c r="I1298" s="382" t="n">
        <x:f>SUMIFS('Climate Data'!$H$7:$H$366,'Climate Data'!$A$7:$A$366,'Estimator'!$B$4,'Climate Data'!$B$7:$B$366,C1298)</x:f>
        <x:v>8.998122065727701</x:v>
      </x:c>
      <x:c r="J1298" s="381" t="n">
        <x:f>SUMIFS('Wind Proxy'!$H$8:$H$19,'Wind Proxy'!$A$8:$A$19,'Estimator'!$B$4,'Wind Proxy'!$B$8:$B$19,C1298)</x:f>
        <x:v>0.13739545997610514</x:v>
      </x:c>
    </x:row>
    <x:row r="1299">
      <x:c r="A1299" s="379" t="n">
        <x:v>46950</x:v>
      </x:c>
      <x:c r="B1299" s="380" t="n">
        <x:v>2028</x:v>
      </x:c>
      <x:c r="C1299" s="380" t="n">
        <x:v>7</x:v>
      </x:c>
      <x:c r="D1299" s="380" t="str">
        <x:v>Jul</x:v>
      </x:c>
      <x:c r="E1299" s="380" t="n">
        <x:v>16</x:v>
      </x:c>
      <x:c r="F1299" s="380" t="n">
        <x:v>7</x:v>
      </x:c>
      <x:c r="G1299" s="380" t="n">
        <x:f>--(F1299&lt;='Estimator'!$B$7)</x:f>
        <x:v>0</x:v>
      </x:c>
      <x:c r="H1299" s="381" t="n">
        <x:f>SUMIFS('Climate Data'!$G$7:$G$366,'Climate Data'!$A$7:$A$366,'Estimator'!$B$4,'Climate Data'!$B$7:$B$366,C1299)</x:f>
        <x:v>0.49078341013824883</x:v>
      </x:c>
      <x:c r="I1299" s="382" t="n">
        <x:f>SUMIFS('Climate Data'!$H$7:$H$366,'Climate Data'!$A$7:$A$366,'Estimator'!$B$4,'Climate Data'!$B$7:$B$366,C1299)</x:f>
        <x:v>8.998122065727701</x:v>
      </x:c>
      <x:c r="J1299" s="381" t="n">
        <x:f>SUMIFS('Wind Proxy'!$H$8:$H$19,'Wind Proxy'!$A$8:$A$19,'Estimator'!$B$4,'Wind Proxy'!$B$8:$B$19,C1299)</x:f>
        <x:v>0.13739545997610514</x:v>
      </x:c>
    </x:row>
    <x:row r="1300">
      <x:c r="A1300" s="379" t="n">
        <x:v>46951</x:v>
      </x:c>
      <x:c r="B1300" s="380" t="n">
        <x:v>2028</x:v>
      </x:c>
      <x:c r="C1300" s="380" t="n">
        <x:v>7</x:v>
      </x:c>
      <x:c r="D1300" s="380" t="str">
        <x:v>Jul</x:v>
      </x:c>
      <x:c r="E1300" s="380" t="n">
        <x:v>17</x:v>
      </x:c>
      <x:c r="F1300" s="380" t="n">
        <x:v>1</x:v>
      </x:c>
      <x:c r="G1300" s="380" t="n">
        <x:f>--(F1300&lt;='Estimator'!$B$7)</x:f>
        <x:v>1</x:v>
      </x:c>
      <x:c r="H1300" s="381" t="n">
        <x:f>SUMIFS('Climate Data'!$G$7:$G$366,'Climate Data'!$A$7:$A$366,'Estimator'!$B$4,'Climate Data'!$B$7:$B$366,C1300)</x:f>
        <x:v>0.49078341013824883</x:v>
      </x:c>
      <x:c r="I1300" s="382" t="n">
        <x:f>SUMIFS('Climate Data'!$H$7:$H$366,'Climate Data'!$A$7:$A$366,'Estimator'!$B$4,'Climate Data'!$B$7:$B$366,C1300)</x:f>
        <x:v>8.998122065727701</x:v>
      </x:c>
      <x:c r="J1300" s="381" t="n">
        <x:f>SUMIFS('Wind Proxy'!$H$8:$H$19,'Wind Proxy'!$A$8:$A$19,'Estimator'!$B$4,'Wind Proxy'!$B$8:$B$19,C1300)</x:f>
        <x:v>0.13739545997610514</x:v>
      </x:c>
    </x:row>
    <x:row r="1301">
      <x:c r="A1301" s="379" t="n">
        <x:v>46952</x:v>
      </x:c>
      <x:c r="B1301" s="380" t="n">
        <x:v>2028</x:v>
      </x:c>
      <x:c r="C1301" s="380" t="n">
        <x:v>7</x:v>
      </x:c>
      <x:c r="D1301" s="380" t="str">
        <x:v>Jul</x:v>
      </x:c>
      <x:c r="E1301" s="380" t="n">
        <x:v>18</x:v>
      </x:c>
      <x:c r="F1301" s="380" t="n">
        <x:v>2</x:v>
      </x:c>
      <x:c r="G1301" s="380" t="n">
        <x:f>--(F1301&lt;='Estimator'!$B$7)</x:f>
        <x:v>1</x:v>
      </x:c>
      <x:c r="H1301" s="381" t="n">
        <x:f>SUMIFS('Climate Data'!$G$7:$G$366,'Climate Data'!$A$7:$A$366,'Estimator'!$B$4,'Climate Data'!$B$7:$B$366,C1301)</x:f>
        <x:v>0.49078341013824883</x:v>
      </x:c>
      <x:c r="I1301" s="382" t="n">
        <x:f>SUMIFS('Climate Data'!$H$7:$H$366,'Climate Data'!$A$7:$A$366,'Estimator'!$B$4,'Climate Data'!$B$7:$B$366,C1301)</x:f>
        <x:v>8.998122065727701</x:v>
      </x:c>
      <x:c r="J1301" s="381" t="n">
        <x:f>SUMIFS('Wind Proxy'!$H$8:$H$19,'Wind Proxy'!$A$8:$A$19,'Estimator'!$B$4,'Wind Proxy'!$B$8:$B$19,C1301)</x:f>
        <x:v>0.13739545997610514</x:v>
      </x:c>
    </x:row>
    <x:row r="1302">
      <x:c r="A1302" s="379" t="n">
        <x:v>46953</x:v>
      </x:c>
      <x:c r="B1302" s="380" t="n">
        <x:v>2028</x:v>
      </x:c>
      <x:c r="C1302" s="380" t="n">
        <x:v>7</x:v>
      </x:c>
      <x:c r="D1302" s="380" t="str">
        <x:v>Jul</x:v>
      </x:c>
      <x:c r="E1302" s="380" t="n">
        <x:v>19</x:v>
      </x:c>
      <x:c r="F1302" s="380" t="n">
        <x:v>3</x:v>
      </x:c>
      <x:c r="G1302" s="380" t="n">
        <x:f>--(F1302&lt;='Estimator'!$B$7)</x:f>
        <x:v>1</x:v>
      </x:c>
      <x:c r="H1302" s="381" t="n">
        <x:f>SUMIFS('Climate Data'!$G$7:$G$366,'Climate Data'!$A$7:$A$366,'Estimator'!$B$4,'Climate Data'!$B$7:$B$366,C1302)</x:f>
        <x:v>0.49078341013824883</x:v>
      </x:c>
      <x:c r="I1302" s="382" t="n">
        <x:f>SUMIFS('Climate Data'!$H$7:$H$366,'Climate Data'!$A$7:$A$366,'Estimator'!$B$4,'Climate Data'!$B$7:$B$366,C1302)</x:f>
        <x:v>8.998122065727701</x:v>
      </x:c>
      <x:c r="J1302" s="381" t="n">
        <x:f>SUMIFS('Wind Proxy'!$H$8:$H$19,'Wind Proxy'!$A$8:$A$19,'Estimator'!$B$4,'Wind Proxy'!$B$8:$B$19,C1302)</x:f>
        <x:v>0.13739545997610514</x:v>
      </x:c>
    </x:row>
    <x:row r="1303">
      <x:c r="A1303" s="379" t="n">
        <x:v>46954</x:v>
      </x:c>
      <x:c r="B1303" s="380" t="n">
        <x:v>2028</x:v>
      </x:c>
      <x:c r="C1303" s="380" t="n">
        <x:v>7</x:v>
      </x:c>
      <x:c r="D1303" s="380" t="str">
        <x:v>Jul</x:v>
      </x:c>
      <x:c r="E1303" s="380" t="n">
        <x:v>20</x:v>
      </x:c>
      <x:c r="F1303" s="380" t="n">
        <x:v>4</x:v>
      </x:c>
      <x:c r="G1303" s="380" t="n">
        <x:f>--(F1303&lt;='Estimator'!$B$7)</x:f>
        <x:v>1</x:v>
      </x:c>
      <x:c r="H1303" s="381" t="n">
        <x:f>SUMIFS('Climate Data'!$G$7:$G$366,'Climate Data'!$A$7:$A$366,'Estimator'!$B$4,'Climate Data'!$B$7:$B$366,C1303)</x:f>
        <x:v>0.49078341013824883</x:v>
      </x:c>
      <x:c r="I1303" s="382" t="n">
        <x:f>SUMIFS('Climate Data'!$H$7:$H$366,'Climate Data'!$A$7:$A$366,'Estimator'!$B$4,'Climate Data'!$B$7:$B$366,C1303)</x:f>
        <x:v>8.998122065727701</x:v>
      </x:c>
      <x:c r="J1303" s="381" t="n">
        <x:f>SUMIFS('Wind Proxy'!$H$8:$H$19,'Wind Proxy'!$A$8:$A$19,'Estimator'!$B$4,'Wind Proxy'!$B$8:$B$19,C1303)</x:f>
        <x:v>0.13739545997610514</x:v>
      </x:c>
    </x:row>
    <x:row r="1304">
      <x:c r="A1304" s="379" t="n">
        <x:v>46955</x:v>
      </x:c>
      <x:c r="B1304" s="380" t="n">
        <x:v>2028</x:v>
      </x:c>
      <x:c r="C1304" s="380" t="n">
        <x:v>7</x:v>
      </x:c>
      <x:c r="D1304" s="380" t="str">
        <x:v>Jul</x:v>
      </x:c>
      <x:c r="E1304" s="380" t="n">
        <x:v>21</x:v>
      </x:c>
      <x:c r="F1304" s="380" t="n">
        <x:v>5</x:v>
      </x:c>
      <x:c r="G1304" s="380" t="n">
        <x:f>--(F1304&lt;='Estimator'!$B$7)</x:f>
        <x:v>1</x:v>
      </x:c>
      <x:c r="H1304" s="381" t="n">
        <x:f>SUMIFS('Climate Data'!$G$7:$G$366,'Climate Data'!$A$7:$A$366,'Estimator'!$B$4,'Climate Data'!$B$7:$B$366,C1304)</x:f>
        <x:v>0.49078341013824883</x:v>
      </x:c>
      <x:c r="I1304" s="382" t="n">
        <x:f>SUMIFS('Climate Data'!$H$7:$H$366,'Climate Data'!$A$7:$A$366,'Estimator'!$B$4,'Climate Data'!$B$7:$B$366,C1304)</x:f>
        <x:v>8.998122065727701</x:v>
      </x:c>
      <x:c r="J1304" s="381" t="n">
        <x:f>SUMIFS('Wind Proxy'!$H$8:$H$19,'Wind Proxy'!$A$8:$A$19,'Estimator'!$B$4,'Wind Proxy'!$B$8:$B$19,C1304)</x:f>
        <x:v>0.13739545997610514</x:v>
      </x:c>
    </x:row>
    <x:row r="1305">
      <x:c r="A1305" s="379" t="n">
        <x:v>46956</x:v>
      </x:c>
      <x:c r="B1305" s="380" t="n">
        <x:v>2028</x:v>
      </x:c>
      <x:c r="C1305" s="380" t="n">
        <x:v>7</x:v>
      </x:c>
      <x:c r="D1305" s="380" t="str">
        <x:v>Jul</x:v>
      </x:c>
      <x:c r="E1305" s="380" t="n">
        <x:v>22</x:v>
      </x:c>
      <x:c r="F1305" s="380" t="n">
        <x:v>6</x:v>
      </x:c>
      <x:c r="G1305" s="380" t="n">
        <x:f>--(F1305&lt;='Estimator'!$B$7)</x:f>
        <x:v>0</x:v>
      </x:c>
      <x:c r="H1305" s="381" t="n">
        <x:f>SUMIFS('Climate Data'!$G$7:$G$366,'Climate Data'!$A$7:$A$366,'Estimator'!$B$4,'Climate Data'!$B$7:$B$366,C1305)</x:f>
        <x:v>0.49078341013824883</x:v>
      </x:c>
      <x:c r="I1305" s="382" t="n">
        <x:f>SUMIFS('Climate Data'!$H$7:$H$366,'Climate Data'!$A$7:$A$366,'Estimator'!$B$4,'Climate Data'!$B$7:$B$366,C1305)</x:f>
        <x:v>8.998122065727701</x:v>
      </x:c>
      <x:c r="J1305" s="381" t="n">
        <x:f>SUMIFS('Wind Proxy'!$H$8:$H$19,'Wind Proxy'!$A$8:$A$19,'Estimator'!$B$4,'Wind Proxy'!$B$8:$B$19,C1305)</x:f>
        <x:v>0.13739545997610514</x:v>
      </x:c>
    </x:row>
    <x:row r="1306">
      <x:c r="A1306" s="379" t="n">
        <x:v>46957</x:v>
      </x:c>
      <x:c r="B1306" s="380" t="n">
        <x:v>2028</x:v>
      </x:c>
      <x:c r="C1306" s="380" t="n">
        <x:v>7</x:v>
      </x:c>
      <x:c r="D1306" s="380" t="str">
        <x:v>Jul</x:v>
      </x:c>
      <x:c r="E1306" s="380" t="n">
        <x:v>23</x:v>
      </x:c>
      <x:c r="F1306" s="380" t="n">
        <x:v>7</x:v>
      </x:c>
      <x:c r="G1306" s="380" t="n">
        <x:f>--(F1306&lt;='Estimator'!$B$7)</x:f>
        <x:v>0</x:v>
      </x:c>
      <x:c r="H1306" s="381" t="n">
        <x:f>SUMIFS('Climate Data'!$G$7:$G$366,'Climate Data'!$A$7:$A$366,'Estimator'!$B$4,'Climate Data'!$B$7:$B$366,C1306)</x:f>
        <x:v>0.49078341013824883</x:v>
      </x:c>
      <x:c r="I1306" s="382" t="n">
        <x:f>SUMIFS('Climate Data'!$H$7:$H$366,'Climate Data'!$A$7:$A$366,'Estimator'!$B$4,'Climate Data'!$B$7:$B$366,C1306)</x:f>
        <x:v>8.998122065727701</x:v>
      </x:c>
      <x:c r="J1306" s="381" t="n">
        <x:f>SUMIFS('Wind Proxy'!$H$8:$H$19,'Wind Proxy'!$A$8:$A$19,'Estimator'!$B$4,'Wind Proxy'!$B$8:$B$19,C1306)</x:f>
        <x:v>0.13739545997610514</x:v>
      </x:c>
    </x:row>
    <x:row r="1307">
      <x:c r="A1307" s="379" t="n">
        <x:v>46958</x:v>
      </x:c>
      <x:c r="B1307" s="380" t="n">
        <x:v>2028</x:v>
      </x:c>
      <x:c r="C1307" s="380" t="n">
        <x:v>7</x:v>
      </x:c>
      <x:c r="D1307" s="380" t="str">
        <x:v>Jul</x:v>
      </x:c>
      <x:c r="E1307" s="380" t="n">
        <x:v>24</x:v>
      </x:c>
      <x:c r="F1307" s="380" t="n">
        <x:v>1</x:v>
      </x:c>
      <x:c r="G1307" s="380" t="n">
        <x:f>--(F1307&lt;='Estimator'!$B$7)</x:f>
        <x:v>1</x:v>
      </x:c>
      <x:c r="H1307" s="381" t="n">
        <x:f>SUMIFS('Climate Data'!$G$7:$G$366,'Climate Data'!$A$7:$A$366,'Estimator'!$B$4,'Climate Data'!$B$7:$B$366,C1307)</x:f>
        <x:v>0.49078341013824883</x:v>
      </x:c>
      <x:c r="I1307" s="382" t="n">
        <x:f>SUMIFS('Climate Data'!$H$7:$H$366,'Climate Data'!$A$7:$A$366,'Estimator'!$B$4,'Climate Data'!$B$7:$B$366,C1307)</x:f>
        <x:v>8.998122065727701</x:v>
      </x:c>
      <x:c r="J1307" s="381" t="n">
        <x:f>SUMIFS('Wind Proxy'!$H$8:$H$19,'Wind Proxy'!$A$8:$A$19,'Estimator'!$B$4,'Wind Proxy'!$B$8:$B$19,C1307)</x:f>
        <x:v>0.13739545997610514</x:v>
      </x:c>
    </x:row>
    <x:row r="1308">
      <x:c r="A1308" s="379" t="n">
        <x:v>46959</x:v>
      </x:c>
      <x:c r="B1308" s="380" t="n">
        <x:v>2028</x:v>
      </x:c>
      <x:c r="C1308" s="380" t="n">
        <x:v>7</x:v>
      </x:c>
      <x:c r="D1308" s="380" t="str">
        <x:v>Jul</x:v>
      </x:c>
      <x:c r="E1308" s="380" t="n">
        <x:v>25</x:v>
      </x:c>
      <x:c r="F1308" s="380" t="n">
        <x:v>2</x:v>
      </x:c>
      <x:c r="G1308" s="380" t="n">
        <x:f>--(F1308&lt;='Estimator'!$B$7)</x:f>
        <x:v>1</x:v>
      </x:c>
      <x:c r="H1308" s="381" t="n">
        <x:f>SUMIFS('Climate Data'!$G$7:$G$366,'Climate Data'!$A$7:$A$366,'Estimator'!$B$4,'Climate Data'!$B$7:$B$366,C1308)</x:f>
        <x:v>0.49078341013824883</x:v>
      </x:c>
      <x:c r="I1308" s="382" t="n">
        <x:f>SUMIFS('Climate Data'!$H$7:$H$366,'Climate Data'!$A$7:$A$366,'Estimator'!$B$4,'Climate Data'!$B$7:$B$366,C1308)</x:f>
        <x:v>8.998122065727701</x:v>
      </x:c>
      <x:c r="J1308" s="381" t="n">
        <x:f>SUMIFS('Wind Proxy'!$H$8:$H$19,'Wind Proxy'!$A$8:$A$19,'Estimator'!$B$4,'Wind Proxy'!$B$8:$B$19,C1308)</x:f>
        <x:v>0.13739545997610514</x:v>
      </x:c>
    </x:row>
    <x:row r="1309">
      <x:c r="A1309" s="379" t="n">
        <x:v>46960</x:v>
      </x:c>
      <x:c r="B1309" s="380" t="n">
        <x:v>2028</x:v>
      </x:c>
      <x:c r="C1309" s="380" t="n">
        <x:v>7</x:v>
      </x:c>
      <x:c r="D1309" s="380" t="str">
        <x:v>Jul</x:v>
      </x:c>
      <x:c r="E1309" s="380" t="n">
        <x:v>26</x:v>
      </x:c>
      <x:c r="F1309" s="380" t="n">
        <x:v>3</x:v>
      </x:c>
      <x:c r="G1309" s="380" t="n">
        <x:f>--(F1309&lt;='Estimator'!$B$7)</x:f>
        <x:v>1</x:v>
      </x:c>
      <x:c r="H1309" s="381" t="n">
        <x:f>SUMIFS('Climate Data'!$G$7:$G$366,'Climate Data'!$A$7:$A$366,'Estimator'!$B$4,'Climate Data'!$B$7:$B$366,C1309)</x:f>
        <x:v>0.49078341013824883</x:v>
      </x:c>
      <x:c r="I1309" s="382" t="n">
        <x:f>SUMIFS('Climate Data'!$H$7:$H$366,'Climate Data'!$A$7:$A$366,'Estimator'!$B$4,'Climate Data'!$B$7:$B$366,C1309)</x:f>
        <x:v>8.998122065727701</x:v>
      </x:c>
      <x:c r="J1309" s="381" t="n">
        <x:f>SUMIFS('Wind Proxy'!$H$8:$H$19,'Wind Proxy'!$A$8:$A$19,'Estimator'!$B$4,'Wind Proxy'!$B$8:$B$19,C1309)</x:f>
        <x:v>0.13739545997610514</x:v>
      </x:c>
    </x:row>
    <x:row r="1310">
      <x:c r="A1310" s="379" t="n">
        <x:v>46961</x:v>
      </x:c>
      <x:c r="B1310" s="380" t="n">
        <x:v>2028</x:v>
      </x:c>
      <x:c r="C1310" s="380" t="n">
        <x:v>7</x:v>
      </x:c>
      <x:c r="D1310" s="380" t="str">
        <x:v>Jul</x:v>
      </x:c>
      <x:c r="E1310" s="380" t="n">
        <x:v>27</x:v>
      </x:c>
      <x:c r="F1310" s="380" t="n">
        <x:v>4</x:v>
      </x:c>
      <x:c r="G1310" s="380" t="n">
        <x:f>--(F1310&lt;='Estimator'!$B$7)</x:f>
        <x:v>1</x:v>
      </x:c>
      <x:c r="H1310" s="381" t="n">
        <x:f>SUMIFS('Climate Data'!$G$7:$G$366,'Climate Data'!$A$7:$A$366,'Estimator'!$B$4,'Climate Data'!$B$7:$B$366,C1310)</x:f>
        <x:v>0.49078341013824883</x:v>
      </x:c>
      <x:c r="I1310" s="382" t="n">
        <x:f>SUMIFS('Climate Data'!$H$7:$H$366,'Climate Data'!$A$7:$A$366,'Estimator'!$B$4,'Climate Data'!$B$7:$B$366,C1310)</x:f>
        <x:v>8.998122065727701</x:v>
      </x:c>
      <x:c r="J1310" s="381" t="n">
        <x:f>SUMIFS('Wind Proxy'!$H$8:$H$19,'Wind Proxy'!$A$8:$A$19,'Estimator'!$B$4,'Wind Proxy'!$B$8:$B$19,C1310)</x:f>
        <x:v>0.13739545997610514</x:v>
      </x:c>
    </x:row>
    <x:row r="1311">
      <x:c r="A1311" s="379" t="n">
        <x:v>46962</x:v>
      </x:c>
      <x:c r="B1311" s="380" t="n">
        <x:v>2028</x:v>
      </x:c>
      <x:c r="C1311" s="380" t="n">
        <x:v>7</x:v>
      </x:c>
      <x:c r="D1311" s="380" t="str">
        <x:v>Jul</x:v>
      </x:c>
      <x:c r="E1311" s="380" t="n">
        <x:v>28</x:v>
      </x:c>
      <x:c r="F1311" s="380" t="n">
        <x:v>5</x:v>
      </x:c>
      <x:c r="G1311" s="380" t="n">
        <x:f>--(F1311&lt;='Estimator'!$B$7)</x:f>
        <x:v>1</x:v>
      </x:c>
      <x:c r="H1311" s="381" t="n">
        <x:f>SUMIFS('Climate Data'!$G$7:$G$366,'Climate Data'!$A$7:$A$366,'Estimator'!$B$4,'Climate Data'!$B$7:$B$366,C1311)</x:f>
        <x:v>0.49078341013824883</x:v>
      </x:c>
      <x:c r="I1311" s="382" t="n">
        <x:f>SUMIFS('Climate Data'!$H$7:$H$366,'Climate Data'!$A$7:$A$366,'Estimator'!$B$4,'Climate Data'!$B$7:$B$366,C1311)</x:f>
        <x:v>8.998122065727701</x:v>
      </x:c>
      <x:c r="J1311" s="381" t="n">
        <x:f>SUMIFS('Wind Proxy'!$H$8:$H$19,'Wind Proxy'!$A$8:$A$19,'Estimator'!$B$4,'Wind Proxy'!$B$8:$B$19,C1311)</x:f>
        <x:v>0.13739545997610514</x:v>
      </x:c>
    </x:row>
    <x:row r="1312">
      <x:c r="A1312" s="379" t="n">
        <x:v>46963</x:v>
      </x:c>
      <x:c r="B1312" s="380" t="n">
        <x:v>2028</x:v>
      </x:c>
      <x:c r="C1312" s="380" t="n">
        <x:v>7</x:v>
      </x:c>
      <x:c r="D1312" s="380" t="str">
        <x:v>Jul</x:v>
      </x:c>
      <x:c r="E1312" s="380" t="n">
        <x:v>29</x:v>
      </x:c>
      <x:c r="F1312" s="380" t="n">
        <x:v>6</x:v>
      </x:c>
      <x:c r="G1312" s="380" t="n">
        <x:f>--(F1312&lt;='Estimator'!$B$7)</x:f>
        <x:v>0</x:v>
      </x:c>
      <x:c r="H1312" s="381" t="n">
        <x:f>SUMIFS('Climate Data'!$G$7:$G$366,'Climate Data'!$A$7:$A$366,'Estimator'!$B$4,'Climate Data'!$B$7:$B$366,C1312)</x:f>
        <x:v>0.49078341013824883</x:v>
      </x:c>
      <x:c r="I1312" s="382" t="n">
        <x:f>SUMIFS('Climate Data'!$H$7:$H$366,'Climate Data'!$A$7:$A$366,'Estimator'!$B$4,'Climate Data'!$B$7:$B$366,C1312)</x:f>
        <x:v>8.998122065727701</x:v>
      </x:c>
      <x:c r="J1312" s="381" t="n">
        <x:f>SUMIFS('Wind Proxy'!$H$8:$H$19,'Wind Proxy'!$A$8:$A$19,'Estimator'!$B$4,'Wind Proxy'!$B$8:$B$19,C1312)</x:f>
        <x:v>0.13739545997610514</x:v>
      </x:c>
    </x:row>
    <x:row r="1313">
      <x:c r="A1313" s="379" t="n">
        <x:v>46964</x:v>
      </x:c>
      <x:c r="B1313" s="380" t="n">
        <x:v>2028</x:v>
      </x:c>
      <x:c r="C1313" s="380" t="n">
        <x:v>7</x:v>
      </x:c>
      <x:c r="D1313" s="380" t="str">
        <x:v>Jul</x:v>
      </x:c>
      <x:c r="E1313" s="380" t="n">
        <x:v>30</x:v>
      </x:c>
      <x:c r="F1313" s="380" t="n">
        <x:v>7</x:v>
      </x:c>
      <x:c r="G1313" s="380" t="n">
        <x:f>--(F1313&lt;='Estimator'!$B$7)</x:f>
        <x:v>0</x:v>
      </x:c>
      <x:c r="H1313" s="381" t="n">
        <x:f>SUMIFS('Climate Data'!$G$7:$G$366,'Climate Data'!$A$7:$A$366,'Estimator'!$B$4,'Climate Data'!$B$7:$B$366,C1313)</x:f>
        <x:v>0.49078341013824883</x:v>
      </x:c>
      <x:c r="I1313" s="382" t="n">
        <x:f>SUMIFS('Climate Data'!$H$7:$H$366,'Climate Data'!$A$7:$A$366,'Estimator'!$B$4,'Climate Data'!$B$7:$B$366,C1313)</x:f>
        <x:v>8.998122065727701</x:v>
      </x:c>
      <x:c r="J1313" s="381" t="n">
        <x:f>SUMIFS('Wind Proxy'!$H$8:$H$19,'Wind Proxy'!$A$8:$A$19,'Estimator'!$B$4,'Wind Proxy'!$B$8:$B$19,C1313)</x:f>
        <x:v>0.13739545997610514</x:v>
      </x:c>
    </x:row>
    <x:row r="1314">
      <x:c r="A1314" s="379" t="n">
        <x:v>46965</x:v>
      </x:c>
      <x:c r="B1314" s="380" t="n">
        <x:v>2028</x:v>
      </x:c>
      <x:c r="C1314" s="380" t="n">
        <x:v>7</x:v>
      </x:c>
      <x:c r="D1314" s="380" t="str">
        <x:v>Jul</x:v>
      </x:c>
      <x:c r="E1314" s="380" t="n">
        <x:v>31</x:v>
      </x:c>
      <x:c r="F1314" s="380" t="n">
        <x:v>1</x:v>
      </x:c>
      <x:c r="G1314" s="380" t="n">
        <x:f>--(F1314&lt;='Estimator'!$B$7)</x:f>
        <x:v>1</x:v>
      </x:c>
      <x:c r="H1314" s="381" t="n">
        <x:f>SUMIFS('Climate Data'!$G$7:$G$366,'Climate Data'!$A$7:$A$366,'Estimator'!$B$4,'Climate Data'!$B$7:$B$366,C1314)</x:f>
        <x:v>0.49078341013824883</x:v>
      </x:c>
      <x:c r="I1314" s="382" t="n">
        <x:f>SUMIFS('Climate Data'!$H$7:$H$366,'Climate Data'!$A$7:$A$366,'Estimator'!$B$4,'Climate Data'!$B$7:$B$366,C1314)</x:f>
        <x:v>8.998122065727701</x:v>
      </x:c>
      <x:c r="J1314" s="381" t="n">
        <x:f>SUMIFS('Wind Proxy'!$H$8:$H$19,'Wind Proxy'!$A$8:$A$19,'Estimator'!$B$4,'Wind Proxy'!$B$8:$B$19,C1314)</x:f>
        <x:v>0.13739545997610514</x:v>
      </x:c>
    </x:row>
    <x:row r="1315">
      <x:c r="A1315" s="379" t="n">
        <x:v>46966</x:v>
      </x:c>
      <x:c r="B1315" s="380" t="n">
        <x:v>2028</x:v>
      </x:c>
      <x:c r="C1315" s="380" t="n">
        <x:v>8</x:v>
      </x:c>
      <x:c r="D1315" s="380" t="str">
        <x:v>Aug</x:v>
      </x:c>
      <x:c r="E1315" s="380" t="n">
        <x:v>1</x:v>
      </x:c>
      <x:c r="F1315" s="380" t="n">
        <x:v>2</x:v>
      </x:c>
      <x:c r="G1315" s="380" t="n">
        <x:f>--(F1315&lt;='Estimator'!$B$7)</x:f>
        <x:v>1</x:v>
      </x:c>
      <x:c r="H1315" s="381" t="n">
        <x:f>SUMIFS('Climate Data'!$G$7:$G$366,'Climate Data'!$A$7:$A$366,'Estimator'!$B$4,'Climate Data'!$B$7:$B$366,C1315)</x:f>
        <x:v>0.47274749721913234</x:v>
      </x:c>
      <x:c r="I1315" s="382" t="n">
        <x:f>SUMIFS('Climate Data'!$H$7:$H$366,'Climate Data'!$A$7:$A$366,'Estimator'!$B$4,'Climate Data'!$B$7:$B$366,C1315)</x:f>
        <x:v>7.9971764705882356</x:v>
      </x:c>
      <x:c r="J1315" s="381" t="n">
        <x:f>SUMIFS('Wind Proxy'!$H$8:$H$19,'Wind Proxy'!$A$8:$A$19,'Estimator'!$B$4,'Wind Proxy'!$B$8:$B$19,C1315)</x:f>
        <x:v>0.13739545997610514</x:v>
      </x:c>
    </x:row>
    <x:row r="1316">
      <x:c r="A1316" s="379" t="n">
        <x:v>46967</x:v>
      </x:c>
      <x:c r="B1316" s="380" t="n">
        <x:v>2028</x:v>
      </x:c>
      <x:c r="C1316" s="380" t="n">
        <x:v>8</x:v>
      </x:c>
      <x:c r="D1316" s="380" t="str">
        <x:v>Aug</x:v>
      </x:c>
      <x:c r="E1316" s="380" t="n">
        <x:v>2</x:v>
      </x:c>
      <x:c r="F1316" s="380" t="n">
        <x:v>3</x:v>
      </x:c>
      <x:c r="G1316" s="380" t="n">
        <x:f>--(F1316&lt;='Estimator'!$B$7)</x:f>
        <x:v>1</x:v>
      </x:c>
      <x:c r="H1316" s="381" t="n">
        <x:f>SUMIFS('Climate Data'!$G$7:$G$366,'Climate Data'!$A$7:$A$366,'Estimator'!$B$4,'Climate Data'!$B$7:$B$366,C1316)</x:f>
        <x:v>0.47274749721913234</x:v>
      </x:c>
      <x:c r="I1316" s="382" t="n">
        <x:f>SUMIFS('Climate Data'!$H$7:$H$366,'Climate Data'!$A$7:$A$366,'Estimator'!$B$4,'Climate Data'!$B$7:$B$366,C1316)</x:f>
        <x:v>7.9971764705882356</x:v>
      </x:c>
      <x:c r="J1316" s="381" t="n">
        <x:f>SUMIFS('Wind Proxy'!$H$8:$H$19,'Wind Proxy'!$A$8:$A$19,'Estimator'!$B$4,'Wind Proxy'!$B$8:$B$19,C1316)</x:f>
        <x:v>0.13739545997610514</x:v>
      </x:c>
    </x:row>
    <x:row r="1317">
      <x:c r="A1317" s="379" t="n">
        <x:v>46968</x:v>
      </x:c>
      <x:c r="B1317" s="380" t="n">
        <x:v>2028</x:v>
      </x:c>
      <x:c r="C1317" s="380" t="n">
        <x:v>8</x:v>
      </x:c>
      <x:c r="D1317" s="380" t="str">
        <x:v>Aug</x:v>
      </x:c>
      <x:c r="E1317" s="380" t="n">
        <x:v>3</x:v>
      </x:c>
      <x:c r="F1317" s="380" t="n">
        <x:v>4</x:v>
      </x:c>
      <x:c r="G1317" s="380" t="n">
        <x:f>--(F1317&lt;='Estimator'!$B$7)</x:f>
        <x:v>1</x:v>
      </x:c>
      <x:c r="H1317" s="381" t="n">
        <x:f>SUMIFS('Climate Data'!$G$7:$G$366,'Climate Data'!$A$7:$A$366,'Estimator'!$B$4,'Climate Data'!$B$7:$B$366,C1317)</x:f>
        <x:v>0.47274749721913234</x:v>
      </x:c>
      <x:c r="I1317" s="382" t="n">
        <x:f>SUMIFS('Climate Data'!$H$7:$H$366,'Climate Data'!$A$7:$A$366,'Estimator'!$B$4,'Climate Data'!$B$7:$B$366,C1317)</x:f>
        <x:v>7.9971764705882356</x:v>
      </x:c>
      <x:c r="J1317" s="381" t="n">
        <x:f>SUMIFS('Wind Proxy'!$H$8:$H$19,'Wind Proxy'!$A$8:$A$19,'Estimator'!$B$4,'Wind Proxy'!$B$8:$B$19,C1317)</x:f>
        <x:v>0.13739545997610514</x:v>
      </x:c>
    </x:row>
    <x:row r="1318">
      <x:c r="A1318" s="379" t="n">
        <x:v>46969</x:v>
      </x:c>
      <x:c r="B1318" s="380" t="n">
        <x:v>2028</x:v>
      </x:c>
      <x:c r="C1318" s="380" t="n">
        <x:v>8</x:v>
      </x:c>
      <x:c r="D1318" s="380" t="str">
        <x:v>Aug</x:v>
      </x:c>
      <x:c r="E1318" s="380" t="n">
        <x:v>4</x:v>
      </x:c>
      <x:c r="F1318" s="380" t="n">
        <x:v>5</x:v>
      </x:c>
      <x:c r="G1318" s="380" t="n">
        <x:f>--(F1318&lt;='Estimator'!$B$7)</x:f>
        <x:v>1</x:v>
      </x:c>
      <x:c r="H1318" s="381" t="n">
        <x:f>SUMIFS('Climate Data'!$G$7:$G$366,'Climate Data'!$A$7:$A$366,'Estimator'!$B$4,'Climate Data'!$B$7:$B$366,C1318)</x:f>
        <x:v>0.47274749721913234</x:v>
      </x:c>
      <x:c r="I1318" s="382" t="n">
        <x:f>SUMIFS('Climate Data'!$H$7:$H$366,'Climate Data'!$A$7:$A$366,'Estimator'!$B$4,'Climate Data'!$B$7:$B$366,C1318)</x:f>
        <x:v>7.9971764705882356</x:v>
      </x:c>
      <x:c r="J1318" s="381" t="n">
        <x:f>SUMIFS('Wind Proxy'!$H$8:$H$19,'Wind Proxy'!$A$8:$A$19,'Estimator'!$B$4,'Wind Proxy'!$B$8:$B$19,C1318)</x:f>
        <x:v>0.13739545997610514</x:v>
      </x:c>
    </x:row>
    <x:row r="1319">
      <x:c r="A1319" s="379" t="n">
        <x:v>46970</x:v>
      </x:c>
      <x:c r="B1319" s="380" t="n">
        <x:v>2028</x:v>
      </x:c>
      <x:c r="C1319" s="380" t="n">
        <x:v>8</x:v>
      </x:c>
      <x:c r="D1319" s="380" t="str">
        <x:v>Aug</x:v>
      </x:c>
      <x:c r="E1319" s="380" t="n">
        <x:v>5</x:v>
      </x:c>
      <x:c r="F1319" s="380" t="n">
        <x:v>6</x:v>
      </x:c>
      <x:c r="G1319" s="380" t="n">
        <x:f>--(F1319&lt;='Estimator'!$B$7)</x:f>
        <x:v>0</x:v>
      </x:c>
      <x:c r="H1319" s="381" t="n">
        <x:f>SUMIFS('Climate Data'!$G$7:$G$366,'Climate Data'!$A$7:$A$366,'Estimator'!$B$4,'Climate Data'!$B$7:$B$366,C1319)</x:f>
        <x:v>0.47274749721913234</x:v>
      </x:c>
      <x:c r="I1319" s="382" t="n">
        <x:f>SUMIFS('Climate Data'!$H$7:$H$366,'Climate Data'!$A$7:$A$366,'Estimator'!$B$4,'Climate Data'!$B$7:$B$366,C1319)</x:f>
        <x:v>7.9971764705882356</x:v>
      </x:c>
      <x:c r="J1319" s="381" t="n">
        <x:f>SUMIFS('Wind Proxy'!$H$8:$H$19,'Wind Proxy'!$A$8:$A$19,'Estimator'!$B$4,'Wind Proxy'!$B$8:$B$19,C1319)</x:f>
        <x:v>0.13739545997610514</x:v>
      </x:c>
    </x:row>
    <x:row r="1320">
      <x:c r="A1320" s="379" t="n">
        <x:v>46971</x:v>
      </x:c>
      <x:c r="B1320" s="380" t="n">
        <x:v>2028</x:v>
      </x:c>
      <x:c r="C1320" s="380" t="n">
        <x:v>8</x:v>
      </x:c>
      <x:c r="D1320" s="380" t="str">
        <x:v>Aug</x:v>
      </x:c>
      <x:c r="E1320" s="380" t="n">
        <x:v>6</x:v>
      </x:c>
      <x:c r="F1320" s="380" t="n">
        <x:v>7</x:v>
      </x:c>
      <x:c r="G1320" s="380" t="n">
        <x:f>--(F1320&lt;='Estimator'!$B$7)</x:f>
        <x:v>0</x:v>
      </x:c>
      <x:c r="H1320" s="381" t="n">
        <x:f>SUMIFS('Climate Data'!$G$7:$G$366,'Climate Data'!$A$7:$A$366,'Estimator'!$B$4,'Climate Data'!$B$7:$B$366,C1320)</x:f>
        <x:v>0.47274749721913234</x:v>
      </x:c>
      <x:c r="I1320" s="382" t="n">
        <x:f>SUMIFS('Climate Data'!$H$7:$H$366,'Climate Data'!$A$7:$A$366,'Estimator'!$B$4,'Climate Data'!$B$7:$B$366,C1320)</x:f>
        <x:v>7.9971764705882356</x:v>
      </x:c>
      <x:c r="J1320" s="381" t="n">
        <x:f>SUMIFS('Wind Proxy'!$H$8:$H$19,'Wind Proxy'!$A$8:$A$19,'Estimator'!$B$4,'Wind Proxy'!$B$8:$B$19,C1320)</x:f>
        <x:v>0.13739545997610514</x:v>
      </x:c>
    </x:row>
    <x:row r="1321">
      <x:c r="A1321" s="379" t="n">
        <x:v>46972</x:v>
      </x:c>
      <x:c r="B1321" s="380" t="n">
        <x:v>2028</x:v>
      </x:c>
      <x:c r="C1321" s="380" t="n">
        <x:v>8</x:v>
      </x:c>
      <x:c r="D1321" s="380" t="str">
        <x:v>Aug</x:v>
      </x:c>
      <x:c r="E1321" s="380" t="n">
        <x:v>7</x:v>
      </x:c>
      <x:c r="F1321" s="380" t="n">
        <x:v>1</x:v>
      </x:c>
      <x:c r="G1321" s="380" t="n">
        <x:f>--(F1321&lt;='Estimator'!$B$7)</x:f>
        <x:v>1</x:v>
      </x:c>
      <x:c r="H1321" s="381" t="n">
        <x:f>SUMIFS('Climate Data'!$G$7:$G$366,'Climate Data'!$A$7:$A$366,'Estimator'!$B$4,'Climate Data'!$B$7:$B$366,C1321)</x:f>
        <x:v>0.47274749721913234</x:v>
      </x:c>
      <x:c r="I1321" s="382" t="n">
        <x:f>SUMIFS('Climate Data'!$H$7:$H$366,'Climate Data'!$A$7:$A$366,'Estimator'!$B$4,'Climate Data'!$B$7:$B$366,C1321)</x:f>
        <x:v>7.9971764705882356</x:v>
      </x:c>
      <x:c r="J1321" s="381" t="n">
        <x:f>SUMIFS('Wind Proxy'!$H$8:$H$19,'Wind Proxy'!$A$8:$A$19,'Estimator'!$B$4,'Wind Proxy'!$B$8:$B$19,C1321)</x:f>
        <x:v>0.13739545997610514</x:v>
      </x:c>
    </x:row>
    <x:row r="1322">
      <x:c r="A1322" s="379" t="n">
        <x:v>46973</x:v>
      </x:c>
      <x:c r="B1322" s="380" t="n">
        <x:v>2028</x:v>
      </x:c>
      <x:c r="C1322" s="380" t="n">
        <x:v>8</x:v>
      </x:c>
      <x:c r="D1322" s="380" t="str">
        <x:v>Aug</x:v>
      </x:c>
      <x:c r="E1322" s="380" t="n">
        <x:v>8</x:v>
      </x:c>
      <x:c r="F1322" s="380" t="n">
        <x:v>2</x:v>
      </x:c>
      <x:c r="G1322" s="380" t="n">
        <x:f>--(F1322&lt;='Estimator'!$B$7)</x:f>
        <x:v>1</x:v>
      </x:c>
      <x:c r="H1322" s="381" t="n">
        <x:f>SUMIFS('Climate Data'!$G$7:$G$366,'Climate Data'!$A$7:$A$366,'Estimator'!$B$4,'Climate Data'!$B$7:$B$366,C1322)</x:f>
        <x:v>0.47274749721913234</x:v>
      </x:c>
      <x:c r="I1322" s="382" t="n">
        <x:f>SUMIFS('Climate Data'!$H$7:$H$366,'Climate Data'!$A$7:$A$366,'Estimator'!$B$4,'Climate Data'!$B$7:$B$366,C1322)</x:f>
        <x:v>7.9971764705882356</x:v>
      </x:c>
      <x:c r="J1322" s="381" t="n">
        <x:f>SUMIFS('Wind Proxy'!$H$8:$H$19,'Wind Proxy'!$A$8:$A$19,'Estimator'!$B$4,'Wind Proxy'!$B$8:$B$19,C1322)</x:f>
        <x:v>0.13739545997610514</x:v>
      </x:c>
    </x:row>
    <x:row r="1323">
      <x:c r="A1323" s="379" t="n">
        <x:v>46974</x:v>
      </x:c>
      <x:c r="B1323" s="380" t="n">
        <x:v>2028</x:v>
      </x:c>
      <x:c r="C1323" s="380" t="n">
        <x:v>8</x:v>
      </x:c>
      <x:c r="D1323" s="380" t="str">
        <x:v>Aug</x:v>
      </x:c>
      <x:c r="E1323" s="380" t="n">
        <x:v>9</x:v>
      </x:c>
      <x:c r="F1323" s="380" t="n">
        <x:v>3</x:v>
      </x:c>
      <x:c r="G1323" s="380" t="n">
        <x:f>--(F1323&lt;='Estimator'!$B$7)</x:f>
        <x:v>1</x:v>
      </x:c>
      <x:c r="H1323" s="381" t="n">
        <x:f>SUMIFS('Climate Data'!$G$7:$G$366,'Climate Data'!$A$7:$A$366,'Estimator'!$B$4,'Climate Data'!$B$7:$B$366,C1323)</x:f>
        <x:v>0.47274749721913234</x:v>
      </x:c>
      <x:c r="I1323" s="382" t="n">
        <x:f>SUMIFS('Climate Data'!$H$7:$H$366,'Climate Data'!$A$7:$A$366,'Estimator'!$B$4,'Climate Data'!$B$7:$B$366,C1323)</x:f>
        <x:v>7.9971764705882356</x:v>
      </x:c>
      <x:c r="J1323" s="381" t="n">
        <x:f>SUMIFS('Wind Proxy'!$H$8:$H$19,'Wind Proxy'!$A$8:$A$19,'Estimator'!$B$4,'Wind Proxy'!$B$8:$B$19,C1323)</x:f>
        <x:v>0.13739545997610514</x:v>
      </x:c>
    </x:row>
    <x:row r="1324">
      <x:c r="A1324" s="379" t="n">
        <x:v>46975</x:v>
      </x:c>
      <x:c r="B1324" s="380" t="n">
        <x:v>2028</x:v>
      </x:c>
      <x:c r="C1324" s="380" t="n">
        <x:v>8</x:v>
      </x:c>
      <x:c r="D1324" s="380" t="str">
        <x:v>Aug</x:v>
      </x:c>
      <x:c r="E1324" s="380" t="n">
        <x:v>10</x:v>
      </x:c>
      <x:c r="F1324" s="380" t="n">
        <x:v>4</x:v>
      </x:c>
      <x:c r="G1324" s="380" t="n">
        <x:f>--(F1324&lt;='Estimator'!$B$7)</x:f>
        <x:v>1</x:v>
      </x:c>
      <x:c r="H1324" s="381" t="n">
        <x:f>SUMIFS('Climate Data'!$G$7:$G$366,'Climate Data'!$A$7:$A$366,'Estimator'!$B$4,'Climate Data'!$B$7:$B$366,C1324)</x:f>
        <x:v>0.47274749721913234</x:v>
      </x:c>
      <x:c r="I1324" s="382" t="n">
        <x:f>SUMIFS('Climate Data'!$H$7:$H$366,'Climate Data'!$A$7:$A$366,'Estimator'!$B$4,'Climate Data'!$B$7:$B$366,C1324)</x:f>
        <x:v>7.9971764705882356</x:v>
      </x:c>
      <x:c r="J1324" s="381" t="n">
        <x:f>SUMIFS('Wind Proxy'!$H$8:$H$19,'Wind Proxy'!$A$8:$A$19,'Estimator'!$B$4,'Wind Proxy'!$B$8:$B$19,C1324)</x:f>
        <x:v>0.13739545997610514</x:v>
      </x:c>
    </x:row>
    <x:row r="1325">
      <x:c r="A1325" s="379" t="n">
        <x:v>46976</x:v>
      </x:c>
      <x:c r="B1325" s="380" t="n">
        <x:v>2028</x:v>
      </x:c>
      <x:c r="C1325" s="380" t="n">
        <x:v>8</x:v>
      </x:c>
      <x:c r="D1325" s="380" t="str">
        <x:v>Aug</x:v>
      </x:c>
      <x:c r="E1325" s="380" t="n">
        <x:v>11</x:v>
      </x:c>
      <x:c r="F1325" s="380" t="n">
        <x:v>5</x:v>
      </x:c>
      <x:c r="G1325" s="380" t="n">
        <x:f>--(F1325&lt;='Estimator'!$B$7)</x:f>
        <x:v>1</x:v>
      </x:c>
      <x:c r="H1325" s="381" t="n">
        <x:f>SUMIFS('Climate Data'!$G$7:$G$366,'Climate Data'!$A$7:$A$366,'Estimator'!$B$4,'Climate Data'!$B$7:$B$366,C1325)</x:f>
        <x:v>0.47274749721913234</x:v>
      </x:c>
      <x:c r="I1325" s="382" t="n">
        <x:f>SUMIFS('Climate Data'!$H$7:$H$366,'Climate Data'!$A$7:$A$366,'Estimator'!$B$4,'Climate Data'!$B$7:$B$366,C1325)</x:f>
        <x:v>7.9971764705882356</x:v>
      </x:c>
      <x:c r="J1325" s="381" t="n">
        <x:f>SUMIFS('Wind Proxy'!$H$8:$H$19,'Wind Proxy'!$A$8:$A$19,'Estimator'!$B$4,'Wind Proxy'!$B$8:$B$19,C1325)</x:f>
        <x:v>0.13739545997610514</x:v>
      </x:c>
    </x:row>
    <x:row r="1326">
      <x:c r="A1326" s="379" t="n">
        <x:v>46977</x:v>
      </x:c>
      <x:c r="B1326" s="380" t="n">
        <x:v>2028</x:v>
      </x:c>
      <x:c r="C1326" s="380" t="n">
        <x:v>8</x:v>
      </x:c>
      <x:c r="D1326" s="380" t="str">
        <x:v>Aug</x:v>
      </x:c>
      <x:c r="E1326" s="380" t="n">
        <x:v>12</x:v>
      </x:c>
      <x:c r="F1326" s="380" t="n">
        <x:v>6</x:v>
      </x:c>
      <x:c r="G1326" s="380" t="n">
        <x:f>--(F1326&lt;='Estimator'!$B$7)</x:f>
        <x:v>0</x:v>
      </x:c>
      <x:c r="H1326" s="381" t="n">
        <x:f>SUMIFS('Climate Data'!$G$7:$G$366,'Climate Data'!$A$7:$A$366,'Estimator'!$B$4,'Climate Data'!$B$7:$B$366,C1326)</x:f>
        <x:v>0.47274749721913234</x:v>
      </x:c>
      <x:c r="I1326" s="382" t="n">
        <x:f>SUMIFS('Climate Data'!$H$7:$H$366,'Climate Data'!$A$7:$A$366,'Estimator'!$B$4,'Climate Data'!$B$7:$B$366,C1326)</x:f>
        <x:v>7.9971764705882356</x:v>
      </x:c>
      <x:c r="J1326" s="381" t="n">
        <x:f>SUMIFS('Wind Proxy'!$H$8:$H$19,'Wind Proxy'!$A$8:$A$19,'Estimator'!$B$4,'Wind Proxy'!$B$8:$B$19,C1326)</x:f>
        <x:v>0.13739545997610514</x:v>
      </x:c>
    </x:row>
    <x:row r="1327">
      <x:c r="A1327" s="379" t="n">
        <x:v>46978</x:v>
      </x:c>
      <x:c r="B1327" s="380" t="n">
        <x:v>2028</x:v>
      </x:c>
      <x:c r="C1327" s="380" t="n">
        <x:v>8</x:v>
      </x:c>
      <x:c r="D1327" s="380" t="str">
        <x:v>Aug</x:v>
      </x:c>
      <x:c r="E1327" s="380" t="n">
        <x:v>13</x:v>
      </x:c>
      <x:c r="F1327" s="380" t="n">
        <x:v>7</x:v>
      </x:c>
      <x:c r="G1327" s="380" t="n">
        <x:f>--(F1327&lt;='Estimator'!$B$7)</x:f>
        <x:v>0</x:v>
      </x:c>
      <x:c r="H1327" s="381" t="n">
        <x:f>SUMIFS('Climate Data'!$G$7:$G$366,'Climate Data'!$A$7:$A$366,'Estimator'!$B$4,'Climate Data'!$B$7:$B$366,C1327)</x:f>
        <x:v>0.47274749721913234</x:v>
      </x:c>
      <x:c r="I1327" s="382" t="n">
        <x:f>SUMIFS('Climate Data'!$H$7:$H$366,'Climate Data'!$A$7:$A$366,'Estimator'!$B$4,'Climate Data'!$B$7:$B$366,C1327)</x:f>
        <x:v>7.9971764705882356</x:v>
      </x:c>
      <x:c r="J1327" s="381" t="n">
        <x:f>SUMIFS('Wind Proxy'!$H$8:$H$19,'Wind Proxy'!$A$8:$A$19,'Estimator'!$B$4,'Wind Proxy'!$B$8:$B$19,C1327)</x:f>
        <x:v>0.13739545997610514</x:v>
      </x:c>
    </x:row>
    <x:row r="1328">
      <x:c r="A1328" s="379" t="n">
        <x:v>46979</x:v>
      </x:c>
      <x:c r="B1328" s="380" t="n">
        <x:v>2028</x:v>
      </x:c>
      <x:c r="C1328" s="380" t="n">
        <x:v>8</x:v>
      </x:c>
      <x:c r="D1328" s="380" t="str">
        <x:v>Aug</x:v>
      </x:c>
      <x:c r="E1328" s="380" t="n">
        <x:v>14</x:v>
      </x:c>
      <x:c r="F1328" s="380" t="n">
        <x:v>1</x:v>
      </x:c>
      <x:c r="G1328" s="380" t="n">
        <x:f>--(F1328&lt;='Estimator'!$B$7)</x:f>
        <x:v>1</x:v>
      </x:c>
      <x:c r="H1328" s="381" t="n">
        <x:f>SUMIFS('Climate Data'!$G$7:$G$366,'Climate Data'!$A$7:$A$366,'Estimator'!$B$4,'Climate Data'!$B$7:$B$366,C1328)</x:f>
        <x:v>0.47274749721913234</x:v>
      </x:c>
      <x:c r="I1328" s="382" t="n">
        <x:f>SUMIFS('Climate Data'!$H$7:$H$366,'Climate Data'!$A$7:$A$366,'Estimator'!$B$4,'Climate Data'!$B$7:$B$366,C1328)</x:f>
        <x:v>7.9971764705882356</x:v>
      </x:c>
      <x:c r="J1328" s="381" t="n">
        <x:f>SUMIFS('Wind Proxy'!$H$8:$H$19,'Wind Proxy'!$A$8:$A$19,'Estimator'!$B$4,'Wind Proxy'!$B$8:$B$19,C1328)</x:f>
        <x:v>0.13739545997610514</x:v>
      </x:c>
    </x:row>
    <x:row r="1329">
      <x:c r="A1329" s="379" t="n">
        <x:v>46980</x:v>
      </x:c>
      <x:c r="B1329" s="380" t="n">
        <x:v>2028</x:v>
      </x:c>
      <x:c r="C1329" s="380" t="n">
        <x:v>8</x:v>
      </x:c>
      <x:c r="D1329" s="380" t="str">
        <x:v>Aug</x:v>
      </x:c>
      <x:c r="E1329" s="380" t="n">
        <x:v>15</x:v>
      </x:c>
      <x:c r="F1329" s="380" t="n">
        <x:v>2</x:v>
      </x:c>
      <x:c r="G1329" s="380" t="n">
        <x:f>--(F1329&lt;='Estimator'!$B$7)</x:f>
        <x:v>1</x:v>
      </x:c>
      <x:c r="H1329" s="381" t="n">
        <x:f>SUMIFS('Climate Data'!$G$7:$G$366,'Climate Data'!$A$7:$A$366,'Estimator'!$B$4,'Climate Data'!$B$7:$B$366,C1329)</x:f>
        <x:v>0.47274749721913234</x:v>
      </x:c>
      <x:c r="I1329" s="382" t="n">
        <x:f>SUMIFS('Climate Data'!$H$7:$H$366,'Climate Data'!$A$7:$A$366,'Estimator'!$B$4,'Climate Data'!$B$7:$B$366,C1329)</x:f>
        <x:v>7.9971764705882356</x:v>
      </x:c>
      <x:c r="J1329" s="381" t="n">
        <x:f>SUMIFS('Wind Proxy'!$H$8:$H$19,'Wind Proxy'!$A$8:$A$19,'Estimator'!$B$4,'Wind Proxy'!$B$8:$B$19,C1329)</x:f>
        <x:v>0.13739545997610514</x:v>
      </x:c>
    </x:row>
    <x:row r="1330">
      <x:c r="A1330" s="379" t="n">
        <x:v>46981</x:v>
      </x:c>
      <x:c r="B1330" s="380" t="n">
        <x:v>2028</x:v>
      </x:c>
      <x:c r="C1330" s="380" t="n">
        <x:v>8</x:v>
      </x:c>
      <x:c r="D1330" s="380" t="str">
        <x:v>Aug</x:v>
      </x:c>
      <x:c r="E1330" s="380" t="n">
        <x:v>16</x:v>
      </x:c>
      <x:c r="F1330" s="380" t="n">
        <x:v>3</x:v>
      </x:c>
      <x:c r="G1330" s="380" t="n">
        <x:f>--(F1330&lt;='Estimator'!$B$7)</x:f>
        <x:v>1</x:v>
      </x:c>
      <x:c r="H1330" s="381" t="n">
        <x:f>SUMIFS('Climate Data'!$G$7:$G$366,'Climate Data'!$A$7:$A$366,'Estimator'!$B$4,'Climate Data'!$B$7:$B$366,C1330)</x:f>
        <x:v>0.47274749721913234</x:v>
      </x:c>
      <x:c r="I1330" s="382" t="n">
        <x:f>SUMIFS('Climate Data'!$H$7:$H$366,'Climate Data'!$A$7:$A$366,'Estimator'!$B$4,'Climate Data'!$B$7:$B$366,C1330)</x:f>
        <x:v>7.9971764705882356</x:v>
      </x:c>
      <x:c r="J1330" s="381" t="n">
        <x:f>SUMIFS('Wind Proxy'!$H$8:$H$19,'Wind Proxy'!$A$8:$A$19,'Estimator'!$B$4,'Wind Proxy'!$B$8:$B$19,C1330)</x:f>
        <x:v>0.13739545997610514</x:v>
      </x:c>
    </x:row>
    <x:row r="1331">
      <x:c r="A1331" s="379" t="n">
        <x:v>46982</x:v>
      </x:c>
      <x:c r="B1331" s="380" t="n">
        <x:v>2028</x:v>
      </x:c>
      <x:c r="C1331" s="380" t="n">
        <x:v>8</x:v>
      </x:c>
      <x:c r="D1331" s="380" t="str">
        <x:v>Aug</x:v>
      </x:c>
      <x:c r="E1331" s="380" t="n">
        <x:v>17</x:v>
      </x:c>
      <x:c r="F1331" s="380" t="n">
        <x:v>4</x:v>
      </x:c>
      <x:c r="G1331" s="380" t="n">
        <x:f>--(F1331&lt;='Estimator'!$B$7)</x:f>
        <x:v>1</x:v>
      </x:c>
      <x:c r="H1331" s="381" t="n">
        <x:f>SUMIFS('Climate Data'!$G$7:$G$366,'Climate Data'!$A$7:$A$366,'Estimator'!$B$4,'Climate Data'!$B$7:$B$366,C1331)</x:f>
        <x:v>0.47274749721913234</x:v>
      </x:c>
      <x:c r="I1331" s="382" t="n">
        <x:f>SUMIFS('Climate Data'!$H$7:$H$366,'Climate Data'!$A$7:$A$366,'Estimator'!$B$4,'Climate Data'!$B$7:$B$366,C1331)</x:f>
        <x:v>7.9971764705882356</x:v>
      </x:c>
      <x:c r="J1331" s="381" t="n">
        <x:f>SUMIFS('Wind Proxy'!$H$8:$H$19,'Wind Proxy'!$A$8:$A$19,'Estimator'!$B$4,'Wind Proxy'!$B$8:$B$19,C1331)</x:f>
        <x:v>0.13739545997610514</x:v>
      </x:c>
    </x:row>
    <x:row r="1332">
      <x:c r="A1332" s="379" t="n">
        <x:v>46983</x:v>
      </x:c>
      <x:c r="B1332" s="380" t="n">
        <x:v>2028</x:v>
      </x:c>
      <x:c r="C1332" s="380" t="n">
        <x:v>8</x:v>
      </x:c>
      <x:c r="D1332" s="380" t="str">
        <x:v>Aug</x:v>
      </x:c>
      <x:c r="E1332" s="380" t="n">
        <x:v>18</x:v>
      </x:c>
      <x:c r="F1332" s="380" t="n">
        <x:v>5</x:v>
      </x:c>
      <x:c r="G1332" s="380" t="n">
        <x:f>--(F1332&lt;='Estimator'!$B$7)</x:f>
        <x:v>1</x:v>
      </x:c>
      <x:c r="H1332" s="381" t="n">
        <x:f>SUMIFS('Climate Data'!$G$7:$G$366,'Climate Data'!$A$7:$A$366,'Estimator'!$B$4,'Climate Data'!$B$7:$B$366,C1332)</x:f>
        <x:v>0.47274749721913234</x:v>
      </x:c>
      <x:c r="I1332" s="382" t="n">
        <x:f>SUMIFS('Climate Data'!$H$7:$H$366,'Climate Data'!$A$7:$A$366,'Estimator'!$B$4,'Climate Data'!$B$7:$B$366,C1332)</x:f>
        <x:v>7.9971764705882356</x:v>
      </x:c>
      <x:c r="J1332" s="381" t="n">
        <x:f>SUMIFS('Wind Proxy'!$H$8:$H$19,'Wind Proxy'!$A$8:$A$19,'Estimator'!$B$4,'Wind Proxy'!$B$8:$B$19,C1332)</x:f>
        <x:v>0.13739545997610514</x:v>
      </x:c>
    </x:row>
    <x:row r="1333">
      <x:c r="A1333" s="379" t="n">
        <x:v>46984</x:v>
      </x:c>
      <x:c r="B1333" s="380" t="n">
        <x:v>2028</x:v>
      </x:c>
      <x:c r="C1333" s="380" t="n">
        <x:v>8</x:v>
      </x:c>
      <x:c r="D1333" s="380" t="str">
        <x:v>Aug</x:v>
      </x:c>
      <x:c r="E1333" s="380" t="n">
        <x:v>19</x:v>
      </x:c>
      <x:c r="F1333" s="380" t="n">
        <x:v>6</x:v>
      </x:c>
      <x:c r="G1333" s="380" t="n">
        <x:f>--(F1333&lt;='Estimator'!$B$7)</x:f>
        <x:v>0</x:v>
      </x:c>
      <x:c r="H1333" s="381" t="n">
        <x:f>SUMIFS('Climate Data'!$G$7:$G$366,'Climate Data'!$A$7:$A$366,'Estimator'!$B$4,'Climate Data'!$B$7:$B$366,C1333)</x:f>
        <x:v>0.47274749721913234</x:v>
      </x:c>
      <x:c r="I1333" s="382" t="n">
        <x:f>SUMIFS('Climate Data'!$H$7:$H$366,'Climate Data'!$A$7:$A$366,'Estimator'!$B$4,'Climate Data'!$B$7:$B$366,C1333)</x:f>
        <x:v>7.9971764705882356</x:v>
      </x:c>
      <x:c r="J1333" s="381" t="n">
        <x:f>SUMIFS('Wind Proxy'!$H$8:$H$19,'Wind Proxy'!$A$8:$A$19,'Estimator'!$B$4,'Wind Proxy'!$B$8:$B$19,C1333)</x:f>
        <x:v>0.13739545997610514</x:v>
      </x:c>
    </x:row>
    <x:row r="1334">
      <x:c r="A1334" s="379" t="n">
        <x:v>46985</x:v>
      </x:c>
      <x:c r="B1334" s="380" t="n">
        <x:v>2028</x:v>
      </x:c>
      <x:c r="C1334" s="380" t="n">
        <x:v>8</x:v>
      </x:c>
      <x:c r="D1334" s="380" t="str">
        <x:v>Aug</x:v>
      </x:c>
      <x:c r="E1334" s="380" t="n">
        <x:v>20</x:v>
      </x:c>
      <x:c r="F1334" s="380" t="n">
        <x:v>7</x:v>
      </x:c>
      <x:c r="G1334" s="380" t="n">
        <x:f>--(F1334&lt;='Estimator'!$B$7)</x:f>
        <x:v>0</x:v>
      </x:c>
      <x:c r="H1334" s="381" t="n">
        <x:f>SUMIFS('Climate Data'!$G$7:$G$366,'Climate Data'!$A$7:$A$366,'Estimator'!$B$4,'Climate Data'!$B$7:$B$366,C1334)</x:f>
        <x:v>0.47274749721913234</x:v>
      </x:c>
      <x:c r="I1334" s="382" t="n">
        <x:f>SUMIFS('Climate Data'!$H$7:$H$366,'Climate Data'!$A$7:$A$366,'Estimator'!$B$4,'Climate Data'!$B$7:$B$366,C1334)</x:f>
        <x:v>7.9971764705882356</x:v>
      </x:c>
      <x:c r="J1334" s="381" t="n">
        <x:f>SUMIFS('Wind Proxy'!$H$8:$H$19,'Wind Proxy'!$A$8:$A$19,'Estimator'!$B$4,'Wind Proxy'!$B$8:$B$19,C1334)</x:f>
        <x:v>0.13739545997610514</x:v>
      </x:c>
    </x:row>
    <x:row r="1335">
      <x:c r="A1335" s="379" t="n">
        <x:v>46986</x:v>
      </x:c>
      <x:c r="B1335" s="380" t="n">
        <x:v>2028</x:v>
      </x:c>
      <x:c r="C1335" s="380" t="n">
        <x:v>8</x:v>
      </x:c>
      <x:c r="D1335" s="380" t="str">
        <x:v>Aug</x:v>
      </x:c>
      <x:c r="E1335" s="380" t="n">
        <x:v>21</x:v>
      </x:c>
      <x:c r="F1335" s="380" t="n">
        <x:v>1</x:v>
      </x:c>
      <x:c r="G1335" s="380" t="n">
        <x:f>--(F1335&lt;='Estimator'!$B$7)</x:f>
        <x:v>1</x:v>
      </x:c>
      <x:c r="H1335" s="381" t="n">
        <x:f>SUMIFS('Climate Data'!$G$7:$G$366,'Climate Data'!$A$7:$A$366,'Estimator'!$B$4,'Climate Data'!$B$7:$B$366,C1335)</x:f>
        <x:v>0.47274749721913234</x:v>
      </x:c>
      <x:c r="I1335" s="382" t="n">
        <x:f>SUMIFS('Climate Data'!$H$7:$H$366,'Climate Data'!$A$7:$A$366,'Estimator'!$B$4,'Climate Data'!$B$7:$B$366,C1335)</x:f>
        <x:v>7.9971764705882356</x:v>
      </x:c>
      <x:c r="J1335" s="381" t="n">
        <x:f>SUMIFS('Wind Proxy'!$H$8:$H$19,'Wind Proxy'!$A$8:$A$19,'Estimator'!$B$4,'Wind Proxy'!$B$8:$B$19,C1335)</x:f>
        <x:v>0.13739545997610514</x:v>
      </x:c>
    </x:row>
    <x:row r="1336">
      <x:c r="A1336" s="379" t="n">
        <x:v>46987</x:v>
      </x:c>
      <x:c r="B1336" s="380" t="n">
        <x:v>2028</x:v>
      </x:c>
      <x:c r="C1336" s="380" t="n">
        <x:v>8</x:v>
      </x:c>
      <x:c r="D1336" s="380" t="str">
        <x:v>Aug</x:v>
      </x:c>
      <x:c r="E1336" s="380" t="n">
        <x:v>22</x:v>
      </x:c>
      <x:c r="F1336" s="380" t="n">
        <x:v>2</x:v>
      </x:c>
      <x:c r="G1336" s="380" t="n">
        <x:f>--(F1336&lt;='Estimator'!$B$7)</x:f>
        <x:v>1</x:v>
      </x:c>
      <x:c r="H1336" s="381" t="n">
        <x:f>SUMIFS('Climate Data'!$G$7:$G$366,'Climate Data'!$A$7:$A$366,'Estimator'!$B$4,'Climate Data'!$B$7:$B$366,C1336)</x:f>
        <x:v>0.47274749721913234</x:v>
      </x:c>
      <x:c r="I1336" s="382" t="n">
        <x:f>SUMIFS('Climate Data'!$H$7:$H$366,'Climate Data'!$A$7:$A$366,'Estimator'!$B$4,'Climate Data'!$B$7:$B$366,C1336)</x:f>
        <x:v>7.9971764705882356</x:v>
      </x:c>
      <x:c r="J1336" s="381" t="n">
        <x:f>SUMIFS('Wind Proxy'!$H$8:$H$19,'Wind Proxy'!$A$8:$A$19,'Estimator'!$B$4,'Wind Proxy'!$B$8:$B$19,C1336)</x:f>
        <x:v>0.13739545997610514</x:v>
      </x:c>
    </x:row>
    <x:row r="1337">
      <x:c r="A1337" s="379" t="n">
        <x:v>46988</x:v>
      </x:c>
      <x:c r="B1337" s="380" t="n">
        <x:v>2028</x:v>
      </x:c>
      <x:c r="C1337" s="380" t="n">
        <x:v>8</x:v>
      </x:c>
      <x:c r="D1337" s="380" t="str">
        <x:v>Aug</x:v>
      </x:c>
      <x:c r="E1337" s="380" t="n">
        <x:v>23</x:v>
      </x:c>
      <x:c r="F1337" s="380" t="n">
        <x:v>3</x:v>
      </x:c>
      <x:c r="G1337" s="380" t="n">
        <x:f>--(F1337&lt;='Estimator'!$B$7)</x:f>
        <x:v>1</x:v>
      </x:c>
      <x:c r="H1337" s="381" t="n">
        <x:f>SUMIFS('Climate Data'!$G$7:$G$366,'Climate Data'!$A$7:$A$366,'Estimator'!$B$4,'Climate Data'!$B$7:$B$366,C1337)</x:f>
        <x:v>0.47274749721913234</x:v>
      </x:c>
      <x:c r="I1337" s="382" t="n">
        <x:f>SUMIFS('Climate Data'!$H$7:$H$366,'Climate Data'!$A$7:$A$366,'Estimator'!$B$4,'Climate Data'!$B$7:$B$366,C1337)</x:f>
        <x:v>7.9971764705882356</x:v>
      </x:c>
      <x:c r="J1337" s="381" t="n">
        <x:f>SUMIFS('Wind Proxy'!$H$8:$H$19,'Wind Proxy'!$A$8:$A$19,'Estimator'!$B$4,'Wind Proxy'!$B$8:$B$19,C1337)</x:f>
        <x:v>0.13739545997610514</x:v>
      </x:c>
    </x:row>
    <x:row r="1338">
      <x:c r="A1338" s="379" t="n">
        <x:v>46989</x:v>
      </x:c>
      <x:c r="B1338" s="380" t="n">
        <x:v>2028</x:v>
      </x:c>
      <x:c r="C1338" s="380" t="n">
        <x:v>8</x:v>
      </x:c>
      <x:c r="D1338" s="380" t="str">
        <x:v>Aug</x:v>
      </x:c>
      <x:c r="E1338" s="380" t="n">
        <x:v>24</x:v>
      </x:c>
      <x:c r="F1338" s="380" t="n">
        <x:v>4</x:v>
      </x:c>
      <x:c r="G1338" s="380" t="n">
        <x:f>--(F1338&lt;='Estimator'!$B$7)</x:f>
        <x:v>1</x:v>
      </x:c>
      <x:c r="H1338" s="381" t="n">
        <x:f>SUMIFS('Climate Data'!$G$7:$G$366,'Climate Data'!$A$7:$A$366,'Estimator'!$B$4,'Climate Data'!$B$7:$B$366,C1338)</x:f>
        <x:v>0.47274749721913234</x:v>
      </x:c>
      <x:c r="I1338" s="382" t="n">
        <x:f>SUMIFS('Climate Data'!$H$7:$H$366,'Climate Data'!$A$7:$A$366,'Estimator'!$B$4,'Climate Data'!$B$7:$B$366,C1338)</x:f>
        <x:v>7.9971764705882356</x:v>
      </x:c>
      <x:c r="J1338" s="381" t="n">
        <x:f>SUMIFS('Wind Proxy'!$H$8:$H$19,'Wind Proxy'!$A$8:$A$19,'Estimator'!$B$4,'Wind Proxy'!$B$8:$B$19,C1338)</x:f>
        <x:v>0.13739545997610514</x:v>
      </x:c>
    </x:row>
    <x:row r="1339">
      <x:c r="A1339" s="379" t="n">
        <x:v>46990</x:v>
      </x:c>
      <x:c r="B1339" s="380" t="n">
        <x:v>2028</x:v>
      </x:c>
      <x:c r="C1339" s="380" t="n">
        <x:v>8</x:v>
      </x:c>
      <x:c r="D1339" s="380" t="str">
        <x:v>Aug</x:v>
      </x:c>
      <x:c r="E1339" s="380" t="n">
        <x:v>25</x:v>
      </x:c>
      <x:c r="F1339" s="380" t="n">
        <x:v>5</x:v>
      </x:c>
      <x:c r="G1339" s="380" t="n">
        <x:f>--(F1339&lt;='Estimator'!$B$7)</x:f>
        <x:v>1</x:v>
      </x:c>
      <x:c r="H1339" s="381" t="n">
        <x:f>SUMIFS('Climate Data'!$G$7:$G$366,'Climate Data'!$A$7:$A$366,'Estimator'!$B$4,'Climate Data'!$B$7:$B$366,C1339)</x:f>
        <x:v>0.47274749721913234</x:v>
      </x:c>
      <x:c r="I1339" s="382" t="n">
        <x:f>SUMIFS('Climate Data'!$H$7:$H$366,'Climate Data'!$A$7:$A$366,'Estimator'!$B$4,'Climate Data'!$B$7:$B$366,C1339)</x:f>
        <x:v>7.9971764705882356</x:v>
      </x:c>
      <x:c r="J1339" s="381" t="n">
        <x:f>SUMIFS('Wind Proxy'!$H$8:$H$19,'Wind Proxy'!$A$8:$A$19,'Estimator'!$B$4,'Wind Proxy'!$B$8:$B$19,C1339)</x:f>
        <x:v>0.13739545997610514</x:v>
      </x:c>
    </x:row>
    <x:row r="1340">
      <x:c r="A1340" s="379" t="n">
        <x:v>46991</x:v>
      </x:c>
      <x:c r="B1340" s="380" t="n">
        <x:v>2028</x:v>
      </x:c>
      <x:c r="C1340" s="380" t="n">
        <x:v>8</x:v>
      </x:c>
      <x:c r="D1340" s="380" t="str">
        <x:v>Aug</x:v>
      </x:c>
      <x:c r="E1340" s="380" t="n">
        <x:v>26</x:v>
      </x:c>
      <x:c r="F1340" s="380" t="n">
        <x:v>6</x:v>
      </x:c>
      <x:c r="G1340" s="380" t="n">
        <x:f>--(F1340&lt;='Estimator'!$B$7)</x:f>
        <x:v>0</x:v>
      </x:c>
      <x:c r="H1340" s="381" t="n">
        <x:f>SUMIFS('Climate Data'!$G$7:$G$366,'Climate Data'!$A$7:$A$366,'Estimator'!$B$4,'Climate Data'!$B$7:$B$366,C1340)</x:f>
        <x:v>0.47274749721913234</x:v>
      </x:c>
      <x:c r="I1340" s="382" t="n">
        <x:f>SUMIFS('Climate Data'!$H$7:$H$366,'Climate Data'!$A$7:$A$366,'Estimator'!$B$4,'Climate Data'!$B$7:$B$366,C1340)</x:f>
        <x:v>7.9971764705882356</x:v>
      </x:c>
      <x:c r="J1340" s="381" t="n">
        <x:f>SUMIFS('Wind Proxy'!$H$8:$H$19,'Wind Proxy'!$A$8:$A$19,'Estimator'!$B$4,'Wind Proxy'!$B$8:$B$19,C1340)</x:f>
        <x:v>0.13739545997610514</x:v>
      </x:c>
    </x:row>
    <x:row r="1341">
      <x:c r="A1341" s="379" t="n">
        <x:v>46992</x:v>
      </x:c>
      <x:c r="B1341" s="380" t="n">
        <x:v>2028</x:v>
      </x:c>
      <x:c r="C1341" s="380" t="n">
        <x:v>8</x:v>
      </x:c>
      <x:c r="D1341" s="380" t="str">
        <x:v>Aug</x:v>
      </x:c>
      <x:c r="E1341" s="380" t="n">
        <x:v>27</x:v>
      </x:c>
      <x:c r="F1341" s="380" t="n">
        <x:v>7</x:v>
      </x:c>
      <x:c r="G1341" s="380" t="n">
        <x:f>--(F1341&lt;='Estimator'!$B$7)</x:f>
        <x:v>0</x:v>
      </x:c>
      <x:c r="H1341" s="381" t="n">
        <x:f>SUMIFS('Climate Data'!$G$7:$G$366,'Climate Data'!$A$7:$A$366,'Estimator'!$B$4,'Climate Data'!$B$7:$B$366,C1341)</x:f>
        <x:v>0.47274749721913234</x:v>
      </x:c>
      <x:c r="I1341" s="382" t="n">
        <x:f>SUMIFS('Climate Data'!$H$7:$H$366,'Climate Data'!$A$7:$A$366,'Estimator'!$B$4,'Climate Data'!$B$7:$B$366,C1341)</x:f>
        <x:v>7.9971764705882356</x:v>
      </x:c>
      <x:c r="J1341" s="381" t="n">
        <x:f>SUMIFS('Wind Proxy'!$H$8:$H$19,'Wind Proxy'!$A$8:$A$19,'Estimator'!$B$4,'Wind Proxy'!$B$8:$B$19,C1341)</x:f>
        <x:v>0.13739545997610514</x:v>
      </x:c>
    </x:row>
    <x:row r="1342">
      <x:c r="A1342" s="379" t="n">
        <x:v>46993</x:v>
      </x:c>
      <x:c r="B1342" s="380" t="n">
        <x:v>2028</x:v>
      </x:c>
      <x:c r="C1342" s="380" t="n">
        <x:v>8</x:v>
      </x:c>
      <x:c r="D1342" s="380" t="str">
        <x:v>Aug</x:v>
      </x:c>
      <x:c r="E1342" s="380" t="n">
        <x:v>28</x:v>
      </x:c>
      <x:c r="F1342" s="380" t="n">
        <x:v>1</x:v>
      </x:c>
      <x:c r="G1342" s="380" t="n">
        <x:f>--(F1342&lt;='Estimator'!$B$7)</x:f>
        <x:v>1</x:v>
      </x:c>
      <x:c r="H1342" s="381" t="n">
        <x:f>SUMIFS('Climate Data'!$G$7:$G$366,'Climate Data'!$A$7:$A$366,'Estimator'!$B$4,'Climate Data'!$B$7:$B$366,C1342)</x:f>
        <x:v>0.47274749721913234</x:v>
      </x:c>
      <x:c r="I1342" s="382" t="n">
        <x:f>SUMIFS('Climate Data'!$H$7:$H$366,'Climate Data'!$A$7:$A$366,'Estimator'!$B$4,'Climate Data'!$B$7:$B$366,C1342)</x:f>
        <x:v>7.9971764705882356</x:v>
      </x:c>
      <x:c r="J1342" s="381" t="n">
        <x:f>SUMIFS('Wind Proxy'!$H$8:$H$19,'Wind Proxy'!$A$8:$A$19,'Estimator'!$B$4,'Wind Proxy'!$B$8:$B$19,C1342)</x:f>
        <x:v>0.13739545997610514</x:v>
      </x:c>
    </x:row>
    <x:row r="1343">
      <x:c r="A1343" s="379" t="n">
        <x:v>46994</x:v>
      </x:c>
      <x:c r="B1343" s="380" t="n">
        <x:v>2028</x:v>
      </x:c>
      <x:c r="C1343" s="380" t="n">
        <x:v>8</x:v>
      </x:c>
      <x:c r="D1343" s="380" t="str">
        <x:v>Aug</x:v>
      </x:c>
      <x:c r="E1343" s="380" t="n">
        <x:v>29</x:v>
      </x:c>
      <x:c r="F1343" s="380" t="n">
        <x:v>2</x:v>
      </x:c>
      <x:c r="G1343" s="380" t="n">
        <x:f>--(F1343&lt;='Estimator'!$B$7)</x:f>
        <x:v>1</x:v>
      </x:c>
      <x:c r="H1343" s="381" t="n">
        <x:f>SUMIFS('Climate Data'!$G$7:$G$366,'Climate Data'!$A$7:$A$366,'Estimator'!$B$4,'Climate Data'!$B$7:$B$366,C1343)</x:f>
        <x:v>0.47274749721913234</x:v>
      </x:c>
      <x:c r="I1343" s="382" t="n">
        <x:f>SUMIFS('Climate Data'!$H$7:$H$366,'Climate Data'!$A$7:$A$366,'Estimator'!$B$4,'Climate Data'!$B$7:$B$366,C1343)</x:f>
        <x:v>7.9971764705882356</x:v>
      </x:c>
      <x:c r="J1343" s="381" t="n">
        <x:f>SUMIFS('Wind Proxy'!$H$8:$H$19,'Wind Proxy'!$A$8:$A$19,'Estimator'!$B$4,'Wind Proxy'!$B$8:$B$19,C1343)</x:f>
        <x:v>0.13739545997610514</x:v>
      </x:c>
    </x:row>
    <x:row r="1344">
      <x:c r="A1344" s="379" t="n">
        <x:v>46995</x:v>
      </x:c>
      <x:c r="B1344" s="380" t="n">
        <x:v>2028</x:v>
      </x:c>
      <x:c r="C1344" s="380" t="n">
        <x:v>8</x:v>
      </x:c>
      <x:c r="D1344" s="380" t="str">
        <x:v>Aug</x:v>
      </x:c>
      <x:c r="E1344" s="380" t="n">
        <x:v>30</x:v>
      </x:c>
      <x:c r="F1344" s="380" t="n">
        <x:v>3</x:v>
      </x:c>
      <x:c r="G1344" s="380" t="n">
        <x:f>--(F1344&lt;='Estimator'!$B$7)</x:f>
        <x:v>1</x:v>
      </x:c>
      <x:c r="H1344" s="381" t="n">
        <x:f>SUMIFS('Climate Data'!$G$7:$G$366,'Climate Data'!$A$7:$A$366,'Estimator'!$B$4,'Climate Data'!$B$7:$B$366,C1344)</x:f>
        <x:v>0.47274749721913234</x:v>
      </x:c>
      <x:c r="I1344" s="382" t="n">
        <x:f>SUMIFS('Climate Data'!$H$7:$H$366,'Climate Data'!$A$7:$A$366,'Estimator'!$B$4,'Climate Data'!$B$7:$B$366,C1344)</x:f>
        <x:v>7.9971764705882356</x:v>
      </x:c>
      <x:c r="J1344" s="381" t="n">
        <x:f>SUMIFS('Wind Proxy'!$H$8:$H$19,'Wind Proxy'!$A$8:$A$19,'Estimator'!$B$4,'Wind Proxy'!$B$8:$B$19,C1344)</x:f>
        <x:v>0.13739545997610514</x:v>
      </x:c>
    </x:row>
    <x:row r="1345">
      <x:c r="A1345" s="379" t="n">
        <x:v>46996</x:v>
      </x:c>
      <x:c r="B1345" s="380" t="n">
        <x:v>2028</x:v>
      </x:c>
      <x:c r="C1345" s="380" t="n">
        <x:v>8</x:v>
      </x:c>
      <x:c r="D1345" s="380" t="str">
        <x:v>Aug</x:v>
      </x:c>
      <x:c r="E1345" s="380" t="n">
        <x:v>31</x:v>
      </x:c>
      <x:c r="F1345" s="380" t="n">
        <x:v>4</x:v>
      </x:c>
      <x:c r="G1345" s="380" t="n">
        <x:f>--(F1345&lt;='Estimator'!$B$7)</x:f>
        <x:v>1</x:v>
      </x:c>
      <x:c r="H1345" s="381" t="n">
        <x:f>SUMIFS('Climate Data'!$G$7:$G$366,'Climate Data'!$A$7:$A$366,'Estimator'!$B$4,'Climate Data'!$B$7:$B$366,C1345)</x:f>
        <x:v>0.47274749721913234</x:v>
      </x:c>
      <x:c r="I1345" s="382" t="n">
        <x:f>SUMIFS('Climate Data'!$H$7:$H$366,'Climate Data'!$A$7:$A$366,'Estimator'!$B$4,'Climate Data'!$B$7:$B$366,C1345)</x:f>
        <x:v>7.9971764705882356</x:v>
      </x:c>
      <x:c r="J1345" s="381" t="n">
        <x:f>SUMIFS('Wind Proxy'!$H$8:$H$19,'Wind Proxy'!$A$8:$A$19,'Estimator'!$B$4,'Wind Proxy'!$B$8:$B$19,C1345)</x:f>
        <x:v>0.13739545997610514</x:v>
      </x:c>
    </x:row>
    <x:row r="1346">
      <x:c r="A1346" s="379" t="n">
        <x:v>46997</x:v>
      </x:c>
      <x:c r="B1346" s="380" t="n">
        <x:v>2028</x:v>
      </x:c>
      <x:c r="C1346" s="380" t="n">
        <x:v>9</x:v>
      </x:c>
      <x:c r="D1346" s="380" t="str">
        <x:v>Sep</x:v>
      </x:c>
      <x:c r="E1346" s="380" t="n">
        <x:v>1</x:v>
      </x:c>
      <x:c r="F1346" s="380" t="n">
        <x:v>5</x:v>
      </x:c>
      <x:c r="G1346" s="380" t="n">
        <x:f>--(F1346&lt;='Estimator'!$B$7)</x:f>
        <x:v>1</x:v>
      </x:c>
      <x:c r="H1346" s="381" t="n">
        <x:f>SUMIFS('Climate Data'!$G$7:$G$366,'Climate Data'!$A$7:$A$366,'Estimator'!$B$4,'Climate Data'!$B$7:$B$366,C1346)</x:f>
        <x:v>0.4160919540229885</x:v>
      </x:c>
      <x:c r="I1346" s="382" t="n">
        <x:f>SUMIFS('Climate Data'!$H$7:$H$366,'Climate Data'!$A$7:$A$366,'Estimator'!$B$4,'Climate Data'!$B$7:$B$366,C1346)</x:f>
        <x:v>8.019060773480662</x:v>
      </x:c>
      <x:c r="J1346" s="381" t="n">
        <x:f>SUMIFS('Wind Proxy'!$H$8:$H$19,'Wind Proxy'!$A$8:$A$19,'Estimator'!$B$4,'Wind Proxy'!$B$8:$B$19,C1346)</x:f>
        <x:v>0.22222222222222224</x:v>
      </x:c>
    </x:row>
    <x:row r="1347">
      <x:c r="A1347" s="379" t="n">
        <x:v>46998</x:v>
      </x:c>
      <x:c r="B1347" s="380" t="n">
        <x:v>2028</x:v>
      </x:c>
      <x:c r="C1347" s="380" t="n">
        <x:v>9</x:v>
      </x:c>
      <x:c r="D1347" s="380" t="str">
        <x:v>Sep</x:v>
      </x:c>
      <x:c r="E1347" s="380" t="n">
        <x:v>2</x:v>
      </x:c>
      <x:c r="F1347" s="380" t="n">
        <x:v>6</x:v>
      </x:c>
      <x:c r="G1347" s="380" t="n">
        <x:f>--(F1347&lt;='Estimator'!$B$7)</x:f>
        <x:v>0</x:v>
      </x:c>
      <x:c r="H1347" s="381" t="n">
        <x:f>SUMIFS('Climate Data'!$G$7:$G$366,'Climate Data'!$A$7:$A$366,'Estimator'!$B$4,'Climate Data'!$B$7:$B$366,C1347)</x:f>
        <x:v>0.4160919540229885</x:v>
      </x:c>
      <x:c r="I1347" s="382" t="n">
        <x:f>SUMIFS('Climate Data'!$H$7:$H$366,'Climate Data'!$A$7:$A$366,'Estimator'!$B$4,'Climate Data'!$B$7:$B$366,C1347)</x:f>
        <x:v>8.019060773480662</x:v>
      </x:c>
      <x:c r="J1347" s="381" t="n">
        <x:f>SUMIFS('Wind Proxy'!$H$8:$H$19,'Wind Proxy'!$A$8:$A$19,'Estimator'!$B$4,'Wind Proxy'!$B$8:$B$19,C1347)</x:f>
        <x:v>0.22222222222222224</x:v>
      </x:c>
    </x:row>
    <x:row r="1348">
      <x:c r="A1348" s="379" t="n">
        <x:v>46999</x:v>
      </x:c>
      <x:c r="B1348" s="380" t="n">
        <x:v>2028</x:v>
      </x:c>
      <x:c r="C1348" s="380" t="n">
        <x:v>9</x:v>
      </x:c>
      <x:c r="D1348" s="380" t="str">
        <x:v>Sep</x:v>
      </x:c>
      <x:c r="E1348" s="380" t="n">
        <x:v>3</x:v>
      </x:c>
      <x:c r="F1348" s="380" t="n">
        <x:v>7</x:v>
      </x:c>
      <x:c r="G1348" s="380" t="n">
        <x:f>--(F1348&lt;='Estimator'!$B$7)</x:f>
        <x:v>0</x:v>
      </x:c>
      <x:c r="H1348" s="381" t="n">
        <x:f>SUMIFS('Climate Data'!$G$7:$G$366,'Climate Data'!$A$7:$A$366,'Estimator'!$B$4,'Climate Data'!$B$7:$B$366,C1348)</x:f>
        <x:v>0.4160919540229885</x:v>
      </x:c>
      <x:c r="I1348" s="382" t="n">
        <x:f>SUMIFS('Climate Data'!$H$7:$H$366,'Climate Data'!$A$7:$A$366,'Estimator'!$B$4,'Climate Data'!$B$7:$B$366,C1348)</x:f>
        <x:v>8.019060773480662</x:v>
      </x:c>
      <x:c r="J1348" s="381" t="n">
        <x:f>SUMIFS('Wind Proxy'!$H$8:$H$19,'Wind Proxy'!$A$8:$A$19,'Estimator'!$B$4,'Wind Proxy'!$B$8:$B$19,C1348)</x:f>
        <x:v>0.22222222222222224</x:v>
      </x:c>
    </x:row>
    <x:row r="1349">
      <x:c r="A1349" s="379" t="n">
        <x:v>47000</x:v>
      </x:c>
      <x:c r="B1349" s="380" t="n">
        <x:v>2028</x:v>
      </x:c>
      <x:c r="C1349" s="380" t="n">
        <x:v>9</x:v>
      </x:c>
      <x:c r="D1349" s="380" t="str">
        <x:v>Sep</x:v>
      </x:c>
      <x:c r="E1349" s="380" t="n">
        <x:v>4</x:v>
      </x:c>
      <x:c r="F1349" s="380" t="n">
        <x:v>1</x:v>
      </x:c>
      <x:c r="G1349" s="380" t="n">
        <x:f>--(F1349&lt;='Estimator'!$B$7)</x:f>
        <x:v>1</x:v>
      </x:c>
      <x:c r="H1349" s="381" t="n">
        <x:f>SUMIFS('Climate Data'!$G$7:$G$366,'Climate Data'!$A$7:$A$366,'Estimator'!$B$4,'Climate Data'!$B$7:$B$366,C1349)</x:f>
        <x:v>0.4160919540229885</x:v>
      </x:c>
      <x:c r="I1349" s="382" t="n">
        <x:f>SUMIFS('Climate Data'!$H$7:$H$366,'Climate Data'!$A$7:$A$366,'Estimator'!$B$4,'Climate Data'!$B$7:$B$366,C1349)</x:f>
        <x:v>8.019060773480662</x:v>
      </x:c>
      <x:c r="J1349" s="381" t="n">
        <x:f>SUMIFS('Wind Proxy'!$H$8:$H$19,'Wind Proxy'!$A$8:$A$19,'Estimator'!$B$4,'Wind Proxy'!$B$8:$B$19,C1349)</x:f>
        <x:v>0.22222222222222224</x:v>
      </x:c>
    </x:row>
    <x:row r="1350">
      <x:c r="A1350" s="379" t="n">
        <x:v>47001</x:v>
      </x:c>
      <x:c r="B1350" s="380" t="n">
        <x:v>2028</x:v>
      </x:c>
      <x:c r="C1350" s="380" t="n">
        <x:v>9</x:v>
      </x:c>
      <x:c r="D1350" s="380" t="str">
        <x:v>Sep</x:v>
      </x:c>
      <x:c r="E1350" s="380" t="n">
        <x:v>5</x:v>
      </x:c>
      <x:c r="F1350" s="380" t="n">
        <x:v>2</x:v>
      </x:c>
      <x:c r="G1350" s="380" t="n">
        <x:f>--(F1350&lt;='Estimator'!$B$7)</x:f>
        <x:v>1</x:v>
      </x:c>
      <x:c r="H1350" s="381" t="n">
        <x:f>SUMIFS('Climate Data'!$G$7:$G$366,'Climate Data'!$A$7:$A$366,'Estimator'!$B$4,'Climate Data'!$B$7:$B$366,C1350)</x:f>
        <x:v>0.4160919540229885</x:v>
      </x:c>
      <x:c r="I1350" s="382" t="n">
        <x:f>SUMIFS('Climate Data'!$H$7:$H$366,'Climate Data'!$A$7:$A$366,'Estimator'!$B$4,'Climate Data'!$B$7:$B$366,C1350)</x:f>
        <x:v>8.019060773480662</x:v>
      </x:c>
      <x:c r="J1350" s="381" t="n">
        <x:f>SUMIFS('Wind Proxy'!$H$8:$H$19,'Wind Proxy'!$A$8:$A$19,'Estimator'!$B$4,'Wind Proxy'!$B$8:$B$19,C1350)</x:f>
        <x:v>0.22222222222222224</x:v>
      </x:c>
    </x:row>
    <x:row r="1351">
      <x:c r="A1351" s="379" t="n">
        <x:v>47002</x:v>
      </x:c>
      <x:c r="B1351" s="380" t="n">
        <x:v>2028</x:v>
      </x:c>
      <x:c r="C1351" s="380" t="n">
        <x:v>9</x:v>
      </x:c>
      <x:c r="D1351" s="380" t="str">
        <x:v>Sep</x:v>
      </x:c>
      <x:c r="E1351" s="380" t="n">
        <x:v>6</x:v>
      </x:c>
      <x:c r="F1351" s="380" t="n">
        <x:v>3</x:v>
      </x:c>
      <x:c r="G1351" s="380" t="n">
        <x:f>--(F1351&lt;='Estimator'!$B$7)</x:f>
        <x:v>1</x:v>
      </x:c>
      <x:c r="H1351" s="381" t="n">
        <x:f>SUMIFS('Climate Data'!$G$7:$G$366,'Climate Data'!$A$7:$A$366,'Estimator'!$B$4,'Climate Data'!$B$7:$B$366,C1351)</x:f>
        <x:v>0.4160919540229885</x:v>
      </x:c>
      <x:c r="I1351" s="382" t="n">
        <x:f>SUMIFS('Climate Data'!$H$7:$H$366,'Climate Data'!$A$7:$A$366,'Estimator'!$B$4,'Climate Data'!$B$7:$B$366,C1351)</x:f>
        <x:v>8.019060773480662</x:v>
      </x:c>
      <x:c r="J1351" s="381" t="n">
        <x:f>SUMIFS('Wind Proxy'!$H$8:$H$19,'Wind Proxy'!$A$8:$A$19,'Estimator'!$B$4,'Wind Proxy'!$B$8:$B$19,C1351)</x:f>
        <x:v>0.22222222222222224</x:v>
      </x:c>
    </x:row>
    <x:row r="1352">
      <x:c r="A1352" s="379" t="n">
        <x:v>47003</x:v>
      </x:c>
      <x:c r="B1352" s="380" t="n">
        <x:v>2028</x:v>
      </x:c>
      <x:c r="C1352" s="380" t="n">
        <x:v>9</x:v>
      </x:c>
      <x:c r="D1352" s="380" t="str">
        <x:v>Sep</x:v>
      </x:c>
      <x:c r="E1352" s="380" t="n">
        <x:v>7</x:v>
      </x:c>
      <x:c r="F1352" s="380" t="n">
        <x:v>4</x:v>
      </x:c>
      <x:c r="G1352" s="380" t="n">
        <x:f>--(F1352&lt;='Estimator'!$B$7)</x:f>
        <x:v>1</x:v>
      </x:c>
      <x:c r="H1352" s="381" t="n">
        <x:f>SUMIFS('Climate Data'!$G$7:$G$366,'Climate Data'!$A$7:$A$366,'Estimator'!$B$4,'Climate Data'!$B$7:$B$366,C1352)</x:f>
        <x:v>0.4160919540229885</x:v>
      </x:c>
      <x:c r="I1352" s="382" t="n">
        <x:f>SUMIFS('Climate Data'!$H$7:$H$366,'Climate Data'!$A$7:$A$366,'Estimator'!$B$4,'Climate Data'!$B$7:$B$366,C1352)</x:f>
        <x:v>8.019060773480662</x:v>
      </x:c>
      <x:c r="J1352" s="381" t="n">
        <x:f>SUMIFS('Wind Proxy'!$H$8:$H$19,'Wind Proxy'!$A$8:$A$19,'Estimator'!$B$4,'Wind Proxy'!$B$8:$B$19,C1352)</x:f>
        <x:v>0.22222222222222224</x:v>
      </x:c>
    </x:row>
    <x:row r="1353">
      <x:c r="A1353" s="379" t="n">
        <x:v>47004</x:v>
      </x:c>
      <x:c r="B1353" s="380" t="n">
        <x:v>2028</x:v>
      </x:c>
      <x:c r="C1353" s="380" t="n">
        <x:v>9</x:v>
      </x:c>
      <x:c r="D1353" s="380" t="str">
        <x:v>Sep</x:v>
      </x:c>
      <x:c r="E1353" s="380" t="n">
        <x:v>8</x:v>
      </x:c>
      <x:c r="F1353" s="380" t="n">
        <x:v>5</x:v>
      </x:c>
      <x:c r="G1353" s="380" t="n">
        <x:f>--(F1353&lt;='Estimator'!$B$7)</x:f>
        <x:v>1</x:v>
      </x:c>
      <x:c r="H1353" s="381" t="n">
        <x:f>SUMIFS('Climate Data'!$G$7:$G$366,'Climate Data'!$A$7:$A$366,'Estimator'!$B$4,'Climate Data'!$B$7:$B$366,C1353)</x:f>
        <x:v>0.4160919540229885</x:v>
      </x:c>
      <x:c r="I1353" s="382" t="n">
        <x:f>SUMIFS('Climate Data'!$H$7:$H$366,'Climate Data'!$A$7:$A$366,'Estimator'!$B$4,'Climate Data'!$B$7:$B$366,C1353)</x:f>
        <x:v>8.019060773480662</x:v>
      </x:c>
      <x:c r="J1353" s="381" t="n">
        <x:f>SUMIFS('Wind Proxy'!$H$8:$H$19,'Wind Proxy'!$A$8:$A$19,'Estimator'!$B$4,'Wind Proxy'!$B$8:$B$19,C1353)</x:f>
        <x:v>0.22222222222222224</x:v>
      </x:c>
    </x:row>
    <x:row r="1354">
      <x:c r="A1354" s="379" t="n">
        <x:v>47005</x:v>
      </x:c>
      <x:c r="B1354" s="380" t="n">
        <x:v>2028</x:v>
      </x:c>
      <x:c r="C1354" s="380" t="n">
        <x:v>9</x:v>
      </x:c>
      <x:c r="D1354" s="380" t="str">
        <x:v>Sep</x:v>
      </x:c>
      <x:c r="E1354" s="380" t="n">
        <x:v>9</x:v>
      </x:c>
      <x:c r="F1354" s="380" t="n">
        <x:v>6</x:v>
      </x:c>
      <x:c r="G1354" s="380" t="n">
        <x:f>--(F1354&lt;='Estimator'!$B$7)</x:f>
        <x:v>0</x:v>
      </x:c>
      <x:c r="H1354" s="381" t="n">
        <x:f>SUMIFS('Climate Data'!$G$7:$G$366,'Climate Data'!$A$7:$A$366,'Estimator'!$B$4,'Climate Data'!$B$7:$B$366,C1354)</x:f>
        <x:v>0.4160919540229885</x:v>
      </x:c>
      <x:c r="I1354" s="382" t="n">
        <x:f>SUMIFS('Climate Data'!$H$7:$H$366,'Climate Data'!$A$7:$A$366,'Estimator'!$B$4,'Climate Data'!$B$7:$B$366,C1354)</x:f>
        <x:v>8.019060773480662</x:v>
      </x:c>
      <x:c r="J1354" s="381" t="n">
        <x:f>SUMIFS('Wind Proxy'!$H$8:$H$19,'Wind Proxy'!$A$8:$A$19,'Estimator'!$B$4,'Wind Proxy'!$B$8:$B$19,C1354)</x:f>
        <x:v>0.22222222222222224</x:v>
      </x:c>
    </x:row>
    <x:row r="1355">
      <x:c r="A1355" s="379" t="n">
        <x:v>47006</x:v>
      </x:c>
      <x:c r="B1355" s="380" t="n">
        <x:v>2028</x:v>
      </x:c>
      <x:c r="C1355" s="380" t="n">
        <x:v>9</x:v>
      </x:c>
      <x:c r="D1355" s="380" t="str">
        <x:v>Sep</x:v>
      </x:c>
      <x:c r="E1355" s="380" t="n">
        <x:v>10</x:v>
      </x:c>
      <x:c r="F1355" s="380" t="n">
        <x:v>7</x:v>
      </x:c>
      <x:c r="G1355" s="380" t="n">
        <x:f>--(F1355&lt;='Estimator'!$B$7)</x:f>
        <x:v>0</x:v>
      </x:c>
      <x:c r="H1355" s="381" t="n">
        <x:f>SUMIFS('Climate Data'!$G$7:$G$366,'Climate Data'!$A$7:$A$366,'Estimator'!$B$4,'Climate Data'!$B$7:$B$366,C1355)</x:f>
        <x:v>0.4160919540229885</x:v>
      </x:c>
      <x:c r="I1355" s="382" t="n">
        <x:f>SUMIFS('Climate Data'!$H$7:$H$366,'Climate Data'!$A$7:$A$366,'Estimator'!$B$4,'Climate Data'!$B$7:$B$366,C1355)</x:f>
        <x:v>8.019060773480662</x:v>
      </x:c>
      <x:c r="J1355" s="381" t="n">
        <x:f>SUMIFS('Wind Proxy'!$H$8:$H$19,'Wind Proxy'!$A$8:$A$19,'Estimator'!$B$4,'Wind Proxy'!$B$8:$B$19,C1355)</x:f>
        <x:v>0.22222222222222224</x:v>
      </x:c>
    </x:row>
    <x:row r="1356">
      <x:c r="A1356" s="379" t="n">
        <x:v>47007</x:v>
      </x:c>
      <x:c r="B1356" s="380" t="n">
        <x:v>2028</x:v>
      </x:c>
      <x:c r="C1356" s="380" t="n">
        <x:v>9</x:v>
      </x:c>
      <x:c r="D1356" s="380" t="str">
        <x:v>Sep</x:v>
      </x:c>
      <x:c r="E1356" s="380" t="n">
        <x:v>11</x:v>
      </x:c>
      <x:c r="F1356" s="380" t="n">
        <x:v>1</x:v>
      </x:c>
      <x:c r="G1356" s="380" t="n">
        <x:f>--(F1356&lt;='Estimator'!$B$7)</x:f>
        <x:v>1</x:v>
      </x:c>
      <x:c r="H1356" s="381" t="n">
        <x:f>SUMIFS('Climate Data'!$G$7:$G$366,'Climate Data'!$A$7:$A$366,'Estimator'!$B$4,'Climate Data'!$B$7:$B$366,C1356)</x:f>
        <x:v>0.4160919540229885</x:v>
      </x:c>
      <x:c r="I1356" s="382" t="n">
        <x:f>SUMIFS('Climate Data'!$H$7:$H$366,'Climate Data'!$A$7:$A$366,'Estimator'!$B$4,'Climate Data'!$B$7:$B$366,C1356)</x:f>
        <x:v>8.019060773480662</x:v>
      </x:c>
      <x:c r="J1356" s="381" t="n">
        <x:f>SUMIFS('Wind Proxy'!$H$8:$H$19,'Wind Proxy'!$A$8:$A$19,'Estimator'!$B$4,'Wind Proxy'!$B$8:$B$19,C1356)</x:f>
        <x:v>0.22222222222222224</x:v>
      </x:c>
    </x:row>
    <x:row r="1357">
      <x:c r="A1357" s="379" t="n">
        <x:v>47008</x:v>
      </x:c>
      <x:c r="B1357" s="380" t="n">
        <x:v>2028</x:v>
      </x:c>
      <x:c r="C1357" s="380" t="n">
        <x:v>9</x:v>
      </x:c>
      <x:c r="D1357" s="380" t="str">
        <x:v>Sep</x:v>
      </x:c>
      <x:c r="E1357" s="380" t="n">
        <x:v>12</x:v>
      </x:c>
      <x:c r="F1357" s="380" t="n">
        <x:v>2</x:v>
      </x:c>
      <x:c r="G1357" s="380" t="n">
        <x:f>--(F1357&lt;='Estimator'!$B$7)</x:f>
        <x:v>1</x:v>
      </x:c>
      <x:c r="H1357" s="381" t="n">
        <x:f>SUMIFS('Climate Data'!$G$7:$G$366,'Climate Data'!$A$7:$A$366,'Estimator'!$B$4,'Climate Data'!$B$7:$B$366,C1357)</x:f>
        <x:v>0.4160919540229885</x:v>
      </x:c>
      <x:c r="I1357" s="382" t="n">
        <x:f>SUMIFS('Climate Data'!$H$7:$H$366,'Climate Data'!$A$7:$A$366,'Estimator'!$B$4,'Climate Data'!$B$7:$B$366,C1357)</x:f>
        <x:v>8.019060773480662</x:v>
      </x:c>
      <x:c r="J1357" s="381" t="n">
        <x:f>SUMIFS('Wind Proxy'!$H$8:$H$19,'Wind Proxy'!$A$8:$A$19,'Estimator'!$B$4,'Wind Proxy'!$B$8:$B$19,C1357)</x:f>
        <x:v>0.22222222222222224</x:v>
      </x:c>
    </x:row>
    <x:row r="1358">
      <x:c r="A1358" s="379" t="n">
        <x:v>47009</x:v>
      </x:c>
      <x:c r="B1358" s="380" t="n">
        <x:v>2028</x:v>
      </x:c>
      <x:c r="C1358" s="380" t="n">
        <x:v>9</x:v>
      </x:c>
      <x:c r="D1358" s="380" t="str">
        <x:v>Sep</x:v>
      </x:c>
      <x:c r="E1358" s="380" t="n">
        <x:v>13</x:v>
      </x:c>
      <x:c r="F1358" s="380" t="n">
        <x:v>3</x:v>
      </x:c>
      <x:c r="G1358" s="380" t="n">
        <x:f>--(F1358&lt;='Estimator'!$B$7)</x:f>
        <x:v>1</x:v>
      </x:c>
      <x:c r="H1358" s="381" t="n">
        <x:f>SUMIFS('Climate Data'!$G$7:$G$366,'Climate Data'!$A$7:$A$366,'Estimator'!$B$4,'Climate Data'!$B$7:$B$366,C1358)</x:f>
        <x:v>0.4160919540229885</x:v>
      </x:c>
      <x:c r="I1358" s="382" t="n">
        <x:f>SUMIFS('Climate Data'!$H$7:$H$366,'Climate Data'!$A$7:$A$366,'Estimator'!$B$4,'Climate Data'!$B$7:$B$366,C1358)</x:f>
        <x:v>8.019060773480662</x:v>
      </x:c>
      <x:c r="J1358" s="381" t="n">
        <x:f>SUMIFS('Wind Proxy'!$H$8:$H$19,'Wind Proxy'!$A$8:$A$19,'Estimator'!$B$4,'Wind Proxy'!$B$8:$B$19,C1358)</x:f>
        <x:v>0.22222222222222224</x:v>
      </x:c>
    </x:row>
    <x:row r="1359">
      <x:c r="A1359" s="379" t="n">
        <x:v>47010</x:v>
      </x:c>
      <x:c r="B1359" s="380" t="n">
        <x:v>2028</x:v>
      </x:c>
      <x:c r="C1359" s="380" t="n">
        <x:v>9</x:v>
      </x:c>
      <x:c r="D1359" s="380" t="str">
        <x:v>Sep</x:v>
      </x:c>
      <x:c r="E1359" s="380" t="n">
        <x:v>14</x:v>
      </x:c>
      <x:c r="F1359" s="380" t="n">
        <x:v>4</x:v>
      </x:c>
      <x:c r="G1359" s="380" t="n">
        <x:f>--(F1359&lt;='Estimator'!$B$7)</x:f>
        <x:v>1</x:v>
      </x:c>
      <x:c r="H1359" s="381" t="n">
        <x:f>SUMIFS('Climate Data'!$G$7:$G$366,'Climate Data'!$A$7:$A$366,'Estimator'!$B$4,'Climate Data'!$B$7:$B$366,C1359)</x:f>
        <x:v>0.4160919540229885</x:v>
      </x:c>
      <x:c r="I1359" s="382" t="n">
        <x:f>SUMIFS('Climate Data'!$H$7:$H$366,'Climate Data'!$A$7:$A$366,'Estimator'!$B$4,'Climate Data'!$B$7:$B$366,C1359)</x:f>
        <x:v>8.019060773480662</x:v>
      </x:c>
      <x:c r="J1359" s="381" t="n">
        <x:f>SUMIFS('Wind Proxy'!$H$8:$H$19,'Wind Proxy'!$A$8:$A$19,'Estimator'!$B$4,'Wind Proxy'!$B$8:$B$19,C1359)</x:f>
        <x:v>0.22222222222222224</x:v>
      </x:c>
    </x:row>
    <x:row r="1360">
      <x:c r="A1360" s="379" t="n">
        <x:v>47011</x:v>
      </x:c>
      <x:c r="B1360" s="380" t="n">
        <x:v>2028</x:v>
      </x:c>
      <x:c r="C1360" s="380" t="n">
        <x:v>9</x:v>
      </x:c>
      <x:c r="D1360" s="380" t="str">
        <x:v>Sep</x:v>
      </x:c>
      <x:c r="E1360" s="380" t="n">
        <x:v>15</x:v>
      </x:c>
      <x:c r="F1360" s="380" t="n">
        <x:v>5</x:v>
      </x:c>
      <x:c r="G1360" s="380" t="n">
        <x:f>--(F1360&lt;='Estimator'!$B$7)</x:f>
        <x:v>1</x:v>
      </x:c>
      <x:c r="H1360" s="381" t="n">
        <x:f>SUMIFS('Climate Data'!$G$7:$G$366,'Climate Data'!$A$7:$A$366,'Estimator'!$B$4,'Climate Data'!$B$7:$B$366,C1360)</x:f>
        <x:v>0.4160919540229885</x:v>
      </x:c>
      <x:c r="I1360" s="382" t="n">
        <x:f>SUMIFS('Climate Data'!$H$7:$H$366,'Climate Data'!$A$7:$A$366,'Estimator'!$B$4,'Climate Data'!$B$7:$B$366,C1360)</x:f>
        <x:v>8.019060773480662</x:v>
      </x:c>
      <x:c r="J1360" s="381" t="n">
        <x:f>SUMIFS('Wind Proxy'!$H$8:$H$19,'Wind Proxy'!$A$8:$A$19,'Estimator'!$B$4,'Wind Proxy'!$B$8:$B$19,C1360)</x:f>
        <x:v>0.22222222222222224</x:v>
      </x:c>
    </x:row>
    <x:row r="1361">
      <x:c r="A1361" s="379" t="n">
        <x:v>47012</x:v>
      </x:c>
      <x:c r="B1361" s="380" t="n">
        <x:v>2028</x:v>
      </x:c>
      <x:c r="C1361" s="380" t="n">
        <x:v>9</x:v>
      </x:c>
      <x:c r="D1361" s="380" t="str">
        <x:v>Sep</x:v>
      </x:c>
      <x:c r="E1361" s="380" t="n">
        <x:v>16</x:v>
      </x:c>
      <x:c r="F1361" s="380" t="n">
        <x:v>6</x:v>
      </x:c>
      <x:c r="G1361" s="380" t="n">
        <x:f>--(F1361&lt;='Estimator'!$B$7)</x:f>
        <x:v>0</x:v>
      </x:c>
      <x:c r="H1361" s="381" t="n">
        <x:f>SUMIFS('Climate Data'!$G$7:$G$366,'Climate Data'!$A$7:$A$366,'Estimator'!$B$4,'Climate Data'!$B$7:$B$366,C1361)</x:f>
        <x:v>0.4160919540229885</x:v>
      </x:c>
      <x:c r="I1361" s="382" t="n">
        <x:f>SUMIFS('Climate Data'!$H$7:$H$366,'Climate Data'!$A$7:$A$366,'Estimator'!$B$4,'Climate Data'!$B$7:$B$366,C1361)</x:f>
        <x:v>8.019060773480662</x:v>
      </x:c>
      <x:c r="J1361" s="381" t="n">
        <x:f>SUMIFS('Wind Proxy'!$H$8:$H$19,'Wind Proxy'!$A$8:$A$19,'Estimator'!$B$4,'Wind Proxy'!$B$8:$B$19,C1361)</x:f>
        <x:v>0.22222222222222224</x:v>
      </x:c>
    </x:row>
    <x:row r="1362">
      <x:c r="A1362" s="379" t="n">
        <x:v>47013</x:v>
      </x:c>
      <x:c r="B1362" s="380" t="n">
        <x:v>2028</x:v>
      </x:c>
      <x:c r="C1362" s="380" t="n">
        <x:v>9</x:v>
      </x:c>
      <x:c r="D1362" s="380" t="str">
        <x:v>Sep</x:v>
      </x:c>
      <x:c r="E1362" s="380" t="n">
        <x:v>17</x:v>
      </x:c>
      <x:c r="F1362" s="380" t="n">
        <x:v>7</x:v>
      </x:c>
      <x:c r="G1362" s="380" t="n">
        <x:f>--(F1362&lt;='Estimator'!$B$7)</x:f>
        <x:v>0</x:v>
      </x:c>
      <x:c r="H1362" s="381" t="n">
        <x:f>SUMIFS('Climate Data'!$G$7:$G$366,'Climate Data'!$A$7:$A$366,'Estimator'!$B$4,'Climate Data'!$B$7:$B$366,C1362)</x:f>
        <x:v>0.4160919540229885</x:v>
      </x:c>
      <x:c r="I1362" s="382" t="n">
        <x:f>SUMIFS('Climate Data'!$H$7:$H$366,'Climate Data'!$A$7:$A$366,'Estimator'!$B$4,'Climate Data'!$B$7:$B$366,C1362)</x:f>
        <x:v>8.019060773480662</x:v>
      </x:c>
      <x:c r="J1362" s="381" t="n">
        <x:f>SUMIFS('Wind Proxy'!$H$8:$H$19,'Wind Proxy'!$A$8:$A$19,'Estimator'!$B$4,'Wind Proxy'!$B$8:$B$19,C1362)</x:f>
        <x:v>0.22222222222222224</x:v>
      </x:c>
    </x:row>
    <x:row r="1363">
      <x:c r="A1363" s="379" t="n">
        <x:v>47014</x:v>
      </x:c>
      <x:c r="B1363" s="380" t="n">
        <x:v>2028</x:v>
      </x:c>
      <x:c r="C1363" s="380" t="n">
        <x:v>9</x:v>
      </x:c>
      <x:c r="D1363" s="380" t="str">
        <x:v>Sep</x:v>
      </x:c>
      <x:c r="E1363" s="380" t="n">
        <x:v>18</x:v>
      </x:c>
      <x:c r="F1363" s="380" t="n">
        <x:v>1</x:v>
      </x:c>
      <x:c r="G1363" s="380" t="n">
        <x:f>--(F1363&lt;='Estimator'!$B$7)</x:f>
        <x:v>1</x:v>
      </x:c>
      <x:c r="H1363" s="381" t="n">
        <x:f>SUMIFS('Climate Data'!$G$7:$G$366,'Climate Data'!$A$7:$A$366,'Estimator'!$B$4,'Climate Data'!$B$7:$B$366,C1363)</x:f>
        <x:v>0.4160919540229885</x:v>
      </x:c>
      <x:c r="I1363" s="382" t="n">
        <x:f>SUMIFS('Climate Data'!$H$7:$H$366,'Climate Data'!$A$7:$A$366,'Estimator'!$B$4,'Climate Data'!$B$7:$B$366,C1363)</x:f>
        <x:v>8.019060773480662</x:v>
      </x:c>
      <x:c r="J1363" s="381" t="n">
        <x:f>SUMIFS('Wind Proxy'!$H$8:$H$19,'Wind Proxy'!$A$8:$A$19,'Estimator'!$B$4,'Wind Proxy'!$B$8:$B$19,C1363)</x:f>
        <x:v>0.22222222222222224</x:v>
      </x:c>
    </x:row>
    <x:row r="1364">
      <x:c r="A1364" s="379" t="n">
        <x:v>47015</x:v>
      </x:c>
      <x:c r="B1364" s="380" t="n">
        <x:v>2028</x:v>
      </x:c>
      <x:c r="C1364" s="380" t="n">
        <x:v>9</x:v>
      </x:c>
      <x:c r="D1364" s="380" t="str">
        <x:v>Sep</x:v>
      </x:c>
      <x:c r="E1364" s="380" t="n">
        <x:v>19</x:v>
      </x:c>
      <x:c r="F1364" s="380" t="n">
        <x:v>2</x:v>
      </x:c>
      <x:c r="G1364" s="380" t="n">
        <x:f>--(F1364&lt;='Estimator'!$B$7)</x:f>
        <x:v>1</x:v>
      </x:c>
      <x:c r="H1364" s="381" t="n">
        <x:f>SUMIFS('Climate Data'!$G$7:$G$366,'Climate Data'!$A$7:$A$366,'Estimator'!$B$4,'Climate Data'!$B$7:$B$366,C1364)</x:f>
        <x:v>0.4160919540229885</x:v>
      </x:c>
      <x:c r="I1364" s="382" t="n">
        <x:f>SUMIFS('Climate Data'!$H$7:$H$366,'Climate Data'!$A$7:$A$366,'Estimator'!$B$4,'Climate Data'!$B$7:$B$366,C1364)</x:f>
        <x:v>8.019060773480662</x:v>
      </x:c>
      <x:c r="J1364" s="381" t="n">
        <x:f>SUMIFS('Wind Proxy'!$H$8:$H$19,'Wind Proxy'!$A$8:$A$19,'Estimator'!$B$4,'Wind Proxy'!$B$8:$B$19,C1364)</x:f>
        <x:v>0.22222222222222224</x:v>
      </x:c>
    </x:row>
    <x:row r="1365">
      <x:c r="A1365" s="379" t="n">
        <x:v>47016</x:v>
      </x:c>
      <x:c r="B1365" s="380" t="n">
        <x:v>2028</x:v>
      </x:c>
      <x:c r="C1365" s="380" t="n">
        <x:v>9</x:v>
      </x:c>
      <x:c r="D1365" s="380" t="str">
        <x:v>Sep</x:v>
      </x:c>
      <x:c r="E1365" s="380" t="n">
        <x:v>20</x:v>
      </x:c>
      <x:c r="F1365" s="380" t="n">
        <x:v>3</x:v>
      </x:c>
      <x:c r="G1365" s="380" t="n">
        <x:f>--(F1365&lt;='Estimator'!$B$7)</x:f>
        <x:v>1</x:v>
      </x:c>
      <x:c r="H1365" s="381" t="n">
        <x:f>SUMIFS('Climate Data'!$G$7:$G$366,'Climate Data'!$A$7:$A$366,'Estimator'!$B$4,'Climate Data'!$B$7:$B$366,C1365)</x:f>
        <x:v>0.4160919540229885</x:v>
      </x:c>
      <x:c r="I1365" s="382" t="n">
        <x:f>SUMIFS('Climate Data'!$H$7:$H$366,'Climate Data'!$A$7:$A$366,'Estimator'!$B$4,'Climate Data'!$B$7:$B$366,C1365)</x:f>
        <x:v>8.019060773480662</x:v>
      </x:c>
      <x:c r="J1365" s="381" t="n">
        <x:f>SUMIFS('Wind Proxy'!$H$8:$H$19,'Wind Proxy'!$A$8:$A$19,'Estimator'!$B$4,'Wind Proxy'!$B$8:$B$19,C1365)</x:f>
        <x:v>0.22222222222222224</x:v>
      </x:c>
    </x:row>
    <x:row r="1366">
      <x:c r="A1366" s="379" t="n">
        <x:v>47017</x:v>
      </x:c>
      <x:c r="B1366" s="380" t="n">
        <x:v>2028</x:v>
      </x:c>
      <x:c r="C1366" s="380" t="n">
        <x:v>9</x:v>
      </x:c>
      <x:c r="D1366" s="380" t="str">
        <x:v>Sep</x:v>
      </x:c>
      <x:c r="E1366" s="380" t="n">
        <x:v>21</x:v>
      </x:c>
      <x:c r="F1366" s="380" t="n">
        <x:v>4</x:v>
      </x:c>
      <x:c r="G1366" s="380" t="n">
        <x:f>--(F1366&lt;='Estimator'!$B$7)</x:f>
        <x:v>1</x:v>
      </x:c>
      <x:c r="H1366" s="381" t="n">
        <x:f>SUMIFS('Climate Data'!$G$7:$G$366,'Climate Data'!$A$7:$A$366,'Estimator'!$B$4,'Climate Data'!$B$7:$B$366,C1366)</x:f>
        <x:v>0.4160919540229885</x:v>
      </x:c>
      <x:c r="I1366" s="382" t="n">
        <x:f>SUMIFS('Climate Data'!$H$7:$H$366,'Climate Data'!$A$7:$A$366,'Estimator'!$B$4,'Climate Data'!$B$7:$B$366,C1366)</x:f>
        <x:v>8.019060773480662</x:v>
      </x:c>
      <x:c r="J1366" s="381" t="n">
        <x:f>SUMIFS('Wind Proxy'!$H$8:$H$19,'Wind Proxy'!$A$8:$A$19,'Estimator'!$B$4,'Wind Proxy'!$B$8:$B$19,C1366)</x:f>
        <x:v>0.22222222222222224</x:v>
      </x:c>
    </x:row>
    <x:row r="1367">
      <x:c r="A1367" s="379" t="n">
        <x:v>47018</x:v>
      </x:c>
      <x:c r="B1367" s="380" t="n">
        <x:v>2028</x:v>
      </x:c>
      <x:c r="C1367" s="380" t="n">
        <x:v>9</x:v>
      </x:c>
      <x:c r="D1367" s="380" t="str">
        <x:v>Sep</x:v>
      </x:c>
      <x:c r="E1367" s="380" t="n">
        <x:v>22</x:v>
      </x:c>
      <x:c r="F1367" s="380" t="n">
        <x:v>5</x:v>
      </x:c>
      <x:c r="G1367" s="380" t="n">
        <x:f>--(F1367&lt;='Estimator'!$B$7)</x:f>
        <x:v>1</x:v>
      </x:c>
      <x:c r="H1367" s="381" t="n">
        <x:f>SUMIFS('Climate Data'!$G$7:$G$366,'Climate Data'!$A$7:$A$366,'Estimator'!$B$4,'Climate Data'!$B$7:$B$366,C1367)</x:f>
        <x:v>0.4160919540229885</x:v>
      </x:c>
      <x:c r="I1367" s="382" t="n">
        <x:f>SUMIFS('Climate Data'!$H$7:$H$366,'Climate Data'!$A$7:$A$366,'Estimator'!$B$4,'Climate Data'!$B$7:$B$366,C1367)</x:f>
        <x:v>8.019060773480662</x:v>
      </x:c>
      <x:c r="J1367" s="381" t="n">
        <x:f>SUMIFS('Wind Proxy'!$H$8:$H$19,'Wind Proxy'!$A$8:$A$19,'Estimator'!$B$4,'Wind Proxy'!$B$8:$B$19,C1367)</x:f>
        <x:v>0.22222222222222224</x:v>
      </x:c>
    </x:row>
    <x:row r="1368">
      <x:c r="A1368" s="379" t="n">
        <x:v>47019</x:v>
      </x:c>
      <x:c r="B1368" s="380" t="n">
        <x:v>2028</x:v>
      </x:c>
      <x:c r="C1368" s="380" t="n">
        <x:v>9</x:v>
      </x:c>
      <x:c r="D1368" s="380" t="str">
        <x:v>Sep</x:v>
      </x:c>
      <x:c r="E1368" s="380" t="n">
        <x:v>23</x:v>
      </x:c>
      <x:c r="F1368" s="380" t="n">
        <x:v>6</x:v>
      </x:c>
      <x:c r="G1368" s="380" t="n">
        <x:f>--(F1368&lt;='Estimator'!$B$7)</x:f>
        <x:v>0</x:v>
      </x:c>
      <x:c r="H1368" s="381" t="n">
        <x:f>SUMIFS('Climate Data'!$G$7:$G$366,'Climate Data'!$A$7:$A$366,'Estimator'!$B$4,'Climate Data'!$B$7:$B$366,C1368)</x:f>
        <x:v>0.4160919540229885</x:v>
      </x:c>
      <x:c r="I1368" s="382" t="n">
        <x:f>SUMIFS('Climate Data'!$H$7:$H$366,'Climate Data'!$A$7:$A$366,'Estimator'!$B$4,'Climate Data'!$B$7:$B$366,C1368)</x:f>
        <x:v>8.019060773480662</x:v>
      </x:c>
      <x:c r="J1368" s="381" t="n">
        <x:f>SUMIFS('Wind Proxy'!$H$8:$H$19,'Wind Proxy'!$A$8:$A$19,'Estimator'!$B$4,'Wind Proxy'!$B$8:$B$19,C1368)</x:f>
        <x:v>0.22222222222222224</x:v>
      </x:c>
    </x:row>
    <x:row r="1369">
      <x:c r="A1369" s="379" t="n">
        <x:v>47020</x:v>
      </x:c>
      <x:c r="B1369" s="380" t="n">
        <x:v>2028</x:v>
      </x:c>
      <x:c r="C1369" s="380" t="n">
        <x:v>9</x:v>
      </x:c>
      <x:c r="D1369" s="380" t="str">
        <x:v>Sep</x:v>
      </x:c>
      <x:c r="E1369" s="380" t="n">
        <x:v>24</x:v>
      </x:c>
      <x:c r="F1369" s="380" t="n">
        <x:v>7</x:v>
      </x:c>
      <x:c r="G1369" s="380" t="n">
        <x:f>--(F1369&lt;='Estimator'!$B$7)</x:f>
        <x:v>0</x:v>
      </x:c>
      <x:c r="H1369" s="381" t="n">
        <x:f>SUMIFS('Climate Data'!$G$7:$G$366,'Climate Data'!$A$7:$A$366,'Estimator'!$B$4,'Climate Data'!$B$7:$B$366,C1369)</x:f>
        <x:v>0.4160919540229885</x:v>
      </x:c>
      <x:c r="I1369" s="382" t="n">
        <x:f>SUMIFS('Climate Data'!$H$7:$H$366,'Climate Data'!$A$7:$A$366,'Estimator'!$B$4,'Climate Data'!$B$7:$B$366,C1369)</x:f>
        <x:v>8.019060773480662</x:v>
      </x:c>
      <x:c r="J1369" s="381" t="n">
        <x:f>SUMIFS('Wind Proxy'!$H$8:$H$19,'Wind Proxy'!$A$8:$A$19,'Estimator'!$B$4,'Wind Proxy'!$B$8:$B$19,C1369)</x:f>
        <x:v>0.22222222222222224</x:v>
      </x:c>
    </x:row>
    <x:row r="1370">
      <x:c r="A1370" s="379" t="n">
        <x:v>47021</x:v>
      </x:c>
      <x:c r="B1370" s="380" t="n">
        <x:v>2028</x:v>
      </x:c>
      <x:c r="C1370" s="380" t="n">
        <x:v>9</x:v>
      </x:c>
      <x:c r="D1370" s="380" t="str">
        <x:v>Sep</x:v>
      </x:c>
      <x:c r="E1370" s="380" t="n">
        <x:v>25</x:v>
      </x:c>
      <x:c r="F1370" s="380" t="n">
        <x:v>1</x:v>
      </x:c>
      <x:c r="G1370" s="380" t="n">
        <x:f>--(F1370&lt;='Estimator'!$B$7)</x:f>
        <x:v>1</x:v>
      </x:c>
      <x:c r="H1370" s="381" t="n">
        <x:f>SUMIFS('Climate Data'!$G$7:$G$366,'Climate Data'!$A$7:$A$366,'Estimator'!$B$4,'Climate Data'!$B$7:$B$366,C1370)</x:f>
        <x:v>0.4160919540229885</x:v>
      </x:c>
      <x:c r="I1370" s="382" t="n">
        <x:f>SUMIFS('Climate Data'!$H$7:$H$366,'Climate Data'!$A$7:$A$366,'Estimator'!$B$4,'Climate Data'!$B$7:$B$366,C1370)</x:f>
        <x:v>8.019060773480662</x:v>
      </x:c>
      <x:c r="J1370" s="381" t="n">
        <x:f>SUMIFS('Wind Proxy'!$H$8:$H$19,'Wind Proxy'!$A$8:$A$19,'Estimator'!$B$4,'Wind Proxy'!$B$8:$B$19,C1370)</x:f>
        <x:v>0.22222222222222224</x:v>
      </x:c>
    </x:row>
    <x:row r="1371">
      <x:c r="A1371" s="379" t="n">
        <x:v>47022</x:v>
      </x:c>
      <x:c r="B1371" s="380" t="n">
        <x:v>2028</x:v>
      </x:c>
      <x:c r="C1371" s="380" t="n">
        <x:v>9</x:v>
      </x:c>
      <x:c r="D1371" s="380" t="str">
        <x:v>Sep</x:v>
      </x:c>
      <x:c r="E1371" s="380" t="n">
        <x:v>26</x:v>
      </x:c>
      <x:c r="F1371" s="380" t="n">
        <x:v>2</x:v>
      </x:c>
      <x:c r="G1371" s="380" t="n">
        <x:f>--(F1371&lt;='Estimator'!$B$7)</x:f>
        <x:v>1</x:v>
      </x:c>
      <x:c r="H1371" s="381" t="n">
        <x:f>SUMIFS('Climate Data'!$G$7:$G$366,'Climate Data'!$A$7:$A$366,'Estimator'!$B$4,'Climate Data'!$B$7:$B$366,C1371)</x:f>
        <x:v>0.4160919540229885</x:v>
      </x:c>
      <x:c r="I1371" s="382" t="n">
        <x:f>SUMIFS('Climate Data'!$H$7:$H$366,'Climate Data'!$A$7:$A$366,'Estimator'!$B$4,'Climate Data'!$B$7:$B$366,C1371)</x:f>
        <x:v>8.019060773480662</x:v>
      </x:c>
      <x:c r="J1371" s="381" t="n">
        <x:f>SUMIFS('Wind Proxy'!$H$8:$H$19,'Wind Proxy'!$A$8:$A$19,'Estimator'!$B$4,'Wind Proxy'!$B$8:$B$19,C1371)</x:f>
        <x:v>0.22222222222222224</x:v>
      </x:c>
    </x:row>
    <x:row r="1372">
      <x:c r="A1372" s="379" t="n">
        <x:v>47023</x:v>
      </x:c>
      <x:c r="B1372" s="380" t="n">
        <x:v>2028</x:v>
      </x:c>
      <x:c r="C1372" s="380" t="n">
        <x:v>9</x:v>
      </x:c>
      <x:c r="D1372" s="380" t="str">
        <x:v>Sep</x:v>
      </x:c>
      <x:c r="E1372" s="380" t="n">
        <x:v>27</x:v>
      </x:c>
      <x:c r="F1372" s="380" t="n">
        <x:v>3</x:v>
      </x:c>
      <x:c r="G1372" s="380" t="n">
        <x:f>--(F1372&lt;='Estimator'!$B$7)</x:f>
        <x:v>1</x:v>
      </x:c>
      <x:c r="H1372" s="381" t="n">
        <x:f>SUMIFS('Climate Data'!$G$7:$G$366,'Climate Data'!$A$7:$A$366,'Estimator'!$B$4,'Climate Data'!$B$7:$B$366,C1372)</x:f>
        <x:v>0.4160919540229885</x:v>
      </x:c>
      <x:c r="I1372" s="382" t="n">
        <x:f>SUMIFS('Climate Data'!$H$7:$H$366,'Climate Data'!$A$7:$A$366,'Estimator'!$B$4,'Climate Data'!$B$7:$B$366,C1372)</x:f>
        <x:v>8.019060773480662</x:v>
      </x:c>
      <x:c r="J1372" s="381" t="n">
        <x:f>SUMIFS('Wind Proxy'!$H$8:$H$19,'Wind Proxy'!$A$8:$A$19,'Estimator'!$B$4,'Wind Proxy'!$B$8:$B$19,C1372)</x:f>
        <x:v>0.22222222222222224</x:v>
      </x:c>
    </x:row>
    <x:row r="1373">
      <x:c r="A1373" s="379" t="n">
        <x:v>47024</x:v>
      </x:c>
      <x:c r="B1373" s="380" t="n">
        <x:v>2028</x:v>
      </x:c>
      <x:c r="C1373" s="380" t="n">
        <x:v>9</x:v>
      </x:c>
      <x:c r="D1373" s="380" t="str">
        <x:v>Sep</x:v>
      </x:c>
      <x:c r="E1373" s="380" t="n">
        <x:v>28</x:v>
      </x:c>
      <x:c r="F1373" s="380" t="n">
        <x:v>4</x:v>
      </x:c>
      <x:c r="G1373" s="380" t="n">
        <x:f>--(F1373&lt;='Estimator'!$B$7)</x:f>
        <x:v>1</x:v>
      </x:c>
      <x:c r="H1373" s="381" t="n">
        <x:f>SUMIFS('Climate Data'!$G$7:$G$366,'Climate Data'!$A$7:$A$366,'Estimator'!$B$4,'Climate Data'!$B$7:$B$366,C1373)</x:f>
        <x:v>0.4160919540229885</x:v>
      </x:c>
      <x:c r="I1373" s="382" t="n">
        <x:f>SUMIFS('Climate Data'!$H$7:$H$366,'Climate Data'!$A$7:$A$366,'Estimator'!$B$4,'Climate Data'!$B$7:$B$366,C1373)</x:f>
        <x:v>8.019060773480662</x:v>
      </x:c>
      <x:c r="J1373" s="381" t="n">
        <x:f>SUMIFS('Wind Proxy'!$H$8:$H$19,'Wind Proxy'!$A$8:$A$19,'Estimator'!$B$4,'Wind Proxy'!$B$8:$B$19,C1373)</x:f>
        <x:v>0.22222222222222224</x:v>
      </x:c>
    </x:row>
    <x:row r="1374">
      <x:c r="A1374" s="379" t="n">
        <x:v>47025</x:v>
      </x:c>
      <x:c r="B1374" s="380" t="n">
        <x:v>2028</x:v>
      </x:c>
      <x:c r="C1374" s="380" t="n">
        <x:v>9</x:v>
      </x:c>
      <x:c r="D1374" s="380" t="str">
        <x:v>Sep</x:v>
      </x:c>
      <x:c r="E1374" s="380" t="n">
        <x:v>29</x:v>
      </x:c>
      <x:c r="F1374" s="380" t="n">
        <x:v>5</x:v>
      </x:c>
      <x:c r="G1374" s="380" t="n">
        <x:f>--(F1374&lt;='Estimator'!$B$7)</x:f>
        <x:v>1</x:v>
      </x:c>
      <x:c r="H1374" s="381" t="n">
        <x:f>SUMIFS('Climate Data'!$G$7:$G$366,'Climate Data'!$A$7:$A$366,'Estimator'!$B$4,'Climate Data'!$B$7:$B$366,C1374)</x:f>
        <x:v>0.4160919540229885</x:v>
      </x:c>
      <x:c r="I1374" s="382" t="n">
        <x:f>SUMIFS('Climate Data'!$H$7:$H$366,'Climate Data'!$A$7:$A$366,'Estimator'!$B$4,'Climate Data'!$B$7:$B$366,C1374)</x:f>
        <x:v>8.019060773480662</x:v>
      </x:c>
      <x:c r="J1374" s="381" t="n">
        <x:f>SUMIFS('Wind Proxy'!$H$8:$H$19,'Wind Proxy'!$A$8:$A$19,'Estimator'!$B$4,'Wind Proxy'!$B$8:$B$19,C1374)</x:f>
        <x:v>0.22222222222222224</x:v>
      </x:c>
    </x:row>
    <x:row r="1375">
      <x:c r="A1375" s="379" t="n">
        <x:v>47026</x:v>
      </x:c>
      <x:c r="B1375" s="380" t="n">
        <x:v>2028</x:v>
      </x:c>
      <x:c r="C1375" s="380" t="n">
        <x:v>9</x:v>
      </x:c>
      <x:c r="D1375" s="380" t="str">
        <x:v>Sep</x:v>
      </x:c>
      <x:c r="E1375" s="380" t="n">
        <x:v>30</x:v>
      </x:c>
      <x:c r="F1375" s="380" t="n">
        <x:v>6</x:v>
      </x:c>
      <x:c r="G1375" s="380" t="n">
        <x:f>--(F1375&lt;='Estimator'!$B$7)</x:f>
        <x:v>0</x:v>
      </x:c>
      <x:c r="H1375" s="381" t="n">
        <x:f>SUMIFS('Climate Data'!$G$7:$G$366,'Climate Data'!$A$7:$A$366,'Estimator'!$B$4,'Climate Data'!$B$7:$B$366,C1375)</x:f>
        <x:v>0.4160919540229885</x:v>
      </x:c>
      <x:c r="I1375" s="382" t="n">
        <x:f>SUMIFS('Climate Data'!$H$7:$H$366,'Climate Data'!$A$7:$A$366,'Estimator'!$B$4,'Climate Data'!$B$7:$B$366,C1375)</x:f>
        <x:v>8.019060773480662</x:v>
      </x:c>
      <x:c r="J1375" s="381" t="n">
        <x:f>SUMIFS('Wind Proxy'!$H$8:$H$19,'Wind Proxy'!$A$8:$A$19,'Estimator'!$B$4,'Wind Proxy'!$B$8:$B$19,C1375)</x:f>
        <x:v>0.22222222222222224</x:v>
      </x:c>
    </x:row>
    <x:row r="1376">
      <x:c r="A1376" s="379" t="n">
        <x:v>47027</x:v>
      </x:c>
      <x:c r="B1376" s="380" t="n">
        <x:v>2028</x:v>
      </x:c>
      <x:c r="C1376" s="380" t="n">
        <x:v>10</x:v>
      </x:c>
      <x:c r="D1376" s="380" t="str">
        <x:v>Oct</x:v>
      </x:c>
      <x:c r="E1376" s="380" t="n">
        <x:v>1</x:v>
      </x:c>
      <x:c r="F1376" s="380" t="n">
        <x:v>7</x:v>
      </x:c>
      <x:c r="G1376" s="380" t="n">
        <x:f>--(F1376&lt;='Estimator'!$B$7)</x:f>
        <x:v>0</x:v>
      </x:c>
      <x:c r="H1376" s="381" t="n">
        <x:f>SUMIFS('Climate Data'!$G$7:$G$366,'Climate Data'!$A$7:$A$366,'Estimator'!$B$4,'Climate Data'!$B$7:$B$366,C1376)</x:f>
        <x:v>0.3721198156682028</x:v>
      </x:c>
      <x:c r="I1376" s="382" t="n">
        <x:f>SUMIFS('Climate Data'!$H$7:$H$366,'Climate Data'!$A$7:$A$366,'Estimator'!$B$4,'Climate Data'!$B$7:$B$366,C1376)</x:f>
        <x:v>7.940557275541795</x:v>
      </x:c>
      <x:c r="J1376" s="381" t="n">
        <x:f>SUMIFS('Wind Proxy'!$H$8:$H$19,'Wind Proxy'!$A$8:$A$19,'Estimator'!$B$4,'Wind Proxy'!$B$8:$B$19,C1376)</x:f>
        <x:v>0.21505376344086022</x:v>
      </x:c>
    </x:row>
    <x:row r="1377">
      <x:c r="A1377" s="379" t="n">
        <x:v>47028</x:v>
      </x:c>
      <x:c r="B1377" s="380" t="n">
        <x:v>2028</x:v>
      </x:c>
      <x:c r="C1377" s="380" t="n">
        <x:v>10</x:v>
      </x:c>
      <x:c r="D1377" s="380" t="str">
        <x:v>Oct</x:v>
      </x:c>
      <x:c r="E1377" s="380" t="n">
        <x:v>2</x:v>
      </x:c>
      <x:c r="F1377" s="380" t="n">
        <x:v>1</x:v>
      </x:c>
      <x:c r="G1377" s="380" t="n">
        <x:f>--(F1377&lt;='Estimator'!$B$7)</x:f>
        <x:v>1</x:v>
      </x:c>
      <x:c r="H1377" s="381" t="n">
        <x:f>SUMIFS('Climate Data'!$G$7:$G$366,'Climate Data'!$A$7:$A$366,'Estimator'!$B$4,'Climate Data'!$B$7:$B$366,C1377)</x:f>
        <x:v>0.3721198156682028</x:v>
      </x:c>
      <x:c r="I1377" s="382" t="n">
        <x:f>SUMIFS('Climate Data'!$H$7:$H$366,'Climate Data'!$A$7:$A$366,'Estimator'!$B$4,'Climate Data'!$B$7:$B$366,C1377)</x:f>
        <x:v>7.940557275541795</x:v>
      </x:c>
      <x:c r="J1377" s="381" t="n">
        <x:f>SUMIFS('Wind Proxy'!$H$8:$H$19,'Wind Proxy'!$A$8:$A$19,'Estimator'!$B$4,'Wind Proxy'!$B$8:$B$19,C1377)</x:f>
        <x:v>0.21505376344086022</x:v>
      </x:c>
    </x:row>
    <x:row r="1378">
      <x:c r="A1378" s="379" t="n">
        <x:v>47029</x:v>
      </x:c>
      <x:c r="B1378" s="380" t="n">
        <x:v>2028</x:v>
      </x:c>
      <x:c r="C1378" s="380" t="n">
        <x:v>10</x:v>
      </x:c>
      <x:c r="D1378" s="380" t="str">
        <x:v>Oct</x:v>
      </x:c>
      <x:c r="E1378" s="380" t="n">
        <x:v>3</x:v>
      </x:c>
      <x:c r="F1378" s="380" t="n">
        <x:v>2</x:v>
      </x:c>
      <x:c r="G1378" s="380" t="n">
        <x:f>--(F1378&lt;='Estimator'!$B$7)</x:f>
        <x:v>1</x:v>
      </x:c>
      <x:c r="H1378" s="381" t="n">
        <x:f>SUMIFS('Climate Data'!$G$7:$G$366,'Climate Data'!$A$7:$A$366,'Estimator'!$B$4,'Climate Data'!$B$7:$B$366,C1378)</x:f>
        <x:v>0.3721198156682028</x:v>
      </x:c>
      <x:c r="I1378" s="382" t="n">
        <x:f>SUMIFS('Climate Data'!$H$7:$H$366,'Climate Data'!$A$7:$A$366,'Estimator'!$B$4,'Climate Data'!$B$7:$B$366,C1378)</x:f>
        <x:v>7.940557275541795</x:v>
      </x:c>
      <x:c r="J1378" s="381" t="n">
        <x:f>SUMIFS('Wind Proxy'!$H$8:$H$19,'Wind Proxy'!$A$8:$A$19,'Estimator'!$B$4,'Wind Proxy'!$B$8:$B$19,C1378)</x:f>
        <x:v>0.21505376344086022</x:v>
      </x:c>
    </x:row>
    <x:row r="1379">
      <x:c r="A1379" s="379" t="n">
        <x:v>47030</x:v>
      </x:c>
      <x:c r="B1379" s="380" t="n">
        <x:v>2028</x:v>
      </x:c>
      <x:c r="C1379" s="380" t="n">
        <x:v>10</x:v>
      </x:c>
      <x:c r="D1379" s="380" t="str">
        <x:v>Oct</x:v>
      </x:c>
      <x:c r="E1379" s="380" t="n">
        <x:v>4</x:v>
      </x:c>
      <x:c r="F1379" s="380" t="n">
        <x:v>3</x:v>
      </x:c>
      <x:c r="G1379" s="380" t="n">
        <x:f>--(F1379&lt;='Estimator'!$B$7)</x:f>
        <x:v>1</x:v>
      </x:c>
      <x:c r="H1379" s="381" t="n">
        <x:f>SUMIFS('Climate Data'!$G$7:$G$366,'Climate Data'!$A$7:$A$366,'Estimator'!$B$4,'Climate Data'!$B$7:$B$366,C1379)</x:f>
        <x:v>0.3721198156682028</x:v>
      </x:c>
      <x:c r="I1379" s="382" t="n">
        <x:f>SUMIFS('Climate Data'!$H$7:$H$366,'Climate Data'!$A$7:$A$366,'Estimator'!$B$4,'Climate Data'!$B$7:$B$366,C1379)</x:f>
        <x:v>7.940557275541795</x:v>
      </x:c>
      <x:c r="J1379" s="381" t="n">
        <x:f>SUMIFS('Wind Proxy'!$H$8:$H$19,'Wind Proxy'!$A$8:$A$19,'Estimator'!$B$4,'Wind Proxy'!$B$8:$B$19,C1379)</x:f>
        <x:v>0.21505376344086022</x:v>
      </x:c>
    </x:row>
    <x:row r="1380">
      <x:c r="A1380" s="379" t="n">
        <x:v>47031</x:v>
      </x:c>
      <x:c r="B1380" s="380" t="n">
        <x:v>2028</x:v>
      </x:c>
      <x:c r="C1380" s="380" t="n">
        <x:v>10</x:v>
      </x:c>
      <x:c r="D1380" s="380" t="str">
        <x:v>Oct</x:v>
      </x:c>
      <x:c r="E1380" s="380" t="n">
        <x:v>5</x:v>
      </x:c>
      <x:c r="F1380" s="380" t="n">
        <x:v>4</x:v>
      </x:c>
      <x:c r="G1380" s="380" t="n">
        <x:f>--(F1380&lt;='Estimator'!$B$7)</x:f>
        <x:v>1</x:v>
      </x:c>
      <x:c r="H1380" s="381" t="n">
        <x:f>SUMIFS('Climate Data'!$G$7:$G$366,'Climate Data'!$A$7:$A$366,'Estimator'!$B$4,'Climate Data'!$B$7:$B$366,C1380)</x:f>
        <x:v>0.3721198156682028</x:v>
      </x:c>
      <x:c r="I1380" s="382" t="n">
        <x:f>SUMIFS('Climate Data'!$H$7:$H$366,'Climate Data'!$A$7:$A$366,'Estimator'!$B$4,'Climate Data'!$B$7:$B$366,C1380)</x:f>
        <x:v>7.940557275541795</x:v>
      </x:c>
      <x:c r="J1380" s="381" t="n">
        <x:f>SUMIFS('Wind Proxy'!$H$8:$H$19,'Wind Proxy'!$A$8:$A$19,'Estimator'!$B$4,'Wind Proxy'!$B$8:$B$19,C1380)</x:f>
        <x:v>0.21505376344086022</x:v>
      </x:c>
    </x:row>
    <x:row r="1381">
      <x:c r="A1381" s="379" t="n">
        <x:v>47032</x:v>
      </x:c>
      <x:c r="B1381" s="380" t="n">
        <x:v>2028</x:v>
      </x:c>
      <x:c r="C1381" s="380" t="n">
        <x:v>10</x:v>
      </x:c>
      <x:c r="D1381" s="380" t="str">
        <x:v>Oct</x:v>
      </x:c>
      <x:c r="E1381" s="380" t="n">
        <x:v>6</x:v>
      </x:c>
      <x:c r="F1381" s="380" t="n">
        <x:v>5</x:v>
      </x:c>
      <x:c r="G1381" s="380" t="n">
        <x:f>--(F1381&lt;='Estimator'!$B$7)</x:f>
        <x:v>1</x:v>
      </x:c>
      <x:c r="H1381" s="381" t="n">
        <x:f>SUMIFS('Climate Data'!$G$7:$G$366,'Climate Data'!$A$7:$A$366,'Estimator'!$B$4,'Climate Data'!$B$7:$B$366,C1381)</x:f>
        <x:v>0.3721198156682028</x:v>
      </x:c>
      <x:c r="I1381" s="382" t="n">
        <x:f>SUMIFS('Climate Data'!$H$7:$H$366,'Climate Data'!$A$7:$A$366,'Estimator'!$B$4,'Climate Data'!$B$7:$B$366,C1381)</x:f>
        <x:v>7.940557275541795</x:v>
      </x:c>
      <x:c r="J1381" s="381" t="n">
        <x:f>SUMIFS('Wind Proxy'!$H$8:$H$19,'Wind Proxy'!$A$8:$A$19,'Estimator'!$B$4,'Wind Proxy'!$B$8:$B$19,C1381)</x:f>
        <x:v>0.21505376344086022</x:v>
      </x:c>
    </x:row>
    <x:row r="1382">
      <x:c r="A1382" s="379" t="n">
        <x:v>47033</x:v>
      </x:c>
      <x:c r="B1382" s="380" t="n">
        <x:v>2028</x:v>
      </x:c>
      <x:c r="C1382" s="380" t="n">
        <x:v>10</x:v>
      </x:c>
      <x:c r="D1382" s="380" t="str">
        <x:v>Oct</x:v>
      </x:c>
      <x:c r="E1382" s="380" t="n">
        <x:v>7</x:v>
      </x:c>
      <x:c r="F1382" s="380" t="n">
        <x:v>6</x:v>
      </x:c>
      <x:c r="G1382" s="380" t="n">
        <x:f>--(F1382&lt;='Estimator'!$B$7)</x:f>
        <x:v>0</x:v>
      </x:c>
      <x:c r="H1382" s="381" t="n">
        <x:f>SUMIFS('Climate Data'!$G$7:$G$366,'Climate Data'!$A$7:$A$366,'Estimator'!$B$4,'Climate Data'!$B$7:$B$366,C1382)</x:f>
        <x:v>0.3721198156682028</x:v>
      </x:c>
      <x:c r="I1382" s="382" t="n">
        <x:f>SUMIFS('Climate Data'!$H$7:$H$366,'Climate Data'!$A$7:$A$366,'Estimator'!$B$4,'Climate Data'!$B$7:$B$366,C1382)</x:f>
        <x:v>7.940557275541795</x:v>
      </x:c>
      <x:c r="J1382" s="381" t="n">
        <x:f>SUMIFS('Wind Proxy'!$H$8:$H$19,'Wind Proxy'!$A$8:$A$19,'Estimator'!$B$4,'Wind Proxy'!$B$8:$B$19,C1382)</x:f>
        <x:v>0.21505376344086022</x:v>
      </x:c>
    </x:row>
    <x:row r="1383">
      <x:c r="A1383" s="379" t="n">
        <x:v>47034</x:v>
      </x:c>
      <x:c r="B1383" s="380" t="n">
        <x:v>2028</x:v>
      </x:c>
      <x:c r="C1383" s="380" t="n">
        <x:v>10</x:v>
      </x:c>
      <x:c r="D1383" s="380" t="str">
        <x:v>Oct</x:v>
      </x:c>
      <x:c r="E1383" s="380" t="n">
        <x:v>8</x:v>
      </x:c>
      <x:c r="F1383" s="380" t="n">
        <x:v>7</x:v>
      </x:c>
      <x:c r="G1383" s="380" t="n">
        <x:f>--(F1383&lt;='Estimator'!$B$7)</x:f>
        <x:v>0</x:v>
      </x:c>
      <x:c r="H1383" s="381" t="n">
        <x:f>SUMIFS('Climate Data'!$G$7:$G$366,'Climate Data'!$A$7:$A$366,'Estimator'!$B$4,'Climate Data'!$B$7:$B$366,C1383)</x:f>
        <x:v>0.3721198156682028</x:v>
      </x:c>
      <x:c r="I1383" s="382" t="n">
        <x:f>SUMIFS('Climate Data'!$H$7:$H$366,'Climate Data'!$A$7:$A$366,'Estimator'!$B$4,'Climate Data'!$B$7:$B$366,C1383)</x:f>
        <x:v>7.940557275541795</x:v>
      </x:c>
      <x:c r="J1383" s="381" t="n">
        <x:f>SUMIFS('Wind Proxy'!$H$8:$H$19,'Wind Proxy'!$A$8:$A$19,'Estimator'!$B$4,'Wind Proxy'!$B$8:$B$19,C1383)</x:f>
        <x:v>0.21505376344086022</x:v>
      </x:c>
    </x:row>
    <x:row r="1384">
      <x:c r="A1384" s="379" t="n">
        <x:v>47035</x:v>
      </x:c>
      <x:c r="B1384" s="380" t="n">
        <x:v>2028</x:v>
      </x:c>
      <x:c r="C1384" s="380" t="n">
        <x:v>10</x:v>
      </x:c>
      <x:c r="D1384" s="380" t="str">
        <x:v>Oct</x:v>
      </x:c>
      <x:c r="E1384" s="380" t="n">
        <x:v>9</x:v>
      </x:c>
      <x:c r="F1384" s="380" t="n">
        <x:v>1</x:v>
      </x:c>
      <x:c r="G1384" s="380" t="n">
        <x:f>--(F1384&lt;='Estimator'!$B$7)</x:f>
        <x:v>1</x:v>
      </x:c>
      <x:c r="H1384" s="381" t="n">
        <x:f>SUMIFS('Climate Data'!$G$7:$G$366,'Climate Data'!$A$7:$A$366,'Estimator'!$B$4,'Climate Data'!$B$7:$B$366,C1384)</x:f>
        <x:v>0.3721198156682028</x:v>
      </x:c>
      <x:c r="I1384" s="382" t="n">
        <x:f>SUMIFS('Climate Data'!$H$7:$H$366,'Climate Data'!$A$7:$A$366,'Estimator'!$B$4,'Climate Data'!$B$7:$B$366,C1384)</x:f>
        <x:v>7.940557275541795</x:v>
      </x:c>
      <x:c r="J1384" s="381" t="n">
        <x:f>SUMIFS('Wind Proxy'!$H$8:$H$19,'Wind Proxy'!$A$8:$A$19,'Estimator'!$B$4,'Wind Proxy'!$B$8:$B$19,C1384)</x:f>
        <x:v>0.21505376344086022</x:v>
      </x:c>
    </x:row>
    <x:row r="1385">
      <x:c r="A1385" s="379" t="n">
        <x:v>47036</x:v>
      </x:c>
      <x:c r="B1385" s="380" t="n">
        <x:v>2028</x:v>
      </x:c>
      <x:c r="C1385" s="380" t="n">
        <x:v>10</x:v>
      </x:c>
      <x:c r="D1385" s="380" t="str">
        <x:v>Oct</x:v>
      </x:c>
      <x:c r="E1385" s="380" t="n">
        <x:v>10</x:v>
      </x:c>
      <x:c r="F1385" s="380" t="n">
        <x:v>2</x:v>
      </x:c>
      <x:c r="G1385" s="380" t="n">
        <x:f>--(F1385&lt;='Estimator'!$B$7)</x:f>
        <x:v>1</x:v>
      </x:c>
      <x:c r="H1385" s="381" t="n">
        <x:f>SUMIFS('Climate Data'!$G$7:$G$366,'Climate Data'!$A$7:$A$366,'Estimator'!$B$4,'Climate Data'!$B$7:$B$366,C1385)</x:f>
        <x:v>0.3721198156682028</x:v>
      </x:c>
      <x:c r="I1385" s="382" t="n">
        <x:f>SUMIFS('Climate Data'!$H$7:$H$366,'Climate Data'!$A$7:$A$366,'Estimator'!$B$4,'Climate Data'!$B$7:$B$366,C1385)</x:f>
        <x:v>7.940557275541795</x:v>
      </x:c>
      <x:c r="J1385" s="381" t="n">
        <x:f>SUMIFS('Wind Proxy'!$H$8:$H$19,'Wind Proxy'!$A$8:$A$19,'Estimator'!$B$4,'Wind Proxy'!$B$8:$B$19,C1385)</x:f>
        <x:v>0.21505376344086022</x:v>
      </x:c>
    </x:row>
    <x:row r="1386">
      <x:c r="A1386" s="379" t="n">
        <x:v>47037</x:v>
      </x:c>
      <x:c r="B1386" s="380" t="n">
        <x:v>2028</x:v>
      </x:c>
      <x:c r="C1386" s="380" t="n">
        <x:v>10</x:v>
      </x:c>
      <x:c r="D1386" s="380" t="str">
        <x:v>Oct</x:v>
      </x:c>
      <x:c r="E1386" s="380" t="n">
        <x:v>11</x:v>
      </x:c>
      <x:c r="F1386" s="380" t="n">
        <x:v>3</x:v>
      </x:c>
      <x:c r="G1386" s="380" t="n">
        <x:f>--(F1386&lt;='Estimator'!$B$7)</x:f>
        <x:v>1</x:v>
      </x:c>
      <x:c r="H1386" s="381" t="n">
        <x:f>SUMIFS('Climate Data'!$G$7:$G$366,'Climate Data'!$A$7:$A$366,'Estimator'!$B$4,'Climate Data'!$B$7:$B$366,C1386)</x:f>
        <x:v>0.3721198156682028</x:v>
      </x:c>
      <x:c r="I1386" s="382" t="n">
        <x:f>SUMIFS('Climate Data'!$H$7:$H$366,'Climate Data'!$A$7:$A$366,'Estimator'!$B$4,'Climate Data'!$B$7:$B$366,C1386)</x:f>
        <x:v>7.940557275541795</x:v>
      </x:c>
      <x:c r="J1386" s="381" t="n">
        <x:f>SUMIFS('Wind Proxy'!$H$8:$H$19,'Wind Proxy'!$A$8:$A$19,'Estimator'!$B$4,'Wind Proxy'!$B$8:$B$19,C1386)</x:f>
        <x:v>0.21505376344086022</x:v>
      </x:c>
    </x:row>
    <x:row r="1387">
      <x:c r="A1387" s="379" t="n">
        <x:v>47038</x:v>
      </x:c>
      <x:c r="B1387" s="380" t="n">
        <x:v>2028</x:v>
      </x:c>
      <x:c r="C1387" s="380" t="n">
        <x:v>10</x:v>
      </x:c>
      <x:c r="D1387" s="380" t="str">
        <x:v>Oct</x:v>
      </x:c>
      <x:c r="E1387" s="380" t="n">
        <x:v>12</x:v>
      </x:c>
      <x:c r="F1387" s="380" t="n">
        <x:v>4</x:v>
      </x:c>
      <x:c r="G1387" s="380" t="n">
        <x:f>--(F1387&lt;='Estimator'!$B$7)</x:f>
        <x:v>1</x:v>
      </x:c>
      <x:c r="H1387" s="381" t="n">
        <x:f>SUMIFS('Climate Data'!$G$7:$G$366,'Climate Data'!$A$7:$A$366,'Estimator'!$B$4,'Climate Data'!$B$7:$B$366,C1387)</x:f>
        <x:v>0.3721198156682028</x:v>
      </x:c>
      <x:c r="I1387" s="382" t="n">
        <x:f>SUMIFS('Climate Data'!$H$7:$H$366,'Climate Data'!$A$7:$A$366,'Estimator'!$B$4,'Climate Data'!$B$7:$B$366,C1387)</x:f>
        <x:v>7.940557275541795</x:v>
      </x:c>
      <x:c r="J1387" s="381" t="n">
        <x:f>SUMIFS('Wind Proxy'!$H$8:$H$19,'Wind Proxy'!$A$8:$A$19,'Estimator'!$B$4,'Wind Proxy'!$B$8:$B$19,C1387)</x:f>
        <x:v>0.21505376344086022</x:v>
      </x:c>
    </x:row>
    <x:row r="1388">
      <x:c r="A1388" s="379" t="n">
        <x:v>47039</x:v>
      </x:c>
      <x:c r="B1388" s="380" t="n">
        <x:v>2028</x:v>
      </x:c>
      <x:c r="C1388" s="380" t="n">
        <x:v>10</x:v>
      </x:c>
      <x:c r="D1388" s="380" t="str">
        <x:v>Oct</x:v>
      </x:c>
      <x:c r="E1388" s="380" t="n">
        <x:v>13</x:v>
      </x:c>
      <x:c r="F1388" s="380" t="n">
        <x:v>5</x:v>
      </x:c>
      <x:c r="G1388" s="380" t="n">
        <x:f>--(F1388&lt;='Estimator'!$B$7)</x:f>
        <x:v>1</x:v>
      </x:c>
      <x:c r="H1388" s="381" t="n">
        <x:f>SUMIFS('Climate Data'!$G$7:$G$366,'Climate Data'!$A$7:$A$366,'Estimator'!$B$4,'Climate Data'!$B$7:$B$366,C1388)</x:f>
        <x:v>0.3721198156682028</x:v>
      </x:c>
      <x:c r="I1388" s="382" t="n">
        <x:f>SUMIFS('Climate Data'!$H$7:$H$366,'Climate Data'!$A$7:$A$366,'Estimator'!$B$4,'Climate Data'!$B$7:$B$366,C1388)</x:f>
        <x:v>7.940557275541795</x:v>
      </x:c>
      <x:c r="J1388" s="381" t="n">
        <x:f>SUMIFS('Wind Proxy'!$H$8:$H$19,'Wind Proxy'!$A$8:$A$19,'Estimator'!$B$4,'Wind Proxy'!$B$8:$B$19,C1388)</x:f>
        <x:v>0.21505376344086022</x:v>
      </x:c>
    </x:row>
    <x:row r="1389">
      <x:c r="A1389" s="379" t="n">
        <x:v>47040</x:v>
      </x:c>
      <x:c r="B1389" s="380" t="n">
        <x:v>2028</x:v>
      </x:c>
      <x:c r="C1389" s="380" t="n">
        <x:v>10</x:v>
      </x:c>
      <x:c r="D1389" s="380" t="str">
        <x:v>Oct</x:v>
      </x:c>
      <x:c r="E1389" s="380" t="n">
        <x:v>14</x:v>
      </x:c>
      <x:c r="F1389" s="380" t="n">
        <x:v>6</x:v>
      </x:c>
      <x:c r="G1389" s="380" t="n">
        <x:f>--(F1389&lt;='Estimator'!$B$7)</x:f>
        <x:v>0</x:v>
      </x:c>
      <x:c r="H1389" s="381" t="n">
        <x:f>SUMIFS('Climate Data'!$G$7:$G$366,'Climate Data'!$A$7:$A$366,'Estimator'!$B$4,'Climate Data'!$B$7:$B$366,C1389)</x:f>
        <x:v>0.3721198156682028</x:v>
      </x:c>
      <x:c r="I1389" s="382" t="n">
        <x:f>SUMIFS('Climate Data'!$H$7:$H$366,'Climate Data'!$A$7:$A$366,'Estimator'!$B$4,'Climate Data'!$B$7:$B$366,C1389)</x:f>
        <x:v>7.940557275541795</x:v>
      </x:c>
      <x:c r="J1389" s="381" t="n">
        <x:f>SUMIFS('Wind Proxy'!$H$8:$H$19,'Wind Proxy'!$A$8:$A$19,'Estimator'!$B$4,'Wind Proxy'!$B$8:$B$19,C1389)</x:f>
        <x:v>0.21505376344086022</x:v>
      </x:c>
    </x:row>
    <x:row r="1390">
      <x:c r="A1390" s="379" t="n">
        <x:v>47041</x:v>
      </x:c>
      <x:c r="B1390" s="380" t="n">
        <x:v>2028</x:v>
      </x:c>
      <x:c r="C1390" s="380" t="n">
        <x:v>10</x:v>
      </x:c>
      <x:c r="D1390" s="380" t="str">
        <x:v>Oct</x:v>
      </x:c>
      <x:c r="E1390" s="380" t="n">
        <x:v>15</x:v>
      </x:c>
      <x:c r="F1390" s="380" t="n">
        <x:v>7</x:v>
      </x:c>
      <x:c r="G1390" s="380" t="n">
        <x:f>--(F1390&lt;='Estimator'!$B$7)</x:f>
        <x:v>0</x:v>
      </x:c>
      <x:c r="H1390" s="381" t="n">
        <x:f>SUMIFS('Climate Data'!$G$7:$G$366,'Climate Data'!$A$7:$A$366,'Estimator'!$B$4,'Climate Data'!$B$7:$B$366,C1390)</x:f>
        <x:v>0.3721198156682028</x:v>
      </x:c>
      <x:c r="I1390" s="382" t="n">
        <x:f>SUMIFS('Climate Data'!$H$7:$H$366,'Climate Data'!$A$7:$A$366,'Estimator'!$B$4,'Climate Data'!$B$7:$B$366,C1390)</x:f>
        <x:v>7.940557275541795</x:v>
      </x:c>
      <x:c r="J1390" s="381" t="n">
        <x:f>SUMIFS('Wind Proxy'!$H$8:$H$19,'Wind Proxy'!$A$8:$A$19,'Estimator'!$B$4,'Wind Proxy'!$B$8:$B$19,C1390)</x:f>
        <x:v>0.21505376344086022</x:v>
      </x:c>
    </x:row>
    <x:row r="1391">
      <x:c r="A1391" s="379" t="n">
        <x:v>47042</x:v>
      </x:c>
      <x:c r="B1391" s="380" t="n">
        <x:v>2028</x:v>
      </x:c>
      <x:c r="C1391" s="380" t="n">
        <x:v>10</x:v>
      </x:c>
      <x:c r="D1391" s="380" t="str">
        <x:v>Oct</x:v>
      </x:c>
      <x:c r="E1391" s="380" t="n">
        <x:v>16</x:v>
      </x:c>
      <x:c r="F1391" s="380" t="n">
        <x:v>1</x:v>
      </x:c>
      <x:c r="G1391" s="380" t="n">
        <x:f>--(F1391&lt;='Estimator'!$B$7)</x:f>
        <x:v>1</x:v>
      </x:c>
      <x:c r="H1391" s="381" t="n">
        <x:f>SUMIFS('Climate Data'!$G$7:$G$366,'Climate Data'!$A$7:$A$366,'Estimator'!$B$4,'Climate Data'!$B$7:$B$366,C1391)</x:f>
        <x:v>0.3721198156682028</x:v>
      </x:c>
      <x:c r="I1391" s="382" t="n">
        <x:f>SUMIFS('Climate Data'!$H$7:$H$366,'Climate Data'!$A$7:$A$366,'Estimator'!$B$4,'Climate Data'!$B$7:$B$366,C1391)</x:f>
        <x:v>7.940557275541795</x:v>
      </x:c>
      <x:c r="J1391" s="381" t="n">
        <x:f>SUMIFS('Wind Proxy'!$H$8:$H$19,'Wind Proxy'!$A$8:$A$19,'Estimator'!$B$4,'Wind Proxy'!$B$8:$B$19,C1391)</x:f>
        <x:v>0.21505376344086022</x:v>
      </x:c>
    </x:row>
    <x:row r="1392">
      <x:c r="A1392" s="379" t="n">
        <x:v>47043</x:v>
      </x:c>
      <x:c r="B1392" s="380" t="n">
        <x:v>2028</x:v>
      </x:c>
      <x:c r="C1392" s="380" t="n">
        <x:v>10</x:v>
      </x:c>
      <x:c r="D1392" s="380" t="str">
        <x:v>Oct</x:v>
      </x:c>
      <x:c r="E1392" s="380" t="n">
        <x:v>17</x:v>
      </x:c>
      <x:c r="F1392" s="380" t="n">
        <x:v>2</x:v>
      </x:c>
      <x:c r="G1392" s="380" t="n">
        <x:f>--(F1392&lt;='Estimator'!$B$7)</x:f>
        <x:v>1</x:v>
      </x:c>
      <x:c r="H1392" s="381" t="n">
        <x:f>SUMIFS('Climate Data'!$G$7:$G$366,'Climate Data'!$A$7:$A$366,'Estimator'!$B$4,'Climate Data'!$B$7:$B$366,C1392)</x:f>
        <x:v>0.3721198156682028</x:v>
      </x:c>
      <x:c r="I1392" s="382" t="n">
        <x:f>SUMIFS('Climate Data'!$H$7:$H$366,'Climate Data'!$A$7:$A$366,'Estimator'!$B$4,'Climate Data'!$B$7:$B$366,C1392)</x:f>
        <x:v>7.940557275541795</x:v>
      </x:c>
      <x:c r="J1392" s="381" t="n">
        <x:f>SUMIFS('Wind Proxy'!$H$8:$H$19,'Wind Proxy'!$A$8:$A$19,'Estimator'!$B$4,'Wind Proxy'!$B$8:$B$19,C1392)</x:f>
        <x:v>0.21505376344086022</x:v>
      </x:c>
    </x:row>
    <x:row r="1393">
      <x:c r="A1393" s="379" t="n">
        <x:v>47044</x:v>
      </x:c>
      <x:c r="B1393" s="380" t="n">
        <x:v>2028</x:v>
      </x:c>
      <x:c r="C1393" s="380" t="n">
        <x:v>10</x:v>
      </x:c>
      <x:c r="D1393" s="380" t="str">
        <x:v>Oct</x:v>
      </x:c>
      <x:c r="E1393" s="380" t="n">
        <x:v>18</x:v>
      </x:c>
      <x:c r="F1393" s="380" t="n">
        <x:v>3</x:v>
      </x:c>
      <x:c r="G1393" s="380" t="n">
        <x:f>--(F1393&lt;='Estimator'!$B$7)</x:f>
        <x:v>1</x:v>
      </x:c>
      <x:c r="H1393" s="381" t="n">
        <x:f>SUMIFS('Climate Data'!$G$7:$G$366,'Climate Data'!$A$7:$A$366,'Estimator'!$B$4,'Climate Data'!$B$7:$B$366,C1393)</x:f>
        <x:v>0.3721198156682028</x:v>
      </x:c>
      <x:c r="I1393" s="382" t="n">
        <x:f>SUMIFS('Climate Data'!$H$7:$H$366,'Climate Data'!$A$7:$A$366,'Estimator'!$B$4,'Climate Data'!$B$7:$B$366,C1393)</x:f>
        <x:v>7.940557275541795</x:v>
      </x:c>
      <x:c r="J1393" s="381" t="n">
        <x:f>SUMIFS('Wind Proxy'!$H$8:$H$19,'Wind Proxy'!$A$8:$A$19,'Estimator'!$B$4,'Wind Proxy'!$B$8:$B$19,C1393)</x:f>
        <x:v>0.21505376344086022</x:v>
      </x:c>
    </x:row>
    <x:row r="1394">
      <x:c r="A1394" s="379" t="n">
        <x:v>47045</x:v>
      </x:c>
      <x:c r="B1394" s="380" t="n">
        <x:v>2028</x:v>
      </x:c>
      <x:c r="C1394" s="380" t="n">
        <x:v>10</x:v>
      </x:c>
      <x:c r="D1394" s="380" t="str">
        <x:v>Oct</x:v>
      </x:c>
      <x:c r="E1394" s="380" t="n">
        <x:v>19</x:v>
      </x:c>
      <x:c r="F1394" s="380" t="n">
        <x:v>4</x:v>
      </x:c>
      <x:c r="G1394" s="380" t="n">
        <x:f>--(F1394&lt;='Estimator'!$B$7)</x:f>
        <x:v>1</x:v>
      </x:c>
      <x:c r="H1394" s="381" t="n">
        <x:f>SUMIFS('Climate Data'!$G$7:$G$366,'Climate Data'!$A$7:$A$366,'Estimator'!$B$4,'Climate Data'!$B$7:$B$366,C1394)</x:f>
        <x:v>0.3721198156682028</x:v>
      </x:c>
      <x:c r="I1394" s="382" t="n">
        <x:f>SUMIFS('Climate Data'!$H$7:$H$366,'Climate Data'!$A$7:$A$366,'Estimator'!$B$4,'Climate Data'!$B$7:$B$366,C1394)</x:f>
        <x:v>7.940557275541795</x:v>
      </x:c>
      <x:c r="J1394" s="381" t="n">
        <x:f>SUMIFS('Wind Proxy'!$H$8:$H$19,'Wind Proxy'!$A$8:$A$19,'Estimator'!$B$4,'Wind Proxy'!$B$8:$B$19,C1394)</x:f>
        <x:v>0.21505376344086022</x:v>
      </x:c>
    </x:row>
    <x:row r="1395">
      <x:c r="A1395" s="379" t="n">
        <x:v>47046</x:v>
      </x:c>
      <x:c r="B1395" s="380" t="n">
        <x:v>2028</x:v>
      </x:c>
      <x:c r="C1395" s="380" t="n">
        <x:v>10</x:v>
      </x:c>
      <x:c r="D1395" s="380" t="str">
        <x:v>Oct</x:v>
      </x:c>
      <x:c r="E1395" s="380" t="n">
        <x:v>20</x:v>
      </x:c>
      <x:c r="F1395" s="380" t="n">
        <x:v>5</x:v>
      </x:c>
      <x:c r="G1395" s="380" t="n">
        <x:f>--(F1395&lt;='Estimator'!$B$7)</x:f>
        <x:v>1</x:v>
      </x:c>
      <x:c r="H1395" s="381" t="n">
        <x:f>SUMIFS('Climate Data'!$G$7:$G$366,'Climate Data'!$A$7:$A$366,'Estimator'!$B$4,'Climate Data'!$B$7:$B$366,C1395)</x:f>
        <x:v>0.3721198156682028</x:v>
      </x:c>
      <x:c r="I1395" s="382" t="n">
        <x:f>SUMIFS('Climate Data'!$H$7:$H$366,'Climate Data'!$A$7:$A$366,'Estimator'!$B$4,'Climate Data'!$B$7:$B$366,C1395)</x:f>
        <x:v>7.940557275541795</x:v>
      </x:c>
      <x:c r="J1395" s="381" t="n">
        <x:f>SUMIFS('Wind Proxy'!$H$8:$H$19,'Wind Proxy'!$A$8:$A$19,'Estimator'!$B$4,'Wind Proxy'!$B$8:$B$19,C1395)</x:f>
        <x:v>0.21505376344086022</x:v>
      </x:c>
    </x:row>
    <x:row r="1396">
      <x:c r="A1396" s="379" t="n">
        <x:v>47047</x:v>
      </x:c>
      <x:c r="B1396" s="380" t="n">
        <x:v>2028</x:v>
      </x:c>
      <x:c r="C1396" s="380" t="n">
        <x:v>10</x:v>
      </x:c>
      <x:c r="D1396" s="380" t="str">
        <x:v>Oct</x:v>
      </x:c>
      <x:c r="E1396" s="380" t="n">
        <x:v>21</x:v>
      </x:c>
      <x:c r="F1396" s="380" t="n">
        <x:v>6</x:v>
      </x:c>
      <x:c r="G1396" s="380" t="n">
        <x:f>--(F1396&lt;='Estimator'!$B$7)</x:f>
        <x:v>0</x:v>
      </x:c>
      <x:c r="H1396" s="381" t="n">
        <x:f>SUMIFS('Climate Data'!$G$7:$G$366,'Climate Data'!$A$7:$A$366,'Estimator'!$B$4,'Climate Data'!$B$7:$B$366,C1396)</x:f>
        <x:v>0.3721198156682028</x:v>
      </x:c>
      <x:c r="I1396" s="382" t="n">
        <x:f>SUMIFS('Climate Data'!$H$7:$H$366,'Climate Data'!$A$7:$A$366,'Estimator'!$B$4,'Climate Data'!$B$7:$B$366,C1396)</x:f>
        <x:v>7.940557275541795</x:v>
      </x:c>
      <x:c r="J1396" s="381" t="n">
        <x:f>SUMIFS('Wind Proxy'!$H$8:$H$19,'Wind Proxy'!$A$8:$A$19,'Estimator'!$B$4,'Wind Proxy'!$B$8:$B$19,C1396)</x:f>
        <x:v>0.21505376344086022</x:v>
      </x:c>
    </x:row>
    <x:row r="1397">
      <x:c r="A1397" s="379" t="n">
        <x:v>47048</x:v>
      </x:c>
      <x:c r="B1397" s="380" t="n">
        <x:v>2028</x:v>
      </x:c>
      <x:c r="C1397" s="380" t="n">
        <x:v>10</x:v>
      </x:c>
      <x:c r="D1397" s="380" t="str">
        <x:v>Oct</x:v>
      </x:c>
      <x:c r="E1397" s="380" t="n">
        <x:v>22</x:v>
      </x:c>
      <x:c r="F1397" s="380" t="n">
        <x:v>7</x:v>
      </x:c>
      <x:c r="G1397" s="380" t="n">
        <x:f>--(F1397&lt;='Estimator'!$B$7)</x:f>
        <x:v>0</x:v>
      </x:c>
      <x:c r="H1397" s="381" t="n">
        <x:f>SUMIFS('Climate Data'!$G$7:$G$366,'Climate Data'!$A$7:$A$366,'Estimator'!$B$4,'Climate Data'!$B$7:$B$366,C1397)</x:f>
        <x:v>0.3721198156682028</x:v>
      </x:c>
      <x:c r="I1397" s="382" t="n">
        <x:f>SUMIFS('Climate Data'!$H$7:$H$366,'Climate Data'!$A$7:$A$366,'Estimator'!$B$4,'Climate Data'!$B$7:$B$366,C1397)</x:f>
        <x:v>7.940557275541795</x:v>
      </x:c>
      <x:c r="J1397" s="381" t="n">
        <x:f>SUMIFS('Wind Proxy'!$H$8:$H$19,'Wind Proxy'!$A$8:$A$19,'Estimator'!$B$4,'Wind Proxy'!$B$8:$B$19,C1397)</x:f>
        <x:v>0.21505376344086022</x:v>
      </x:c>
    </x:row>
    <x:row r="1398">
      <x:c r="A1398" s="379" t="n">
        <x:v>47049</x:v>
      </x:c>
      <x:c r="B1398" s="380" t="n">
        <x:v>2028</x:v>
      </x:c>
      <x:c r="C1398" s="380" t="n">
        <x:v>10</x:v>
      </x:c>
      <x:c r="D1398" s="380" t="str">
        <x:v>Oct</x:v>
      </x:c>
      <x:c r="E1398" s="380" t="n">
        <x:v>23</x:v>
      </x:c>
      <x:c r="F1398" s="380" t="n">
        <x:v>1</x:v>
      </x:c>
      <x:c r="G1398" s="380" t="n">
        <x:f>--(F1398&lt;='Estimator'!$B$7)</x:f>
        <x:v>1</x:v>
      </x:c>
      <x:c r="H1398" s="381" t="n">
        <x:f>SUMIFS('Climate Data'!$G$7:$G$366,'Climate Data'!$A$7:$A$366,'Estimator'!$B$4,'Climate Data'!$B$7:$B$366,C1398)</x:f>
        <x:v>0.3721198156682028</x:v>
      </x:c>
      <x:c r="I1398" s="382" t="n">
        <x:f>SUMIFS('Climate Data'!$H$7:$H$366,'Climate Data'!$A$7:$A$366,'Estimator'!$B$4,'Climate Data'!$B$7:$B$366,C1398)</x:f>
        <x:v>7.940557275541795</x:v>
      </x:c>
      <x:c r="J1398" s="381" t="n">
        <x:f>SUMIFS('Wind Proxy'!$H$8:$H$19,'Wind Proxy'!$A$8:$A$19,'Estimator'!$B$4,'Wind Proxy'!$B$8:$B$19,C1398)</x:f>
        <x:v>0.21505376344086022</x:v>
      </x:c>
    </x:row>
    <x:row r="1399">
      <x:c r="A1399" s="379" t="n">
        <x:v>47050</x:v>
      </x:c>
      <x:c r="B1399" s="380" t="n">
        <x:v>2028</x:v>
      </x:c>
      <x:c r="C1399" s="380" t="n">
        <x:v>10</x:v>
      </x:c>
      <x:c r="D1399" s="380" t="str">
        <x:v>Oct</x:v>
      </x:c>
      <x:c r="E1399" s="380" t="n">
        <x:v>24</x:v>
      </x:c>
      <x:c r="F1399" s="380" t="n">
        <x:v>2</x:v>
      </x:c>
      <x:c r="G1399" s="380" t="n">
        <x:f>--(F1399&lt;='Estimator'!$B$7)</x:f>
        <x:v>1</x:v>
      </x:c>
      <x:c r="H1399" s="381" t="n">
        <x:f>SUMIFS('Climate Data'!$G$7:$G$366,'Climate Data'!$A$7:$A$366,'Estimator'!$B$4,'Climate Data'!$B$7:$B$366,C1399)</x:f>
        <x:v>0.3721198156682028</x:v>
      </x:c>
      <x:c r="I1399" s="382" t="n">
        <x:f>SUMIFS('Climate Data'!$H$7:$H$366,'Climate Data'!$A$7:$A$366,'Estimator'!$B$4,'Climate Data'!$B$7:$B$366,C1399)</x:f>
        <x:v>7.940557275541795</x:v>
      </x:c>
      <x:c r="J1399" s="381" t="n">
        <x:f>SUMIFS('Wind Proxy'!$H$8:$H$19,'Wind Proxy'!$A$8:$A$19,'Estimator'!$B$4,'Wind Proxy'!$B$8:$B$19,C1399)</x:f>
        <x:v>0.21505376344086022</x:v>
      </x:c>
    </x:row>
    <x:row r="1400">
      <x:c r="A1400" s="379" t="n">
        <x:v>47051</x:v>
      </x:c>
      <x:c r="B1400" s="380" t="n">
        <x:v>2028</x:v>
      </x:c>
      <x:c r="C1400" s="380" t="n">
        <x:v>10</x:v>
      </x:c>
      <x:c r="D1400" s="380" t="str">
        <x:v>Oct</x:v>
      </x:c>
      <x:c r="E1400" s="380" t="n">
        <x:v>25</x:v>
      </x:c>
      <x:c r="F1400" s="380" t="n">
        <x:v>3</x:v>
      </x:c>
      <x:c r="G1400" s="380" t="n">
        <x:f>--(F1400&lt;='Estimator'!$B$7)</x:f>
        <x:v>1</x:v>
      </x:c>
      <x:c r="H1400" s="381" t="n">
        <x:f>SUMIFS('Climate Data'!$G$7:$G$366,'Climate Data'!$A$7:$A$366,'Estimator'!$B$4,'Climate Data'!$B$7:$B$366,C1400)</x:f>
        <x:v>0.3721198156682028</x:v>
      </x:c>
      <x:c r="I1400" s="382" t="n">
        <x:f>SUMIFS('Climate Data'!$H$7:$H$366,'Climate Data'!$A$7:$A$366,'Estimator'!$B$4,'Climate Data'!$B$7:$B$366,C1400)</x:f>
        <x:v>7.940557275541795</x:v>
      </x:c>
      <x:c r="J1400" s="381" t="n">
        <x:f>SUMIFS('Wind Proxy'!$H$8:$H$19,'Wind Proxy'!$A$8:$A$19,'Estimator'!$B$4,'Wind Proxy'!$B$8:$B$19,C1400)</x:f>
        <x:v>0.21505376344086022</x:v>
      </x:c>
    </x:row>
    <x:row r="1401">
      <x:c r="A1401" s="379" t="n">
        <x:v>47052</x:v>
      </x:c>
      <x:c r="B1401" s="380" t="n">
        <x:v>2028</x:v>
      </x:c>
      <x:c r="C1401" s="380" t="n">
        <x:v>10</x:v>
      </x:c>
      <x:c r="D1401" s="380" t="str">
        <x:v>Oct</x:v>
      </x:c>
      <x:c r="E1401" s="380" t="n">
        <x:v>26</x:v>
      </x:c>
      <x:c r="F1401" s="380" t="n">
        <x:v>4</x:v>
      </x:c>
      <x:c r="G1401" s="380" t="n">
        <x:f>--(F1401&lt;='Estimator'!$B$7)</x:f>
        <x:v>1</x:v>
      </x:c>
      <x:c r="H1401" s="381" t="n">
        <x:f>SUMIFS('Climate Data'!$G$7:$G$366,'Climate Data'!$A$7:$A$366,'Estimator'!$B$4,'Climate Data'!$B$7:$B$366,C1401)</x:f>
        <x:v>0.3721198156682028</x:v>
      </x:c>
      <x:c r="I1401" s="382" t="n">
        <x:f>SUMIFS('Climate Data'!$H$7:$H$366,'Climate Data'!$A$7:$A$366,'Estimator'!$B$4,'Climate Data'!$B$7:$B$366,C1401)</x:f>
        <x:v>7.940557275541795</x:v>
      </x:c>
      <x:c r="J1401" s="381" t="n">
        <x:f>SUMIFS('Wind Proxy'!$H$8:$H$19,'Wind Proxy'!$A$8:$A$19,'Estimator'!$B$4,'Wind Proxy'!$B$8:$B$19,C1401)</x:f>
        <x:v>0.21505376344086022</x:v>
      </x:c>
    </x:row>
    <x:row r="1402">
      <x:c r="A1402" s="379" t="n">
        <x:v>47053</x:v>
      </x:c>
      <x:c r="B1402" s="380" t="n">
        <x:v>2028</x:v>
      </x:c>
      <x:c r="C1402" s="380" t="n">
        <x:v>10</x:v>
      </x:c>
      <x:c r="D1402" s="380" t="str">
        <x:v>Oct</x:v>
      </x:c>
      <x:c r="E1402" s="380" t="n">
        <x:v>27</x:v>
      </x:c>
      <x:c r="F1402" s="380" t="n">
        <x:v>5</x:v>
      </x:c>
      <x:c r="G1402" s="380" t="n">
        <x:f>--(F1402&lt;='Estimator'!$B$7)</x:f>
        <x:v>1</x:v>
      </x:c>
      <x:c r="H1402" s="381" t="n">
        <x:f>SUMIFS('Climate Data'!$G$7:$G$366,'Climate Data'!$A$7:$A$366,'Estimator'!$B$4,'Climate Data'!$B$7:$B$366,C1402)</x:f>
        <x:v>0.3721198156682028</x:v>
      </x:c>
      <x:c r="I1402" s="382" t="n">
        <x:f>SUMIFS('Climate Data'!$H$7:$H$366,'Climate Data'!$A$7:$A$366,'Estimator'!$B$4,'Climate Data'!$B$7:$B$366,C1402)</x:f>
        <x:v>7.940557275541795</x:v>
      </x:c>
      <x:c r="J1402" s="381" t="n">
        <x:f>SUMIFS('Wind Proxy'!$H$8:$H$19,'Wind Proxy'!$A$8:$A$19,'Estimator'!$B$4,'Wind Proxy'!$B$8:$B$19,C1402)</x:f>
        <x:v>0.21505376344086022</x:v>
      </x:c>
    </x:row>
    <x:row r="1403">
      <x:c r="A1403" s="379" t="n">
        <x:v>47054</x:v>
      </x:c>
      <x:c r="B1403" s="380" t="n">
        <x:v>2028</x:v>
      </x:c>
      <x:c r="C1403" s="380" t="n">
        <x:v>10</x:v>
      </x:c>
      <x:c r="D1403" s="380" t="str">
        <x:v>Oct</x:v>
      </x:c>
      <x:c r="E1403" s="380" t="n">
        <x:v>28</x:v>
      </x:c>
      <x:c r="F1403" s="380" t="n">
        <x:v>6</x:v>
      </x:c>
      <x:c r="G1403" s="380" t="n">
        <x:f>--(F1403&lt;='Estimator'!$B$7)</x:f>
        <x:v>0</x:v>
      </x:c>
      <x:c r="H1403" s="381" t="n">
        <x:f>SUMIFS('Climate Data'!$G$7:$G$366,'Climate Data'!$A$7:$A$366,'Estimator'!$B$4,'Climate Data'!$B$7:$B$366,C1403)</x:f>
        <x:v>0.3721198156682028</x:v>
      </x:c>
      <x:c r="I1403" s="382" t="n">
        <x:f>SUMIFS('Climate Data'!$H$7:$H$366,'Climate Data'!$A$7:$A$366,'Estimator'!$B$4,'Climate Data'!$B$7:$B$366,C1403)</x:f>
        <x:v>7.940557275541795</x:v>
      </x:c>
      <x:c r="J1403" s="381" t="n">
        <x:f>SUMIFS('Wind Proxy'!$H$8:$H$19,'Wind Proxy'!$A$8:$A$19,'Estimator'!$B$4,'Wind Proxy'!$B$8:$B$19,C1403)</x:f>
        <x:v>0.21505376344086022</x:v>
      </x:c>
    </x:row>
    <x:row r="1404">
      <x:c r="A1404" s="379" t="n">
        <x:v>47055</x:v>
      </x:c>
      <x:c r="B1404" s="380" t="n">
        <x:v>2028</x:v>
      </x:c>
      <x:c r="C1404" s="380" t="n">
        <x:v>10</x:v>
      </x:c>
      <x:c r="D1404" s="380" t="str">
        <x:v>Oct</x:v>
      </x:c>
      <x:c r="E1404" s="380" t="n">
        <x:v>29</x:v>
      </x:c>
      <x:c r="F1404" s="380" t="n">
        <x:v>7</x:v>
      </x:c>
      <x:c r="G1404" s="380" t="n">
        <x:f>--(F1404&lt;='Estimator'!$B$7)</x:f>
        <x:v>0</x:v>
      </x:c>
      <x:c r="H1404" s="381" t="n">
        <x:f>SUMIFS('Climate Data'!$G$7:$G$366,'Climate Data'!$A$7:$A$366,'Estimator'!$B$4,'Climate Data'!$B$7:$B$366,C1404)</x:f>
        <x:v>0.3721198156682028</x:v>
      </x:c>
      <x:c r="I1404" s="382" t="n">
        <x:f>SUMIFS('Climate Data'!$H$7:$H$366,'Climate Data'!$A$7:$A$366,'Estimator'!$B$4,'Climate Data'!$B$7:$B$366,C1404)</x:f>
        <x:v>7.940557275541795</x:v>
      </x:c>
      <x:c r="J1404" s="381" t="n">
        <x:f>SUMIFS('Wind Proxy'!$H$8:$H$19,'Wind Proxy'!$A$8:$A$19,'Estimator'!$B$4,'Wind Proxy'!$B$8:$B$19,C1404)</x:f>
        <x:v>0.21505376344086022</x:v>
      </x:c>
    </x:row>
    <x:row r="1405">
      <x:c r="A1405" s="379" t="n">
        <x:v>47056</x:v>
      </x:c>
      <x:c r="B1405" s="380" t="n">
        <x:v>2028</x:v>
      </x:c>
      <x:c r="C1405" s="380" t="n">
        <x:v>10</x:v>
      </x:c>
      <x:c r="D1405" s="380" t="str">
        <x:v>Oct</x:v>
      </x:c>
      <x:c r="E1405" s="380" t="n">
        <x:v>30</x:v>
      </x:c>
      <x:c r="F1405" s="380" t="n">
        <x:v>1</x:v>
      </x:c>
      <x:c r="G1405" s="380" t="n">
        <x:f>--(F1405&lt;='Estimator'!$B$7)</x:f>
        <x:v>1</x:v>
      </x:c>
      <x:c r="H1405" s="381" t="n">
        <x:f>SUMIFS('Climate Data'!$G$7:$G$366,'Climate Data'!$A$7:$A$366,'Estimator'!$B$4,'Climate Data'!$B$7:$B$366,C1405)</x:f>
        <x:v>0.3721198156682028</x:v>
      </x:c>
      <x:c r="I1405" s="382" t="n">
        <x:f>SUMIFS('Climate Data'!$H$7:$H$366,'Climate Data'!$A$7:$A$366,'Estimator'!$B$4,'Climate Data'!$B$7:$B$366,C1405)</x:f>
        <x:v>7.940557275541795</x:v>
      </x:c>
      <x:c r="J1405" s="381" t="n">
        <x:f>SUMIFS('Wind Proxy'!$H$8:$H$19,'Wind Proxy'!$A$8:$A$19,'Estimator'!$B$4,'Wind Proxy'!$B$8:$B$19,C1405)</x:f>
        <x:v>0.21505376344086022</x:v>
      </x:c>
    </x:row>
    <x:row r="1406">
      <x:c r="A1406" s="379" t="n">
        <x:v>47057</x:v>
      </x:c>
      <x:c r="B1406" s="380" t="n">
        <x:v>2028</x:v>
      </x:c>
      <x:c r="C1406" s="380" t="n">
        <x:v>10</x:v>
      </x:c>
      <x:c r="D1406" s="380" t="str">
        <x:v>Oct</x:v>
      </x:c>
      <x:c r="E1406" s="380" t="n">
        <x:v>31</x:v>
      </x:c>
      <x:c r="F1406" s="380" t="n">
        <x:v>2</x:v>
      </x:c>
      <x:c r="G1406" s="380" t="n">
        <x:f>--(F1406&lt;='Estimator'!$B$7)</x:f>
        <x:v>1</x:v>
      </x:c>
      <x:c r="H1406" s="381" t="n">
        <x:f>SUMIFS('Climate Data'!$G$7:$G$366,'Climate Data'!$A$7:$A$366,'Estimator'!$B$4,'Climate Data'!$B$7:$B$366,C1406)</x:f>
        <x:v>0.3721198156682028</x:v>
      </x:c>
      <x:c r="I1406" s="382" t="n">
        <x:f>SUMIFS('Climate Data'!$H$7:$H$366,'Climate Data'!$A$7:$A$366,'Estimator'!$B$4,'Climate Data'!$B$7:$B$366,C1406)</x:f>
        <x:v>7.940557275541795</x:v>
      </x:c>
      <x:c r="J1406" s="381" t="n">
        <x:f>SUMIFS('Wind Proxy'!$H$8:$H$19,'Wind Proxy'!$A$8:$A$19,'Estimator'!$B$4,'Wind Proxy'!$B$8:$B$19,C1406)</x:f>
        <x:v>0.21505376344086022</x:v>
      </x:c>
    </x:row>
    <x:row r="1407">
      <x:c r="A1407" s="379" t="n">
        <x:v>47058</x:v>
      </x:c>
      <x:c r="B1407" s="380" t="n">
        <x:v>2028</x:v>
      </x:c>
      <x:c r="C1407" s="380" t="n">
        <x:v>11</x:v>
      </x:c>
      <x:c r="D1407" s="380" t="str">
        <x:v>Nov</x:v>
      </x:c>
      <x:c r="E1407" s="380" t="n">
        <x:v>1</x:v>
      </x:c>
      <x:c r="F1407" s="380" t="n">
        <x:v>3</x:v>
      </x:c>
      <x:c r="G1407" s="380" t="n">
        <x:f>--(F1407&lt;='Estimator'!$B$7)</x:f>
        <x:v>1</x:v>
      </x:c>
      <x:c r="H1407" s="381" t="n">
        <x:f>SUMIFS('Climate Data'!$G$7:$G$366,'Climate Data'!$A$7:$A$366,'Estimator'!$B$4,'Climate Data'!$B$7:$B$366,C1407)</x:f>
        <x:v>0.3111111111111111</x:v>
      </x:c>
      <x:c r="I1407" s="382" t="n">
        <x:f>SUMIFS('Climate Data'!$H$7:$H$366,'Climate Data'!$A$7:$A$366,'Estimator'!$B$4,'Climate Data'!$B$7:$B$366,C1407)</x:f>
        <x:v>7.382142857142857</x:v>
      </x:c>
      <x:c r="J1407" s="381" t="n">
        <x:f>SUMIFS('Wind Proxy'!$H$8:$H$19,'Wind Proxy'!$A$8:$A$19,'Estimator'!$B$4,'Wind Proxy'!$B$8:$B$19,C1407)</x:f>
        <x:v>0.22222222222222224</x:v>
      </x:c>
    </x:row>
    <x:row r="1408">
      <x:c r="A1408" s="379" t="n">
        <x:v>47059</x:v>
      </x:c>
      <x:c r="B1408" s="380" t="n">
        <x:v>2028</x:v>
      </x:c>
      <x:c r="C1408" s="380" t="n">
        <x:v>11</x:v>
      </x:c>
      <x:c r="D1408" s="380" t="str">
        <x:v>Nov</x:v>
      </x:c>
      <x:c r="E1408" s="380" t="n">
        <x:v>2</x:v>
      </x:c>
      <x:c r="F1408" s="380" t="n">
        <x:v>4</x:v>
      </x:c>
      <x:c r="G1408" s="380" t="n">
        <x:f>--(F1408&lt;='Estimator'!$B$7)</x:f>
        <x:v>1</x:v>
      </x:c>
      <x:c r="H1408" s="381" t="n">
        <x:f>SUMIFS('Climate Data'!$G$7:$G$366,'Climate Data'!$A$7:$A$366,'Estimator'!$B$4,'Climate Data'!$B$7:$B$366,C1408)</x:f>
        <x:v>0.3111111111111111</x:v>
      </x:c>
      <x:c r="I1408" s="382" t="n">
        <x:f>SUMIFS('Climate Data'!$H$7:$H$366,'Climate Data'!$A$7:$A$366,'Estimator'!$B$4,'Climate Data'!$B$7:$B$366,C1408)</x:f>
        <x:v>7.382142857142857</x:v>
      </x:c>
      <x:c r="J1408" s="381" t="n">
        <x:f>SUMIFS('Wind Proxy'!$H$8:$H$19,'Wind Proxy'!$A$8:$A$19,'Estimator'!$B$4,'Wind Proxy'!$B$8:$B$19,C1408)</x:f>
        <x:v>0.22222222222222224</x:v>
      </x:c>
    </x:row>
    <x:row r="1409">
      <x:c r="A1409" s="379" t="n">
        <x:v>47060</x:v>
      </x:c>
      <x:c r="B1409" s="380" t="n">
        <x:v>2028</x:v>
      </x:c>
      <x:c r="C1409" s="380" t="n">
        <x:v>11</x:v>
      </x:c>
      <x:c r="D1409" s="380" t="str">
        <x:v>Nov</x:v>
      </x:c>
      <x:c r="E1409" s="380" t="n">
        <x:v>3</x:v>
      </x:c>
      <x:c r="F1409" s="380" t="n">
        <x:v>5</x:v>
      </x:c>
      <x:c r="G1409" s="380" t="n">
        <x:f>--(F1409&lt;='Estimator'!$B$7)</x:f>
        <x:v>1</x:v>
      </x:c>
      <x:c r="H1409" s="381" t="n">
        <x:f>SUMIFS('Climate Data'!$G$7:$G$366,'Climate Data'!$A$7:$A$366,'Estimator'!$B$4,'Climate Data'!$B$7:$B$366,C1409)</x:f>
        <x:v>0.3111111111111111</x:v>
      </x:c>
      <x:c r="I1409" s="382" t="n">
        <x:f>SUMIFS('Climate Data'!$H$7:$H$366,'Climate Data'!$A$7:$A$366,'Estimator'!$B$4,'Climate Data'!$B$7:$B$366,C1409)</x:f>
        <x:v>7.382142857142857</x:v>
      </x:c>
      <x:c r="J1409" s="381" t="n">
        <x:f>SUMIFS('Wind Proxy'!$H$8:$H$19,'Wind Proxy'!$A$8:$A$19,'Estimator'!$B$4,'Wind Proxy'!$B$8:$B$19,C1409)</x:f>
        <x:v>0.22222222222222224</x:v>
      </x:c>
    </x:row>
    <x:row r="1410">
      <x:c r="A1410" s="379" t="n">
        <x:v>47061</x:v>
      </x:c>
      <x:c r="B1410" s="380" t="n">
        <x:v>2028</x:v>
      </x:c>
      <x:c r="C1410" s="380" t="n">
        <x:v>11</x:v>
      </x:c>
      <x:c r="D1410" s="380" t="str">
        <x:v>Nov</x:v>
      </x:c>
      <x:c r="E1410" s="380" t="n">
        <x:v>4</x:v>
      </x:c>
      <x:c r="F1410" s="380" t="n">
        <x:v>6</x:v>
      </x:c>
      <x:c r="G1410" s="380" t="n">
        <x:f>--(F1410&lt;='Estimator'!$B$7)</x:f>
        <x:v>0</x:v>
      </x:c>
      <x:c r="H1410" s="381" t="n">
        <x:f>SUMIFS('Climate Data'!$G$7:$G$366,'Climate Data'!$A$7:$A$366,'Estimator'!$B$4,'Climate Data'!$B$7:$B$366,C1410)</x:f>
        <x:v>0.3111111111111111</x:v>
      </x:c>
      <x:c r="I1410" s="382" t="n">
        <x:f>SUMIFS('Climate Data'!$H$7:$H$366,'Climate Data'!$A$7:$A$366,'Estimator'!$B$4,'Climate Data'!$B$7:$B$366,C1410)</x:f>
        <x:v>7.382142857142857</x:v>
      </x:c>
      <x:c r="J1410" s="381" t="n">
        <x:f>SUMIFS('Wind Proxy'!$H$8:$H$19,'Wind Proxy'!$A$8:$A$19,'Estimator'!$B$4,'Wind Proxy'!$B$8:$B$19,C1410)</x:f>
        <x:v>0.22222222222222224</x:v>
      </x:c>
    </x:row>
    <x:row r="1411">
      <x:c r="A1411" s="379" t="n">
        <x:v>47062</x:v>
      </x:c>
      <x:c r="B1411" s="380" t="n">
        <x:v>2028</x:v>
      </x:c>
      <x:c r="C1411" s="380" t="n">
        <x:v>11</x:v>
      </x:c>
      <x:c r="D1411" s="380" t="str">
        <x:v>Nov</x:v>
      </x:c>
      <x:c r="E1411" s="380" t="n">
        <x:v>5</x:v>
      </x:c>
      <x:c r="F1411" s="380" t="n">
        <x:v>7</x:v>
      </x:c>
      <x:c r="G1411" s="380" t="n">
        <x:f>--(F1411&lt;='Estimator'!$B$7)</x:f>
        <x:v>0</x:v>
      </x:c>
      <x:c r="H1411" s="381" t="n">
        <x:f>SUMIFS('Climate Data'!$G$7:$G$366,'Climate Data'!$A$7:$A$366,'Estimator'!$B$4,'Climate Data'!$B$7:$B$366,C1411)</x:f>
        <x:v>0.3111111111111111</x:v>
      </x:c>
      <x:c r="I1411" s="382" t="n">
        <x:f>SUMIFS('Climate Data'!$H$7:$H$366,'Climate Data'!$A$7:$A$366,'Estimator'!$B$4,'Climate Data'!$B$7:$B$366,C1411)</x:f>
        <x:v>7.382142857142857</x:v>
      </x:c>
      <x:c r="J1411" s="381" t="n">
        <x:f>SUMIFS('Wind Proxy'!$H$8:$H$19,'Wind Proxy'!$A$8:$A$19,'Estimator'!$B$4,'Wind Proxy'!$B$8:$B$19,C1411)</x:f>
        <x:v>0.22222222222222224</x:v>
      </x:c>
    </x:row>
    <x:row r="1412">
      <x:c r="A1412" s="379" t="n">
        <x:v>47063</x:v>
      </x:c>
      <x:c r="B1412" s="380" t="n">
        <x:v>2028</x:v>
      </x:c>
      <x:c r="C1412" s="380" t="n">
        <x:v>11</x:v>
      </x:c>
      <x:c r="D1412" s="380" t="str">
        <x:v>Nov</x:v>
      </x:c>
      <x:c r="E1412" s="380" t="n">
        <x:v>6</x:v>
      </x:c>
      <x:c r="F1412" s="380" t="n">
        <x:v>1</x:v>
      </x:c>
      <x:c r="G1412" s="380" t="n">
        <x:f>--(F1412&lt;='Estimator'!$B$7)</x:f>
        <x:v>1</x:v>
      </x:c>
      <x:c r="H1412" s="381" t="n">
        <x:f>SUMIFS('Climate Data'!$G$7:$G$366,'Climate Data'!$A$7:$A$366,'Estimator'!$B$4,'Climate Data'!$B$7:$B$366,C1412)</x:f>
        <x:v>0.3111111111111111</x:v>
      </x:c>
      <x:c r="I1412" s="382" t="n">
        <x:f>SUMIFS('Climate Data'!$H$7:$H$366,'Climate Data'!$A$7:$A$366,'Estimator'!$B$4,'Climate Data'!$B$7:$B$366,C1412)</x:f>
        <x:v>7.382142857142857</x:v>
      </x:c>
      <x:c r="J1412" s="381" t="n">
        <x:f>SUMIFS('Wind Proxy'!$H$8:$H$19,'Wind Proxy'!$A$8:$A$19,'Estimator'!$B$4,'Wind Proxy'!$B$8:$B$19,C1412)</x:f>
        <x:v>0.22222222222222224</x:v>
      </x:c>
    </x:row>
    <x:row r="1413">
      <x:c r="A1413" s="379" t="n">
        <x:v>47064</x:v>
      </x:c>
      <x:c r="B1413" s="380" t="n">
        <x:v>2028</x:v>
      </x:c>
      <x:c r="C1413" s="380" t="n">
        <x:v>11</x:v>
      </x:c>
      <x:c r="D1413" s="380" t="str">
        <x:v>Nov</x:v>
      </x:c>
      <x:c r="E1413" s="380" t="n">
        <x:v>7</x:v>
      </x:c>
      <x:c r="F1413" s="380" t="n">
        <x:v>2</x:v>
      </x:c>
      <x:c r="G1413" s="380" t="n">
        <x:f>--(F1413&lt;='Estimator'!$B$7)</x:f>
        <x:v>1</x:v>
      </x:c>
      <x:c r="H1413" s="381" t="n">
        <x:f>SUMIFS('Climate Data'!$G$7:$G$366,'Climate Data'!$A$7:$A$366,'Estimator'!$B$4,'Climate Data'!$B$7:$B$366,C1413)</x:f>
        <x:v>0.3111111111111111</x:v>
      </x:c>
      <x:c r="I1413" s="382" t="n">
        <x:f>SUMIFS('Climate Data'!$H$7:$H$366,'Climate Data'!$A$7:$A$366,'Estimator'!$B$4,'Climate Data'!$B$7:$B$366,C1413)</x:f>
        <x:v>7.382142857142857</x:v>
      </x:c>
      <x:c r="J1413" s="381" t="n">
        <x:f>SUMIFS('Wind Proxy'!$H$8:$H$19,'Wind Proxy'!$A$8:$A$19,'Estimator'!$B$4,'Wind Proxy'!$B$8:$B$19,C1413)</x:f>
        <x:v>0.22222222222222224</x:v>
      </x:c>
    </x:row>
    <x:row r="1414">
      <x:c r="A1414" s="379" t="n">
        <x:v>47065</x:v>
      </x:c>
      <x:c r="B1414" s="380" t="n">
        <x:v>2028</x:v>
      </x:c>
      <x:c r="C1414" s="380" t="n">
        <x:v>11</x:v>
      </x:c>
      <x:c r="D1414" s="380" t="str">
        <x:v>Nov</x:v>
      </x:c>
      <x:c r="E1414" s="380" t="n">
        <x:v>8</x:v>
      </x:c>
      <x:c r="F1414" s="380" t="n">
        <x:v>3</x:v>
      </x:c>
      <x:c r="G1414" s="380" t="n">
        <x:f>--(F1414&lt;='Estimator'!$B$7)</x:f>
        <x:v>1</x:v>
      </x:c>
      <x:c r="H1414" s="381" t="n">
        <x:f>SUMIFS('Climate Data'!$G$7:$G$366,'Climate Data'!$A$7:$A$366,'Estimator'!$B$4,'Climate Data'!$B$7:$B$366,C1414)</x:f>
        <x:v>0.3111111111111111</x:v>
      </x:c>
      <x:c r="I1414" s="382" t="n">
        <x:f>SUMIFS('Climate Data'!$H$7:$H$366,'Climate Data'!$A$7:$A$366,'Estimator'!$B$4,'Climate Data'!$B$7:$B$366,C1414)</x:f>
        <x:v>7.382142857142857</x:v>
      </x:c>
      <x:c r="J1414" s="381" t="n">
        <x:f>SUMIFS('Wind Proxy'!$H$8:$H$19,'Wind Proxy'!$A$8:$A$19,'Estimator'!$B$4,'Wind Proxy'!$B$8:$B$19,C1414)</x:f>
        <x:v>0.22222222222222224</x:v>
      </x:c>
    </x:row>
    <x:row r="1415">
      <x:c r="A1415" s="379" t="n">
        <x:v>47066</x:v>
      </x:c>
      <x:c r="B1415" s="380" t="n">
        <x:v>2028</x:v>
      </x:c>
      <x:c r="C1415" s="380" t="n">
        <x:v>11</x:v>
      </x:c>
      <x:c r="D1415" s="380" t="str">
        <x:v>Nov</x:v>
      </x:c>
      <x:c r="E1415" s="380" t="n">
        <x:v>9</x:v>
      </x:c>
      <x:c r="F1415" s="380" t="n">
        <x:v>4</x:v>
      </x:c>
      <x:c r="G1415" s="380" t="n">
        <x:f>--(F1415&lt;='Estimator'!$B$7)</x:f>
        <x:v>1</x:v>
      </x:c>
      <x:c r="H1415" s="381" t="n">
        <x:f>SUMIFS('Climate Data'!$G$7:$G$366,'Climate Data'!$A$7:$A$366,'Estimator'!$B$4,'Climate Data'!$B$7:$B$366,C1415)</x:f>
        <x:v>0.3111111111111111</x:v>
      </x:c>
      <x:c r="I1415" s="382" t="n">
        <x:f>SUMIFS('Climate Data'!$H$7:$H$366,'Climate Data'!$A$7:$A$366,'Estimator'!$B$4,'Climate Data'!$B$7:$B$366,C1415)</x:f>
        <x:v>7.382142857142857</x:v>
      </x:c>
      <x:c r="J1415" s="381" t="n">
        <x:f>SUMIFS('Wind Proxy'!$H$8:$H$19,'Wind Proxy'!$A$8:$A$19,'Estimator'!$B$4,'Wind Proxy'!$B$8:$B$19,C1415)</x:f>
        <x:v>0.22222222222222224</x:v>
      </x:c>
    </x:row>
    <x:row r="1416">
      <x:c r="A1416" s="379" t="n">
        <x:v>47067</x:v>
      </x:c>
      <x:c r="B1416" s="380" t="n">
        <x:v>2028</x:v>
      </x:c>
      <x:c r="C1416" s="380" t="n">
        <x:v>11</x:v>
      </x:c>
      <x:c r="D1416" s="380" t="str">
        <x:v>Nov</x:v>
      </x:c>
      <x:c r="E1416" s="380" t="n">
        <x:v>10</x:v>
      </x:c>
      <x:c r="F1416" s="380" t="n">
        <x:v>5</x:v>
      </x:c>
      <x:c r="G1416" s="380" t="n">
        <x:f>--(F1416&lt;='Estimator'!$B$7)</x:f>
        <x:v>1</x:v>
      </x:c>
      <x:c r="H1416" s="381" t="n">
        <x:f>SUMIFS('Climate Data'!$G$7:$G$366,'Climate Data'!$A$7:$A$366,'Estimator'!$B$4,'Climate Data'!$B$7:$B$366,C1416)</x:f>
        <x:v>0.3111111111111111</x:v>
      </x:c>
      <x:c r="I1416" s="382" t="n">
        <x:f>SUMIFS('Climate Data'!$H$7:$H$366,'Climate Data'!$A$7:$A$366,'Estimator'!$B$4,'Climate Data'!$B$7:$B$366,C1416)</x:f>
        <x:v>7.382142857142857</x:v>
      </x:c>
      <x:c r="J1416" s="381" t="n">
        <x:f>SUMIFS('Wind Proxy'!$H$8:$H$19,'Wind Proxy'!$A$8:$A$19,'Estimator'!$B$4,'Wind Proxy'!$B$8:$B$19,C1416)</x:f>
        <x:v>0.22222222222222224</x:v>
      </x:c>
    </x:row>
    <x:row r="1417">
      <x:c r="A1417" s="379" t="n">
        <x:v>47068</x:v>
      </x:c>
      <x:c r="B1417" s="380" t="n">
        <x:v>2028</x:v>
      </x:c>
      <x:c r="C1417" s="380" t="n">
        <x:v>11</x:v>
      </x:c>
      <x:c r="D1417" s="380" t="str">
        <x:v>Nov</x:v>
      </x:c>
      <x:c r="E1417" s="380" t="n">
        <x:v>11</x:v>
      </x:c>
      <x:c r="F1417" s="380" t="n">
        <x:v>6</x:v>
      </x:c>
      <x:c r="G1417" s="380" t="n">
        <x:f>--(F1417&lt;='Estimator'!$B$7)</x:f>
        <x:v>0</x:v>
      </x:c>
      <x:c r="H1417" s="381" t="n">
        <x:f>SUMIFS('Climate Data'!$G$7:$G$366,'Climate Data'!$A$7:$A$366,'Estimator'!$B$4,'Climate Data'!$B$7:$B$366,C1417)</x:f>
        <x:v>0.3111111111111111</x:v>
      </x:c>
      <x:c r="I1417" s="382" t="n">
        <x:f>SUMIFS('Climate Data'!$H$7:$H$366,'Climate Data'!$A$7:$A$366,'Estimator'!$B$4,'Climate Data'!$B$7:$B$366,C1417)</x:f>
        <x:v>7.382142857142857</x:v>
      </x:c>
      <x:c r="J1417" s="381" t="n">
        <x:f>SUMIFS('Wind Proxy'!$H$8:$H$19,'Wind Proxy'!$A$8:$A$19,'Estimator'!$B$4,'Wind Proxy'!$B$8:$B$19,C1417)</x:f>
        <x:v>0.22222222222222224</x:v>
      </x:c>
    </x:row>
    <x:row r="1418">
      <x:c r="A1418" s="379" t="n">
        <x:v>47069</x:v>
      </x:c>
      <x:c r="B1418" s="380" t="n">
        <x:v>2028</x:v>
      </x:c>
      <x:c r="C1418" s="380" t="n">
        <x:v>11</x:v>
      </x:c>
      <x:c r="D1418" s="380" t="str">
        <x:v>Nov</x:v>
      </x:c>
      <x:c r="E1418" s="380" t="n">
        <x:v>12</x:v>
      </x:c>
      <x:c r="F1418" s="380" t="n">
        <x:v>7</x:v>
      </x:c>
      <x:c r="G1418" s="380" t="n">
        <x:f>--(F1418&lt;='Estimator'!$B$7)</x:f>
        <x:v>0</x:v>
      </x:c>
      <x:c r="H1418" s="381" t="n">
        <x:f>SUMIFS('Climate Data'!$G$7:$G$366,'Climate Data'!$A$7:$A$366,'Estimator'!$B$4,'Climate Data'!$B$7:$B$366,C1418)</x:f>
        <x:v>0.3111111111111111</x:v>
      </x:c>
      <x:c r="I1418" s="382" t="n">
        <x:f>SUMIFS('Climate Data'!$H$7:$H$366,'Climate Data'!$A$7:$A$366,'Estimator'!$B$4,'Climate Data'!$B$7:$B$366,C1418)</x:f>
        <x:v>7.382142857142857</x:v>
      </x:c>
      <x:c r="J1418" s="381" t="n">
        <x:f>SUMIFS('Wind Proxy'!$H$8:$H$19,'Wind Proxy'!$A$8:$A$19,'Estimator'!$B$4,'Wind Proxy'!$B$8:$B$19,C1418)</x:f>
        <x:v>0.22222222222222224</x:v>
      </x:c>
    </x:row>
    <x:row r="1419">
      <x:c r="A1419" s="379" t="n">
        <x:v>47070</x:v>
      </x:c>
      <x:c r="B1419" s="380" t="n">
        <x:v>2028</x:v>
      </x:c>
      <x:c r="C1419" s="380" t="n">
        <x:v>11</x:v>
      </x:c>
      <x:c r="D1419" s="380" t="str">
        <x:v>Nov</x:v>
      </x:c>
      <x:c r="E1419" s="380" t="n">
        <x:v>13</x:v>
      </x:c>
      <x:c r="F1419" s="380" t="n">
        <x:v>1</x:v>
      </x:c>
      <x:c r="G1419" s="380" t="n">
        <x:f>--(F1419&lt;='Estimator'!$B$7)</x:f>
        <x:v>1</x:v>
      </x:c>
      <x:c r="H1419" s="381" t="n">
        <x:f>SUMIFS('Climate Data'!$G$7:$G$366,'Climate Data'!$A$7:$A$366,'Estimator'!$B$4,'Climate Data'!$B$7:$B$366,C1419)</x:f>
        <x:v>0.3111111111111111</x:v>
      </x:c>
      <x:c r="I1419" s="382" t="n">
        <x:f>SUMIFS('Climate Data'!$H$7:$H$366,'Climate Data'!$A$7:$A$366,'Estimator'!$B$4,'Climate Data'!$B$7:$B$366,C1419)</x:f>
        <x:v>7.382142857142857</x:v>
      </x:c>
      <x:c r="J1419" s="381" t="n">
        <x:f>SUMIFS('Wind Proxy'!$H$8:$H$19,'Wind Proxy'!$A$8:$A$19,'Estimator'!$B$4,'Wind Proxy'!$B$8:$B$19,C1419)</x:f>
        <x:v>0.22222222222222224</x:v>
      </x:c>
    </x:row>
    <x:row r="1420">
      <x:c r="A1420" s="379" t="n">
        <x:v>47071</x:v>
      </x:c>
      <x:c r="B1420" s="380" t="n">
        <x:v>2028</x:v>
      </x:c>
      <x:c r="C1420" s="380" t="n">
        <x:v>11</x:v>
      </x:c>
      <x:c r="D1420" s="380" t="str">
        <x:v>Nov</x:v>
      </x:c>
      <x:c r="E1420" s="380" t="n">
        <x:v>14</x:v>
      </x:c>
      <x:c r="F1420" s="380" t="n">
        <x:v>2</x:v>
      </x:c>
      <x:c r="G1420" s="380" t="n">
        <x:f>--(F1420&lt;='Estimator'!$B$7)</x:f>
        <x:v>1</x:v>
      </x:c>
      <x:c r="H1420" s="381" t="n">
        <x:f>SUMIFS('Climate Data'!$G$7:$G$366,'Climate Data'!$A$7:$A$366,'Estimator'!$B$4,'Climate Data'!$B$7:$B$366,C1420)</x:f>
        <x:v>0.3111111111111111</x:v>
      </x:c>
      <x:c r="I1420" s="382" t="n">
        <x:f>SUMIFS('Climate Data'!$H$7:$H$366,'Climate Data'!$A$7:$A$366,'Estimator'!$B$4,'Climate Data'!$B$7:$B$366,C1420)</x:f>
        <x:v>7.382142857142857</x:v>
      </x:c>
      <x:c r="J1420" s="381" t="n">
        <x:f>SUMIFS('Wind Proxy'!$H$8:$H$19,'Wind Proxy'!$A$8:$A$19,'Estimator'!$B$4,'Wind Proxy'!$B$8:$B$19,C1420)</x:f>
        <x:v>0.22222222222222224</x:v>
      </x:c>
    </x:row>
    <x:row r="1421">
      <x:c r="A1421" s="379" t="n">
        <x:v>47072</x:v>
      </x:c>
      <x:c r="B1421" s="380" t="n">
        <x:v>2028</x:v>
      </x:c>
      <x:c r="C1421" s="380" t="n">
        <x:v>11</x:v>
      </x:c>
      <x:c r="D1421" s="380" t="str">
        <x:v>Nov</x:v>
      </x:c>
      <x:c r="E1421" s="380" t="n">
        <x:v>15</x:v>
      </x:c>
      <x:c r="F1421" s="380" t="n">
        <x:v>3</x:v>
      </x:c>
      <x:c r="G1421" s="380" t="n">
        <x:f>--(F1421&lt;='Estimator'!$B$7)</x:f>
        <x:v>1</x:v>
      </x:c>
      <x:c r="H1421" s="381" t="n">
        <x:f>SUMIFS('Climate Data'!$G$7:$G$366,'Climate Data'!$A$7:$A$366,'Estimator'!$B$4,'Climate Data'!$B$7:$B$366,C1421)</x:f>
        <x:v>0.3111111111111111</x:v>
      </x:c>
      <x:c r="I1421" s="382" t="n">
        <x:f>SUMIFS('Climate Data'!$H$7:$H$366,'Climate Data'!$A$7:$A$366,'Estimator'!$B$4,'Climate Data'!$B$7:$B$366,C1421)</x:f>
        <x:v>7.382142857142857</x:v>
      </x:c>
      <x:c r="J1421" s="381" t="n">
        <x:f>SUMIFS('Wind Proxy'!$H$8:$H$19,'Wind Proxy'!$A$8:$A$19,'Estimator'!$B$4,'Wind Proxy'!$B$8:$B$19,C1421)</x:f>
        <x:v>0.22222222222222224</x:v>
      </x:c>
    </x:row>
    <x:row r="1422">
      <x:c r="A1422" s="379" t="n">
        <x:v>47073</x:v>
      </x:c>
      <x:c r="B1422" s="380" t="n">
        <x:v>2028</x:v>
      </x:c>
      <x:c r="C1422" s="380" t="n">
        <x:v>11</x:v>
      </x:c>
      <x:c r="D1422" s="380" t="str">
        <x:v>Nov</x:v>
      </x:c>
      <x:c r="E1422" s="380" t="n">
        <x:v>16</x:v>
      </x:c>
      <x:c r="F1422" s="380" t="n">
        <x:v>4</x:v>
      </x:c>
      <x:c r="G1422" s="380" t="n">
        <x:f>--(F1422&lt;='Estimator'!$B$7)</x:f>
        <x:v>1</x:v>
      </x:c>
      <x:c r="H1422" s="381" t="n">
        <x:f>SUMIFS('Climate Data'!$G$7:$G$366,'Climate Data'!$A$7:$A$366,'Estimator'!$B$4,'Climate Data'!$B$7:$B$366,C1422)</x:f>
        <x:v>0.3111111111111111</x:v>
      </x:c>
      <x:c r="I1422" s="382" t="n">
        <x:f>SUMIFS('Climate Data'!$H$7:$H$366,'Climate Data'!$A$7:$A$366,'Estimator'!$B$4,'Climate Data'!$B$7:$B$366,C1422)</x:f>
        <x:v>7.382142857142857</x:v>
      </x:c>
      <x:c r="J1422" s="381" t="n">
        <x:f>SUMIFS('Wind Proxy'!$H$8:$H$19,'Wind Proxy'!$A$8:$A$19,'Estimator'!$B$4,'Wind Proxy'!$B$8:$B$19,C1422)</x:f>
        <x:v>0.22222222222222224</x:v>
      </x:c>
    </x:row>
    <x:row r="1423">
      <x:c r="A1423" s="379" t="n">
        <x:v>47074</x:v>
      </x:c>
      <x:c r="B1423" s="380" t="n">
        <x:v>2028</x:v>
      </x:c>
      <x:c r="C1423" s="380" t="n">
        <x:v>11</x:v>
      </x:c>
      <x:c r="D1423" s="380" t="str">
        <x:v>Nov</x:v>
      </x:c>
      <x:c r="E1423" s="380" t="n">
        <x:v>17</x:v>
      </x:c>
      <x:c r="F1423" s="380" t="n">
        <x:v>5</x:v>
      </x:c>
      <x:c r="G1423" s="380" t="n">
        <x:f>--(F1423&lt;='Estimator'!$B$7)</x:f>
        <x:v>1</x:v>
      </x:c>
      <x:c r="H1423" s="381" t="n">
        <x:f>SUMIFS('Climate Data'!$G$7:$G$366,'Climate Data'!$A$7:$A$366,'Estimator'!$B$4,'Climate Data'!$B$7:$B$366,C1423)</x:f>
        <x:v>0.3111111111111111</x:v>
      </x:c>
      <x:c r="I1423" s="382" t="n">
        <x:f>SUMIFS('Climate Data'!$H$7:$H$366,'Climate Data'!$A$7:$A$366,'Estimator'!$B$4,'Climate Data'!$B$7:$B$366,C1423)</x:f>
        <x:v>7.382142857142857</x:v>
      </x:c>
      <x:c r="J1423" s="381" t="n">
        <x:f>SUMIFS('Wind Proxy'!$H$8:$H$19,'Wind Proxy'!$A$8:$A$19,'Estimator'!$B$4,'Wind Proxy'!$B$8:$B$19,C1423)</x:f>
        <x:v>0.22222222222222224</x:v>
      </x:c>
    </x:row>
    <x:row r="1424">
      <x:c r="A1424" s="379" t="n">
        <x:v>47075</x:v>
      </x:c>
      <x:c r="B1424" s="380" t="n">
        <x:v>2028</x:v>
      </x:c>
      <x:c r="C1424" s="380" t="n">
        <x:v>11</x:v>
      </x:c>
      <x:c r="D1424" s="380" t="str">
        <x:v>Nov</x:v>
      </x:c>
      <x:c r="E1424" s="380" t="n">
        <x:v>18</x:v>
      </x:c>
      <x:c r="F1424" s="380" t="n">
        <x:v>6</x:v>
      </x:c>
      <x:c r="G1424" s="380" t="n">
        <x:f>--(F1424&lt;='Estimator'!$B$7)</x:f>
        <x:v>0</x:v>
      </x:c>
      <x:c r="H1424" s="381" t="n">
        <x:f>SUMIFS('Climate Data'!$G$7:$G$366,'Climate Data'!$A$7:$A$366,'Estimator'!$B$4,'Climate Data'!$B$7:$B$366,C1424)</x:f>
        <x:v>0.3111111111111111</x:v>
      </x:c>
      <x:c r="I1424" s="382" t="n">
        <x:f>SUMIFS('Climate Data'!$H$7:$H$366,'Climate Data'!$A$7:$A$366,'Estimator'!$B$4,'Climate Data'!$B$7:$B$366,C1424)</x:f>
        <x:v>7.382142857142857</x:v>
      </x:c>
      <x:c r="J1424" s="381" t="n">
        <x:f>SUMIFS('Wind Proxy'!$H$8:$H$19,'Wind Proxy'!$A$8:$A$19,'Estimator'!$B$4,'Wind Proxy'!$B$8:$B$19,C1424)</x:f>
        <x:v>0.22222222222222224</x:v>
      </x:c>
    </x:row>
    <x:row r="1425">
      <x:c r="A1425" s="379" t="n">
        <x:v>47076</x:v>
      </x:c>
      <x:c r="B1425" s="380" t="n">
        <x:v>2028</x:v>
      </x:c>
      <x:c r="C1425" s="380" t="n">
        <x:v>11</x:v>
      </x:c>
      <x:c r="D1425" s="380" t="str">
        <x:v>Nov</x:v>
      </x:c>
      <x:c r="E1425" s="380" t="n">
        <x:v>19</x:v>
      </x:c>
      <x:c r="F1425" s="380" t="n">
        <x:v>7</x:v>
      </x:c>
      <x:c r="G1425" s="380" t="n">
        <x:f>--(F1425&lt;='Estimator'!$B$7)</x:f>
        <x:v>0</x:v>
      </x:c>
      <x:c r="H1425" s="381" t="n">
        <x:f>SUMIFS('Climate Data'!$G$7:$G$366,'Climate Data'!$A$7:$A$366,'Estimator'!$B$4,'Climate Data'!$B$7:$B$366,C1425)</x:f>
        <x:v>0.3111111111111111</x:v>
      </x:c>
      <x:c r="I1425" s="382" t="n">
        <x:f>SUMIFS('Climate Data'!$H$7:$H$366,'Climate Data'!$A$7:$A$366,'Estimator'!$B$4,'Climate Data'!$B$7:$B$366,C1425)</x:f>
        <x:v>7.382142857142857</x:v>
      </x:c>
      <x:c r="J1425" s="381" t="n">
        <x:f>SUMIFS('Wind Proxy'!$H$8:$H$19,'Wind Proxy'!$A$8:$A$19,'Estimator'!$B$4,'Wind Proxy'!$B$8:$B$19,C1425)</x:f>
        <x:v>0.22222222222222224</x:v>
      </x:c>
    </x:row>
    <x:row r="1426">
      <x:c r="A1426" s="379" t="n">
        <x:v>47077</x:v>
      </x:c>
      <x:c r="B1426" s="380" t="n">
        <x:v>2028</x:v>
      </x:c>
      <x:c r="C1426" s="380" t="n">
        <x:v>11</x:v>
      </x:c>
      <x:c r="D1426" s="380" t="str">
        <x:v>Nov</x:v>
      </x:c>
      <x:c r="E1426" s="380" t="n">
        <x:v>20</x:v>
      </x:c>
      <x:c r="F1426" s="380" t="n">
        <x:v>1</x:v>
      </x:c>
      <x:c r="G1426" s="380" t="n">
        <x:f>--(F1426&lt;='Estimator'!$B$7)</x:f>
        <x:v>1</x:v>
      </x:c>
      <x:c r="H1426" s="381" t="n">
        <x:f>SUMIFS('Climate Data'!$G$7:$G$366,'Climate Data'!$A$7:$A$366,'Estimator'!$B$4,'Climate Data'!$B$7:$B$366,C1426)</x:f>
        <x:v>0.3111111111111111</x:v>
      </x:c>
      <x:c r="I1426" s="382" t="n">
        <x:f>SUMIFS('Climate Data'!$H$7:$H$366,'Climate Data'!$A$7:$A$366,'Estimator'!$B$4,'Climate Data'!$B$7:$B$366,C1426)</x:f>
        <x:v>7.382142857142857</x:v>
      </x:c>
      <x:c r="J1426" s="381" t="n">
        <x:f>SUMIFS('Wind Proxy'!$H$8:$H$19,'Wind Proxy'!$A$8:$A$19,'Estimator'!$B$4,'Wind Proxy'!$B$8:$B$19,C1426)</x:f>
        <x:v>0.22222222222222224</x:v>
      </x:c>
    </x:row>
    <x:row r="1427">
      <x:c r="A1427" s="379" t="n">
        <x:v>47078</x:v>
      </x:c>
      <x:c r="B1427" s="380" t="n">
        <x:v>2028</x:v>
      </x:c>
      <x:c r="C1427" s="380" t="n">
        <x:v>11</x:v>
      </x:c>
      <x:c r="D1427" s="380" t="str">
        <x:v>Nov</x:v>
      </x:c>
      <x:c r="E1427" s="380" t="n">
        <x:v>21</x:v>
      </x:c>
      <x:c r="F1427" s="380" t="n">
        <x:v>2</x:v>
      </x:c>
      <x:c r="G1427" s="380" t="n">
        <x:f>--(F1427&lt;='Estimator'!$B$7)</x:f>
        <x:v>1</x:v>
      </x:c>
      <x:c r="H1427" s="381" t="n">
        <x:f>SUMIFS('Climate Data'!$G$7:$G$366,'Climate Data'!$A$7:$A$366,'Estimator'!$B$4,'Climate Data'!$B$7:$B$366,C1427)</x:f>
        <x:v>0.3111111111111111</x:v>
      </x:c>
      <x:c r="I1427" s="382" t="n">
        <x:f>SUMIFS('Climate Data'!$H$7:$H$366,'Climate Data'!$A$7:$A$366,'Estimator'!$B$4,'Climate Data'!$B$7:$B$366,C1427)</x:f>
        <x:v>7.382142857142857</x:v>
      </x:c>
      <x:c r="J1427" s="381" t="n">
        <x:f>SUMIFS('Wind Proxy'!$H$8:$H$19,'Wind Proxy'!$A$8:$A$19,'Estimator'!$B$4,'Wind Proxy'!$B$8:$B$19,C1427)</x:f>
        <x:v>0.22222222222222224</x:v>
      </x:c>
    </x:row>
    <x:row r="1428">
      <x:c r="A1428" s="379" t="n">
        <x:v>47079</x:v>
      </x:c>
      <x:c r="B1428" s="380" t="n">
        <x:v>2028</x:v>
      </x:c>
      <x:c r="C1428" s="380" t="n">
        <x:v>11</x:v>
      </x:c>
      <x:c r="D1428" s="380" t="str">
        <x:v>Nov</x:v>
      </x:c>
      <x:c r="E1428" s="380" t="n">
        <x:v>22</x:v>
      </x:c>
      <x:c r="F1428" s="380" t="n">
        <x:v>3</x:v>
      </x:c>
      <x:c r="G1428" s="380" t="n">
        <x:f>--(F1428&lt;='Estimator'!$B$7)</x:f>
        <x:v>1</x:v>
      </x:c>
      <x:c r="H1428" s="381" t="n">
        <x:f>SUMIFS('Climate Data'!$G$7:$G$366,'Climate Data'!$A$7:$A$366,'Estimator'!$B$4,'Climate Data'!$B$7:$B$366,C1428)</x:f>
        <x:v>0.3111111111111111</x:v>
      </x:c>
      <x:c r="I1428" s="382" t="n">
        <x:f>SUMIFS('Climate Data'!$H$7:$H$366,'Climate Data'!$A$7:$A$366,'Estimator'!$B$4,'Climate Data'!$B$7:$B$366,C1428)</x:f>
        <x:v>7.382142857142857</x:v>
      </x:c>
      <x:c r="J1428" s="381" t="n">
        <x:f>SUMIFS('Wind Proxy'!$H$8:$H$19,'Wind Proxy'!$A$8:$A$19,'Estimator'!$B$4,'Wind Proxy'!$B$8:$B$19,C1428)</x:f>
        <x:v>0.22222222222222224</x:v>
      </x:c>
    </x:row>
    <x:row r="1429">
      <x:c r="A1429" s="379" t="n">
        <x:v>47080</x:v>
      </x:c>
      <x:c r="B1429" s="380" t="n">
        <x:v>2028</x:v>
      </x:c>
      <x:c r="C1429" s="380" t="n">
        <x:v>11</x:v>
      </x:c>
      <x:c r="D1429" s="380" t="str">
        <x:v>Nov</x:v>
      </x:c>
      <x:c r="E1429" s="380" t="n">
        <x:v>23</x:v>
      </x:c>
      <x:c r="F1429" s="380" t="n">
        <x:v>4</x:v>
      </x:c>
      <x:c r="G1429" s="380" t="n">
        <x:f>--(F1429&lt;='Estimator'!$B$7)</x:f>
        <x:v>1</x:v>
      </x:c>
      <x:c r="H1429" s="381" t="n">
        <x:f>SUMIFS('Climate Data'!$G$7:$G$366,'Climate Data'!$A$7:$A$366,'Estimator'!$B$4,'Climate Data'!$B$7:$B$366,C1429)</x:f>
        <x:v>0.3111111111111111</x:v>
      </x:c>
      <x:c r="I1429" s="382" t="n">
        <x:f>SUMIFS('Climate Data'!$H$7:$H$366,'Climate Data'!$A$7:$A$366,'Estimator'!$B$4,'Climate Data'!$B$7:$B$366,C1429)</x:f>
        <x:v>7.382142857142857</x:v>
      </x:c>
      <x:c r="J1429" s="381" t="n">
        <x:f>SUMIFS('Wind Proxy'!$H$8:$H$19,'Wind Proxy'!$A$8:$A$19,'Estimator'!$B$4,'Wind Proxy'!$B$8:$B$19,C1429)</x:f>
        <x:v>0.22222222222222224</x:v>
      </x:c>
    </x:row>
    <x:row r="1430">
      <x:c r="A1430" s="379" t="n">
        <x:v>47081</x:v>
      </x:c>
      <x:c r="B1430" s="380" t="n">
        <x:v>2028</x:v>
      </x:c>
      <x:c r="C1430" s="380" t="n">
        <x:v>11</x:v>
      </x:c>
      <x:c r="D1430" s="380" t="str">
        <x:v>Nov</x:v>
      </x:c>
      <x:c r="E1430" s="380" t="n">
        <x:v>24</x:v>
      </x:c>
      <x:c r="F1430" s="380" t="n">
        <x:v>5</x:v>
      </x:c>
      <x:c r="G1430" s="380" t="n">
        <x:f>--(F1430&lt;='Estimator'!$B$7)</x:f>
        <x:v>1</x:v>
      </x:c>
      <x:c r="H1430" s="381" t="n">
        <x:f>SUMIFS('Climate Data'!$G$7:$G$366,'Climate Data'!$A$7:$A$366,'Estimator'!$B$4,'Climate Data'!$B$7:$B$366,C1430)</x:f>
        <x:v>0.3111111111111111</x:v>
      </x:c>
      <x:c r="I1430" s="382" t="n">
        <x:f>SUMIFS('Climate Data'!$H$7:$H$366,'Climate Data'!$A$7:$A$366,'Estimator'!$B$4,'Climate Data'!$B$7:$B$366,C1430)</x:f>
        <x:v>7.382142857142857</x:v>
      </x:c>
      <x:c r="J1430" s="381" t="n">
        <x:f>SUMIFS('Wind Proxy'!$H$8:$H$19,'Wind Proxy'!$A$8:$A$19,'Estimator'!$B$4,'Wind Proxy'!$B$8:$B$19,C1430)</x:f>
        <x:v>0.22222222222222224</x:v>
      </x:c>
    </x:row>
    <x:row r="1431">
      <x:c r="A1431" s="379" t="n">
        <x:v>47082</x:v>
      </x:c>
      <x:c r="B1431" s="380" t="n">
        <x:v>2028</x:v>
      </x:c>
      <x:c r="C1431" s="380" t="n">
        <x:v>11</x:v>
      </x:c>
      <x:c r="D1431" s="380" t="str">
        <x:v>Nov</x:v>
      </x:c>
      <x:c r="E1431" s="380" t="n">
        <x:v>25</x:v>
      </x:c>
      <x:c r="F1431" s="380" t="n">
        <x:v>6</x:v>
      </x:c>
      <x:c r="G1431" s="380" t="n">
        <x:f>--(F1431&lt;='Estimator'!$B$7)</x:f>
        <x:v>0</x:v>
      </x:c>
      <x:c r="H1431" s="381" t="n">
        <x:f>SUMIFS('Climate Data'!$G$7:$G$366,'Climate Data'!$A$7:$A$366,'Estimator'!$B$4,'Climate Data'!$B$7:$B$366,C1431)</x:f>
        <x:v>0.3111111111111111</x:v>
      </x:c>
      <x:c r="I1431" s="382" t="n">
        <x:f>SUMIFS('Climate Data'!$H$7:$H$366,'Climate Data'!$A$7:$A$366,'Estimator'!$B$4,'Climate Data'!$B$7:$B$366,C1431)</x:f>
        <x:v>7.382142857142857</x:v>
      </x:c>
      <x:c r="J1431" s="381" t="n">
        <x:f>SUMIFS('Wind Proxy'!$H$8:$H$19,'Wind Proxy'!$A$8:$A$19,'Estimator'!$B$4,'Wind Proxy'!$B$8:$B$19,C1431)</x:f>
        <x:v>0.22222222222222224</x:v>
      </x:c>
    </x:row>
    <x:row r="1432">
      <x:c r="A1432" s="379" t="n">
        <x:v>47083</x:v>
      </x:c>
      <x:c r="B1432" s="380" t="n">
        <x:v>2028</x:v>
      </x:c>
      <x:c r="C1432" s="380" t="n">
        <x:v>11</x:v>
      </x:c>
      <x:c r="D1432" s="380" t="str">
        <x:v>Nov</x:v>
      </x:c>
      <x:c r="E1432" s="380" t="n">
        <x:v>26</x:v>
      </x:c>
      <x:c r="F1432" s="380" t="n">
        <x:v>7</x:v>
      </x:c>
      <x:c r="G1432" s="380" t="n">
        <x:f>--(F1432&lt;='Estimator'!$B$7)</x:f>
        <x:v>0</x:v>
      </x:c>
      <x:c r="H1432" s="381" t="n">
        <x:f>SUMIFS('Climate Data'!$G$7:$G$366,'Climate Data'!$A$7:$A$366,'Estimator'!$B$4,'Climate Data'!$B$7:$B$366,C1432)</x:f>
        <x:v>0.3111111111111111</x:v>
      </x:c>
      <x:c r="I1432" s="382" t="n">
        <x:f>SUMIFS('Climate Data'!$H$7:$H$366,'Climate Data'!$A$7:$A$366,'Estimator'!$B$4,'Climate Data'!$B$7:$B$366,C1432)</x:f>
        <x:v>7.382142857142857</x:v>
      </x:c>
      <x:c r="J1432" s="381" t="n">
        <x:f>SUMIFS('Wind Proxy'!$H$8:$H$19,'Wind Proxy'!$A$8:$A$19,'Estimator'!$B$4,'Wind Proxy'!$B$8:$B$19,C1432)</x:f>
        <x:v>0.22222222222222224</x:v>
      </x:c>
    </x:row>
    <x:row r="1433">
      <x:c r="A1433" s="379" t="n">
        <x:v>47084</x:v>
      </x:c>
      <x:c r="B1433" s="380" t="n">
        <x:v>2028</x:v>
      </x:c>
      <x:c r="C1433" s="380" t="n">
        <x:v>11</x:v>
      </x:c>
      <x:c r="D1433" s="380" t="str">
        <x:v>Nov</x:v>
      </x:c>
      <x:c r="E1433" s="380" t="n">
        <x:v>27</x:v>
      </x:c>
      <x:c r="F1433" s="380" t="n">
        <x:v>1</x:v>
      </x:c>
      <x:c r="G1433" s="380" t="n">
        <x:f>--(F1433&lt;='Estimator'!$B$7)</x:f>
        <x:v>1</x:v>
      </x:c>
      <x:c r="H1433" s="381" t="n">
        <x:f>SUMIFS('Climate Data'!$G$7:$G$366,'Climate Data'!$A$7:$A$366,'Estimator'!$B$4,'Climate Data'!$B$7:$B$366,C1433)</x:f>
        <x:v>0.3111111111111111</x:v>
      </x:c>
      <x:c r="I1433" s="382" t="n">
        <x:f>SUMIFS('Climate Data'!$H$7:$H$366,'Climate Data'!$A$7:$A$366,'Estimator'!$B$4,'Climate Data'!$B$7:$B$366,C1433)</x:f>
        <x:v>7.382142857142857</x:v>
      </x:c>
      <x:c r="J1433" s="381" t="n">
        <x:f>SUMIFS('Wind Proxy'!$H$8:$H$19,'Wind Proxy'!$A$8:$A$19,'Estimator'!$B$4,'Wind Proxy'!$B$8:$B$19,C1433)</x:f>
        <x:v>0.22222222222222224</x:v>
      </x:c>
    </x:row>
    <x:row r="1434">
      <x:c r="A1434" s="379" t="n">
        <x:v>47085</x:v>
      </x:c>
      <x:c r="B1434" s="380" t="n">
        <x:v>2028</x:v>
      </x:c>
      <x:c r="C1434" s="380" t="n">
        <x:v>11</x:v>
      </x:c>
      <x:c r="D1434" s="380" t="str">
        <x:v>Nov</x:v>
      </x:c>
      <x:c r="E1434" s="380" t="n">
        <x:v>28</x:v>
      </x:c>
      <x:c r="F1434" s="380" t="n">
        <x:v>2</x:v>
      </x:c>
      <x:c r="G1434" s="380" t="n">
        <x:f>--(F1434&lt;='Estimator'!$B$7)</x:f>
        <x:v>1</x:v>
      </x:c>
      <x:c r="H1434" s="381" t="n">
        <x:f>SUMIFS('Climate Data'!$G$7:$G$366,'Climate Data'!$A$7:$A$366,'Estimator'!$B$4,'Climate Data'!$B$7:$B$366,C1434)</x:f>
        <x:v>0.3111111111111111</x:v>
      </x:c>
      <x:c r="I1434" s="382" t="n">
        <x:f>SUMIFS('Climate Data'!$H$7:$H$366,'Climate Data'!$A$7:$A$366,'Estimator'!$B$4,'Climate Data'!$B$7:$B$366,C1434)</x:f>
        <x:v>7.382142857142857</x:v>
      </x:c>
      <x:c r="J1434" s="381" t="n">
        <x:f>SUMIFS('Wind Proxy'!$H$8:$H$19,'Wind Proxy'!$A$8:$A$19,'Estimator'!$B$4,'Wind Proxy'!$B$8:$B$19,C1434)</x:f>
        <x:v>0.22222222222222224</x:v>
      </x:c>
    </x:row>
    <x:row r="1435">
      <x:c r="A1435" s="379" t="n">
        <x:v>47086</x:v>
      </x:c>
      <x:c r="B1435" s="380" t="n">
        <x:v>2028</x:v>
      </x:c>
      <x:c r="C1435" s="380" t="n">
        <x:v>11</x:v>
      </x:c>
      <x:c r="D1435" s="380" t="str">
        <x:v>Nov</x:v>
      </x:c>
      <x:c r="E1435" s="380" t="n">
        <x:v>29</x:v>
      </x:c>
      <x:c r="F1435" s="380" t="n">
        <x:v>3</x:v>
      </x:c>
      <x:c r="G1435" s="380" t="n">
        <x:f>--(F1435&lt;='Estimator'!$B$7)</x:f>
        <x:v>1</x:v>
      </x:c>
      <x:c r="H1435" s="381" t="n">
        <x:f>SUMIFS('Climate Data'!$G$7:$G$366,'Climate Data'!$A$7:$A$366,'Estimator'!$B$4,'Climate Data'!$B$7:$B$366,C1435)</x:f>
        <x:v>0.3111111111111111</x:v>
      </x:c>
      <x:c r="I1435" s="382" t="n">
        <x:f>SUMIFS('Climate Data'!$H$7:$H$366,'Climate Data'!$A$7:$A$366,'Estimator'!$B$4,'Climate Data'!$B$7:$B$366,C1435)</x:f>
        <x:v>7.382142857142857</x:v>
      </x:c>
      <x:c r="J1435" s="381" t="n">
        <x:f>SUMIFS('Wind Proxy'!$H$8:$H$19,'Wind Proxy'!$A$8:$A$19,'Estimator'!$B$4,'Wind Proxy'!$B$8:$B$19,C1435)</x:f>
        <x:v>0.22222222222222224</x:v>
      </x:c>
    </x:row>
    <x:row r="1436">
      <x:c r="A1436" s="379" t="n">
        <x:v>47087</x:v>
      </x:c>
      <x:c r="B1436" s="380" t="n">
        <x:v>2028</x:v>
      </x:c>
      <x:c r="C1436" s="380" t="n">
        <x:v>11</x:v>
      </x:c>
      <x:c r="D1436" s="380" t="str">
        <x:v>Nov</x:v>
      </x:c>
      <x:c r="E1436" s="380" t="n">
        <x:v>30</x:v>
      </x:c>
      <x:c r="F1436" s="380" t="n">
        <x:v>4</x:v>
      </x:c>
      <x:c r="G1436" s="380" t="n">
        <x:f>--(F1436&lt;='Estimator'!$B$7)</x:f>
        <x:v>1</x:v>
      </x:c>
      <x:c r="H1436" s="381" t="n">
        <x:f>SUMIFS('Climate Data'!$G$7:$G$366,'Climate Data'!$A$7:$A$366,'Estimator'!$B$4,'Climate Data'!$B$7:$B$366,C1436)</x:f>
        <x:v>0.3111111111111111</x:v>
      </x:c>
      <x:c r="I1436" s="382" t="n">
        <x:f>SUMIFS('Climate Data'!$H$7:$H$366,'Climate Data'!$A$7:$A$366,'Estimator'!$B$4,'Climate Data'!$B$7:$B$366,C1436)</x:f>
        <x:v>7.382142857142857</x:v>
      </x:c>
      <x:c r="J1436" s="381" t="n">
        <x:f>SUMIFS('Wind Proxy'!$H$8:$H$19,'Wind Proxy'!$A$8:$A$19,'Estimator'!$B$4,'Wind Proxy'!$B$8:$B$19,C1436)</x:f>
        <x:v>0.22222222222222224</x:v>
      </x:c>
    </x:row>
    <x:row r="1437">
      <x:c r="A1437" s="379" t="n">
        <x:v>47088</x:v>
      </x:c>
      <x:c r="B1437" s="380" t="n">
        <x:v>2028</x:v>
      </x:c>
      <x:c r="C1437" s="380" t="n">
        <x:v>12</x:v>
      </x:c>
      <x:c r="D1437" s="380" t="str">
        <x:v>Dec</x:v>
      </x:c>
      <x:c r="E1437" s="380" t="n">
        <x:v>1</x:v>
      </x:c>
      <x:c r="F1437" s="380" t="n">
        <x:v>5</x:v>
      </x:c>
      <x:c r="G1437" s="380" t="n">
        <x:f>--(F1437&lt;='Estimator'!$B$7)</x:f>
        <x:v>1</x:v>
      </x:c>
      <x:c r="H1437" s="381" t="n">
        <x:f>SUMIFS('Climate Data'!$G$7:$G$366,'Climate Data'!$A$7:$A$366,'Estimator'!$B$4,'Climate Data'!$B$7:$B$366,C1437)</x:f>
        <x:v>0.2914349276974416</x:v>
      </x:c>
      <x:c r="I1437" s="382" t="n">
        <x:f>SUMIFS('Climate Data'!$H$7:$H$366,'Climate Data'!$A$7:$A$366,'Estimator'!$B$4,'Climate Data'!$B$7:$B$366,C1437)</x:f>
        <x:v>9.043129770992365</x:v>
      </x:c>
      <x:c r="J1437" s="381" t="n">
        <x:f>SUMIFS('Wind Proxy'!$H$8:$H$19,'Wind Proxy'!$A$8:$A$19,'Estimator'!$B$4,'Wind Proxy'!$B$8:$B$19,C1437)</x:f>
        <x:v>0.12544802867383514</x:v>
      </x:c>
    </x:row>
    <x:row r="1438">
      <x:c r="A1438" s="379" t="n">
        <x:v>47089</x:v>
      </x:c>
      <x:c r="B1438" s="380" t="n">
        <x:v>2028</x:v>
      </x:c>
      <x:c r="C1438" s="380" t="n">
        <x:v>12</x:v>
      </x:c>
      <x:c r="D1438" s="380" t="str">
        <x:v>Dec</x:v>
      </x:c>
      <x:c r="E1438" s="380" t="n">
        <x:v>2</x:v>
      </x:c>
      <x:c r="F1438" s="380" t="n">
        <x:v>6</x:v>
      </x:c>
      <x:c r="G1438" s="380" t="n">
        <x:f>--(F1438&lt;='Estimator'!$B$7)</x:f>
        <x:v>0</x:v>
      </x:c>
      <x:c r="H1438" s="381" t="n">
        <x:f>SUMIFS('Climate Data'!$G$7:$G$366,'Climate Data'!$A$7:$A$366,'Estimator'!$B$4,'Climate Data'!$B$7:$B$366,C1438)</x:f>
        <x:v>0.2914349276974416</x:v>
      </x:c>
      <x:c r="I1438" s="382" t="n">
        <x:f>SUMIFS('Climate Data'!$H$7:$H$366,'Climate Data'!$A$7:$A$366,'Estimator'!$B$4,'Climate Data'!$B$7:$B$366,C1438)</x:f>
        <x:v>9.043129770992365</x:v>
      </x:c>
      <x:c r="J1438" s="381" t="n">
        <x:f>SUMIFS('Wind Proxy'!$H$8:$H$19,'Wind Proxy'!$A$8:$A$19,'Estimator'!$B$4,'Wind Proxy'!$B$8:$B$19,C1438)</x:f>
        <x:v>0.12544802867383514</x:v>
      </x:c>
    </x:row>
    <x:row r="1439">
      <x:c r="A1439" s="379" t="n">
        <x:v>47090</x:v>
      </x:c>
      <x:c r="B1439" s="380" t="n">
        <x:v>2028</x:v>
      </x:c>
      <x:c r="C1439" s="380" t="n">
        <x:v>12</x:v>
      </x:c>
      <x:c r="D1439" s="380" t="str">
        <x:v>Dec</x:v>
      </x:c>
      <x:c r="E1439" s="380" t="n">
        <x:v>3</x:v>
      </x:c>
      <x:c r="F1439" s="380" t="n">
        <x:v>7</x:v>
      </x:c>
      <x:c r="G1439" s="380" t="n">
        <x:f>--(F1439&lt;='Estimator'!$B$7)</x:f>
        <x:v>0</x:v>
      </x:c>
      <x:c r="H1439" s="381" t="n">
        <x:f>SUMIFS('Climate Data'!$G$7:$G$366,'Climate Data'!$A$7:$A$366,'Estimator'!$B$4,'Climate Data'!$B$7:$B$366,C1439)</x:f>
        <x:v>0.2914349276974416</x:v>
      </x:c>
      <x:c r="I1439" s="382" t="n">
        <x:f>SUMIFS('Climate Data'!$H$7:$H$366,'Climate Data'!$A$7:$A$366,'Estimator'!$B$4,'Climate Data'!$B$7:$B$366,C1439)</x:f>
        <x:v>9.043129770992365</x:v>
      </x:c>
      <x:c r="J1439" s="381" t="n">
        <x:f>SUMIFS('Wind Proxy'!$H$8:$H$19,'Wind Proxy'!$A$8:$A$19,'Estimator'!$B$4,'Wind Proxy'!$B$8:$B$19,C1439)</x:f>
        <x:v>0.12544802867383514</x:v>
      </x:c>
    </x:row>
    <x:row r="1440">
      <x:c r="A1440" s="379" t="n">
        <x:v>47091</x:v>
      </x:c>
      <x:c r="B1440" s="380" t="n">
        <x:v>2028</x:v>
      </x:c>
      <x:c r="C1440" s="380" t="n">
        <x:v>12</x:v>
      </x:c>
      <x:c r="D1440" s="380" t="str">
        <x:v>Dec</x:v>
      </x:c>
      <x:c r="E1440" s="380" t="n">
        <x:v>4</x:v>
      </x:c>
      <x:c r="F1440" s="380" t="n">
        <x:v>1</x:v>
      </x:c>
      <x:c r="G1440" s="380" t="n">
        <x:f>--(F1440&lt;='Estimator'!$B$7)</x:f>
        <x:v>1</x:v>
      </x:c>
      <x:c r="H1440" s="381" t="n">
        <x:f>SUMIFS('Climate Data'!$G$7:$G$366,'Climate Data'!$A$7:$A$366,'Estimator'!$B$4,'Climate Data'!$B$7:$B$366,C1440)</x:f>
        <x:v>0.2914349276974416</x:v>
      </x:c>
      <x:c r="I1440" s="382" t="n">
        <x:f>SUMIFS('Climate Data'!$H$7:$H$366,'Climate Data'!$A$7:$A$366,'Estimator'!$B$4,'Climate Data'!$B$7:$B$366,C1440)</x:f>
        <x:v>9.043129770992365</x:v>
      </x:c>
      <x:c r="J1440" s="381" t="n">
        <x:f>SUMIFS('Wind Proxy'!$H$8:$H$19,'Wind Proxy'!$A$8:$A$19,'Estimator'!$B$4,'Wind Proxy'!$B$8:$B$19,C1440)</x:f>
        <x:v>0.12544802867383514</x:v>
      </x:c>
    </x:row>
    <x:row r="1441">
      <x:c r="A1441" s="379" t="n">
        <x:v>47092</x:v>
      </x:c>
      <x:c r="B1441" s="380" t="n">
        <x:v>2028</x:v>
      </x:c>
      <x:c r="C1441" s="380" t="n">
        <x:v>12</x:v>
      </x:c>
      <x:c r="D1441" s="380" t="str">
        <x:v>Dec</x:v>
      </x:c>
      <x:c r="E1441" s="380" t="n">
        <x:v>5</x:v>
      </x:c>
      <x:c r="F1441" s="380" t="n">
        <x:v>2</x:v>
      </x:c>
      <x:c r="G1441" s="380" t="n">
        <x:f>--(F1441&lt;='Estimator'!$B$7)</x:f>
        <x:v>1</x:v>
      </x:c>
      <x:c r="H1441" s="381" t="n">
        <x:f>SUMIFS('Climate Data'!$G$7:$G$366,'Climate Data'!$A$7:$A$366,'Estimator'!$B$4,'Climate Data'!$B$7:$B$366,C1441)</x:f>
        <x:v>0.2914349276974416</x:v>
      </x:c>
      <x:c r="I1441" s="382" t="n">
        <x:f>SUMIFS('Climate Data'!$H$7:$H$366,'Climate Data'!$A$7:$A$366,'Estimator'!$B$4,'Climate Data'!$B$7:$B$366,C1441)</x:f>
        <x:v>9.043129770992365</x:v>
      </x:c>
      <x:c r="J1441" s="381" t="n">
        <x:f>SUMIFS('Wind Proxy'!$H$8:$H$19,'Wind Proxy'!$A$8:$A$19,'Estimator'!$B$4,'Wind Proxy'!$B$8:$B$19,C1441)</x:f>
        <x:v>0.12544802867383514</x:v>
      </x:c>
    </x:row>
    <x:row r="1442">
      <x:c r="A1442" s="379" t="n">
        <x:v>47093</x:v>
      </x:c>
      <x:c r="B1442" s="380" t="n">
        <x:v>2028</x:v>
      </x:c>
      <x:c r="C1442" s="380" t="n">
        <x:v>12</x:v>
      </x:c>
      <x:c r="D1442" s="380" t="str">
        <x:v>Dec</x:v>
      </x:c>
      <x:c r="E1442" s="380" t="n">
        <x:v>6</x:v>
      </x:c>
      <x:c r="F1442" s="380" t="n">
        <x:v>3</x:v>
      </x:c>
      <x:c r="G1442" s="380" t="n">
        <x:f>--(F1442&lt;='Estimator'!$B$7)</x:f>
        <x:v>1</x:v>
      </x:c>
      <x:c r="H1442" s="381" t="n">
        <x:f>SUMIFS('Climate Data'!$G$7:$G$366,'Climate Data'!$A$7:$A$366,'Estimator'!$B$4,'Climate Data'!$B$7:$B$366,C1442)</x:f>
        <x:v>0.2914349276974416</x:v>
      </x:c>
      <x:c r="I1442" s="382" t="n">
        <x:f>SUMIFS('Climate Data'!$H$7:$H$366,'Climate Data'!$A$7:$A$366,'Estimator'!$B$4,'Climate Data'!$B$7:$B$366,C1442)</x:f>
        <x:v>9.043129770992365</x:v>
      </x:c>
      <x:c r="J1442" s="381" t="n">
        <x:f>SUMIFS('Wind Proxy'!$H$8:$H$19,'Wind Proxy'!$A$8:$A$19,'Estimator'!$B$4,'Wind Proxy'!$B$8:$B$19,C1442)</x:f>
        <x:v>0.12544802867383514</x:v>
      </x:c>
    </x:row>
    <x:row r="1443">
      <x:c r="A1443" s="379" t="n">
        <x:v>47094</x:v>
      </x:c>
      <x:c r="B1443" s="380" t="n">
        <x:v>2028</x:v>
      </x:c>
      <x:c r="C1443" s="380" t="n">
        <x:v>12</x:v>
      </x:c>
      <x:c r="D1443" s="380" t="str">
        <x:v>Dec</x:v>
      </x:c>
      <x:c r="E1443" s="380" t="n">
        <x:v>7</x:v>
      </x:c>
      <x:c r="F1443" s="380" t="n">
        <x:v>4</x:v>
      </x:c>
      <x:c r="G1443" s="380" t="n">
        <x:f>--(F1443&lt;='Estimator'!$B$7)</x:f>
        <x:v>1</x:v>
      </x:c>
      <x:c r="H1443" s="381" t="n">
        <x:f>SUMIFS('Climate Data'!$G$7:$G$366,'Climate Data'!$A$7:$A$366,'Estimator'!$B$4,'Climate Data'!$B$7:$B$366,C1443)</x:f>
        <x:v>0.2914349276974416</x:v>
      </x:c>
      <x:c r="I1443" s="382" t="n">
        <x:f>SUMIFS('Climate Data'!$H$7:$H$366,'Climate Data'!$A$7:$A$366,'Estimator'!$B$4,'Climate Data'!$B$7:$B$366,C1443)</x:f>
        <x:v>9.043129770992365</x:v>
      </x:c>
      <x:c r="J1443" s="381" t="n">
        <x:f>SUMIFS('Wind Proxy'!$H$8:$H$19,'Wind Proxy'!$A$8:$A$19,'Estimator'!$B$4,'Wind Proxy'!$B$8:$B$19,C1443)</x:f>
        <x:v>0.12544802867383514</x:v>
      </x:c>
    </x:row>
    <x:row r="1444">
      <x:c r="A1444" s="379" t="n">
        <x:v>47095</x:v>
      </x:c>
      <x:c r="B1444" s="380" t="n">
        <x:v>2028</x:v>
      </x:c>
      <x:c r="C1444" s="380" t="n">
        <x:v>12</x:v>
      </x:c>
      <x:c r="D1444" s="380" t="str">
        <x:v>Dec</x:v>
      </x:c>
      <x:c r="E1444" s="380" t="n">
        <x:v>8</x:v>
      </x:c>
      <x:c r="F1444" s="380" t="n">
        <x:v>5</x:v>
      </x:c>
      <x:c r="G1444" s="380" t="n">
        <x:f>--(F1444&lt;='Estimator'!$B$7)</x:f>
        <x:v>1</x:v>
      </x:c>
      <x:c r="H1444" s="381" t="n">
        <x:f>SUMIFS('Climate Data'!$G$7:$G$366,'Climate Data'!$A$7:$A$366,'Estimator'!$B$4,'Climate Data'!$B$7:$B$366,C1444)</x:f>
        <x:v>0.2914349276974416</x:v>
      </x:c>
      <x:c r="I1444" s="382" t="n">
        <x:f>SUMIFS('Climate Data'!$H$7:$H$366,'Climate Data'!$A$7:$A$366,'Estimator'!$B$4,'Climate Data'!$B$7:$B$366,C1444)</x:f>
        <x:v>9.043129770992365</x:v>
      </x:c>
      <x:c r="J1444" s="381" t="n">
        <x:f>SUMIFS('Wind Proxy'!$H$8:$H$19,'Wind Proxy'!$A$8:$A$19,'Estimator'!$B$4,'Wind Proxy'!$B$8:$B$19,C1444)</x:f>
        <x:v>0.12544802867383514</x:v>
      </x:c>
    </x:row>
    <x:row r="1445">
      <x:c r="A1445" s="379" t="n">
        <x:v>47096</x:v>
      </x:c>
      <x:c r="B1445" s="380" t="n">
        <x:v>2028</x:v>
      </x:c>
      <x:c r="C1445" s="380" t="n">
        <x:v>12</x:v>
      </x:c>
      <x:c r="D1445" s="380" t="str">
        <x:v>Dec</x:v>
      </x:c>
      <x:c r="E1445" s="380" t="n">
        <x:v>9</x:v>
      </x:c>
      <x:c r="F1445" s="380" t="n">
        <x:v>6</x:v>
      </x:c>
      <x:c r="G1445" s="380" t="n">
        <x:f>--(F1445&lt;='Estimator'!$B$7)</x:f>
        <x:v>0</x:v>
      </x:c>
      <x:c r="H1445" s="381" t="n">
        <x:f>SUMIFS('Climate Data'!$G$7:$G$366,'Climate Data'!$A$7:$A$366,'Estimator'!$B$4,'Climate Data'!$B$7:$B$366,C1445)</x:f>
        <x:v>0.2914349276974416</x:v>
      </x:c>
      <x:c r="I1445" s="382" t="n">
        <x:f>SUMIFS('Climate Data'!$H$7:$H$366,'Climate Data'!$A$7:$A$366,'Estimator'!$B$4,'Climate Data'!$B$7:$B$366,C1445)</x:f>
        <x:v>9.043129770992365</x:v>
      </x:c>
      <x:c r="J1445" s="381" t="n">
        <x:f>SUMIFS('Wind Proxy'!$H$8:$H$19,'Wind Proxy'!$A$8:$A$19,'Estimator'!$B$4,'Wind Proxy'!$B$8:$B$19,C1445)</x:f>
        <x:v>0.12544802867383514</x:v>
      </x:c>
    </x:row>
    <x:row r="1446">
      <x:c r="A1446" s="379" t="n">
        <x:v>47097</x:v>
      </x:c>
      <x:c r="B1446" s="380" t="n">
        <x:v>2028</x:v>
      </x:c>
      <x:c r="C1446" s="380" t="n">
        <x:v>12</x:v>
      </x:c>
      <x:c r="D1446" s="380" t="str">
        <x:v>Dec</x:v>
      </x:c>
      <x:c r="E1446" s="380" t="n">
        <x:v>10</x:v>
      </x:c>
      <x:c r="F1446" s="380" t="n">
        <x:v>7</x:v>
      </x:c>
      <x:c r="G1446" s="380" t="n">
        <x:f>--(F1446&lt;='Estimator'!$B$7)</x:f>
        <x:v>0</x:v>
      </x:c>
      <x:c r="H1446" s="381" t="n">
        <x:f>SUMIFS('Climate Data'!$G$7:$G$366,'Climate Data'!$A$7:$A$366,'Estimator'!$B$4,'Climate Data'!$B$7:$B$366,C1446)</x:f>
        <x:v>0.2914349276974416</x:v>
      </x:c>
      <x:c r="I1446" s="382" t="n">
        <x:f>SUMIFS('Climate Data'!$H$7:$H$366,'Climate Data'!$A$7:$A$366,'Estimator'!$B$4,'Climate Data'!$B$7:$B$366,C1446)</x:f>
        <x:v>9.043129770992365</x:v>
      </x:c>
      <x:c r="J1446" s="381" t="n">
        <x:f>SUMIFS('Wind Proxy'!$H$8:$H$19,'Wind Proxy'!$A$8:$A$19,'Estimator'!$B$4,'Wind Proxy'!$B$8:$B$19,C1446)</x:f>
        <x:v>0.12544802867383514</x:v>
      </x:c>
    </x:row>
    <x:row r="1447">
      <x:c r="A1447" s="379" t="n">
        <x:v>47098</x:v>
      </x:c>
      <x:c r="B1447" s="380" t="n">
        <x:v>2028</x:v>
      </x:c>
      <x:c r="C1447" s="380" t="n">
        <x:v>12</x:v>
      </x:c>
      <x:c r="D1447" s="380" t="str">
        <x:v>Dec</x:v>
      </x:c>
      <x:c r="E1447" s="380" t="n">
        <x:v>11</x:v>
      </x:c>
      <x:c r="F1447" s="380" t="n">
        <x:v>1</x:v>
      </x:c>
      <x:c r="G1447" s="380" t="n">
        <x:f>--(F1447&lt;='Estimator'!$B$7)</x:f>
        <x:v>1</x:v>
      </x:c>
      <x:c r="H1447" s="381" t="n">
        <x:f>SUMIFS('Climate Data'!$G$7:$G$366,'Climate Data'!$A$7:$A$366,'Estimator'!$B$4,'Climate Data'!$B$7:$B$366,C1447)</x:f>
        <x:v>0.2914349276974416</x:v>
      </x:c>
      <x:c r="I1447" s="382" t="n">
        <x:f>SUMIFS('Climate Data'!$H$7:$H$366,'Climate Data'!$A$7:$A$366,'Estimator'!$B$4,'Climate Data'!$B$7:$B$366,C1447)</x:f>
        <x:v>9.043129770992365</x:v>
      </x:c>
      <x:c r="J1447" s="381" t="n">
        <x:f>SUMIFS('Wind Proxy'!$H$8:$H$19,'Wind Proxy'!$A$8:$A$19,'Estimator'!$B$4,'Wind Proxy'!$B$8:$B$19,C1447)</x:f>
        <x:v>0.12544802867383514</x:v>
      </x:c>
    </x:row>
    <x:row r="1448">
      <x:c r="A1448" s="379" t="n">
        <x:v>47099</x:v>
      </x:c>
      <x:c r="B1448" s="380" t="n">
        <x:v>2028</x:v>
      </x:c>
      <x:c r="C1448" s="380" t="n">
        <x:v>12</x:v>
      </x:c>
      <x:c r="D1448" s="380" t="str">
        <x:v>Dec</x:v>
      </x:c>
      <x:c r="E1448" s="380" t="n">
        <x:v>12</x:v>
      </x:c>
      <x:c r="F1448" s="380" t="n">
        <x:v>2</x:v>
      </x:c>
      <x:c r="G1448" s="380" t="n">
        <x:f>--(F1448&lt;='Estimator'!$B$7)</x:f>
        <x:v>1</x:v>
      </x:c>
      <x:c r="H1448" s="381" t="n">
        <x:f>SUMIFS('Climate Data'!$G$7:$G$366,'Climate Data'!$A$7:$A$366,'Estimator'!$B$4,'Climate Data'!$B$7:$B$366,C1448)</x:f>
        <x:v>0.2914349276974416</x:v>
      </x:c>
      <x:c r="I1448" s="382" t="n">
        <x:f>SUMIFS('Climate Data'!$H$7:$H$366,'Climate Data'!$A$7:$A$366,'Estimator'!$B$4,'Climate Data'!$B$7:$B$366,C1448)</x:f>
        <x:v>9.043129770992365</x:v>
      </x:c>
      <x:c r="J1448" s="381" t="n">
        <x:f>SUMIFS('Wind Proxy'!$H$8:$H$19,'Wind Proxy'!$A$8:$A$19,'Estimator'!$B$4,'Wind Proxy'!$B$8:$B$19,C1448)</x:f>
        <x:v>0.12544802867383514</x:v>
      </x:c>
    </x:row>
    <x:row r="1449">
      <x:c r="A1449" s="379" t="n">
        <x:v>47100</x:v>
      </x:c>
      <x:c r="B1449" s="380" t="n">
        <x:v>2028</x:v>
      </x:c>
      <x:c r="C1449" s="380" t="n">
        <x:v>12</x:v>
      </x:c>
      <x:c r="D1449" s="380" t="str">
        <x:v>Dec</x:v>
      </x:c>
      <x:c r="E1449" s="380" t="n">
        <x:v>13</x:v>
      </x:c>
      <x:c r="F1449" s="380" t="n">
        <x:v>3</x:v>
      </x:c>
      <x:c r="G1449" s="380" t="n">
        <x:f>--(F1449&lt;='Estimator'!$B$7)</x:f>
        <x:v>1</x:v>
      </x:c>
      <x:c r="H1449" s="381" t="n">
        <x:f>SUMIFS('Climate Data'!$G$7:$G$366,'Climate Data'!$A$7:$A$366,'Estimator'!$B$4,'Climate Data'!$B$7:$B$366,C1449)</x:f>
        <x:v>0.2914349276974416</x:v>
      </x:c>
      <x:c r="I1449" s="382" t="n">
        <x:f>SUMIFS('Climate Data'!$H$7:$H$366,'Climate Data'!$A$7:$A$366,'Estimator'!$B$4,'Climate Data'!$B$7:$B$366,C1449)</x:f>
        <x:v>9.043129770992365</x:v>
      </x:c>
      <x:c r="J1449" s="381" t="n">
        <x:f>SUMIFS('Wind Proxy'!$H$8:$H$19,'Wind Proxy'!$A$8:$A$19,'Estimator'!$B$4,'Wind Proxy'!$B$8:$B$19,C1449)</x:f>
        <x:v>0.12544802867383514</x:v>
      </x:c>
    </x:row>
    <x:row r="1450">
      <x:c r="A1450" s="379" t="n">
        <x:v>47101</x:v>
      </x:c>
      <x:c r="B1450" s="380" t="n">
        <x:v>2028</x:v>
      </x:c>
      <x:c r="C1450" s="380" t="n">
        <x:v>12</x:v>
      </x:c>
      <x:c r="D1450" s="380" t="str">
        <x:v>Dec</x:v>
      </x:c>
      <x:c r="E1450" s="380" t="n">
        <x:v>14</x:v>
      </x:c>
      <x:c r="F1450" s="380" t="n">
        <x:v>4</x:v>
      </x:c>
      <x:c r="G1450" s="380" t="n">
        <x:f>--(F1450&lt;='Estimator'!$B$7)</x:f>
        <x:v>1</x:v>
      </x:c>
      <x:c r="H1450" s="381" t="n">
        <x:f>SUMIFS('Climate Data'!$G$7:$G$366,'Climate Data'!$A$7:$A$366,'Estimator'!$B$4,'Climate Data'!$B$7:$B$366,C1450)</x:f>
        <x:v>0.2914349276974416</x:v>
      </x:c>
      <x:c r="I1450" s="382" t="n">
        <x:f>SUMIFS('Climate Data'!$H$7:$H$366,'Climate Data'!$A$7:$A$366,'Estimator'!$B$4,'Climate Data'!$B$7:$B$366,C1450)</x:f>
        <x:v>9.043129770992365</x:v>
      </x:c>
      <x:c r="J1450" s="381" t="n">
        <x:f>SUMIFS('Wind Proxy'!$H$8:$H$19,'Wind Proxy'!$A$8:$A$19,'Estimator'!$B$4,'Wind Proxy'!$B$8:$B$19,C1450)</x:f>
        <x:v>0.12544802867383514</x:v>
      </x:c>
    </x:row>
    <x:row r="1451">
      <x:c r="A1451" s="379" t="n">
        <x:v>47102</x:v>
      </x:c>
      <x:c r="B1451" s="380" t="n">
        <x:v>2028</x:v>
      </x:c>
      <x:c r="C1451" s="380" t="n">
        <x:v>12</x:v>
      </x:c>
      <x:c r="D1451" s="380" t="str">
        <x:v>Dec</x:v>
      </x:c>
      <x:c r="E1451" s="380" t="n">
        <x:v>15</x:v>
      </x:c>
      <x:c r="F1451" s="380" t="n">
        <x:v>5</x:v>
      </x:c>
      <x:c r="G1451" s="380" t="n">
        <x:f>--(F1451&lt;='Estimator'!$B$7)</x:f>
        <x:v>1</x:v>
      </x:c>
      <x:c r="H1451" s="381" t="n">
        <x:f>SUMIFS('Climate Data'!$G$7:$G$366,'Climate Data'!$A$7:$A$366,'Estimator'!$B$4,'Climate Data'!$B$7:$B$366,C1451)</x:f>
        <x:v>0.2914349276974416</x:v>
      </x:c>
      <x:c r="I1451" s="382" t="n">
        <x:f>SUMIFS('Climate Data'!$H$7:$H$366,'Climate Data'!$A$7:$A$366,'Estimator'!$B$4,'Climate Data'!$B$7:$B$366,C1451)</x:f>
        <x:v>9.043129770992365</x:v>
      </x:c>
      <x:c r="J1451" s="381" t="n">
        <x:f>SUMIFS('Wind Proxy'!$H$8:$H$19,'Wind Proxy'!$A$8:$A$19,'Estimator'!$B$4,'Wind Proxy'!$B$8:$B$19,C1451)</x:f>
        <x:v>0.12544802867383514</x:v>
      </x:c>
    </x:row>
    <x:row r="1452">
      <x:c r="A1452" s="379" t="n">
        <x:v>47103</x:v>
      </x:c>
      <x:c r="B1452" s="380" t="n">
        <x:v>2028</x:v>
      </x:c>
      <x:c r="C1452" s="380" t="n">
        <x:v>12</x:v>
      </x:c>
      <x:c r="D1452" s="380" t="str">
        <x:v>Dec</x:v>
      </x:c>
      <x:c r="E1452" s="380" t="n">
        <x:v>16</x:v>
      </x:c>
      <x:c r="F1452" s="380" t="n">
        <x:v>6</x:v>
      </x:c>
      <x:c r="G1452" s="380" t="n">
        <x:f>--(F1452&lt;='Estimator'!$B$7)</x:f>
        <x:v>0</x:v>
      </x:c>
      <x:c r="H1452" s="381" t="n">
        <x:f>SUMIFS('Climate Data'!$G$7:$G$366,'Climate Data'!$A$7:$A$366,'Estimator'!$B$4,'Climate Data'!$B$7:$B$366,C1452)</x:f>
        <x:v>0.2914349276974416</x:v>
      </x:c>
      <x:c r="I1452" s="382" t="n">
        <x:f>SUMIFS('Climate Data'!$H$7:$H$366,'Climate Data'!$A$7:$A$366,'Estimator'!$B$4,'Climate Data'!$B$7:$B$366,C1452)</x:f>
        <x:v>9.043129770992365</x:v>
      </x:c>
      <x:c r="J1452" s="381" t="n">
        <x:f>SUMIFS('Wind Proxy'!$H$8:$H$19,'Wind Proxy'!$A$8:$A$19,'Estimator'!$B$4,'Wind Proxy'!$B$8:$B$19,C1452)</x:f>
        <x:v>0.12544802867383514</x:v>
      </x:c>
    </x:row>
    <x:row r="1453">
      <x:c r="A1453" s="379" t="n">
        <x:v>47104</x:v>
      </x:c>
      <x:c r="B1453" s="380" t="n">
        <x:v>2028</x:v>
      </x:c>
      <x:c r="C1453" s="380" t="n">
        <x:v>12</x:v>
      </x:c>
      <x:c r="D1453" s="380" t="str">
        <x:v>Dec</x:v>
      </x:c>
      <x:c r="E1453" s="380" t="n">
        <x:v>17</x:v>
      </x:c>
      <x:c r="F1453" s="380" t="n">
        <x:v>7</x:v>
      </x:c>
      <x:c r="G1453" s="380" t="n">
        <x:f>--(F1453&lt;='Estimator'!$B$7)</x:f>
        <x:v>0</x:v>
      </x:c>
      <x:c r="H1453" s="381" t="n">
        <x:f>SUMIFS('Climate Data'!$G$7:$G$366,'Climate Data'!$A$7:$A$366,'Estimator'!$B$4,'Climate Data'!$B$7:$B$366,C1453)</x:f>
        <x:v>0.2914349276974416</x:v>
      </x:c>
      <x:c r="I1453" s="382" t="n">
        <x:f>SUMIFS('Climate Data'!$H$7:$H$366,'Climate Data'!$A$7:$A$366,'Estimator'!$B$4,'Climate Data'!$B$7:$B$366,C1453)</x:f>
        <x:v>9.043129770992365</x:v>
      </x:c>
      <x:c r="J1453" s="381" t="n">
        <x:f>SUMIFS('Wind Proxy'!$H$8:$H$19,'Wind Proxy'!$A$8:$A$19,'Estimator'!$B$4,'Wind Proxy'!$B$8:$B$19,C1453)</x:f>
        <x:v>0.12544802867383514</x:v>
      </x:c>
    </x:row>
    <x:row r="1454">
      <x:c r="A1454" s="379" t="n">
        <x:v>47105</x:v>
      </x:c>
      <x:c r="B1454" s="380" t="n">
        <x:v>2028</x:v>
      </x:c>
      <x:c r="C1454" s="380" t="n">
        <x:v>12</x:v>
      </x:c>
      <x:c r="D1454" s="380" t="str">
        <x:v>Dec</x:v>
      </x:c>
      <x:c r="E1454" s="380" t="n">
        <x:v>18</x:v>
      </x:c>
      <x:c r="F1454" s="380" t="n">
        <x:v>1</x:v>
      </x:c>
      <x:c r="G1454" s="380" t="n">
        <x:f>--(F1454&lt;='Estimator'!$B$7)</x:f>
        <x:v>1</x:v>
      </x:c>
      <x:c r="H1454" s="381" t="n">
        <x:f>SUMIFS('Climate Data'!$G$7:$G$366,'Climate Data'!$A$7:$A$366,'Estimator'!$B$4,'Climate Data'!$B$7:$B$366,C1454)</x:f>
        <x:v>0.2914349276974416</x:v>
      </x:c>
      <x:c r="I1454" s="382" t="n">
        <x:f>SUMIFS('Climate Data'!$H$7:$H$366,'Climate Data'!$A$7:$A$366,'Estimator'!$B$4,'Climate Data'!$B$7:$B$366,C1454)</x:f>
        <x:v>9.043129770992365</x:v>
      </x:c>
      <x:c r="J1454" s="381" t="n">
        <x:f>SUMIFS('Wind Proxy'!$H$8:$H$19,'Wind Proxy'!$A$8:$A$19,'Estimator'!$B$4,'Wind Proxy'!$B$8:$B$19,C1454)</x:f>
        <x:v>0.12544802867383514</x:v>
      </x:c>
    </x:row>
    <x:row r="1455">
      <x:c r="A1455" s="379" t="n">
        <x:v>47106</x:v>
      </x:c>
      <x:c r="B1455" s="380" t="n">
        <x:v>2028</x:v>
      </x:c>
      <x:c r="C1455" s="380" t="n">
        <x:v>12</x:v>
      </x:c>
      <x:c r="D1455" s="380" t="str">
        <x:v>Dec</x:v>
      </x:c>
      <x:c r="E1455" s="380" t="n">
        <x:v>19</x:v>
      </x:c>
      <x:c r="F1455" s="380" t="n">
        <x:v>2</x:v>
      </x:c>
      <x:c r="G1455" s="380" t="n">
        <x:f>--(F1455&lt;='Estimator'!$B$7)</x:f>
        <x:v>1</x:v>
      </x:c>
      <x:c r="H1455" s="381" t="n">
        <x:f>SUMIFS('Climate Data'!$G$7:$G$366,'Climate Data'!$A$7:$A$366,'Estimator'!$B$4,'Climate Data'!$B$7:$B$366,C1455)</x:f>
        <x:v>0.2914349276974416</x:v>
      </x:c>
      <x:c r="I1455" s="382" t="n">
        <x:f>SUMIFS('Climate Data'!$H$7:$H$366,'Climate Data'!$A$7:$A$366,'Estimator'!$B$4,'Climate Data'!$B$7:$B$366,C1455)</x:f>
        <x:v>9.043129770992365</x:v>
      </x:c>
      <x:c r="J1455" s="381" t="n">
        <x:f>SUMIFS('Wind Proxy'!$H$8:$H$19,'Wind Proxy'!$A$8:$A$19,'Estimator'!$B$4,'Wind Proxy'!$B$8:$B$19,C1455)</x:f>
        <x:v>0.12544802867383514</x:v>
      </x:c>
    </x:row>
    <x:row r="1456">
      <x:c r="A1456" s="379" t="n">
        <x:v>47107</x:v>
      </x:c>
      <x:c r="B1456" s="380" t="n">
        <x:v>2028</x:v>
      </x:c>
      <x:c r="C1456" s="380" t="n">
        <x:v>12</x:v>
      </x:c>
      <x:c r="D1456" s="380" t="str">
        <x:v>Dec</x:v>
      </x:c>
      <x:c r="E1456" s="380" t="n">
        <x:v>20</x:v>
      </x:c>
      <x:c r="F1456" s="380" t="n">
        <x:v>3</x:v>
      </x:c>
      <x:c r="G1456" s="380" t="n">
        <x:f>--(F1456&lt;='Estimator'!$B$7)</x:f>
        <x:v>1</x:v>
      </x:c>
      <x:c r="H1456" s="381" t="n">
        <x:f>SUMIFS('Climate Data'!$G$7:$G$366,'Climate Data'!$A$7:$A$366,'Estimator'!$B$4,'Climate Data'!$B$7:$B$366,C1456)</x:f>
        <x:v>0.2914349276974416</x:v>
      </x:c>
      <x:c r="I1456" s="382" t="n">
        <x:f>SUMIFS('Climate Data'!$H$7:$H$366,'Climate Data'!$A$7:$A$366,'Estimator'!$B$4,'Climate Data'!$B$7:$B$366,C1456)</x:f>
        <x:v>9.043129770992365</x:v>
      </x:c>
      <x:c r="J1456" s="381" t="n">
        <x:f>SUMIFS('Wind Proxy'!$H$8:$H$19,'Wind Proxy'!$A$8:$A$19,'Estimator'!$B$4,'Wind Proxy'!$B$8:$B$19,C1456)</x:f>
        <x:v>0.12544802867383514</x:v>
      </x:c>
    </x:row>
    <x:row r="1457">
      <x:c r="A1457" s="379" t="n">
        <x:v>47108</x:v>
      </x:c>
      <x:c r="B1457" s="380" t="n">
        <x:v>2028</x:v>
      </x:c>
      <x:c r="C1457" s="380" t="n">
        <x:v>12</x:v>
      </x:c>
      <x:c r="D1457" s="380" t="str">
        <x:v>Dec</x:v>
      </x:c>
      <x:c r="E1457" s="380" t="n">
        <x:v>21</x:v>
      </x:c>
      <x:c r="F1457" s="380" t="n">
        <x:v>4</x:v>
      </x:c>
      <x:c r="G1457" s="380" t="n">
        <x:f>--(F1457&lt;='Estimator'!$B$7)</x:f>
        <x:v>1</x:v>
      </x:c>
      <x:c r="H1457" s="381" t="n">
        <x:f>SUMIFS('Climate Data'!$G$7:$G$366,'Climate Data'!$A$7:$A$366,'Estimator'!$B$4,'Climate Data'!$B$7:$B$366,C1457)</x:f>
        <x:v>0.2914349276974416</x:v>
      </x:c>
      <x:c r="I1457" s="382" t="n">
        <x:f>SUMIFS('Climate Data'!$H$7:$H$366,'Climate Data'!$A$7:$A$366,'Estimator'!$B$4,'Climate Data'!$B$7:$B$366,C1457)</x:f>
        <x:v>9.043129770992365</x:v>
      </x:c>
      <x:c r="J1457" s="381" t="n">
        <x:f>SUMIFS('Wind Proxy'!$H$8:$H$19,'Wind Proxy'!$A$8:$A$19,'Estimator'!$B$4,'Wind Proxy'!$B$8:$B$19,C1457)</x:f>
        <x:v>0.12544802867383514</x:v>
      </x:c>
    </x:row>
    <x:row r="1458">
      <x:c r="A1458" s="379" t="n">
        <x:v>47109</x:v>
      </x:c>
      <x:c r="B1458" s="380" t="n">
        <x:v>2028</x:v>
      </x:c>
      <x:c r="C1458" s="380" t="n">
        <x:v>12</x:v>
      </x:c>
      <x:c r="D1458" s="380" t="str">
        <x:v>Dec</x:v>
      </x:c>
      <x:c r="E1458" s="380" t="n">
        <x:v>22</x:v>
      </x:c>
      <x:c r="F1458" s="380" t="n">
        <x:v>5</x:v>
      </x:c>
      <x:c r="G1458" s="380" t="n">
        <x:f>--(F1458&lt;='Estimator'!$B$7)</x:f>
        <x:v>1</x:v>
      </x:c>
      <x:c r="H1458" s="381" t="n">
        <x:f>SUMIFS('Climate Data'!$G$7:$G$366,'Climate Data'!$A$7:$A$366,'Estimator'!$B$4,'Climate Data'!$B$7:$B$366,C1458)</x:f>
        <x:v>0.2914349276974416</x:v>
      </x:c>
      <x:c r="I1458" s="382" t="n">
        <x:f>SUMIFS('Climate Data'!$H$7:$H$366,'Climate Data'!$A$7:$A$366,'Estimator'!$B$4,'Climate Data'!$B$7:$B$366,C1458)</x:f>
        <x:v>9.043129770992365</x:v>
      </x:c>
      <x:c r="J1458" s="381" t="n">
        <x:f>SUMIFS('Wind Proxy'!$H$8:$H$19,'Wind Proxy'!$A$8:$A$19,'Estimator'!$B$4,'Wind Proxy'!$B$8:$B$19,C1458)</x:f>
        <x:v>0.12544802867383514</x:v>
      </x:c>
    </x:row>
    <x:row r="1459">
      <x:c r="A1459" s="379" t="n">
        <x:v>47110</x:v>
      </x:c>
      <x:c r="B1459" s="380" t="n">
        <x:v>2028</x:v>
      </x:c>
      <x:c r="C1459" s="380" t="n">
        <x:v>12</x:v>
      </x:c>
      <x:c r="D1459" s="380" t="str">
        <x:v>Dec</x:v>
      </x:c>
      <x:c r="E1459" s="380" t="n">
        <x:v>23</x:v>
      </x:c>
      <x:c r="F1459" s="380" t="n">
        <x:v>6</x:v>
      </x:c>
      <x:c r="G1459" s="380" t="n">
        <x:f>--(F1459&lt;='Estimator'!$B$7)</x:f>
        <x:v>0</x:v>
      </x:c>
      <x:c r="H1459" s="381" t="n">
        <x:f>SUMIFS('Climate Data'!$G$7:$G$366,'Climate Data'!$A$7:$A$366,'Estimator'!$B$4,'Climate Data'!$B$7:$B$366,C1459)</x:f>
        <x:v>0.2914349276974416</x:v>
      </x:c>
      <x:c r="I1459" s="382" t="n">
        <x:f>SUMIFS('Climate Data'!$H$7:$H$366,'Climate Data'!$A$7:$A$366,'Estimator'!$B$4,'Climate Data'!$B$7:$B$366,C1459)</x:f>
        <x:v>9.043129770992365</x:v>
      </x:c>
      <x:c r="J1459" s="381" t="n">
        <x:f>SUMIFS('Wind Proxy'!$H$8:$H$19,'Wind Proxy'!$A$8:$A$19,'Estimator'!$B$4,'Wind Proxy'!$B$8:$B$19,C1459)</x:f>
        <x:v>0.12544802867383514</x:v>
      </x:c>
    </x:row>
    <x:row r="1460">
      <x:c r="A1460" s="379" t="n">
        <x:v>47111</x:v>
      </x:c>
      <x:c r="B1460" s="380" t="n">
        <x:v>2028</x:v>
      </x:c>
      <x:c r="C1460" s="380" t="n">
        <x:v>12</x:v>
      </x:c>
      <x:c r="D1460" s="380" t="str">
        <x:v>Dec</x:v>
      </x:c>
      <x:c r="E1460" s="380" t="n">
        <x:v>24</x:v>
      </x:c>
      <x:c r="F1460" s="380" t="n">
        <x:v>7</x:v>
      </x:c>
      <x:c r="G1460" s="380" t="n">
        <x:f>--(F1460&lt;='Estimator'!$B$7)</x:f>
        <x:v>0</x:v>
      </x:c>
      <x:c r="H1460" s="381" t="n">
        <x:f>SUMIFS('Climate Data'!$G$7:$G$366,'Climate Data'!$A$7:$A$366,'Estimator'!$B$4,'Climate Data'!$B$7:$B$366,C1460)</x:f>
        <x:v>0.2914349276974416</x:v>
      </x:c>
      <x:c r="I1460" s="382" t="n">
        <x:f>SUMIFS('Climate Data'!$H$7:$H$366,'Climate Data'!$A$7:$A$366,'Estimator'!$B$4,'Climate Data'!$B$7:$B$366,C1460)</x:f>
        <x:v>9.043129770992365</x:v>
      </x:c>
      <x:c r="J1460" s="381" t="n">
        <x:f>SUMIFS('Wind Proxy'!$H$8:$H$19,'Wind Proxy'!$A$8:$A$19,'Estimator'!$B$4,'Wind Proxy'!$B$8:$B$19,C1460)</x:f>
        <x:v>0.12544802867383514</x:v>
      </x:c>
    </x:row>
    <x:row r="1461">
      <x:c r="A1461" s="379" t="n">
        <x:v>47112</x:v>
      </x:c>
      <x:c r="B1461" s="380" t="n">
        <x:v>2028</x:v>
      </x:c>
      <x:c r="C1461" s="380" t="n">
        <x:v>12</x:v>
      </x:c>
      <x:c r="D1461" s="380" t="str">
        <x:v>Dec</x:v>
      </x:c>
      <x:c r="E1461" s="380" t="n">
        <x:v>25</x:v>
      </x:c>
      <x:c r="F1461" s="380" t="n">
        <x:v>1</x:v>
      </x:c>
      <x:c r="G1461" s="380" t="n">
        <x:f>--(F1461&lt;='Estimator'!$B$7)</x:f>
        <x:v>1</x:v>
      </x:c>
      <x:c r="H1461" s="381" t="n">
        <x:f>SUMIFS('Climate Data'!$G$7:$G$366,'Climate Data'!$A$7:$A$366,'Estimator'!$B$4,'Climate Data'!$B$7:$B$366,C1461)</x:f>
        <x:v>0.2914349276974416</x:v>
      </x:c>
      <x:c r="I1461" s="382" t="n">
        <x:f>SUMIFS('Climate Data'!$H$7:$H$366,'Climate Data'!$A$7:$A$366,'Estimator'!$B$4,'Climate Data'!$B$7:$B$366,C1461)</x:f>
        <x:v>9.043129770992365</x:v>
      </x:c>
      <x:c r="J1461" s="381" t="n">
        <x:f>SUMIFS('Wind Proxy'!$H$8:$H$19,'Wind Proxy'!$A$8:$A$19,'Estimator'!$B$4,'Wind Proxy'!$B$8:$B$19,C1461)</x:f>
        <x:v>0.12544802867383514</x:v>
      </x:c>
    </x:row>
    <x:row r="1462">
      <x:c r="A1462" s="379" t="n">
        <x:v>47113</x:v>
      </x:c>
      <x:c r="B1462" s="380" t="n">
        <x:v>2028</x:v>
      </x:c>
      <x:c r="C1462" s="380" t="n">
        <x:v>12</x:v>
      </x:c>
      <x:c r="D1462" s="380" t="str">
        <x:v>Dec</x:v>
      </x:c>
      <x:c r="E1462" s="380" t="n">
        <x:v>26</x:v>
      </x:c>
      <x:c r="F1462" s="380" t="n">
        <x:v>2</x:v>
      </x:c>
      <x:c r="G1462" s="380" t="n">
        <x:f>--(F1462&lt;='Estimator'!$B$7)</x:f>
        <x:v>1</x:v>
      </x:c>
      <x:c r="H1462" s="381" t="n">
        <x:f>SUMIFS('Climate Data'!$G$7:$G$366,'Climate Data'!$A$7:$A$366,'Estimator'!$B$4,'Climate Data'!$B$7:$B$366,C1462)</x:f>
        <x:v>0.2914349276974416</x:v>
      </x:c>
      <x:c r="I1462" s="382" t="n">
        <x:f>SUMIFS('Climate Data'!$H$7:$H$366,'Climate Data'!$A$7:$A$366,'Estimator'!$B$4,'Climate Data'!$B$7:$B$366,C1462)</x:f>
        <x:v>9.043129770992365</x:v>
      </x:c>
      <x:c r="J1462" s="381" t="n">
        <x:f>SUMIFS('Wind Proxy'!$H$8:$H$19,'Wind Proxy'!$A$8:$A$19,'Estimator'!$B$4,'Wind Proxy'!$B$8:$B$19,C1462)</x:f>
        <x:v>0.12544802867383514</x:v>
      </x:c>
    </x:row>
    <x:row r="1463">
      <x:c r="A1463" s="379" t="n">
        <x:v>47114</x:v>
      </x:c>
      <x:c r="B1463" s="380" t="n">
        <x:v>2028</x:v>
      </x:c>
      <x:c r="C1463" s="380" t="n">
        <x:v>12</x:v>
      </x:c>
      <x:c r="D1463" s="380" t="str">
        <x:v>Dec</x:v>
      </x:c>
      <x:c r="E1463" s="380" t="n">
        <x:v>27</x:v>
      </x:c>
      <x:c r="F1463" s="380" t="n">
        <x:v>3</x:v>
      </x:c>
      <x:c r="G1463" s="380" t="n">
        <x:f>--(F1463&lt;='Estimator'!$B$7)</x:f>
        <x:v>1</x:v>
      </x:c>
      <x:c r="H1463" s="381" t="n">
        <x:f>SUMIFS('Climate Data'!$G$7:$G$366,'Climate Data'!$A$7:$A$366,'Estimator'!$B$4,'Climate Data'!$B$7:$B$366,C1463)</x:f>
        <x:v>0.2914349276974416</x:v>
      </x:c>
      <x:c r="I1463" s="382" t="n">
        <x:f>SUMIFS('Climate Data'!$H$7:$H$366,'Climate Data'!$A$7:$A$366,'Estimator'!$B$4,'Climate Data'!$B$7:$B$366,C1463)</x:f>
        <x:v>9.043129770992365</x:v>
      </x:c>
      <x:c r="J1463" s="381" t="n">
        <x:f>SUMIFS('Wind Proxy'!$H$8:$H$19,'Wind Proxy'!$A$8:$A$19,'Estimator'!$B$4,'Wind Proxy'!$B$8:$B$19,C1463)</x:f>
        <x:v>0.12544802867383514</x:v>
      </x:c>
    </x:row>
    <x:row r="1464">
      <x:c r="A1464" s="379" t="n">
        <x:v>47115</x:v>
      </x:c>
      <x:c r="B1464" s="380" t="n">
        <x:v>2028</x:v>
      </x:c>
      <x:c r="C1464" s="380" t="n">
        <x:v>12</x:v>
      </x:c>
      <x:c r="D1464" s="380" t="str">
        <x:v>Dec</x:v>
      </x:c>
      <x:c r="E1464" s="380" t="n">
        <x:v>28</x:v>
      </x:c>
      <x:c r="F1464" s="380" t="n">
        <x:v>4</x:v>
      </x:c>
      <x:c r="G1464" s="380" t="n">
        <x:f>--(F1464&lt;='Estimator'!$B$7)</x:f>
        <x:v>1</x:v>
      </x:c>
      <x:c r="H1464" s="381" t="n">
        <x:f>SUMIFS('Climate Data'!$G$7:$G$366,'Climate Data'!$A$7:$A$366,'Estimator'!$B$4,'Climate Data'!$B$7:$B$366,C1464)</x:f>
        <x:v>0.2914349276974416</x:v>
      </x:c>
      <x:c r="I1464" s="382" t="n">
        <x:f>SUMIFS('Climate Data'!$H$7:$H$366,'Climate Data'!$A$7:$A$366,'Estimator'!$B$4,'Climate Data'!$B$7:$B$366,C1464)</x:f>
        <x:v>9.043129770992365</x:v>
      </x:c>
      <x:c r="J1464" s="381" t="n">
        <x:f>SUMIFS('Wind Proxy'!$H$8:$H$19,'Wind Proxy'!$A$8:$A$19,'Estimator'!$B$4,'Wind Proxy'!$B$8:$B$19,C1464)</x:f>
        <x:v>0.12544802867383514</x:v>
      </x:c>
    </x:row>
    <x:row r="1465">
      <x:c r="A1465" s="379" t="n">
        <x:v>47116</x:v>
      </x:c>
      <x:c r="B1465" s="380" t="n">
        <x:v>2028</x:v>
      </x:c>
      <x:c r="C1465" s="380" t="n">
        <x:v>12</x:v>
      </x:c>
      <x:c r="D1465" s="380" t="str">
        <x:v>Dec</x:v>
      </x:c>
      <x:c r="E1465" s="380" t="n">
        <x:v>29</x:v>
      </x:c>
      <x:c r="F1465" s="380" t="n">
        <x:v>5</x:v>
      </x:c>
      <x:c r="G1465" s="380" t="n">
        <x:f>--(F1465&lt;='Estimator'!$B$7)</x:f>
        <x:v>1</x:v>
      </x:c>
      <x:c r="H1465" s="381" t="n">
        <x:f>SUMIFS('Climate Data'!$G$7:$G$366,'Climate Data'!$A$7:$A$366,'Estimator'!$B$4,'Climate Data'!$B$7:$B$366,C1465)</x:f>
        <x:v>0.2914349276974416</x:v>
      </x:c>
      <x:c r="I1465" s="382" t="n">
        <x:f>SUMIFS('Climate Data'!$H$7:$H$366,'Climate Data'!$A$7:$A$366,'Estimator'!$B$4,'Climate Data'!$B$7:$B$366,C1465)</x:f>
        <x:v>9.043129770992365</x:v>
      </x:c>
      <x:c r="J1465" s="381" t="n">
        <x:f>SUMIFS('Wind Proxy'!$H$8:$H$19,'Wind Proxy'!$A$8:$A$19,'Estimator'!$B$4,'Wind Proxy'!$B$8:$B$19,C1465)</x:f>
        <x:v>0.12544802867383514</x:v>
      </x:c>
    </x:row>
    <x:row r="1466">
      <x:c r="A1466" s="379" t="n">
        <x:v>47117</x:v>
      </x:c>
      <x:c r="B1466" s="380" t="n">
        <x:v>2028</x:v>
      </x:c>
      <x:c r="C1466" s="380" t="n">
        <x:v>12</x:v>
      </x:c>
      <x:c r="D1466" s="380" t="str">
        <x:v>Dec</x:v>
      </x:c>
      <x:c r="E1466" s="380" t="n">
        <x:v>30</x:v>
      </x:c>
      <x:c r="F1466" s="380" t="n">
        <x:v>6</x:v>
      </x:c>
      <x:c r="G1466" s="380" t="n">
        <x:f>--(F1466&lt;='Estimator'!$B$7)</x:f>
        <x:v>0</x:v>
      </x:c>
      <x:c r="H1466" s="381" t="n">
        <x:f>SUMIFS('Climate Data'!$G$7:$G$366,'Climate Data'!$A$7:$A$366,'Estimator'!$B$4,'Climate Data'!$B$7:$B$366,C1466)</x:f>
        <x:v>0.2914349276974416</x:v>
      </x:c>
      <x:c r="I1466" s="382" t="n">
        <x:f>SUMIFS('Climate Data'!$H$7:$H$366,'Climate Data'!$A$7:$A$366,'Estimator'!$B$4,'Climate Data'!$B$7:$B$366,C1466)</x:f>
        <x:v>9.043129770992365</x:v>
      </x:c>
      <x:c r="J1466" s="381" t="n">
        <x:f>SUMIFS('Wind Proxy'!$H$8:$H$19,'Wind Proxy'!$A$8:$A$19,'Estimator'!$B$4,'Wind Proxy'!$B$8:$B$19,C1466)</x:f>
        <x:v>0.12544802867383514</x:v>
      </x:c>
    </x:row>
    <x:row r="1467">
      <x:c r="A1467" s="379" t="n">
        <x:v>47118</x:v>
      </x:c>
      <x:c r="B1467" s="380" t="n">
        <x:v>2028</x:v>
      </x:c>
      <x:c r="C1467" s="380" t="n">
        <x:v>12</x:v>
      </x:c>
      <x:c r="D1467" s="380" t="str">
        <x:v>Dec</x:v>
      </x:c>
      <x:c r="E1467" s="380" t="n">
        <x:v>31</x:v>
      </x:c>
      <x:c r="F1467" s="380" t="n">
        <x:v>7</x:v>
      </x:c>
      <x:c r="G1467" s="380" t="n">
        <x:f>--(F1467&lt;='Estimator'!$B$7)</x:f>
        <x:v>0</x:v>
      </x:c>
      <x:c r="H1467" s="381" t="n">
        <x:f>SUMIFS('Climate Data'!$G$7:$G$366,'Climate Data'!$A$7:$A$366,'Estimator'!$B$4,'Climate Data'!$B$7:$B$366,C1467)</x:f>
        <x:v>0.2914349276974416</x:v>
      </x:c>
      <x:c r="I1467" s="382" t="n">
        <x:f>SUMIFS('Climate Data'!$H$7:$H$366,'Climate Data'!$A$7:$A$366,'Estimator'!$B$4,'Climate Data'!$B$7:$B$366,C1467)</x:f>
        <x:v>9.043129770992365</x:v>
      </x:c>
      <x:c r="J1467" s="381" t="n">
        <x:f>SUMIFS('Wind Proxy'!$H$8:$H$19,'Wind Proxy'!$A$8:$A$19,'Estimator'!$B$4,'Wind Proxy'!$B$8:$B$19,C1467)</x:f>
        <x:v>0.12544802867383514</x:v>
      </x:c>
    </x:row>
    <x:row r="1468">
      <x:c r="A1468" s="379" t="n">
        <x:v>47119</x:v>
      </x:c>
      <x:c r="B1468" s="380" t="n">
        <x:v>2029</x:v>
      </x:c>
      <x:c r="C1468" s="380" t="n">
        <x:v>1</x:v>
      </x:c>
      <x:c r="D1468" s="380" t="str">
        <x:v>Jan</x:v>
      </x:c>
      <x:c r="E1468" s="380" t="n">
        <x:v>1</x:v>
      </x:c>
      <x:c r="F1468" s="380" t="n">
        <x:v>1</x:v>
      </x:c>
      <x:c r="G1468" s="380" t="n">
        <x:f>--(F1468&lt;='Estimator'!$B$7)</x:f>
        <x:v>1</x:v>
      </x:c>
      <x:c r="H1468" s="381" t="n">
        <x:f>SUMIFS('Climate Data'!$G$7:$G$366,'Climate Data'!$A$7:$A$366,'Estimator'!$B$4,'Climate Data'!$B$7:$B$366,C1468)</x:f>
        <x:v>0.21802002224694106</x:v>
      </x:c>
      <x:c r="I1468" s="382" t="n">
        <x:f>SUMIFS('Climate Data'!$H$7:$H$366,'Climate Data'!$A$7:$A$366,'Estimator'!$B$4,'Climate Data'!$B$7:$B$366,C1468)</x:f>
        <x:v>8.596428571428572</x:v>
      </x:c>
      <x:c r="J1468" s="381" t="n">
        <x:f>SUMIFS('Wind Proxy'!$H$8:$H$19,'Wind Proxy'!$A$8:$A$19,'Estimator'!$B$4,'Wind Proxy'!$B$8:$B$19,C1468)</x:f>
        <x:v>0.12544802867383514</x:v>
      </x:c>
    </x:row>
    <x:row r="1469">
      <x:c r="A1469" s="379" t="n">
        <x:v>47120</x:v>
      </x:c>
      <x:c r="B1469" s="380" t="n">
        <x:v>2029</x:v>
      </x:c>
      <x:c r="C1469" s="380" t="n">
        <x:v>1</x:v>
      </x:c>
      <x:c r="D1469" s="380" t="str">
        <x:v>Jan</x:v>
      </x:c>
      <x:c r="E1469" s="380" t="n">
        <x:v>2</x:v>
      </x:c>
      <x:c r="F1469" s="380" t="n">
        <x:v>2</x:v>
      </x:c>
      <x:c r="G1469" s="380" t="n">
        <x:f>--(F1469&lt;='Estimator'!$B$7)</x:f>
        <x:v>1</x:v>
      </x:c>
      <x:c r="H1469" s="381" t="n">
        <x:f>SUMIFS('Climate Data'!$G$7:$G$366,'Climate Data'!$A$7:$A$366,'Estimator'!$B$4,'Climate Data'!$B$7:$B$366,C1469)</x:f>
        <x:v>0.21802002224694106</x:v>
      </x:c>
      <x:c r="I1469" s="382" t="n">
        <x:f>SUMIFS('Climate Data'!$H$7:$H$366,'Climate Data'!$A$7:$A$366,'Estimator'!$B$4,'Climate Data'!$B$7:$B$366,C1469)</x:f>
        <x:v>8.596428571428572</x:v>
      </x:c>
      <x:c r="J1469" s="381" t="n">
        <x:f>SUMIFS('Wind Proxy'!$H$8:$H$19,'Wind Proxy'!$A$8:$A$19,'Estimator'!$B$4,'Wind Proxy'!$B$8:$B$19,C1469)</x:f>
        <x:v>0.12544802867383514</x:v>
      </x:c>
    </x:row>
    <x:row r="1470">
      <x:c r="A1470" s="379" t="n">
        <x:v>47121</x:v>
      </x:c>
      <x:c r="B1470" s="380" t="n">
        <x:v>2029</x:v>
      </x:c>
      <x:c r="C1470" s="380" t="n">
        <x:v>1</x:v>
      </x:c>
      <x:c r="D1470" s="380" t="str">
        <x:v>Jan</x:v>
      </x:c>
      <x:c r="E1470" s="380" t="n">
        <x:v>3</x:v>
      </x:c>
      <x:c r="F1470" s="380" t="n">
        <x:v>3</x:v>
      </x:c>
      <x:c r="G1470" s="380" t="n">
        <x:f>--(F1470&lt;='Estimator'!$B$7)</x:f>
        <x:v>1</x:v>
      </x:c>
      <x:c r="H1470" s="381" t="n">
        <x:f>SUMIFS('Climate Data'!$G$7:$G$366,'Climate Data'!$A$7:$A$366,'Estimator'!$B$4,'Climate Data'!$B$7:$B$366,C1470)</x:f>
        <x:v>0.21802002224694106</x:v>
      </x:c>
      <x:c r="I1470" s="382" t="n">
        <x:f>SUMIFS('Climate Data'!$H$7:$H$366,'Climate Data'!$A$7:$A$366,'Estimator'!$B$4,'Climate Data'!$B$7:$B$366,C1470)</x:f>
        <x:v>8.596428571428572</x:v>
      </x:c>
      <x:c r="J1470" s="381" t="n">
        <x:f>SUMIFS('Wind Proxy'!$H$8:$H$19,'Wind Proxy'!$A$8:$A$19,'Estimator'!$B$4,'Wind Proxy'!$B$8:$B$19,C1470)</x:f>
        <x:v>0.12544802867383514</x:v>
      </x:c>
    </x:row>
    <x:row r="1471">
      <x:c r="A1471" s="379" t="n">
        <x:v>47122</x:v>
      </x:c>
      <x:c r="B1471" s="380" t="n">
        <x:v>2029</x:v>
      </x:c>
      <x:c r="C1471" s="380" t="n">
        <x:v>1</x:v>
      </x:c>
      <x:c r="D1471" s="380" t="str">
        <x:v>Jan</x:v>
      </x:c>
      <x:c r="E1471" s="380" t="n">
        <x:v>4</x:v>
      </x:c>
      <x:c r="F1471" s="380" t="n">
        <x:v>4</x:v>
      </x:c>
      <x:c r="G1471" s="380" t="n">
        <x:f>--(F1471&lt;='Estimator'!$B$7)</x:f>
        <x:v>1</x:v>
      </x:c>
      <x:c r="H1471" s="381" t="n">
        <x:f>SUMIFS('Climate Data'!$G$7:$G$366,'Climate Data'!$A$7:$A$366,'Estimator'!$B$4,'Climate Data'!$B$7:$B$366,C1471)</x:f>
        <x:v>0.21802002224694106</x:v>
      </x:c>
      <x:c r="I1471" s="382" t="n">
        <x:f>SUMIFS('Climate Data'!$H$7:$H$366,'Climate Data'!$A$7:$A$366,'Estimator'!$B$4,'Climate Data'!$B$7:$B$366,C1471)</x:f>
        <x:v>8.596428571428572</x:v>
      </x:c>
      <x:c r="J1471" s="381" t="n">
        <x:f>SUMIFS('Wind Proxy'!$H$8:$H$19,'Wind Proxy'!$A$8:$A$19,'Estimator'!$B$4,'Wind Proxy'!$B$8:$B$19,C1471)</x:f>
        <x:v>0.12544802867383514</x:v>
      </x:c>
    </x:row>
    <x:row r="1472">
      <x:c r="A1472" s="379" t="n">
        <x:v>47123</x:v>
      </x:c>
      <x:c r="B1472" s="380" t="n">
        <x:v>2029</x:v>
      </x:c>
      <x:c r="C1472" s="380" t="n">
        <x:v>1</x:v>
      </x:c>
      <x:c r="D1472" s="380" t="str">
        <x:v>Jan</x:v>
      </x:c>
      <x:c r="E1472" s="380" t="n">
        <x:v>5</x:v>
      </x:c>
      <x:c r="F1472" s="380" t="n">
        <x:v>5</x:v>
      </x:c>
      <x:c r="G1472" s="380" t="n">
        <x:f>--(F1472&lt;='Estimator'!$B$7)</x:f>
        <x:v>1</x:v>
      </x:c>
      <x:c r="H1472" s="381" t="n">
        <x:f>SUMIFS('Climate Data'!$G$7:$G$366,'Climate Data'!$A$7:$A$366,'Estimator'!$B$4,'Climate Data'!$B$7:$B$366,C1472)</x:f>
        <x:v>0.21802002224694106</x:v>
      </x:c>
      <x:c r="I1472" s="382" t="n">
        <x:f>SUMIFS('Climate Data'!$H$7:$H$366,'Climate Data'!$A$7:$A$366,'Estimator'!$B$4,'Climate Data'!$B$7:$B$366,C1472)</x:f>
        <x:v>8.596428571428572</x:v>
      </x:c>
      <x:c r="J1472" s="381" t="n">
        <x:f>SUMIFS('Wind Proxy'!$H$8:$H$19,'Wind Proxy'!$A$8:$A$19,'Estimator'!$B$4,'Wind Proxy'!$B$8:$B$19,C1472)</x:f>
        <x:v>0.12544802867383514</x:v>
      </x:c>
    </x:row>
    <x:row r="1473">
      <x:c r="A1473" s="379" t="n">
        <x:v>47124</x:v>
      </x:c>
      <x:c r="B1473" s="380" t="n">
        <x:v>2029</x:v>
      </x:c>
      <x:c r="C1473" s="380" t="n">
        <x:v>1</x:v>
      </x:c>
      <x:c r="D1473" s="380" t="str">
        <x:v>Jan</x:v>
      </x:c>
      <x:c r="E1473" s="380" t="n">
        <x:v>6</x:v>
      </x:c>
      <x:c r="F1473" s="380" t="n">
        <x:v>6</x:v>
      </x:c>
      <x:c r="G1473" s="380" t="n">
        <x:f>--(F1473&lt;='Estimator'!$B$7)</x:f>
        <x:v>0</x:v>
      </x:c>
      <x:c r="H1473" s="381" t="n">
        <x:f>SUMIFS('Climate Data'!$G$7:$G$366,'Climate Data'!$A$7:$A$366,'Estimator'!$B$4,'Climate Data'!$B$7:$B$366,C1473)</x:f>
        <x:v>0.21802002224694106</x:v>
      </x:c>
      <x:c r="I1473" s="382" t="n">
        <x:f>SUMIFS('Climate Data'!$H$7:$H$366,'Climate Data'!$A$7:$A$366,'Estimator'!$B$4,'Climate Data'!$B$7:$B$366,C1473)</x:f>
        <x:v>8.596428571428572</x:v>
      </x:c>
      <x:c r="J1473" s="381" t="n">
        <x:f>SUMIFS('Wind Proxy'!$H$8:$H$19,'Wind Proxy'!$A$8:$A$19,'Estimator'!$B$4,'Wind Proxy'!$B$8:$B$19,C1473)</x:f>
        <x:v>0.12544802867383514</x:v>
      </x:c>
    </x:row>
    <x:row r="1474">
      <x:c r="A1474" s="379" t="n">
        <x:v>47125</x:v>
      </x:c>
      <x:c r="B1474" s="380" t="n">
        <x:v>2029</x:v>
      </x:c>
      <x:c r="C1474" s="380" t="n">
        <x:v>1</x:v>
      </x:c>
      <x:c r="D1474" s="380" t="str">
        <x:v>Jan</x:v>
      </x:c>
      <x:c r="E1474" s="380" t="n">
        <x:v>7</x:v>
      </x:c>
      <x:c r="F1474" s="380" t="n">
        <x:v>7</x:v>
      </x:c>
      <x:c r="G1474" s="380" t="n">
        <x:f>--(F1474&lt;='Estimator'!$B$7)</x:f>
        <x:v>0</x:v>
      </x:c>
      <x:c r="H1474" s="381" t="n">
        <x:f>SUMIFS('Climate Data'!$G$7:$G$366,'Climate Data'!$A$7:$A$366,'Estimator'!$B$4,'Climate Data'!$B$7:$B$366,C1474)</x:f>
        <x:v>0.21802002224694106</x:v>
      </x:c>
      <x:c r="I1474" s="382" t="n">
        <x:f>SUMIFS('Climate Data'!$H$7:$H$366,'Climate Data'!$A$7:$A$366,'Estimator'!$B$4,'Climate Data'!$B$7:$B$366,C1474)</x:f>
        <x:v>8.596428571428572</x:v>
      </x:c>
      <x:c r="J1474" s="381" t="n">
        <x:f>SUMIFS('Wind Proxy'!$H$8:$H$19,'Wind Proxy'!$A$8:$A$19,'Estimator'!$B$4,'Wind Proxy'!$B$8:$B$19,C1474)</x:f>
        <x:v>0.12544802867383514</x:v>
      </x:c>
    </x:row>
    <x:row r="1475">
      <x:c r="A1475" s="379" t="n">
        <x:v>47126</x:v>
      </x:c>
      <x:c r="B1475" s="380" t="n">
        <x:v>2029</x:v>
      </x:c>
      <x:c r="C1475" s="380" t="n">
        <x:v>1</x:v>
      </x:c>
      <x:c r="D1475" s="380" t="str">
        <x:v>Jan</x:v>
      </x:c>
      <x:c r="E1475" s="380" t="n">
        <x:v>8</x:v>
      </x:c>
      <x:c r="F1475" s="380" t="n">
        <x:v>1</x:v>
      </x:c>
      <x:c r="G1475" s="380" t="n">
        <x:f>--(F1475&lt;='Estimator'!$B$7)</x:f>
        <x:v>1</x:v>
      </x:c>
      <x:c r="H1475" s="381" t="n">
        <x:f>SUMIFS('Climate Data'!$G$7:$G$366,'Climate Data'!$A$7:$A$366,'Estimator'!$B$4,'Climate Data'!$B$7:$B$366,C1475)</x:f>
        <x:v>0.21802002224694106</x:v>
      </x:c>
      <x:c r="I1475" s="382" t="n">
        <x:f>SUMIFS('Climate Data'!$H$7:$H$366,'Climate Data'!$A$7:$A$366,'Estimator'!$B$4,'Climate Data'!$B$7:$B$366,C1475)</x:f>
        <x:v>8.596428571428572</x:v>
      </x:c>
      <x:c r="J1475" s="381" t="n">
        <x:f>SUMIFS('Wind Proxy'!$H$8:$H$19,'Wind Proxy'!$A$8:$A$19,'Estimator'!$B$4,'Wind Proxy'!$B$8:$B$19,C1475)</x:f>
        <x:v>0.12544802867383514</x:v>
      </x:c>
    </x:row>
    <x:row r="1476">
      <x:c r="A1476" s="379" t="n">
        <x:v>47127</x:v>
      </x:c>
      <x:c r="B1476" s="380" t="n">
        <x:v>2029</x:v>
      </x:c>
      <x:c r="C1476" s="380" t="n">
        <x:v>1</x:v>
      </x:c>
      <x:c r="D1476" s="380" t="str">
        <x:v>Jan</x:v>
      </x:c>
      <x:c r="E1476" s="380" t="n">
        <x:v>9</x:v>
      </x:c>
      <x:c r="F1476" s="380" t="n">
        <x:v>2</x:v>
      </x:c>
      <x:c r="G1476" s="380" t="n">
        <x:f>--(F1476&lt;='Estimator'!$B$7)</x:f>
        <x:v>1</x:v>
      </x:c>
      <x:c r="H1476" s="381" t="n">
        <x:f>SUMIFS('Climate Data'!$G$7:$G$366,'Climate Data'!$A$7:$A$366,'Estimator'!$B$4,'Climate Data'!$B$7:$B$366,C1476)</x:f>
        <x:v>0.21802002224694106</x:v>
      </x:c>
      <x:c r="I1476" s="382" t="n">
        <x:f>SUMIFS('Climate Data'!$H$7:$H$366,'Climate Data'!$A$7:$A$366,'Estimator'!$B$4,'Climate Data'!$B$7:$B$366,C1476)</x:f>
        <x:v>8.596428571428572</x:v>
      </x:c>
      <x:c r="J1476" s="381" t="n">
        <x:f>SUMIFS('Wind Proxy'!$H$8:$H$19,'Wind Proxy'!$A$8:$A$19,'Estimator'!$B$4,'Wind Proxy'!$B$8:$B$19,C1476)</x:f>
        <x:v>0.12544802867383514</x:v>
      </x:c>
    </x:row>
    <x:row r="1477">
      <x:c r="A1477" s="379" t="n">
        <x:v>47128</x:v>
      </x:c>
      <x:c r="B1477" s="380" t="n">
        <x:v>2029</x:v>
      </x:c>
      <x:c r="C1477" s="380" t="n">
        <x:v>1</x:v>
      </x:c>
      <x:c r="D1477" s="380" t="str">
        <x:v>Jan</x:v>
      </x:c>
      <x:c r="E1477" s="380" t="n">
        <x:v>10</x:v>
      </x:c>
      <x:c r="F1477" s="380" t="n">
        <x:v>3</x:v>
      </x:c>
      <x:c r="G1477" s="380" t="n">
        <x:f>--(F1477&lt;='Estimator'!$B$7)</x:f>
        <x:v>1</x:v>
      </x:c>
      <x:c r="H1477" s="381" t="n">
        <x:f>SUMIFS('Climate Data'!$G$7:$G$366,'Climate Data'!$A$7:$A$366,'Estimator'!$B$4,'Climate Data'!$B$7:$B$366,C1477)</x:f>
        <x:v>0.21802002224694106</x:v>
      </x:c>
      <x:c r="I1477" s="382" t="n">
        <x:f>SUMIFS('Climate Data'!$H$7:$H$366,'Climate Data'!$A$7:$A$366,'Estimator'!$B$4,'Climate Data'!$B$7:$B$366,C1477)</x:f>
        <x:v>8.596428571428572</x:v>
      </x:c>
      <x:c r="J1477" s="381" t="n">
        <x:f>SUMIFS('Wind Proxy'!$H$8:$H$19,'Wind Proxy'!$A$8:$A$19,'Estimator'!$B$4,'Wind Proxy'!$B$8:$B$19,C1477)</x:f>
        <x:v>0.12544802867383514</x:v>
      </x:c>
    </x:row>
    <x:row r="1478">
      <x:c r="A1478" s="379" t="n">
        <x:v>47129</x:v>
      </x:c>
      <x:c r="B1478" s="380" t="n">
        <x:v>2029</x:v>
      </x:c>
      <x:c r="C1478" s="380" t="n">
        <x:v>1</x:v>
      </x:c>
      <x:c r="D1478" s="380" t="str">
        <x:v>Jan</x:v>
      </x:c>
      <x:c r="E1478" s="380" t="n">
        <x:v>11</x:v>
      </x:c>
      <x:c r="F1478" s="380" t="n">
        <x:v>4</x:v>
      </x:c>
      <x:c r="G1478" s="380" t="n">
        <x:f>--(F1478&lt;='Estimator'!$B$7)</x:f>
        <x:v>1</x:v>
      </x:c>
      <x:c r="H1478" s="381" t="n">
        <x:f>SUMIFS('Climate Data'!$G$7:$G$366,'Climate Data'!$A$7:$A$366,'Estimator'!$B$4,'Climate Data'!$B$7:$B$366,C1478)</x:f>
        <x:v>0.21802002224694106</x:v>
      </x:c>
      <x:c r="I1478" s="382" t="n">
        <x:f>SUMIFS('Climate Data'!$H$7:$H$366,'Climate Data'!$A$7:$A$366,'Estimator'!$B$4,'Climate Data'!$B$7:$B$366,C1478)</x:f>
        <x:v>8.596428571428572</x:v>
      </x:c>
      <x:c r="J1478" s="381" t="n">
        <x:f>SUMIFS('Wind Proxy'!$H$8:$H$19,'Wind Proxy'!$A$8:$A$19,'Estimator'!$B$4,'Wind Proxy'!$B$8:$B$19,C1478)</x:f>
        <x:v>0.12544802867383514</x:v>
      </x:c>
    </x:row>
    <x:row r="1479">
      <x:c r="A1479" s="379" t="n">
        <x:v>47130</x:v>
      </x:c>
      <x:c r="B1479" s="380" t="n">
        <x:v>2029</x:v>
      </x:c>
      <x:c r="C1479" s="380" t="n">
        <x:v>1</x:v>
      </x:c>
      <x:c r="D1479" s="380" t="str">
        <x:v>Jan</x:v>
      </x:c>
      <x:c r="E1479" s="380" t="n">
        <x:v>12</x:v>
      </x:c>
      <x:c r="F1479" s="380" t="n">
        <x:v>5</x:v>
      </x:c>
      <x:c r="G1479" s="380" t="n">
        <x:f>--(F1479&lt;='Estimator'!$B$7)</x:f>
        <x:v>1</x:v>
      </x:c>
      <x:c r="H1479" s="381" t="n">
        <x:f>SUMIFS('Climate Data'!$G$7:$G$366,'Climate Data'!$A$7:$A$366,'Estimator'!$B$4,'Climate Data'!$B$7:$B$366,C1479)</x:f>
        <x:v>0.21802002224694106</x:v>
      </x:c>
      <x:c r="I1479" s="382" t="n">
        <x:f>SUMIFS('Climate Data'!$H$7:$H$366,'Climate Data'!$A$7:$A$366,'Estimator'!$B$4,'Climate Data'!$B$7:$B$366,C1479)</x:f>
        <x:v>8.596428571428572</x:v>
      </x:c>
      <x:c r="J1479" s="381" t="n">
        <x:f>SUMIFS('Wind Proxy'!$H$8:$H$19,'Wind Proxy'!$A$8:$A$19,'Estimator'!$B$4,'Wind Proxy'!$B$8:$B$19,C1479)</x:f>
        <x:v>0.12544802867383514</x:v>
      </x:c>
    </x:row>
    <x:row r="1480">
      <x:c r="A1480" s="379" t="n">
        <x:v>47131</x:v>
      </x:c>
      <x:c r="B1480" s="380" t="n">
        <x:v>2029</x:v>
      </x:c>
      <x:c r="C1480" s="380" t="n">
        <x:v>1</x:v>
      </x:c>
      <x:c r="D1480" s="380" t="str">
        <x:v>Jan</x:v>
      </x:c>
      <x:c r="E1480" s="380" t="n">
        <x:v>13</x:v>
      </x:c>
      <x:c r="F1480" s="380" t="n">
        <x:v>6</x:v>
      </x:c>
      <x:c r="G1480" s="380" t="n">
        <x:f>--(F1480&lt;='Estimator'!$B$7)</x:f>
        <x:v>0</x:v>
      </x:c>
      <x:c r="H1480" s="381" t="n">
        <x:f>SUMIFS('Climate Data'!$G$7:$G$366,'Climate Data'!$A$7:$A$366,'Estimator'!$B$4,'Climate Data'!$B$7:$B$366,C1480)</x:f>
        <x:v>0.21802002224694106</x:v>
      </x:c>
      <x:c r="I1480" s="382" t="n">
        <x:f>SUMIFS('Climate Data'!$H$7:$H$366,'Climate Data'!$A$7:$A$366,'Estimator'!$B$4,'Climate Data'!$B$7:$B$366,C1480)</x:f>
        <x:v>8.596428571428572</x:v>
      </x:c>
      <x:c r="J1480" s="381" t="n">
        <x:f>SUMIFS('Wind Proxy'!$H$8:$H$19,'Wind Proxy'!$A$8:$A$19,'Estimator'!$B$4,'Wind Proxy'!$B$8:$B$19,C1480)</x:f>
        <x:v>0.12544802867383514</x:v>
      </x:c>
    </x:row>
    <x:row r="1481">
      <x:c r="A1481" s="379" t="n">
        <x:v>47132</x:v>
      </x:c>
      <x:c r="B1481" s="380" t="n">
        <x:v>2029</x:v>
      </x:c>
      <x:c r="C1481" s="380" t="n">
        <x:v>1</x:v>
      </x:c>
      <x:c r="D1481" s="380" t="str">
        <x:v>Jan</x:v>
      </x:c>
      <x:c r="E1481" s="380" t="n">
        <x:v>14</x:v>
      </x:c>
      <x:c r="F1481" s="380" t="n">
        <x:v>7</x:v>
      </x:c>
      <x:c r="G1481" s="380" t="n">
        <x:f>--(F1481&lt;='Estimator'!$B$7)</x:f>
        <x:v>0</x:v>
      </x:c>
      <x:c r="H1481" s="381" t="n">
        <x:f>SUMIFS('Climate Data'!$G$7:$G$366,'Climate Data'!$A$7:$A$366,'Estimator'!$B$4,'Climate Data'!$B$7:$B$366,C1481)</x:f>
        <x:v>0.21802002224694106</x:v>
      </x:c>
      <x:c r="I1481" s="382" t="n">
        <x:f>SUMIFS('Climate Data'!$H$7:$H$366,'Climate Data'!$A$7:$A$366,'Estimator'!$B$4,'Climate Data'!$B$7:$B$366,C1481)</x:f>
        <x:v>8.596428571428572</x:v>
      </x:c>
      <x:c r="J1481" s="381" t="n">
        <x:f>SUMIFS('Wind Proxy'!$H$8:$H$19,'Wind Proxy'!$A$8:$A$19,'Estimator'!$B$4,'Wind Proxy'!$B$8:$B$19,C1481)</x:f>
        <x:v>0.12544802867383514</x:v>
      </x:c>
    </x:row>
    <x:row r="1482">
      <x:c r="A1482" s="379" t="n">
        <x:v>47133</x:v>
      </x:c>
      <x:c r="B1482" s="380" t="n">
        <x:v>2029</x:v>
      </x:c>
      <x:c r="C1482" s="380" t="n">
        <x:v>1</x:v>
      </x:c>
      <x:c r="D1482" s="380" t="str">
        <x:v>Jan</x:v>
      </x:c>
      <x:c r="E1482" s="380" t="n">
        <x:v>15</x:v>
      </x:c>
      <x:c r="F1482" s="380" t="n">
        <x:v>1</x:v>
      </x:c>
      <x:c r="G1482" s="380" t="n">
        <x:f>--(F1482&lt;='Estimator'!$B$7)</x:f>
        <x:v>1</x:v>
      </x:c>
      <x:c r="H1482" s="381" t="n">
        <x:f>SUMIFS('Climate Data'!$G$7:$G$366,'Climate Data'!$A$7:$A$366,'Estimator'!$B$4,'Climate Data'!$B$7:$B$366,C1482)</x:f>
        <x:v>0.21802002224694106</x:v>
      </x:c>
      <x:c r="I1482" s="382" t="n">
        <x:f>SUMIFS('Climate Data'!$H$7:$H$366,'Climate Data'!$A$7:$A$366,'Estimator'!$B$4,'Climate Data'!$B$7:$B$366,C1482)</x:f>
        <x:v>8.596428571428572</x:v>
      </x:c>
      <x:c r="J1482" s="381" t="n">
        <x:f>SUMIFS('Wind Proxy'!$H$8:$H$19,'Wind Proxy'!$A$8:$A$19,'Estimator'!$B$4,'Wind Proxy'!$B$8:$B$19,C1482)</x:f>
        <x:v>0.12544802867383514</x:v>
      </x:c>
    </x:row>
    <x:row r="1483">
      <x:c r="A1483" s="379" t="n">
        <x:v>47134</x:v>
      </x:c>
      <x:c r="B1483" s="380" t="n">
        <x:v>2029</x:v>
      </x:c>
      <x:c r="C1483" s="380" t="n">
        <x:v>1</x:v>
      </x:c>
      <x:c r="D1483" s="380" t="str">
        <x:v>Jan</x:v>
      </x:c>
      <x:c r="E1483" s="380" t="n">
        <x:v>16</x:v>
      </x:c>
      <x:c r="F1483" s="380" t="n">
        <x:v>2</x:v>
      </x:c>
      <x:c r="G1483" s="380" t="n">
        <x:f>--(F1483&lt;='Estimator'!$B$7)</x:f>
        <x:v>1</x:v>
      </x:c>
      <x:c r="H1483" s="381" t="n">
        <x:f>SUMIFS('Climate Data'!$G$7:$G$366,'Climate Data'!$A$7:$A$366,'Estimator'!$B$4,'Climate Data'!$B$7:$B$366,C1483)</x:f>
        <x:v>0.21802002224694106</x:v>
      </x:c>
      <x:c r="I1483" s="382" t="n">
        <x:f>SUMIFS('Climate Data'!$H$7:$H$366,'Climate Data'!$A$7:$A$366,'Estimator'!$B$4,'Climate Data'!$B$7:$B$366,C1483)</x:f>
        <x:v>8.596428571428572</x:v>
      </x:c>
      <x:c r="J1483" s="381" t="n">
        <x:f>SUMIFS('Wind Proxy'!$H$8:$H$19,'Wind Proxy'!$A$8:$A$19,'Estimator'!$B$4,'Wind Proxy'!$B$8:$B$19,C1483)</x:f>
        <x:v>0.12544802867383514</x:v>
      </x:c>
    </x:row>
    <x:row r="1484">
      <x:c r="A1484" s="379" t="n">
        <x:v>47135</x:v>
      </x:c>
      <x:c r="B1484" s="380" t="n">
        <x:v>2029</x:v>
      </x:c>
      <x:c r="C1484" s="380" t="n">
        <x:v>1</x:v>
      </x:c>
      <x:c r="D1484" s="380" t="str">
        <x:v>Jan</x:v>
      </x:c>
      <x:c r="E1484" s="380" t="n">
        <x:v>17</x:v>
      </x:c>
      <x:c r="F1484" s="380" t="n">
        <x:v>3</x:v>
      </x:c>
      <x:c r="G1484" s="380" t="n">
        <x:f>--(F1484&lt;='Estimator'!$B$7)</x:f>
        <x:v>1</x:v>
      </x:c>
      <x:c r="H1484" s="381" t="n">
        <x:f>SUMIFS('Climate Data'!$G$7:$G$366,'Climate Data'!$A$7:$A$366,'Estimator'!$B$4,'Climate Data'!$B$7:$B$366,C1484)</x:f>
        <x:v>0.21802002224694106</x:v>
      </x:c>
      <x:c r="I1484" s="382" t="n">
        <x:f>SUMIFS('Climate Data'!$H$7:$H$366,'Climate Data'!$A$7:$A$366,'Estimator'!$B$4,'Climate Data'!$B$7:$B$366,C1484)</x:f>
        <x:v>8.596428571428572</x:v>
      </x:c>
      <x:c r="J1484" s="381" t="n">
        <x:f>SUMIFS('Wind Proxy'!$H$8:$H$19,'Wind Proxy'!$A$8:$A$19,'Estimator'!$B$4,'Wind Proxy'!$B$8:$B$19,C1484)</x:f>
        <x:v>0.12544802867383514</x:v>
      </x:c>
    </x:row>
    <x:row r="1485">
      <x:c r="A1485" s="379" t="n">
        <x:v>47136</x:v>
      </x:c>
      <x:c r="B1485" s="380" t="n">
        <x:v>2029</x:v>
      </x:c>
      <x:c r="C1485" s="380" t="n">
        <x:v>1</x:v>
      </x:c>
      <x:c r="D1485" s="380" t="str">
        <x:v>Jan</x:v>
      </x:c>
      <x:c r="E1485" s="380" t="n">
        <x:v>18</x:v>
      </x:c>
      <x:c r="F1485" s="380" t="n">
        <x:v>4</x:v>
      </x:c>
      <x:c r="G1485" s="380" t="n">
        <x:f>--(F1485&lt;='Estimator'!$B$7)</x:f>
        <x:v>1</x:v>
      </x:c>
      <x:c r="H1485" s="381" t="n">
        <x:f>SUMIFS('Climate Data'!$G$7:$G$366,'Climate Data'!$A$7:$A$366,'Estimator'!$B$4,'Climate Data'!$B$7:$B$366,C1485)</x:f>
        <x:v>0.21802002224694106</x:v>
      </x:c>
      <x:c r="I1485" s="382" t="n">
        <x:f>SUMIFS('Climate Data'!$H$7:$H$366,'Climate Data'!$A$7:$A$366,'Estimator'!$B$4,'Climate Data'!$B$7:$B$366,C1485)</x:f>
        <x:v>8.596428571428572</x:v>
      </x:c>
      <x:c r="J1485" s="381" t="n">
        <x:f>SUMIFS('Wind Proxy'!$H$8:$H$19,'Wind Proxy'!$A$8:$A$19,'Estimator'!$B$4,'Wind Proxy'!$B$8:$B$19,C1485)</x:f>
        <x:v>0.12544802867383514</x:v>
      </x:c>
    </x:row>
    <x:row r="1486">
      <x:c r="A1486" s="379" t="n">
        <x:v>47137</x:v>
      </x:c>
      <x:c r="B1486" s="380" t="n">
        <x:v>2029</x:v>
      </x:c>
      <x:c r="C1486" s="380" t="n">
        <x:v>1</x:v>
      </x:c>
      <x:c r="D1486" s="380" t="str">
        <x:v>Jan</x:v>
      </x:c>
      <x:c r="E1486" s="380" t="n">
        <x:v>19</x:v>
      </x:c>
      <x:c r="F1486" s="380" t="n">
        <x:v>5</x:v>
      </x:c>
      <x:c r="G1486" s="380" t="n">
        <x:f>--(F1486&lt;='Estimator'!$B$7)</x:f>
        <x:v>1</x:v>
      </x:c>
      <x:c r="H1486" s="381" t="n">
        <x:f>SUMIFS('Climate Data'!$G$7:$G$366,'Climate Data'!$A$7:$A$366,'Estimator'!$B$4,'Climate Data'!$B$7:$B$366,C1486)</x:f>
        <x:v>0.21802002224694106</x:v>
      </x:c>
      <x:c r="I1486" s="382" t="n">
        <x:f>SUMIFS('Climate Data'!$H$7:$H$366,'Climate Data'!$A$7:$A$366,'Estimator'!$B$4,'Climate Data'!$B$7:$B$366,C1486)</x:f>
        <x:v>8.596428571428572</x:v>
      </x:c>
      <x:c r="J1486" s="381" t="n">
        <x:f>SUMIFS('Wind Proxy'!$H$8:$H$19,'Wind Proxy'!$A$8:$A$19,'Estimator'!$B$4,'Wind Proxy'!$B$8:$B$19,C1486)</x:f>
        <x:v>0.12544802867383514</x:v>
      </x:c>
    </x:row>
    <x:row r="1487">
      <x:c r="A1487" s="379" t="n">
        <x:v>47138</x:v>
      </x:c>
      <x:c r="B1487" s="380" t="n">
        <x:v>2029</x:v>
      </x:c>
      <x:c r="C1487" s="380" t="n">
        <x:v>1</x:v>
      </x:c>
      <x:c r="D1487" s="380" t="str">
        <x:v>Jan</x:v>
      </x:c>
      <x:c r="E1487" s="380" t="n">
        <x:v>20</x:v>
      </x:c>
      <x:c r="F1487" s="380" t="n">
        <x:v>6</x:v>
      </x:c>
      <x:c r="G1487" s="380" t="n">
        <x:f>--(F1487&lt;='Estimator'!$B$7)</x:f>
        <x:v>0</x:v>
      </x:c>
      <x:c r="H1487" s="381" t="n">
        <x:f>SUMIFS('Climate Data'!$G$7:$G$366,'Climate Data'!$A$7:$A$366,'Estimator'!$B$4,'Climate Data'!$B$7:$B$366,C1487)</x:f>
        <x:v>0.21802002224694106</x:v>
      </x:c>
      <x:c r="I1487" s="382" t="n">
        <x:f>SUMIFS('Climate Data'!$H$7:$H$366,'Climate Data'!$A$7:$A$366,'Estimator'!$B$4,'Climate Data'!$B$7:$B$366,C1487)</x:f>
        <x:v>8.596428571428572</x:v>
      </x:c>
      <x:c r="J1487" s="381" t="n">
        <x:f>SUMIFS('Wind Proxy'!$H$8:$H$19,'Wind Proxy'!$A$8:$A$19,'Estimator'!$B$4,'Wind Proxy'!$B$8:$B$19,C1487)</x:f>
        <x:v>0.12544802867383514</x:v>
      </x:c>
    </x:row>
    <x:row r="1488">
      <x:c r="A1488" s="379" t="n">
        <x:v>47139</x:v>
      </x:c>
      <x:c r="B1488" s="380" t="n">
        <x:v>2029</x:v>
      </x:c>
      <x:c r="C1488" s="380" t="n">
        <x:v>1</x:v>
      </x:c>
      <x:c r="D1488" s="380" t="str">
        <x:v>Jan</x:v>
      </x:c>
      <x:c r="E1488" s="380" t="n">
        <x:v>21</x:v>
      </x:c>
      <x:c r="F1488" s="380" t="n">
        <x:v>7</x:v>
      </x:c>
      <x:c r="G1488" s="380" t="n">
        <x:f>--(F1488&lt;='Estimator'!$B$7)</x:f>
        <x:v>0</x:v>
      </x:c>
      <x:c r="H1488" s="381" t="n">
        <x:f>SUMIFS('Climate Data'!$G$7:$G$366,'Climate Data'!$A$7:$A$366,'Estimator'!$B$4,'Climate Data'!$B$7:$B$366,C1488)</x:f>
        <x:v>0.21802002224694106</x:v>
      </x:c>
      <x:c r="I1488" s="382" t="n">
        <x:f>SUMIFS('Climate Data'!$H$7:$H$366,'Climate Data'!$A$7:$A$366,'Estimator'!$B$4,'Climate Data'!$B$7:$B$366,C1488)</x:f>
        <x:v>8.596428571428572</x:v>
      </x:c>
      <x:c r="J1488" s="381" t="n">
        <x:f>SUMIFS('Wind Proxy'!$H$8:$H$19,'Wind Proxy'!$A$8:$A$19,'Estimator'!$B$4,'Wind Proxy'!$B$8:$B$19,C1488)</x:f>
        <x:v>0.12544802867383514</x:v>
      </x:c>
    </x:row>
    <x:row r="1489">
      <x:c r="A1489" s="379" t="n">
        <x:v>47140</x:v>
      </x:c>
      <x:c r="B1489" s="380" t="n">
        <x:v>2029</x:v>
      </x:c>
      <x:c r="C1489" s="380" t="n">
        <x:v>1</x:v>
      </x:c>
      <x:c r="D1489" s="380" t="str">
        <x:v>Jan</x:v>
      </x:c>
      <x:c r="E1489" s="380" t="n">
        <x:v>22</x:v>
      </x:c>
      <x:c r="F1489" s="380" t="n">
        <x:v>1</x:v>
      </x:c>
      <x:c r="G1489" s="380" t="n">
        <x:f>--(F1489&lt;='Estimator'!$B$7)</x:f>
        <x:v>1</x:v>
      </x:c>
      <x:c r="H1489" s="381" t="n">
        <x:f>SUMIFS('Climate Data'!$G$7:$G$366,'Climate Data'!$A$7:$A$366,'Estimator'!$B$4,'Climate Data'!$B$7:$B$366,C1489)</x:f>
        <x:v>0.21802002224694106</x:v>
      </x:c>
      <x:c r="I1489" s="382" t="n">
        <x:f>SUMIFS('Climate Data'!$H$7:$H$366,'Climate Data'!$A$7:$A$366,'Estimator'!$B$4,'Climate Data'!$B$7:$B$366,C1489)</x:f>
        <x:v>8.596428571428572</x:v>
      </x:c>
      <x:c r="J1489" s="381" t="n">
        <x:f>SUMIFS('Wind Proxy'!$H$8:$H$19,'Wind Proxy'!$A$8:$A$19,'Estimator'!$B$4,'Wind Proxy'!$B$8:$B$19,C1489)</x:f>
        <x:v>0.12544802867383514</x:v>
      </x:c>
    </x:row>
    <x:row r="1490">
      <x:c r="A1490" s="379" t="n">
        <x:v>47141</x:v>
      </x:c>
      <x:c r="B1490" s="380" t="n">
        <x:v>2029</x:v>
      </x:c>
      <x:c r="C1490" s="380" t="n">
        <x:v>1</x:v>
      </x:c>
      <x:c r="D1490" s="380" t="str">
        <x:v>Jan</x:v>
      </x:c>
      <x:c r="E1490" s="380" t="n">
        <x:v>23</x:v>
      </x:c>
      <x:c r="F1490" s="380" t="n">
        <x:v>2</x:v>
      </x:c>
      <x:c r="G1490" s="380" t="n">
        <x:f>--(F1490&lt;='Estimator'!$B$7)</x:f>
        <x:v>1</x:v>
      </x:c>
      <x:c r="H1490" s="381" t="n">
        <x:f>SUMIFS('Climate Data'!$G$7:$G$366,'Climate Data'!$A$7:$A$366,'Estimator'!$B$4,'Climate Data'!$B$7:$B$366,C1490)</x:f>
        <x:v>0.21802002224694106</x:v>
      </x:c>
      <x:c r="I1490" s="382" t="n">
        <x:f>SUMIFS('Climate Data'!$H$7:$H$366,'Climate Data'!$A$7:$A$366,'Estimator'!$B$4,'Climate Data'!$B$7:$B$366,C1490)</x:f>
        <x:v>8.596428571428572</x:v>
      </x:c>
      <x:c r="J1490" s="381" t="n">
        <x:f>SUMIFS('Wind Proxy'!$H$8:$H$19,'Wind Proxy'!$A$8:$A$19,'Estimator'!$B$4,'Wind Proxy'!$B$8:$B$19,C1490)</x:f>
        <x:v>0.12544802867383514</x:v>
      </x:c>
    </x:row>
    <x:row r="1491">
      <x:c r="A1491" s="379" t="n">
        <x:v>47142</x:v>
      </x:c>
      <x:c r="B1491" s="380" t="n">
        <x:v>2029</x:v>
      </x:c>
      <x:c r="C1491" s="380" t="n">
        <x:v>1</x:v>
      </x:c>
      <x:c r="D1491" s="380" t="str">
        <x:v>Jan</x:v>
      </x:c>
      <x:c r="E1491" s="380" t="n">
        <x:v>24</x:v>
      </x:c>
      <x:c r="F1491" s="380" t="n">
        <x:v>3</x:v>
      </x:c>
      <x:c r="G1491" s="380" t="n">
        <x:f>--(F1491&lt;='Estimator'!$B$7)</x:f>
        <x:v>1</x:v>
      </x:c>
      <x:c r="H1491" s="381" t="n">
        <x:f>SUMIFS('Climate Data'!$G$7:$G$366,'Climate Data'!$A$7:$A$366,'Estimator'!$B$4,'Climate Data'!$B$7:$B$366,C1491)</x:f>
        <x:v>0.21802002224694106</x:v>
      </x:c>
      <x:c r="I1491" s="382" t="n">
        <x:f>SUMIFS('Climate Data'!$H$7:$H$366,'Climate Data'!$A$7:$A$366,'Estimator'!$B$4,'Climate Data'!$B$7:$B$366,C1491)</x:f>
        <x:v>8.596428571428572</x:v>
      </x:c>
      <x:c r="J1491" s="381" t="n">
        <x:f>SUMIFS('Wind Proxy'!$H$8:$H$19,'Wind Proxy'!$A$8:$A$19,'Estimator'!$B$4,'Wind Proxy'!$B$8:$B$19,C1491)</x:f>
        <x:v>0.12544802867383514</x:v>
      </x:c>
    </x:row>
    <x:row r="1492">
      <x:c r="A1492" s="379" t="n">
        <x:v>47143</x:v>
      </x:c>
      <x:c r="B1492" s="380" t="n">
        <x:v>2029</x:v>
      </x:c>
      <x:c r="C1492" s="380" t="n">
        <x:v>1</x:v>
      </x:c>
      <x:c r="D1492" s="380" t="str">
        <x:v>Jan</x:v>
      </x:c>
      <x:c r="E1492" s="380" t="n">
        <x:v>25</x:v>
      </x:c>
      <x:c r="F1492" s="380" t="n">
        <x:v>4</x:v>
      </x:c>
      <x:c r="G1492" s="380" t="n">
        <x:f>--(F1492&lt;='Estimator'!$B$7)</x:f>
        <x:v>1</x:v>
      </x:c>
      <x:c r="H1492" s="381" t="n">
        <x:f>SUMIFS('Climate Data'!$G$7:$G$366,'Climate Data'!$A$7:$A$366,'Estimator'!$B$4,'Climate Data'!$B$7:$B$366,C1492)</x:f>
        <x:v>0.21802002224694106</x:v>
      </x:c>
      <x:c r="I1492" s="382" t="n">
        <x:f>SUMIFS('Climate Data'!$H$7:$H$366,'Climate Data'!$A$7:$A$366,'Estimator'!$B$4,'Climate Data'!$B$7:$B$366,C1492)</x:f>
        <x:v>8.596428571428572</x:v>
      </x:c>
      <x:c r="J1492" s="381" t="n">
        <x:f>SUMIFS('Wind Proxy'!$H$8:$H$19,'Wind Proxy'!$A$8:$A$19,'Estimator'!$B$4,'Wind Proxy'!$B$8:$B$19,C1492)</x:f>
        <x:v>0.12544802867383514</x:v>
      </x:c>
    </x:row>
    <x:row r="1493">
      <x:c r="A1493" s="379" t="n">
        <x:v>47144</x:v>
      </x:c>
      <x:c r="B1493" s="380" t="n">
        <x:v>2029</x:v>
      </x:c>
      <x:c r="C1493" s="380" t="n">
        <x:v>1</x:v>
      </x:c>
      <x:c r="D1493" s="380" t="str">
        <x:v>Jan</x:v>
      </x:c>
      <x:c r="E1493" s="380" t="n">
        <x:v>26</x:v>
      </x:c>
      <x:c r="F1493" s="380" t="n">
        <x:v>5</x:v>
      </x:c>
      <x:c r="G1493" s="380" t="n">
        <x:f>--(F1493&lt;='Estimator'!$B$7)</x:f>
        <x:v>1</x:v>
      </x:c>
      <x:c r="H1493" s="381" t="n">
        <x:f>SUMIFS('Climate Data'!$G$7:$G$366,'Climate Data'!$A$7:$A$366,'Estimator'!$B$4,'Climate Data'!$B$7:$B$366,C1493)</x:f>
        <x:v>0.21802002224694106</x:v>
      </x:c>
      <x:c r="I1493" s="382" t="n">
        <x:f>SUMIFS('Climate Data'!$H$7:$H$366,'Climate Data'!$A$7:$A$366,'Estimator'!$B$4,'Climate Data'!$B$7:$B$366,C1493)</x:f>
        <x:v>8.596428571428572</x:v>
      </x:c>
      <x:c r="J1493" s="381" t="n">
        <x:f>SUMIFS('Wind Proxy'!$H$8:$H$19,'Wind Proxy'!$A$8:$A$19,'Estimator'!$B$4,'Wind Proxy'!$B$8:$B$19,C1493)</x:f>
        <x:v>0.12544802867383514</x:v>
      </x:c>
    </x:row>
    <x:row r="1494">
      <x:c r="A1494" s="379" t="n">
        <x:v>47145</x:v>
      </x:c>
      <x:c r="B1494" s="380" t="n">
        <x:v>2029</x:v>
      </x:c>
      <x:c r="C1494" s="380" t="n">
        <x:v>1</x:v>
      </x:c>
      <x:c r="D1494" s="380" t="str">
        <x:v>Jan</x:v>
      </x:c>
      <x:c r="E1494" s="380" t="n">
        <x:v>27</x:v>
      </x:c>
      <x:c r="F1494" s="380" t="n">
        <x:v>6</x:v>
      </x:c>
      <x:c r="G1494" s="380" t="n">
        <x:f>--(F1494&lt;='Estimator'!$B$7)</x:f>
        <x:v>0</x:v>
      </x:c>
      <x:c r="H1494" s="381" t="n">
        <x:f>SUMIFS('Climate Data'!$G$7:$G$366,'Climate Data'!$A$7:$A$366,'Estimator'!$B$4,'Climate Data'!$B$7:$B$366,C1494)</x:f>
        <x:v>0.21802002224694106</x:v>
      </x:c>
      <x:c r="I1494" s="382" t="n">
        <x:f>SUMIFS('Climate Data'!$H$7:$H$366,'Climate Data'!$A$7:$A$366,'Estimator'!$B$4,'Climate Data'!$B$7:$B$366,C1494)</x:f>
        <x:v>8.596428571428572</x:v>
      </x:c>
      <x:c r="J1494" s="381" t="n">
        <x:f>SUMIFS('Wind Proxy'!$H$8:$H$19,'Wind Proxy'!$A$8:$A$19,'Estimator'!$B$4,'Wind Proxy'!$B$8:$B$19,C1494)</x:f>
        <x:v>0.12544802867383514</x:v>
      </x:c>
    </x:row>
    <x:row r="1495">
      <x:c r="A1495" s="379" t="n">
        <x:v>47146</x:v>
      </x:c>
      <x:c r="B1495" s="380" t="n">
        <x:v>2029</x:v>
      </x:c>
      <x:c r="C1495" s="380" t="n">
        <x:v>1</x:v>
      </x:c>
      <x:c r="D1495" s="380" t="str">
        <x:v>Jan</x:v>
      </x:c>
      <x:c r="E1495" s="380" t="n">
        <x:v>28</x:v>
      </x:c>
      <x:c r="F1495" s="380" t="n">
        <x:v>7</x:v>
      </x:c>
      <x:c r="G1495" s="380" t="n">
        <x:f>--(F1495&lt;='Estimator'!$B$7)</x:f>
        <x:v>0</x:v>
      </x:c>
      <x:c r="H1495" s="381" t="n">
        <x:f>SUMIFS('Climate Data'!$G$7:$G$366,'Climate Data'!$A$7:$A$366,'Estimator'!$B$4,'Climate Data'!$B$7:$B$366,C1495)</x:f>
        <x:v>0.21802002224694106</x:v>
      </x:c>
      <x:c r="I1495" s="382" t="n">
        <x:f>SUMIFS('Climate Data'!$H$7:$H$366,'Climate Data'!$A$7:$A$366,'Estimator'!$B$4,'Climate Data'!$B$7:$B$366,C1495)</x:f>
        <x:v>8.596428571428572</x:v>
      </x:c>
      <x:c r="J1495" s="381" t="n">
        <x:f>SUMIFS('Wind Proxy'!$H$8:$H$19,'Wind Proxy'!$A$8:$A$19,'Estimator'!$B$4,'Wind Proxy'!$B$8:$B$19,C1495)</x:f>
        <x:v>0.12544802867383514</x:v>
      </x:c>
    </x:row>
    <x:row r="1496">
      <x:c r="A1496" s="379" t="n">
        <x:v>47147</x:v>
      </x:c>
      <x:c r="B1496" s="380" t="n">
        <x:v>2029</x:v>
      </x:c>
      <x:c r="C1496" s="380" t="n">
        <x:v>1</x:v>
      </x:c>
      <x:c r="D1496" s="380" t="str">
        <x:v>Jan</x:v>
      </x:c>
      <x:c r="E1496" s="380" t="n">
        <x:v>29</x:v>
      </x:c>
      <x:c r="F1496" s="380" t="n">
        <x:v>1</x:v>
      </x:c>
      <x:c r="G1496" s="380" t="n">
        <x:f>--(F1496&lt;='Estimator'!$B$7)</x:f>
        <x:v>1</x:v>
      </x:c>
      <x:c r="H1496" s="381" t="n">
        <x:f>SUMIFS('Climate Data'!$G$7:$G$366,'Climate Data'!$A$7:$A$366,'Estimator'!$B$4,'Climate Data'!$B$7:$B$366,C1496)</x:f>
        <x:v>0.21802002224694106</x:v>
      </x:c>
      <x:c r="I1496" s="382" t="n">
        <x:f>SUMIFS('Climate Data'!$H$7:$H$366,'Climate Data'!$A$7:$A$366,'Estimator'!$B$4,'Climate Data'!$B$7:$B$366,C1496)</x:f>
        <x:v>8.596428571428572</x:v>
      </x:c>
      <x:c r="J1496" s="381" t="n">
        <x:f>SUMIFS('Wind Proxy'!$H$8:$H$19,'Wind Proxy'!$A$8:$A$19,'Estimator'!$B$4,'Wind Proxy'!$B$8:$B$19,C1496)</x:f>
        <x:v>0.12544802867383514</x:v>
      </x:c>
    </x:row>
    <x:row r="1497">
      <x:c r="A1497" s="379" t="n">
        <x:v>47148</x:v>
      </x:c>
      <x:c r="B1497" s="380" t="n">
        <x:v>2029</x:v>
      </x:c>
      <x:c r="C1497" s="380" t="n">
        <x:v>1</x:v>
      </x:c>
      <x:c r="D1497" s="380" t="str">
        <x:v>Jan</x:v>
      </x:c>
      <x:c r="E1497" s="380" t="n">
        <x:v>30</x:v>
      </x:c>
      <x:c r="F1497" s="380" t="n">
        <x:v>2</x:v>
      </x:c>
      <x:c r="G1497" s="380" t="n">
        <x:f>--(F1497&lt;='Estimator'!$B$7)</x:f>
        <x:v>1</x:v>
      </x:c>
      <x:c r="H1497" s="381" t="n">
        <x:f>SUMIFS('Climate Data'!$G$7:$G$366,'Climate Data'!$A$7:$A$366,'Estimator'!$B$4,'Climate Data'!$B$7:$B$366,C1497)</x:f>
        <x:v>0.21802002224694106</x:v>
      </x:c>
      <x:c r="I1497" s="382" t="n">
        <x:f>SUMIFS('Climate Data'!$H$7:$H$366,'Climate Data'!$A$7:$A$366,'Estimator'!$B$4,'Climate Data'!$B$7:$B$366,C1497)</x:f>
        <x:v>8.596428571428572</x:v>
      </x:c>
      <x:c r="J1497" s="381" t="n">
        <x:f>SUMIFS('Wind Proxy'!$H$8:$H$19,'Wind Proxy'!$A$8:$A$19,'Estimator'!$B$4,'Wind Proxy'!$B$8:$B$19,C1497)</x:f>
        <x:v>0.12544802867383514</x:v>
      </x:c>
    </x:row>
    <x:row r="1498">
      <x:c r="A1498" s="379" t="n">
        <x:v>47149</x:v>
      </x:c>
      <x:c r="B1498" s="380" t="n">
        <x:v>2029</x:v>
      </x:c>
      <x:c r="C1498" s="380" t="n">
        <x:v>1</x:v>
      </x:c>
      <x:c r="D1498" s="380" t="str">
        <x:v>Jan</x:v>
      </x:c>
      <x:c r="E1498" s="380" t="n">
        <x:v>31</x:v>
      </x:c>
      <x:c r="F1498" s="380" t="n">
        <x:v>3</x:v>
      </x:c>
      <x:c r="G1498" s="380" t="n">
        <x:f>--(F1498&lt;='Estimator'!$B$7)</x:f>
        <x:v>1</x:v>
      </x:c>
      <x:c r="H1498" s="381" t="n">
        <x:f>SUMIFS('Climate Data'!$G$7:$G$366,'Climate Data'!$A$7:$A$366,'Estimator'!$B$4,'Climate Data'!$B$7:$B$366,C1498)</x:f>
        <x:v>0.21802002224694106</x:v>
      </x:c>
      <x:c r="I1498" s="382" t="n">
        <x:f>SUMIFS('Climate Data'!$H$7:$H$366,'Climate Data'!$A$7:$A$366,'Estimator'!$B$4,'Climate Data'!$B$7:$B$366,C1498)</x:f>
        <x:v>8.596428571428572</x:v>
      </x:c>
      <x:c r="J1498" s="381" t="n">
        <x:f>SUMIFS('Wind Proxy'!$H$8:$H$19,'Wind Proxy'!$A$8:$A$19,'Estimator'!$B$4,'Wind Proxy'!$B$8:$B$19,C1498)</x:f>
        <x:v>0.12544802867383514</x:v>
      </x:c>
    </x:row>
    <x:row r="1499">
      <x:c r="A1499" s="379" t="n">
        <x:v>47150</x:v>
      </x:c>
      <x:c r="B1499" s="380" t="n">
        <x:v>2029</x:v>
      </x:c>
      <x:c r="C1499" s="380" t="n">
        <x:v>2</x:v>
      </x:c>
      <x:c r="D1499" s="380" t="str">
        <x:v>Feb</x:v>
      </x:c>
      <x:c r="E1499" s="380" t="n">
        <x:v>1</x:v>
      </x:c>
      <x:c r="F1499" s="380" t="n">
        <x:v>4</x:v>
      </x:c>
      <x:c r="G1499" s="380" t="n">
        <x:f>--(F1499&lt;='Estimator'!$B$7)</x:f>
        <x:v>1</x:v>
      </x:c>
      <x:c r="H1499" s="381" t="n">
        <x:f>SUMIFS('Climate Data'!$G$7:$G$366,'Climate Data'!$A$7:$A$366,'Estimator'!$B$4,'Climate Data'!$B$7:$B$366,C1499)</x:f>
        <x:v>0.23056278464541316</x:v>
      </x:c>
      <x:c r="I1499" s="382" t="n">
        <x:f>SUMIFS('Climate Data'!$H$7:$H$366,'Climate Data'!$A$7:$A$366,'Estimator'!$B$4,'Climate Data'!$B$7:$B$366,C1499)</x:f>
        <x:v>9.682010582010582</x:v>
      </x:c>
      <x:c r="J1499" s="381" t="n">
        <x:f>SUMIFS('Wind Proxy'!$H$8:$H$19,'Wind Proxy'!$A$8:$A$19,'Estimator'!$B$4,'Wind Proxy'!$B$8:$B$19,C1499)</x:f>
        <x:v>0.13757861635220128</x:v>
      </x:c>
    </x:row>
    <x:row r="1500">
      <x:c r="A1500" s="379" t="n">
        <x:v>47151</x:v>
      </x:c>
      <x:c r="B1500" s="380" t="n">
        <x:v>2029</x:v>
      </x:c>
      <x:c r="C1500" s="380" t="n">
        <x:v>2</x:v>
      </x:c>
      <x:c r="D1500" s="380" t="str">
        <x:v>Feb</x:v>
      </x:c>
      <x:c r="E1500" s="380" t="n">
        <x:v>2</x:v>
      </x:c>
      <x:c r="F1500" s="380" t="n">
        <x:v>5</x:v>
      </x:c>
      <x:c r="G1500" s="380" t="n">
        <x:f>--(F1500&lt;='Estimator'!$B$7)</x:f>
        <x:v>1</x:v>
      </x:c>
      <x:c r="H1500" s="381" t="n">
        <x:f>SUMIFS('Climate Data'!$G$7:$G$366,'Climate Data'!$A$7:$A$366,'Estimator'!$B$4,'Climate Data'!$B$7:$B$366,C1500)</x:f>
        <x:v>0.23056278464541316</x:v>
      </x:c>
      <x:c r="I1500" s="382" t="n">
        <x:f>SUMIFS('Climate Data'!$H$7:$H$366,'Climate Data'!$A$7:$A$366,'Estimator'!$B$4,'Climate Data'!$B$7:$B$366,C1500)</x:f>
        <x:v>9.682010582010582</x:v>
      </x:c>
      <x:c r="J1500" s="381" t="n">
        <x:f>SUMIFS('Wind Proxy'!$H$8:$H$19,'Wind Proxy'!$A$8:$A$19,'Estimator'!$B$4,'Wind Proxy'!$B$8:$B$19,C1500)</x:f>
        <x:v>0.13757861635220128</x:v>
      </x:c>
    </x:row>
    <x:row r="1501">
      <x:c r="A1501" s="379" t="n">
        <x:v>47152</x:v>
      </x:c>
      <x:c r="B1501" s="380" t="n">
        <x:v>2029</x:v>
      </x:c>
      <x:c r="C1501" s="380" t="n">
        <x:v>2</x:v>
      </x:c>
      <x:c r="D1501" s="380" t="str">
        <x:v>Feb</x:v>
      </x:c>
      <x:c r="E1501" s="380" t="n">
        <x:v>3</x:v>
      </x:c>
      <x:c r="F1501" s="380" t="n">
        <x:v>6</x:v>
      </x:c>
      <x:c r="G1501" s="380" t="n">
        <x:f>--(F1501&lt;='Estimator'!$B$7)</x:f>
        <x:v>0</x:v>
      </x:c>
      <x:c r="H1501" s="381" t="n">
        <x:f>SUMIFS('Climate Data'!$G$7:$G$366,'Climate Data'!$A$7:$A$366,'Estimator'!$B$4,'Climate Data'!$B$7:$B$366,C1501)</x:f>
        <x:v>0.23056278464541316</x:v>
      </x:c>
      <x:c r="I1501" s="382" t="n">
        <x:f>SUMIFS('Climate Data'!$H$7:$H$366,'Climate Data'!$A$7:$A$366,'Estimator'!$B$4,'Climate Data'!$B$7:$B$366,C1501)</x:f>
        <x:v>9.682010582010582</x:v>
      </x:c>
      <x:c r="J1501" s="381" t="n">
        <x:f>SUMIFS('Wind Proxy'!$H$8:$H$19,'Wind Proxy'!$A$8:$A$19,'Estimator'!$B$4,'Wind Proxy'!$B$8:$B$19,C1501)</x:f>
        <x:v>0.13757861635220128</x:v>
      </x:c>
    </x:row>
    <x:row r="1502">
      <x:c r="A1502" s="379" t="n">
        <x:v>47153</x:v>
      </x:c>
      <x:c r="B1502" s="380" t="n">
        <x:v>2029</x:v>
      </x:c>
      <x:c r="C1502" s="380" t="n">
        <x:v>2</x:v>
      </x:c>
      <x:c r="D1502" s="380" t="str">
        <x:v>Feb</x:v>
      </x:c>
      <x:c r="E1502" s="380" t="n">
        <x:v>4</x:v>
      </x:c>
      <x:c r="F1502" s="380" t="n">
        <x:v>7</x:v>
      </x:c>
      <x:c r="G1502" s="380" t="n">
        <x:f>--(F1502&lt;='Estimator'!$B$7)</x:f>
        <x:v>0</x:v>
      </x:c>
      <x:c r="H1502" s="381" t="n">
        <x:f>SUMIFS('Climate Data'!$G$7:$G$366,'Climate Data'!$A$7:$A$366,'Estimator'!$B$4,'Climate Data'!$B$7:$B$366,C1502)</x:f>
        <x:v>0.23056278464541316</x:v>
      </x:c>
      <x:c r="I1502" s="382" t="n">
        <x:f>SUMIFS('Climate Data'!$H$7:$H$366,'Climate Data'!$A$7:$A$366,'Estimator'!$B$4,'Climate Data'!$B$7:$B$366,C1502)</x:f>
        <x:v>9.682010582010582</x:v>
      </x:c>
      <x:c r="J1502" s="381" t="n">
        <x:f>SUMIFS('Wind Proxy'!$H$8:$H$19,'Wind Proxy'!$A$8:$A$19,'Estimator'!$B$4,'Wind Proxy'!$B$8:$B$19,C1502)</x:f>
        <x:v>0.13757861635220128</x:v>
      </x:c>
    </x:row>
    <x:row r="1503">
      <x:c r="A1503" s="379" t="n">
        <x:v>47154</x:v>
      </x:c>
      <x:c r="B1503" s="380" t="n">
        <x:v>2029</x:v>
      </x:c>
      <x:c r="C1503" s="380" t="n">
        <x:v>2</x:v>
      </x:c>
      <x:c r="D1503" s="380" t="str">
        <x:v>Feb</x:v>
      </x:c>
      <x:c r="E1503" s="380" t="n">
        <x:v>5</x:v>
      </x:c>
      <x:c r="F1503" s="380" t="n">
        <x:v>1</x:v>
      </x:c>
      <x:c r="G1503" s="380" t="n">
        <x:f>--(F1503&lt;='Estimator'!$B$7)</x:f>
        <x:v>1</x:v>
      </x:c>
      <x:c r="H1503" s="381" t="n">
        <x:f>SUMIFS('Climate Data'!$G$7:$G$366,'Climate Data'!$A$7:$A$366,'Estimator'!$B$4,'Climate Data'!$B$7:$B$366,C1503)</x:f>
        <x:v>0.23056278464541316</x:v>
      </x:c>
      <x:c r="I1503" s="382" t="n">
        <x:f>SUMIFS('Climate Data'!$H$7:$H$366,'Climate Data'!$A$7:$A$366,'Estimator'!$B$4,'Climate Data'!$B$7:$B$366,C1503)</x:f>
        <x:v>9.682010582010582</x:v>
      </x:c>
      <x:c r="J1503" s="381" t="n">
        <x:f>SUMIFS('Wind Proxy'!$H$8:$H$19,'Wind Proxy'!$A$8:$A$19,'Estimator'!$B$4,'Wind Proxy'!$B$8:$B$19,C1503)</x:f>
        <x:v>0.13757861635220128</x:v>
      </x:c>
    </x:row>
    <x:row r="1504">
      <x:c r="A1504" s="379" t="n">
        <x:v>47155</x:v>
      </x:c>
      <x:c r="B1504" s="380" t="n">
        <x:v>2029</x:v>
      </x:c>
      <x:c r="C1504" s="380" t="n">
        <x:v>2</x:v>
      </x:c>
      <x:c r="D1504" s="380" t="str">
        <x:v>Feb</x:v>
      </x:c>
      <x:c r="E1504" s="380" t="n">
        <x:v>6</x:v>
      </x:c>
      <x:c r="F1504" s="380" t="n">
        <x:v>2</x:v>
      </x:c>
      <x:c r="G1504" s="380" t="n">
        <x:f>--(F1504&lt;='Estimator'!$B$7)</x:f>
        <x:v>1</x:v>
      </x:c>
      <x:c r="H1504" s="381" t="n">
        <x:f>SUMIFS('Climate Data'!$G$7:$G$366,'Climate Data'!$A$7:$A$366,'Estimator'!$B$4,'Climate Data'!$B$7:$B$366,C1504)</x:f>
        <x:v>0.23056278464541316</x:v>
      </x:c>
      <x:c r="I1504" s="382" t="n">
        <x:f>SUMIFS('Climate Data'!$H$7:$H$366,'Climate Data'!$A$7:$A$366,'Estimator'!$B$4,'Climate Data'!$B$7:$B$366,C1504)</x:f>
        <x:v>9.682010582010582</x:v>
      </x:c>
      <x:c r="J1504" s="381" t="n">
        <x:f>SUMIFS('Wind Proxy'!$H$8:$H$19,'Wind Proxy'!$A$8:$A$19,'Estimator'!$B$4,'Wind Proxy'!$B$8:$B$19,C1504)</x:f>
        <x:v>0.13757861635220128</x:v>
      </x:c>
    </x:row>
    <x:row r="1505">
      <x:c r="A1505" s="379" t="n">
        <x:v>47156</x:v>
      </x:c>
      <x:c r="B1505" s="380" t="n">
        <x:v>2029</x:v>
      </x:c>
      <x:c r="C1505" s="380" t="n">
        <x:v>2</x:v>
      </x:c>
      <x:c r="D1505" s="380" t="str">
        <x:v>Feb</x:v>
      </x:c>
      <x:c r="E1505" s="380" t="n">
        <x:v>7</x:v>
      </x:c>
      <x:c r="F1505" s="380" t="n">
        <x:v>3</x:v>
      </x:c>
      <x:c r="G1505" s="380" t="n">
        <x:f>--(F1505&lt;='Estimator'!$B$7)</x:f>
        <x:v>1</x:v>
      </x:c>
      <x:c r="H1505" s="381" t="n">
        <x:f>SUMIFS('Climate Data'!$G$7:$G$366,'Climate Data'!$A$7:$A$366,'Estimator'!$B$4,'Climate Data'!$B$7:$B$366,C1505)</x:f>
        <x:v>0.23056278464541316</x:v>
      </x:c>
      <x:c r="I1505" s="382" t="n">
        <x:f>SUMIFS('Climate Data'!$H$7:$H$366,'Climate Data'!$A$7:$A$366,'Estimator'!$B$4,'Climate Data'!$B$7:$B$366,C1505)</x:f>
        <x:v>9.682010582010582</x:v>
      </x:c>
      <x:c r="J1505" s="381" t="n">
        <x:f>SUMIFS('Wind Proxy'!$H$8:$H$19,'Wind Proxy'!$A$8:$A$19,'Estimator'!$B$4,'Wind Proxy'!$B$8:$B$19,C1505)</x:f>
        <x:v>0.13757861635220128</x:v>
      </x:c>
    </x:row>
    <x:row r="1506">
      <x:c r="A1506" s="379" t="n">
        <x:v>47157</x:v>
      </x:c>
      <x:c r="B1506" s="380" t="n">
        <x:v>2029</x:v>
      </x:c>
      <x:c r="C1506" s="380" t="n">
        <x:v>2</x:v>
      </x:c>
      <x:c r="D1506" s="380" t="str">
        <x:v>Feb</x:v>
      </x:c>
      <x:c r="E1506" s="380" t="n">
        <x:v>8</x:v>
      </x:c>
      <x:c r="F1506" s="380" t="n">
        <x:v>4</x:v>
      </x:c>
      <x:c r="G1506" s="380" t="n">
        <x:f>--(F1506&lt;='Estimator'!$B$7)</x:f>
        <x:v>1</x:v>
      </x:c>
      <x:c r="H1506" s="381" t="n">
        <x:f>SUMIFS('Climate Data'!$G$7:$G$366,'Climate Data'!$A$7:$A$366,'Estimator'!$B$4,'Climate Data'!$B$7:$B$366,C1506)</x:f>
        <x:v>0.23056278464541316</x:v>
      </x:c>
      <x:c r="I1506" s="382" t="n">
        <x:f>SUMIFS('Climate Data'!$H$7:$H$366,'Climate Data'!$A$7:$A$366,'Estimator'!$B$4,'Climate Data'!$B$7:$B$366,C1506)</x:f>
        <x:v>9.682010582010582</x:v>
      </x:c>
      <x:c r="J1506" s="381" t="n">
        <x:f>SUMIFS('Wind Proxy'!$H$8:$H$19,'Wind Proxy'!$A$8:$A$19,'Estimator'!$B$4,'Wind Proxy'!$B$8:$B$19,C1506)</x:f>
        <x:v>0.13757861635220128</x:v>
      </x:c>
    </x:row>
    <x:row r="1507">
      <x:c r="A1507" s="379" t="n">
        <x:v>47158</x:v>
      </x:c>
      <x:c r="B1507" s="380" t="n">
        <x:v>2029</x:v>
      </x:c>
      <x:c r="C1507" s="380" t="n">
        <x:v>2</x:v>
      </x:c>
      <x:c r="D1507" s="380" t="str">
        <x:v>Feb</x:v>
      </x:c>
      <x:c r="E1507" s="380" t="n">
        <x:v>9</x:v>
      </x:c>
      <x:c r="F1507" s="380" t="n">
        <x:v>5</x:v>
      </x:c>
      <x:c r="G1507" s="380" t="n">
        <x:f>--(F1507&lt;='Estimator'!$B$7)</x:f>
        <x:v>1</x:v>
      </x:c>
      <x:c r="H1507" s="381" t="n">
        <x:f>SUMIFS('Climate Data'!$G$7:$G$366,'Climate Data'!$A$7:$A$366,'Estimator'!$B$4,'Climate Data'!$B$7:$B$366,C1507)</x:f>
        <x:v>0.23056278464541316</x:v>
      </x:c>
      <x:c r="I1507" s="382" t="n">
        <x:f>SUMIFS('Climate Data'!$H$7:$H$366,'Climate Data'!$A$7:$A$366,'Estimator'!$B$4,'Climate Data'!$B$7:$B$366,C1507)</x:f>
        <x:v>9.682010582010582</x:v>
      </x:c>
      <x:c r="J1507" s="381" t="n">
        <x:f>SUMIFS('Wind Proxy'!$H$8:$H$19,'Wind Proxy'!$A$8:$A$19,'Estimator'!$B$4,'Wind Proxy'!$B$8:$B$19,C1507)</x:f>
        <x:v>0.13757861635220128</x:v>
      </x:c>
    </x:row>
    <x:row r="1508">
      <x:c r="A1508" s="379" t="n">
        <x:v>47159</x:v>
      </x:c>
      <x:c r="B1508" s="380" t="n">
        <x:v>2029</x:v>
      </x:c>
      <x:c r="C1508" s="380" t="n">
        <x:v>2</x:v>
      </x:c>
      <x:c r="D1508" s="380" t="str">
        <x:v>Feb</x:v>
      </x:c>
      <x:c r="E1508" s="380" t="n">
        <x:v>10</x:v>
      </x:c>
      <x:c r="F1508" s="380" t="n">
        <x:v>6</x:v>
      </x:c>
      <x:c r="G1508" s="380" t="n">
        <x:f>--(F1508&lt;='Estimator'!$B$7)</x:f>
        <x:v>0</x:v>
      </x:c>
      <x:c r="H1508" s="381" t="n">
        <x:f>SUMIFS('Climate Data'!$G$7:$G$366,'Climate Data'!$A$7:$A$366,'Estimator'!$B$4,'Climate Data'!$B$7:$B$366,C1508)</x:f>
        <x:v>0.23056278464541316</x:v>
      </x:c>
      <x:c r="I1508" s="382" t="n">
        <x:f>SUMIFS('Climate Data'!$H$7:$H$366,'Climate Data'!$A$7:$A$366,'Estimator'!$B$4,'Climate Data'!$B$7:$B$366,C1508)</x:f>
        <x:v>9.682010582010582</x:v>
      </x:c>
      <x:c r="J1508" s="381" t="n">
        <x:f>SUMIFS('Wind Proxy'!$H$8:$H$19,'Wind Proxy'!$A$8:$A$19,'Estimator'!$B$4,'Wind Proxy'!$B$8:$B$19,C1508)</x:f>
        <x:v>0.13757861635220128</x:v>
      </x:c>
    </x:row>
    <x:row r="1509">
      <x:c r="A1509" s="379" t="n">
        <x:v>47160</x:v>
      </x:c>
      <x:c r="B1509" s="380" t="n">
        <x:v>2029</x:v>
      </x:c>
      <x:c r="C1509" s="380" t="n">
        <x:v>2</x:v>
      </x:c>
      <x:c r="D1509" s="380" t="str">
        <x:v>Feb</x:v>
      </x:c>
      <x:c r="E1509" s="380" t="n">
        <x:v>11</x:v>
      </x:c>
      <x:c r="F1509" s="380" t="n">
        <x:v>7</x:v>
      </x:c>
      <x:c r="G1509" s="380" t="n">
        <x:f>--(F1509&lt;='Estimator'!$B$7)</x:f>
        <x:v>0</x:v>
      </x:c>
      <x:c r="H1509" s="381" t="n">
        <x:f>SUMIFS('Climate Data'!$G$7:$G$366,'Climate Data'!$A$7:$A$366,'Estimator'!$B$4,'Climate Data'!$B$7:$B$366,C1509)</x:f>
        <x:v>0.23056278464541316</x:v>
      </x:c>
      <x:c r="I1509" s="382" t="n">
        <x:f>SUMIFS('Climate Data'!$H$7:$H$366,'Climate Data'!$A$7:$A$366,'Estimator'!$B$4,'Climate Data'!$B$7:$B$366,C1509)</x:f>
        <x:v>9.682010582010582</x:v>
      </x:c>
      <x:c r="J1509" s="381" t="n">
        <x:f>SUMIFS('Wind Proxy'!$H$8:$H$19,'Wind Proxy'!$A$8:$A$19,'Estimator'!$B$4,'Wind Proxy'!$B$8:$B$19,C1509)</x:f>
        <x:v>0.13757861635220128</x:v>
      </x:c>
    </x:row>
    <x:row r="1510">
      <x:c r="A1510" s="379" t="n">
        <x:v>47161</x:v>
      </x:c>
      <x:c r="B1510" s="380" t="n">
        <x:v>2029</x:v>
      </x:c>
      <x:c r="C1510" s="380" t="n">
        <x:v>2</x:v>
      </x:c>
      <x:c r="D1510" s="380" t="str">
        <x:v>Feb</x:v>
      </x:c>
      <x:c r="E1510" s="380" t="n">
        <x:v>12</x:v>
      </x:c>
      <x:c r="F1510" s="380" t="n">
        <x:v>1</x:v>
      </x:c>
      <x:c r="G1510" s="380" t="n">
        <x:f>--(F1510&lt;='Estimator'!$B$7)</x:f>
        <x:v>1</x:v>
      </x:c>
      <x:c r="H1510" s="381" t="n">
        <x:f>SUMIFS('Climate Data'!$G$7:$G$366,'Climate Data'!$A$7:$A$366,'Estimator'!$B$4,'Climate Data'!$B$7:$B$366,C1510)</x:f>
        <x:v>0.23056278464541316</x:v>
      </x:c>
      <x:c r="I1510" s="382" t="n">
        <x:f>SUMIFS('Climate Data'!$H$7:$H$366,'Climate Data'!$A$7:$A$366,'Estimator'!$B$4,'Climate Data'!$B$7:$B$366,C1510)</x:f>
        <x:v>9.682010582010582</x:v>
      </x:c>
      <x:c r="J1510" s="381" t="n">
        <x:f>SUMIFS('Wind Proxy'!$H$8:$H$19,'Wind Proxy'!$A$8:$A$19,'Estimator'!$B$4,'Wind Proxy'!$B$8:$B$19,C1510)</x:f>
        <x:v>0.13757861635220128</x:v>
      </x:c>
    </x:row>
    <x:row r="1511">
      <x:c r="A1511" s="379" t="n">
        <x:v>47162</x:v>
      </x:c>
      <x:c r="B1511" s="380" t="n">
        <x:v>2029</x:v>
      </x:c>
      <x:c r="C1511" s="380" t="n">
        <x:v>2</x:v>
      </x:c>
      <x:c r="D1511" s="380" t="str">
        <x:v>Feb</x:v>
      </x:c>
      <x:c r="E1511" s="380" t="n">
        <x:v>13</x:v>
      </x:c>
      <x:c r="F1511" s="380" t="n">
        <x:v>2</x:v>
      </x:c>
      <x:c r="G1511" s="380" t="n">
        <x:f>--(F1511&lt;='Estimator'!$B$7)</x:f>
        <x:v>1</x:v>
      </x:c>
      <x:c r="H1511" s="381" t="n">
        <x:f>SUMIFS('Climate Data'!$G$7:$G$366,'Climate Data'!$A$7:$A$366,'Estimator'!$B$4,'Climate Data'!$B$7:$B$366,C1511)</x:f>
        <x:v>0.23056278464541316</x:v>
      </x:c>
      <x:c r="I1511" s="382" t="n">
        <x:f>SUMIFS('Climate Data'!$H$7:$H$366,'Climate Data'!$A$7:$A$366,'Estimator'!$B$4,'Climate Data'!$B$7:$B$366,C1511)</x:f>
        <x:v>9.682010582010582</x:v>
      </x:c>
      <x:c r="J1511" s="381" t="n">
        <x:f>SUMIFS('Wind Proxy'!$H$8:$H$19,'Wind Proxy'!$A$8:$A$19,'Estimator'!$B$4,'Wind Proxy'!$B$8:$B$19,C1511)</x:f>
        <x:v>0.13757861635220128</x:v>
      </x:c>
    </x:row>
    <x:row r="1512">
      <x:c r="A1512" s="379" t="n">
        <x:v>47163</x:v>
      </x:c>
      <x:c r="B1512" s="380" t="n">
        <x:v>2029</x:v>
      </x:c>
      <x:c r="C1512" s="380" t="n">
        <x:v>2</x:v>
      </x:c>
      <x:c r="D1512" s="380" t="str">
        <x:v>Feb</x:v>
      </x:c>
      <x:c r="E1512" s="380" t="n">
        <x:v>14</x:v>
      </x:c>
      <x:c r="F1512" s="380" t="n">
        <x:v>3</x:v>
      </x:c>
      <x:c r="G1512" s="380" t="n">
        <x:f>--(F1512&lt;='Estimator'!$B$7)</x:f>
        <x:v>1</x:v>
      </x:c>
      <x:c r="H1512" s="381" t="n">
        <x:f>SUMIFS('Climate Data'!$G$7:$G$366,'Climate Data'!$A$7:$A$366,'Estimator'!$B$4,'Climate Data'!$B$7:$B$366,C1512)</x:f>
        <x:v>0.23056278464541316</x:v>
      </x:c>
      <x:c r="I1512" s="382" t="n">
        <x:f>SUMIFS('Climate Data'!$H$7:$H$366,'Climate Data'!$A$7:$A$366,'Estimator'!$B$4,'Climate Data'!$B$7:$B$366,C1512)</x:f>
        <x:v>9.682010582010582</x:v>
      </x:c>
      <x:c r="J1512" s="381" t="n">
        <x:f>SUMIFS('Wind Proxy'!$H$8:$H$19,'Wind Proxy'!$A$8:$A$19,'Estimator'!$B$4,'Wind Proxy'!$B$8:$B$19,C1512)</x:f>
        <x:v>0.13757861635220128</x:v>
      </x:c>
    </x:row>
    <x:row r="1513">
      <x:c r="A1513" s="379" t="n">
        <x:v>47164</x:v>
      </x:c>
      <x:c r="B1513" s="380" t="n">
        <x:v>2029</x:v>
      </x:c>
      <x:c r="C1513" s="380" t="n">
        <x:v>2</x:v>
      </x:c>
      <x:c r="D1513" s="380" t="str">
        <x:v>Feb</x:v>
      </x:c>
      <x:c r="E1513" s="380" t="n">
        <x:v>15</x:v>
      </x:c>
      <x:c r="F1513" s="380" t="n">
        <x:v>4</x:v>
      </x:c>
      <x:c r="G1513" s="380" t="n">
        <x:f>--(F1513&lt;='Estimator'!$B$7)</x:f>
        <x:v>1</x:v>
      </x:c>
      <x:c r="H1513" s="381" t="n">
        <x:f>SUMIFS('Climate Data'!$G$7:$G$366,'Climate Data'!$A$7:$A$366,'Estimator'!$B$4,'Climate Data'!$B$7:$B$366,C1513)</x:f>
        <x:v>0.23056278464541316</x:v>
      </x:c>
      <x:c r="I1513" s="382" t="n">
        <x:f>SUMIFS('Climate Data'!$H$7:$H$366,'Climate Data'!$A$7:$A$366,'Estimator'!$B$4,'Climate Data'!$B$7:$B$366,C1513)</x:f>
        <x:v>9.682010582010582</x:v>
      </x:c>
      <x:c r="J1513" s="381" t="n">
        <x:f>SUMIFS('Wind Proxy'!$H$8:$H$19,'Wind Proxy'!$A$8:$A$19,'Estimator'!$B$4,'Wind Proxy'!$B$8:$B$19,C1513)</x:f>
        <x:v>0.13757861635220128</x:v>
      </x:c>
    </x:row>
    <x:row r="1514">
      <x:c r="A1514" s="379" t="n">
        <x:v>47165</x:v>
      </x:c>
      <x:c r="B1514" s="380" t="n">
        <x:v>2029</x:v>
      </x:c>
      <x:c r="C1514" s="380" t="n">
        <x:v>2</x:v>
      </x:c>
      <x:c r="D1514" s="380" t="str">
        <x:v>Feb</x:v>
      </x:c>
      <x:c r="E1514" s="380" t="n">
        <x:v>16</x:v>
      </x:c>
      <x:c r="F1514" s="380" t="n">
        <x:v>5</x:v>
      </x:c>
      <x:c r="G1514" s="380" t="n">
        <x:f>--(F1514&lt;='Estimator'!$B$7)</x:f>
        <x:v>1</x:v>
      </x:c>
      <x:c r="H1514" s="381" t="n">
        <x:f>SUMIFS('Climate Data'!$G$7:$G$366,'Climate Data'!$A$7:$A$366,'Estimator'!$B$4,'Climate Data'!$B$7:$B$366,C1514)</x:f>
        <x:v>0.23056278464541316</x:v>
      </x:c>
      <x:c r="I1514" s="382" t="n">
        <x:f>SUMIFS('Climate Data'!$H$7:$H$366,'Climate Data'!$A$7:$A$366,'Estimator'!$B$4,'Climate Data'!$B$7:$B$366,C1514)</x:f>
        <x:v>9.682010582010582</x:v>
      </x:c>
      <x:c r="J1514" s="381" t="n">
        <x:f>SUMIFS('Wind Proxy'!$H$8:$H$19,'Wind Proxy'!$A$8:$A$19,'Estimator'!$B$4,'Wind Proxy'!$B$8:$B$19,C1514)</x:f>
        <x:v>0.13757861635220128</x:v>
      </x:c>
    </x:row>
    <x:row r="1515">
      <x:c r="A1515" s="379" t="n">
        <x:v>47166</x:v>
      </x:c>
      <x:c r="B1515" s="380" t="n">
        <x:v>2029</x:v>
      </x:c>
      <x:c r="C1515" s="380" t="n">
        <x:v>2</x:v>
      </x:c>
      <x:c r="D1515" s="380" t="str">
        <x:v>Feb</x:v>
      </x:c>
      <x:c r="E1515" s="380" t="n">
        <x:v>17</x:v>
      </x:c>
      <x:c r="F1515" s="380" t="n">
        <x:v>6</x:v>
      </x:c>
      <x:c r="G1515" s="380" t="n">
        <x:f>--(F1515&lt;='Estimator'!$B$7)</x:f>
        <x:v>0</x:v>
      </x:c>
      <x:c r="H1515" s="381" t="n">
        <x:f>SUMIFS('Climate Data'!$G$7:$G$366,'Climate Data'!$A$7:$A$366,'Estimator'!$B$4,'Climate Data'!$B$7:$B$366,C1515)</x:f>
        <x:v>0.23056278464541316</x:v>
      </x:c>
      <x:c r="I1515" s="382" t="n">
        <x:f>SUMIFS('Climate Data'!$H$7:$H$366,'Climate Data'!$A$7:$A$366,'Estimator'!$B$4,'Climate Data'!$B$7:$B$366,C1515)</x:f>
        <x:v>9.682010582010582</x:v>
      </x:c>
      <x:c r="J1515" s="381" t="n">
        <x:f>SUMIFS('Wind Proxy'!$H$8:$H$19,'Wind Proxy'!$A$8:$A$19,'Estimator'!$B$4,'Wind Proxy'!$B$8:$B$19,C1515)</x:f>
        <x:v>0.13757861635220128</x:v>
      </x:c>
    </x:row>
    <x:row r="1516">
      <x:c r="A1516" s="379" t="n">
        <x:v>47167</x:v>
      </x:c>
      <x:c r="B1516" s="380" t="n">
        <x:v>2029</x:v>
      </x:c>
      <x:c r="C1516" s="380" t="n">
        <x:v>2</x:v>
      </x:c>
      <x:c r="D1516" s="380" t="str">
        <x:v>Feb</x:v>
      </x:c>
      <x:c r="E1516" s="380" t="n">
        <x:v>18</x:v>
      </x:c>
      <x:c r="F1516" s="380" t="n">
        <x:v>7</x:v>
      </x:c>
      <x:c r="G1516" s="380" t="n">
        <x:f>--(F1516&lt;='Estimator'!$B$7)</x:f>
        <x:v>0</x:v>
      </x:c>
      <x:c r="H1516" s="381" t="n">
        <x:f>SUMIFS('Climate Data'!$G$7:$G$366,'Climate Data'!$A$7:$A$366,'Estimator'!$B$4,'Climate Data'!$B$7:$B$366,C1516)</x:f>
        <x:v>0.23056278464541316</x:v>
      </x:c>
      <x:c r="I1516" s="382" t="n">
        <x:f>SUMIFS('Climate Data'!$H$7:$H$366,'Climate Data'!$A$7:$A$366,'Estimator'!$B$4,'Climate Data'!$B$7:$B$366,C1516)</x:f>
        <x:v>9.682010582010582</x:v>
      </x:c>
      <x:c r="J1516" s="381" t="n">
        <x:f>SUMIFS('Wind Proxy'!$H$8:$H$19,'Wind Proxy'!$A$8:$A$19,'Estimator'!$B$4,'Wind Proxy'!$B$8:$B$19,C1516)</x:f>
        <x:v>0.13757861635220128</x:v>
      </x:c>
    </x:row>
    <x:row r="1517">
      <x:c r="A1517" s="379" t="n">
        <x:v>47168</x:v>
      </x:c>
      <x:c r="B1517" s="380" t="n">
        <x:v>2029</x:v>
      </x:c>
      <x:c r="C1517" s="380" t="n">
        <x:v>2</x:v>
      </x:c>
      <x:c r="D1517" s="380" t="str">
        <x:v>Feb</x:v>
      </x:c>
      <x:c r="E1517" s="380" t="n">
        <x:v>19</x:v>
      </x:c>
      <x:c r="F1517" s="380" t="n">
        <x:v>1</x:v>
      </x:c>
      <x:c r="G1517" s="380" t="n">
        <x:f>--(F1517&lt;='Estimator'!$B$7)</x:f>
        <x:v>1</x:v>
      </x:c>
      <x:c r="H1517" s="381" t="n">
        <x:f>SUMIFS('Climate Data'!$G$7:$G$366,'Climate Data'!$A$7:$A$366,'Estimator'!$B$4,'Climate Data'!$B$7:$B$366,C1517)</x:f>
        <x:v>0.23056278464541316</x:v>
      </x:c>
      <x:c r="I1517" s="382" t="n">
        <x:f>SUMIFS('Climate Data'!$H$7:$H$366,'Climate Data'!$A$7:$A$366,'Estimator'!$B$4,'Climate Data'!$B$7:$B$366,C1517)</x:f>
        <x:v>9.682010582010582</x:v>
      </x:c>
      <x:c r="J1517" s="381" t="n">
        <x:f>SUMIFS('Wind Proxy'!$H$8:$H$19,'Wind Proxy'!$A$8:$A$19,'Estimator'!$B$4,'Wind Proxy'!$B$8:$B$19,C1517)</x:f>
        <x:v>0.13757861635220128</x:v>
      </x:c>
    </x:row>
    <x:row r="1518">
      <x:c r="A1518" s="379" t="n">
        <x:v>47169</x:v>
      </x:c>
      <x:c r="B1518" s="380" t="n">
        <x:v>2029</x:v>
      </x:c>
      <x:c r="C1518" s="380" t="n">
        <x:v>2</x:v>
      </x:c>
      <x:c r="D1518" s="380" t="str">
        <x:v>Feb</x:v>
      </x:c>
      <x:c r="E1518" s="380" t="n">
        <x:v>20</x:v>
      </x:c>
      <x:c r="F1518" s="380" t="n">
        <x:v>2</x:v>
      </x:c>
      <x:c r="G1518" s="380" t="n">
        <x:f>--(F1518&lt;='Estimator'!$B$7)</x:f>
        <x:v>1</x:v>
      </x:c>
      <x:c r="H1518" s="381" t="n">
        <x:f>SUMIFS('Climate Data'!$G$7:$G$366,'Climate Data'!$A$7:$A$366,'Estimator'!$B$4,'Climate Data'!$B$7:$B$366,C1518)</x:f>
        <x:v>0.23056278464541316</x:v>
      </x:c>
      <x:c r="I1518" s="382" t="n">
        <x:f>SUMIFS('Climate Data'!$H$7:$H$366,'Climate Data'!$A$7:$A$366,'Estimator'!$B$4,'Climate Data'!$B$7:$B$366,C1518)</x:f>
        <x:v>9.682010582010582</x:v>
      </x:c>
      <x:c r="J1518" s="381" t="n">
        <x:f>SUMIFS('Wind Proxy'!$H$8:$H$19,'Wind Proxy'!$A$8:$A$19,'Estimator'!$B$4,'Wind Proxy'!$B$8:$B$19,C1518)</x:f>
        <x:v>0.13757861635220128</x:v>
      </x:c>
    </x:row>
    <x:row r="1519">
      <x:c r="A1519" s="379" t="n">
        <x:v>47170</x:v>
      </x:c>
      <x:c r="B1519" s="380" t="n">
        <x:v>2029</x:v>
      </x:c>
      <x:c r="C1519" s="380" t="n">
        <x:v>2</x:v>
      </x:c>
      <x:c r="D1519" s="380" t="str">
        <x:v>Feb</x:v>
      </x:c>
      <x:c r="E1519" s="380" t="n">
        <x:v>21</x:v>
      </x:c>
      <x:c r="F1519" s="380" t="n">
        <x:v>3</x:v>
      </x:c>
      <x:c r="G1519" s="380" t="n">
        <x:f>--(F1519&lt;='Estimator'!$B$7)</x:f>
        <x:v>1</x:v>
      </x:c>
      <x:c r="H1519" s="381" t="n">
        <x:f>SUMIFS('Climate Data'!$G$7:$G$366,'Climate Data'!$A$7:$A$366,'Estimator'!$B$4,'Climate Data'!$B$7:$B$366,C1519)</x:f>
        <x:v>0.23056278464541316</x:v>
      </x:c>
      <x:c r="I1519" s="382" t="n">
        <x:f>SUMIFS('Climate Data'!$H$7:$H$366,'Climate Data'!$A$7:$A$366,'Estimator'!$B$4,'Climate Data'!$B$7:$B$366,C1519)</x:f>
        <x:v>9.682010582010582</x:v>
      </x:c>
      <x:c r="J1519" s="381" t="n">
        <x:f>SUMIFS('Wind Proxy'!$H$8:$H$19,'Wind Proxy'!$A$8:$A$19,'Estimator'!$B$4,'Wind Proxy'!$B$8:$B$19,C1519)</x:f>
        <x:v>0.13757861635220128</x:v>
      </x:c>
    </x:row>
    <x:row r="1520">
      <x:c r="A1520" s="379" t="n">
        <x:v>47171</x:v>
      </x:c>
      <x:c r="B1520" s="380" t="n">
        <x:v>2029</x:v>
      </x:c>
      <x:c r="C1520" s="380" t="n">
        <x:v>2</x:v>
      </x:c>
      <x:c r="D1520" s="380" t="str">
        <x:v>Feb</x:v>
      </x:c>
      <x:c r="E1520" s="380" t="n">
        <x:v>22</x:v>
      </x:c>
      <x:c r="F1520" s="380" t="n">
        <x:v>4</x:v>
      </x:c>
      <x:c r="G1520" s="380" t="n">
        <x:f>--(F1520&lt;='Estimator'!$B$7)</x:f>
        <x:v>1</x:v>
      </x:c>
      <x:c r="H1520" s="381" t="n">
        <x:f>SUMIFS('Climate Data'!$G$7:$G$366,'Climate Data'!$A$7:$A$366,'Estimator'!$B$4,'Climate Data'!$B$7:$B$366,C1520)</x:f>
        <x:v>0.23056278464541316</x:v>
      </x:c>
      <x:c r="I1520" s="382" t="n">
        <x:f>SUMIFS('Climate Data'!$H$7:$H$366,'Climate Data'!$A$7:$A$366,'Estimator'!$B$4,'Climate Data'!$B$7:$B$366,C1520)</x:f>
        <x:v>9.682010582010582</x:v>
      </x:c>
      <x:c r="J1520" s="381" t="n">
        <x:f>SUMIFS('Wind Proxy'!$H$8:$H$19,'Wind Proxy'!$A$8:$A$19,'Estimator'!$B$4,'Wind Proxy'!$B$8:$B$19,C1520)</x:f>
        <x:v>0.13757861635220128</x:v>
      </x:c>
    </x:row>
    <x:row r="1521">
      <x:c r="A1521" s="379" t="n">
        <x:v>47172</x:v>
      </x:c>
      <x:c r="B1521" s="380" t="n">
        <x:v>2029</x:v>
      </x:c>
      <x:c r="C1521" s="380" t="n">
        <x:v>2</x:v>
      </x:c>
      <x:c r="D1521" s="380" t="str">
        <x:v>Feb</x:v>
      </x:c>
      <x:c r="E1521" s="380" t="n">
        <x:v>23</x:v>
      </x:c>
      <x:c r="F1521" s="380" t="n">
        <x:v>5</x:v>
      </x:c>
      <x:c r="G1521" s="380" t="n">
        <x:f>--(F1521&lt;='Estimator'!$B$7)</x:f>
        <x:v>1</x:v>
      </x:c>
      <x:c r="H1521" s="381" t="n">
        <x:f>SUMIFS('Climate Data'!$G$7:$G$366,'Climate Data'!$A$7:$A$366,'Estimator'!$B$4,'Climate Data'!$B$7:$B$366,C1521)</x:f>
        <x:v>0.23056278464541316</x:v>
      </x:c>
      <x:c r="I1521" s="382" t="n">
        <x:f>SUMIFS('Climate Data'!$H$7:$H$366,'Climate Data'!$A$7:$A$366,'Estimator'!$B$4,'Climate Data'!$B$7:$B$366,C1521)</x:f>
        <x:v>9.682010582010582</x:v>
      </x:c>
      <x:c r="J1521" s="381" t="n">
        <x:f>SUMIFS('Wind Proxy'!$H$8:$H$19,'Wind Proxy'!$A$8:$A$19,'Estimator'!$B$4,'Wind Proxy'!$B$8:$B$19,C1521)</x:f>
        <x:v>0.13757861635220128</x:v>
      </x:c>
    </x:row>
    <x:row r="1522">
      <x:c r="A1522" s="379" t="n">
        <x:v>47173</x:v>
      </x:c>
      <x:c r="B1522" s="380" t="n">
        <x:v>2029</x:v>
      </x:c>
      <x:c r="C1522" s="380" t="n">
        <x:v>2</x:v>
      </x:c>
      <x:c r="D1522" s="380" t="str">
        <x:v>Feb</x:v>
      </x:c>
      <x:c r="E1522" s="380" t="n">
        <x:v>24</x:v>
      </x:c>
      <x:c r="F1522" s="380" t="n">
        <x:v>6</x:v>
      </x:c>
      <x:c r="G1522" s="380" t="n">
        <x:f>--(F1522&lt;='Estimator'!$B$7)</x:f>
        <x:v>0</x:v>
      </x:c>
      <x:c r="H1522" s="381" t="n">
        <x:f>SUMIFS('Climate Data'!$G$7:$G$366,'Climate Data'!$A$7:$A$366,'Estimator'!$B$4,'Climate Data'!$B$7:$B$366,C1522)</x:f>
        <x:v>0.23056278464541316</x:v>
      </x:c>
      <x:c r="I1522" s="382" t="n">
        <x:f>SUMIFS('Climate Data'!$H$7:$H$366,'Climate Data'!$A$7:$A$366,'Estimator'!$B$4,'Climate Data'!$B$7:$B$366,C1522)</x:f>
        <x:v>9.682010582010582</x:v>
      </x:c>
      <x:c r="J1522" s="381" t="n">
        <x:f>SUMIFS('Wind Proxy'!$H$8:$H$19,'Wind Proxy'!$A$8:$A$19,'Estimator'!$B$4,'Wind Proxy'!$B$8:$B$19,C1522)</x:f>
        <x:v>0.13757861635220128</x:v>
      </x:c>
    </x:row>
    <x:row r="1523">
      <x:c r="A1523" s="379" t="n">
        <x:v>47174</x:v>
      </x:c>
      <x:c r="B1523" s="380" t="n">
        <x:v>2029</x:v>
      </x:c>
      <x:c r="C1523" s="380" t="n">
        <x:v>2</x:v>
      </x:c>
      <x:c r="D1523" s="380" t="str">
        <x:v>Feb</x:v>
      </x:c>
      <x:c r="E1523" s="380" t="n">
        <x:v>25</x:v>
      </x:c>
      <x:c r="F1523" s="380" t="n">
        <x:v>7</x:v>
      </x:c>
      <x:c r="G1523" s="380" t="n">
        <x:f>--(F1523&lt;='Estimator'!$B$7)</x:f>
        <x:v>0</x:v>
      </x:c>
      <x:c r="H1523" s="381" t="n">
        <x:f>SUMIFS('Climate Data'!$G$7:$G$366,'Climate Data'!$A$7:$A$366,'Estimator'!$B$4,'Climate Data'!$B$7:$B$366,C1523)</x:f>
        <x:v>0.23056278464541316</x:v>
      </x:c>
      <x:c r="I1523" s="382" t="n">
        <x:f>SUMIFS('Climate Data'!$H$7:$H$366,'Climate Data'!$A$7:$A$366,'Estimator'!$B$4,'Climate Data'!$B$7:$B$366,C1523)</x:f>
        <x:v>9.682010582010582</x:v>
      </x:c>
      <x:c r="J1523" s="381" t="n">
        <x:f>SUMIFS('Wind Proxy'!$H$8:$H$19,'Wind Proxy'!$A$8:$A$19,'Estimator'!$B$4,'Wind Proxy'!$B$8:$B$19,C1523)</x:f>
        <x:v>0.13757861635220128</x:v>
      </x:c>
    </x:row>
    <x:row r="1524">
      <x:c r="A1524" s="379" t="n">
        <x:v>47175</x:v>
      </x:c>
      <x:c r="B1524" s="380" t="n">
        <x:v>2029</x:v>
      </x:c>
      <x:c r="C1524" s="380" t="n">
        <x:v>2</x:v>
      </x:c>
      <x:c r="D1524" s="380" t="str">
        <x:v>Feb</x:v>
      </x:c>
      <x:c r="E1524" s="380" t="n">
        <x:v>26</x:v>
      </x:c>
      <x:c r="F1524" s="380" t="n">
        <x:v>1</x:v>
      </x:c>
      <x:c r="G1524" s="380" t="n">
        <x:f>--(F1524&lt;='Estimator'!$B$7)</x:f>
        <x:v>1</x:v>
      </x:c>
      <x:c r="H1524" s="381" t="n">
        <x:f>SUMIFS('Climate Data'!$G$7:$G$366,'Climate Data'!$A$7:$A$366,'Estimator'!$B$4,'Climate Data'!$B$7:$B$366,C1524)</x:f>
        <x:v>0.23056278464541316</x:v>
      </x:c>
      <x:c r="I1524" s="382" t="n">
        <x:f>SUMIFS('Climate Data'!$H$7:$H$366,'Climate Data'!$A$7:$A$366,'Estimator'!$B$4,'Climate Data'!$B$7:$B$366,C1524)</x:f>
        <x:v>9.682010582010582</x:v>
      </x:c>
      <x:c r="J1524" s="381" t="n">
        <x:f>SUMIFS('Wind Proxy'!$H$8:$H$19,'Wind Proxy'!$A$8:$A$19,'Estimator'!$B$4,'Wind Proxy'!$B$8:$B$19,C1524)</x:f>
        <x:v>0.13757861635220128</x:v>
      </x:c>
    </x:row>
    <x:row r="1525">
      <x:c r="A1525" s="379" t="n">
        <x:v>47176</x:v>
      </x:c>
      <x:c r="B1525" s="380" t="n">
        <x:v>2029</x:v>
      </x:c>
      <x:c r="C1525" s="380" t="n">
        <x:v>2</x:v>
      </x:c>
      <x:c r="D1525" s="380" t="str">
        <x:v>Feb</x:v>
      </x:c>
      <x:c r="E1525" s="380" t="n">
        <x:v>27</x:v>
      </x:c>
      <x:c r="F1525" s="380" t="n">
        <x:v>2</x:v>
      </x:c>
      <x:c r="G1525" s="380" t="n">
        <x:f>--(F1525&lt;='Estimator'!$B$7)</x:f>
        <x:v>1</x:v>
      </x:c>
      <x:c r="H1525" s="381" t="n">
        <x:f>SUMIFS('Climate Data'!$G$7:$G$366,'Climate Data'!$A$7:$A$366,'Estimator'!$B$4,'Climate Data'!$B$7:$B$366,C1525)</x:f>
        <x:v>0.23056278464541316</x:v>
      </x:c>
      <x:c r="I1525" s="382" t="n">
        <x:f>SUMIFS('Climate Data'!$H$7:$H$366,'Climate Data'!$A$7:$A$366,'Estimator'!$B$4,'Climate Data'!$B$7:$B$366,C1525)</x:f>
        <x:v>9.682010582010582</x:v>
      </x:c>
      <x:c r="J1525" s="381" t="n">
        <x:f>SUMIFS('Wind Proxy'!$H$8:$H$19,'Wind Proxy'!$A$8:$A$19,'Estimator'!$B$4,'Wind Proxy'!$B$8:$B$19,C1525)</x:f>
        <x:v>0.13757861635220128</x:v>
      </x:c>
    </x:row>
    <x:row r="1526">
      <x:c r="A1526" s="379" t="n">
        <x:v>47177</x:v>
      </x:c>
      <x:c r="B1526" s="380" t="n">
        <x:v>2029</x:v>
      </x:c>
      <x:c r="C1526" s="380" t="n">
        <x:v>2</x:v>
      </x:c>
      <x:c r="D1526" s="380" t="str">
        <x:v>Feb</x:v>
      </x:c>
      <x:c r="E1526" s="380" t="n">
        <x:v>28</x:v>
      </x:c>
      <x:c r="F1526" s="380" t="n">
        <x:v>3</x:v>
      </x:c>
      <x:c r="G1526" s="380" t="n">
        <x:f>--(F1526&lt;='Estimator'!$B$7)</x:f>
        <x:v>1</x:v>
      </x:c>
      <x:c r="H1526" s="381" t="n">
        <x:f>SUMIFS('Climate Data'!$G$7:$G$366,'Climate Data'!$A$7:$A$366,'Estimator'!$B$4,'Climate Data'!$B$7:$B$366,C1526)</x:f>
        <x:v>0.23056278464541316</x:v>
      </x:c>
      <x:c r="I1526" s="382" t="n">
        <x:f>SUMIFS('Climate Data'!$H$7:$H$366,'Climate Data'!$A$7:$A$366,'Estimator'!$B$4,'Climate Data'!$B$7:$B$366,C1526)</x:f>
        <x:v>9.682010582010582</x:v>
      </x:c>
      <x:c r="J1526" s="381" t="n">
        <x:f>SUMIFS('Wind Proxy'!$H$8:$H$19,'Wind Proxy'!$A$8:$A$19,'Estimator'!$B$4,'Wind Proxy'!$B$8:$B$19,C1526)</x:f>
        <x:v>0.13757861635220128</x:v>
      </x:c>
    </x:row>
    <x:row r="1527">
      <x:c r="A1527" s="379" t="n">
        <x:v>47178</x:v>
      </x:c>
      <x:c r="B1527" s="380" t="n">
        <x:v>2029</x:v>
      </x:c>
      <x:c r="C1527" s="380" t="n">
        <x:v>3</x:v>
      </x:c>
      <x:c r="D1527" s="380" t="str">
        <x:v>Mar</x:v>
      </x:c>
      <x:c r="E1527" s="380" t="n">
        <x:v>1</x:v>
      </x:c>
      <x:c r="F1527" s="380" t="n">
        <x:v>4</x:v>
      </x:c>
      <x:c r="G1527" s="380" t="n">
        <x:f>--(F1527&lt;='Estimator'!$B$7)</x:f>
        <x:v>1</x:v>
      </x:c>
      <x:c r="H1527" s="381" t="n">
        <x:f>SUMIFS('Climate Data'!$G$7:$G$366,'Climate Data'!$A$7:$A$366,'Estimator'!$B$4,'Climate Data'!$B$7:$B$366,C1527)</x:f>
        <x:v>0.24916573971078979</x:v>
      </x:c>
      <x:c r="I1527" s="382" t="n">
        <x:f>SUMIFS('Climate Data'!$H$7:$H$366,'Climate Data'!$A$7:$A$366,'Estimator'!$B$4,'Climate Data'!$B$7:$B$366,C1527)</x:f>
        <x:v>9.709821428571429</x:v>
      </x:c>
      <x:c r="J1527" s="381" t="n">
        <x:f>SUMIFS('Wind Proxy'!$H$8:$H$19,'Wind Proxy'!$A$8:$A$19,'Estimator'!$B$4,'Wind Proxy'!$B$8:$B$19,C1527)</x:f>
        <x:v>0.11350059737156513</x:v>
      </x:c>
    </x:row>
    <x:row r="1528">
      <x:c r="A1528" s="379" t="n">
        <x:v>47179</x:v>
      </x:c>
      <x:c r="B1528" s="380" t="n">
        <x:v>2029</x:v>
      </x:c>
      <x:c r="C1528" s="380" t="n">
        <x:v>3</x:v>
      </x:c>
      <x:c r="D1528" s="380" t="str">
        <x:v>Mar</x:v>
      </x:c>
      <x:c r="E1528" s="380" t="n">
        <x:v>2</x:v>
      </x:c>
      <x:c r="F1528" s="380" t="n">
        <x:v>5</x:v>
      </x:c>
      <x:c r="G1528" s="380" t="n">
        <x:f>--(F1528&lt;='Estimator'!$B$7)</x:f>
        <x:v>1</x:v>
      </x:c>
      <x:c r="H1528" s="381" t="n">
        <x:f>SUMIFS('Climate Data'!$G$7:$G$366,'Climate Data'!$A$7:$A$366,'Estimator'!$B$4,'Climate Data'!$B$7:$B$366,C1528)</x:f>
        <x:v>0.24916573971078979</x:v>
      </x:c>
      <x:c r="I1528" s="382" t="n">
        <x:f>SUMIFS('Climate Data'!$H$7:$H$366,'Climate Data'!$A$7:$A$366,'Estimator'!$B$4,'Climate Data'!$B$7:$B$366,C1528)</x:f>
        <x:v>9.709821428571429</x:v>
      </x:c>
      <x:c r="J1528" s="381" t="n">
        <x:f>SUMIFS('Wind Proxy'!$H$8:$H$19,'Wind Proxy'!$A$8:$A$19,'Estimator'!$B$4,'Wind Proxy'!$B$8:$B$19,C1528)</x:f>
        <x:v>0.11350059737156513</x:v>
      </x:c>
    </x:row>
    <x:row r="1529">
      <x:c r="A1529" s="379" t="n">
        <x:v>47180</x:v>
      </x:c>
      <x:c r="B1529" s="380" t="n">
        <x:v>2029</x:v>
      </x:c>
      <x:c r="C1529" s="380" t="n">
        <x:v>3</x:v>
      </x:c>
      <x:c r="D1529" s="380" t="str">
        <x:v>Mar</x:v>
      </x:c>
      <x:c r="E1529" s="380" t="n">
        <x:v>3</x:v>
      </x:c>
      <x:c r="F1529" s="380" t="n">
        <x:v>6</x:v>
      </x:c>
      <x:c r="G1529" s="380" t="n">
        <x:f>--(F1529&lt;='Estimator'!$B$7)</x:f>
        <x:v>0</x:v>
      </x:c>
      <x:c r="H1529" s="381" t="n">
        <x:f>SUMIFS('Climate Data'!$G$7:$G$366,'Climate Data'!$A$7:$A$366,'Estimator'!$B$4,'Climate Data'!$B$7:$B$366,C1529)</x:f>
        <x:v>0.24916573971078979</x:v>
      </x:c>
      <x:c r="I1529" s="382" t="n">
        <x:f>SUMIFS('Climate Data'!$H$7:$H$366,'Climate Data'!$A$7:$A$366,'Estimator'!$B$4,'Climate Data'!$B$7:$B$366,C1529)</x:f>
        <x:v>9.709821428571429</x:v>
      </x:c>
      <x:c r="J1529" s="381" t="n">
        <x:f>SUMIFS('Wind Proxy'!$H$8:$H$19,'Wind Proxy'!$A$8:$A$19,'Estimator'!$B$4,'Wind Proxy'!$B$8:$B$19,C1529)</x:f>
        <x:v>0.11350059737156513</x:v>
      </x:c>
    </x:row>
    <x:row r="1530">
      <x:c r="A1530" s="379" t="n">
        <x:v>47181</x:v>
      </x:c>
      <x:c r="B1530" s="380" t="n">
        <x:v>2029</x:v>
      </x:c>
      <x:c r="C1530" s="380" t="n">
        <x:v>3</x:v>
      </x:c>
      <x:c r="D1530" s="380" t="str">
        <x:v>Mar</x:v>
      </x:c>
      <x:c r="E1530" s="380" t="n">
        <x:v>4</x:v>
      </x:c>
      <x:c r="F1530" s="380" t="n">
        <x:v>7</x:v>
      </x:c>
      <x:c r="G1530" s="380" t="n">
        <x:f>--(F1530&lt;='Estimator'!$B$7)</x:f>
        <x:v>0</x:v>
      </x:c>
      <x:c r="H1530" s="381" t="n">
        <x:f>SUMIFS('Climate Data'!$G$7:$G$366,'Climate Data'!$A$7:$A$366,'Estimator'!$B$4,'Climate Data'!$B$7:$B$366,C1530)</x:f>
        <x:v>0.24916573971078979</x:v>
      </x:c>
      <x:c r="I1530" s="382" t="n">
        <x:f>SUMIFS('Climate Data'!$H$7:$H$366,'Climate Data'!$A$7:$A$366,'Estimator'!$B$4,'Climate Data'!$B$7:$B$366,C1530)</x:f>
        <x:v>9.709821428571429</x:v>
      </x:c>
      <x:c r="J1530" s="381" t="n">
        <x:f>SUMIFS('Wind Proxy'!$H$8:$H$19,'Wind Proxy'!$A$8:$A$19,'Estimator'!$B$4,'Wind Proxy'!$B$8:$B$19,C1530)</x:f>
        <x:v>0.11350059737156513</x:v>
      </x:c>
    </x:row>
    <x:row r="1531">
      <x:c r="A1531" s="379" t="n">
        <x:v>47182</x:v>
      </x:c>
      <x:c r="B1531" s="380" t="n">
        <x:v>2029</x:v>
      </x:c>
      <x:c r="C1531" s="380" t="n">
        <x:v>3</x:v>
      </x:c>
      <x:c r="D1531" s="380" t="str">
        <x:v>Mar</x:v>
      </x:c>
      <x:c r="E1531" s="380" t="n">
        <x:v>5</x:v>
      </x:c>
      <x:c r="F1531" s="380" t="n">
        <x:v>1</x:v>
      </x:c>
      <x:c r="G1531" s="380" t="n">
        <x:f>--(F1531&lt;='Estimator'!$B$7)</x:f>
        <x:v>1</x:v>
      </x:c>
      <x:c r="H1531" s="381" t="n">
        <x:f>SUMIFS('Climate Data'!$G$7:$G$366,'Climate Data'!$A$7:$A$366,'Estimator'!$B$4,'Climate Data'!$B$7:$B$366,C1531)</x:f>
        <x:v>0.24916573971078979</x:v>
      </x:c>
      <x:c r="I1531" s="382" t="n">
        <x:f>SUMIFS('Climate Data'!$H$7:$H$366,'Climate Data'!$A$7:$A$366,'Estimator'!$B$4,'Climate Data'!$B$7:$B$366,C1531)</x:f>
        <x:v>9.709821428571429</x:v>
      </x:c>
      <x:c r="J1531" s="381" t="n">
        <x:f>SUMIFS('Wind Proxy'!$H$8:$H$19,'Wind Proxy'!$A$8:$A$19,'Estimator'!$B$4,'Wind Proxy'!$B$8:$B$19,C1531)</x:f>
        <x:v>0.11350059737156513</x:v>
      </x:c>
    </x:row>
    <x:row r="1532">
      <x:c r="A1532" s="379" t="n">
        <x:v>47183</x:v>
      </x:c>
      <x:c r="B1532" s="380" t="n">
        <x:v>2029</x:v>
      </x:c>
      <x:c r="C1532" s="380" t="n">
        <x:v>3</x:v>
      </x:c>
      <x:c r="D1532" s="380" t="str">
        <x:v>Mar</x:v>
      </x:c>
      <x:c r="E1532" s="380" t="n">
        <x:v>6</x:v>
      </x:c>
      <x:c r="F1532" s="380" t="n">
        <x:v>2</x:v>
      </x:c>
      <x:c r="G1532" s="380" t="n">
        <x:f>--(F1532&lt;='Estimator'!$B$7)</x:f>
        <x:v>1</x:v>
      </x:c>
      <x:c r="H1532" s="381" t="n">
        <x:f>SUMIFS('Climate Data'!$G$7:$G$366,'Climate Data'!$A$7:$A$366,'Estimator'!$B$4,'Climate Data'!$B$7:$B$366,C1532)</x:f>
        <x:v>0.24916573971078979</x:v>
      </x:c>
      <x:c r="I1532" s="382" t="n">
        <x:f>SUMIFS('Climate Data'!$H$7:$H$366,'Climate Data'!$A$7:$A$366,'Estimator'!$B$4,'Climate Data'!$B$7:$B$366,C1532)</x:f>
        <x:v>9.709821428571429</x:v>
      </x:c>
      <x:c r="J1532" s="381" t="n">
        <x:f>SUMIFS('Wind Proxy'!$H$8:$H$19,'Wind Proxy'!$A$8:$A$19,'Estimator'!$B$4,'Wind Proxy'!$B$8:$B$19,C1532)</x:f>
        <x:v>0.11350059737156513</x:v>
      </x:c>
    </x:row>
    <x:row r="1533">
      <x:c r="A1533" s="379" t="n">
        <x:v>47184</x:v>
      </x:c>
      <x:c r="B1533" s="380" t="n">
        <x:v>2029</x:v>
      </x:c>
      <x:c r="C1533" s="380" t="n">
        <x:v>3</x:v>
      </x:c>
      <x:c r="D1533" s="380" t="str">
        <x:v>Mar</x:v>
      </x:c>
      <x:c r="E1533" s="380" t="n">
        <x:v>7</x:v>
      </x:c>
      <x:c r="F1533" s="380" t="n">
        <x:v>3</x:v>
      </x:c>
      <x:c r="G1533" s="380" t="n">
        <x:f>--(F1533&lt;='Estimator'!$B$7)</x:f>
        <x:v>1</x:v>
      </x:c>
      <x:c r="H1533" s="381" t="n">
        <x:f>SUMIFS('Climate Data'!$G$7:$G$366,'Climate Data'!$A$7:$A$366,'Estimator'!$B$4,'Climate Data'!$B$7:$B$366,C1533)</x:f>
        <x:v>0.24916573971078979</x:v>
      </x:c>
      <x:c r="I1533" s="382" t="n">
        <x:f>SUMIFS('Climate Data'!$H$7:$H$366,'Climate Data'!$A$7:$A$366,'Estimator'!$B$4,'Climate Data'!$B$7:$B$366,C1533)</x:f>
        <x:v>9.709821428571429</x:v>
      </x:c>
      <x:c r="J1533" s="381" t="n">
        <x:f>SUMIFS('Wind Proxy'!$H$8:$H$19,'Wind Proxy'!$A$8:$A$19,'Estimator'!$B$4,'Wind Proxy'!$B$8:$B$19,C1533)</x:f>
        <x:v>0.11350059737156513</x:v>
      </x:c>
    </x:row>
    <x:row r="1534">
      <x:c r="A1534" s="379" t="n">
        <x:v>47185</x:v>
      </x:c>
      <x:c r="B1534" s="380" t="n">
        <x:v>2029</x:v>
      </x:c>
      <x:c r="C1534" s="380" t="n">
        <x:v>3</x:v>
      </x:c>
      <x:c r="D1534" s="380" t="str">
        <x:v>Mar</x:v>
      </x:c>
      <x:c r="E1534" s="380" t="n">
        <x:v>8</x:v>
      </x:c>
      <x:c r="F1534" s="380" t="n">
        <x:v>4</x:v>
      </x:c>
      <x:c r="G1534" s="380" t="n">
        <x:f>--(F1534&lt;='Estimator'!$B$7)</x:f>
        <x:v>1</x:v>
      </x:c>
      <x:c r="H1534" s="381" t="n">
        <x:f>SUMIFS('Climate Data'!$G$7:$G$366,'Climate Data'!$A$7:$A$366,'Estimator'!$B$4,'Climate Data'!$B$7:$B$366,C1534)</x:f>
        <x:v>0.24916573971078979</x:v>
      </x:c>
      <x:c r="I1534" s="382" t="n">
        <x:f>SUMIFS('Climate Data'!$H$7:$H$366,'Climate Data'!$A$7:$A$366,'Estimator'!$B$4,'Climate Data'!$B$7:$B$366,C1534)</x:f>
        <x:v>9.709821428571429</x:v>
      </x:c>
      <x:c r="J1534" s="381" t="n">
        <x:f>SUMIFS('Wind Proxy'!$H$8:$H$19,'Wind Proxy'!$A$8:$A$19,'Estimator'!$B$4,'Wind Proxy'!$B$8:$B$19,C1534)</x:f>
        <x:v>0.11350059737156513</x:v>
      </x:c>
    </x:row>
    <x:row r="1535">
      <x:c r="A1535" s="379" t="n">
        <x:v>47186</x:v>
      </x:c>
      <x:c r="B1535" s="380" t="n">
        <x:v>2029</x:v>
      </x:c>
      <x:c r="C1535" s="380" t="n">
        <x:v>3</x:v>
      </x:c>
      <x:c r="D1535" s="380" t="str">
        <x:v>Mar</x:v>
      </x:c>
      <x:c r="E1535" s="380" t="n">
        <x:v>9</x:v>
      </x:c>
      <x:c r="F1535" s="380" t="n">
        <x:v>5</x:v>
      </x:c>
      <x:c r="G1535" s="380" t="n">
        <x:f>--(F1535&lt;='Estimator'!$B$7)</x:f>
        <x:v>1</x:v>
      </x:c>
      <x:c r="H1535" s="381" t="n">
        <x:f>SUMIFS('Climate Data'!$G$7:$G$366,'Climate Data'!$A$7:$A$366,'Estimator'!$B$4,'Climate Data'!$B$7:$B$366,C1535)</x:f>
        <x:v>0.24916573971078979</x:v>
      </x:c>
      <x:c r="I1535" s="382" t="n">
        <x:f>SUMIFS('Climate Data'!$H$7:$H$366,'Climate Data'!$A$7:$A$366,'Estimator'!$B$4,'Climate Data'!$B$7:$B$366,C1535)</x:f>
        <x:v>9.709821428571429</x:v>
      </x:c>
      <x:c r="J1535" s="381" t="n">
        <x:f>SUMIFS('Wind Proxy'!$H$8:$H$19,'Wind Proxy'!$A$8:$A$19,'Estimator'!$B$4,'Wind Proxy'!$B$8:$B$19,C1535)</x:f>
        <x:v>0.11350059737156513</x:v>
      </x:c>
    </x:row>
    <x:row r="1536">
      <x:c r="A1536" s="379" t="n">
        <x:v>47187</x:v>
      </x:c>
      <x:c r="B1536" s="380" t="n">
        <x:v>2029</x:v>
      </x:c>
      <x:c r="C1536" s="380" t="n">
        <x:v>3</x:v>
      </x:c>
      <x:c r="D1536" s="380" t="str">
        <x:v>Mar</x:v>
      </x:c>
      <x:c r="E1536" s="380" t="n">
        <x:v>10</x:v>
      </x:c>
      <x:c r="F1536" s="380" t="n">
        <x:v>6</x:v>
      </x:c>
      <x:c r="G1536" s="380" t="n">
        <x:f>--(F1536&lt;='Estimator'!$B$7)</x:f>
        <x:v>0</x:v>
      </x:c>
      <x:c r="H1536" s="381" t="n">
        <x:f>SUMIFS('Climate Data'!$G$7:$G$366,'Climate Data'!$A$7:$A$366,'Estimator'!$B$4,'Climate Data'!$B$7:$B$366,C1536)</x:f>
        <x:v>0.24916573971078979</x:v>
      </x:c>
      <x:c r="I1536" s="382" t="n">
        <x:f>SUMIFS('Climate Data'!$H$7:$H$366,'Climate Data'!$A$7:$A$366,'Estimator'!$B$4,'Climate Data'!$B$7:$B$366,C1536)</x:f>
        <x:v>9.709821428571429</x:v>
      </x:c>
      <x:c r="J1536" s="381" t="n">
        <x:f>SUMIFS('Wind Proxy'!$H$8:$H$19,'Wind Proxy'!$A$8:$A$19,'Estimator'!$B$4,'Wind Proxy'!$B$8:$B$19,C1536)</x:f>
        <x:v>0.11350059737156513</x:v>
      </x:c>
    </x:row>
    <x:row r="1537">
      <x:c r="A1537" s="379" t="n">
        <x:v>47188</x:v>
      </x:c>
      <x:c r="B1537" s="380" t="n">
        <x:v>2029</x:v>
      </x:c>
      <x:c r="C1537" s="380" t="n">
        <x:v>3</x:v>
      </x:c>
      <x:c r="D1537" s="380" t="str">
        <x:v>Mar</x:v>
      </x:c>
      <x:c r="E1537" s="380" t="n">
        <x:v>11</x:v>
      </x:c>
      <x:c r="F1537" s="380" t="n">
        <x:v>7</x:v>
      </x:c>
      <x:c r="G1537" s="380" t="n">
        <x:f>--(F1537&lt;='Estimator'!$B$7)</x:f>
        <x:v>0</x:v>
      </x:c>
      <x:c r="H1537" s="381" t="n">
        <x:f>SUMIFS('Climate Data'!$G$7:$G$366,'Climate Data'!$A$7:$A$366,'Estimator'!$B$4,'Climate Data'!$B$7:$B$366,C1537)</x:f>
        <x:v>0.24916573971078979</x:v>
      </x:c>
      <x:c r="I1537" s="382" t="n">
        <x:f>SUMIFS('Climate Data'!$H$7:$H$366,'Climate Data'!$A$7:$A$366,'Estimator'!$B$4,'Climate Data'!$B$7:$B$366,C1537)</x:f>
        <x:v>9.709821428571429</x:v>
      </x:c>
      <x:c r="J1537" s="381" t="n">
        <x:f>SUMIFS('Wind Proxy'!$H$8:$H$19,'Wind Proxy'!$A$8:$A$19,'Estimator'!$B$4,'Wind Proxy'!$B$8:$B$19,C1537)</x:f>
        <x:v>0.11350059737156513</x:v>
      </x:c>
    </x:row>
    <x:row r="1538">
      <x:c r="A1538" s="379" t="n">
        <x:v>47189</x:v>
      </x:c>
      <x:c r="B1538" s="380" t="n">
        <x:v>2029</x:v>
      </x:c>
      <x:c r="C1538" s="380" t="n">
        <x:v>3</x:v>
      </x:c>
      <x:c r="D1538" s="380" t="str">
        <x:v>Mar</x:v>
      </x:c>
      <x:c r="E1538" s="380" t="n">
        <x:v>12</x:v>
      </x:c>
      <x:c r="F1538" s="380" t="n">
        <x:v>1</x:v>
      </x:c>
      <x:c r="G1538" s="380" t="n">
        <x:f>--(F1538&lt;='Estimator'!$B$7)</x:f>
        <x:v>1</x:v>
      </x:c>
      <x:c r="H1538" s="381" t="n">
        <x:f>SUMIFS('Climate Data'!$G$7:$G$366,'Climate Data'!$A$7:$A$366,'Estimator'!$B$4,'Climate Data'!$B$7:$B$366,C1538)</x:f>
        <x:v>0.24916573971078979</x:v>
      </x:c>
      <x:c r="I1538" s="382" t="n">
        <x:f>SUMIFS('Climate Data'!$H$7:$H$366,'Climate Data'!$A$7:$A$366,'Estimator'!$B$4,'Climate Data'!$B$7:$B$366,C1538)</x:f>
        <x:v>9.709821428571429</x:v>
      </x:c>
      <x:c r="J1538" s="381" t="n">
        <x:f>SUMIFS('Wind Proxy'!$H$8:$H$19,'Wind Proxy'!$A$8:$A$19,'Estimator'!$B$4,'Wind Proxy'!$B$8:$B$19,C1538)</x:f>
        <x:v>0.11350059737156513</x:v>
      </x:c>
    </x:row>
    <x:row r="1539">
      <x:c r="A1539" s="379" t="n">
        <x:v>47190</x:v>
      </x:c>
      <x:c r="B1539" s="380" t="n">
        <x:v>2029</x:v>
      </x:c>
      <x:c r="C1539" s="380" t="n">
        <x:v>3</x:v>
      </x:c>
      <x:c r="D1539" s="380" t="str">
        <x:v>Mar</x:v>
      </x:c>
      <x:c r="E1539" s="380" t="n">
        <x:v>13</x:v>
      </x:c>
      <x:c r="F1539" s="380" t="n">
        <x:v>2</x:v>
      </x:c>
      <x:c r="G1539" s="380" t="n">
        <x:f>--(F1539&lt;='Estimator'!$B$7)</x:f>
        <x:v>1</x:v>
      </x:c>
      <x:c r="H1539" s="381" t="n">
        <x:f>SUMIFS('Climate Data'!$G$7:$G$366,'Climate Data'!$A$7:$A$366,'Estimator'!$B$4,'Climate Data'!$B$7:$B$366,C1539)</x:f>
        <x:v>0.24916573971078979</x:v>
      </x:c>
      <x:c r="I1539" s="382" t="n">
        <x:f>SUMIFS('Climate Data'!$H$7:$H$366,'Climate Data'!$A$7:$A$366,'Estimator'!$B$4,'Climate Data'!$B$7:$B$366,C1539)</x:f>
        <x:v>9.709821428571429</x:v>
      </x:c>
      <x:c r="J1539" s="381" t="n">
        <x:f>SUMIFS('Wind Proxy'!$H$8:$H$19,'Wind Proxy'!$A$8:$A$19,'Estimator'!$B$4,'Wind Proxy'!$B$8:$B$19,C1539)</x:f>
        <x:v>0.11350059737156513</x:v>
      </x:c>
    </x:row>
    <x:row r="1540">
      <x:c r="A1540" s="379" t="n">
        <x:v>47191</x:v>
      </x:c>
      <x:c r="B1540" s="380" t="n">
        <x:v>2029</x:v>
      </x:c>
      <x:c r="C1540" s="380" t="n">
        <x:v>3</x:v>
      </x:c>
      <x:c r="D1540" s="380" t="str">
        <x:v>Mar</x:v>
      </x:c>
      <x:c r="E1540" s="380" t="n">
        <x:v>14</x:v>
      </x:c>
      <x:c r="F1540" s="380" t="n">
        <x:v>3</x:v>
      </x:c>
      <x:c r="G1540" s="380" t="n">
        <x:f>--(F1540&lt;='Estimator'!$B$7)</x:f>
        <x:v>1</x:v>
      </x:c>
      <x:c r="H1540" s="381" t="n">
        <x:f>SUMIFS('Climate Data'!$G$7:$G$366,'Climate Data'!$A$7:$A$366,'Estimator'!$B$4,'Climate Data'!$B$7:$B$366,C1540)</x:f>
        <x:v>0.24916573971078979</x:v>
      </x:c>
      <x:c r="I1540" s="382" t="n">
        <x:f>SUMIFS('Climate Data'!$H$7:$H$366,'Climate Data'!$A$7:$A$366,'Estimator'!$B$4,'Climate Data'!$B$7:$B$366,C1540)</x:f>
        <x:v>9.709821428571429</x:v>
      </x:c>
      <x:c r="J1540" s="381" t="n">
        <x:f>SUMIFS('Wind Proxy'!$H$8:$H$19,'Wind Proxy'!$A$8:$A$19,'Estimator'!$B$4,'Wind Proxy'!$B$8:$B$19,C1540)</x:f>
        <x:v>0.11350059737156513</x:v>
      </x:c>
    </x:row>
    <x:row r="1541">
      <x:c r="A1541" s="379" t="n">
        <x:v>47192</x:v>
      </x:c>
      <x:c r="B1541" s="380" t="n">
        <x:v>2029</x:v>
      </x:c>
      <x:c r="C1541" s="380" t="n">
        <x:v>3</x:v>
      </x:c>
      <x:c r="D1541" s="380" t="str">
        <x:v>Mar</x:v>
      </x:c>
      <x:c r="E1541" s="380" t="n">
        <x:v>15</x:v>
      </x:c>
      <x:c r="F1541" s="380" t="n">
        <x:v>4</x:v>
      </x:c>
      <x:c r="G1541" s="380" t="n">
        <x:f>--(F1541&lt;='Estimator'!$B$7)</x:f>
        <x:v>1</x:v>
      </x:c>
      <x:c r="H1541" s="381" t="n">
        <x:f>SUMIFS('Climate Data'!$G$7:$G$366,'Climate Data'!$A$7:$A$366,'Estimator'!$B$4,'Climate Data'!$B$7:$B$366,C1541)</x:f>
        <x:v>0.24916573971078979</x:v>
      </x:c>
      <x:c r="I1541" s="382" t="n">
        <x:f>SUMIFS('Climate Data'!$H$7:$H$366,'Climate Data'!$A$7:$A$366,'Estimator'!$B$4,'Climate Data'!$B$7:$B$366,C1541)</x:f>
        <x:v>9.709821428571429</x:v>
      </x:c>
      <x:c r="J1541" s="381" t="n">
        <x:f>SUMIFS('Wind Proxy'!$H$8:$H$19,'Wind Proxy'!$A$8:$A$19,'Estimator'!$B$4,'Wind Proxy'!$B$8:$B$19,C1541)</x:f>
        <x:v>0.11350059737156513</x:v>
      </x:c>
    </x:row>
    <x:row r="1542">
      <x:c r="A1542" s="379" t="n">
        <x:v>47193</x:v>
      </x:c>
      <x:c r="B1542" s="380" t="n">
        <x:v>2029</x:v>
      </x:c>
      <x:c r="C1542" s="380" t="n">
        <x:v>3</x:v>
      </x:c>
      <x:c r="D1542" s="380" t="str">
        <x:v>Mar</x:v>
      </x:c>
      <x:c r="E1542" s="380" t="n">
        <x:v>16</x:v>
      </x:c>
      <x:c r="F1542" s="380" t="n">
        <x:v>5</x:v>
      </x:c>
      <x:c r="G1542" s="380" t="n">
        <x:f>--(F1542&lt;='Estimator'!$B$7)</x:f>
        <x:v>1</x:v>
      </x:c>
      <x:c r="H1542" s="381" t="n">
        <x:f>SUMIFS('Climate Data'!$G$7:$G$366,'Climate Data'!$A$7:$A$366,'Estimator'!$B$4,'Climate Data'!$B$7:$B$366,C1542)</x:f>
        <x:v>0.24916573971078979</x:v>
      </x:c>
      <x:c r="I1542" s="382" t="n">
        <x:f>SUMIFS('Climate Data'!$H$7:$H$366,'Climate Data'!$A$7:$A$366,'Estimator'!$B$4,'Climate Data'!$B$7:$B$366,C1542)</x:f>
        <x:v>9.709821428571429</x:v>
      </x:c>
      <x:c r="J1542" s="381" t="n">
        <x:f>SUMIFS('Wind Proxy'!$H$8:$H$19,'Wind Proxy'!$A$8:$A$19,'Estimator'!$B$4,'Wind Proxy'!$B$8:$B$19,C1542)</x:f>
        <x:v>0.11350059737156513</x:v>
      </x:c>
    </x:row>
    <x:row r="1543">
      <x:c r="A1543" s="379" t="n">
        <x:v>47194</x:v>
      </x:c>
      <x:c r="B1543" s="380" t="n">
        <x:v>2029</x:v>
      </x:c>
      <x:c r="C1543" s="380" t="n">
        <x:v>3</x:v>
      </x:c>
      <x:c r="D1543" s="380" t="str">
        <x:v>Mar</x:v>
      </x:c>
      <x:c r="E1543" s="380" t="n">
        <x:v>17</x:v>
      </x:c>
      <x:c r="F1543" s="380" t="n">
        <x:v>6</x:v>
      </x:c>
      <x:c r="G1543" s="380" t="n">
        <x:f>--(F1543&lt;='Estimator'!$B$7)</x:f>
        <x:v>0</x:v>
      </x:c>
      <x:c r="H1543" s="381" t="n">
        <x:f>SUMIFS('Climate Data'!$G$7:$G$366,'Climate Data'!$A$7:$A$366,'Estimator'!$B$4,'Climate Data'!$B$7:$B$366,C1543)</x:f>
        <x:v>0.24916573971078979</x:v>
      </x:c>
      <x:c r="I1543" s="382" t="n">
        <x:f>SUMIFS('Climate Data'!$H$7:$H$366,'Climate Data'!$A$7:$A$366,'Estimator'!$B$4,'Climate Data'!$B$7:$B$366,C1543)</x:f>
        <x:v>9.709821428571429</x:v>
      </x:c>
      <x:c r="J1543" s="381" t="n">
        <x:f>SUMIFS('Wind Proxy'!$H$8:$H$19,'Wind Proxy'!$A$8:$A$19,'Estimator'!$B$4,'Wind Proxy'!$B$8:$B$19,C1543)</x:f>
        <x:v>0.11350059737156513</x:v>
      </x:c>
    </x:row>
    <x:row r="1544">
      <x:c r="A1544" s="379" t="n">
        <x:v>47195</x:v>
      </x:c>
      <x:c r="B1544" s="380" t="n">
        <x:v>2029</x:v>
      </x:c>
      <x:c r="C1544" s="380" t="n">
        <x:v>3</x:v>
      </x:c>
      <x:c r="D1544" s="380" t="str">
        <x:v>Mar</x:v>
      </x:c>
      <x:c r="E1544" s="380" t="n">
        <x:v>18</x:v>
      </x:c>
      <x:c r="F1544" s="380" t="n">
        <x:v>7</x:v>
      </x:c>
      <x:c r="G1544" s="380" t="n">
        <x:f>--(F1544&lt;='Estimator'!$B$7)</x:f>
        <x:v>0</x:v>
      </x:c>
      <x:c r="H1544" s="381" t="n">
        <x:f>SUMIFS('Climate Data'!$G$7:$G$366,'Climate Data'!$A$7:$A$366,'Estimator'!$B$4,'Climate Data'!$B$7:$B$366,C1544)</x:f>
        <x:v>0.24916573971078979</x:v>
      </x:c>
      <x:c r="I1544" s="382" t="n">
        <x:f>SUMIFS('Climate Data'!$H$7:$H$366,'Climate Data'!$A$7:$A$366,'Estimator'!$B$4,'Climate Data'!$B$7:$B$366,C1544)</x:f>
        <x:v>9.709821428571429</x:v>
      </x:c>
      <x:c r="J1544" s="381" t="n">
        <x:f>SUMIFS('Wind Proxy'!$H$8:$H$19,'Wind Proxy'!$A$8:$A$19,'Estimator'!$B$4,'Wind Proxy'!$B$8:$B$19,C1544)</x:f>
        <x:v>0.11350059737156513</x:v>
      </x:c>
    </x:row>
    <x:row r="1545">
      <x:c r="A1545" s="379" t="n">
        <x:v>47196</x:v>
      </x:c>
      <x:c r="B1545" s="380" t="n">
        <x:v>2029</x:v>
      </x:c>
      <x:c r="C1545" s="380" t="n">
        <x:v>3</x:v>
      </x:c>
      <x:c r="D1545" s="380" t="str">
        <x:v>Mar</x:v>
      </x:c>
      <x:c r="E1545" s="380" t="n">
        <x:v>19</x:v>
      </x:c>
      <x:c r="F1545" s="380" t="n">
        <x:v>1</x:v>
      </x:c>
      <x:c r="G1545" s="380" t="n">
        <x:f>--(F1545&lt;='Estimator'!$B$7)</x:f>
        <x:v>1</x:v>
      </x:c>
      <x:c r="H1545" s="381" t="n">
        <x:f>SUMIFS('Climate Data'!$G$7:$G$366,'Climate Data'!$A$7:$A$366,'Estimator'!$B$4,'Climate Data'!$B$7:$B$366,C1545)</x:f>
        <x:v>0.24916573971078979</x:v>
      </x:c>
      <x:c r="I1545" s="382" t="n">
        <x:f>SUMIFS('Climate Data'!$H$7:$H$366,'Climate Data'!$A$7:$A$366,'Estimator'!$B$4,'Climate Data'!$B$7:$B$366,C1545)</x:f>
        <x:v>9.709821428571429</x:v>
      </x:c>
      <x:c r="J1545" s="381" t="n">
        <x:f>SUMIFS('Wind Proxy'!$H$8:$H$19,'Wind Proxy'!$A$8:$A$19,'Estimator'!$B$4,'Wind Proxy'!$B$8:$B$19,C1545)</x:f>
        <x:v>0.11350059737156513</x:v>
      </x:c>
    </x:row>
    <x:row r="1546">
      <x:c r="A1546" s="379" t="n">
        <x:v>47197</x:v>
      </x:c>
      <x:c r="B1546" s="380" t="n">
        <x:v>2029</x:v>
      </x:c>
      <x:c r="C1546" s="380" t="n">
        <x:v>3</x:v>
      </x:c>
      <x:c r="D1546" s="380" t="str">
        <x:v>Mar</x:v>
      </x:c>
      <x:c r="E1546" s="380" t="n">
        <x:v>20</x:v>
      </x:c>
      <x:c r="F1546" s="380" t="n">
        <x:v>2</x:v>
      </x:c>
      <x:c r="G1546" s="380" t="n">
        <x:f>--(F1546&lt;='Estimator'!$B$7)</x:f>
        <x:v>1</x:v>
      </x:c>
      <x:c r="H1546" s="381" t="n">
        <x:f>SUMIFS('Climate Data'!$G$7:$G$366,'Climate Data'!$A$7:$A$366,'Estimator'!$B$4,'Climate Data'!$B$7:$B$366,C1546)</x:f>
        <x:v>0.24916573971078979</x:v>
      </x:c>
      <x:c r="I1546" s="382" t="n">
        <x:f>SUMIFS('Climate Data'!$H$7:$H$366,'Climate Data'!$A$7:$A$366,'Estimator'!$B$4,'Climate Data'!$B$7:$B$366,C1546)</x:f>
        <x:v>9.709821428571429</x:v>
      </x:c>
      <x:c r="J1546" s="381" t="n">
        <x:f>SUMIFS('Wind Proxy'!$H$8:$H$19,'Wind Proxy'!$A$8:$A$19,'Estimator'!$B$4,'Wind Proxy'!$B$8:$B$19,C1546)</x:f>
        <x:v>0.11350059737156513</x:v>
      </x:c>
    </x:row>
    <x:row r="1547">
      <x:c r="A1547" s="379" t="n">
        <x:v>47198</x:v>
      </x:c>
      <x:c r="B1547" s="380" t="n">
        <x:v>2029</x:v>
      </x:c>
      <x:c r="C1547" s="380" t="n">
        <x:v>3</x:v>
      </x:c>
      <x:c r="D1547" s="380" t="str">
        <x:v>Mar</x:v>
      </x:c>
      <x:c r="E1547" s="380" t="n">
        <x:v>21</x:v>
      </x:c>
      <x:c r="F1547" s="380" t="n">
        <x:v>3</x:v>
      </x:c>
      <x:c r="G1547" s="380" t="n">
        <x:f>--(F1547&lt;='Estimator'!$B$7)</x:f>
        <x:v>1</x:v>
      </x:c>
      <x:c r="H1547" s="381" t="n">
        <x:f>SUMIFS('Climate Data'!$G$7:$G$366,'Climate Data'!$A$7:$A$366,'Estimator'!$B$4,'Climate Data'!$B$7:$B$366,C1547)</x:f>
        <x:v>0.24916573971078979</x:v>
      </x:c>
      <x:c r="I1547" s="382" t="n">
        <x:f>SUMIFS('Climate Data'!$H$7:$H$366,'Climate Data'!$A$7:$A$366,'Estimator'!$B$4,'Climate Data'!$B$7:$B$366,C1547)</x:f>
        <x:v>9.709821428571429</x:v>
      </x:c>
      <x:c r="J1547" s="381" t="n">
        <x:f>SUMIFS('Wind Proxy'!$H$8:$H$19,'Wind Proxy'!$A$8:$A$19,'Estimator'!$B$4,'Wind Proxy'!$B$8:$B$19,C1547)</x:f>
        <x:v>0.11350059737156513</x:v>
      </x:c>
    </x:row>
    <x:row r="1548">
      <x:c r="A1548" s="379" t="n">
        <x:v>47199</x:v>
      </x:c>
      <x:c r="B1548" s="380" t="n">
        <x:v>2029</x:v>
      </x:c>
      <x:c r="C1548" s="380" t="n">
        <x:v>3</x:v>
      </x:c>
      <x:c r="D1548" s="380" t="str">
        <x:v>Mar</x:v>
      </x:c>
      <x:c r="E1548" s="380" t="n">
        <x:v>22</x:v>
      </x:c>
      <x:c r="F1548" s="380" t="n">
        <x:v>4</x:v>
      </x:c>
      <x:c r="G1548" s="380" t="n">
        <x:f>--(F1548&lt;='Estimator'!$B$7)</x:f>
        <x:v>1</x:v>
      </x:c>
      <x:c r="H1548" s="381" t="n">
        <x:f>SUMIFS('Climate Data'!$G$7:$G$366,'Climate Data'!$A$7:$A$366,'Estimator'!$B$4,'Climate Data'!$B$7:$B$366,C1548)</x:f>
        <x:v>0.24916573971078979</x:v>
      </x:c>
      <x:c r="I1548" s="382" t="n">
        <x:f>SUMIFS('Climate Data'!$H$7:$H$366,'Climate Data'!$A$7:$A$366,'Estimator'!$B$4,'Climate Data'!$B$7:$B$366,C1548)</x:f>
        <x:v>9.709821428571429</x:v>
      </x:c>
      <x:c r="J1548" s="381" t="n">
        <x:f>SUMIFS('Wind Proxy'!$H$8:$H$19,'Wind Proxy'!$A$8:$A$19,'Estimator'!$B$4,'Wind Proxy'!$B$8:$B$19,C1548)</x:f>
        <x:v>0.11350059737156513</x:v>
      </x:c>
    </x:row>
    <x:row r="1549">
      <x:c r="A1549" s="379" t="n">
        <x:v>47200</x:v>
      </x:c>
      <x:c r="B1549" s="380" t="n">
        <x:v>2029</x:v>
      </x:c>
      <x:c r="C1549" s="380" t="n">
        <x:v>3</x:v>
      </x:c>
      <x:c r="D1549" s="380" t="str">
        <x:v>Mar</x:v>
      </x:c>
      <x:c r="E1549" s="380" t="n">
        <x:v>23</x:v>
      </x:c>
      <x:c r="F1549" s="380" t="n">
        <x:v>5</x:v>
      </x:c>
      <x:c r="G1549" s="380" t="n">
        <x:f>--(F1549&lt;='Estimator'!$B$7)</x:f>
        <x:v>1</x:v>
      </x:c>
      <x:c r="H1549" s="381" t="n">
        <x:f>SUMIFS('Climate Data'!$G$7:$G$366,'Climate Data'!$A$7:$A$366,'Estimator'!$B$4,'Climate Data'!$B$7:$B$366,C1549)</x:f>
        <x:v>0.24916573971078979</x:v>
      </x:c>
      <x:c r="I1549" s="382" t="n">
        <x:f>SUMIFS('Climate Data'!$H$7:$H$366,'Climate Data'!$A$7:$A$366,'Estimator'!$B$4,'Climate Data'!$B$7:$B$366,C1549)</x:f>
        <x:v>9.709821428571429</x:v>
      </x:c>
      <x:c r="J1549" s="381" t="n">
        <x:f>SUMIFS('Wind Proxy'!$H$8:$H$19,'Wind Proxy'!$A$8:$A$19,'Estimator'!$B$4,'Wind Proxy'!$B$8:$B$19,C1549)</x:f>
        <x:v>0.11350059737156513</x:v>
      </x:c>
    </x:row>
    <x:row r="1550">
      <x:c r="A1550" s="379" t="n">
        <x:v>47201</x:v>
      </x:c>
      <x:c r="B1550" s="380" t="n">
        <x:v>2029</x:v>
      </x:c>
      <x:c r="C1550" s="380" t="n">
        <x:v>3</x:v>
      </x:c>
      <x:c r="D1550" s="380" t="str">
        <x:v>Mar</x:v>
      </x:c>
      <x:c r="E1550" s="380" t="n">
        <x:v>24</x:v>
      </x:c>
      <x:c r="F1550" s="380" t="n">
        <x:v>6</x:v>
      </x:c>
      <x:c r="G1550" s="380" t="n">
        <x:f>--(F1550&lt;='Estimator'!$B$7)</x:f>
        <x:v>0</x:v>
      </x:c>
      <x:c r="H1550" s="381" t="n">
        <x:f>SUMIFS('Climate Data'!$G$7:$G$366,'Climate Data'!$A$7:$A$366,'Estimator'!$B$4,'Climate Data'!$B$7:$B$366,C1550)</x:f>
        <x:v>0.24916573971078979</x:v>
      </x:c>
      <x:c r="I1550" s="382" t="n">
        <x:f>SUMIFS('Climate Data'!$H$7:$H$366,'Climate Data'!$A$7:$A$366,'Estimator'!$B$4,'Climate Data'!$B$7:$B$366,C1550)</x:f>
        <x:v>9.709821428571429</x:v>
      </x:c>
      <x:c r="J1550" s="381" t="n">
        <x:f>SUMIFS('Wind Proxy'!$H$8:$H$19,'Wind Proxy'!$A$8:$A$19,'Estimator'!$B$4,'Wind Proxy'!$B$8:$B$19,C1550)</x:f>
        <x:v>0.11350059737156513</x:v>
      </x:c>
    </x:row>
    <x:row r="1551">
      <x:c r="A1551" s="379" t="n">
        <x:v>47202</x:v>
      </x:c>
      <x:c r="B1551" s="380" t="n">
        <x:v>2029</x:v>
      </x:c>
      <x:c r="C1551" s="380" t="n">
        <x:v>3</x:v>
      </x:c>
      <x:c r="D1551" s="380" t="str">
        <x:v>Mar</x:v>
      </x:c>
      <x:c r="E1551" s="380" t="n">
        <x:v>25</x:v>
      </x:c>
      <x:c r="F1551" s="380" t="n">
        <x:v>7</x:v>
      </x:c>
      <x:c r="G1551" s="380" t="n">
        <x:f>--(F1551&lt;='Estimator'!$B$7)</x:f>
        <x:v>0</x:v>
      </x:c>
      <x:c r="H1551" s="381" t="n">
        <x:f>SUMIFS('Climate Data'!$G$7:$G$366,'Climate Data'!$A$7:$A$366,'Estimator'!$B$4,'Climate Data'!$B$7:$B$366,C1551)</x:f>
        <x:v>0.24916573971078979</x:v>
      </x:c>
      <x:c r="I1551" s="382" t="n">
        <x:f>SUMIFS('Climate Data'!$H$7:$H$366,'Climate Data'!$A$7:$A$366,'Estimator'!$B$4,'Climate Data'!$B$7:$B$366,C1551)</x:f>
        <x:v>9.709821428571429</x:v>
      </x:c>
      <x:c r="J1551" s="381" t="n">
        <x:f>SUMIFS('Wind Proxy'!$H$8:$H$19,'Wind Proxy'!$A$8:$A$19,'Estimator'!$B$4,'Wind Proxy'!$B$8:$B$19,C1551)</x:f>
        <x:v>0.11350059737156513</x:v>
      </x:c>
    </x:row>
    <x:row r="1552">
      <x:c r="A1552" s="379" t="n">
        <x:v>47203</x:v>
      </x:c>
      <x:c r="B1552" s="380" t="n">
        <x:v>2029</x:v>
      </x:c>
      <x:c r="C1552" s="380" t="n">
        <x:v>3</x:v>
      </x:c>
      <x:c r="D1552" s="380" t="str">
        <x:v>Mar</x:v>
      </x:c>
      <x:c r="E1552" s="380" t="n">
        <x:v>26</x:v>
      </x:c>
      <x:c r="F1552" s="380" t="n">
        <x:v>1</x:v>
      </x:c>
      <x:c r="G1552" s="380" t="n">
        <x:f>--(F1552&lt;='Estimator'!$B$7)</x:f>
        <x:v>1</x:v>
      </x:c>
      <x:c r="H1552" s="381" t="n">
        <x:f>SUMIFS('Climate Data'!$G$7:$G$366,'Climate Data'!$A$7:$A$366,'Estimator'!$B$4,'Climate Data'!$B$7:$B$366,C1552)</x:f>
        <x:v>0.24916573971078979</x:v>
      </x:c>
      <x:c r="I1552" s="382" t="n">
        <x:f>SUMIFS('Climate Data'!$H$7:$H$366,'Climate Data'!$A$7:$A$366,'Estimator'!$B$4,'Climate Data'!$B$7:$B$366,C1552)</x:f>
        <x:v>9.709821428571429</x:v>
      </x:c>
      <x:c r="J1552" s="381" t="n">
        <x:f>SUMIFS('Wind Proxy'!$H$8:$H$19,'Wind Proxy'!$A$8:$A$19,'Estimator'!$B$4,'Wind Proxy'!$B$8:$B$19,C1552)</x:f>
        <x:v>0.11350059737156513</x:v>
      </x:c>
    </x:row>
    <x:row r="1553">
      <x:c r="A1553" s="379" t="n">
        <x:v>47204</x:v>
      </x:c>
      <x:c r="B1553" s="380" t="n">
        <x:v>2029</x:v>
      </x:c>
      <x:c r="C1553" s="380" t="n">
        <x:v>3</x:v>
      </x:c>
      <x:c r="D1553" s="380" t="str">
        <x:v>Mar</x:v>
      </x:c>
      <x:c r="E1553" s="380" t="n">
        <x:v>27</x:v>
      </x:c>
      <x:c r="F1553" s="380" t="n">
        <x:v>2</x:v>
      </x:c>
      <x:c r="G1553" s="380" t="n">
        <x:f>--(F1553&lt;='Estimator'!$B$7)</x:f>
        <x:v>1</x:v>
      </x:c>
      <x:c r="H1553" s="381" t="n">
        <x:f>SUMIFS('Climate Data'!$G$7:$G$366,'Climate Data'!$A$7:$A$366,'Estimator'!$B$4,'Climate Data'!$B$7:$B$366,C1553)</x:f>
        <x:v>0.24916573971078979</x:v>
      </x:c>
      <x:c r="I1553" s="382" t="n">
        <x:f>SUMIFS('Climate Data'!$H$7:$H$366,'Climate Data'!$A$7:$A$366,'Estimator'!$B$4,'Climate Data'!$B$7:$B$366,C1553)</x:f>
        <x:v>9.709821428571429</x:v>
      </x:c>
      <x:c r="J1553" s="381" t="n">
        <x:f>SUMIFS('Wind Proxy'!$H$8:$H$19,'Wind Proxy'!$A$8:$A$19,'Estimator'!$B$4,'Wind Proxy'!$B$8:$B$19,C1553)</x:f>
        <x:v>0.11350059737156513</x:v>
      </x:c>
    </x:row>
    <x:row r="1554">
      <x:c r="A1554" s="379" t="n">
        <x:v>47205</x:v>
      </x:c>
      <x:c r="B1554" s="380" t="n">
        <x:v>2029</x:v>
      </x:c>
      <x:c r="C1554" s="380" t="n">
        <x:v>3</x:v>
      </x:c>
      <x:c r="D1554" s="380" t="str">
        <x:v>Mar</x:v>
      </x:c>
      <x:c r="E1554" s="380" t="n">
        <x:v>28</x:v>
      </x:c>
      <x:c r="F1554" s="380" t="n">
        <x:v>3</x:v>
      </x:c>
      <x:c r="G1554" s="380" t="n">
        <x:f>--(F1554&lt;='Estimator'!$B$7)</x:f>
        <x:v>1</x:v>
      </x:c>
      <x:c r="H1554" s="381" t="n">
        <x:f>SUMIFS('Climate Data'!$G$7:$G$366,'Climate Data'!$A$7:$A$366,'Estimator'!$B$4,'Climate Data'!$B$7:$B$366,C1554)</x:f>
        <x:v>0.24916573971078979</x:v>
      </x:c>
      <x:c r="I1554" s="382" t="n">
        <x:f>SUMIFS('Climate Data'!$H$7:$H$366,'Climate Data'!$A$7:$A$366,'Estimator'!$B$4,'Climate Data'!$B$7:$B$366,C1554)</x:f>
        <x:v>9.709821428571429</x:v>
      </x:c>
      <x:c r="J1554" s="381" t="n">
        <x:f>SUMIFS('Wind Proxy'!$H$8:$H$19,'Wind Proxy'!$A$8:$A$19,'Estimator'!$B$4,'Wind Proxy'!$B$8:$B$19,C1554)</x:f>
        <x:v>0.11350059737156513</x:v>
      </x:c>
    </x:row>
    <x:row r="1555">
      <x:c r="A1555" s="379" t="n">
        <x:v>47206</x:v>
      </x:c>
      <x:c r="B1555" s="380" t="n">
        <x:v>2029</x:v>
      </x:c>
      <x:c r="C1555" s="380" t="n">
        <x:v>3</x:v>
      </x:c>
      <x:c r="D1555" s="380" t="str">
        <x:v>Mar</x:v>
      </x:c>
      <x:c r="E1555" s="380" t="n">
        <x:v>29</x:v>
      </x:c>
      <x:c r="F1555" s="380" t="n">
        <x:v>4</x:v>
      </x:c>
      <x:c r="G1555" s="380" t="n">
        <x:f>--(F1555&lt;='Estimator'!$B$7)</x:f>
        <x:v>1</x:v>
      </x:c>
      <x:c r="H1555" s="381" t="n">
        <x:f>SUMIFS('Climate Data'!$G$7:$G$366,'Climate Data'!$A$7:$A$366,'Estimator'!$B$4,'Climate Data'!$B$7:$B$366,C1555)</x:f>
        <x:v>0.24916573971078979</x:v>
      </x:c>
      <x:c r="I1555" s="382" t="n">
        <x:f>SUMIFS('Climate Data'!$H$7:$H$366,'Climate Data'!$A$7:$A$366,'Estimator'!$B$4,'Climate Data'!$B$7:$B$366,C1555)</x:f>
        <x:v>9.709821428571429</x:v>
      </x:c>
      <x:c r="J1555" s="381" t="n">
        <x:f>SUMIFS('Wind Proxy'!$H$8:$H$19,'Wind Proxy'!$A$8:$A$19,'Estimator'!$B$4,'Wind Proxy'!$B$8:$B$19,C1555)</x:f>
        <x:v>0.11350059737156513</x:v>
      </x:c>
    </x:row>
    <x:row r="1556">
      <x:c r="A1556" s="379" t="n">
        <x:v>47207</x:v>
      </x:c>
      <x:c r="B1556" s="380" t="n">
        <x:v>2029</x:v>
      </x:c>
      <x:c r="C1556" s="380" t="n">
        <x:v>3</x:v>
      </x:c>
      <x:c r="D1556" s="380" t="str">
        <x:v>Mar</x:v>
      </x:c>
      <x:c r="E1556" s="380" t="n">
        <x:v>30</x:v>
      </x:c>
      <x:c r="F1556" s="380" t="n">
        <x:v>5</x:v>
      </x:c>
      <x:c r="G1556" s="380" t="n">
        <x:f>--(F1556&lt;='Estimator'!$B$7)</x:f>
        <x:v>1</x:v>
      </x:c>
      <x:c r="H1556" s="381" t="n">
        <x:f>SUMIFS('Climate Data'!$G$7:$G$366,'Climate Data'!$A$7:$A$366,'Estimator'!$B$4,'Climate Data'!$B$7:$B$366,C1556)</x:f>
        <x:v>0.24916573971078979</x:v>
      </x:c>
      <x:c r="I1556" s="382" t="n">
        <x:f>SUMIFS('Climate Data'!$H$7:$H$366,'Climate Data'!$A$7:$A$366,'Estimator'!$B$4,'Climate Data'!$B$7:$B$366,C1556)</x:f>
        <x:v>9.709821428571429</x:v>
      </x:c>
      <x:c r="J1556" s="381" t="n">
        <x:f>SUMIFS('Wind Proxy'!$H$8:$H$19,'Wind Proxy'!$A$8:$A$19,'Estimator'!$B$4,'Wind Proxy'!$B$8:$B$19,C1556)</x:f>
        <x:v>0.11350059737156513</x:v>
      </x:c>
    </x:row>
    <x:row r="1557">
      <x:c r="A1557" s="379" t="n">
        <x:v>47208</x:v>
      </x:c>
      <x:c r="B1557" s="380" t="n">
        <x:v>2029</x:v>
      </x:c>
      <x:c r="C1557" s="380" t="n">
        <x:v>3</x:v>
      </x:c>
      <x:c r="D1557" s="380" t="str">
        <x:v>Mar</x:v>
      </x:c>
      <x:c r="E1557" s="380" t="n">
        <x:v>31</x:v>
      </x:c>
      <x:c r="F1557" s="380" t="n">
        <x:v>6</x:v>
      </x:c>
      <x:c r="G1557" s="380" t="n">
        <x:f>--(F1557&lt;='Estimator'!$B$7)</x:f>
        <x:v>0</x:v>
      </x:c>
      <x:c r="H1557" s="381" t="n">
        <x:f>SUMIFS('Climate Data'!$G$7:$G$366,'Climate Data'!$A$7:$A$366,'Estimator'!$B$4,'Climate Data'!$B$7:$B$366,C1557)</x:f>
        <x:v>0.24916573971078979</x:v>
      </x:c>
      <x:c r="I1557" s="382" t="n">
        <x:f>SUMIFS('Climate Data'!$H$7:$H$366,'Climate Data'!$A$7:$A$366,'Estimator'!$B$4,'Climate Data'!$B$7:$B$366,C1557)</x:f>
        <x:v>9.709821428571429</x:v>
      </x:c>
      <x:c r="J1557" s="381" t="n">
        <x:f>SUMIFS('Wind Proxy'!$H$8:$H$19,'Wind Proxy'!$A$8:$A$19,'Estimator'!$B$4,'Wind Proxy'!$B$8:$B$19,C1557)</x:f>
        <x:v>0.11350059737156513</x:v>
      </x:c>
    </x:row>
    <x:row r="1558">
      <x:c r="A1558" s="379" t="n">
        <x:v>47209</x:v>
      </x:c>
      <x:c r="B1558" s="380" t="n">
        <x:v>2029</x:v>
      </x:c>
      <x:c r="C1558" s="380" t="n">
        <x:v>4</x:v>
      </x:c>
      <x:c r="D1558" s="380" t="str">
        <x:v>Apr</x:v>
      </x:c>
      <x:c r="E1558" s="380" t="n">
        <x:v>1</x:v>
      </x:c>
      <x:c r="F1558" s="380" t="n">
        <x:v>7</x:v>
      </x:c>
      <x:c r="G1558" s="380" t="n">
        <x:f>--(F1558&lt;='Estimator'!$B$7)</x:f>
        <x:v>0</x:v>
      </x:c>
      <x:c r="H1558" s="381" t="n">
        <x:f>SUMIFS('Climate Data'!$G$7:$G$366,'Climate Data'!$A$7:$A$366,'Estimator'!$B$4,'Climate Data'!$B$7:$B$366,C1558)</x:f>
        <x:v>0.32023809523809527</x:v>
      </x:c>
      <x:c r="I1558" s="382" t="n">
        <x:f>SUMIFS('Climate Data'!$H$7:$H$366,'Climate Data'!$A$7:$A$366,'Estimator'!$B$4,'Climate Data'!$B$7:$B$366,C1558)</x:f>
        <x:v>9.066171003717471</x:v>
      </x:c>
      <x:c r="J1558" s="381" t="n">
        <x:f>SUMIFS('Wind Proxy'!$H$8:$H$19,'Wind Proxy'!$A$8:$A$19,'Estimator'!$B$4,'Wind Proxy'!$B$8:$B$19,C1558)</x:f>
        <x:v>0.11728395061728397</x:v>
      </x:c>
    </x:row>
    <x:row r="1559">
      <x:c r="A1559" s="379" t="n">
        <x:v>47210</x:v>
      </x:c>
      <x:c r="B1559" s="380" t="n">
        <x:v>2029</x:v>
      </x:c>
      <x:c r="C1559" s="380" t="n">
        <x:v>4</x:v>
      </x:c>
      <x:c r="D1559" s="380" t="str">
        <x:v>Apr</x:v>
      </x:c>
      <x:c r="E1559" s="380" t="n">
        <x:v>2</x:v>
      </x:c>
      <x:c r="F1559" s="380" t="n">
        <x:v>1</x:v>
      </x:c>
      <x:c r="G1559" s="380" t="n">
        <x:f>--(F1559&lt;='Estimator'!$B$7)</x:f>
        <x:v>1</x:v>
      </x:c>
      <x:c r="H1559" s="381" t="n">
        <x:f>SUMIFS('Climate Data'!$G$7:$G$366,'Climate Data'!$A$7:$A$366,'Estimator'!$B$4,'Climate Data'!$B$7:$B$366,C1559)</x:f>
        <x:v>0.32023809523809527</x:v>
      </x:c>
      <x:c r="I1559" s="382" t="n">
        <x:f>SUMIFS('Climate Data'!$H$7:$H$366,'Climate Data'!$A$7:$A$366,'Estimator'!$B$4,'Climate Data'!$B$7:$B$366,C1559)</x:f>
        <x:v>9.066171003717471</x:v>
      </x:c>
      <x:c r="J1559" s="381" t="n">
        <x:f>SUMIFS('Wind Proxy'!$H$8:$H$19,'Wind Proxy'!$A$8:$A$19,'Estimator'!$B$4,'Wind Proxy'!$B$8:$B$19,C1559)</x:f>
        <x:v>0.11728395061728397</x:v>
      </x:c>
    </x:row>
    <x:row r="1560">
      <x:c r="A1560" s="379" t="n">
        <x:v>47211</x:v>
      </x:c>
      <x:c r="B1560" s="380" t="n">
        <x:v>2029</x:v>
      </x:c>
      <x:c r="C1560" s="380" t="n">
        <x:v>4</x:v>
      </x:c>
      <x:c r="D1560" s="380" t="str">
        <x:v>Apr</x:v>
      </x:c>
      <x:c r="E1560" s="380" t="n">
        <x:v>3</x:v>
      </x:c>
      <x:c r="F1560" s="380" t="n">
        <x:v>2</x:v>
      </x:c>
      <x:c r="G1560" s="380" t="n">
        <x:f>--(F1560&lt;='Estimator'!$B$7)</x:f>
        <x:v>1</x:v>
      </x:c>
      <x:c r="H1560" s="381" t="n">
        <x:f>SUMIFS('Climate Data'!$G$7:$G$366,'Climate Data'!$A$7:$A$366,'Estimator'!$B$4,'Climate Data'!$B$7:$B$366,C1560)</x:f>
        <x:v>0.32023809523809527</x:v>
      </x:c>
      <x:c r="I1560" s="382" t="n">
        <x:f>SUMIFS('Climate Data'!$H$7:$H$366,'Climate Data'!$A$7:$A$366,'Estimator'!$B$4,'Climate Data'!$B$7:$B$366,C1560)</x:f>
        <x:v>9.066171003717471</x:v>
      </x:c>
      <x:c r="J1560" s="381" t="n">
        <x:f>SUMIFS('Wind Proxy'!$H$8:$H$19,'Wind Proxy'!$A$8:$A$19,'Estimator'!$B$4,'Wind Proxy'!$B$8:$B$19,C1560)</x:f>
        <x:v>0.11728395061728397</x:v>
      </x:c>
    </x:row>
    <x:row r="1561">
      <x:c r="A1561" s="379" t="n">
        <x:v>47212</x:v>
      </x:c>
      <x:c r="B1561" s="380" t="n">
        <x:v>2029</x:v>
      </x:c>
      <x:c r="C1561" s="380" t="n">
        <x:v>4</x:v>
      </x:c>
      <x:c r="D1561" s="380" t="str">
        <x:v>Apr</x:v>
      </x:c>
      <x:c r="E1561" s="380" t="n">
        <x:v>4</x:v>
      </x:c>
      <x:c r="F1561" s="380" t="n">
        <x:v>3</x:v>
      </x:c>
      <x:c r="G1561" s="380" t="n">
        <x:f>--(F1561&lt;='Estimator'!$B$7)</x:f>
        <x:v>1</x:v>
      </x:c>
      <x:c r="H1561" s="381" t="n">
        <x:f>SUMIFS('Climate Data'!$G$7:$G$366,'Climate Data'!$A$7:$A$366,'Estimator'!$B$4,'Climate Data'!$B$7:$B$366,C1561)</x:f>
        <x:v>0.32023809523809527</x:v>
      </x:c>
      <x:c r="I1561" s="382" t="n">
        <x:f>SUMIFS('Climate Data'!$H$7:$H$366,'Climate Data'!$A$7:$A$366,'Estimator'!$B$4,'Climate Data'!$B$7:$B$366,C1561)</x:f>
        <x:v>9.066171003717471</x:v>
      </x:c>
      <x:c r="J1561" s="381" t="n">
        <x:f>SUMIFS('Wind Proxy'!$H$8:$H$19,'Wind Proxy'!$A$8:$A$19,'Estimator'!$B$4,'Wind Proxy'!$B$8:$B$19,C1561)</x:f>
        <x:v>0.11728395061728397</x:v>
      </x:c>
    </x:row>
    <x:row r="1562">
      <x:c r="A1562" s="379" t="n">
        <x:v>47213</x:v>
      </x:c>
      <x:c r="B1562" s="380" t="n">
        <x:v>2029</x:v>
      </x:c>
      <x:c r="C1562" s="380" t="n">
        <x:v>4</x:v>
      </x:c>
      <x:c r="D1562" s="380" t="str">
        <x:v>Apr</x:v>
      </x:c>
      <x:c r="E1562" s="380" t="n">
        <x:v>5</x:v>
      </x:c>
      <x:c r="F1562" s="380" t="n">
        <x:v>4</x:v>
      </x:c>
      <x:c r="G1562" s="380" t="n">
        <x:f>--(F1562&lt;='Estimator'!$B$7)</x:f>
        <x:v>1</x:v>
      </x:c>
      <x:c r="H1562" s="381" t="n">
        <x:f>SUMIFS('Climate Data'!$G$7:$G$366,'Climate Data'!$A$7:$A$366,'Estimator'!$B$4,'Climate Data'!$B$7:$B$366,C1562)</x:f>
        <x:v>0.32023809523809527</x:v>
      </x:c>
      <x:c r="I1562" s="382" t="n">
        <x:f>SUMIFS('Climate Data'!$H$7:$H$366,'Climate Data'!$A$7:$A$366,'Estimator'!$B$4,'Climate Data'!$B$7:$B$366,C1562)</x:f>
        <x:v>9.066171003717471</x:v>
      </x:c>
      <x:c r="J1562" s="381" t="n">
        <x:f>SUMIFS('Wind Proxy'!$H$8:$H$19,'Wind Proxy'!$A$8:$A$19,'Estimator'!$B$4,'Wind Proxy'!$B$8:$B$19,C1562)</x:f>
        <x:v>0.11728395061728397</x:v>
      </x:c>
    </x:row>
    <x:row r="1563">
      <x:c r="A1563" s="379" t="n">
        <x:v>47214</x:v>
      </x:c>
      <x:c r="B1563" s="380" t="n">
        <x:v>2029</x:v>
      </x:c>
      <x:c r="C1563" s="380" t="n">
        <x:v>4</x:v>
      </x:c>
      <x:c r="D1563" s="380" t="str">
        <x:v>Apr</x:v>
      </x:c>
      <x:c r="E1563" s="380" t="n">
        <x:v>6</x:v>
      </x:c>
      <x:c r="F1563" s="380" t="n">
        <x:v>5</x:v>
      </x:c>
      <x:c r="G1563" s="380" t="n">
        <x:f>--(F1563&lt;='Estimator'!$B$7)</x:f>
        <x:v>1</x:v>
      </x:c>
      <x:c r="H1563" s="381" t="n">
        <x:f>SUMIFS('Climate Data'!$G$7:$G$366,'Climate Data'!$A$7:$A$366,'Estimator'!$B$4,'Climate Data'!$B$7:$B$366,C1563)</x:f>
        <x:v>0.32023809523809527</x:v>
      </x:c>
      <x:c r="I1563" s="382" t="n">
        <x:f>SUMIFS('Climate Data'!$H$7:$H$366,'Climate Data'!$A$7:$A$366,'Estimator'!$B$4,'Climate Data'!$B$7:$B$366,C1563)</x:f>
        <x:v>9.066171003717471</x:v>
      </x:c>
      <x:c r="J1563" s="381" t="n">
        <x:f>SUMIFS('Wind Proxy'!$H$8:$H$19,'Wind Proxy'!$A$8:$A$19,'Estimator'!$B$4,'Wind Proxy'!$B$8:$B$19,C1563)</x:f>
        <x:v>0.11728395061728397</x:v>
      </x:c>
    </x:row>
    <x:row r="1564">
      <x:c r="A1564" s="379" t="n">
        <x:v>47215</x:v>
      </x:c>
      <x:c r="B1564" s="380" t="n">
        <x:v>2029</x:v>
      </x:c>
      <x:c r="C1564" s="380" t="n">
        <x:v>4</x:v>
      </x:c>
      <x:c r="D1564" s="380" t="str">
        <x:v>Apr</x:v>
      </x:c>
      <x:c r="E1564" s="380" t="n">
        <x:v>7</x:v>
      </x:c>
      <x:c r="F1564" s="380" t="n">
        <x:v>6</x:v>
      </x:c>
      <x:c r="G1564" s="380" t="n">
        <x:f>--(F1564&lt;='Estimator'!$B$7)</x:f>
        <x:v>0</x:v>
      </x:c>
      <x:c r="H1564" s="381" t="n">
        <x:f>SUMIFS('Climate Data'!$G$7:$G$366,'Climate Data'!$A$7:$A$366,'Estimator'!$B$4,'Climate Data'!$B$7:$B$366,C1564)</x:f>
        <x:v>0.32023809523809527</x:v>
      </x:c>
      <x:c r="I1564" s="382" t="n">
        <x:f>SUMIFS('Climate Data'!$H$7:$H$366,'Climate Data'!$A$7:$A$366,'Estimator'!$B$4,'Climate Data'!$B$7:$B$366,C1564)</x:f>
        <x:v>9.066171003717471</x:v>
      </x:c>
      <x:c r="J1564" s="381" t="n">
        <x:f>SUMIFS('Wind Proxy'!$H$8:$H$19,'Wind Proxy'!$A$8:$A$19,'Estimator'!$B$4,'Wind Proxy'!$B$8:$B$19,C1564)</x:f>
        <x:v>0.11728395061728397</x:v>
      </x:c>
    </x:row>
    <x:row r="1565">
      <x:c r="A1565" s="379" t="n">
        <x:v>47216</x:v>
      </x:c>
      <x:c r="B1565" s="380" t="n">
        <x:v>2029</x:v>
      </x:c>
      <x:c r="C1565" s="380" t="n">
        <x:v>4</x:v>
      </x:c>
      <x:c r="D1565" s="380" t="str">
        <x:v>Apr</x:v>
      </x:c>
      <x:c r="E1565" s="380" t="n">
        <x:v>8</x:v>
      </x:c>
      <x:c r="F1565" s="380" t="n">
        <x:v>7</x:v>
      </x:c>
      <x:c r="G1565" s="380" t="n">
        <x:f>--(F1565&lt;='Estimator'!$B$7)</x:f>
        <x:v>0</x:v>
      </x:c>
      <x:c r="H1565" s="381" t="n">
        <x:f>SUMIFS('Climate Data'!$G$7:$G$366,'Climate Data'!$A$7:$A$366,'Estimator'!$B$4,'Climate Data'!$B$7:$B$366,C1565)</x:f>
        <x:v>0.32023809523809527</x:v>
      </x:c>
      <x:c r="I1565" s="382" t="n">
        <x:f>SUMIFS('Climate Data'!$H$7:$H$366,'Climate Data'!$A$7:$A$366,'Estimator'!$B$4,'Climate Data'!$B$7:$B$366,C1565)</x:f>
        <x:v>9.066171003717471</x:v>
      </x:c>
      <x:c r="J1565" s="381" t="n">
        <x:f>SUMIFS('Wind Proxy'!$H$8:$H$19,'Wind Proxy'!$A$8:$A$19,'Estimator'!$B$4,'Wind Proxy'!$B$8:$B$19,C1565)</x:f>
        <x:v>0.11728395061728397</x:v>
      </x:c>
    </x:row>
    <x:row r="1566">
      <x:c r="A1566" s="379" t="n">
        <x:v>47217</x:v>
      </x:c>
      <x:c r="B1566" s="380" t="n">
        <x:v>2029</x:v>
      </x:c>
      <x:c r="C1566" s="380" t="n">
        <x:v>4</x:v>
      </x:c>
      <x:c r="D1566" s="380" t="str">
        <x:v>Apr</x:v>
      </x:c>
      <x:c r="E1566" s="380" t="n">
        <x:v>9</x:v>
      </x:c>
      <x:c r="F1566" s="380" t="n">
        <x:v>1</x:v>
      </x:c>
      <x:c r="G1566" s="380" t="n">
        <x:f>--(F1566&lt;='Estimator'!$B$7)</x:f>
        <x:v>1</x:v>
      </x:c>
      <x:c r="H1566" s="381" t="n">
        <x:f>SUMIFS('Climate Data'!$G$7:$G$366,'Climate Data'!$A$7:$A$366,'Estimator'!$B$4,'Climate Data'!$B$7:$B$366,C1566)</x:f>
        <x:v>0.32023809523809527</x:v>
      </x:c>
      <x:c r="I1566" s="382" t="n">
        <x:f>SUMIFS('Climate Data'!$H$7:$H$366,'Climate Data'!$A$7:$A$366,'Estimator'!$B$4,'Climate Data'!$B$7:$B$366,C1566)</x:f>
        <x:v>9.066171003717471</x:v>
      </x:c>
      <x:c r="J1566" s="381" t="n">
        <x:f>SUMIFS('Wind Proxy'!$H$8:$H$19,'Wind Proxy'!$A$8:$A$19,'Estimator'!$B$4,'Wind Proxy'!$B$8:$B$19,C1566)</x:f>
        <x:v>0.11728395061728397</x:v>
      </x:c>
    </x:row>
    <x:row r="1567">
      <x:c r="A1567" s="379" t="n">
        <x:v>47218</x:v>
      </x:c>
      <x:c r="B1567" s="380" t="n">
        <x:v>2029</x:v>
      </x:c>
      <x:c r="C1567" s="380" t="n">
        <x:v>4</x:v>
      </x:c>
      <x:c r="D1567" s="380" t="str">
        <x:v>Apr</x:v>
      </x:c>
      <x:c r="E1567" s="380" t="n">
        <x:v>10</x:v>
      </x:c>
      <x:c r="F1567" s="380" t="n">
        <x:v>2</x:v>
      </x:c>
      <x:c r="G1567" s="380" t="n">
        <x:f>--(F1567&lt;='Estimator'!$B$7)</x:f>
        <x:v>1</x:v>
      </x:c>
      <x:c r="H1567" s="381" t="n">
        <x:f>SUMIFS('Climate Data'!$G$7:$G$366,'Climate Data'!$A$7:$A$366,'Estimator'!$B$4,'Climate Data'!$B$7:$B$366,C1567)</x:f>
        <x:v>0.32023809523809527</x:v>
      </x:c>
      <x:c r="I1567" s="382" t="n">
        <x:f>SUMIFS('Climate Data'!$H$7:$H$366,'Climate Data'!$A$7:$A$366,'Estimator'!$B$4,'Climate Data'!$B$7:$B$366,C1567)</x:f>
        <x:v>9.066171003717471</x:v>
      </x:c>
      <x:c r="J1567" s="381" t="n">
        <x:f>SUMIFS('Wind Proxy'!$H$8:$H$19,'Wind Proxy'!$A$8:$A$19,'Estimator'!$B$4,'Wind Proxy'!$B$8:$B$19,C1567)</x:f>
        <x:v>0.11728395061728397</x:v>
      </x:c>
    </x:row>
    <x:row r="1568">
      <x:c r="A1568" s="379" t="n">
        <x:v>47219</x:v>
      </x:c>
      <x:c r="B1568" s="380" t="n">
        <x:v>2029</x:v>
      </x:c>
      <x:c r="C1568" s="380" t="n">
        <x:v>4</x:v>
      </x:c>
      <x:c r="D1568" s="380" t="str">
        <x:v>Apr</x:v>
      </x:c>
      <x:c r="E1568" s="380" t="n">
        <x:v>11</x:v>
      </x:c>
      <x:c r="F1568" s="380" t="n">
        <x:v>3</x:v>
      </x:c>
      <x:c r="G1568" s="380" t="n">
        <x:f>--(F1568&lt;='Estimator'!$B$7)</x:f>
        <x:v>1</x:v>
      </x:c>
      <x:c r="H1568" s="381" t="n">
        <x:f>SUMIFS('Climate Data'!$G$7:$G$366,'Climate Data'!$A$7:$A$366,'Estimator'!$B$4,'Climate Data'!$B$7:$B$366,C1568)</x:f>
        <x:v>0.32023809523809527</x:v>
      </x:c>
      <x:c r="I1568" s="382" t="n">
        <x:f>SUMIFS('Climate Data'!$H$7:$H$366,'Climate Data'!$A$7:$A$366,'Estimator'!$B$4,'Climate Data'!$B$7:$B$366,C1568)</x:f>
        <x:v>9.066171003717471</x:v>
      </x:c>
      <x:c r="J1568" s="381" t="n">
        <x:f>SUMIFS('Wind Proxy'!$H$8:$H$19,'Wind Proxy'!$A$8:$A$19,'Estimator'!$B$4,'Wind Proxy'!$B$8:$B$19,C1568)</x:f>
        <x:v>0.11728395061728397</x:v>
      </x:c>
    </x:row>
    <x:row r="1569">
      <x:c r="A1569" s="379" t="n">
        <x:v>47220</x:v>
      </x:c>
      <x:c r="B1569" s="380" t="n">
        <x:v>2029</x:v>
      </x:c>
      <x:c r="C1569" s="380" t="n">
        <x:v>4</x:v>
      </x:c>
      <x:c r="D1569" s="380" t="str">
        <x:v>Apr</x:v>
      </x:c>
      <x:c r="E1569" s="380" t="n">
        <x:v>12</x:v>
      </x:c>
      <x:c r="F1569" s="380" t="n">
        <x:v>4</x:v>
      </x:c>
      <x:c r="G1569" s="380" t="n">
        <x:f>--(F1569&lt;='Estimator'!$B$7)</x:f>
        <x:v>1</x:v>
      </x:c>
      <x:c r="H1569" s="381" t="n">
        <x:f>SUMIFS('Climate Data'!$G$7:$G$366,'Climate Data'!$A$7:$A$366,'Estimator'!$B$4,'Climate Data'!$B$7:$B$366,C1569)</x:f>
        <x:v>0.32023809523809527</x:v>
      </x:c>
      <x:c r="I1569" s="382" t="n">
        <x:f>SUMIFS('Climate Data'!$H$7:$H$366,'Climate Data'!$A$7:$A$366,'Estimator'!$B$4,'Climate Data'!$B$7:$B$366,C1569)</x:f>
        <x:v>9.066171003717471</x:v>
      </x:c>
      <x:c r="J1569" s="381" t="n">
        <x:f>SUMIFS('Wind Proxy'!$H$8:$H$19,'Wind Proxy'!$A$8:$A$19,'Estimator'!$B$4,'Wind Proxy'!$B$8:$B$19,C1569)</x:f>
        <x:v>0.11728395061728397</x:v>
      </x:c>
    </x:row>
    <x:row r="1570">
      <x:c r="A1570" s="379" t="n">
        <x:v>47221</x:v>
      </x:c>
      <x:c r="B1570" s="380" t="n">
        <x:v>2029</x:v>
      </x:c>
      <x:c r="C1570" s="380" t="n">
        <x:v>4</x:v>
      </x:c>
      <x:c r="D1570" s="380" t="str">
        <x:v>Apr</x:v>
      </x:c>
      <x:c r="E1570" s="380" t="n">
        <x:v>13</x:v>
      </x:c>
      <x:c r="F1570" s="380" t="n">
        <x:v>5</x:v>
      </x:c>
      <x:c r="G1570" s="380" t="n">
        <x:f>--(F1570&lt;='Estimator'!$B$7)</x:f>
        <x:v>1</x:v>
      </x:c>
      <x:c r="H1570" s="381" t="n">
        <x:f>SUMIFS('Climate Data'!$G$7:$G$366,'Climate Data'!$A$7:$A$366,'Estimator'!$B$4,'Climate Data'!$B$7:$B$366,C1570)</x:f>
        <x:v>0.32023809523809527</x:v>
      </x:c>
      <x:c r="I1570" s="382" t="n">
        <x:f>SUMIFS('Climate Data'!$H$7:$H$366,'Climate Data'!$A$7:$A$366,'Estimator'!$B$4,'Climate Data'!$B$7:$B$366,C1570)</x:f>
        <x:v>9.066171003717471</x:v>
      </x:c>
      <x:c r="J1570" s="381" t="n">
        <x:f>SUMIFS('Wind Proxy'!$H$8:$H$19,'Wind Proxy'!$A$8:$A$19,'Estimator'!$B$4,'Wind Proxy'!$B$8:$B$19,C1570)</x:f>
        <x:v>0.11728395061728397</x:v>
      </x:c>
    </x:row>
    <x:row r="1571">
      <x:c r="A1571" s="379" t="n">
        <x:v>47222</x:v>
      </x:c>
      <x:c r="B1571" s="380" t="n">
        <x:v>2029</x:v>
      </x:c>
      <x:c r="C1571" s="380" t="n">
        <x:v>4</x:v>
      </x:c>
      <x:c r="D1571" s="380" t="str">
        <x:v>Apr</x:v>
      </x:c>
      <x:c r="E1571" s="380" t="n">
        <x:v>14</x:v>
      </x:c>
      <x:c r="F1571" s="380" t="n">
        <x:v>6</x:v>
      </x:c>
      <x:c r="G1571" s="380" t="n">
        <x:f>--(F1571&lt;='Estimator'!$B$7)</x:f>
        <x:v>0</x:v>
      </x:c>
      <x:c r="H1571" s="381" t="n">
        <x:f>SUMIFS('Climate Data'!$G$7:$G$366,'Climate Data'!$A$7:$A$366,'Estimator'!$B$4,'Climate Data'!$B$7:$B$366,C1571)</x:f>
        <x:v>0.32023809523809527</x:v>
      </x:c>
      <x:c r="I1571" s="382" t="n">
        <x:f>SUMIFS('Climate Data'!$H$7:$H$366,'Climate Data'!$A$7:$A$366,'Estimator'!$B$4,'Climate Data'!$B$7:$B$366,C1571)</x:f>
        <x:v>9.066171003717471</x:v>
      </x:c>
      <x:c r="J1571" s="381" t="n">
        <x:f>SUMIFS('Wind Proxy'!$H$8:$H$19,'Wind Proxy'!$A$8:$A$19,'Estimator'!$B$4,'Wind Proxy'!$B$8:$B$19,C1571)</x:f>
        <x:v>0.11728395061728397</x:v>
      </x:c>
    </x:row>
    <x:row r="1572">
      <x:c r="A1572" s="379" t="n">
        <x:v>47223</x:v>
      </x:c>
      <x:c r="B1572" s="380" t="n">
        <x:v>2029</x:v>
      </x:c>
      <x:c r="C1572" s="380" t="n">
        <x:v>4</x:v>
      </x:c>
      <x:c r="D1572" s="380" t="str">
        <x:v>Apr</x:v>
      </x:c>
      <x:c r="E1572" s="380" t="n">
        <x:v>15</x:v>
      </x:c>
      <x:c r="F1572" s="380" t="n">
        <x:v>7</x:v>
      </x:c>
      <x:c r="G1572" s="380" t="n">
        <x:f>--(F1572&lt;='Estimator'!$B$7)</x:f>
        <x:v>0</x:v>
      </x:c>
      <x:c r="H1572" s="381" t="n">
        <x:f>SUMIFS('Climate Data'!$G$7:$G$366,'Climate Data'!$A$7:$A$366,'Estimator'!$B$4,'Climate Data'!$B$7:$B$366,C1572)</x:f>
        <x:v>0.32023809523809527</x:v>
      </x:c>
      <x:c r="I1572" s="382" t="n">
        <x:f>SUMIFS('Climate Data'!$H$7:$H$366,'Climate Data'!$A$7:$A$366,'Estimator'!$B$4,'Climate Data'!$B$7:$B$366,C1572)</x:f>
        <x:v>9.066171003717471</x:v>
      </x:c>
      <x:c r="J1572" s="381" t="n">
        <x:f>SUMIFS('Wind Proxy'!$H$8:$H$19,'Wind Proxy'!$A$8:$A$19,'Estimator'!$B$4,'Wind Proxy'!$B$8:$B$19,C1572)</x:f>
        <x:v>0.11728395061728397</x:v>
      </x:c>
    </x:row>
    <x:row r="1573">
      <x:c r="A1573" s="379" t="n">
        <x:v>47224</x:v>
      </x:c>
      <x:c r="B1573" s="380" t="n">
        <x:v>2029</x:v>
      </x:c>
      <x:c r="C1573" s="380" t="n">
        <x:v>4</x:v>
      </x:c>
      <x:c r="D1573" s="380" t="str">
        <x:v>Apr</x:v>
      </x:c>
      <x:c r="E1573" s="380" t="n">
        <x:v>16</x:v>
      </x:c>
      <x:c r="F1573" s="380" t="n">
        <x:v>1</x:v>
      </x:c>
      <x:c r="G1573" s="380" t="n">
        <x:f>--(F1573&lt;='Estimator'!$B$7)</x:f>
        <x:v>1</x:v>
      </x:c>
      <x:c r="H1573" s="381" t="n">
        <x:f>SUMIFS('Climate Data'!$G$7:$G$366,'Climate Data'!$A$7:$A$366,'Estimator'!$B$4,'Climate Data'!$B$7:$B$366,C1573)</x:f>
        <x:v>0.32023809523809527</x:v>
      </x:c>
      <x:c r="I1573" s="382" t="n">
        <x:f>SUMIFS('Climate Data'!$H$7:$H$366,'Climate Data'!$A$7:$A$366,'Estimator'!$B$4,'Climate Data'!$B$7:$B$366,C1573)</x:f>
        <x:v>9.066171003717471</x:v>
      </x:c>
      <x:c r="J1573" s="381" t="n">
        <x:f>SUMIFS('Wind Proxy'!$H$8:$H$19,'Wind Proxy'!$A$8:$A$19,'Estimator'!$B$4,'Wind Proxy'!$B$8:$B$19,C1573)</x:f>
        <x:v>0.11728395061728397</x:v>
      </x:c>
    </x:row>
    <x:row r="1574">
      <x:c r="A1574" s="379" t="n">
        <x:v>47225</x:v>
      </x:c>
      <x:c r="B1574" s="380" t="n">
        <x:v>2029</x:v>
      </x:c>
      <x:c r="C1574" s="380" t="n">
        <x:v>4</x:v>
      </x:c>
      <x:c r="D1574" s="380" t="str">
        <x:v>Apr</x:v>
      </x:c>
      <x:c r="E1574" s="380" t="n">
        <x:v>17</x:v>
      </x:c>
      <x:c r="F1574" s="380" t="n">
        <x:v>2</x:v>
      </x:c>
      <x:c r="G1574" s="380" t="n">
        <x:f>--(F1574&lt;='Estimator'!$B$7)</x:f>
        <x:v>1</x:v>
      </x:c>
      <x:c r="H1574" s="381" t="n">
        <x:f>SUMIFS('Climate Data'!$G$7:$G$366,'Climate Data'!$A$7:$A$366,'Estimator'!$B$4,'Climate Data'!$B$7:$B$366,C1574)</x:f>
        <x:v>0.32023809523809527</x:v>
      </x:c>
      <x:c r="I1574" s="382" t="n">
        <x:f>SUMIFS('Climate Data'!$H$7:$H$366,'Climate Data'!$A$7:$A$366,'Estimator'!$B$4,'Climate Data'!$B$7:$B$366,C1574)</x:f>
        <x:v>9.066171003717471</x:v>
      </x:c>
      <x:c r="J1574" s="381" t="n">
        <x:f>SUMIFS('Wind Proxy'!$H$8:$H$19,'Wind Proxy'!$A$8:$A$19,'Estimator'!$B$4,'Wind Proxy'!$B$8:$B$19,C1574)</x:f>
        <x:v>0.11728395061728397</x:v>
      </x:c>
    </x:row>
    <x:row r="1575">
      <x:c r="A1575" s="379" t="n">
        <x:v>47226</x:v>
      </x:c>
      <x:c r="B1575" s="380" t="n">
        <x:v>2029</x:v>
      </x:c>
      <x:c r="C1575" s="380" t="n">
        <x:v>4</x:v>
      </x:c>
      <x:c r="D1575" s="380" t="str">
        <x:v>Apr</x:v>
      </x:c>
      <x:c r="E1575" s="380" t="n">
        <x:v>18</x:v>
      </x:c>
      <x:c r="F1575" s="380" t="n">
        <x:v>3</x:v>
      </x:c>
      <x:c r="G1575" s="380" t="n">
        <x:f>--(F1575&lt;='Estimator'!$B$7)</x:f>
        <x:v>1</x:v>
      </x:c>
      <x:c r="H1575" s="381" t="n">
        <x:f>SUMIFS('Climate Data'!$G$7:$G$366,'Climate Data'!$A$7:$A$366,'Estimator'!$B$4,'Climate Data'!$B$7:$B$366,C1575)</x:f>
        <x:v>0.32023809523809527</x:v>
      </x:c>
      <x:c r="I1575" s="382" t="n">
        <x:f>SUMIFS('Climate Data'!$H$7:$H$366,'Climate Data'!$A$7:$A$366,'Estimator'!$B$4,'Climate Data'!$B$7:$B$366,C1575)</x:f>
        <x:v>9.066171003717471</x:v>
      </x:c>
      <x:c r="J1575" s="381" t="n">
        <x:f>SUMIFS('Wind Proxy'!$H$8:$H$19,'Wind Proxy'!$A$8:$A$19,'Estimator'!$B$4,'Wind Proxy'!$B$8:$B$19,C1575)</x:f>
        <x:v>0.11728395061728397</x:v>
      </x:c>
    </x:row>
    <x:row r="1576">
      <x:c r="A1576" s="379" t="n">
        <x:v>47227</x:v>
      </x:c>
      <x:c r="B1576" s="380" t="n">
        <x:v>2029</x:v>
      </x:c>
      <x:c r="C1576" s="380" t="n">
        <x:v>4</x:v>
      </x:c>
      <x:c r="D1576" s="380" t="str">
        <x:v>Apr</x:v>
      </x:c>
      <x:c r="E1576" s="380" t="n">
        <x:v>19</x:v>
      </x:c>
      <x:c r="F1576" s="380" t="n">
        <x:v>4</x:v>
      </x:c>
      <x:c r="G1576" s="380" t="n">
        <x:f>--(F1576&lt;='Estimator'!$B$7)</x:f>
        <x:v>1</x:v>
      </x:c>
      <x:c r="H1576" s="381" t="n">
        <x:f>SUMIFS('Climate Data'!$G$7:$G$366,'Climate Data'!$A$7:$A$366,'Estimator'!$B$4,'Climate Data'!$B$7:$B$366,C1576)</x:f>
        <x:v>0.32023809523809527</x:v>
      </x:c>
      <x:c r="I1576" s="382" t="n">
        <x:f>SUMIFS('Climate Data'!$H$7:$H$366,'Climate Data'!$A$7:$A$366,'Estimator'!$B$4,'Climate Data'!$B$7:$B$366,C1576)</x:f>
        <x:v>9.066171003717471</x:v>
      </x:c>
      <x:c r="J1576" s="381" t="n">
        <x:f>SUMIFS('Wind Proxy'!$H$8:$H$19,'Wind Proxy'!$A$8:$A$19,'Estimator'!$B$4,'Wind Proxy'!$B$8:$B$19,C1576)</x:f>
        <x:v>0.11728395061728397</x:v>
      </x:c>
    </x:row>
    <x:row r="1577">
      <x:c r="A1577" s="379" t="n">
        <x:v>47228</x:v>
      </x:c>
      <x:c r="B1577" s="380" t="n">
        <x:v>2029</x:v>
      </x:c>
      <x:c r="C1577" s="380" t="n">
        <x:v>4</x:v>
      </x:c>
      <x:c r="D1577" s="380" t="str">
        <x:v>Apr</x:v>
      </x:c>
      <x:c r="E1577" s="380" t="n">
        <x:v>20</x:v>
      </x:c>
      <x:c r="F1577" s="380" t="n">
        <x:v>5</x:v>
      </x:c>
      <x:c r="G1577" s="380" t="n">
        <x:f>--(F1577&lt;='Estimator'!$B$7)</x:f>
        <x:v>1</x:v>
      </x:c>
      <x:c r="H1577" s="381" t="n">
        <x:f>SUMIFS('Climate Data'!$G$7:$G$366,'Climate Data'!$A$7:$A$366,'Estimator'!$B$4,'Climate Data'!$B$7:$B$366,C1577)</x:f>
        <x:v>0.32023809523809527</x:v>
      </x:c>
      <x:c r="I1577" s="382" t="n">
        <x:f>SUMIFS('Climate Data'!$H$7:$H$366,'Climate Data'!$A$7:$A$366,'Estimator'!$B$4,'Climate Data'!$B$7:$B$366,C1577)</x:f>
        <x:v>9.066171003717471</x:v>
      </x:c>
      <x:c r="J1577" s="381" t="n">
        <x:f>SUMIFS('Wind Proxy'!$H$8:$H$19,'Wind Proxy'!$A$8:$A$19,'Estimator'!$B$4,'Wind Proxy'!$B$8:$B$19,C1577)</x:f>
        <x:v>0.11728395061728397</x:v>
      </x:c>
    </x:row>
    <x:row r="1578">
      <x:c r="A1578" s="379" t="n">
        <x:v>47229</x:v>
      </x:c>
      <x:c r="B1578" s="380" t="n">
        <x:v>2029</x:v>
      </x:c>
      <x:c r="C1578" s="380" t="n">
        <x:v>4</x:v>
      </x:c>
      <x:c r="D1578" s="380" t="str">
        <x:v>Apr</x:v>
      </x:c>
      <x:c r="E1578" s="380" t="n">
        <x:v>21</x:v>
      </x:c>
      <x:c r="F1578" s="380" t="n">
        <x:v>6</x:v>
      </x:c>
      <x:c r="G1578" s="380" t="n">
        <x:f>--(F1578&lt;='Estimator'!$B$7)</x:f>
        <x:v>0</x:v>
      </x:c>
      <x:c r="H1578" s="381" t="n">
        <x:f>SUMIFS('Climate Data'!$G$7:$G$366,'Climate Data'!$A$7:$A$366,'Estimator'!$B$4,'Climate Data'!$B$7:$B$366,C1578)</x:f>
        <x:v>0.32023809523809527</x:v>
      </x:c>
      <x:c r="I1578" s="382" t="n">
        <x:f>SUMIFS('Climate Data'!$H$7:$H$366,'Climate Data'!$A$7:$A$366,'Estimator'!$B$4,'Climate Data'!$B$7:$B$366,C1578)</x:f>
        <x:v>9.066171003717471</x:v>
      </x:c>
      <x:c r="J1578" s="381" t="n">
        <x:f>SUMIFS('Wind Proxy'!$H$8:$H$19,'Wind Proxy'!$A$8:$A$19,'Estimator'!$B$4,'Wind Proxy'!$B$8:$B$19,C1578)</x:f>
        <x:v>0.11728395061728397</x:v>
      </x:c>
    </x:row>
    <x:row r="1579">
      <x:c r="A1579" s="379" t="n">
        <x:v>47230</x:v>
      </x:c>
      <x:c r="B1579" s="380" t="n">
        <x:v>2029</x:v>
      </x:c>
      <x:c r="C1579" s="380" t="n">
        <x:v>4</x:v>
      </x:c>
      <x:c r="D1579" s="380" t="str">
        <x:v>Apr</x:v>
      </x:c>
      <x:c r="E1579" s="380" t="n">
        <x:v>22</x:v>
      </x:c>
      <x:c r="F1579" s="380" t="n">
        <x:v>7</x:v>
      </x:c>
      <x:c r="G1579" s="380" t="n">
        <x:f>--(F1579&lt;='Estimator'!$B$7)</x:f>
        <x:v>0</x:v>
      </x:c>
      <x:c r="H1579" s="381" t="n">
        <x:f>SUMIFS('Climate Data'!$G$7:$G$366,'Climate Data'!$A$7:$A$366,'Estimator'!$B$4,'Climate Data'!$B$7:$B$366,C1579)</x:f>
        <x:v>0.32023809523809527</x:v>
      </x:c>
      <x:c r="I1579" s="382" t="n">
        <x:f>SUMIFS('Climate Data'!$H$7:$H$366,'Climate Data'!$A$7:$A$366,'Estimator'!$B$4,'Climate Data'!$B$7:$B$366,C1579)</x:f>
        <x:v>9.066171003717471</x:v>
      </x:c>
      <x:c r="J1579" s="381" t="n">
        <x:f>SUMIFS('Wind Proxy'!$H$8:$H$19,'Wind Proxy'!$A$8:$A$19,'Estimator'!$B$4,'Wind Proxy'!$B$8:$B$19,C1579)</x:f>
        <x:v>0.11728395061728397</x:v>
      </x:c>
    </x:row>
    <x:row r="1580">
      <x:c r="A1580" s="379" t="n">
        <x:v>47231</x:v>
      </x:c>
      <x:c r="B1580" s="380" t="n">
        <x:v>2029</x:v>
      </x:c>
      <x:c r="C1580" s="380" t="n">
        <x:v>4</x:v>
      </x:c>
      <x:c r="D1580" s="380" t="str">
        <x:v>Apr</x:v>
      </x:c>
      <x:c r="E1580" s="380" t="n">
        <x:v>23</x:v>
      </x:c>
      <x:c r="F1580" s="380" t="n">
        <x:v>1</x:v>
      </x:c>
      <x:c r="G1580" s="380" t="n">
        <x:f>--(F1580&lt;='Estimator'!$B$7)</x:f>
        <x:v>1</x:v>
      </x:c>
      <x:c r="H1580" s="381" t="n">
        <x:f>SUMIFS('Climate Data'!$G$7:$G$366,'Climate Data'!$A$7:$A$366,'Estimator'!$B$4,'Climate Data'!$B$7:$B$366,C1580)</x:f>
        <x:v>0.32023809523809527</x:v>
      </x:c>
      <x:c r="I1580" s="382" t="n">
        <x:f>SUMIFS('Climate Data'!$H$7:$H$366,'Climate Data'!$A$7:$A$366,'Estimator'!$B$4,'Climate Data'!$B$7:$B$366,C1580)</x:f>
        <x:v>9.066171003717471</x:v>
      </x:c>
      <x:c r="J1580" s="381" t="n">
        <x:f>SUMIFS('Wind Proxy'!$H$8:$H$19,'Wind Proxy'!$A$8:$A$19,'Estimator'!$B$4,'Wind Proxy'!$B$8:$B$19,C1580)</x:f>
        <x:v>0.11728395061728397</x:v>
      </x:c>
    </x:row>
    <x:row r="1581">
      <x:c r="A1581" s="379" t="n">
        <x:v>47232</x:v>
      </x:c>
      <x:c r="B1581" s="380" t="n">
        <x:v>2029</x:v>
      </x:c>
      <x:c r="C1581" s="380" t="n">
        <x:v>4</x:v>
      </x:c>
      <x:c r="D1581" s="380" t="str">
        <x:v>Apr</x:v>
      </x:c>
      <x:c r="E1581" s="380" t="n">
        <x:v>24</x:v>
      </x:c>
      <x:c r="F1581" s="380" t="n">
        <x:v>2</x:v>
      </x:c>
      <x:c r="G1581" s="380" t="n">
        <x:f>--(F1581&lt;='Estimator'!$B$7)</x:f>
        <x:v>1</x:v>
      </x:c>
      <x:c r="H1581" s="381" t="n">
        <x:f>SUMIFS('Climate Data'!$G$7:$G$366,'Climate Data'!$A$7:$A$366,'Estimator'!$B$4,'Climate Data'!$B$7:$B$366,C1581)</x:f>
        <x:v>0.32023809523809527</x:v>
      </x:c>
      <x:c r="I1581" s="382" t="n">
        <x:f>SUMIFS('Climate Data'!$H$7:$H$366,'Climate Data'!$A$7:$A$366,'Estimator'!$B$4,'Climate Data'!$B$7:$B$366,C1581)</x:f>
        <x:v>9.066171003717471</x:v>
      </x:c>
      <x:c r="J1581" s="381" t="n">
        <x:f>SUMIFS('Wind Proxy'!$H$8:$H$19,'Wind Proxy'!$A$8:$A$19,'Estimator'!$B$4,'Wind Proxy'!$B$8:$B$19,C1581)</x:f>
        <x:v>0.11728395061728397</x:v>
      </x:c>
    </x:row>
    <x:row r="1582">
      <x:c r="A1582" s="379" t="n">
        <x:v>47233</x:v>
      </x:c>
      <x:c r="B1582" s="380" t="n">
        <x:v>2029</x:v>
      </x:c>
      <x:c r="C1582" s="380" t="n">
        <x:v>4</x:v>
      </x:c>
      <x:c r="D1582" s="380" t="str">
        <x:v>Apr</x:v>
      </x:c>
      <x:c r="E1582" s="380" t="n">
        <x:v>25</x:v>
      </x:c>
      <x:c r="F1582" s="380" t="n">
        <x:v>3</x:v>
      </x:c>
      <x:c r="G1582" s="380" t="n">
        <x:f>--(F1582&lt;='Estimator'!$B$7)</x:f>
        <x:v>1</x:v>
      </x:c>
      <x:c r="H1582" s="381" t="n">
        <x:f>SUMIFS('Climate Data'!$G$7:$G$366,'Climate Data'!$A$7:$A$366,'Estimator'!$B$4,'Climate Data'!$B$7:$B$366,C1582)</x:f>
        <x:v>0.32023809523809527</x:v>
      </x:c>
      <x:c r="I1582" s="382" t="n">
        <x:f>SUMIFS('Climate Data'!$H$7:$H$366,'Climate Data'!$A$7:$A$366,'Estimator'!$B$4,'Climate Data'!$B$7:$B$366,C1582)</x:f>
        <x:v>9.066171003717471</x:v>
      </x:c>
      <x:c r="J1582" s="381" t="n">
        <x:f>SUMIFS('Wind Proxy'!$H$8:$H$19,'Wind Proxy'!$A$8:$A$19,'Estimator'!$B$4,'Wind Proxy'!$B$8:$B$19,C1582)</x:f>
        <x:v>0.11728395061728397</x:v>
      </x:c>
    </x:row>
    <x:row r="1583">
      <x:c r="A1583" s="379" t="n">
        <x:v>47234</x:v>
      </x:c>
      <x:c r="B1583" s="380" t="n">
        <x:v>2029</x:v>
      </x:c>
      <x:c r="C1583" s="380" t="n">
        <x:v>4</x:v>
      </x:c>
      <x:c r="D1583" s="380" t="str">
        <x:v>Apr</x:v>
      </x:c>
      <x:c r="E1583" s="380" t="n">
        <x:v>26</x:v>
      </x:c>
      <x:c r="F1583" s="380" t="n">
        <x:v>4</x:v>
      </x:c>
      <x:c r="G1583" s="380" t="n">
        <x:f>--(F1583&lt;='Estimator'!$B$7)</x:f>
        <x:v>1</x:v>
      </x:c>
      <x:c r="H1583" s="381" t="n">
        <x:f>SUMIFS('Climate Data'!$G$7:$G$366,'Climate Data'!$A$7:$A$366,'Estimator'!$B$4,'Climate Data'!$B$7:$B$366,C1583)</x:f>
        <x:v>0.32023809523809527</x:v>
      </x:c>
      <x:c r="I1583" s="382" t="n">
        <x:f>SUMIFS('Climate Data'!$H$7:$H$366,'Climate Data'!$A$7:$A$366,'Estimator'!$B$4,'Climate Data'!$B$7:$B$366,C1583)</x:f>
        <x:v>9.066171003717471</x:v>
      </x:c>
      <x:c r="J1583" s="381" t="n">
        <x:f>SUMIFS('Wind Proxy'!$H$8:$H$19,'Wind Proxy'!$A$8:$A$19,'Estimator'!$B$4,'Wind Proxy'!$B$8:$B$19,C1583)</x:f>
        <x:v>0.11728395061728397</x:v>
      </x:c>
    </x:row>
    <x:row r="1584">
      <x:c r="A1584" s="379" t="n">
        <x:v>47235</x:v>
      </x:c>
      <x:c r="B1584" s="380" t="n">
        <x:v>2029</x:v>
      </x:c>
      <x:c r="C1584" s="380" t="n">
        <x:v>4</x:v>
      </x:c>
      <x:c r="D1584" s="380" t="str">
        <x:v>Apr</x:v>
      </x:c>
      <x:c r="E1584" s="380" t="n">
        <x:v>27</x:v>
      </x:c>
      <x:c r="F1584" s="380" t="n">
        <x:v>5</x:v>
      </x:c>
      <x:c r="G1584" s="380" t="n">
        <x:f>--(F1584&lt;='Estimator'!$B$7)</x:f>
        <x:v>1</x:v>
      </x:c>
      <x:c r="H1584" s="381" t="n">
        <x:f>SUMIFS('Climate Data'!$G$7:$G$366,'Climate Data'!$A$7:$A$366,'Estimator'!$B$4,'Climate Data'!$B$7:$B$366,C1584)</x:f>
        <x:v>0.32023809523809527</x:v>
      </x:c>
      <x:c r="I1584" s="382" t="n">
        <x:f>SUMIFS('Climate Data'!$H$7:$H$366,'Climate Data'!$A$7:$A$366,'Estimator'!$B$4,'Climate Data'!$B$7:$B$366,C1584)</x:f>
        <x:v>9.066171003717471</x:v>
      </x:c>
      <x:c r="J1584" s="381" t="n">
        <x:f>SUMIFS('Wind Proxy'!$H$8:$H$19,'Wind Proxy'!$A$8:$A$19,'Estimator'!$B$4,'Wind Proxy'!$B$8:$B$19,C1584)</x:f>
        <x:v>0.11728395061728397</x:v>
      </x:c>
    </x:row>
    <x:row r="1585">
      <x:c r="A1585" s="379" t="n">
        <x:v>47236</x:v>
      </x:c>
      <x:c r="B1585" s="380" t="n">
        <x:v>2029</x:v>
      </x:c>
      <x:c r="C1585" s="380" t="n">
        <x:v>4</x:v>
      </x:c>
      <x:c r="D1585" s="380" t="str">
        <x:v>Apr</x:v>
      </x:c>
      <x:c r="E1585" s="380" t="n">
        <x:v>28</x:v>
      </x:c>
      <x:c r="F1585" s="380" t="n">
        <x:v>6</x:v>
      </x:c>
      <x:c r="G1585" s="380" t="n">
        <x:f>--(F1585&lt;='Estimator'!$B$7)</x:f>
        <x:v>0</x:v>
      </x:c>
      <x:c r="H1585" s="381" t="n">
        <x:f>SUMIFS('Climate Data'!$G$7:$G$366,'Climate Data'!$A$7:$A$366,'Estimator'!$B$4,'Climate Data'!$B$7:$B$366,C1585)</x:f>
        <x:v>0.32023809523809527</x:v>
      </x:c>
      <x:c r="I1585" s="382" t="n">
        <x:f>SUMIFS('Climate Data'!$H$7:$H$366,'Climate Data'!$A$7:$A$366,'Estimator'!$B$4,'Climate Data'!$B$7:$B$366,C1585)</x:f>
        <x:v>9.066171003717471</x:v>
      </x:c>
      <x:c r="J1585" s="381" t="n">
        <x:f>SUMIFS('Wind Proxy'!$H$8:$H$19,'Wind Proxy'!$A$8:$A$19,'Estimator'!$B$4,'Wind Proxy'!$B$8:$B$19,C1585)</x:f>
        <x:v>0.11728395061728397</x:v>
      </x:c>
    </x:row>
    <x:row r="1586">
      <x:c r="A1586" s="379" t="n">
        <x:v>47237</x:v>
      </x:c>
      <x:c r="B1586" s="380" t="n">
        <x:v>2029</x:v>
      </x:c>
      <x:c r="C1586" s="380" t="n">
        <x:v>4</x:v>
      </x:c>
      <x:c r="D1586" s="380" t="str">
        <x:v>Apr</x:v>
      </x:c>
      <x:c r="E1586" s="380" t="n">
        <x:v>29</x:v>
      </x:c>
      <x:c r="F1586" s="380" t="n">
        <x:v>7</x:v>
      </x:c>
      <x:c r="G1586" s="380" t="n">
        <x:f>--(F1586&lt;='Estimator'!$B$7)</x:f>
        <x:v>0</x:v>
      </x:c>
      <x:c r="H1586" s="381" t="n">
        <x:f>SUMIFS('Climate Data'!$G$7:$G$366,'Climate Data'!$A$7:$A$366,'Estimator'!$B$4,'Climate Data'!$B$7:$B$366,C1586)</x:f>
        <x:v>0.32023809523809527</x:v>
      </x:c>
      <x:c r="I1586" s="382" t="n">
        <x:f>SUMIFS('Climate Data'!$H$7:$H$366,'Climate Data'!$A$7:$A$366,'Estimator'!$B$4,'Climate Data'!$B$7:$B$366,C1586)</x:f>
        <x:v>9.066171003717471</x:v>
      </x:c>
      <x:c r="J1586" s="381" t="n">
        <x:f>SUMIFS('Wind Proxy'!$H$8:$H$19,'Wind Proxy'!$A$8:$A$19,'Estimator'!$B$4,'Wind Proxy'!$B$8:$B$19,C1586)</x:f>
        <x:v>0.11728395061728397</x:v>
      </x:c>
    </x:row>
    <x:row r="1587">
      <x:c r="A1587" s="379" t="n">
        <x:v>47238</x:v>
      </x:c>
      <x:c r="B1587" s="380" t="n">
        <x:v>2029</x:v>
      </x:c>
      <x:c r="C1587" s="380" t="n">
        <x:v>4</x:v>
      </x:c>
      <x:c r="D1587" s="380" t="str">
        <x:v>Apr</x:v>
      </x:c>
      <x:c r="E1587" s="380" t="n">
        <x:v>30</x:v>
      </x:c>
      <x:c r="F1587" s="380" t="n">
        <x:v>1</x:v>
      </x:c>
      <x:c r="G1587" s="380" t="n">
        <x:f>--(F1587&lt;='Estimator'!$B$7)</x:f>
        <x:v>1</x:v>
      </x:c>
      <x:c r="H1587" s="381" t="n">
        <x:f>SUMIFS('Climate Data'!$G$7:$G$366,'Climate Data'!$A$7:$A$366,'Estimator'!$B$4,'Climate Data'!$B$7:$B$366,C1587)</x:f>
        <x:v>0.32023809523809527</x:v>
      </x:c>
      <x:c r="I1587" s="382" t="n">
        <x:f>SUMIFS('Climate Data'!$H$7:$H$366,'Climate Data'!$A$7:$A$366,'Estimator'!$B$4,'Climate Data'!$B$7:$B$366,C1587)</x:f>
        <x:v>9.066171003717471</x:v>
      </x:c>
      <x:c r="J1587" s="381" t="n">
        <x:f>SUMIFS('Wind Proxy'!$H$8:$H$19,'Wind Proxy'!$A$8:$A$19,'Estimator'!$B$4,'Wind Proxy'!$B$8:$B$19,C1587)</x:f>
        <x:v>0.11728395061728397</x:v>
      </x:c>
    </x:row>
    <x:row r="1588">
      <x:c r="A1588" s="379" t="n">
        <x:v>47239</x:v>
      </x:c>
      <x:c r="B1588" s="380" t="n">
        <x:v>2029</x:v>
      </x:c>
      <x:c r="C1588" s="380" t="n">
        <x:v>5</x:v>
      </x:c>
      <x:c r="D1588" s="380" t="str">
        <x:v>May</x:v>
      </x:c>
      <x:c r="E1588" s="380" t="n">
        <x:v>1</x:v>
      </x:c>
      <x:c r="F1588" s="380" t="n">
        <x:v>2</x:v>
      </x:c>
      <x:c r="G1588" s="380" t="n">
        <x:f>--(F1588&lt;='Estimator'!$B$7)</x:f>
        <x:v>1</x:v>
      </x:c>
      <x:c r="H1588" s="381" t="n">
        <x:f>SUMIFS('Climate Data'!$G$7:$G$366,'Climate Data'!$A$7:$A$366,'Estimator'!$B$4,'Climate Data'!$B$7:$B$366,C1588)</x:f>
        <x:v>0.41935483870967744</x:v>
      </x:c>
      <x:c r="I1588" s="382" t="n">
        <x:f>SUMIFS('Climate Data'!$H$7:$H$366,'Climate Data'!$A$7:$A$366,'Estimator'!$B$4,'Climate Data'!$B$7:$B$366,C1588)</x:f>
        <x:v>9.215384615384615</x:v>
      </x:c>
      <x:c r="J1588" s="381" t="n">
        <x:f>SUMIFS('Wind Proxy'!$H$8:$H$19,'Wind Proxy'!$A$8:$A$19,'Estimator'!$B$4,'Wind Proxy'!$B$8:$B$19,C1588)</x:f>
        <x:v>0.11350059737156513</x:v>
      </x:c>
    </x:row>
    <x:row r="1589">
      <x:c r="A1589" s="379" t="n">
        <x:v>47240</x:v>
      </x:c>
      <x:c r="B1589" s="380" t="n">
        <x:v>2029</x:v>
      </x:c>
      <x:c r="C1589" s="380" t="n">
        <x:v>5</x:v>
      </x:c>
      <x:c r="D1589" s="380" t="str">
        <x:v>May</x:v>
      </x:c>
      <x:c r="E1589" s="380" t="n">
        <x:v>2</x:v>
      </x:c>
      <x:c r="F1589" s="380" t="n">
        <x:v>3</x:v>
      </x:c>
      <x:c r="G1589" s="380" t="n">
        <x:f>--(F1589&lt;='Estimator'!$B$7)</x:f>
        <x:v>1</x:v>
      </x:c>
      <x:c r="H1589" s="381" t="n">
        <x:f>SUMIFS('Climate Data'!$G$7:$G$366,'Climate Data'!$A$7:$A$366,'Estimator'!$B$4,'Climate Data'!$B$7:$B$366,C1589)</x:f>
        <x:v>0.41935483870967744</x:v>
      </x:c>
      <x:c r="I1589" s="382" t="n">
        <x:f>SUMIFS('Climate Data'!$H$7:$H$366,'Climate Data'!$A$7:$A$366,'Estimator'!$B$4,'Climate Data'!$B$7:$B$366,C1589)</x:f>
        <x:v>9.215384615384615</x:v>
      </x:c>
      <x:c r="J1589" s="381" t="n">
        <x:f>SUMIFS('Wind Proxy'!$H$8:$H$19,'Wind Proxy'!$A$8:$A$19,'Estimator'!$B$4,'Wind Proxy'!$B$8:$B$19,C1589)</x:f>
        <x:v>0.11350059737156513</x:v>
      </x:c>
    </x:row>
    <x:row r="1590">
      <x:c r="A1590" s="379" t="n">
        <x:v>47241</x:v>
      </x:c>
      <x:c r="B1590" s="380" t="n">
        <x:v>2029</x:v>
      </x:c>
      <x:c r="C1590" s="380" t="n">
        <x:v>5</x:v>
      </x:c>
      <x:c r="D1590" s="380" t="str">
        <x:v>May</x:v>
      </x:c>
      <x:c r="E1590" s="380" t="n">
        <x:v>3</x:v>
      </x:c>
      <x:c r="F1590" s="380" t="n">
        <x:v>4</x:v>
      </x:c>
      <x:c r="G1590" s="380" t="n">
        <x:f>--(F1590&lt;='Estimator'!$B$7)</x:f>
        <x:v>1</x:v>
      </x:c>
      <x:c r="H1590" s="381" t="n">
        <x:f>SUMIFS('Climate Data'!$G$7:$G$366,'Climate Data'!$A$7:$A$366,'Estimator'!$B$4,'Climate Data'!$B$7:$B$366,C1590)</x:f>
        <x:v>0.41935483870967744</x:v>
      </x:c>
      <x:c r="I1590" s="382" t="n">
        <x:f>SUMIFS('Climate Data'!$H$7:$H$366,'Climate Data'!$A$7:$A$366,'Estimator'!$B$4,'Climate Data'!$B$7:$B$366,C1590)</x:f>
        <x:v>9.215384615384615</x:v>
      </x:c>
      <x:c r="J1590" s="381" t="n">
        <x:f>SUMIFS('Wind Proxy'!$H$8:$H$19,'Wind Proxy'!$A$8:$A$19,'Estimator'!$B$4,'Wind Proxy'!$B$8:$B$19,C1590)</x:f>
        <x:v>0.11350059737156513</x:v>
      </x:c>
    </x:row>
    <x:row r="1591">
      <x:c r="A1591" s="379" t="n">
        <x:v>47242</x:v>
      </x:c>
      <x:c r="B1591" s="380" t="n">
        <x:v>2029</x:v>
      </x:c>
      <x:c r="C1591" s="380" t="n">
        <x:v>5</x:v>
      </x:c>
      <x:c r="D1591" s="380" t="str">
        <x:v>May</x:v>
      </x:c>
      <x:c r="E1591" s="380" t="n">
        <x:v>4</x:v>
      </x:c>
      <x:c r="F1591" s="380" t="n">
        <x:v>5</x:v>
      </x:c>
      <x:c r="G1591" s="380" t="n">
        <x:f>--(F1591&lt;='Estimator'!$B$7)</x:f>
        <x:v>1</x:v>
      </x:c>
      <x:c r="H1591" s="381" t="n">
        <x:f>SUMIFS('Climate Data'!$G$7:$G$366,'Climate Data'!$A$7:$A$366,'Estimator'!$B$4,'Climate Data'!$B$7:$B$366,C1591)</x:f>
        <x:v>0.41935483870967744</x:v>
      </x:c>
      <x:c r="I1591" s="382" t="n">
        <x:f>SUMIFS('Climate Data'!$H$7:$H$366,'Climate Data'!$A$7:$A$366,'Estimator'!$B$4,'Climate Data'!$B$7:$B$366,C1591)</x:f>
        <x:v>9.215384615384615</x:v>
      </x:c>
      <x:c r="J1591" s="381" t="n">
        <x:f>SUMIFS('Wind Proxy'!$H$8:$H$19,'Wind Proxy'!$A$8:$A$19,'Estimator'!$B$4,'Wind Proxy'!$B$8:$B$19,C1591)</x:f>
        <x:v>0.11350059737156513</x:v>
      </x:c>
    </x:row>
    <x:row r="1592">
      <x:c r="A1592" s="379" t="n">
        <x:v>47243</x:v>
      </x:c>
      <x:c r="B1592" s="380" t="n">
        <x:v>2029</x:v>
      </x:c>
      <x:c r="C1592" s="380" t="n">
        <x:v>5</x:v>
      </x:c>
      <x:c r="D1592" s="380" t="str">
        <x:v>May</x:v>
      </x:c>
      <x:c r="E1592" s="380" t="n">
        <x:v>5</x:v>
      </x:c>
      <x:c r="F1592" s="380" t="n">
        <x:v>6</x:v>
      </x:c>
      <x:c r="G1592" s="380" t="n">
        <x:f>--(F1592&lt;='Estimator'!$B$7)</x:f>
        <x:v>0</x:v>
      </x:c>
      <x:c r="H1592" s="381" t="n">
        <x:f>SUMIFS('Climate Data'!$G$7:$G$366,'Climate Data'!$A$7:$A$366,'Estimator'!$B$4,'Climate Data'!$B$7:$B$366,C1592)</x:f>
        <x:v>0.41935483870967744</x:v>
      </x:c>
      <x:c r="I1592" s="382" t="n">
        <x:f>SUMIFS('Climate Data'!$H$7:$H$366,'Climate Data'!$A$7:$A$366,'Estimator'!$B$4,'Climate Data'!$B$7:$B$366,C1592)</x:f>
        <x:v>9.215384615384615</x:v>
      </x:c>
      <x:c r="J1592" s="381" t="n">
        <x:f>SUMIFS('Wind Proxy'!$H$8:$H$19,'Wind Proxy'!$A$8:$A$19,'Estimator'!$B$4,'Wind Proxy'!$B$8:$B$19,C1592)</x:f>
        <x:v>0.11350059737156513</x:v>
      </x:c>
    </x:row>
    <x:row r="1593">
      <x:c r="A1593" s="379" t="n">
        <x:v>47244</x:v>
      </x:c>
      <x:c r="B1593" s="380" t="n">
        <x:v>2029</x:v>
      </x:c>
      <x:c r="C1593" s="380" t="n">
        <x:v>5</x:v>
      </x:c>
      <x:c r="D1593" s="380" t="str">
        <x:v>May</x:v>
      </x:c>
      <x:c r="E1593" s="380" t="n">
        <x:v>6</x:v>
      </x:c>
      <x:c r="F1593" s="380" t="n">
        <x:v>7</x:v>
      </x:c>
      <x:c r="G1593" s="380" t="n">
        <x:f>--(F1593&lt;='Estimator'!$B$7)</x:f>
        <x:v>0</x:v>
      </x:c>
      <x:c r="H1593" s="381" t="n">
        <x:f>SUMIFS('Climate Data'!$G$7:$G$366,'Climate Data'!$A$7:$A$366,'Estimator'!$B$4,'Climate Data'!$B$7:$B$366,C1593)</x:f>
        <x:v>0.41935483870967744</x:v>
      </x:c>
      <x:c r="I1593" s="382" t="n">
        <x:f>SUMIFS('Climate Data'!$H$7:$H$366,'Climate Data'!$A$7:$A$366,'Estimator'!$B$4,'Climate Data'!$B$7:$B$366,C1593)</x:f>
        <x:v>9.215384615384615</x:v>
      </x:c>
      <x:c r="J1593" s="381" t="n">
        <x:f>SUMIFS('Wind Proxy'!$H$8:$H$19,'Wind Proxy'!$A$8:$A$19,'Estimator'!$B$4,'Wind Proxy'!$B$8:$B$19,C1593)</x:f>
        <x:v>0.11350059737156513</x:v>
      </x:c>
    </x:row>
    <x:row r="1594">
      <x:c r="A1594" s="379" t="n">
        <x:v>47245</x:v>
      </x:c>
      <x:c r="B1594" s="380" t="n">
        <x:v>2029</x:v>
      </x:c>
      <x:c r="C1594" s="380" t="n">
        <x:v>5</x:v>
      </x:c>
      <x:c r="D1594" s="380" t="str">
        <x:v>May</x:v>
      </x:c>
      <x:c r="E1594" s="380" t="n">
        <x:v>7</x:v>
      </x:c>
      <x:c r="F1594" s="380" t="n">
        <x:v>1</x:v>
      </x:c>
      <x:c r="G1594" s="380" t="n">
        <x:f>--(F1594&lt;='Estimator'!$B$7)</x:f>
        <x:v>1</x:v>
      </x:c>
      <x:c r="H1594" s="381" t="n">
        <x:f>SUMIFS('Climate Data'!$G$7:$G$366,'Climate Data'!$A$7:$A$366,'Estimator'!$B$4,'Climate Data'!$B$7:$B$366,C1594)</x:f>
        <x:v>0.41935483870967744</x:v>
      </x:c>
      <x:c r="I1594" s="382" t="n">
        <x:f>SUMIFS('Climate Data'!$H$7:$H$366,'Climate Data'!$A$7:$A$366,'Estimator'!$B$4,'Climate Data'!$B$7:$B$366,C1594)</x:f>
        <x:v>9.215384615384615</x:v>
      </x:c>
      <x:c r="J1594" s="381" t="n">
        <x:f>SUMIFS('Wind Proxy'!$H$8:$H$19,'Wind Proxy'!$A$8:$A$19,'Estimator'!$B$4,'Wind Proxy'!$B$8:$B$19,C1594)</x:f>
        <x:v>0.11350059737156513</x:v>
      </x:c>
    </x:row>
    <x:row r="1595">
      <x:c r="A1595" s="379" t="n">
        <x:v>47246</x:v>
      </x:c>
      <x:c r="B1595" s="380" t="n">
        <x:v>2029</x:v>
      </x:c>
      <x:c r="C1595" s="380" t="n">
        <x:v>5</x:v>
      </x:c>
      <x:c r="D1595" s="380" t="str">
        <x:v>May</x:v>
      </x:c>
      <x:c r="E1595" s="380" t="n">
        <x:v>8</x:v>
      </x:c>
      <x:c r="F1595" s="380" t="n">
        <x:v>2</x:v>
      </x:c>
      <x:c r="G1595" s="380" t="n">
        <x:f>--(F1595&lt;='Estimator'!$B$7)</x:f>
        <x:v>1</x:v>
      </x:c>
      <x:c r="H1595" s="381" t="n">
        <x:f>SUMIFS('Climate Data'!$G$7:$G$366,'Climate Data'!$A$7:$A$366,'Estimator'!$B$4,'Climate Data'!$B$7:$B$366,C1595)</x:f>
        <x:v>0.41935483870967744</x:v>
      </x:c>
      <x:c r="I1595" s="382" t="n">
        <x:f>SUMIFS('Climate Data'!$H$7:$H$366,'Climate Data'!$A$7:$A$366,'Estimator'!$B$4,'Climate Data'!$B$7:$B$366,C1595)</x:f>
        <x:v>9.215384615384615</x:v>
      </x:c>
      <x:c r="J1595" s="381" t="n">
        <x:f>SUMIFS('Wind Proxy'!$H$8:$H$19,'Wind Proxy'!$A$8:$A$19,'Estimator'!$B$4,'Wind Proxy'!$B$8:$B$19,C1595)</x:f>
        <x:v>0.11350059737156513</x:v>
      </x:c>
    </x:row>
    <x:row r="1596">
      <x:c r="A1596" s="379" t="n">
        <x:v>47247</x:v>
      </x:c>
      <x:c r="B1596" s="380" t="n">
        <x:v>2029</x:v>
      </x:c>
      <x:c r="C1596" s="380" t="n">
        <x:v>5</x:v>
      </x:c>
      <x:c r="D1596" s="380" t="str">
        <x:v>May</x:v>
      </x:c>
      <x:c r="E1596" s="380" t="n">
        <x:v>9</x:v>
      </x:c>
      <x:c r="F1596" s="380" t="n">
        <x:v>3</x:v>
      </x:c>
      <x:c r="G1596" s="380" t="n">
        <x:f>--(F1596&lt;='Estimator'!$B$7)</x:f>
        <x:v>1</x:v>
      </x:c>
      <x:c r="H1596" s="381" t="n">
        <x:f>SUMIFS('Climate Data'!$G$7:$G$366,'Climate Data'!$A$7:$A$366,'Estimator'!$B$4,'Climate Data'!$B$7:$B$366,C1596)</x:f>
        <x:v>0.41935483870967744</x:v>
      </x:c>
      <x:c r="I1596" s="382" t="n">
        <x:f>SUMIFS('Climate Data'!$H$7:$H$366,'Climate Data'!$A$7:$A$366,'Estimator'!$B$4,'Climate Data'!$B$7:$B$366,C1596)</x:f>
        <x:v>9.215384615384615</x:v>
      </x:c>
      <x:c r="J1596" s="381" t="n">
        <x:f>SUMIFS('Wind Proxy'!$H$8:$H$19,'Wind Proxy'!$A$8:$A$19,'Estimator'!$B$4,'Wind Proxy'!$B$8:$B$19,C1596)</x:f>
        <x:v>0.11350059737156513</x:v>
      </x:c>
    </x:row>
    <x:row r="1597">
      <x:c r="A1597" s="379" t="n">
        <x:v>47248</x:v>
      </x:c>
      <x:c r="B1597" s="380" t="n">
        <x:v>2029</x:v>
      </x:c>
      <x:c r="C1597" s="380" t="n">
        <x:v>5</x:v>
      </x:c>
      <x:c r="D1597" s="380" t="str">
        <x:v>May</x:v>
      </x:c>
      <x:c r="E1597" s="380" t="n">
        <x:v>10</x:v>
      </x:c>
      <x:c r="F1597" s="380" t="n">
        <x:v>4</x:v>
      </x:c>
      <x:c r="G1597" s="380" t="n">
        <x:f>--(F1597&lt;='Estimator'!$B$7)</x:f>
        <x:v>1</x:v>
      </x:c>
      <x:c r="H1597" s="381" t="n">
        <x:f>SUMIFS('Climate Data'!$G$7:$G$366,'Climate Data'!$A$7:$A$366,'Estimator'!$B$4,'Climate Data'!$B$7:$B$366,C1597)</x:f>
        <x:v>0.41935483870967744</x:v>
      </x:c>
      <x:c r="I1597" s="382" t="n">
        <x:f>SUMIFS('Climate Data'!$H$7:$H$366,'Climate Data'!$A$7:$A$366,'Estimator'!$B$4,'Climate Data'!$B$7:$B$366,C1597)</x:f>
        <x:v>9.215384615384615</x:v>
      </x:c>
      <x:c r="J1597" s="381" t="n">
        <x:f>SUMIFS('Wind Proxy'!$H$8:$H$19,'Wind Proxy'!$A$8:$A$19,'Estimator'!$B$4,'Wind Proxy'!$B$8:$B$19,C1597)</x:f>
        <x:v>0.11350059737156513</x:v>
      </x:c>
    </x:row>
    <x:row r="1598">
      <x:c r="A1598" s="379" t="n">
        <x:v>47249</x:v>
      </x:c>
      <x:c r="B1598" s="380" t="n">
        <x:v>2029</x:v>
      </x:c>
      <x:c r="C1598" s="380" t="n">
        <x:v>5</x:v>
      </x:c>
      <x:c r="D1598" s="380" t="str">
        <x:v>May</x:v>
      </x:c>
      <x:c r="E1598" s="380" t="n">
        <x:v>11</x:v>
      </x:c>
      <x:c r="F1598" s="380" t="n">
        <x:v>5</x:v>
      </x:c>
      <x:c r="G1598" s="380" t="n">
        <x:f>--(F1598&lt;='Estimator'!$B$7)</x:f>
        <x:v>1</x:v>
      </x:c>
      <x:c r="H1598" s="381" t="n">
        <x:f>SUMIFS('Climate Data'!$G$7:$G$366,'Climate Data'!$A$7:$A$366,'Estimator'!$B$4,'Climate Data'!$B$7:$B$366,C1598)</x:f>
        <x:v>0.41935483870967744</x:v>
      </x:c>
      <x:c r="I1598" s="382" t="n">
        <x:f>SUMIFS('Climate Data'!$H$7:$H$366,'Climate Data'!$A$7:$A$366,'Estimator'!$B$4,'Climate Data'!$B$7:$B$366,C1598)</x:f>
        <x:v>9.215384615384615</x:v>
      </x:c>
      <x:c r="J1598" s="381" t="n">
        <x:f>SUMIFS('Wind Proxy'!$H$8:$H$19,'Wind Proxy'!$A$8:$A$19,'Estimator'!$B$4,'Wind Proxy'!$B$8:$B$19,C1598)</x:f>
        <x:v>0.11350059737156513</x:v>
      </x:c>
    </x:row>
    <x:row r="1599">
      <x:c r="A1599" s="379" t="n">
        <x:v>47250</x:v>
      </x:c>
      <x:c r="B1599" s="380" t="n">
        <x:v>2029</x:v>
      </x:c>
      <x:c r="C1599" s="380" t="n">
        <x:v>5</x:v>
      </x:c>
      <x:c r="D1599" s="380" t="str">
        <x:v>May</x:v>
      </x:c>
      <x:c r="E1599" s="380" t="n">
        <x:v>12</x:v>
      </x:c>
      <x:c r="F1599" s="380" t="n">
        <x:v>6</x:v>
      </x:c>
      <x:c r="G1599" s="380" t="n">
        <x:f>--(F1599&lt;='Estimator'!$B$7)</x:f>
        <x:v>0</x:v>
      </x:c>
      <x:c r="H1599" s="381" t="n">
        <x:f>SUMIFS('Climate Data'!$G$7:$G$366,'Climate Data'!$A$7:$A$366,'Estimator'!$B$4,'Climate Data'!$B$7:$B$366,C1599)</x:f>
        <x:v>0.41935483870967744</x:v>
      </x:c>
      <x:c r="I1599" s="382" t="n">
        <x:f>SUMIFS('Climate Data'!$H$7:$H$366,'Climate Data'!$A$7:$A$366,'Estimator'!$B$4,'Climate Data'!$B$7:$B$366,C1599)</x:f>
        <x:v>9.215384615384615</x:v>
      </x:c>
      <x:c r="J1599" s="381" t="n">
        <x:f>SUMIFS('Wind Proxy'!$H$8:$H$19,'Wind Proxy'!$A$8:$A$19,'Estimator'!$B$4,'Wind Proxy'!$B$8:$B$19,C1599)</x:f>
        <x:v>0.11350059737156513</x:v>
      </x:c>
    </x:row>
    <x:row r="1600">
      <x:c r="A1600" s="379" t="n">
        <x:v>47251</x:v>
      </x:c>
      <x:c r="B1600" s="380" t="n">
        <x:v>2029</x:v>
      </x:c>
      <x:c r="C1600" s="380" t="n">
        <x:v>5</x:v>
      </x:c>
      <x:c r="D1600" s="380" t="str">
        <x:v>May</x:v>
      </x:c>
      <x:c r="E1600" s="380" t="n">
        <x:v>13</x:v>
      </x:c>
      <x:c r="F1600" s="380" t="n">
        <x:v>7</x:v>
      </x:c>
      <x:c r="G1600" s="380" t="n">
        <x:f>--(F1600&lt;='Estimator'!$B$7)</x:f>
        <x:v>0</x:v>
      </x:c>
      <x:c r="H1600" s="381" t="n">
        <x:f>SUMIFS('Climate Data'!$G$7:$G$366,'Climate Data'!$A$7:$A$366,'Estimator'!$B$4,'Climate Data'!$B$7:$B$366,C1600)</x:f>
        <x:v>0.41935483870967744</x:v>
      </x:c>
      <x:c r="I1600" s="382" t="n">
        <x:f>SUMIFS('Climate Data'!$H$7:$H$366,'Climate Data'!$A$7:$A$366,'Estimator'!$B$4,'Climate Data'!$B$7:$B$366,C1600)</x:f>
        <x:v>9.215384615384615</x:v>
      </x:c>
      <x:c r="J1600" s="381" t="n">
        <x:f>SUMIFS('Wind Proxy'!$H$8:$H$19,'Wind Proxy'!$A$8:$A$19,'Estimator'!$B$4,'Wind Proxy'!$B$8:$B$19,C1600)</x:f>
        <x:v>0.11350059737156513</x:v>
      </x:c>
    </x:row>
    <x:row r="1601">
      <x:c r="A1601" s="379" t="n">
        <x:v>47252</x:v>
      </x:c>
      <x:c r="B1601" s="380" t="n">
        <x:v>2029</x:v>
      </x:c>
      <x:c r="C1601" s="380" t="n">
        <x:v>5</x:v>
      </x:c>
      <x:c r="D1601" s="380" t="str">
        <x:v>May</x:v>
      </x:c>
      <x:c r="E1601" s="380" t="n">
        <x:v>14</x:v>
      </x:c>
      <x:c r="F1601" s="380" t="n">
        <x:v>1</x:v>
      </x:c>
      <x:c r="G1601" s="380" t="n">
        <x:f>--(F1601&lt;='Estimator'!$B$7)</x:f>
        <x:v>1</x:v>
      </x:c>
      <x:c r="H1601" s="381" t="n">
        <x:f>SUMIFS('Climate Data'!$G$7:$G$366,'Climate Data'!$A$7:$A$366,'Estimator'!$B$4,'Climate Data'!$B$7:$B$366,C1601)</x:f>
        <x:v>0.41935483870967744</x:v>
      </x:c>
      <x:c r="I1601" s="382" t="n">
        <x:f>SUMIFS('Climate Data'!$H$7:$H$366,'Climate Data'!$A$7:$A$366,'Estimator'!$B$4,'Climate Data'!$B$7:$B$366,C1601)</x:f>
        <x:v>9.215384615384615</x:v>
      </x:c>
      <x:c r="J1601" s="381" t="n">
        <x:f>SUMIFS('Wind Proxy'!$H$8:$H$19,'Wind Proxy'!$A$8:$A$19,'Estimator'!$B$4,'Wind Proxy'!$B$8:$B$19,C1601)</x:f>
        <x:v>0.11350059737156513</x:v>
      </x:c>
    </x:row>
    <x:row r="1602">
      <x:c r="A1602" s="379" t="n">
        <x:v>47253</x:v>
      </x:c>
      <x:c r="B1602" s="380" t="n">
        <x:v>2029</x:v>
      </x:c>
      <x:c r="C1602" s="380" t="n">
        <x:v>5</x:v>
      </x:c>
      <x:c r="D1602" s="380" t="str">
        <x:v>May</x:v>
      </x:c>
      <x:c r="E1602" s="380" t="n">
        <x:v>15</x:v>
      </x:c>
      <x:c r="F1602" s="380" t="n">
        <x:v>2</x:v>
      </x:c>
      <x:c r="G1602" s="380" t="n">
        <x:f>--(F1602&lt;='Estimator'!$B$7)</x:f>
        <x:v>1</x:v>
      </x:c>
      <x:c r="H1602" s="381" t="n">
        <x:f>SUMIFS('Climate Data'!$G$7:$G$366,'Climate Data'!$A$7:$A$366,'Estimator'!$B$4,'Climate Data'!$B$7:$B$366,C1602)</x:f>
        <x:v>0.41935483870967744</x:v>
      </x:c>
      <x:c r="I1602" s="382" t="n">
        <x:f>SUMIFS('Climate Data'!$H$7:$H$366,'Climate Data'!$A$7:$A$366,'Estimator'!$B$4,'Climate Data'!$B$7:$B$366,C1602)</x:f>
        <x:v>9.215384615384615</x:v>
      </x:c>
      <x:c r="J1602" s="381" t="n">
        <x:f>SUMIFS('Wind Proxy'!$H$8:$H$19,'Wind Proxy'!$A$8:$A$19,'Estimator'!$B$4,'Wind Proxy'!$B$8:$B$19,C1602)</x:f>
        <x:v>0.11350059737156513</x:v>
      </x:c>
    </x:row>
    <x:row r="1603">
      <x:c r="A1603" s="379" t="n">
        <x:v>47254</x:v>
      </x:c>
      <x:c r="B1603" s="380" t="n">
        <x:v>2029</x:v>
      </x:c>
      <x:c r="C1603" s="380" t="n">
        <x:v>5</x:v>
      </x:c>
      <x:c r="D1603" s="380" t="str">
        <x:v>May</x:v>
      </x:c>
      <x:c r="E1603" s="380" t="n">
        <x:v>16</x:v>
      </x:c>
      <x:c r="F1603" s="380" t="n">
        <x:v>3</x:v>
      </x:c>
      <x:c r="G1603" s="380" t="n">
        <x:f>--(F1603&lt;='Estimator'!$B$7)</x:f>
        <x:v>1</x:v>
      </x:c>
      <x:c r="H1603" s="381" t="n">
        <x:f>SUMIFS('Climate Data'!$G$7:$G$366,'Climate Data'!$A$7:$A$366,'Estimator'!$B$4,'Climate Data'!$B$7:$B$366,C1603)</x:f>
        <x:v>0.41935483870967744</x:v>
      </x:c>
      <x:c r="I1603" s="382" t="n">
        <x:f>SUMIFS('Climate Data'!$H$7:$H$366,'Climate Data'!$A$7:$A$366,'Estimator'!$B$4,'Climate Data'!$B$7:$B$366,C1603)</x:f>
        <x:v>9.215384615384615</x:v>
      </x:c>
      <x:c r="J1603" s="381" t="n">
        <x:f>SUMIFS('Wind Proxy'!$H$8:$H$19,'Wind Proxy'!$A$8:$A$19,'Estimator'!$B$4,'Wind Proxy'!$B$8:$B$19,C1603)</x:f>
        <x:v>0.11350059737156513</x:v>
      </x:c>
    </x:row>
    <x:row r="1604">
      <x:c r="A1604" s="379" t="n">
        <x:v>47255</x:v>
      </x:c>
      <x:c r="B1604" s="380" t="n">
        <x:v>2029</x:v>
      </x:c>
      <x:c r="C1604" s="380" t="n">
        <x:v>5</x:v>
      </x:c>
      <x:c r="D1604" s="380" t="str">
        <x:v>May</x:v>
      </x:c>
      <x:c r="E1604" s="380" t="n">
        <x:v>17</x:v>
      </x:c>
      <x:c r="F1604" s="380" t="n">
        <x:v>4</x:v>
      </x:c>
      <x:c r="G1604" s="380" t="n">
        <x:f>--(F1604&lt;='Estimator'!$B$7)</x:f>
        <x:v>1</x:v>
      </x:c>
      <x:c r="H1604" s="381" t="n">
        <x:f>SUMIFS('Climate Data'!$G$7:$G$366,'Climate Data'!$A$7:$A$366,'Estimator'!$B$4,'Climate Data'!$B$7:$B$366,C1604)</x:f>
        <x:v>0.41935483870967744</x:v>
      </x:c>
      <x:c r="I1604" s="382" t="n">
        <x:f>SUMIFS('Climate Data'!$H$7:$H$366,'Climate Data'!$A$7:$A$366,'Estimator'!$B$4,'Climate Data'!$B$7:$B$366,C1604)</x:f>
        <x:v>9.215384615384615</x:v>
      </x:c>
      <x:c r="J1604" s="381" t="n">
        <x:f>SUMIFS('Wind Proxy'!$H$8:$H$19,'Wind Proxy'!$A$8:$A$19,'Estimator'!$B$4,'Wind Proxy'!$B$8:$B$19,C1604)</x:f>
        <x:v>0.11350059737156513</x:v>
      </x:c>
    </x:row>
    <x:row r="1605">
      <x:c r="A1605" s="379" t="n">
        <x:v>47256</x:v>
      </x:c>
      <x:c r="B1605" s="380" t="n">
        <x:v>2029</x:v>
      </x:c>
      <x:c r="C1605" s="380" t="n">
        <x:v>5</x:v>
      </x:c>
      <x:c r="D1605" s="380" t="str">
        <x:v>May</x:v>
      </x:c>
      <x:c r="E1605" s="380" t="n">
        <x:v>18</x:v>
      </x:c>
      <x:c r="F1605" s="380" t="n">
        <x:v>5</x:v>
      </x:c>
      <x:c r="G1605" s="380" t="n">
        <x:f>--(F1605&lt;='Estimator'!$B$7)</x:f>
        <x:v>1</x:v>
      </x:c>
      <x:c r="H1605" s="381" t="n">
        <x:f>SUMIFS('Climate Data'!$G$7:$G$366,'Climate Data'!$A$7:$A$366,'Estimator'!$B$4,'Climate Data'!$B$7:$B$366,C1605)</x:f>
        <x:v>0.41935483870967744</x:v>
      </x:c>
      <x:c r="I1605" s="382" t="n">
        <x:f>SUMIFS('Climate Data'!$H$7:$H$366,'Climate Data'!$A$7:$A$366,'Estimator'!$B$4,'Climate Data'!$B$7:$B$366,C1605)</x:f>
        <x:v>9.215384615384615</x:v>
      </x:c>
      <x:c r="J1605" s="381" t="n">
        <x:f>SUMIFS('Wind Proxy'!$H$8:$H$19,'Wind Proxy'!$A$8:$A$19,'Estimator'!$B$4,'Wind Proxy'!$B$8:$B$19,C1605)</x:f>
        <x:v>0.11350059737156513</x:v>
      </x:c>
    </x:row>
    <x:row r="1606">
      <x:c r="A1606" s="379" t="n">
        <x:v>47257</x:v>
      </x:c>
      <x:c r="B1606" s="380" t="n">
        <x:v>2029</x:v>
      </x:c>
      <x:c r="C1606" s="380" t="n">
        <x:v>5</x:v>
      </x:c>
      <x:c r="D1606" s="380" t="str">
        <x:v>May</x:v>
      </x:c>
      <x:c r="E1606" s="380" t="n">
        <x:v>19</x:v>
      </x:c>
      <x:c r="F1606" s="380" t="n">
        <x:v>6</x:v>
      </x:c>
      <x:c r="G1606" s="380" t="n">
        <x:f>--(F1606&lt;='Estimator'!$B$7)</x:f>
        <x:v>0</x:v>
      </x:c>
      <x:c r="H1606" s="381" t="n">
        <x:f>SUMIFS('Climate Data'!$G$7:$G$366,'Climate Data'!$A$7:$A$366,'Estimator'!$B$4,'Climate Data'!$B$7:$B$366,C1606)</x:f>
        <x:v>0.41935483870967744</x:v>
      </x:c>
      <x:c r="I1606" s="382" t="n">
        <x:f>SUMIFS('Climate Data'!$H$7:$H$366,'Climate Data'!$A$7:$A$366,'Estimator'!$B$4,'Climate Data'!$B$7:$B$366,C1606)</x:f>
        <x:v>9.215384615384615</x:v>
      </x:c>
      <x:c r="J1606" s="381" t="n">
        <x:f>SUMIFS('Wind Proxy'!$H$8:$H$19,'Wind Proxy'!$A$8:$A$19,'Estimator'!$B$4,'Wind Proxy'!$B$8:$B$19,C1606)</x:f>
        <x:v>0.11350059737156513</x:v>
      </x:c>
    </x:row>
    <x:row r="1607">
      <x:c r="A1607" s="379" t="n">
        <x:v>47258</x:v>
      </x:c>
      <x:c r="B1607" s="380" t="n">
        <x:v>2029</x:v>
      </x:c>
      <x:c r="C1607" s="380" t="n">
        <x:v>5</x:v>
      </x:c>
      <x:c r="D1607" s="380" t="str">
        <x:v>May</x:v>
      </x:c>
      <x:c r="E1607" s="380" t="n">
        <x:v>20</x:v>
      </x:c>
      <x:c r="F1607" s="380" t="n">
        <x:v>7</x:v>
      </x:c>
      <x:c r="G1607" s="380" t="n">
        <x:f>--(F1607&lt;='Estimator'!$B$7)</x:f>
        <x:v>0</x:v>
      </x:c>
      <x:c r="H1607" s="381" t="n">
        <x:f>SUMIFS('Climate Data'!$G$7:$G$366,'Climate Data'!$A$7:$A$366,'Estimator'!$B$4,'Climate Data'!$B$7:$B$366,C1607)</x:f>
        <x:v>0.41935483870967744</x:v>
      </x:c>
      <x:c r="I1607" s="382" t="n">
        <x:f>SUMIFS('Climate Data'!$H$7:$H$366,'Climate Data'!$A$7:$A$366,'Estimator'!$B$4,'Climate Data'!$B$7:$B$366,C1607)</x:f>
        <x:v>9.215384615384615</x:v>
      </x:c>
      <x:c r="J1607" s="381" t="n">
        <x:f>SUMIFS('Wind Proxy'!$H$8:$H$19,'Wind Proxy'!$A$8:$A$19,'Estimator'!$B$4,'Wind Proxy'!$B$8:$B$19,C1607)</x:f>
        <x:v>0.11350059737156513</x:v>
      </x:c>
    </x:row>
    <x:row r="1608">
      <x:c r="A1608" s="379" t="n">
        <x:v>47259</x:v>
      </x:c>
      <x:c r="B1608" s="380" t="n">
        <x:v>2029</x:v>
      </x:c>
      <x:c r="C1608" s="380" t="n">
        <x:v>5</x:v>
      </x:c>
      <x:c r="D1608" s="380" t="str">
        <x:v>May</x:v>
      </x:c>
      <x:c r="E1608" s="380" t="n">
        <x:v>21</x:v>
      </x:c>
      <x:c r="F1608" s="380" t="n">
        <x:v>1</x:v>
      </x:c>
      <x:c r="G1608" s="380" t="n">
        <x:f>--(F1608&lt;='Estimator'!$B$7)</x:f>
        <x:v>1</x:v>
      </x:c>
      <x:c r="H1608" s="381" t="n">
        <x:f>SUMIFS('Climate Data'!$G$7:$G$366,'Climate Data'!$A$7:$A$366,'Estimator'!$B$4,'Climate Data'!$B$7:$B$366,C1608)</x:f>
        <x:v>0.41935483870967744</x:v>
      </x:c>
      <x:c r="I1608" s="382" t="n">
        <x:f>SUMIFS('Climate Data'!$H$7:$H$366,'Climate Data'!$A$7:$A$366,'Estimator'!$B$4,'Climate Data'!$B$7:$B$366,C1608)</x:f>
        <x:v>9.215384615384615</x:v>
      </x:c>
      <x:c r="J1608" s="381" t="n">
        <x:f>SUMIFS('Wind Proxy'!$H$8:$H$19,'Wind Proxy'!$A$8:$A$19,'Estimator'!$B$4,'Wind Proxy'!$B$8:$B$19,C1608)</x:f>
        <x:v>0.11350059737156513</x:v>
      </x:c>
    </x:row>
    <x:row r="1609">
      <x:c r="A1609" s="379" t="n">
        <x:v>47260</x:v>
      </x:c>
      <x:c r="B1609" s="380" t="n">
        <x:v>2029</x:v>
      </x:c>
      <x:c r="C1609" s="380" t="n">
        <x:v>5</x:v>
      </x:c>
      <x:c r="D1609" s="380" t="str">
        <x:v>May</x:v>
      </x:c>
      <x:c r="E1609" s="380" t="n">
        <x:v>22</x:v>
      </x:c>
      <x:c r="F1609" s="380" t="n">
        <x:v>2</x:v>
      </x:c>
      <x:c r="G1609" s="380" t="n">
        <x:f>--(F1609&lt;='Estimator'!$B$7)</x:f>
        <x:v>1</x:v>
      </x:c>
      <x:c r="H1609" s="381" t="n">
        <x:f>SUMIFS('Climate Data'!$G$7:$G$366,'Climate Data'!$A$7:$A$366,'Estimator'!$B$4,'Climate Data'!$B$7:$B$366,C1609)</x:f>
        <x:v>0.41935483870967744</x:v>
      </x:c>
      <x:c r="I1609" s="382" t="n">
        <x:f>SUMIFS('Climate Data'!$H$7:$H$366,'Climate Data'!$A$7:$A$366,'Estimator'!$B$4,'Climate Data'!$B$7:$B$366,C1609)</x:f>
        <x:v>9.215384615384615</x:v>
      </x:c>
      <x:c r="J1609" s="381" t="n">
        <x:f>SUMIFS('Wind Proxy'!$H$8:$H$19,'Wind Proxy'!$A$8:$A$19,'Estimator'!$B$4,'Wind Proxy'!$B$8:$B$19,C1609)</x:f>
        <x:v>0.11350059737156513</x:v>
      </x:c>
    </x:row>
    <x:row r="1610">
      <x:c r="A1610" s="379" t="n">
        <x:v>47261</x:v>
      </x:c>
      <x:c r="B1610" s="380" t="n">
        <x:v>2029</x:v>
      </x:c>
      <x:c r="C1610" s="380" t="n">
        <x:v>5</x:v>
      </x:c>
      <x:c r="D1610" s="380" t="str">
        <x:v>May</x:v>
      </x:c>
      <x:c r="E1610" s="380" t="n">
        <x:v>23</x:v>
      </x:c>
      <x:c r="F1610" s="380" t="n">
        <x:v>3</x:v>
      </x:c>
      <x:c r="G1610" s="380" t="n">
        <x:f>--(F1610&lt;='Estimator'!$B$7)</x:f>
        <x:v>1</x:v>
      </x:c>
      <x:c r="H1610" s="381" t="n">
        <x:f>SUMIFS('Climate Data'!$G$7:$G$366,'Climate Data'!$A$7:$A$366,'Estimator'!$B$4,'Climate Data'!$B$7:$B$366,C1610)</x:f>
        <x:v>0.41935483870967744</x:v>
      </x:c>
      <x:c r="I1610" s="382" t="n">
        <x:f>SUMIFS('Climate Data'!$H$7:$H$366,'Climate Data'!$A$7:$A$366,'Estimator'!$B$4,'Climate Data'!$B$7:$B$366,C1610)</x:f>
        <x:v>9.215384615384615</x:v>
      </x:c>
      <x:c r="J1610" s="381" t="n">
        <x:f>SUMIFS('Wind Proxy'!$H$8:$H$19,'Wind Proxy'!$A$8:$A$19,'Estimator'!$B$4,'Wind Proxy'!$B$8:$B$19,C1610)</x:f>
        <x:v>0.11350059737156513</x:v>
      </x:c>
    </x:row>
    <x:row r="1611">
      <x:c r="A1611" s="379" t="n">
        <x:v>47262</x:v>
      </x:c>
      <x:c r="B1611" s="380" t="n">
        <x:v>2029</x:v>
      </x:c>
      <x:c r="C1611" s="380" t="n">
        <x:v>5</x:v>
      </x:c>
      <x:c r="D1611" s="380" t="str">
        <x:v>May</x:v>
      </x:c>
      <x:c r="E1611" s="380" t="n">
        <x:v>24</x:v>
      </x:c>
      <x:c r="F1611" s="380" t="n">
        <x:v>4</x:v>
      </x:c>
      <x:c r="G1611" s="380" t="n">
        <x:f>--(F1611&lt;='Estimator'!$B$7)</x:f>
        <x:v>1</x:v>
      </x:c>
      <x:c r="H1611" s="381" t="n">
        <x:f>SUMIFS('Climate Data'!$G$7:$G$366,'Climate Data'!$A$7:$A$366,'Estimator'!$B$4,'Climate Data'!$B$7:$B$366,C1611)</x:f>
        <x:v>0.41935483870967744</x:v>
      </x:c>
      <x:c r="I1611" s="382" t="n">
        <x:f>SUMIFS('Climate Data'!$H$7:$H$366,'Climate Data'!$A$7:$A$366,'Estimator'!$B$4,'Climate Data'!$B$7:$B$366,C1611)</x:f>
        <x:v>9.215384615384615</x:v>
      </x:c>
      <x:c r="J1611" s="381" t="n">
        <x:f>SUMIFS('Wind Proxy'!$H$8:$H$19,'Wind Proxy'!$A$8:$A$19,'Estimator'!$B$4,'Wind Proxy'!$B$8:$B$19,C1611)</x:f>
        <x:v>0.11350059737156513</x:v>
      </x:c>
    </x:row>
    <x:row r="1612">
      <x:c r="A1612" s="379" t="n">
        <x:v>47263</x:v>
      </x:c>
      <x:c r="B1612" s="380" t="n">
        <x:v>2029</x:v>
      </x:c>
      <x:c r="C1612" s="380" t="n">
        <x:v>5</x:v>
      </x:c>
      <x:c r="D1612" s="380" t="str">
        <x:v>May</x:v>
      </x:c>
      <x:c r="E1612" s="380" t="n">
        <x:v>25</x:v>
      </x:c>
      <x:c r="F1612" s="380" t="n">
        <x:v>5</x:v>
      </x:c>
      <x:c r="G1612" s="380" t="n">
        <x:f>--(F1612&lt;='Estimator'!$B$7)</x:f>
        <x:v>1</x:v>
      </x:c>
      <x:c r="H1612" s="381" t="n">
        <x:f>SUMIFS('Climate Data'!$G$7:$G$366,'Climate Data'!$A$7:$A$366,'Estimator'!$B$4,'Climate Data'!$B$7:$B$366,C1612)</x:f>
        <x:v>0.41935483870967744</x:v>
      </x:c>
      <x:c r="I1612" s="382" t="n">
        <x:f>SUMIFS('Climate Data'!$H$7:$H$366,'Climate Data'!$A$7:$A$366,'Estimator'!$B$4,'Climate Data'!$B$7:$B$366,C1612)</x:f>
        <x:v>9.215384615384615</x:v>
      </x:c>
      <x:c r="J1612" s="381" t="n">
        <x:f>SUMIFS('Wind Proxy'!$H$8:$H$19,'Wind Proxy'!$A$8:$A$19,'Estimator'!$B$4,'Wind Proxy'!$B$8:$B$19,C1612)</x:f>
        <x:v>0.11350059737156513</x:v>
      </x:c>
    </x:row>
    <x:row r="1613">
      <x:c r="A1613" s="379" t="n">
        <x:v>47264</x:v>
      </x:c>
      <x:c r="B1613" s="380" t="n">
        <x:v>2029</x:v>
      </x:c>
      <x:c r="C1613" s="380" t="n">
        <x:v>5</x:v>
      </x:c>
      <x:c r="D1613" s="380" t="str">
        <x:v>May</x:v>
      </x:c>
      <x:c r="E1613" s="380" t="n">
        <x:v>26</x:v>
      </x:c>
      <x:c r="F1613" s="380" t="n">
        <x:v>6</x:v>
      </x:c>
      <x:c r="G1613" s="380" t="n">
        <x:f>--(F1613&lt;='Estimator'!$B$7)</x:f>
        <x:v>0</x:v>
      </x:c>
      <x:c r="H1613" s="381" t="n">
        <x:f>SUMIFS('Climate Data'!$G$7:$G$366,'Climate Data'!$A$7:$A$366,'Estimator'!$B$4,'Climate Data'!$B$7:$B$366,C1613)</x:f>
        <x:v>0.41935483870967744</x:v>
      </x:c>
      <x:c r="I1613" s="382" t="n">
        <x:f>SUMIFS('Climate Data'!$H$7:$H$366,'Climate Data'!$A$7:$A$366,'Estimator'!$B$4,'Climate Data'!$B$7:$B$366,C1613)</x:f>
        <x:v>9.215384615384615</x:v>
      </x:c>
      <x:c r="J1613" s="381" t="n">
        <x:f>SUMIFS('Wind Proxy'!$H$8:$H$19,'Wind Proxy'!$A$8:$A$19,'Estimator'!$B$4,'Wind Proxy'!$B$8:$B$19,C1613)</x:f>
        <x:v>0.11350059737156513</x:v>
      </x:c>
    </x:row>
    <x:row r="1614">
      <x:c r="A1614" s="379" t="n">
        <x:v>47265</x:v>
      </x:c>
      <x:c r="B1614" s="380" t="n">
        <x:v>2029</x:v>
      </x:c>
      <x:c r="C1614" s="380" t="n">
        <x:v>5</x:v>
      </x:c>
      <x:c r="D1614" s="380" t="str">
        <x:v>May</x:v>
      </x:c>
      <x:c r="E1614" s="380" t="n">
        <x:v>27</x:v>
      </x:c>
      <x:c r="F1614" s="380" t="n">
        <x:v>7</x:v>
      </x:c>
      <x:c r="G1614" s="380" t="n">
        <x:f>--(F1614&lt;='Estimator'!$B$7)</x:f>
        <x:v>0</x:v>
      </x:c>
      <x:c r="H1614" s="381" t="n">
        <x:f>SUMIFS('Climate Data'!$G$7:$G$366,'Climate Data'!$A$7:$A$366,'Estimator'!$B$4,'Climate Data'!$B$7:$B$366,C1614)</x:f>
        <x:v>0.41935483870967744</x:v>
      </x:c>
      <x:c r="I1614" s="382" t="n">
        <x:f>SUMIFS('Climate Data'!$H$7:$H$366,'Climate Data'!$A$7:$A$366,'Estimator'!$B$4,'Climate Data'!$B$7:$B$366,C1614)</x:f>
        <x:v>9.215384615384615</x:v>
      </x:c>
      <x:c r="J1614" s="381" t="n">
        <x:f>SUMIFS('Wind Proxy'!$H$8:$H$19,'Wind Proxy'!$A$8:$A$19,'Estimator'!$B$4,'Wind Proxy'!$B$8:$B$19,C1614)</x:f>
        <x:v>0.11350059737156513</x:v>
      </x:c>
    </x:row>
    <x:row r="1615">
      <x:c r="A1615" s="379" t="n">
        <x:v>47266</x:v>
      </x:c>
      <x:c r="B1615" s="380" t="n">
        <x:v>2029</x:v>
      </x:c>
      <x:c r="C1615" s="380" t="n">
        <x:v>5</x:v>
      </x:c>
      <x:c r="D1615" s="380" t="str">
        <x:v>May</x:v>
      </x:c>
      <x:c r="E1615" s="380" t="n">
        <x:v>28</x:v>
      </x:c>
      <x:c r="F1615" s="380" t="n">
        <x:v>1</x:v>
      </x:c>
      <x:c r="G1615" s="380" t="n">
        <x:f>--(F1615&lt;='Estimator'!$B$7)</x:f>
        <x:v>1</x:v>
      </x:c>
      <x:c r="H1615" s="381" t="n">
        <x:f>SUMIFS('Climate Data'!$G$7:$G$366,'Climate Data'!$A$7:$A$366,'Estimator'!$B$4,'Climate Data'!$B$7:$B$366,C1615)</x:f>
        <x:v>0.41935483870967744</x:v>
      </x:c>
      <x:c r="I1615" s="382" t="n">
        <x:f>SUMIFS('Climate Data'!$H$7:$H$366,'Climate Data'!$A$7:$A$366,'Estimator'!$B$4,'Climate Data'!$B$7:$B$366,C1615)</x:f>
        <x:v>9.215384615384615</x:v>
      </x:c>
      <x:c r="J1615" s="381" t="n">
        <x:f>SUMIFS('Wind Proxy'!$H$8:$H$19,'Wind Proxy'!$A$8:$A$19,'Estimator'!$B$4,'Wind Proxy'!$B$8:$B$19,C1615)</x:f>
        <x:v>0.11350059737156513</x:v>
      </x:c>
    </x:row>
    <x:row r="1616">
      <x:c r="A1616" s="379" t="n">
        <x:v>47267</x:v>
      </x:c>
      <x:c r="B1616" s="380" t="n">
        <x:v>2029</x:v>
      </x:c>
      <x:c r="C1616" s="380" t="n">
        <x:v>5</x:v>
      </x:c>
      <x:c r="D1616" s="380" t="str">
        <x:v>May</x:v>
      </x:c>
      <x:c r="E1616" s="380" t="n">
        <x:v>29</x:v>
      </x:c>
      <x:c r="F1616" s="380" t="n">
        <x:v>2</x:v>
      </x:c>
      <x:c r="G1616" s="380" t="n">
        <x:f>--(F1616&lt;='Estimator'!$B$7)</x:f>
        <x:v>1</x:v>
      </x:c>
      <x:c r="H1616" s="381" t="n">
        <x:f>SUMIFS('Climate Data'!$G$7:$G$366,'Climate Data'!$A$7:$A$366,'Estimator'!$B$4,'Climate Data'!$B$7:$B$366,C1616)</x:f>
        <x:v>0.41935483870967744</x:v>
      </x:c>
      <x:c r="I1616" s="382" t="n">
        <x:f>SUMIFS('Climate Data'!$H$7:$H$366,'Climate Data'!$A$7:$A$366,'Estimator'!$B$4,'Climate Data'!$B$7:$B$366,C1616)</x:f>
        <x:v>9.215384615384615</x:v>
      </x:c>
      <x:c r="J1616" s="381" t="n">
        <x:f>SUMIFS('Wind Proxy'!$H$8:$H$19,'Wind Proxy'!$A$8:$A$19,'Estimator'!$B$4,'Wind Proxy'!$B$8:$B$19,C1616)</x:f>
        <x:v>0.11350059737156513</x:v>
      </x:c>
    </x:row>
    <x:row r="1617">
      <x:c r="A1617" s="379" t="n">
        <x:v>47268</x:v>
      </x:c>
      <x:c r="B1617" s="380" t="n">
        <x:v>2029</x:v>
      </x:c>
      <x:c r="C1617" s="380" t="n">
        <x:v>5</x:v>
      </x:c>
      <x:c r="D1617" s="380" t="str">
        <x:v>May</x:v>
      </x:c>
      <x:c r="E1617" s="380" t="n">
        <x:v>30</x:v>
      </x:c>
      <x:c r="F1617" s="380" t="n">
        <x:v>3</x:v>
      </x:c>
      <x:c r="G1617" s="380" t="n">
        <x:f>--(F1617&lt;='Estimator'!$B$7)</x:f>
        <x:v>1</x:v>
      </x:c>
      <x:c r="H1617" s="381" t="n">
        <x:f>SUMIFS('Climate Data'!$G$7:$G$366,'Climate Data'!$A$7:$A$366,'Estimator'!$B$4,'Climate Data'!$B$7:$B$366,C1617)</x:f>
        <x:v>0.41935483870967744</x:v>
      </x:c>
      <x:c r="I1617" s="382" t="n">
        <x:f>SUMIFS('Climate Data'!$H$7:$H$366,'Climate Data'!$A$7:$A$366,'Estimator'!$B$4,'Climate Data'!$B$7:$B$366,C1617)</x:f>
        <x:v>9.215384615384615</x:v>
      </x:c>
      <x:c r="J1617" s="381" t="n">
        <x:f>SUMIFS('Wind Proxy'!$H$8:$H$19,'Wind Proxy'!$A$8:$A$19,'Estimator'!$B$4,'Wind Proxy'!$B$8:$B$19,C1617)</x:f>
        <x:v>0.11350059737156513</x:v>
      </x:c>
    </x:row>
    <x:row r="1618">
      <x:c r="A1618" s="379" t="n">
        <x:v>47269</x:v>
      </x:c>
      <x:c r="B1618" s="380" t="n">
        <x:v>2029</x:v>
      </x:c>
      <x:c r="C1618" s="380" t="n">
        <x:v>5</x:v>
      </x:c>
      <x:c r="D1618" s="380" t="str">
        <x:v>May</x:v>
      </x:c>
      <x:c r="E1618" s="380" t="n">
        <x:v>31</x:v>
      </x:c>
      <x:c r="F1618" s="380" t="n">
        <x:v>4</x:v>
      </x:c>
      <x:c r="G1618" s="380" t="n">
        <x:f>--(F1618&lt;='Estimator'!$B$7)</x:f>
        <x:v>1</x:v>
      </x:c>
      <x:c r="H1618" s="381" t="n">
        <x:f>SUMIFS('Climate Data'!$G$7:$G$366,'Climate Data'!$A$7:$A$366,'Estimator'!$B$4,'Climate Data'!$B$7:$B$366,C1618)</x:f>
        <x:v>0.41935483870967744</x:v>
      </x:c>
      <x:c r="I1618" s="382" t="n">
        <x:f>SUMIFS('Climate Data'!$H$7:$H$366,'Climate Data'!$A$7:$A$366,'Estimator'!$B$4,'Climate Data'!$B$7:$B$366,C1618)</x:f>
        <x:v>9.215384615384615</x:v>
      </x:c>
      <x:c r="J1618" s="381" t="n">
        <x:f>SUMIFS('Wind Proxy'!$H$8:$H$19,'Wind Proxy'!$A$8:$A$19,'Estimator'!$B$4,'Wind Proxy'!$B$8:$B$19,C1618)</x:f>
        <x:v>0.11350059737156513</x:v>
      </x:c>
    </x:row>
    <x:row r="1619">
      <x:c r="A1619" s="379" t="n">
        <x:v>47270</x:v>
      </x:c>
      <x:c r="B1619" s="380" t="n">
        <x:v>2029</x:v>
      </x:c>
      <x:c r="C1619" s="380" t="n">
        <x:v>6</x:v>
      </x:c>
      <x:c r="D1619" s="380" t="str">
        <x:v>Jun</x:v>
      </x:c>
      <x:c r="E1619" s="380" t="n">
        <x:v>1</x:v>
      </x:c>
      <x:c r="F1619" s="380" t="n">
        <x:v>5</x:v>
      </x:c>
      <x:c r="G1619" s="380" t="n">
        <x:f>--(F1619&lt;='Estimator'!$B$7)</x:f>
        <x:v>1</x:v>
      </x:c>
      <x:c r="H1619" s="381" t="n">
        <x:f>SUMIFS('Climate Data'!$G$7:$G$366,'Climate Data'!$A$7:$A$366,'Estimator'!$B$4,'Climate Data'!$B$7:$B$366,C1619)</x:f>
        <x:v>0.475</x:v>
      </x:c>
      <x:c r="I1619" s="382" t="n">
        <x:f>SUMIFS('Climate Data'!$H$7:$H$366,'Climate Data'!$A$7:$A$366,'Estimator'!$B$4,'Climate Data'!$B$7:$B$366,C1619)</x:f>
        <x:v>8.378947368421054</x:v>
      </x:c>
      <x:c r="J1619" s="381" t="n">
        <x:f>SUMIFS('Wind Proxy'!$H$8:$H$19,'Wind Proxy'!$A$8:$A$19,'Estimator'!$B$4,'Wind Proxy'!$B$8:$B$19,C1619)</x:f>
        <x:v>0.14197530864197533</x:v>
      </x:c>
    </x:row>
    <x:row r="1620">
      <x:c r="A1620" s="379" t="n">
        <x:v>47271</x:v>
      </x:c>
      <x:c r="B1620" s="380" t="n">
        <x:v>2029</x:v>
      </x:c>
      <x:c r="C1620" s="380" t="n">
        <x:v>6</x:v>
      </x:c>
      <x:c r="D1620" s="380" t="str">
        <x:v>Jun</x:v>
      </x:c>
      <x:c r="E1620" s="380" t="n">
        <x:v>2</x:v>
      </x:c>
      <x:c r="F1620" s="380" t="n">
        <x:v>6</x:v>
      </x:c>
      <x:c r="G1620" s="380" t="n">
        <x:f>--(F1620&lt;='Estimator'!$B$7)</x:f>
        <x:v>0</x:v>
      </x:c>
      <x:c r="H1620" s="381" t="n">
        <x:f>SUMIFS('Climate Data'!$G$7:$G$366,'Climate Data'!$A$7:$A$366,'Estimator'!$B$4,'Climate Data'!$B$7:$B$366,C1620)</x:f>
        <x:v>0.475</x:v>
      </x:c>
      <x:c r="I1620" s="382" t="n">
        <x:f>SUMIFS('Climate Data'!$H$7:$H$366,'Climate Data'!$A$7:$A$366,'Estimator'!$B$4,'Climate Data'!$B$7:$B$366,C1620)</x:f>
        <x:v>8.378947368421054</x:v>
      </x:c>
      <x:c r="J1620" s="381" t="n">
        <x:f>SUMIFS('Wind Proxy'!$H$8:$H$19,'Wind Proxy'!$A$8:$A$19,'Estimator'!$B$4,'Wind Proxy'!$B$8:$B$19,C1620)</x:f>
        <x:v>0.14197530864197533</x:v>
      </x:c>
    </x:row>
    <x:row r="1621">
      <x:c r="A1621" s="379" t="n">
        <x:v>47272</x:v>
      </x:c>
      <x:c r="B1621" s="380" t="n">
        <x:v>2029</x:v>
      </x:c>
      <x:c r="C1621" s="380" t="n">
        <x:v>6</x:v>
      </x:c>
      <x:c r="D1621" s="380" t="str">
        <x:v>Jun</x:v>
      </x:c>
      <x:c r="E1621" s="380" t="n">
        <x:v>3</x:v>
      </x:c>
      <x:c r="F1621" s="380" t="n">
        <x:v>7</x:v>
      </x:c>
      <x:c r="G1621" s="380" t="n">
        <x:f>--(F1621&lt;='Estimator'!$B$7)</x:f>
        <x:v>0</x:v>
      </x:c>
      <x:c r="H1621" s="381" t="n">
        <x:f>SUMIFS('Climate Data'!$G$7:$G$366,'Climate Data'!$A$7:$A$366,'Estimator'!$B$4,'Climate Data'!$B$7:$B$366,C1621)</x:f>
        <x:v>0.475</x:v>
      </x:c>
      <x:c r="I1621" s="382" t="n">
        <x:f>SUMIFS('Climate Data'!$H$7:$H$366,'Climate Data'!$A$7:$A$366,'Estimator'!$B$4,'Climate Data'!$B$7:$B$366,C1621)</x:f>
        <x:v>8.378947368421054</x:v>
      </x:c>
      <x:c r="J1621" s="381" t="n">
        <x:f>SUMIFS('Wind Proxy'!$H$8:$H$19,'Wind Proxy'!$A$8:$A$19,'Estimator'!$B$4,'Wind Proxy'!$B$8:$B$19,C1621)</x:f>
        <x:v>0.14197530864197533</x:v>
      </x:c>
    </x:row>
    <x:row r="1622">
      <x:c r="A1622" s="379" t="n">
        <x:v>47273</x:v>
      </x:c>
      <x:c r="B1622" s="380" t="n">
        <x:v>2029</x:v>
      </x:c>
      <x:c r="C1622" s="380" t="n">
        <x:v>6</x:v>
      </x:c>
      <x:c r="D1622" s="380" t="str">
        <x:v>Jun</x:v>
      </x:c>
      <x:c r="E1622" s="380" t="n">
        <x:v>4</x:v>
      </x:c>
      <x:c r="F1622" s="380" t="n">
        <x:v>1</x:v>
      </x:c>
      <x:c r="G1622" s="380" t="n">
        <x:f>--(F1622&lt;='Estimator'!$B$7)</x:f>
        <x:v>1</x:v>
      </x:c>
      <x:c r="H1622" s="381" t="n">
        <x:f>SUMIFS('Climate Data'!$G$7:$G$366,'Climate Data'!$A$7:$A$366,'Estimator'!$B$4,'Climate Data'!$B$7:$B$366,C1622)</x:f>
        <x:v>0.475</x:v>
      </x:c>
      <x:c r="I1622" s="382" t="n">
        <x:f>SUMIFS('Climate Data'!$H$7:$H$366,'Climate Data'!$A$7:$A$366,'Estimator'!$B$4,'Climate Data'!$B$7:$B$366,C1622)</x:f>
        <x:v>8.378947368421054</x:v>
      </x:c>
      <x:c r="J1622" s="381" t="n">
        <x:f>SUMIFS('Wind Proxy'!$H$8:$H$19,'Wind Proxy'!$A$8:$A$19,'Estimator'!$B$4,'Wind Proxy'!$B$8:$B$19,C1622)</x:f>
        <x:v>0.14197530864197533</x:v>
      </x:c>
    </x:row>
    <x:row r="1623">
      <x:c r="A1623" s="379" t="n">
        <x:v>47274</x:v>
      </x:c>
      <x:c r="B1623" s="380" t="n">
        <x:v>2029</x:v>
      </x:c>
      <x:c r="C1623" s="380" t="n">
        <x:v>6</x:v>
      </x:c>
      <x:c r="D1623" s="380" t="str">
        <x:v>Jun</x:v>
      </x:c>
      <x:c r="E1623" s="380" t="n">
        <x:v>5</x:v>
      </x:c>
      <x:c r="F1623" s="380" t="n">
        <x:v>2</x:v>
      </x:c>
      <x:c r="G1623" s="380" t="n">
        <x:f>--(F1623&lt;='Estimator'!$B$7)</x:f>
        <x:v>1</x:v>
      </x:c>
      <x:c r="H1623" s="381" t="n">
        <x:f>SUMIFS('Climate Data'!$G$7:$G$366,'Climate Data'!$A$7:$A$366,'Estimator'!$B$4,'Climate Data'!$B$7:$B$366,C1623)</x:f>
        <x:v>0.475</x:v>
      </x:c>
      <x:c r="I1623" s="382" t="n">
        <x:f>SUMIFS('Climate Data'!$H$7:$H$366,'Climate Data'!$A$7:$A$366,'Estimator'!$B$4,'Climate Data'!$B$7:$B$366,C1623)</x:f>
        <x:v>8.378947368421054</x:v>
      </x:c>
      <x:c r="J1623" s="381" t="n">
        <x:f>SUMIFS('Wind Proxy'!$H$8:$H$19,'Wind Proxy'!$A$8:$A$19,'Estimator'!$B$4,'Wind Proxy'!$B$8:$B$19,C1623)</x:f>
        <x:v>0.14197530864197533</x:v>
      </x:c>
    </x:row>
    <x:row r="1624">
      <x:c r="A1624" s="379" t="n">
        <x:v>47275</x:v>
      </x:c>
      <x:c r="B1624" s="380" t="n">
        <x:v>2029</x:v>
      </x:c>
      <x:c r="C1624" s="380" t="n">
        <x:v>6</x:v>
      </x:c>
      <x:c r="D1624" s="380" t="str">
        <x:v>Jun</x:v>
      </x:c>
      <x:c r="E1624" s="380" t="n">
        <x:v>6</x:v>
      </x:c>
      <x:c r="F1624" s="380" t="n">
        <x:v>3</x:v>
      </x:c>
      <x:c r="G1624" s="380" t="n">
        <x:f>--(F1624&lt;='Estimator'!$B$7)</x:f>
        <x:v>1</x:v>
      </x:c>
      <x:c r="H1624" s="381" t="n">
        <x:f>SUMIFS('Climate Data'!$G$7:$G$366,'Climate Data'!$A$7:$A$366,'Estimator'!$B$4,'Climate Data'!$B$7:$B$366,C1624)</x:f>
        <x:v>0.475</x:v>
      </x:c>
      <x:c r="I1624" s="382" t="n">
        <x:f>SUMIFS('Climate Data'!$H$7:$H$366,'Climate Data'!$A$7:$A$366,'Estimator'!$B$4,'Climate Data'!$B$7:$B$366,C1624)</x:f>
        <x:v>8.378947368421054</x:v>
      </x:c>
      <x:c r="J1624" s="381" t="n">
        <x:f>SUMIFS('Wind Proxy'!$H$8:$H$19,'Wind Proxy'!$A$8:$A$19,'Estimator'!$B$4,'Wind Proxy'!$B$8:$B$19,C1624)</x:f>
        <x:v>0.14197530864197533</x:v>
      </x:c>
    </x:row>
    <x:row r="1625">
      <x:c r="A1625" s="379" t="n">
        <x:v>47276</x:v>
      </x:c>
      <x:c r="B1625" s="380" t="n">
        <x:v>2029</x:v>
      </x:c>
      <x:c r="C1625" s="380" t="n">
        <x:v>6</x:v>
      </x:c>
      <x:c r="D1625" s="380" t="str">
        <x:v>Jun</x:v>
      </x:c>
      <x:c r="E1625" s="380" t="n">
        <x:v>7</x:v>
      </x:c>
      <x:c r="F1625" s="380" t="n">
        <x:v>4</x:v>
      </x:c>
      <x:c r="G1625" s="380" t="n">
        <x:f>--(F1625&lt;='Estimator'!$B$7)</x:f>
        <x:v>1</x:v>
      </x:c>
      <x:c r="H1625" s="381" t="n">
        <x:f>SUMIFS('Climate Data'!$G$7:$G$366,'Climate Data'!$A$7:$A$366,'Estimator'!$B$4,'Climate Data'!$B$7:$B$366,C1625)</x:f>
        <x:v>0.475</x:v>
      </x:c>
      <x:c r="I1625" s="382" t="n">
        <x:f>SUMIFS('Climate Data'!$H$7:$H$366,'Climate Data'!$A$7:$A$366,'Estimator'!$B$4,'Climate Data'!$B$7:$B$366,C1625)</x:f>
        <x:v>8.378947368421054</x:v>
      </x:c>
      <x:c r="J1625" s="381" t="n">
        <x:f>SUMIFS('Wind Proxy'!$H$8:$H$19,'Wind Proxy'!$A$8:$A$19,'Estimator'!$B$4,'Wind Proxy'!$B$8:$B$19,C1625)</x:f>
        <x:v>0.14197530864197533</x:v>
      </x:c>
    </x:row>
    <x:row r="1626">
      <x:c r="A1626" s="379" t="n">
        <x:v>47277</x:v>
      </x:c>
      <x:c r="B1626" s="380" t="n">
        <x:v>2029</x:v>
      </x:c>
      <x:c r="C1626" s="380" t="n">
        <x:v>6</x:v>
      </x:c>
      <x:c r="D1626" s="380" t="str">
        <x:v>Jun</x:v>
      </x:c>
      <x:c r="E1626" s="380" t="n">
        <x:v>8</x:v>
      </x:c>
      <x:c r="F1626" s="380" t="n">
        <x:v>5</x:v>
      </x:c>
      <x:c r="G1626" s="380" t="n">
        <x:f>--(F1626&lt;='Estimator'!$B$7)</x:f>
        <x:v>1</x:v>
      </x:c>
      <x:c r="H1626" s="381" t="n">
        <x:f>SUMIFS('Climate Data'!$G$7:$G$366,'Climate Data'!$A$7:$A$366,'Estimator'!$B$4,'Climate Data'!$B$7:$B$366,C1626)</x:f>
        <x:v>0.475</x:v>
      </x:c>
      <x:c r="I1626" s="382" t="n">
        <x:f>SUMIFS('Climate Data'!$H$7:$H$366,'Climate Data'!$A$7:$A$366,'Estimator'!$B$4,'Climate Data'!$B$7:$B$366,C1626)</x:f>
        <x:v>8.378947368421054</x:v>
      </x:c>
      <x:c r="J1626" s="381" t="n">
        <x:f>SUMIFS('Wind Proxy'!$H$8:$H$19,'Wind Proxy'!$A$8:$A$19,'Estimator'!$B$4,'Wind Proxy'!$B$8:$B$19,C1626)</x:f>
        <x:v>0.14197530864197533</x:v>
      </x:c>
    </x:row>
    <x:row r="1627">
      <x:c r="A1627" s="379" t="n">
        <x:v>47278</x:v>
      </x:c>
      <x:c r="B1627" s="380" t="n">
        <x:v>2029</x:v>
      </x:c>
      <x:c r="C1627" s="380" t="n">
        <x:v>6</x:v>
      </x:c>
      <x:c r="D1627" s="380" t="str">
        <x:v>Jun</x:v>
      </x:c>
      <x:c r="E1627" s="380" t="n">
        <x:v>9</x:v>
      </x:c>
      <x:c r="F1627" s="380" t="n">
        <x:v>6</x:v>
      </x:c>
      <x:c r="G1627" s="380" t="n">
        <x:f>--(F1627&lt;='Estimator'!$B$7)</x:f>
        <x:v>0</x:v>
      </x:c>
      <x:c r="H1627" s="381" t="n">
        <x:f>SUMIFS('Climate Data'!$G$7:$G$366,'Climate Data'!$A$7:$A$366,'Estimator'!$B$4,'Climate Data'!$B$7:$B$366,C1627)</x:f>
        <x:v>0.475</x:v>
      </x:c>
      <x:c r="I1627" s="382" t="n">
        <x:f>SUMIFS('Climate Data'!$H$7:$H$366,'Climate Data'!$A$7:$A$366,'Estimator'!$B$4,'Climate Data'!$B$7:$B$366,C1627)</x:f>
        <x:v>8.378947368421054</x:v>
      </x:c>
      <x:c r="J1627" s="381" t="n">
        <x:f>SUMIFS('Wind Proxy'!$H$8:$H$19,'Wind Proxy'!$A$8:$A$19,'Estimator'!$B$4,'Wind Proxy'!$B$8:$B$19,C1627)</x:f>
        <x:v>0.14197530864197533</x:v>
      </x:c>
    </x:row>
    <x:row r="1628">
      <x:c r="A1628" s="379" t="n">
        <x:v>47279</x:v>
      </x:c>
      <x:c r="B1628" s="380" t="n">
        <x:v>2029</x:v>
      </x:c>
      <x:c r="C1628" s="380" t="n">
        <x:v>6</x:v>
      </x:c>
      <x:c r="D1628" s="380" t="str">
        <x:v>Jun</x:v>
      </x:c>
      <x:c r="E1628" s="380" t="n">
        <x:v>10</x:v>
      </x:c>
      <x:c r="F1628" s="380" t="n">
        <x:v>7</x:v>
      </x:c>
      <x:c r="G1628" s="380" t="n">
        <x:f>--(F1628&lt;='Estimator'!$B$7)</x:f>
        <x:v>0</x:v>
      </x:c>
      <x:c r="H1628" s="381" t="n">
        <x:f>SUMIFS('Climate Data'!$G$7:$G$366,'Climate Data'!$A$7:$A$366,'Estimator'!$B$4,'Climate Data'!$B$7:$B$366,C1628)</x:f>
        <x:v>0.475</x:v>
      </x:c>
      <x:c r="I1628" s="382" t="n">
        <x:f>SUMIFS('Climate Data'!$H$7:$H$366,'Climate Data'!$A$7:$A$366,'Estimator'!$B$4,'Climate Data'!$B$7:$B$366,C1628)</x:f>
        <x:v>8.378947368421054</x:v>
      </x:c>
      <x:c r="J1628" s="381" t="n">
        <x:f>SUMIFS('Wind Proxy'!$H$8:$H$19,'Wind Proxy'!$A$8:$A$19,'Estimator'!$B$4,'Wind Proxy'!$B$8:$B$19,C1628)</x:f>
        <x:v>0.14197530864197533</x:v>
      </x:c>
    </x:row>
    <x:row r="1629">
      <x:c r="A1629" s="379" t="n">
        <x:v>47280</x:v>
      </x:c>
      <x:c r="B1629" s="380" t="n">
        <x:v>2029</x:v>
      </x:c>
      <x:c r="C1629" s="380" t="n">
        <x:v>6</x:v>
      </x:c>
      <x:c r="D1629" s="380" t="str">
        <x:v>Jun</x:v>
      </x:c>
      <x:c r="E1629" s="380" t="n">
        <x:v>11</x:v>
      </x:c>
      <x:c r="F1629" s="380" t="n">
        <x:v>1</x:v>
      </x:c>
      <x:c r="G1629" s="380" t="n">
        <x:f>--(F1629&lt;='Estimator'!$B$7)</x:f>
        <x:v>1</x:v>
      </x:c>
      <x:c r="H1629" s="381" t="n">
        <x:f>SUMIFS('Climate Data'!$G$7:$G$366,'Climate Data'!$A$7:$A$366,'Estimator'!$B$4,'Climate Data'!$B$7:$B$366,C1629)</x:f>
        <x:v>0.475</x:v>
      </x:c>
      <x:c r="I1629" s="382" t="n">
        <x:f>SUMIFS('Climate Data'!$H$7:$H$366,'Climate Data'!$A$7:$A$366,'Estimator'!$B$4,'Climate Data'!$B$7:$B$366,C1629)</x:f>
        <x:v>8.378947368421054</x:v>
      </x:c>
      <x:c r="J1629" s="381" t="n">
        <x:f>SUMIFS('Wind Proxy'!$H$8:$H$19,'Wind Proxy'!$A$8:$A$19,'Estimator'!$B$4,'Wind Proxy'!$B$8:$B$19,C1629)</x:f>
        <x:v>0.14197530864197533</x:v>
      </x:c>
    </x:row>
    <x:row r="1630">
      <x:c r="A1630" s="379" t="n">
        <x:v>47281</x:v>
      </x:c>
      <x:c r="B1630" s="380" t="n">
        <x:v>2029</x:v>
      </x:c>
      <x:c r="C1630" s="380" t="n">
        <x:v>6</x:v>
      </x:c>
      <x:c r="D1630" s="380" t="str">
        <x:v>Jun</x:v>
      </x:c>
      <x:c r="E1630" s="380" t="n">
        <x:v>12</x:v>
      </x:c>
      <x:c r="F1630" s="380" t="n">
        <x:v>2</x:v>
      </x:c>
      <x:c r="G1630" s="380" t="n">
        <x:f>--(F1630&lt;='Estimator'!$B$7)</x:f>
        <x:v>1</x:v>
      </x:c>
      <x:c r="H1630" s="381" t="n">
        <x:f>SUMIFS('Climate Data'!$G$7:$G$366,'Climate Data'!$A$7:$A$366,'Estimator'!$B$4,'Climate Data'!$B$7:$B$366,C1630)</x:f>
        <x:v>0.475</x:v>
      </x:c>
      <x:c r="I1630" s="382" t="n">
        <x:f>SUMIFS('Climate Data'!$H$7:$H$366,'Climate Data'!$A$7:$A$366,'Estimator'!$B$4,'Climate Data'!$B$7:$B$366,C1630)</x:f>
        <x:v>8.378947368421054</x:v>
      </x:c>
      <x:c r="J1630" s="381" t="n">
        <x:f>SUMIFS('Wind Proxy'!$H$8:$H$19,'Wind Proxy'!$A$8:$A$19,'Estimator'!$B$4,'Wind Proxy'!$B$8:$B$19,C1630)</x:f>
        <x:v>0.14197530864197533</x:v>
      </x:c>
    </x:row>
    <x:row r="1631">
      <x:c r="A1631" s="379" t="n">
        <x:v>47282</x:v>
      </x:c>
      <x:c r="B1631" s="380" t="n">
        <x:v>2029</x:v>
      </x:c>
      <x:c r="C1631" s="380" t="n">
        <x:v>6</x:v>
      </x:c>
      <x:c r="D1631" s="380" t="str">
        <x:v>Jun</x:v>
      </x:c>
      <x:c r="E1631" s="380" t="n">
        <x:v>13</x:v>
      </x:c>
      <x:c r="F1631" s="380" t="n">
        <x:v>3</x:v>
      </x:c>
      <x:c r="G1631" s="380" t="n">
        <x:f>--(F1631&lt;='Estimator'!$B$7)</x:f>
        <x:v>1</x:v>
      </x:c>
      <x:c r="H1631" s="381" t="n">
        <x:f>SUMIFS('Climate Data'!$G$7:$G$366,'Climate Data'!$A$7:$A$366,'Estimator'!$B$4,'Climate Data'!$B$7:$B$366,C1631)</x:f>
        <x:v>0.475</x:v>
      </x:c>
      <x:c r="I1631" s="382" t="n">
        <x:f>SUMIFS('Climate Data'!$H$7:$H$366,'Climate Data'!$A$7:$A$366,'Estimator'!$B$4,'Climate Data'!$B$7:$B$366,C1631)</x:f>
        <x:v>8.378947368421054</x:v>
      </x:c>
      <x:c r="J1631" s="381" t="n">
        <x:f>SUMIFS('Wind Proxy'!$H$8:$H$19,'Wind Proxy'!$A$8:$A$19,'Estimator'!$B$4,'Wind Proxy'!$B$8:$B$19,C1631)</x:f>
        <x:v>0.14197530864197533</x:v>
      </x:c>
    </x:row>
    <x:row r="1632">
      <x:c r="A1632" s="379" t="n">
        <x:v>47283</x:v>
      </x:c>
      <x:c r="B1632" s="380" t="n">
        <x:v>2029</x:v>
      </x:c>
      <x:c r="C1632" s="380" t="n">
        <x:v>6</x:v>
      </x:c>
      <x:c r="D1632" s="380" t="str">
        <x:v>Jun</x:v>
      </x:c>
      <x:c r="E1632" s="380" t="n">
        <x:v>14</x:v>
      </x:c>
      <x:c r="F1632" s="380" t="n">
        <x:v>4</x:v>
      </x:c>
      <x:c r="G1632" s="380" t="n">
        <x:f>--(F1632&lt;='Estimator'!$B$7)</x:f>
        <x:v>1</x:v>
      </x:c>
      <x:c r="H1632" s="381" t="n">
        <x:f>SUMIFS('Climate Data'!$G$7:$G$366,'Climate Data'!$A$7:$A$366,'Estimator'!$B$4,'Climate Data'!$B$7:$B$366,C1632)</x:f>
        <x:v>0.475</x:v>
      </x:c>
      <x:c r="I1632" s="382" t="n">
        <x:f>SUMIFS('Climate Data'!$H$7:$H$366,'Climate Data'!$A$7:$A$366,'Estimator'!$B$4,'Climate Data'!$B$7:$B$366,C1632)</x:f>
        <x:v>8.378947368421054</x:v>
      </x:c>
      <x:c r="J1632" s="381" t="n">
        <x:f>SUMIFS('Wind Proxy'!$H$8:$H$19,'Wind Proxy'!$A$8:$A$19,'Estimator'!$B$4,'Wind Proxy'!$B$8:$B$19,C1632)</x:f>
        <x:v>0.14197530864197533</x:v>
      </x:c>
    </x:row>
    <x:row r="1633">
      <x:c r="A1633" s="379" t="n">
        <x:v>47284</x:v>
      </x:c>
      <x:c r="B1633" s="380" t="n">
        <x:v>2029</x:v>
      </x:c>
      <x:c r="C1633" s="380" t="n">
        <x:v>6</x:v>
      </x:c>
      <x:c r="D1633" s="380" t="str">
        <x:v>Jun</x:v>
      </x:c>
      <x:c r="E1633" s="380" t="n">
        <x:v>15</x:v>
      </x:c>
      <x:c r="F1633" s="380" t="n">
        <x:v>5</x:v>
      </x:c>
      <x:c r="G1633" s="380" t="n">
        <x:f>--(F1633&lt;='Estimator'!$B$7)</x:f>
        <x:v>1</x:v>
      </x:c>
      <x:c r="H1633" s="381" t="n">
        <x:f>SUMIFS('Climate Data'!$G$7:$G$366,'Climate Data'!$A$7:$A$366,'Estimator'!$B$4,'Climate Data'!$B$7:$B$366,C1633)</x:f>
        <x:v>0.475</x:v>
      </x:c>
      <x:c r="I1633" s="382" t="n">
        <x:f>SUMIFS('Climate Data'!$H$7:$H$366,'Climate Data'!$A$7:$A$366,'Estimator'!$B$4,'Climate Data'!$B$7:$B$366,C1633)</x:f>
        <x:v>8.378947368421054</x:v>
      </x:c>
      <x:c r="J1633" s="381" t="n">
        <x:f>SUMIFS('Wind Proxy'!$H$8:$H$19,'Wind Proxy'!$A$8:$A$19,'Estimator'!$B$4,'Wind Proxy'!$B$8:$B$19,C1633)</x:f>
        <x:v>0.14197530864197533</x:v>
      </x:c>
    </x:row>
    <x:row r="1634">
      <x:c r="A1634" s="379" t="n">
        <x:v>47285</x:v>
      </x:c>
      <x:c r="B1634" s="380" t="n">
        <x:v>2029</x:v>
      </x:c>
      <x:c r="C1634" s="380" t="n">
        <x:v>6</x:v>
      </x:c>
      <x:c r="D1634" s="380" t="str">
        <x:v>Jun</x:v>
      </x:c>
      <x:c r="E1634" s="380" t="n">
        <x:v>16</x:v>
      </x:c>
      <x:c r="F1634" s="380" t="n">
        <x:v>6</x:v>
      </x:c>
      <x:c r="G1634" s="380" t="n">
        <x:f>--(F1634&lt;='Estimator'!$B$7)</x:f>
        <x:v>0</x:v>
      </x:c>
      <x:c r="H1634" s="381" t="n">
        <x:f>SUMIFS('Climate Data'!$G$7:$G$366,'Climate Data'!$A$7:$A$366,'Estimator'!$B$4,'Climate Data'!$B$7:$B$366,C1634)</x:f>
        <x:v>0.475</x:v>
      </x:c>
      <x:c r="I1634" s="382" t="n">
        <x:f>SUMIFS('Climate Data'!$H$7:$H$366,'Climate Data'!$A$7:$A$366,'Estimator'!$B$4,'Climate Data'!$B$7:$B$366,C1634)</x:f>
        <x:v>8.378947368421054</x:v>
      </x:c>
      <x:c r="J1634" s="381" t="n">
        <x:f>SUMIFS('Wind Proxy'!$H$8:$H$19,'Wind Proxy'!$A$8:$A$19,'Estimator'!$B$4,'Wind Proxy'!$B$8:$B$19,C1634)</x:f>
        <x:v>0.14197530864197533</x:v>
      </x:c>
    </x:row>
    <x:row r="1635">
      <x:c r="A1635" s="379" t="n">
        <x:v>47286</x:v>
      </x:c>
      <x:c r="B1635" s="380" t="n">
        <x:v>2029</x:v>
      </x:c>
      <x:c r="C1635" s="380" t="n">
        <x:v>6</x:v>
      </x:c>
      <x:c r="D1635" s="380" t="str">
        <x:v>Jun</x:v>
      </x:c>
      <x:c r="E1635" s="380" t="n">
        <x:v>17</x:v>
      </x:c>
      <x:c r="F1635" s="380" t="n">
        <x:v>7</x:v>
      </x:c>
      <x:c r="G1635" s="380" t="n">
        <x:f>--(F1635&lt;='Estimator'!$B$7)</x:f>
        <x:v>0</x:v>
      </x:c>
      <x:c r="H1635" s="381" t="n">
        <x:f>SUMIFS('Climate Data'!$G$7:$G$366,'Climate Data'!$A$7:$A$366,'Estimator'!$B$4,'Climate Data'!$B$7:$B$366,C1635)</x:f>
        <x:v>0.475</x:v>
      </x:c>
      <x:c r="I1635" s="382" t="n">
        <x:f>SUMIFS('Climate Data'!$H$7:$H$366,'Climate Data'!$A$7:$A$366,'Estimator'!$B$4,'Climate Data'!$B$7:$B$366,C1635)</x:f>
        <x:v>8.378947368421054</x:v>
      </x:c>
      <x:c r="J1635" s="381" t="n">
        <x:f>SUMIFS('Wind Proxy'!$H$8:$H$19,'Wind Proxy'!$A$8:$A$19,'Estimator'!$B$4,'Wind Proxy'!$B$8:$B$19,C1635)</x:f>
        <x:v>0.14197530864197533</x:v>
      </x:c>
    </x:row>
    <x:row r="1636">
      <x:c r="A1636" s="379" t="n">
        <x:v>47287</x:v>
      </x:c>
      <x:c r="B1636" s="380" t="n">
        <x:v>2029</x:v>
      </x:c>
      <x:c r="C1636" s="380" t="n">
        <x:v>6</x:v>
      </x:c>
      <x:c r="D1636" s="380" t="str">
        <x:v>Jun</x:v>
      </x:c>
      <x:c r="E1636" s="380" t="n">
        <x:v>18</x:v>
      </x:c>
      <x:c r="F1636" s="380" t="n">
        <x:v>1</x:v>
      </x:c>
      <x:c r="G1636" s="380" t="n">
        <x:f>--(F1636&lt;='Estimator'!$B$7)</x:f>
        <x:v>1</x:v>
      </x:c>
      <x:c r="H1636" s="381" t="n">
        <x:f>SUMIFS('Climate Data'!$G$7:$G$366,'Climate Data'!$A$7:$A$366,'Estimator'!$B$4,'Climate Data'!$B$7:$B$366,C1636)</x:f>
        <x:v>0.475</x:v>
      </x:c>
      <x:c r="I1636" s="382" t="n">
        <x:f>SUMIFS('Climate Data'!$H$7:$H$366,'Climate Data'!$A$7:$A$366,'Estimator'!$B$4,'Climate Data'!$B$7:$B$366,C1636)</x:f>
        <x:v>8.378947368421054</x:v>
      </x:c>
      <x:c r="J1636" s="381" t="n">
        <x:f>SUMIFS('Wind Proxy'!$H$8:$H$19,'Wind Proxy'!$A$8:$A$19,'Estimator'!$B$4,'Wind Proxy'!$B$8:$B$19,C1636)</x:f>
        <x:v>0.14197530864197533</x:v>
      </x:c>
    </x:row>
    <x:row r="1637">
      <x:c r="A1637" s="379" t="n">
        <x:v>47288</x:v>
      </x:c>
      <x:c r="B1637" s="380" t="n">
        <x:v>2029</x:v>
      </x:c>
      <x:c r="C1637" s="380" t="n">
        <x:v>6</x:v>
      </x:c>
      <x:c r="D1637" s="380" t="str">
        <x:v>Jun</x:v>
      </x:c>
      <x:c r="E1637" s="380" t="n">
        <x:v>19</x:v>
      </x:c>
      <x:c r="F1637" s="380" t="n">
        <x:v>2</x:v>
      </x:c>
      <x:c r="G1637" s="380" t="n">
        <x:f>--(F1637&lt;='Estimator'!$B$7)</x:f>
        <x:v>1</x:v>
      </x:c>
      <x:c r="H1637" s="381" t="n">
        <x:f>SUMIFS('Climate Data'!$G$7:$G$366,'Climate Data'!$A$7:$A$366,'Estimator'!$B$4,'Climate Data'!$B$7:$B$366,C1637)</x:f>
        <x:v>0.475</x:v>
      </x:c>
      <x:c r="I1637" s="382" t="n">
        <x:f>SUMIFS('Climate Data'!$H$7:$H$366,'Climate Data'!$A$7:$A$366,'Estimator'!$B$4,'Climate Data'!$B$7:$B$366,C1637)</x:f>
        <x:v>8.378947368421054</x:v>
      </x:c>
      <x:c r="J1637" s="381" t="n">
        <x:f>SUMIFS('Wind Proxy'!$H$8:$H$19,'Wind Proxy'!$A$8:$A$19,'Estimator'!$B$4,'Wind Proxy'!$B$8:$B$19,C1637)</x:f>
        <x:v>0.14197530864197533</x:v>
      </x:c>
    </x:row>
    <x:row r="1638">
      <x:c r="A1638" s="379" t="n">
        <x:v>47289</x:v>
      </x:c>
      <x:c r="B1638" s="380" t="n">
        <x:v>2029</x:v>
      </x:c>
      <x:c r="C1638" s="380" t="n">
        <x:v>6</x:v>
      </x:c>
      <x:c r="D1638" s="380" t="str">
        <x:v>Jun</x:v>
      </x:c>
      <x:c r="E1638" s="380" t="n">
        <x:v>20</x:v>
      </x:c>
      <x:c r="F1638" s="380" t="n">
        <x:v>3</x:v>
      </x:c>
      <x:c r="G1638" s="380" t="n">
        <x:f>--(F1638&lt;='Estimator'!$B$7)</x:f>
        <x:v>1</x:v>
      </x:c>
      <x:c r="H1638" s="381" t="n">
        <x:f>SUMIFS('Climate Data'!$G$7:$G$366,'Climate Data'!$A$7:$A$366,'Estimator'!$B$4,'Climate Data'!$B$7:$B$366,C1638)</x:f>
        <x:v>0.475</x:v>
      </x:c>
      <x:c r="I1638" s="382" t="n">
        <x:f>SUMIFS('Climate Data'!$H$7:$H$366,'Climate Data'!$A$7:$A$366,'Estimator'!$B$4,'Climate Data'!$B$7:$B$366,C1638)</x:f>
        <x:v>8.378947368421054</x:v>
      </x:c>
      <x:c r="J1638" s="381" t="n">
        <x:f>SUMIFS('Wind Proxy'!$H$8:$H$19,'Wind Proxy'!$A$8:$A$19,'Estimator'!$B$4,'Wind Proxy'!$B$8:$B$19,C1638)</x:f>
        <x:v>0.14197530864197533</x:v>
      </x:c>
    </x:row>
    <x:row r="1639">
      <x:c r="A1639" s="379" t="n">
        <x:v>47290</x:v>
      </x:c>
      <x:c r="B1639" s="380" t="n">
        <x:v>2029</x:v>
      </x:c>
      <x:c r="C1639" s="380" t="n">
        <x:v>6</x:v>
      </x:c>
      <x:c r="D1639" s="380" t="str">
        <x:v>Jun</x:v>
      </x:c>
      <x:c r="E1639" s="380" t="n">
        <x:v>21</x:v>
      </x:c>
      <x:c r="F1639" s="380" t="n">
        <x:v>4</x:v>
      </x:c>
      <x:c r="G1639" s="380" t="n">
        <x:f>--(F1639&lt;='Estimator'!$B$7)</x:f>
        <x:v>1</x:v>
      </x:c>
      <x:c r="H1639" s="381" t="n">
        <x:f>SUMIFS('Climate Data'!$G$7:$G$366,'Climate Data'!$A$7:$A$366,'Estimator'!$B$4,'Climate Data'!$B$7:$B$366,C1639)</x:f>
        <x:v>0.475</x:v>
      </x:c>
      <x:c r="I1639" s="382" t="n">
        <x:f>SUMIFS('Climate Data'!$H$7:$H$366,'Climate Data'!$A$7:$A$366,'Estimator'!$B$4,'Climate Data'!$B$7:$B$366,C1639)</x:f>
        <x:v>8.378947368421054</x:v>
      </x:c>
      <x:c r="J1639" s="381" t="n">
        <x:f>SUMIFS('Wind Proxy'!$H$8:$H$19,'Wind Proxy'!$A$8:$A$19,'Estimator'!$B$4,'Wind Proxy'!$B$8:$B$19,C1639)</x:f>
        <x:v>0.14197530864197533</x:v>
      </x:c>
    </x:row>
    <x:row r="1640">
      <x:c r="A1640" s="379" t="n">
        <x:v>47291</x:v>
      </x:c>
      <x:c r="B1640" s="380" t="n">
        <x:v>2029</x:v>
      </x:c>
      <x:c r="C1640" s="380" t="n">
        <x:v>6</x:v>
      </x:c>
      <x:c r="D1640" s="380" t="str">
        <x:v>Jun</x:v>
      </x:c>
      <x:c r="E1640" s="380" t="n">
        <x:v>22</x:v>
      </x:c>
      <x:c r="F1640" s="380" t="n">
        <x:v>5</x:v>
      </x:c>
      <x:c r="G1640" s="380" t="n">
        <x:f>--(F1640&lt;='Estimator'!$B$7)</x:f>
        <x:v>1</x:v>
      </x:c>
      <x:c r="H1640" s="381" t="n">
        <x:f>SUMIFS('Climate Data'!$G$7:$G$366,'Climate Data'!$A$7:$A$366,'Estimator'!$B$4,'Climate Data'!$B$7:$B$366,C1640)</x:f>
        <x:v>0.475</x:v>
      </x:c>
      <x:c r="I1640" s="382" t="n">
        <x:f>SUMIFS('Climate Data'!$H$7:$H$366,'Climate Data'!$A$7:$A$366,'Estimator'!$B$4,'Climate Data'!$B$7:$B$366,C1640)</x:f>
        <x:v>8.378947368421054</x:v>
      </x:c>
      <x:c r="J1640" s="381" t="n">
        <x:f>SUMIFS('Wind Proxy'!$H$8:$H$19,'Wind Proxy'!$A$8:$A$19,'Estimator'!$B$4,'Wind Proxy'!$B$8:$B$19,C1640)</x:f>
        <x:v>0.14197530864197533</x:v>
      </x:c>
    </x:row>
    <x:row r="1641">
      <x:c r="A1641" s="379" t="n">
        <x:v>47292</x:v>
      </x:c>
      <x:c r="B1641" s="380" t="n">
        <x:v>2029</x:v>
      </x:c>
      <x:c r="C1641" s="380" t="n">
        <x:v>6</x:v>
      </x:c>
      <x:c r="D1641" s="380" t="str">
        <x:v>Jun</x:v>
      </x:c>
      <x:c r="E1641" s="380" t="n">
        <x:v>23</x:v>
      </x:c>
      <x:c r="F1641" s="380" t="n">
        <x:v>6</x:v>
      </x:c>
      <x:c r="G1641" s="380" t="n">
        <x:f>--(F1641&lt;='Estimator'!$B$7)</x:f>
        <x:v>0</x:v>
      </x:c>
      <x:c r="H1641" s="381" t="n">
        <x:f>SUMIFS('Climate Data'!$G$7:$G$366,'Climate Data'!$A$7:$A$366,'Estimator'!$B$4,'Climate Data'!$B$7:$B$366,C1641)</x:f>
        <x:v>0.475</x:v>
      </x:c>
      <x:c r="I1641" s="382" t="n">
        <x:f>SUMIFS('Climate Data'!$H$7:$H$366,'Climate Data'!$A$7:$A$366,'Estimator'!$B$4,'Climate Data'!$B$7:$B$366,C1641)</x:f>
        <x:v>8.378947368421054</x:v>
      </x:c>
      <x:c r="J1641" s="381" t="n">
        <x:f>SUMIFS('Wind Proxy'!$H$8:$H$19,'Wind Proxy'!$A$8:$A$19,'Estimator'!$B$4,'Wind Proxy'!$B$8:$B$19,C1641)</x:f>
        <x:v>0.14197530864197533</x:v>
      </x:c>
    </x:row>
    <x:row r="1642">
      <x:c r="A1642" s="379" t="n">
        <x:v>47293</x:v>
      </x:c>
      <x:c r="B1642" s="380" t="n">
        <x:v>2029</x:v>
      </x:c>
      <x:c r="C1642" s="380" t="n">
        <x:v>6</x:v>
      </x:c>
      <x:c r="D1642" s="380" t="str">
        <x:v>Jun</x:v>
      </x:c>
      <x:c r="E1642" s="380" t="n">
        <x:v>24</x:v>
      </x:c>
      <x:c r="F1642" s="380" t="n">
        <x:v>7</x:v>
      </x:c>
      <x:c r="G1642" s="380" t="n">
        <x:f>--(F1642&lt;='Estimator'!$B$7)</x:f>
        <x:v>0</x:v>
      </x:c>
      <x:c r="H1642" s="381" t="n">
        <x:f>SUMIFS('Climate Data'!$G$7:$G$366,'Climate Data'!$A$7:$A$366,'Estimator'!$B$4,'Climate Data'!$B$7:$B$366,C1642)</x:f>
        <x:v>0.475</x:v>
      </x:c>
      <x:c r="I1642" s="382" t="n">
        <x:f>SUMIFS('Climate Data'!$H$7:$H$366,'Climate Data'!$A$7:$A$366,'Estimator'!$B$4,'Climate Data'!$B$7:$B$366,C1642)</x:f>
        <x:v>8.378947368421054</x:v>
      </x:c>
      <x:c r="J1642" s="381" t="n">
        <x:f>SUMIFS('Wind Proxy'!$H$8:$H$19,'Wind Proxy'!$A$8:$A$19,'Estimator'!$B$4,'Wind Proxy'!$B$8:$B$19,C1642)</x:f>
        <x:v>0.14197530864197533</x:v>
      </x:c>
    </x:row>
    <x:row r="1643">
      <x:c r="A1643" s="379" t="n">
        <x:v>47294</x:v>
      </x:c>
      <x:c r="B1643" s="380" t="n">
        <x:v>2029</x:v>
      </x:c>
      <x:c r="C1643" s="380" t="n">
        <x:v>6</x:v>
      </x:c>
      <x:c r="D1643" s="380" t="str">
        <x:v>Jun</x:v>
      </x:c>
      <x:c r="E1643" s="380" t="n">
        <x:v>25</x:v>
      </x:c>
      <x:c r="F1643" s="380" t="n">
        <x:v>1</x:v>
      </x:c>
      <x:c r="G1643" s="380" t="n">
        <x:f>--(F1643&lt;='Estimator'!$B$7)</x:f>
        <x:v>1</x:v>
      </x:c>
      <x:c r="H1643" s="381" t="n">
        <x:f>SUMIFS('Climate Data'!$G$7:$G$366,'Climate Data'!$A$7:$A$366,'Estimator'!$B$4,'Climate Data'!$B$7:$B$366,C1643)</x:f>
        <x:v>0.475</x:v>
      </x:c>
      <x:c r="I1643" s="382" t="n">
        <x:f>SUMIFS('Climate Data'!$H$7:$H$366,'Climate Data'!$A$7:$A$366,'Estimator'!$B$4,'Climate Data'!$B$7:$B$366,C1643)</x:f>
        <x:v>8.378947368421054</x:v>
      </x:c>
      <x:c r="J1643" s="381" t="n">
        <x:f>SUMIFS('Wind Proxy'!$H$8:$H$19,'Wind Proxy'!$A$8:$A$19,'Estimator'!$B$4,'Wind Proxy'!$B$8:$B$19,C1643)</x:f>
        <x:v>0.14197530864197533</x:v>
      </x:c>
    </x:row>
    <x:row r="1644">
      <x:c r="A1644" s="379" t="n">
        <x:v>47295</x:v>
      </x:c>
      <x:c r="B1644" s="380" t="n">
        <x:v>2029</x:v>
      </x:c>
      <x:c r="C1644" s="380" t="n">
        <x:v>6</x:v>
      </x:c>
      <x:c r="D1644" s="380" t="str">
        <x:v>Jun</x:v>
      </x:c>
      <x:c r="E1644" s="380" t="n">
        <x:v>26</x:v>
      </x:c>
      <x:c r="F1644" s="380" t="n">
        <x:v>2</x:v>
      </x:c>
      <x:c r="G1644" s="380" t="n">
        <x:f>--(F1644&lt;='Estimator'!$B$7)</x:f>
        <x:v>1</x:v>
      </x:c>
      <x:c r="H1644" s="381" t="n">
        <x:f>SUMIFS('Climate Data'!$G$7:$G$366,'Climate Data'!$A$7:$A$366,'Estimator'!$B$4,'Climate Data'!$B$7:$B$366,C1644)</x:f>
        <x:v>0.475</x:v>
      </x:c>
      <x:c r="I1644" s="382" t="n">
        <x:f>SUMIFS('Climate Data'!$H$7:$H$366,'Climate Data'!$A$7:$A$366,'Estimator'!$B$4,'Climate Data'!$B$7:$B$366,C1644)</x:f>
        <x:v>8.378947368421054</x:v>
      </x:c>
      <x:c r="J1644" s="381" t="n">
        <x:f>SUMIFS('Wind Proxy'!$H$8:$H$19,'Wind Proxy'!$A$8:$A$19,'Estimator'!$B$4,'Wind Proxy'!$B$8:$B$19,C1644)</x:f>
        <x:v>0.14197530864197533</x:v>
      </x:c>
    </x:row>
    <x:row r="1645">
      <x:c r="A1645" s="379" t="n">
        <x:v>47296</x:v>
      </x:c>
      <x:c r="B1645" s="380" t="n">
        <x:v>2029</x:v>
      </x:c>
      <x:c r="C1645" s="380" t="n">
        <x:v>6</x:v>
      </x:c>
      <x:c r="D1645" s="380" t="str">
        <x:v>Jun</x:v>
      </x:c>
      <x:c r="E1645" s="380" t="n">
        <x:v>27</x:v>
      </x:c>
      <x:c r="F1645" s="380" t="n">
        <x:v>3</x:v>
      </x:c>
      <x:c r="G1645" s="380" t="n">
        <x:f>--(F1645&lt;='Estimator'!$B$7)</x:f>
        <x:v>1</x:v>
      </x:c>
      <x:c r="H1645" s="381" t="n">
        <x:f>SUMIFS('Climate Data'!$G$7:$G$366,'Climate Data'!$A$7:$A$366,'Estimator'!$B$4,'Climate Data'!$B$7:$B$366,C1645)</x:f>
        <x:v>0.475</x:v>
      </x:c>
      <x:c r="I1645" s="382" t="n">
        <x:f>SUMIFS('Climate Data'!$H$7:$H$366,'Climate Data'!$A$7:$A$366,'Estimator'!$B$4,'Climate Data'!$B$7:$B$366,C1645)</x:f>
        <x:v>8.378947368421054</x:v>
      </x:c>
      <x:c r="J1645" s="381" t="n">
        <x:f>SUMIFS('Wind Proxy'!$H$8:$H$19,'Wind Proxy'!$A$8:$A$19,'Estimator'!$B$4,'Wind Proxy'!$B$8:$B$19,C1645)</x:f>
        <x:v>0.14197530864197533</x:v>
      </x:c>
    </x:row>
    <x:row r="1646">
      <x:c r="A1646" s="379" t="n">
        <x:v>47297</x:v>
      </x:c>
      <x:c r="B1646" s="380" t="n">
        <x:v>2029</x:v>
      </x:c>
      <x:c r="C1646" s="380" t="n">
        <x:v>6</x:v>
      </x:c>
      <x:c r="D1646" s="380" t="str">
        <x:v>Jun</x:v>
      </x:c>
      <x:c r="E1646" s="380" t="n">
        <x:v>28</x:v>
      </x:c>
      <x:c r="F1646" s="380" t="n">
        <x:v>4</x:v>
      </x:c>
      <x:c r="G1646" s="380" t="n">
        <x:f>--(F1646&lt;='Estimator'!$B$7)</x:f>
        <x:v>1</x:v>
      </x:c>
      <x:c r="H1646" s="381" t="n">
        <x:f>SUMIFS('Climate Data'!$G$7:$G$366,'Climate Data'!$A$7:$A$366,'Estimator'!$B$4,'Climate Data'!$B$7:$B$366,C1646)</x:f>
        <x:v>0.475</x:v>
      </x:c>
      <x:c r="I1646" s="382" t="n">
        <x:f>SUMIFS('Climate Data'!$H$7:$H$366,'Climate Data'!$A$7:$A$366,'Estimator'!$B$4,'Climate Data'!$B$7:$B$366,C1646)</x:f>
        <x:v>8.378947368421054</x:v>
      </x:c>
      <x:c r="J1646" s="381" t="n">
        <x:f>SUMIFS('Wind Proxy'!$H$8:$H$19,'Wind Proxy'!$A$8:$A$19,'Estimator'!$B$4,'Wind Proxy'!$B$8:$B$19,C1646)</x:f>
        <x:v>0.14197530864197533</x:v>
      </x:c>
    </x:row>
    <x:row r="1647">
      <x:c r="A1647" s="379" t="n">
        <x:v>47298</x:v>
      </x:c>
      <x:c r="B1647" s="380" t="n">
        <x:v>2029</x:v>
      </x:c>
      <x:c r="C1647" s="380" t="n">
        <x:v>6</x:v>
      </x:c>
      <x:c r="D1647" s="380" t="str">
        <x:v>Jun</x:v>
      </x:c>
      <x:c r="E1647" s="380" t="n">
        <x:v>29</x:v>
      </x:c>
      <x:c r="F1647" s="380" t="n">
        <x:v>5</x:v>
      </x:c>
      <x:c r="G1647" s="380" t="n">
        <x:f>--(F1647&lt;='Estimator'!$B$7)</x:f>
        <x:v>1</x:v>
      </x:c>
      <x:c r="H1647" s="381" t="n">
        <x:f>SUMIFS('Climate Data'!$G$7:$G$366,'Climate Data'!$A$7:$A$366,'Estimator'!$B$4,'Climate Data'!$B$7:$B$366,C1647)</x:f>
        <x:v>0.475</x:v>
      </x:c>
      <x:c r="I1647" s="382" t="n">
        <x:f>SUMIFS('Climate Data'!$H$7:$H$366,'Climate Data'!$A$7:$A$366,'Estimator'!$B$4,'Climate Data'!$B$7:$B$366,C1647)</x:f>
        <x:v>8.378947368421054</x:v>
      </x:c>
      <x:c r="J1647" s="381" t="n">
        <x:f>SUMIFS('Wind Proxy'!$H$8:$H$19,'Wind Proxy'!$A$8:$A$19,'Estimator'!$B$4,'Wind Proxy'!$B$8:$B$19,C1647)</x:f>
        <x:v>0.14197530864197533</x:v>
      </x:c>
    </x:row>
    <x:row r="1648">
      <x:c r="A1648" s="379" t="n">
        <x:v>47299</x:v>
      </x:c>
      <x:c r="B1648" s="380" t="n">
        <x:v>2029</x:v>
      </x:c>
      <x:c r="C1648" s="380" t="n">
        <x:v>6</x:v>
      </x:c>
      <x:c r="D1648" s="380" t="str">
        <x:v>Jun</x:v>
      </x:c>
      <x:c r="E1648" s="380" t="n">
        <x:v>30</x:v>
      </x:c>
      <x:c r="F1648" s="380" t="n">
        <x:v>6</x:v>
      </x:c>
      <x:c r="G1648" s="380" t="n">
        <x:f>--(F1648&lt;='Estimator'!$B$7)</x:f>
        <x:v>0</x:v>
      </x:c>
      <x:c r="H1648" s="381" t="n">
        <x:f>SUMIFS('Climate Data'!$G$7:$G$366,'Climate Data'!$A$7:$A$366,'Estimator'!$B$4,'Climate Data'!$B$7:$B$366,C1648)</x:f>
        <x:v>0.475</x:v>
      </x:c>
      <x:c r="I1648" s="382" t="n">
        <x:f>SUMIFS('Climate Data'!$H$7:$H$366,'Climate Data'!$A$7:$A$366,'Estimator'!$B$4,'Climate Data'!$B$7:$B$366,C1648)</x:f>
        <x:v>8.378947368421054</x:v>
      </x:c>
      <x:c r="J1648" s="381" t="n">
        <x:f>SUMIFS('Wind Proxy'!$H$8:$H$19,'Wind Proxy'!$A$8:$A$19,'Estimator'!$B$4,'Wind Proxy'!$B$8:$B$19,C1648)</x:f>
        <x:v>0.14197530864197533</x:v>
      </x:c>
    </x:row>
    <x:row r="1649">
      <x:c r="A1649" s="379" t="n">
        <x:v>47300</x:v>
      </x:c>
      <x:c r="B1649" s="380" t="n">
        <x:v>2029</x:v>
      </x:c>
      <x:c r="C1649" s="380" t="n">
        <x:v>7</x:v>
      </x:c>
      <x:c r="D1649" s="380" t="str">
        <x:v>Jul</x:v>
      </x:c>
      <x:c r="E1649" s="380" t="n">
        <x:v>1</x:v>
      </x:c>
      <x:c r="F1649" s="380" t="n">
        <x:v>7</x:v>
      </x:c>
      <x:c r="G1649" s="380" t="n">
        <x:f>--(F1649&lt;='Estimator'!$B$7)</x:f>
        <x:v>0</x:v>
      </x:c>
      <x:c r="H1649" s="381" t="n">
        <x:f>SUMIFS('Climate Data'!$G$7:$G$366,'Climate Data'!$A$7:$A$366,'Estimator'!$B$4,'Climate Data'!$B$7:$B$366,C1649)</x:f>
        <x:v>0.49078341013824883</x:v>
      </x:c>
      <x:c r="I1649" s="382" t="n">
        <x:f>SUMIFS('Climate Data'!$H$7:$H$366,'Climate Data'!$A$7:$A$366,'Estimator'!$B$4,'Climate Data'!$B$7:$B$366,C1649)</x:f>
        <x:v>8.998122065727701</x:v>
      </x:c>
      <x:c r="J1649" s="381" t="n">
        <x:f>SUMIFS('Wind Proxy'!$H$8:$H$19,'Wind Proxy'!$A$8:$A$19,'Estimator'!$B$4,'Wind Proxy'!$B$8:$B$19,C1649)</x:f>
        <x:v>0.13739545997610514</x:v>
      </x:c>
    </x:row>
    <x:row r="1650">
      <x:c r="A1650" s="379" t="n">
        <x:v>47301</x:v>
      </x:c>
      <x:c r="B1650" s="380" t="n">
        <x:v>2029</x:v>
      </x:c>
      <x:c r="C1650" s="380" t="n">
        <x:v>7</x:v>
      </x:c>
      <x:c r="D1650" s="380" t="str">
        <x:v>Jul</x:v>
      </x:c>
      <x:c r="E1650" s="380" t="n">
        <x:v>2</x:v>
      </x:c>
      <x:c r="F1650" s="380" t="n">
        <x:v>1</x:v>
      </x:c>
      <x:c r="G1650" s="380" t="n">
        <x:f>--(F1650&lt;='Estimator'!$B$7)</x:f>
        <x:v>1</x:v>
      </x:c>
      <x:c r="H1650" s="381" t="n">
        <x:f>SUMIFS('Climate Data'!$G$7:$G$366,'Climate Data'!$A$7:$A$366,'Estimator'!$B$4,'Climate Data'!$B$7:$B$366,C1650)</x:f>
        <x:v>0.49078341013824883</x:v>
      </x:c>
      <x:c r="I1650" s="382" t="n">
        <x:f>SUMIFS('Climate Data'!$H$7:$H$366,'Climate Data'!$A$7:$A$366,'Estimator'!$B$4,'Climate Data'!$B$7:$B$366,C1650)</x:f>
        <x:v>8.998122065727701</x:v>
      </x:c>
      <x:c r="J1650" s="381" t="n">
        <x:f>SUMIFS('Wind Proxy'!$H$8:$H$19,'Wind Proxy'!$A$8:$A$19,'Estimator'!$B$4,'Wind Proxy'!$B$8:$B$19,C1650)</x:f>
        <x:v>0.13739545997610514</x:v>
      </x:c>
    </x:row>
    <x:row r="1651">
      <x:c r="A1651" s="379" t="n">
        <x:v>47302</x:v>
      </x:c>
      <x:c r="B1651" s="380" t="n">
        <x:v>2029</x:v>
      </x:c>
      <x:c r="C1651" s="380" t="n">
        <x:v>7</x:v>
      </x:c>
      <x:c r="D1651" s="380" t="str">
        <x:v>Jul</x:v>
      </x:c>
      <x:c r="E1651" s="380" t="n">
        <x:v>3</x:v>
      </x:c>
      <x:c r="F1651" s="380" t="n">
        <x:v>2</x:v>
      </x:c>
      <x:c r="G1651" s="380" t="n">
        <x:f>--(F1651&lt;='Estimator'!$B$7)</x:f>
        <x:v>1</x:v>
      </x:c>
      <x:c r="H1651" s="381" t="n">
        <x:f>SUMIFS('Climate Data'!$G$7:$G$366,'Climate Data'!$A$7:$A$366,'Estimator'!$B$4,'Climate Data'!$B$7:$B$366,C1651)</x:f>
        <x:v>0.49078341013824883</x:v>
      </x:c>
      <x:c r="I1651" s="382" t="n">
        <x:f>SUMIFS('Climate Data'!$H$7:$H$366,'Climate Data'!$A$7:$A$366,'Estimator'!$B$4,'Climate Data'!$B$7:$B$366,C1651)</x:f>
        <x:v>8.998122065727701</x:v>
      </x:c>
      <x:c r="J1651" s="381" t="n">
        <x:f>SUMIFS('Wind Proxy'!$H$8:$H$19,'Wind Proxy'!$A$8:$A$19,'Estimator'!$B$4,'Wind Proxy'!$B$8:$B$19,C1651)</x:f>
        <x:v>0.13739545997610514</x:v>
      </x:c>
    </x:row>
    <x:row r="1652">
      <x:c r="A1652" s="379" t="n">
        <x:v>47303</x:v>
      </x:c>
      <x:c r="B1652" s="380" t="n">
        <x:v>2029</x:v>
      </x:c>
      <x:c r="C1652" s="380" t="n">
        <x:v>7</x:v>
      </x:c>
      <x:c r="D1652" s="380" t="str">
        <x:v>Jul</x:v>
      </x:c>
      <x:c r="E1652" s="380" t="n">
        <x:v>4</x:v>
      </x:c>
      <x:c r="F1652" s="380" t="n">
        <x:v>3</x:v>
      </x:c>
      <x:c r="G1652" s="380" t="n">
        <x:f>--(F1652&lt;='Estimator'!$B$7)</x:f>
        <x:v>1</x:v>
      </x:c>
      <x:c r="H1652" s="381" t="n">
        <x:f>SUMIFS('Climate Data'!$G$7:$G$366,'Climate Data'!$A$7:$A$366,'Estimator'!$B$4,'Climate Data'!$B$7:$B$366,C1652)</x:f>
        <x:v>0.49078341013824883</x:v>
      </x:c>
      <x:c r="I1652" s="382" t="n">
        <x:f>SUMIFS('Climate Data'!$H$7:$H$366,'Climate Data'!$A$7:$A$366,'Estimator'!$B$4,'Climate Data'!$B$7:$B$366,C1652)</x:f>
        <x:v>8.998122065727701</x:v>
      </x:c>
      <x:c r="J1652" s="381" t="n">
        <x:f>SUMIFS('Wind Proxy'!$H$8:$H$19,'Wind Proxy'!$A$8:$A$19,'Estimator'!$B$4,'Wind Proxy'!$B$8:$B$19,C1652)</x:f>
        <x:v>0.13739545997610514</x:v>
      </x:c>
    </x:row>
    <x:row r="1653">
      <x:c r="A1653" s="379" t="n">
        <x:v>47304</x:v>
      </x:c>
      <x:c r="B1653" s="380" t="n">
        <x:v>2029</x:v>
      </x:c>
      <x:c r="C1653" s="380" t="n">
        <x:v>7</x:v>
      </x:c>
      <x:c r="D1653" s="380" t="str">
        <x:v>Jul</x:v>
      </x:c>
      <x:c r="E1653" s="380" t="n">
        <x:v>5</x:v>
      </x:c>
      <x:c r="F1653" s="380" t="n">
        <x:v>4</x:v>
      </x:c>
      <x:c r="G1653" s="380" t="n">
        <x:f>--(F1653&lt;='Estimator'!$B$7)</x:f>
        <x:v>1</x:v>
      </x:c>
      <x:c r="H1653" s="381" t="n">
        <x:f>SUMIFS('Climate Data'!$G$7:$G$366,'Climate Data'!$A$7:$A$366,'Estimator'!$B$4,'Climate Data'!$B$7:$B$366,C1653)</x:f>
        <x:v>0.49078341013824883</x:v>
      </x:c>
      <x:c r="I1653" s="382" t="n">
        <x:f>SUMIFS('Climate Data'!$H$7:$H$366,'Climate Data'!$A$7:$A$366,'Estimator'!$B$4,'Climate Data'!$B$7:$B$366,C1653)</x:f>
        <x:v>8.998122065727701</x:v>
      </x:c>
      <x:c r="J1653" s="381" t="n">
        <x:f>SUMIFS('Wind Proxy'!$H$8:$H$19,'Wind Proxy'!$A$8:$A$19,'Estimator'!$B$4,'Wind Proxy'!$B$8:$B$19,C1653)</x:f>
        <x:v>0.13739545997610514</x:v>
      </x:c>
    </x:row>
    <x:row r="1654">
      <x:c r="A1654" s="379" t="n">
        <x:v>47305</x:v>
      </x:c>
      <x:c r="B1654" s="380" t="n">
        <x:v>2029</x:v>
      </x:c>
      <x:c r="C1654" s="380" t="n">
        <x:v>7</x:v>
      </x:c>
      <x:c r="D1654" s="380" t="str">
        <x:v>Jul</x:v>
      </x:c>
      <x:c r="E1654" s="380" t="n">
        <x:v>6</x:v>
      </x:c>
      <x:c r="F1654" s="380" t="n">
        <x:v>5</x:v>
      </x:c>
      <x:c r="G1654" s="380" t="n">
        <x:f>--(F1654&lt;='Estimator'!$B$7)</x:f>
        <x:v>1</x:v>
      </x:c>
      <x:c r="H1654" s="381" t="n">
        <x:f>SUMIFS('Climate Data'!$G$7:$G$366,'Climate Data'!$A$7:$A$366,'Estimator'!$B$4,'Climate Data'!$B$7:$B$366,C1654)</x:f>
        <x:v>0.49078341013824883</x:v>
      </x:c>
      <x:c r="I1654" s="382" t="n">
        <x:f>SUMIFS('Climate Data'!$H$7:$H$366,'Climate Data'!$A$7:$A$366,'Estimator'!$B$4,'Climate Data'!$B$7:$B$366,C1654)</x:f>
        <x:v>8.998122065727701</x:v>
      </x:c>
      <x:c r="J1654" s="381" t="n">
        <x:f>SUMIFS('Wind Proxy'!$H$8:$H$19,'Wind Proxy'!$A$8:$A$19,'Estimator'!$B$4,'Wind Proxy'!$B$8:$B$19,C1654)</x:f>
        <x:v>0.13739545997610514</x:v>
      </x:c>
    </x:row>
    <x:row r="1655">
      <x:c r="A1655" s="379" t="n">
        <x:v>47306</x:v>
      </x:c>
      <x:c r="B1655" s="380" t="n">
        <x:v>2029</x:v>
      </x:c>
      <x:c r="C1655" s="380" t="n">
        <x:v>7</x:v>
      </x:c>
      <x:c r="D1655" s="380" t="str">
        <x:v>Jul</x:v>
      </x:c>
      <x:c r="E1655" s="380" t="n">
        <x:v>7</x:v>
      </x:c>
      <x:c r="F1655" s="380" t="n">
        <x:v>6</x:v>
      </x:c>
      <x:c r="G1655" s="380" t="n">
        <x:f>--(F1655&lt;='Estimator'!$B$7)</x:f>
        <x:v>0</x:v>
      </x:c>
      <x:c r="H1655" s="381" t="n">
        <x:f>SUMIFS('Climate Data'!$G$7:$G$366,'Climate Data'!$A$7:$A$366,'Estimator'!$B$4,'Climate Data'!$B$7:$B$366,C1655)</x:f>
        <x:v>0.49078341013824883</x:v>
      </x:c>
      <x:c r="I1655" s="382" t="n">
        <x:f>SUMIFS('Climate Data'!$H$7:$H$366,'Climate Data'!$A$7:$A$366,'Estimator'!$B$4,'Climate Data'!$B$7:$B$366,C1655)</x:f>
        <x:v>8.998122065727701</x:v>
      </x:c>
      <x:c r="J1655" s="381" t="n">
        <x:f>SUMIFS('Wind Proxy'!$H$8:$H$19,'Wind Proxy'!$A$8:$A$19,'Estimator'!$B$4,'Wind Proxy'!$B$8:$B$19,C1655)</x:f>
        <x:v>0.13739545997610514</x:v>
      </x:c>
    </x:row>
    <x:row r="1656">
      <x:c r="A1656" s="379" t="n">
        <x:v>47307</x:v>
      </x:c>
      <x:c r="B1656" s="380" t="n">
        <x:v>2029</x:v>
      </x:c>
      <x:c r="C1656" s="380" t="n">
        <x:v>7</x:v>
      </x:c>
      <x:c r="D1656" s="380" t="str">
        <x:v>Jul</x:v>
      </x:c>
      <x:c r="E1656" s="380" t="n">
        <x:v>8</x:v>
      </x:c>
      <x:c r="F1656" s="380" t="n">
        <x:v>7</x:v>
      </x:c>
      <x:c r="G1656" s="380" t="n">
        <x:f>--(F1656&lt;='Estimator'!$B$7)</x:f>
        <x:v>0</x:v>
      </x:c>
      <x:c r="H1656" s="381" t="n">
        <x:f>SUMIFS('Climate Data'!$G$7:$G$366,'Climate Data'!$A$7:$A$366,'Estimator'!$B$4,'Climate Data'!$B$7:$B$366,C1656)</x:f>
        <x:v>0.49078341013824883</x:v>
      </x:c>
      <x:c r="I1656" s="382" t="n">
        <x:f>SUMIFS('Climate Data'!$H$7:$H$366,'Climate Data'!$A$7:$A$366,'Estimator'!$B$4,'Climate Data'!$B$7:$B$366,C1656)</x:f>
        <x:v>8.998122065727701</x:v>
      </x:c>
      <x:c r="J1656" s="381" t="n">
        <x:f>SUMIFS('Wind Proxy'!$H$8:$H$19,'Wind Proxy'!$A$8:$A$19,'Estimator'!$B$4,'Wind Proxy'!$B$8:$B$19,C1656)</x:f>
        <x:v>0.13739545997610514</x:v>
      </x:c>
    </x:row>
    <x:row r="1657">
      <x:c r="A1657" s="379" t="n">
        <x:v>47308</x:v>
      </x:c>
      <x:c r="B1657" s="380" t="n">
        <x:v>2029</x:v>
      </x:c>
      <x:c r="C1657" s="380" t="n">
        <x:v>7</x:v>
      </x:c>
      <x:c r="D1657" s="380" t="str">
        <x:v>Jul</x:v>
      </x:c>
      <x:c r="E1657" s="380" t="n">
        <x:v>9</x:v>
      </x:c>
      <x:c r="F1657" s="380" t="n">
        <x:v>1</x:v>
      </x:c>
      <x:c r="G1657" s="380" t="n">
        <x:f>--(F1657&lt;='Estimator'!$B$7)</x:f>
        <x:v>1</x:v>
      </x:c>
      <x:c r="H1657" s="381" t="n">
        <x:f>SUMIFS('Climate Data'!$G$7:$G$366,'Climate Data'!$A$7:$A$366,'Estimator'!$B$4,'Climate Data'!$B$7:$B$366,C1657)</x:f>
        <x:v>0.49078341013824883</x:v>
      </x:c>
      <x:c r="I1657" s="382" t="n">
        <x:f>SUMIFS('Climate Data'!$H$7:$H$366,'Climate Data'!$A$7:$A$366,'Estimator'!$B$4,'Climate Data'!$B$7:$B$366,C1657)</x:f>
        <x:v>8.998122065727701</x:v>
      </x:c>
      <x:c r="J1657" s="381" t="n">
        <x:f>SUMIFS('Wind Proxy'!$H$8:$H$19,'Wind Proxy'!$A$8:$A$19,'Estimator'!$B$4,'Wind Proxy'!$B$8:$B$19,C1657)</x:f>
        <x:v>0.13739545997610514</x:v>
      </x:c>
    </x:row>
    <x:row r="1658">
      <x:c r="A1658" s="379" t="n">
        <x:v>47309</x:v>
      </x:c>
      <x:c r="B1658" s="380" t="n">
        <x:v>2029</x:v>
      </x:c>
      <x:c r="C1658" s="380" t="n">
        <x:v>7</x:v>
      </x:c>
      <x:c r="D1658" s="380" t="str">
        <x:v>Jul</x:v>
      </x:c>
      <x:c r="E1658" s="380" t="n">
        <x:v>10</x:v>
      </x:c>
      <x:c r="F1658" s="380" t="n">
        <x:v>2</x:v>
      </x:c>
      <x:c r="G1658" s="380" t="n">
        <x:f>--(F1658&lt;='Estimator'!$B$7)</x:f>
        <x:v>1</x:v>
      </x:c>
      <x:c r="H1658" s="381" t="n">
        <x:f>SUMIFS('Climate Data'!$G$7:$G$366,'Climate Data'!$A$7:$A$366,'Estimator'!$B$4,'Climate Data'!$B$7:$B$366,C1658)</x:f>
        <x:v>0.49078341013824883</x:v>
      </x:c>
      <x:c r="I1658" s="382" t="n">
        <x:f>SUMIFS('Climate Data'!$H$7:$H$366,'Climate Data'!$A$7:$A$366,'Estimator'!$B$4,'Climate Data'!$B$7:$B$366,C1658)</x:f>
        <x:v>8.998122065727701</x:v>
      </x:c>
      <x:c r="J1658" s="381" t="n">
        <x:f>SUMIFS('Wind Proxy'!$H$8:$H$19,'Wind Proxy'!$A$8:$A$19,'Estimator'!$B$4,'Wind Proxy'!$B$8:$B$19,C1658)</x:f>
        <x:v>0.13739545997610514</x:v>
      </x:c>
    </x:row>
    <x:row r="1659">
      <x:c r="A1659" s="379" t="n">
        <x:v>47310</x:v>
      </x:c>
      <x:c r="B1659" s="380" t="n">
        <x:v>2029</x:v>
      </x:c>
      <x:c r="C1659" s="380" t="n">
        <x:v>7</x:v>
      </x:c>
      <x:c r="D1659" s="380" t="str">
        <x:v>Jul</x:v>
      </x:c>
      <x:c r="E1659" s="380" t="n">
        <x:v>11</x:v>
      </x:c>
      <x:c r="F1659" s="380" t="n">
        <x:v>3</x:v>
      </x:c>
      <x:c r="G1659" s="380" t="n">
        <x:f>--(F1659&lt;='Estimator'!$B$7)</x:f>
        <x:v>1</x:v>
      </x:c>
      <x:c r="H1659" s="381" t="n">
        <x:f>SUMIFS('Climate Data'!$G$7:$G$366,'Climate Data'!$A$7:$A$366,'Estimator'!$B$4,'Climate Data'!$B$7:$B$366,C1659)</x:f>
        <x:v>0.49078341013824883</x:v>
      </x:c>
      <x:c r="I1659" s="382" t="n">
        <x:f>SUMIFS('Climate Data'!$H$7:$H$366,'Climate Data'!$A$7:$A$366,'Estimator'!$B$4,'Climate Data'!$B$7:$B$366,C1659)</x:f>
        <x:v>8.998122065727701</x:v>
      </x:c>
      <x:c r="J1659" s="381" t="n">
        <x:f>SUMIFS('Wind Proxy'!$H$8:$H$19,'Wind Proxy'!$A$8:$A$19,'Estimator'!$B$4,'Wind Proxy'!$B$8:$B$19,C1659)</x:f>
        <x:v>0.13739545997610514</x:v>
      </x:c>
    </x:row>
    <x:row r="1660">
      <x:c r="A1660" s="379" t="n">
        <x:v>47311</x:v>
      </x:c>
      <x:c r="B1660" s="380" t="n">
        <x:v>2029</x:v>
      </x:c>
      <x:c r="C1660" s="380" t="n">
        <x:v>7</x:v>
      </x:c>
      <x:c r="D1660" s="380" t="str">
        <x:v>Jul</x:v>
      </x:c>
      <x:c r="E1660" s="380" t="n">
        <x:v>12</x:v>
      </x:c>
      <x:c r="F1660" s="380" t="n">
        <x:v>4</x:v>
      </x:c>
      <x:c r="G1660" s="380" t="n">
        <x:f>--(F1660&lt;='Estimator'!$B$7)</x:f>
        <x:v>1</x:v>
      </x:c>
      <x:c r="H1660" s="381" t="n">
        <x:f>SUMIFS('Climate Data'!$G$7:$G$366,'Climate Data'!$A$7:$A$366,'Estimator'!$B$4,'Climate Data'!$B$7:$B$366,C1660)</x:f>
        <x:v>0.49078341013824883</x:v>
      </x:c>
      <x:c r="I1660" s="382" t="n">
        <x:f>SUMIFS('Climate Data'!$H$7:$H$366,'Climate Data'!$A$7:$A$366,'Estimator'!$B$4,'Climate Data'!$B$7:$B$366,C1660)</x:f>
        <x:v>8.998122065727701</x:v>
      </x:c>
      <x:c r="J1660" s="381" t="n">
        <x:f>SUMIFS('Wind Proxy'!$H$8:$H$19,'Wind Proxy'!$A$8:$A$19,'Estimator'!$B$4,'Wind Proxy'!$B$8:$B$19,C1660)</x:f>
        <x:v>0.13739545997610514</x:v>
      </x:c>
    </x:row>
    <x:row r="1661">
      <x:c r="A1661" s="379" t="n">
        <x:v>47312</x:v>
      </x:c>
      <x:c r="B1661" s="380" t="n">
        <x:v>2029</x:v>
      </x:c>
      <x:c r="C1661" s="380" t="n">
        <x:v>7</x:v>
      </x:c>
      <x:c r="D1661" s="380" t="str">
        <x:v>Jul</x:v>
      </x:c>
      <x:c r="E1661" s="380" t="n">
        <x:v>13</x:v>
      </x:c>
      <x:c r="F1661" s="380" t="n">
        <x:v>5</x:v>
      </x:c>
      <x:c r="G1661" s="380" t="n">
        <x:f>--(F1661&lt;='Estimator'!$B$7)</x:f>
        <x:v>1</x:v>
      </x:c>
      <x:c r="H1661" s="381" t="n">
        <x:f>SUMIFS('Climate Data'!$G$7:$G$366,'Climate Data'!$A$7:$A$366,'Estimator'!$B$4,'Climate Data'!$B$7:$B$366,C1661)</x:f>
        <x:v>0.49078341013824883</x:v>
      </x:c>
      <x:c r="I1661" s="382" t="n">
        <x:f>SUMIFS('Climate Data'!$H$7:$H$366,'Climate Data'!$A$7:$A$366,'Estimator'!$B$4,'Climate Data'!$B$7:$B$366,C1661)</x:f>
        <x:v>8.998122065727701</x:v>
      </x:c>
      <x:c r="J1661" s="381" t="n">
        <x:f>SUMIFS('Wind Proxy'!$H$8:$H$19,'Wind Proxy'!$A$8:$A$19,'Estimator'!$B$4,'Wind Proxy'!$B$8:$B$19,C1661)</x:f>
        <x:v>0.13739545997610514</x:v>
      </x:c>
    </x:row>
    <x:row r="1662">
      <x:c r="A1662" s="379" t="n">
        <x:v>47313</x:v>
      </x:c>
      <x:c r="B1662" s="380" t="n">
        <x:v>2029</x:v>
      </x:c>
      <x:c r="C1662" s="380" t="n">
        <x:v>7</x:v>
      </x:c>
      <x:c r="D1662" s="380" t="str">
        <x:v>Jul</x:v>
      </x:c>
      <x:c r="E1662" s="380" t="n">
        <x:v>14</x:v>
      </x:c>
      <x:c r="F1662" s="380" t="n">
        <x:v>6</x:v>
      </x:c>
      <x:c r="G1662" s="380" t="n">
        <x:f>--(F1662&lt;='Estimator'!$B$7)</x:f>
        <x:v>0</x:v>
      </x:c>
      <x:c r="H1662" s="381" t="n">
        <x:f>SUMIFS('Climate Data'!$G$7:$G$366,'Climate Data'!$A$7:$A$366,'Estimator'!$B$4,'Climate Data'!$B$7:$B$366,C1662)</x:f>
        <x:v>0.49078341013824883</x:v>
      </x:c>
      <x:c r="I1662" s="382" t="n">
        <x:f>SUMIFS('Climate Data'!$H$7:$H$366,'Climate Data'!$A$7:$A$366,'Estimator'!$B$4,'Climate Data'!$B$7:$B$366,C1662)</x:f>
        <x:v>8.998122065727701</x:v>
      </x:c>
      <x:c r="J1662" s="381" t="n">
        <x:f>SUMIFS('Wind Proxy'!$H$8:$H$19,'Wind Proxy'!$A$8:$A$19,'Estimator'!$B$4,'Wind Proxy'!$B$8:$B$19,C1662)</x:f>
        <x:v>0.13739545997610514</x:v>
      </x:c>
    </x:row>
    <x:row r="1663">
      <x:c r="A1663" s="379" t="n">
        <x:v>47314</x:v>
      </x:c>
      <x:c r="B1663" s="380" t="n">
        <x:v>2029</x:v>
      </x:c>
      <x:c r="C1663" s="380" t="n">
        <x:v>7</x:v>
      </x:c>
      <x:c r="D1663" s="380" t="str">
        <x:v>Jul</x:v>
      </x:c>
      <x:c r="E1663" s="380" t="n">
        <x:v>15</x:v>
      </x:c>
      <x:c r="F1663" s="380" t="n">
        <x:v>7</x:v>
      </x:c>
      <x:c r="G1663" s="380" t="n">
        <x:f>--(F1663&lt;='Estimator'!$B$7)</x:f>
        <x:v>0</x:v>
      </x:c>
      <x:c r="H1663" s="381" t="n">
        <x:f>SUMIFS('Climate Data'!$G$7:$G$366,'Climate Data'!$A$7:$A$366,'Estimator'!$B$4,'Climate Data'!$B$7:$B$366,C1663)</x:f>
        <x:v>0.49078341013824883</x:v>
      </x:c>
      <x:c r="I1663" s="382" t="n">
        <x:f>SUMIFS('Climate Data'!$H$7:$H$366,'Climate Data'!$A$7:$A$366,'Estimator'!$B$4,'Climate Data'!$B$7:$B$366,C1663)</x:f>
        <x:v>8.998122065727701</x:v>
      </x:c>
      <x:c r="J1663" s="381" t="n">
        <x:f>SUMIFS('Wind Proxy'!$H$8:$H$19,'Wind Proxy'!$A$8:$A$19,'Estimator'!$B$4,'Wind Proxy'!$B$8:$B$19,C1663)</x:f>
        <x:v>0.13739545997610514</x:v>
      </x:c>
    </x:row>
    <x:row r="1664">
      <x:c r="A1664" s="379" t="n">
        <x:v>47315</x:v>
      </x:c>
      <x:c r="B1664" s="380" t="n">
        <x:v>2029</x:v>
      </x:c>
      <x:c r="C1664" s="380" t="n">
        <x:v>7</x:v>
      </x:c>
      <x:c r="D1664" s="380" t="str">
        <x:v>Jul</x:v>
      </x:c>
      <x:c r="E1664" s="380" t="n">
        <x:v>16</x:v>
      </x:c>
      <x:c r="F1664" s="380" t="n">
        <x:v>1</x:v>
      </x:c>
      <x:c r="G1664" s="380" t="n">
        <x:f>--(F1664&lt;='Estimator'!$B$7)</x:f>
        <x:v>1</x:v>
      </x:c>
      <x:c r="H1664" s="381" t="n">
        <x:f>SUMIFS('Climate Data'!$G$7:$G$366,'Climate Data'!$A$7:$A$366,'Estimator'!$B$4,'Climate Data'!$B$7:$B$366,C1664)</x:f>
        <x:v>0.49078341013824883</x:v>
      </x:c>
      <x:c r="I1664" s="382" t="n">
        <x:f>SUMIFS('Climate Data'!$H$7:$H$366,'Climate Data'!$A$7:$A$366,'Estimator'!$B$4,'Climate Data'!$B$7:$B$366,C1664)</x:f>
        <x:v>8.998122065727701</x:v>
      </x:c>
      <x:c r="J1664" s="381" t="n">
        <x:f>SUMIFS('Wind Proxy'!$H$8:$H$19,'Wind Proxy'!$A$8:$A$19,'Estimator'!$B$4,'Wind Proxy'!$B$8:$B$19,C1664)</x:f>
        <x:v>0.13739545997610514</x:v>
      </x:c>
    </x:row>
    <x:row r="1665">
      <x:c r="A1665" s="379" t="n">
        <x:v>47316</x:v>
      </x:c>
      <x:c r="B1665" s="380" t="n">
        <x:v>2029</x:v>
      </x:c>
      <x:c r="C1665" s="380" t="n">
        <x:v>7</x:v>
      </x:c>
      <x:c r="D1665" s="380" t="str">
        <x:v>Jul</x:v>
      </x:c>
      <x:c r="E1665" s="380" t="n">
        <x:v>17</x:v>
      </x:c>
      <x:c r="F1665" s="380" t="n">
        <x:v>2</x:v>
      </x:c>
      <x:c r="G1665" s="380" t="n">
        <x:f>--(F1665&lt;='Estimator'!$B$7)</x:f>
        <x:v>1</x:v>
      </x:c>
      <x:c r="H1665" s="381" t="n">
        <x:f>SUMIFS('Climate Data'!$G$7:$G$366,'Climate Data'!$A$7:$A$366,'Estimator'!$B$4,'Climate Data'!$B$7:$B$366,C1665)</x:f>
        <x:v>0.49078341013824883</x:v>
      </x:c>
      <x:c r="I1665" s="382" t="n">
        <x:f>SUMIFS('Climate Data'!$H$7:$H$366,'Climate Data'!$A$7:$A$366,'Estimator'!$B$4,'Climate Data'!$B$7:$B$366,C1665)</x:f>
        <x:v>8.998122065727701</x:v>
      </x:c>
      <x:c r="J1665" s="381" t="n">
        <x:f>SUMIFS('Wind Proxy'!$H$8:$H$19,'Wind Proxy'!$A$8:$A$19,'Estimator'!$B$4,'Wind Proxy'!$B$8:$B$19,C1665)</x:f>
        <x:v>0.13739545997610514</x:v>
      </x:c>
    </x:row>
    <x:row r="1666">
      <x:c r="A1666" s="379" t="n">
        <x:v>47317</x:v>
      </x:c>
      <x:c r="B1666" s="380" t="n">
        <x:v>2029</x:v>
      </x:c>
      <x:c r="C1666" s="380" t="n">
        <x:v>7</x:v>
      </x:c>
      <x:c r="D1666" s="380" t="str">
        <x:v>Jul</x:v>
      </x:c>
      <x:c r="E1666" s="380" t="n">
        <x:v>18</x:v>
      </x:c>
      <x:c r="F1666" s="380" t="n">
        <x:v>3</x:v>
      </x:c>
      <x:c r="G1666" s="380" t="n">
        <x:f>--(F1666&lt;='Estimator'!$B$7)</x:f>
        <x:v>1</x:v>
      </x:c>
      <x:c r="H1666" s="381" t="n">
        <x:f>SUMIFS('Climate Data'!$G$7:$G$366,'Climate Data'!$A$7:$A$366,'Estimator'!$B$4,'Climate Data'!$B$7:$B$366,C1666)</x:f>
        <x:v>0.49078341013824883</x:v>
      </x:c>
      <x:c r="I1666" s="382" t="n">
        <x:f>SUMIFS('Climate Data'!$H$7:$H$366,'Climate Data'!$A$7:$A$366,'Estimator'!$B$4,'Climate Data'!$B$7:$B$366,C1666)</x:f>
        <x:v>8.998122065727701</x:v>
      </x:c>
      <x:c r="J1666" s="381" t="n">
        <x:f>SUMIFS('Wind Proxy'!$H$8:$H$19,'Wind Proxy'!$A$8:$A$19,'Estimator'!$B$4,'Wind Proxy'!$B$8:$B$19,C1666)</x:f>
        <x:v>0.13739545997610514</x:v>
      </x:c>
    </x:row>
    <x:row r="1667">
      <x:c r="A1667" s="379" t="n">
        <x:v>47318</x:v>
      </x:c>
      <x:c r="B1667" s="380" t="n">
        <x:v>2029</x:v>
      </x:c>
      <x:c r="C1667" s="380" t="n">
        <x:v>7</x:v>
      </x:c>
      <x:c r="D1667" s="380" t="str">
        <x:v>Jul</x:v>
      </x:c>
      <x:c r="E1667" s="380" t="n">
        <x:v>19</x:v>
      </x:c>
      <x:c r="F1667" s="380" t="n">
        <x:v>4</x:v>
      </x:c>
      <x:c r="G1667" s="380" t="n">
        <x:f>--(F1667&lt;='Estimator'!$B$7)</x:f>
        <x:v>1</x:v>
      </x:c>
      <x:c r="H1667" s="381" t="n">
        <x:f>SUMIFS('Climate Data'!$G$7:$G$366,'Climate Data'!$A$7:$A$366,'Estimator'!$B$4,'Climate Data'!$B$7:$B$366,C1667)</x:f>
        <x:v>0.49078341013824883</x:v>
      </x:c>
      <x:c r="I1667" s="382" t="n">
        <x:f>SUMIFS('Climate Data'!$H$7:$H$366,'Climate Data'!$A$7:$A$366,'Estimator'!$B$4,'Climate Data'!$B$7:$B$366,C1667)</x:f>
        <x:v>8.998122065727701</x:v>
      </x:c>
      <x:c r="J1667" s="381" t="n">
        <x:f>SUMIFS('Wind Proxy'!$H$8:$H$19,'Wind Proxy'!$A$8:$A$19,'Estimator'!$B$4,'Wind Proxy'!$B$8:$B$19,C1667)</x:f>
        <x:v>0.13739545997610514</x:v>
      </x:c>
    </x:row>
    <x:row r="1668">
      <x:c r="A1668" s="379" t="n">
        <x:v>47319</x:v>
      </x:c>
      <x:c r="B1668" s="380" t="n">
        <x:v>2029</x:v>
      </x:c>
      <x:c r="C1668" s="380" t="n">
        <x:v>7</x:v>
      </x:c>
      <x:c r="D1668" s="380" t="str">
        <x:v>Jul</x:v>
      </x:c>
      <x:c r="E1668" s="380" t="n">
        <x:v>20</x:v>
      </x:c>
      <x:c r="F1668" s="380" t="n">
        <x:v>5</x:v>
      </x:c>
      <x:c r="G1668" s="380" t="n">
        <x:f>--(F1668&lt;='Estimator'!$B$7)</x:f>
        <x:v>1</x:v>
      </x:c>
      <x:c r="H1668" s="381" t="n">
        <x:f>SUMIFS('Climate Data'!$G$7:$G$366,'Climate Data'!$A$7:$A$366,'Estimator'!$B$4,'Climate Data'!$B$7:$B$366,C1668)</x:f>
        <x:v>0.49078341013824883</x:v>
      </x:c>
      <x:c r="I1668" s="382" t="n">
        <x:f>SUMIFS('Climate Data'!$H$7:$H$366,'Climate Data'!$A$7:$A$366,'Estimator'!$B$4,'Climate Data'!$B$7:$B$366,C1668)</x:f>
        <x:v>8.998122065727701</x:v>
      </x:c>
      <x:c r="J1668" s="381" t="n">
        <x:f>SUMIFS('Wind Proxy'!$H$8:$H$19,'Wind Proxy'!$A$8:$A$19,'Estimator'!$B$4,'Wind Proxy'!$B$8:$B$19,C1668)</x:f>
        <x:v>0.13739545997610514</x:v>
      </x:c>
    </x:row>
    <x:row r="1669">
      <x:c r="A1669" s="379" t="n">
        <x:v>47320</x:v>
      </x:c>
      <x:c r="B1669" s="380" t="n">
        <x:v>2029</x:v>
      </x:c>
      <x:c r="C1669" s="380" t="n">
        <x:v>7</x:v>
      </x:c>
      <x:c r="D1669" s="380" t="str">
        <x:v>Jul</x:v>
      </x:c>
      <x:c r="E1669" s="380" t="n">
        <x:v>21</x:v>
      </x:c>
      <x:c r="F1669" s="380" t="n">
        <x:v>6</x:v>
      </x:c>
      <x:c r="G1669" s="380" t="n">
        <x:f>--(F1669&lt;='Estimator'!$B$7)</x:f>
        <x:v>0</x:v>
      </x:c>
      <x:c r="H1669" s="381" t="n">
        <x:f>SUMIFS('Climate Data'!$G$7:$G$366,'Climate Data'!$A$7:$A$366,'Estimator'!$B$4,'Climate Data'!$B$7:$B$366,C1669)</x:f>
        <x:v>0.49078341013824883</x:v>
      </x:c>
      <x:c r="I1669" s="382" t="n">
        <x:f>SUMIFS('Climate Data'!$H$7:$H$366,'Climate Data'!$A$7:$A$366,'Estimator'!$B$4,'Climate Data'!$B$7:$B$366,C1669)</x:f>
        <x:v>8.998122065727701</x:v>
      </x:c>
      <x:c r="J1669" s="381" t="n">
        <x:f>SUMIFS('Wind Proxy'!$H$8:$H$19,'Wind Proxy'!$A$8:$A$19,'Estimator'!$B$4,'Wind Proxy'!$B$8:$B$19,C1669)</x:f>
        <x:v>0.13739545997610514</x:v>
      </x:c>
    </x:row>
    <x:row r="1670">
      <x:c r="A1670" s="379" t="n">
        <x:v>47321</x:v>
      </x:c>
      <x:c r="B1670" s="380" t="n">
        <x:v>2029</x:v>
      </x:c>
      <x:c r="C1670" s="380" t="n">
        <x:v>7</x:v>
      </x:c>
      <x:c r="D1670" s="380" t="str">
        <x:v>Jul</x:v>
      </x:c>
      <x:c r="E1670" s="380" t="n">
        <x:v>22</x:v>
      </x:c>
      <x:c r="F1670" s="380" t="n">
        <x:v>7</x:v>
      </x:c>
      <x:c r="G1670" s="380" t="n">
        <x:f>--(F1670&lt;='Estimator'!$B$7)</x:f>
        <x:v>0</x:v>
      </x:c>
      <x:c r="H1670" s="381" t="n">
        <x:f>SUMIFS('Climate Data'!$G$7:$G$366,'Climate Data'!$A$7:$A$366,'Estimator'!$B$4,'Climate Data'!$B$7:$B$366,C1670)</x:f>
        <x:v>0.49078341013824883</x:v>
      </x:c>
      <x:c r="I1670" s="382" t="n">
        <x:f>SUMIFS('Climate Data'!$H$7:$H$366,'Climate Data'!$A$7:$A$366,'Estimator'!$B$4,'Climate Data'!$B$7:$B$366,C1670)</x:f>
        <x:v>8.998122065727701</x:v>
      </x:c>
      <x:c r="J1670" s="381" t="n">
        <x:f>SUMIFS('Wind Proxy'!$H$8:$H$19,'Wind Proxy'!$A$8:$A$19,'Estimator'!$B$4,'Wind Proxy'!$B$8:$B$19,C1670)</x:f>
        <x:v>0.13739545997610514</x:v>
      </x:c>
    </x:row>
    <x:row r="1671">
      <x:c r="A1671" s="379" t="n">
        <x:v>47322</x:v>
      </x:c>
      <x:c r="B1671" s="380" t="n">
        <x:v>2029</x:v>
      </x:c>
      <x:c r="C1671" s="380" t="n">
        <x:v>7</x:v>
      </x:c>
      <x:c r="D1671" s="380" t="str">
        <x:v>Jul</x:v>
      </x:c>
      <x:c r="E1671" s="380" t="n">
        <x:v>23</x:v>
      </x:c>
      <x:c r="F1671" s="380" t="n">
        <x:v>1</x:v>
      </x:c>
      <x:c r="G1671" s="380" t="n">
        <x:f>--(F1671&lt;='Estimator'!$B$7)</x:f>
        <x:v>1</x:v>
      </x:c>
      <x:c r="H1671" s="381" t="n">
        <x:f>SUMIFS('Climate Data'!$G$7:$G$366,'Climate Data'!$A$7:$A$366,'Estimator'!$B$4,'Climate Data'!$B$7:$B$366,C1671)</x:f>
        <x:v>0.49078341013824883</x:v>
      </x:c>
      <x:c r="I1671" s="382" t="n">
        <x:f>SUMIFS('Climate Data'!$H$7:$H$366,'Climate Data'!$A$7:$A$366,'Estimator'!$B$4,'Climate Data'!$B$7:$B$366,C1671)</x:f>
        <x:v>8.998122065727701</x:v>
      </x:c>
      <x:c r="J1671" s="381" t="n">
        <x:f>SUMIFS('Wind Proxy'!$H$8:$H$19,'Wind Proxy'!$A$8:$A$19,'Estimator'!$B$4,'Wind Proxy'!$B$8:$B$19,C1671)</x:f>
        <x:v>0.13739545997610514</x:v>
      </x:c>
    </x:row>
    <x:row r="1672">
      <x:c r="A1672" s="379" t="n">
        <x:v>47323</x:v>
      </x:c>
      <x:c r="B1672" s="380" t="n">
        <x:v>2029</x:v>
      </x:c>
      <x:c r="C1672" s="380" t="n">
        <x:v>7</x:v>
      </x:c>
      <x:c r="D1672" s="380" t="str">
        <x:v>Jul</x:v>
      </x:c>
      <x:c r="E1672" s="380" t="n">
        <x:v>24</x:v>
      </x:c>
      <x:c r="F1672" s="380" t="n">
        <x:v>2</x:v>
      </x:c>
      <x:c r="G1672" s="380" t="n">
        <x:f>--(F1672&lt;='Estimator'!$B$7)</x:f>
        <x:v>1</x:v>
      </x:c>
      <x:c r="H1672" s="381" t="n">
        <x:f>SUMIFS('Climate Data'!$G$7:$G$366,'Climate Data'!$A$7:$A$366,'Estimator'!$B$4,'Climate Data'!$B$7:$B$366,C1672)</x:f>
        <x:v>0.49078341013824883</x:v>
      </x:c>
      <x:c r="I1672" s="382" t="n">
        <x:f>SUMIFS('Climate Data'!$H$7:$H$366,'Climate Data'!$A$7:$A$366,'Estimator'!$B$4,'Climate Data'!$B$7:$B$366,C1672)</x:f>
        <x:v>8.998122065727701</x:v>
      </x:c>
      <x:c r="J1672" s="381" t="n">
        <x:f>SUMIFS('Wind Proxy'!$H$8:$H$19,'Wind Proxy'!$A$8:$A$19,'Estimator'!$B$4,'Wind Proxy'!$B$8:$B$19,C1672)</x:f>
        <x:v>0.13739545997610514</x:v>
      </x:c>
    </x:row>
    <x:row r="1673">
      <x:c r="A1673" s="379" t="n">
        <x:v>47324</x:v>
      </x:c>
      <x:c r="B1673" s="380" t="n">
        <x:v>2029</x:v>
      </x:c>
      <x:c r="C1673" s="380" t="n">
        <x:v>7</x:v>
      </x:c>
      <x:c r="D1673" s="380" t="str">
        <x:v>Jul</x:v>
      </x:c>
      <x:c r="E1673" s="380" t="n">
        <x:v>25</x:v>
      </x:c>
      <x:c r="F1673" s="380" t="n">
        <x:v>3</x:v>
      </x:c>
      <x:c r="G1673" s="380" t="n">
        <x:f>--(F1673&lt;='Estimator'!$B$7)</x:f>
        <x:v>1</x:v>
      </x:c>
      <x:c r="H1673" s="381" t="n">
        <x:f>SUMIFS('Climate Data'!$G$7:$G$366,'Climate Data'!$A$7:$A$366,'Estimator'!$B$4,'Climate Data'!$B$7:$B$366,C1673)</x:f>
        <x:v>0.49078341013824883</x:v>
      </x:c>
      <x:c r="I1673" s="382" t="n">
        <x:f>SUMIFS('Climate Data'!$H$7:$H$366,'Climate Data'!$A$7:$A$366,'Estimator'!$B$4,'Climate Data'!$B$7:$B$366,C1673)</x:f>
        <x:v>8.998122065727701</x:v>
      </x:c>
      <x:c r="J1673" s="381" t="n">
        <x:f>SUMIFS('Wind Proxy'!$H$8:$H$19,'Wind Proxy'!$A$8:$A$19,'Estimator'!$B$4,'Wind Proxy'!$B$8:$B$19,C1673)</x:f>
        <x:v>0.13739545997610514</x:v>
      </x:c>
    </x:row>
    <x:row r="1674">
      <x:c r="A1674" s="379" t="n">
        <x:v>47325</x:v>
      </x:c>
      <x:c r="B1674" s="380" t="n">
        <x:v>2029</x:v>
      </x:c>
      <x:c r="C1674" s="380" t="n">
        <x:v>7</x:v>
      </x:c>
      <x:c r="D1674" s="380" t="str">
        <x:v>Jul</x:v>
      </x:c>
      <x:c r="E1674" s="380" t="n">
        <x:v>26</x:v>
      </x:c>
      <x:c r="F1674" s="380" t="n">
        <x:v>4</x:v>
      </x:c>
      <x:c r="G1674" s="380" t="n">
        <x:f>--(F1674&lt;='Estimator'!$B$7)</x:f>
        <x:v>1</x:v>
      </x:c>
      <x:c r="H1674" s="381" t="n">
        <x:f>SUMIFS('Climate Data'!$G$7:$G$366,'Climate Data'!$A$7:$A$366,'Estimator'!$B$4,'Climate Data'!$B$7:$B$366,C1674)</x:f>
        <x:v>0.49078341013824883</x:v>
      </x:c>
      <x:c r="I1674" s="382" t="n">
        <x:f>SUMIFS('Climate Data'!$H$7:$H$366,'Climate Data'!$A$7:$A$366,'Estimator'!$B$4,'Climate Data'!$B$7:$B$366,C1674)</x:f>
        <x:v>8.998122065727701</x:v>
      </x:c>
      <x:c r="J1674" s="381" t="n">
        <x:f>SUMIFS('Wind Proxy'!$H$8:$H$19,'Wind Proxy'!$A$8:$A$19,'Estimator'!$B$4,'Wind Proxy'!$B$8:$B$19,C1674)</x:f>
        <x:v>0.13739545997610514</x:v>
      </x:c>
    </x:row>
    <x:row r="1675">
      <x:c r="A1675" s="379" t="n">
        <x:v>47326</x:v>
      </x:c>
      <x:c r="B1675" s="380" t="n">
        <x:v>2029</x:v>
      </x:c>
      <x:c r="C1675" s="380" t="n">
        <x:v>7</x:v>
      </x:c>
      <x:c r="D1675" s="380" t="str">
        <x:v>Jul</x:v>
      </x:c>
      <x:c r="E1675" s="380" t="n">
        <x:v>27</x:v>
      </x:c>
      <x:c r="F1675" s="380" t="n">
        <x:v>5</x:v>
      </x:c>
      <x:c r="G1675" s="380" t="n">
        <x:f>--(F1675&lt;='Estimator'!$B$7)</x:f>
        <x:v>1</x:v>
      </x:c>
      <x:c r="H1675" s="381" t="n">
        <x:f>SUMIFS('Climate Data'!$G$7:$G$366,'Climate Data'!$A$7:$A$366,'Estimator'!$B$4,'Climate Data'!$B$7:$B$366,C1675)</x:f>
        <x:v>0.49078341013824883</x:v>
      </x:c>
      <x:c r="I1675" s="382" t="n">
        <x:f>SUMIFS('Climate Data'!$H$7:$H$366,'Climate Data'!$A$7:$A$366,'Estimator'!$B$4,'Climate Data'!$B$7:$B$366,C1675)</x:f>
        <x:v>8.998122065727701</x:v>
      </x:c>
      <x:c r="J1675" s="381" t="n">
        <x:f>SUMIFS('Wind Proxy'!$H$8:$H$19,'Wind Proxy'!$A$8:$A$19,'Estimator'!$B$4,'Wind Proxy'!$B$8:$B$19,C1675)</x:f>
        <x:v>0.13739545997610514</x:v>
      </x:c>
    </x:row>
    <x:row r="1676">
      <x:c r="A1676" s="379" t="n">
        <x:v>47327</x:v>
      </x:c>
      <x:c r="B1676" s="380" t="n">
        <x:v>2029</x:v>
      </x:c>
      <x:c r="C1676" s="380" t="n">
        <x:v>7</x:v>
      </x:c>
      <x:c r="D1676" s="380" t="str">
        <x:v>Jul</x:v>
      </x:c>
      <x:c r="E1676" s="380" t="n">
        <x:v>28</x:v>
      </x:c>
      <x:c r="F1676" s="380" t="n">
        <x:v>6</x:v>
      </x:c>
      <x:c r="G1676" s="380" t="n">
        <x:f>--(F1676&lt;='Estimator'!$B$7)</x:f>
        <x:v>0</x:v>
      </x:c>
      <x:c r="H1676" s="381" t="n">
        <x:f>SUMIFS('Climate Data'!$G$7:$G$366,'Climate Data'!$A$7:$A$366,'Estimator'!$B$4,'Climate Data'!$B$7:$B$366,C1676)</x:f>
        <x:v>0.49078341013824883</x:v>
      </x:c>
      <x:c r="I1676" s="382" t="n">
        <x:f>SUMIFS('Climate Data'!$H$7:$H$366,'Climate Data'!$A$7:$A$366,'Estimator'!$B$4,'Climate Data'!$B$7:$B$366,C1676)</x:f>
        <x:v>8.998122065727701</x:v>
      </x:c>
      <x:c r="J1676" s="381" t="n">
        <x:f>SUMIFS('Wind Proxy'!$H$8:$H$19,'Wind Proxy'!$A$8:$A$19,'Estimator'!$B$4,'Wind Proxy'!$B$8:$B$19,C1676)</x:f>
        <x:v>0.13739545997610514</x:v>
      </x:c>
    </x:row>
    <x:row r="1677">
      <x:c r="A1677" s="379" t="n">
        <x:v>47328</x:v>
      </x:c>
      <x:c r="B1677" s="380" t="n">
        <x:v>2029</x:v>
      </x:c>
      <x:c r="C1677" s="380" t="n">
        <x:v>7</x:v>
      </x:c>
      <x:c r="D1677" s="380" t="str">
        <x:v>Jul</x:v>
      </x:c>
      <x:c r="E1677" s="380" t="n">
        <x:v>29</x:v>
      </x:c>
      <x:c r="F1677" s="380" t="n">
        <x:v>7</x:v>
      </x:c>
      <x:c r="G1677" s="380" t="n">
        <x:f>--(F1677&lt;='Estimator'!$B$7)</x:f>
        <x:v>0</x:v>
      </x:c>
      <x:c r="H1677" s="381" t="n">
        <x:f>SUMIFS('Climate Data'!$G$7:$G$366,'Climate Data'!$A$7:$A$366,'Estimator'!$B$4,'Climate Data'!$B$7:$B$366,C1677)</x:f>
        <x:v>0.49078341013824883</x:v>
      </x:c>
      <x:c r="I1677" s="382" t="n">
        <x:f>SUMIFS('Climate Data'!$H$7:$H$366,'Climate Data'!$A$7:$A$366,'Estimator'!$B$4,'Climate Data'!$B$7:$B$366,C1677)</x:f>
        <x:v>8.998122065727701</x:v>
      </x:c>
      <x:c r="J1677" s="381" t="n">
        <x:f>SUMIFS('Wind Proxy'!$H$8:$H$19,'Wind Proxy'!$A$8:$A$19,'Estimator'!$B$4,'Wind Proxy'!$B$8:$B$19,C1677)</x:f>
        <x:v>0.13739545997610514</x:v>
      </x:c>
    </x:row>
    <x:row r="1678">
      <x:c r="A1678" s="379" t="n">
        <x:v>47329</x:v>
      </x:c>
      <x:c r="B1678" s="380" t="n">
        <x:v>2029</x:v>
      </x:c>
      <x:c r="C1678" s="380" t="n">
        <x:v>7</x:v>
      </x:c>
      <x:c r="D1678" s="380" t="str">
        <x:v>Jul</x:v>
      </x:c>
      <x:c r="E1678" s="380" t="n">
        <x:v>30</x:v>
      </x:c>
      <x:c r="F1678" s="380" t="n">
        <x:v>1</x:v>
      </x:c>
      <x:c r="G1678" s="380" t="n">
        <x:f>--(F1678&lt;='Estimator'!$B$7)</x:f>
        <x:v>1</x:v>
      </x:c>
      <x:c r="H1678" s="381" t="n">
        <x:f>SUMIFS('Climate Data'!$G$7:$G$366,'Climate Data'!$A$7:$A$366,'Estimator'!$B$4,'Climate Data'!$B$7:$B$366,C1678)</x:f>
        <x:v>0.49078341013824883</x:v>
      </x:c>
      <x:c r="I1678" s="382" t="n">
        <x:f>SUMIFS('Climate Data'!$H$7:$H$366,'Climate Data'!$A$7:$A$366,'Estimator'!$B$4,'Climate Data'!$B$7:$B$366,C1678)</x:f>
        <x:v>8.998122065727701</x:v>
      </x:c>
      <x:c r="J1678" s="381" t="n">
        <x:f>SUMIFS('Wind Proxy'!$H$8:$H$19,'Wind Proxy'!$A$8:$A$19,'Estimator'!$B$4,'Wind Proxy'!$B$8:$B$19,C1678)</x:f>
        <x:v>0.13739545997610514</x:v>
      </x:c>
    </x:row>
    <x:row r="1679">
      <x:c r="A1679" s="379" t="n">
        <x:v>47330</x:v>
      </x:c>
      <x:c r="B1679" s="380" t="n">
        <x:v>2029</x:v>
      </x:c>
      <x:c r="C1679" s="380" t="n">
        <x:v>7</x:v>
      </x:c>
      <x:c r="D1679" s="380" t="str">
        <x:v>Jul</x:v>
      </x:c>
      <x:c r="E1679" s="380" t="n">
        <x:v>31</x:v>
      </x:c>
      <x:c r="F1679" s="380" t="n">
        <x:v>2</x:v>
      </x:c>
      <x:c r="G1679" s="380" t="n">
        <x:f>--(F1679&lt;='Estimator'!$B$7)</x:f>
        <x:v>1</x:v>
      </x:c>
      <x:c r="H1679" s="381" t="n">
        <x:f>SUMIFS('Climate Data'!$G$7:$G$366,'Climate Data'!$A$7:$A$366,'Estimator'!$B$4,'Climate Data'!$B$7:$B$366,C1679)</x:f>
        <x:v>0.49078341013824883</x:v>
      </x:c>
      <x:c r="I1679" s="382" t="n">
        <x:f>SUMIFS('Climate Data'!$H$7:$H$366,'Climate Data'!$A$7:$A$366,'Estimator'!$B$4,'Climate Data'!$B$7:$B$366,C1679)</x:f>
        <x:v>8.998122065727701</x:v>
      </x:c>
      <x:c r="J1679" s="381" t="n">
        <x:f>SUMIFS('Wind Proxy'!$H$8:$H$19,'Wind Proxy'!$A$8:$A$19,'Estimator'!$B$4,'Wind Proxy'!$B$8:$B$19,C1679)</x:f>
        <x:v>0.13739545997610514</x:v>
      </x:c>
    </x:row>
    <x:row r="1680">
      <x:c r="A1680" s="379" t="n">
        <x:v>47331</x:v>
      </x:c>
      <x:c r="B1680" s="380" t="n">
        <x:v>2029</x:v>
      </x:c>
      <x:c r="C1680" s="380" t="n">
        <x:v>8</x:v>
      </x:c>
      <x:c r="D1680" s="380" t="str">
        <x:v>Aug</x:v>
      </x:c>
      <x:c r="E1680" s="380" t="n">
        <x:v>1</x:v>
      </x:c>
      <x:c r="F1680" s="380" t="n">
        <x:v>3</x:v>
      </x:c>
      <x:c r="G1680" s="380" t="n">
        <x:f>--(F1680&lt;='Estimator'!$B$7)</x:f>
        <x:v>1</x:v>
      </x:c>
      <x:c r="H1680" s="381" t="n">
        <x:f>SUMIFS('Climate Data'!$G$7:$G$366,'Climate Data'!$A$7:$A$366,'Estimator'!$B$4,'Climate Data'!$B$7:$B$366,C1680)</x:f>
        <x:v>0.47274749721913234</x:v>
      </x:c>
      <x:c r="I1680" s="382" t="n">
        <x:f>SUMIFS('Climate Data'!$H$7:$H$366,'Climate Data'!$A$7:$A$366,'Estimator'!$B$4,'Climate Data'!$B$7:$B$366,C1680)</x:f>
        <x:v>7.9971764705882356</x:v>
      </x:c>
      <x:c r="J1680" s="381" t="n">
        <x:f>SUMIFS('Wind Proxy'!$H$8:$H$19,'Wind Proxy'!$A$8:$A$19,'Estimator'!$B$4,'Wind Proxy'!$B$8:$B$19,C1680)</x:f>
        <x:v>0.13739545997610514</x:v>
      </x:c>
    </x:row>
    <x:row r="1681">
      <x:c r="A1681" s="379" t="n">
        <x:v>47332</x:v>
      </x:c>
      <x:c r="B1681" s="380" t="n">
        <x:v>2029</x:v>
      </x:c>
      <x:c r="C1681" s="380" t="n">
        <x:v>8</x:v>
      </x:c>
      <x:c r="D1681" s="380" t="str">
        <x:v>Aug</x:v>
      </x:c>
      <x:c r="E1681" s="380" t="n">
        <x:v>2</x:v>
      </x:c>
      <x:c r="F1681" s="380" t="n">
        <x:v>4</x:v>
      </x:c>
      <x:c r="G1681" s="380" t="n">
        <x:f>--(F1681&lt;='Estimator'!$B$7)</x:f>
        <x:v>1</x:v>
      </x:c>
      <x:c r="H1681" s="381" t="n">
        <x:f>SUMIFS('Climate Data'!$G$7:$G$366,'Climate Data'!$A$7:$A$366,'Estimator'!$B$4,'Climate Data'!$B$7:$B$366,C1681)</x:f>
        <x:v>0.47274749721913234</x:v>
      </x:c>
      <x:c r="I1681" s="382" t="n">
        <x:f>SUMIFS('Climate Data'!$H$7:$H$366,'Climate Data'!$A$7:$A$366,'Estimator'!$B$4,'Climate Data'!$B$7:$B$366,C1681)</x:f>
        <x:v>7.9971764705882356</x:v>
      </x:c>
      <x:c r="J1681" s="381" t="n">
        <x:f>SUMIFS('Wind Proxy'!$H$8:$H$19,'Wind Proxy'!$A$8:$A$19,'Estimator'!$B$4,'Wind Proxy'!$B$8:$B$19,C1681)</x:f>
        <x:v>0.13739545997610514</x:v>
      </x:c>
    </x:row>
    <x:row r="1682">
      <x:c r="A1682" s="379" t="n">
        <x:v>47333</x:v>
      </x:c>
      <x:c r="B1682" s="380" t="n">
        <x:v>2029</x:v>
      </x:c>
      <x:c r="C1682" s="380" t="n">
        <x:v>8</x:v>
      </x:c>
      <x:c r="D1682" s="380" t="str">
        <x:v>Aug</x:v>
      </x:c>
      <x:c r="E1682" s="380" t="n">
        <x:v>3</x:v>
      </x:c>
      <x:c r="F1682" s="380" t="n">
        <x:v>5</x:v>
      </x:c>
      <x:c r="G1682" s="380" t="n">
        <x:f>--(F1682&lt;='Estimator'!$B$7)</x:f>
        <x:v>1</x:v>
      </x:c>
      <x:c r="H1682" s="381" t="n">
        <x:f>SUMIFS('Climate Data'!$G$7:$G$366,'Climate Data'!$A$7:$A$366,'Estimator'!$B$4,'Climate Data'!$B$7:$B$366,C1682)</x:f>
        <x:v>0.47274749721913234</x:v>
      </x:c>
      <x:c r="I1682" s="382" t="n">
        <x:f>SUMIFS('Climate Data'!$H$7:$H$366,'Climate Data'!$A$7:$A$366,'Estimator'!$B$4,'Climate Data'!$B$7:$B$366,C1682)</x:f>
        <x:v>7.9971764705882356</x:v>
      </x:c>
      <x:c r="J1682" s="381" t="n">
        <x:f>SUMIFS('Wind Proxy'!$H$8:$H$19,'Wind Proxy'!$A$8:$A$19,'Estimator'!$B$4,'Wind Proxy'!$B$8:$B$19,C1682)</x:f>
        <x:v>0.13739545997610514</x:v>
      </x:c>
    </x:row>
    <x:row r="1683">
      <x:c r="A1683" s="379" t="n">
        <x:v>47334</x:v>
      </x:c>
      <x:c r="B1683" s="380" t="n">
        <x:v>2029</x:v>
      </x:c>
      <x:c r="C1683" s="380" t="n">
        <x:v>8</x:v>
      </x:c>
      <x:c r="D1683" s="380" t="str">
        <x:v>Aug</x:v>
      </x:c>
      <x:c r="E1683" s="380" t="n">
        <x:v>4</x:v>
      </x:c>
      <x:c r="F1683" s="380" t="n">
        <x:v>6</x:v>
      </x:c>
      <x:c r="G1683" s="380" t="n">
        <x:f>--(F1683&lt;='Estimator'!$B$7)</x:f>
        <x:v>0</x:v>
      </x:c>
      <x:c r="H1683" s="381" t="n">
        <x:f>SUMIFS('Climate Data'!$G$7:$G$366,'Climate Data'!$A$7:$A$366,'Estimator'!$B$4,'Climate Data'!$B$7:$B$366,C1683)</x:f>
        <x:v>0.47274749721913234</x:v>
      </x:c>
      <x:c r="I1683" s="382" t="n">
        <x:f>SUMIFS('Climate Data'!$H$7:$H$366,'Climate Data'!$A$7:$A$366,'Estimator'!$B$4,'Climate Data'!$B$7:$B$366,C1683)</x:f>
        <x:v>7.9971764705882356</x:v>
      </x:c>
      <x:c r="J1683" s="381" t="n">
        <x:f>SUMIFS('Wind Proxy'!$H$8:$H$19,'Wind Proxy'!$A$8:$A$19,'Estimator'!$B$4,'Wind Proxy'!$B$8:$B$19,C1683)</x:f>
        <x:v>0.13739545997610514</x:v>
      </x:c>
    </x:row>
    <x:row r="1684">
      <x:c r="A1684" s="379" t="n">
        <x:v>47335</x:v>
      </x:c>
      <x:c r="B1684" s="380" t="n">
        <x:v>2029</x:v>
      </x:c>
      <x:c r="C1684" s="380" t="n">
        <x:v>8</x:v>
      </x:c>
      <x:c r="D1684" s="380" t="str">
        <x:v>Aug</x:v>
      </x:c>
      <x:c r="E1684" s="380" t="n">
        <x:v>5</x:v>
      </x:c>
      <x:c r="F1684" s="380" t="n">
        <x:v>7</x:v>
      </x:c>
      <x:c r="G1684" s="380" t="n">
        <x:f>--(F1684&lt;='Estimator'!$B$7)</x:f>
        <x:v>0</x:v>
      </x:c>
      <x:c r="H1684" s="381" t="n">
        <x:f>SUMIFS('Climate Data'!$G$7:$G$366,'Climate Data'!$A$7:$A$366,'Estimator'!$B$4,'Climate Data'!$B$7:$B$366,C1684)</x:f>
        <x:v>0.47274749721913234</x:v>
      </x:c>
      <x:c r="I1684" s="382" t="n">
        <x:f>SUMIFS('Climate Data'!$H$7:$H$366,'Climate Data'!$A$7:$A$366,'Estimator'!$B$4,'Climate Data'!$B$7:$B$366,C1684)</x:f>
        <x:v>7.9971764705882356</x:v>
      </x:c>
      <x:c r="J1684" s="381" t="n">
        <x:f>SUMIFS('Wind Proxy'!$H$8:$H$19,'Wind Proxy'!$A$8:$A$19,'Estimator'!$B$4,'Wind Proxy'!$B$8:$B$19,C1684)</x:f>
        <x:v>0.13739545997610514</x:v>
      </x:c>
    </x:row>
    <x:row r="1685">
      <x:c r="A1685" s="379" t="n">
        <x:v>47336</x:v>
      </x:c>
      <x:c r="B1685" s="380" t="n">
        <x:v>2029</x:v>
      </x:c>
      <x:c r="C1685" s="380" t="n">
        <x:v>8</x:v>
      </x:c>
      <x:c r="D1685" s="380" t="str">
        <x:v>Aug</x:v>
      </x:c>
      <x:c r="E1685" s="380" t="n">
        <x:v>6</x:v>
      </x:c>
      <x:c r="F1685" s="380" t="n">
        <x:v>1</x:v>
      </x:c>
      <x:c r="G1685" s="380" t="n">
        <x:f>--(F1685&lt;='Estimator'!$B$7)</x:f>
        <x:v>1</x:v>
      </x:c>
      <x:c r="H1685" s="381" t="n">
        <x:f>SUMIFS('Climate Data'!$G$7:$G$366,'Climate Data'!$A$7:$A$366,'Estimator'!$B$4,'Climate Data'!$B$7:$B$366,C1685)</x:f>
        <x:v>0.47274749721913234</x:v>
      </x:c>
      <x:c r="I1685" s="382" t="n">
        <x:f>SUMIFS('Climate Data'!$H$7:$H$366,'Climate Data'!$A$7:$A$366,'Estimator'!$B$4,'Climate Data'!$B$7:$B$366,C1685)</x:f>
        <x:v>7.9971764705882356</x:v>
      </x:c>
      <x:c r="J1685" s="381" t="n">
        <x:f>SUMIFS('Wind Proxy'!$H$8:$H$19,'Wind Proxy'!$A$8:$A$19,'Estimator'!$B$4,'Wind Proxy'!$B$8:$B$19,C1685)</x:f>
        <x:v>0.13739545997610514</x:v>
      </x:c>
    </x:row>
    <x:row r="1686">
      <x:c r="A1686" s="379" t="n">
        <x:v>47337</x:v>
      </x:c>
      <x:c r="B1686" s="380" t="n">
        <x:v>2029</x:v>
      </x:c>
      <x:c r="C1686" s="380" t="n">
        <x:v>8</x:v>
      </x:c>
      <x:c r="D1686" s="380" t="str">
        <x:v>Aug</x:v>
      </x:c>
      <x:c r="E1686" s="380" t="n">
        <x:v>7</x:v>
      </x:c>
      <x:c r="F1686" s="380" t="n">
        <x:v>2</x:v>
      </x:c>
      <x:c r="G1686" s="380" t="n">
        <x:f>--(F1686&lt;='Estimator'!$B$7)</x:f>
        <x:v>1</x:v>
      </x:c>
      <x:c r="H1686" s="381" t="n">
        <x:f>SUMIFS('Climate Data'!$G$7:$G$366,'Climate Data'!$A$7:$A$366,'Estimator'!$B$4,'Climate Data'!$B$7:$B$366,C1686)</x:f>
        <x:v>0.47274749721913234</x:v>
      </x:c>
      <x:c r="I1686" s="382" t="n">
        <x:f>SUMIFS('Climate Data'!$H$7:$H$366,'Climate Data'!$A$7:$A$366,'Estimator'!$B$4,'Climate Data'!$B$7:$B$366,C1686)</x:f>
        <x:v>7.9971764705882356</x:v>
      </x:c>
      <x:c r="J1686" s="381" t="n">
        <x:f>SUMIFS('Wind Proxy'!$H$8:$H$19,'Wind Proxy'!$A$8:$A$19,'Estimator'!$B$4,'Wind Proxy'!$B$8:$B$19,C1686)</x:f>
        <x:v>0.13739545997610514</x:v>
      </x:c>
    </x:row>
    <x:row r="1687">
      <x:c r="A1687" s="379" t="n">
        <x:v>47338</x:v>
      </x:c>
      <x:c r="B1687" s="380" t="n">
        <x:v>2029</x:v>
      </x:c>
      <x:c r="C1687" s="380" t="n">
        <x:v>8</x:v>
      </x:c>
      <x:c r="D1687" s="380" t="str">
        <x:v>Aug</x:v>
      </x:c>
      <x:c r="E1687" s="380" t="n">
        <x:v>8</x:v>
      </x:c>
      <x:c r="F1687" s="380" t="n">
        <x:v>3</x:v>
      </x:c>
      <x:c r="G1687" s="380" t="n">
        <x:f>--(F1687&lt;='Estimator'!$B$7)</x:f>
        <x:v>1</x:v>
      </x:c>
      <x:c r="H1687" s="381" t="n">
        <x:f>SUMIFS('Climate Data'!$G$7:$G$366,'Climate Data'!$A$7:$A$366,'Estimator'!$B$4,'Climate Data'!$B$7:$B$366,C1687)</x:f>
        <x:v>0.47274749721913234</x:v>
      </x:c>
      <x:c r="I1687" s="382" t="n">
        <x:f>SUMIFS('Climate Data'!$H$7:$H$366,'Climate Data'!$A$7:$A$366,'Estimator'!$B$4,'Climate Data'!$B$7:$B$366,C1687)</x:f>
        <x:v>7.9971764705882356</x:v>
      </x:c>
      <x:c r="J1687" s="381" t="n">
        <x:f>SUMIFS('Wind Proxy'!$H$8:$H$19,'Wind Proxy'!$A$8:$A$19,'Estimator'!$B$4,'Wind Proxy'!$B$8:$B$19,C1687)</x:f>
        <x:v>0.13739545997610514</x:v>
      </x:c>
    </x:row>
    <x:row r="1688">
      <x:c r="A1688" s="379" t="n">
        <x:v>47339</x:v>
      </x:c>
      <x:c r="B1688" s="380" t="n">
        <x:v>2029</x:v>
      </x:c>
      <x:c r="C1688" s="380" t="n">
        <x:v>8</x:v>
      </x:c>
      <x:c r="D1688" s="380" t="str">
        <x:v>Aug</x:v>
      </x:c>
      <x:c r="E1688" s="380" t="n">
        <x:v>9</x:v>
      </x:c>
      <x:c r="F1688" s="380" t="n">
        <x:v>4</x:v>
      </x:c>
      <x:c r="G1688" s="380" t="n">
        <x:f>--(F1688&lt;='Estimator'!$B$7)</x:f>
        <x:v>1</x:v>
      </x:c>
      <x:c r="H1688" s="381" t="n">
        <x:f>SUMIFS('Climate Data'!$G$7:$G$366,'Climate Data'!$A$7:$A$366,'Estimator'!$B$4,'Climate Data'!$B$7:$B$366,C1688)</x:f>
        <x:v>0.47274749721913234</x:v>
      </x:c>
      <x:c r="I1688" s="382" t="n">
        <x:f>SUMIFS('Climate Data'!$H$7:$H$366,'Climate Data'!$A$7:$A$366,'Estimator'!$B$4,'Climate Data'!$B$7:$B$366,C1688)</x:f>
        <x:v>7.9971764705882356</x:v>
      </x:c>
      <x:c r="J1688" s="381" t="n">
        <x:f>SUMIFS('Wind Proxy'!$H$8:$H$19,'Wind Proxy'!$A$8:$A$19,'Estimator'!$B$4,'Wind Proxy'!$B$8:$B$19,C1688)</x:f>
        <x:v>0.13739545997610514</x:v>
      </x:c>
    </x:row>
    <x:row r="1689">
      <x:c r="A1689" s="379" t="n">
        <x:v>47340</x:v>
      </x:c>
      <x:c r="B1689" s="380" t="n">
        <x:v>2029</x:v>
      </x:c>
      <x:c r="C1689" s="380" t="n">
        <x:v>8</x:v>
      </x:c>
      <x:c r="D1689" s="380" t="str">
        <x:v>Aug</x:v>
      </x:c>
      <x:c r="E1689" s="380" t="n">
        <x:v>10</x:v>
      </x:c>
      <x:c r="F1689" s="380" t="n">
        <x:v>5</x:v>
      </x:c>
      <x:c r="G1689" s="380" t="n">
        <x:f>--(F1689&lt;='Estimator'!$B$7)</x:f>
        <x:v>1</x:v>
      </x:c>
      <x:c r="H1689" s="381" t="n">
        <x:f>SUMIFS('Climate Data'!$G$7:$G$366,'Climate Data'!$A$7:$A$366,'Estimator'!$B$4,'Climate Data'!$B$7:$B$366,C1689)</x:f>
        <x:v>0.47274749721913234</x:v>
      </x:c>
      <x:c r="I1689" s="382" t="n">
        <x:f>SUMIFS('Climate Data'!$H$7:$H$366,'Climate Data'!$A$7:$A$366,'Estimator'!$B$4,'Climate Data'!$B$7:$B$366,C1689)</x:f>
        <x:v>7.9971764705882356</x:v>
      </x:c>
      <x:c r="J1689" s="381" t="n">
        <x:f>SUMIFS('Wind Proxy'!$H$8:$H$19,'Wind Proxy'!$A$8:$A$19,'Estimator'!$B$4,'Wind Proxy'!$B$8:$B$19,C1689)</x:f>
        <x:v>0.13739545997610514</x:v>
      </x:c>
    </x:row>
    <x:row r="1690">
      <x:c r="A1690" s="379" t="n">
        <x:v>47341</x:v>
      </x:c>
      <x:c r="B1690" s="380" t="n">
        <x:v>2029</x:v>
      </x:c>
      <x:c r="C1690" s="380" t="n">
        <x:v>8</x:v>
      </x:c>
      <x:c r="D1690" s="380" t="str">
        <x:v>Aug</x:v>
      </x:c>
      <x:c r="E1690" s="380" t="n">
        <x:v>11</x:v>
      </x:c>
      <x:c r="F1690" s="380" t="n">
        <x:v>6</x:v>
      </x:c>
      <x:c r="G1690" s="380" t="n">
        <x:f>--(F1690&lt;='Estimator'!$B$7)</x:f>
        <x:v>0</x:v>
      </x:c>
      <x:c r="H1690" s="381" t="n">
        <x:f>SUMIFS('Climate Data'!$G$7:$G$366,'Climate Data'!$A$7:$A$366,'Estimator'!$B$4,'Climate Data'!$B$7:$B$366,C1690)</x:f>
        <x:v>0.47274749721913234</x:v>
      </x:c>
      <x:c r="I1690" s="382" t="n">
        <x:f>SUMIFS('Climate Data'!$H$7:$H$366,'Climate Data'!$A$7:$A$366,'Estimator'!$B$4,'Climate Data'!$B$7:$B$366,C1690)</x:f>
        <x:v>7.9971764705882356</x:v>
      </x:c>
      <x:c r="J1690" s="381" t="n">
        <x:f>SUMIFS('Wind Proxy'!$H$8:$H$19,'Wind Proxy'!$A$8:$A$19,'Estimator'!$B$4,'Wind Proxy'!$B$8:$B$19,C1690)</x:f>
        <x:v>0.13739545997610514</x:v>
      </x:c>
    </x:row>
    <x:row r="1691">
      <x:c r="A1691" s="379" t="n">
        <x:v>47342</x:v>
      </x:c>
      <x:c r="B1691" s="380" t="n">
        <x:v>2029</x:v>
      </x:c>
      <x:c r="C1691" s="380" t="n">
        <x:v>8</x:v>
      </x:c>
      <x:c r="D1691" s="380" t="str">
        <x:v>Aug</x:v>
      </x:c>
      <x:c r="E1691" s="380" t="n">
        <x:v>12</x:v>
      </x:c>
      <x:c r="F1691" s="380" t="n">
        <x:v>7</x:v>
      </x:c>
      <x:c r="G1691" s="380" t="n">
        <x:f>--(F1691&lt;='Estimator'!$B$7)</x:f>
        <x:v>0</x:v>
      </x:c>
      <x:c r="H1691" s="381" t="n">
        <x:f>SUMIFS('Climate Data'!$G$7:$G$366,'Climate Data'!$A$7:$A$366,'Estimator'!$B$4,'Climate Data'!$B$7:$B$366,C1691)</x:f>
        <x:v>0.47274749721913234</x:v>
      </x:c>
      <x:c r="I1691" s="382" t="n">
        <x:f>SUMIFS('Climate Data'!$H$7:$H$366,'Climate Data'!$A$7:$A$366,'Estimator'!$B$4,'Climate Data'!$B$7:$B$366,C1691)</x:f>
        <x:v>7.9971764705882356</x:v>
      </x:c>
      <x:c r="J1691" s="381" t="n">
        <x:f>SUMIFS('Wind Proxy'!$H$8:$H$19,'Wind Proxy'!$A$8:$A$19,'Estimator'!$B$4,'Wind Proxy'!$B$8:$B$19,C1691)</x:f>
        <x:v>0.13739545997610514</x:v>
      </x:c>
    </x:row>
    <x:row r="1692">
      <x:c r="A1692" s="379" t="n">
        <x:v>47343</x:v>
      </x:c>
      <x:c r="B1692" s="380" t="n">
        <x:v>2029</x:v>
      </x:c>
      <x:c r="C1692" s="380" t="n">
        <x:v>8</x:v>
      </x:c>
      <x:c r="D1692" s="380" t="str">
        <x:v>Aug</x:v>
      </x:c>
      <x:c r="E1692" s="380" t="n">
        <x:v>13</x:v>
      </x:c>
      <x:c r="F1692" s="380" t="n">
        <x:v>1</x:v>
      </x:c>
      <x:c r="G1692" s="380" t="n">
        <x:f>--(F1692&lt;='Estimator'!$B$7)</x:f>
        <x:v>1</x:v>
      </x:c>
      <x:c r="H1692" s="381" t="n">
        <x:f>SUMIFS('Climate Data'!$G$7:$G$366,'Climate Data'!$A$7:$A$366,'Estimator'!$B$4,'Climate Data'!$B$7:$B$366,C1692)</x:f>
        <x:v>0.47274749721913234</x:v>
      </x:c>
      <x:c r="I1692" s="382" t="n">
        <x:f>SUMIFS('Climate Data'!$H$7:$H$366,'Climate Data'!$A$7:$A$366,'Estimator'!$B$4,'Climate Data'!$B$7:$B$366,C1692)</x:f>
        <x:v>7.9971764705882356</x:v>
      </x:c>
      <x:c r="J1692" s="381" t="n">
        <x:f>SUMIFS('Wind Proxy'!$H$8:$H$19,'Wind Proxy'!$A$8:$A$19,'Estimator'!$B$4,'Wind Proxy'!$B$8:$B$19,C1692)</x:f>
        <x:v>0.13739545997610514</x:v>
      </x:c>
    </x:row>
    <x:row r="1693">
      <x:c r="A1693" s="379" t="n">
        <x:v>47344</x:v>
      </x:c>
      <x:c r="B1693" s="380" t="n">
        <x:v>2029</x:v>
      </x:c>
      <x:c r="C1693" s="380" t="n">
        <x:v>8</x:v>
      </x:c>
      <x:c r="D1693" s="380" t="str">
        <x:v>Aug</x:v>
      </x:c>
      <x:c r="E1693" s="380" t="n">
        <x:v>14</x:v>
      </x:c>
      <x:c r="F1693" s="380" t="n">
        <x:v>2</x:v>
      </x:c>
      <x:c r="G1693" s="380" t="n">
        <x:f>--(F1693&lt;='Estimator'!$B$7)</x:f>
        <x:v>1</x:v>
      </x:c>
      <x:c r="H1693" s="381" t="n">
        <x:f>SUMIFS('Climate Data'!$G$7:$G$366,'Climate Data'!$A$7:$A$366,'Estimator'!$B$4,'Climate Data'!$B$7:$B$366,C1693)</x:f>
        <x:v>0.47274749721913234</x:v>
      </x:c>
      <x:c r="I1693" s="382" t="n">
        <x:f>SUMIFS('Climate Data'!$H$7:$H$366,'Climate Data'!$A$7:$A$366,'Estimator'!$B$4,'Climate Data'!$B$7:$B$366,C1693)</x:f>
        <x:v>7.9971764705882356</x:v>
      </x:c>
      <x:c r="J1693" s="381" t="n">
        <x:f>SUMIFS('Wind Proxy'!$H$8:$H$19,'Wind Proxy'!$A$8:$A$19,'Estimator'!$B$4,'Wind Proxy'!$B$8:$B$19,C1693)</x:f>
        <x:v>0.13739545997610514</x:v>
      </x:c>
    </x:row>
    <x:row r="1694">
      <x:c r="A1694" s="379" t="n">
        <x:v>47345</x:v>
      </x:c>
      <x:c r="B1694" s="380" t="n">
        <x:v>2029</x:v>
      </x:c>
      <x:c r="C1694" s="380" t="n">
        <x:v>8</x:v>
      </x:c>
      <x:c r="D1694" s="380" t="str">
        <x:v>Aug</x:v>
      </x:c>
      <x:c r="E1694" s="380" t="n">
        <x:v>15</x:v>
      </x:c>
      <x:c r="F1694" s="380" t="n">
        <x:v>3</x:v>
      </x:c>
      <x:c r="G1694" s="380" t="n">
        <x:f>--(F1694&lt;='Estimator'!$B$7)</x:f>
        <x:v>1</x:v>
      </x:c>
      <x:c r="H1694" s="381" t="n">
        <x:f>SUMIFS('Climate Data'!$G$7:$G$366,'Climate Data'!$A$7:$A$366,'Estimator'!$B$4,'Climate Data'!$B$7:$B$366,C1694)</x:f>
        <x:v>0.47274749721913234</x:v>
      </x:c>
      <x:c r="I1694" s="382" t="n">
        <x:f>SUMIFS('Climate Data'!$H$7:$H$366,'Climate Data'!$A$7:$A$366,'Estimator'!$B$4,'Climate Data'!$B$7:$B$366,C1694)</x:f>
        <x:v>7.9971764705882356</x:v>
      </x:c>
      <x:c r="J1694" s="381" t="n">
        <x:f>SUMIFS('Wind Proxy'!$H$8:$H$19,'Wind Proxy'!$A$8:$A$19,'Estimator'!$B$4,'Wind Proxy'!$B$8:$B$19,C1694)</x:f>
        <x:v>0.13739545997610514</x:v>
      </x:c>
    </x:row>
    <x:row r="1695">
      <x:c r="A1695" s="379" t="n">
        <x:v>47346</x:v>
      </x:c>
      <x:c r="B1695" s="380" t="n">
        <x:v>2029</x:v>
      </x:c>
      <x:c r="C1695" s="380" t="n">
        <x:v>8</x:v>
      </x:c>
      <x:c r="D1695" s="380" t="str">
        <x:v>Aug</x:v>
      </x:c>
      <x:c r="E1695" s="380" t="n">
        <x:v>16</x:v>
      </x:c>
      <x:c r="F1695" s="380" t="n">
        <x:v>4</x:v>
      </x:c>
      <x:c r="G1695" s="380" t="n">
        <x:f>--(F1695&lt;='Estimator'!$B$7)</x:f>
        <x:v>1</x:v>
      </x:c>
      <x:c r="H1695" s="381" t="n">
        <x:f>SUMIFS('Climate Data'!$G$7:$G$366,'Climate Data'!$A$7:$A$366,'Estimator'!$B$4,'Climate Data'!$B$7:$B$366,C1695)</x:f>
        <x:v>0.47274749721913234</x:v>
      </x:c>
      <x:c r="I1695" s="382" t="n">
        <x:f>SUMIFS('Climate Data'!$H$7:$H$366,'Climate Data'!$A$7:$A$366,'Estimator'!$B$4,'Climate Data'!$B$7:$B$366,C1695)</x:f>
        <x:v>7.9971764705882356</x:v>
      </x:c>
      <x:c r="J1695" s="381" t="n">
        <x:f>SUMIFS('Wind Proxy'!$H$8:$H$19,'Wind Proxy'!$A$8:$A$19,'Estimator'!$B$4,'Wind Proxy'!$B$8:$B$19,C1695)</x:f>
        <x:v>0.13739545997610514</x:v>
      </x:c>
    </x:row>
    <x:row r="1696">
      <x:c r="A1696" s="379" t="n">
        <x:v>47347</x:v>
      </x:c>
      <x:c r="B1696" s="380" t="n">
        <x:v>2029</x:v>
      </x:c>
      <x:c r="C1696" s="380" t="n">
        <x:v>8</x:v>
      </x:c>
      <x:c r="D1696" s="380" t="str">
        <x:v>Aug</x:v>
      </x:c>
      <x:c r="E1696" s="380" t="n">
        <x:v>17</x:v>
      </x:c>
      <x:c r="F1696" s="380" t="n">
        <x:v>5</x:v>
      </x:c>
      <x:c r="G1696" s="380" t="n">
        <x:f>--(F1696&lt;='Estimator'!$B$7)</x:f>
        <x:v>1</x:v>
      </x:c>
      <x:c r="H1696" s="381" t="n">
        <x:f>SUMIFS('Climate Data'!$G$7:$G$366,'Climate Data'!$A$7:$A$366,'Estimator'!$B$4,'Climate Data'!$B$7:$B$366,C1696)</x:f>
        <x:v>0.47274749721913234</x:v>
      </x:c>
      <x:c r="I1696" s="382" t="n">
        <x:f>SUMIFS('Climate Data'!$H$7:$H$366,'Climate Data'!$A$7:$A$366,'Estimator'!$B$4,'Climate Data'!$B$7:$B$366,C1696)</x:f>
        <x:v>7.9971764705882356</x:v>
      </x:c>
      <x:c r="J1696" s="381" t="n">
        <x:f>SUMIFS('Wind Proxy'!$H$8:$H$19,'Wind Proxy'!$A$8:$A$19,'Estimator'!$B$4,'Wind Proxy'!$B$8:$B$19,C1696)</x:f>
        <x:v>0.13739545997610514</x:v>
      </x:c>
    </x:row>
    <x:row r="1697">
      <x:c r="A1697" s="379" t="n">
        <x:v>47348</x:v>
      </x:c>
      <x:c r="B1697" s="380" t="n">
        <x:v>2029</x:v>
      </x:c>
      <x:c r="C1697" s="380" t="n">
        <x:v>8</x:v>
      </x:c>
      <x:c r="D1697" s="380" t="str">
        <x:v>Aug</x:v>
      </x:c>
      <x:c r="E1697" s="380" t="n">
        <x:v>18</x:v>
      </x:c>
      <x:c r="F1697" s="380" t="n">
        <x:v>6</x:v>
      </x:c>
      <x:c r="G1697" s="380" t="n">
        <x:f>--(F1697&lt;='Estimator'!$B$7)</x:f>
        <x:v>0</x:v>
      </x:c>
      <x:c r="H1697" s="381" t="n">
        <x:f>SUMIFS('Climate Data'!$G$7:$G$366,'Climate Data'!$A$7:$A$366,'Estimator'!$B$4,'Climate Data'!$B$7:$B$366,C1697)</x:f>
        <x:v>0.47274749721913234</x:v>
      </x:c>
      <x:c r="I1697" s="382" t="n">
        <x:f>SUMIFS('Climate Data'!$H$7:$H$366,'Climate Data'!$A$7:$A$366,'Estimator'!$B$4,'Climate Data'!$B$7:$B$366,C1697)</x:f>
        <x:v>7.9971764705882356</x:v>
      </x:c>
      <x:c r="J1697" s="381" t="n">
        <x:f>SUMIFS('Wind Proxy'!$H$8:$H$19,'Wind Proxy'!$A$8:$A$19,'Estimator'!$B$4,'Wind Proxy'!$B$8:$B$19,C1697)</x:f>
        <x:v>0.13739545997610514</x:v>
      </x:c>
    </x:row>
    <x:row r="1698">
      <x:c r="A1698" s="379" t="n">
        <x:v>47349</x:v>
      </x:c>
      <x:c r="B1698" s="380" t="n">
        <x:v>2029</x:v>
      </x:c>
      <x:c r="C1698" s="380" t="n">
        <x:v>8</x:v>
      </x:c>
      <x:c r="D1698" s="380" t="str">
        <x:v>Aug</x:v>
      </x:c>
      <x:c r="E1698" s="380" t="n">
        <x:v>19</x:v>
      </x:c>
      <x:c r="F1698" s="380" t="n">
        <x:v>7</x:v>
      </x:c>
      <x:c r="G1698" s="380" t="n">
        <x:f>--(F1698&lt;='Estimator'!$B$7)</x:f>
        <x:v>0</x:v>
      </x:c>
      <x:c r="H1698" s="381" t="n">
        <x:f>SUMIFS('Climate Data'!$G$7:$G$366,'Climate Data'!$A$7:$A$366,'Estimator'!$B$4,'Climate Data'!$B$7:$B$366,C1698)</x:f>
        <x:v>0.47274749721913234</x:v>
      </x:c>
      <x:c r="I1698" s="382" t="n">
        <x:f>SUMIFS('Climate Data'!$H$7:$H$366,'Climate Data'!$A$7:$A$366,'Estimator'!$B$4,'Climate Data'!$B$7:$B$366,C1698)</x:f>
        <x:v>7.9971764705882356</x:v>
      </x:c>
      <x:c r="J1698" s="381" t="n">
        <x:f>SUMIFS('Wind Proxy'!$H$8:$H$19,'Wind Proxy'!$A$8:$A$19,'Estimator'!$B$4,'Wind Proxy'!$B$8:$B$19,C1698)</x:f>
        <x:v>0.13739545997610514</x:v>
      </x:c>
    </x:row>
    <x:row r="1699">
      <x:c r="A1699" s="379" t="n">
        <x:v>47350</x:v>
      </x:c>
      <x:c r="B1699" s="380" t="n">
        <x:v>2029</x:v>
      </x:c>
      <x:c r="C1699" s="380" t="n">
        <x:v>8</x:v>
      </x:c>
      <x:c r="D1699" s="380" t="str">
        <x:v>Aug</x:v>
      </x:c>
      <x:c r="E1699" s="380" t="n">
        <x:v>20</x:v>
      </x:c>
      <x:c r="F1699" s="380" t="n">
        <x:v>1</x:v>
      </x:c>
      <x:c r="G1699" s="380" t="n">
        <x:f>--(F1699&lt;='Estimator'!$B$7)</x:f>
        <x:v>1</x:v>
      </x:c>
      <x:c r="H1699" s="381" t="n">
        <x:f>SUMIFS('Climate Data'!$G$7:$G$366,'Climate Data'!$A$7:$A$366,'Estimator'!$B$4,'Climate Data'!$B$7:$B$366,C1699)</x:f>
        <x:v>0.47274749721913234</x:v>
      </x:c>
      <x:c r="I1699" s="382" t="n">
        <x:f>SUMIFS('Climate Data'!$H$7:$H$366,'Climate Data'!$A$7:$A$366,'Estimator'!$B$4,'Climate Data'!$B$7:$B$366,C1699)</x:f>
        <x:v>7.9971764705882356</x:v>
      </x:c>
      <x:c r="J1699" s="381" t="n">
        <x:f>SUMIFS('Wind Proxy'!$H$8:$H$19,'Wind Proxy'!$A$8:$A$19,'Estimator'!$B$4,'Wind Proxy'!$B$8:$B$19,C1699)</x:f>
        <x:v>0.13739545997610514</x:v>
      </x:c>
    </x:row>
    <x:row r="1700">
      <x:c r="A1700" s="379" t="n">
        <x:v>47351</x:v>
      </x:c>
      <x:c r="B1700" s="380" t="n">
        <x:v>2029</x:v>
      </x:c>
      <x:c r="C1700" s="380" t="n">
        <x:v>8</x:v>
      </x:c>
      <x:c r="D1700" s="380" t="str">
        <x:v>Aug</x:v>
      </x:c>
      <x:c r="E1700" s="380" t="n">
        <x:v>21</x:v>
      </x:c>
      <x:c r="F1700" s="380" t="n">
        <x:v>2</x:v>
      </x:c>
      <x:c r="G1700" s="380" t="n">
        <x:f>--(F1700&lt;='Estimator'!$B$7)</x:f>
        <x:v>1</x:v>
      </x:c>
      <x:c r="H1700" s="381" t="n">
        <x:f>SUMIFS('Climate Data'!$G$7:$G$366,'Climate Data'!$A$7:$A$366,'Estimator'!$B$4,'Climate Data'!$B$7:$B$366,C1700)</x:f>
        <x:v>0.47274749721913234</x:v>
      </x:c>
      <x:c r="I1700" s="382" t="n">
        <x:f>SUMIFS('Climate Data'!$H$7:$H$366,'Climate Data'!$A$7:$A$366,'Estimator'!$B$4,'Climate Data'!$B$7:$B$366,C1700)</x:f>
        <x:v>7.9971764705882356</x:v>
      </x:c>
      <x:c r="J1700" s="381" t="n">
        <x:f>SUMIFS('Wind Proxy'!$H$8:$H$19,'Wind Proxy'!$A$8:$A$19,'Estimator'!$B$4,'Wind Proxy'!$B$8:$B$19,C1700)</x:f>
        <x:v>0.13739545997610514</x:v>
      </x:c>
    </x:row>
    <x:row r="1701">
      <x:c r="A1701" s="379" t="n">
        <x:v>47352</x:v>
      </x:c>
      <x:c r="B1701" s="380" t="n">
        <x:v>2029</x:v>
      </x:c>
      <x:c r="C1701" s="380" t="n">
        <x:v>8</x:v>
      </x:c>
      <x:c r="D1701" s="380" t="str">
        <x:v>Aug</x:v>
      </x:c>
      <x:c r="E1701" s="380" t="n">
        <x:v>22</x:v>
      </x:c>
      <x:c r="F1701" s="380" t="n">
        <x:v>3</x:v>
      </x:c>
      <x:c r="G1701" s="380" t="n">
        <x:f>--(F1701&lt;='Estimator'!$B$7)</x:f>
        <x:v>1</x:v>
      </x:c>
      <x:c r="H1701" s="381" t="n">
        <x:f>SUMIFS('Climate Data'!$G$7:$G$366,'Climate Data'!$A$7:$A$366,'Estimator'!$B$4,'Climate Data'!$B$7:$B$366,C1701)</x:f>
        <x:v>0.47274749721913234</x:v>
      </x:c>
      <x:c r="I1701" s="382" t="n">
        <x:f>SUMIFS('Climate Data'!$H$7:$H$366,'Climate Data'!$A$7:$A$366,'Estimator'!$B$4,'Climate Data'!$B$7:$B$366,C1701)</x:f>
        <x:v>7.9971764705882356</x:v>
      </x:c>
      <x:c r="J1701" s="381" t="n">
        <x:f>SUMIFS('Wind Proxy'!$H$8:$H$19,'Wind Proxy'!$A$8:$A$19,'Estimator'!$B$4,'Wind Proxy'!$B$8:$B$19,C1701)</x:f>
        <x:v>0.13739545997610514</x:v>
      </x:c>
    </x:row>
    <x:row r="1702">
      <x:c r="A1702" s="379" t="n">
        <x:v>47353</x:v>
      </x:c>
      <x:c r="B1702" s="380" t="n">
        <x:v>2029</x:v>
      </x:c>
      <x:c r="C1702" s="380" t="n">
        <x:v>8</x:v>
      </x:c>
      <x:c r="D1702" s="380" t="str">
        <x:v>Aug</x:v>
      </x:c>
      <x:c r="E1702" s="380" t="n">
        <x:v>23</x:v>
      </x:c>
      <x:c r="F1702" s="380" t="n">
        <x:v>4</x:v>
      </x:c>
      <x:c r="G1702" s="380" t="n">
        <x:f>--(F1702&lt;='Estimator'!$B$7)</x:f>
        <x:v>1</x:v>
      </x:c>
      <x:c r="H1702" s="381" t="n">
        <x:f>SUMIFS('Climate Data'!$G$7:$G$366,'Climate Data'!$A$7:$A$366,'Estimator'!$B$4,'Climate Data'!$B$7:$B$366,C1702)</x:f>
        <x:v>0.47274749721913234</x:v>
      </x:c>
      <x:c r="I1702" s="382" t="n">
        <x:f>SUMIFS('Climate Data'!$H$7:$H$366,'Climate Data'!$A$7:$A$366,'Estimator'!$B$4,'Climate Data'!$B$7:$B$366,C1702)</x:f>
        <x:v>7.9971764705882356</x:v>
      </x:c>
      <x:c r="J1702" s="381" t="n">
        <x:f>SUMIFS('Wind Proxy'!$H$8:$H$19,'Wind Proxy'!$A$8:$A$19,'Estimator'!$B$4,'Wind Proxy'!$B$8:$B$19,C1702)</x:f>
        <x:v>0.13739545997610514</x:v>
      </x:c>
    </x:row>
    <x:row r="1703">
      <x:c r="A1703" s="379" t="n">
        <x:v>47354</x:v>
      </x:c>
      <x:c r="B1703" s="380" t="n">
        <x:v>2029</x:v>
      </x:c>
      <x:c r="C1703" s="380" t="n">
        <x:v>8</x:v>
      </x:c>
      <x:c r="D1703" s="380" t="str">
        <x:v>Aug</x:v>
      </x:c>
      <x:c r="E1703" s="380" t="n">
        <x:v>24</x:v>
      </x:c>
      <x:c r="F1703" s="380" t="n">
        <x:v>5</x:v>
      </x:c>
      <x:c r="G1703" s="380" t="n">
        <x:f>--(F1703&lt;='Estimator'!$B$7)</x:f>
        <x:v>1</x:v>
      </x:c>
      <x:c r="H1703" s="381" t="n">
        <x:f>SUMIFS('Climate Data'!$G$7:$G$366,'Climate Data'!$A$7:$A$366,'Estimator'!$B$4,'Climate Data'!$B$7:$B$366,C1703)</x:f>
        <x:v>0.47274749721913234</x:v>
      </x:c>
      <x:c r="I1703" s="382" t="n">
        <x:f>SUMIFS('Climate Data'!$H$7:$H$366,'Climate Data'!$A$7:$A$366,'Estimator'!$B$4,'Climate Data'!$B$7:$B$366,C1703)</x:f>
        <x:v>7.9971764705882356</x:v>
      </x:c>
      <x:c r="J1703" s="381" t="n">
        <x:f>SUMIFS('Wind Proxy'!$H$8:$H$19,'Wind Proxy'!$A$8:$A$19,'Estimator'!$B$4,'Wind Proxy'!$B$8:$B$19,C1703)</x:f>
        <x:v>0.13739545997610514</x:v>
      </x:c>
    </x:row>
    <x:row r="1704">
      <x:c r="A1704" s="379" t="n">
        <x:v>47355</x:v>
      </x:c>
      <x:c r="B1704" s="380" t="n">
        <x:v>2029</x:v>
      </x:c>
      <x:c r="C1704" s="380" t="n">
        <x:v>8</x:v>
      </x:c>
      <x:c r="D1704" s="380" t="str">
        <x:v>Aug</x:v>
      </x:c>
      <x:c r="E1704" s="380" t="n">
        <x:v>25</x:v>
      </x:c>
      <x:c r="F1704" s="380" t="n">
        <x:v>6</x:v>
      </x:c>
      <x:c r="G1704" s="380" t="n">
        <x:f>--(F1704&lt;='Estimator'!$B$7)</x:f>
        <x:v>0</x:v>
      </x:c>
      <x:c r="H1704" s="381" t="n">
        <x:f>SUMIFS('Climate Data'!$G$7:$G$366,'Climate Data'!$A$7:$A$366,'Estimator'!$B$4,'Climate Data'!$B$7:$B$366,C1704)</x:f>
        <x:v>0.47274749721913234</x:v>
      </x:c>
      <x:c r="I1704" s="382" t="n">
        <x:f>SUMIFS('Climate Data'!$H$7:$H$366,'Climate Data'!$A$7:$A$366,'Estimator'!$B$4,'Climate Data'!$B$7:$B$366,C1704)</x:f>
        <x:v>7.9971764705882356</x:v>
      </x:c>
      <x:c r="J1704" s="381" t="n">
        <x:f>SUMIFS('Wind Proxy'!$H$8:$H$19,'Wind Proxy'!$A$8:$A$19,'Estimator'!$B$4,'Wind Proxy'!$B$8:$B$19,C1704)</x:f>
        <x:v>0.13739545997610514</x:v>
      </x:c>
    </x:row>
    <x:row r="1705">
      <x:c r="A1705" s="379" t="n">
        <x:v>47356</x:v>
      </x:c>
      <x:c r="B1705" s="380" t="n">
        <x:v>2029</x:v>
      </x:c>
      <x:c r="C1705" s="380" t="n">
        <x:v>8</x:v>
      </x:c>
      <x:c r="D1705" s="380" t="str">
        <x:v>Aug</x:v>
      </x:c>
      <x:c r="E1705" s="380" t="n">
        <x:v>26</x:v>
      </x:c>
      <x:c r="F1705" s="380" t="n">
        <x:v>7</x:v>
      </x:c>
      <x:c r="G1705" s="380" t="n">
        <x:f>--(F1705&lt;='Estimator'!$B$7)</x:f>
        <x:v>0</x:v>
      </x:c>
      <x:c r="H1705" s="381" t="n">
        <x:f>SUMIFS('Climate Data'!$G$7:$G$366,'Climate Data'!$A$7:$A$366,'Estimator'!$B$4,'Climate Data'!$B$7:$B$366,C1705)</x:f>
        <x:v>0.47274749721913234</x:v>
      </x:c>
      <x:c r="I1705" s="382" t="n">
        <x:f>SUMIFS('Climate Data'!$H$7:$H$366,'Climate Data'!$A$7:$A$366,'Estimator'!$B$4,'Climate Data'!$B$7:$B$366,C1705)</x:f>
        <x:v>7.9971764705882356</x:v>
      </x:c>
      <x:c r="J1705" s="381" t="n">
        <x:f>SUMIFS('Wind Proxy'!$H$8:$H$19,'Wind Proxy'!$A$8:$A$19,'Estimator'!$B$4,'Wind Proxy'!$B$8:$B$19,C1705)</x:f>
        <x:v>0.13739545997610514</x:v>
      </x:c>
    </x:row>
    <x:row r="1706">
      <x:c r="A1706" s="379" t="n">
        <x:v>47357</x:v>
      </x:c>
      <x:c r="B1706" s="380" t="n">
        <x:v>2029</x:v>
      </x:c>
      <x:c r="C1706" s="380" t="n">
        <x:v>8</x:v>
      </x:c>
      <x:c r="D1706" s="380" t="str">
        <x:v>Aug</x:v>
      </x:c>
      <x:c r="E1706" s="380" t="n">
        <x:v>27</x:v>
      </x:c>
      <x:c r="F1706" s="380" t="n">
        <x:v>1</x:v>
      </x:c>
      <x:c r="G1706" s="380" t="n">
        <x:f>--(F1706&lt;='Estimator'!$B$7)</x:f>
        <x:v>1</x:v>
      </x:c>
      <x:c r="H1706" s="381" t="n">
        <x:f>SUMIFS('Climate Data'!$G$7:$G$366,'Climate Data'!$A$7:$A$366,'Estimator'!$B$4,'Climate Data'!$B$7:$B$366,C1706)</x:f>
        <x:v>0.47274749721913234</x:v>
      </x:c>
      <x:c r="I1706" s="382" t="n">
        <x:f>SUMIFS('Climate Data'!$H$7:$H$366,'Climate Data'!$A$7:$A$366,'Estimator'!$B$4,'Climate Data'!$B$7:$B$366,C1706)</x:f>
        <x:v>7.9971764705882356</x:v>
      </x:c>
      <x:c r="J1706" s="381" t="n">
        <x:f>SUMIFS('Wind Proxy'!$H$8:$H$19,'Wind Proxy'!$A$8:$A$19,'Estimator'!$B$4,'Wind Proxy'!$B$8:$B$19,C1706)</x:f>
        <x:v>0.13739545997610514</x:v>
      </x:c>
    </x:row>
    <x:row r="1707">
      <x:c r="A1707" s="379" t="n">
        <x:v>47358</x:v>
      </x:c>
      <x:c r="B1707" s="380" t="n">
        <x:v>2029</x:v>
      </x:c>
      <x:c r="C1707" s="380" t="n">
        <x:v>8</x:v>
      </x:c>
      <x:c r="D1707" s="380" t="str">
        <x:v>Aug</x:v>
      </x:c>
      <x:c r="E1707" s="380" t="n">
        <x:v>28</x:v>
      </x:c>
      <x:c r="F1707" s="380" t="n">
        <x:v>2</x:v>
      </x:c>
      <x:c r="G1707" s="380" t="n">
        <x:f>--(F1707&lt;='Estimator'!$B$7)</x:f>
        <x:v>1</x:v>
      </x:c>
      <x:c r="H1707" s="381" t="n">
        <x:f>SUMIFS('Climate Data'!$G$7:$G$366,'Climate Data'!$A$7:$A$366,'Estimator'!$B$4,'Climate Data'!$B$7:$B$366,C1707)</x:f>
        <x:v>0.47274749721913234</x:v>
      </x:c>
      <x:c r="I1707" s="382" t="n">
        <x:f>SUMIFS('Climate Data'!$H$7:$H$366,'Climate Data'!$A$7:$A$366,'Estimator'!$B$4,'Climate Data'!$B$7:$B$366,C1707)</x:f>
        <x:v>7.9971764705882356</x:v>
      </x:c>
      <x:c r="J1707" s="381" t="n">
        <x:f>SUMIFS('Wind Proxy'!$H$8:$H$19,'Wind Proxy'!$A$8:$A$19,'Estimator'!$B$4,'Wind Proxy'!$B$8:$B$19,C1707)</x:f>
        <x:v>0.13739545997610514</x:v>
      </x:c>
    </x:row>
    <x:row r="1708">
      <x:c r="A1708" s="379" t="n">
        <x:v>47359</x:v>
      </x:c>
      <x:c r="B1708" s="380" t="n">
        <x:v>2029</x:v>
      </x:c>
      <x:c r="C1708" s="380" t="n">
        <x:v>8</x:v>
      </x:c>
      <x:c r="D1708" s="380" t="str">
        <x:v>Aug</x:v>
      </x:c>
      <x:c r="E1708" s="380" t="n">
        <x:v>29</x:v>
      </x:c>
      <x:c r="F1708" s="380" t="n">
        <x:v>3</x:v>
      </x:c>
      <x:c r="G1708" s="380" t="n">
        <x:f>--(F1708&lt;='Estimator'!$B$7)</x:f>
        <x:v>1</x:v>
      </x:c>
      <x:c r="H1708" s="381" t="n">
        <x:f>SUMIFS('Climate Data'!$G$7:$G$366,'Climate Data'!$A$7:$A$366,'Estimator'!$B$4,'Climate Data'!$B$7:$B$366,C1708)</x:f>
        <x:v>0.47274749721913234</x:v>
      </x:c>
      <x:c r="I1708" s="382" t="n">
        <x:f>SUMIFS('Climate Data'!$H$7:$H$366,'Climate Data'!$A$7:$A$366,'Estimator'!$B$4,'Climate Data'!$B$7:$B$366,C1708)</x:f>
        <x:v>7.9971764705882356</x:v>
      </x:c>
      <x:c r="J1708" s="381" t="n">
        <x:f>SUMIFS('Wind Proxy'!$H$8:$H$19,'Wind Proxy'!$A$8:$A$19,'Estimator'!$B$4,'Wind Proxy'!$B$8:$B$19,C1708)</x:f>
        <x:v>0.13739545997610514</x:v>
      </x:c>
    </x:row>
    <x:row r="1709">
      <x:c r="A1709" s="379" t="n">
        <x:v>47360</x:v>
      </x:c>
      <x:c r="B1709" s="380" t="n">
        <x:v>2029</x:v>
      </x:c>
      <x:c r="C1709" s="380" t="n">
        <x:v>8</x:v>
      </x:c>
      <x:c r="D1709" s="380" t="str">
        <x:v>Aug</x:v>
      </x:c>
      <x:c r="E1709" s="380" t="n">
        <x:v>30</x:v>
      </x:c>
      <x:c r="F1709" s="380" t="n">
        <x:v>4</x:v>
      </x:c>
      <x:c r="G1709" s="380" t="n">
        <x:f>--(F1709&lt;='Estimator'!$B$7)</x:f>
        <x:v>1</x:v>
      </x:c>
      <x:c r="H1709" s="381" t="n">
        <x:f>SUMIFS('Climate Data'!$G$7:$G$366,'Climate Data'!$A$7:$A$366,'Estimator'!$B$4,'Climate Data'!$B$7:$B$366,C1709)</x:f>
        <x:v>0.47274749721913234</x:v>
      </x:c>
      <x:c r="I1709" s="382" t="n">
        <x:f>SUMIFS('Climate Data'!$H$7:$H$366,'Climate Data'!$A$7:$A$366,'Estimator'!$B$4,'Climate Data'!$B$7:$B$366,C1709)</x:f>
        <x:v>7.9971764705882356</x:v>
      </x:c>
      <x:c r="J1709" s="381" t="n">
        <x:f>SUMIFS('Wind Proxy'!$H$8:$H$19,'Wind Proxy'!$A$8:$A$19,'Estimator'!$B$4,'Wind Proxy'!$B$8:$B$19,C1709)</x:f>
        <x:v>0.13739545997610514</x:v>
      </x:c>
    </x:row>
    <x:row r="1710">
      <x:c r="A1710" s="379" t="n">
        <x:v>47361</x:v>
      </x:c>
      <x:c r="B1710" s="380" t="n">
        <x:v>2029</x:v>
      </x:c>
      <x:c r="C1710" s="380" t="n">
        <x:v>8</x:v>
      </x:c>
      <x:c r="D1710" s="380" t="str">
        <x:v>Aug</x:v>
      </x:c>
      <x:c r="E1710" s="380" t="n">
        <x:v>31</x:v>
      </x:c>
      <x:c r="F1710" s="380" t="n">
        <x:v>5</x:v>
      </x:c>
      <x:c r="G1710" s="380" t="n">
        <x:f>--(F1710&lt;='Estimator'!$B$7)</x:f>
        <x:v>1</x:v>
      </x:c>
      <x:c r="H1710" s="381" t="n">
        <x:f>SUMIFS('Climate Data'!$G$7:$G$366,'Climate Data'!$A$7:$A$366,'Estimator'!$B$4,'Climate Data'!$B$7:$B$366,C1710)</x:f>
        <x:v>0.47274749721913234</x:v>
      </x:c>
      <x:c r="I1710" s="382" t="n">
        <x:f>SUMIFS('Climate Data'!$H$7:$H$366,'Climate Data'!$A$7:$A$366,'Estimator'!$B$4,'Climate Data'!$B$7:$B$366,C1710)</x:f>
        <x:v>7.9971764705882356</x:v>
      </x:c>
      <x:c r="J1710" s="381" t="n">
        <x:f>SUMIFS('Wind Proxy'!$H$8:$H$19,'Wind Proxy'!$A$8:$A$19,'Estimator'!$B$4,'Wind Proxy'!$B$8:$B$19,C1710)</x:f>
        <x:v>0.13739545997610514</x:v>
      </x:c>
    </x:row>
    <x:row r="1711">
      <x:c r="A1711" s="379" t="n">
        <x:v>47362</x:v>
      </x:c>
      <x:c r="B1711" s="380" t="n">
        <x:v>2029</x:v>
      </x:c>
      <x:c r="C1711" s="380" t="n">
        <x:v>9</x:v>
      </x:c>
      <x:c r="D1711" s="380" t="str">
        <x:v>Sep</x:v>
      </x:c>
      <x:c r="E1711" s="380" t="n">
        <x:v>1</x:v>
      </x:c>
      <x:c r="F1711" s="380" t="n">
        <x:v>6</x:v>
      </x:c>
      <x:c r="G1711" s="380" t="n">
        <x:f>--(F1711&lt;='Estimator'!$B$7)</x:f>
        <x:v>0</x:v>
      </x:c>
      <x:c r="H1711" s="381" t="n">
        <x:f>SUMIFS('Climate Data'!$G$7:$G$366,'Climate Data'!$A$7:$A$366,'Estimator'!$B$4,'Climate Data'!$B$7:$B$366,C1711)</x:f>
        <x:v>0.4160919540229885</x:v>
      </x:c>
      <x:c r="I1711" s="382" t="n">
        <x:f>SUMIFS('Climate Data'!$H$7:$H$366,'Climate Data'!$A$7:$A$366,'Estimator'!$B$4,'Climate Data'!$B$7:$B$366,C1711)</x:f>
        <x:v>8.019060773480662</x:v>
      </x:c>
      <x:c r="J1711" s="381" t="n">
        <x:f>SUMIFS('Wind Proxy'!$H$8:$H$19,'Wind Proxy'!$A$8:$A$19,'Estimator'!$B$4,'Wind Proxy'!$B$8:$B$19,C1711)</x:f>
        <x:v>0.22222222222222224</x:v>
      </x:c>
    </x:row>
    <x:row r="1712">
      <x:c r="A1712" s="379" t="n">
        <x:v>47363</x:v>
      </x:c>
      <x:c r="B1712" s="380" t="n">
        <x:v>2029</x:v>
      </x:c>
      <x:c r="C1712" s="380" t="n">
        <x:v>9</x:v>
      </x:c>
      <x:c r="D1712" s="380" t="str">
        <x:v>Sep</x:v>
      </x:c>
      <x:c r="E1712" s="380" t="n">
        <x:v>2</x:v>
      </x:c>
      <x:c r="F1712" s="380" t="n">
        <x:v>7</x:v>
      </x:c>
      <x:c r="G1712" s="380" t="n">
        <x:f>--(F1712&lt;='Estimator'!$B$7)</x:f>
        <x:v>0</x:v>
      </x:c>
      <x:c r="H1712" s="381" t="n">
        <x:f>SUMIFS('Climate Data'!$G$7:$G$366,'Climate Data'!$A$7:$A$366,'Estimator'!$B$4,'Climate Data'!$B$7:$B$366,C1712)</x:f>
        <x:v>0.4160919540229885</x:v>
      </x:c>
      <x:c r="I1712" s="382" t="n">
        <x:f>SUMIFS('Climate Data'!$H$7:$H$366,'Climate Data'!$A$7:$A$366,'Estimator'!$B$4,'Climate Data'!$B$7:$B$366,C1712)</x:f>
        <x:v>8.019060773480662</x:v>
      </x:c>
      <x:c r="J1712" s="381" t="n">
        <x:f>SUMIFS('Wind Proxy'!$H$8:$H$19,'Wind Proxy'!$A$8:$A$19,'Estimator'!$B$4,'Wind Proxy'!$B$8:$B$19,C1712)</x:f>
        <x:v>0.22222222222222224</x:v>
      </x:c>
    </x:row>
    <x:row r="1713">
      <x:c r="A1713" s="379" t="n">
        <x:v>47364</x:v>
      </x:c>
      <x:c r="B1713" s="380" t="n">
        <x:v>2029</x:v>
      </x:c>
      <x:c r="C1713" s="380" t="n">
        <x:v>9</x:v>
      </x:c>
      <x:c r="D1713" s="380" t="str">
        <x:v>Sep</x:v>
      </x:c>
      <x:c r="E1713" s="380" t="n">
        <x:v>3</x:v>
      </x:c>
      <x:c r="F1713" s="380" t="n">
        <x:v>1</x:v>
      </x:c>
      <x:c r="G1713" s="380" t="n">
        <x:f>--(F1713&lt;='Estimator'!$B$7)</x:f>
        <x:v>1</x:v>
      </x:c>
      <x:c r="H1713" s="381" t="n">
        <x:f>SUMIFS('Climate Data'!$G$7:$G$366,'Climate Data'!$A$7:$A$366,'Estimator'!$B$4,'Climate Data'!$B$7:$B$366,C1713)</x:f>
        <x:v>0.4160919540229885</x:v>
      </x:c>
      <x:c r="I1713" s="382" t="n">
        <x:f>SUMIFS('Climate Data'!$H$7:$H$366,'Climate Data'!$A$7:$A$366,'Estimator'!$B$4,'Climate Data'!$B$7:$B$366,C1713)</x:f>
        <x:v>8.019060773480662</x:v>
      </x:c>
      <x:c r="J1713" s="381" t="n">
        <x:f>SUMIFS('Wind Proxy'!$H$8:$H$19,'Wind Proxy'!$A$8:$A$19,'Estimator'!$B$4,'Wind Proxy'!$B$8:$B$19,C1713)</x:f>
        <x:v>0.22222222222222224</x:v>
      </x:c>
    </x:row>
    <x:row r="1714">
      <x:c r="A1714" s="379" t="n">
        <x:v>47365</x:v>
      </x:c>
      <x:c r="B1714" s="380" t="n">
        <x:v>2029</x:v>
      </x:c>
      <x:c r="C1714" s="380" t="n">
        <x:v>9</x:v>
      </x:c>
      <x:c r="D1714" s="380" t="str">
        <x:v>Sep</x:v>
      </x:c>
      <x:c r="E1714" s="380" t="n">
        <x:v>4</x:v>
      </x:c>
      <x:c r="F1714" s="380" t="n">
        <x:v>2</x:v>
      </x:c>
      <x:c r="G1714" s="380" t="n">
        <x:f>--(F1714&lt;='Estimator'!$B$7)</x:f>
        <x:v>1</x:v>
      </x:c>
      <x:c r="H1714" s="381" t="n">
        <x:f>SUMIFS('Climate Data'!$G$7:$G$366,'Climate Data'!$A$7:$A$366,'Estimator'!$B$4,'Climate Data'!$B$7:$B$366,C1714)</x:f>
        <x:v>0.4160919540229885</x:v>
      </x:c>
      <x:c r="I1714" s="382" t="n">
        <x:f>SUMIFS('Climate Data'!$H$7:$H$366,'Climate Data'!$A$7:$A$366,'Estimator'!$B$4,'Climate Data'!$B$7:$B$366,C1714)</x:f>
        <x:v>8.019060773480662</x:v>
      </x:c>
      <x:c r="J1714" s="381" t="n">
        <x:f>SUMIFS('Wind Proxy'!$H$8:$H$19,'Wind Proxy'!$A$8:$A$19,'Estimator'!$B$4,'Wind Proxy'!$B$8:$B$19,C1714)</x:f>
        <x:v>0.22222222222222224</x:v>
      </x:c>
    </x:row>
    <x:row r="1715">
      <x:c r="A1715" s="379" t="n">
        <x:v>47366</x:v>
      </x:c>
      <x:c r="B1715" s="380" t="n">
        <x:v>2029</x:v>
      </x:c>
      <x:c r="C1715" s="380" t="n">
        <x:v>9</x:v>
      </x:c>
      <x:c r="D1715" s="380" t="str">
        <x:v>Sep</x:v>
      </x:c>
      <x:c r="E1715" s="380" t="n">
        <x:v>5</x:v>
      </x:c>
      <x:c r="F1715" s="380" t="n">
        <x:v>3</x:v>
      </x:c>
      <x:c r="G1715" s="380" t="n">
        <x:f>--(F1715&lt;='Estimator'!$B$7)</x:f>
        <x:v>1</x:v>
      </x:c>
      <x:c r="H1715" s="381" t="n">
        <x:f>SUMIFS('Climate Data'!$G$7:$G$366,'Climate Data'!$A$7:$A$366,'Estimator'!$B$4,'Climate Data'!$B$7:$B$366,C1715)</x:f>
        <x:v>0.4160919540229885</x:v>
      </x:c>
      <x:c r="I1715" s="382" t="n">
        <x:f>SUMIFS('Climate Data'!$H$7:$H$366,'Climate Data'!$A$7:$A$366,'Estimator'!$B$4,'Climate Data'!$B$7:$B$366,C1715)</x:f>
        <x:v>8.019060773480662</x:v>
      </x:c>
      <x:c r="J1715" s="381" t="n">
        <x:f>SUMIFS('Wind Proxy'!$H$8:$H$19,'Wind Proxy'!$A$8:$A$19,'Estimator'!$B$4,'Wind Proxy'!$B$8:$B$19,C1715)</x:f>
        <x:v>0.22222222222222224</x:v>
      </x:c>
    </x:row>
    <x:row r="1716">
      <x:c r="A1716" s="379" t="n">
        <x:v>47367</x:v>
      </x:c>
      <x:c r="B1716" s="380" t="n">
        <x:v>2029</x:v>
      </x:c>
      <x:c r="C1716" s="380" t="n">
        <x:v>9</x:v>
      </x:c>
      <x:c r="D1716" s="380" t="str">
        <x:v>Sep</x:v>
      </x:c>
      <x:c r="E1716" s="380" t="n">
        <x:v>6</x:v>
      </x:c>
      <x:c r="F1716" s="380" t="n">
        <x:v>4</x:v>
      </x:c>
      <x:c r="G1716" s="380" t="n">
        <x:f>--(F1716&lt;='Estimator'!$B$7)</x:f>
        <x:v>1</x:v>
      </x:c>
      <x:c r="H1716" s="381" t="n">
        <x:f>SUMIFS('Climate Data'!$G$7:$G$366,'Climate Data'!$A$7:$A$366,'Estimator'!$B$4,'Climate Data'!$B$7:$B$366,C1716)</x:f>
        <x:v>0.4160919540229885</x:v>
      </x:c>
      <x:c r="I1716" s="382" t="n">
        <x:f>SUMIFS('Climate Data'!$H$7:$H$366,'Climate Data'!$A$7:$A$366,'Estimator'!$B$4,'Climate Data'!$B$7:$B$366,C1716)</x:f>
        <x:v>8.019060773480662</x:v>
      </x:c>
      <x:c r="J1716" s="381" t="n">
        <x:f>SUMIFS('Wind Proxy'!$H$8:$H$19,'Wind Proxy'!$A$8:$A$19,'Estimator'!$B$4,'Wind Proxy'!$B$8:$B$19,C1716)</x:f>
        <x:v>0.22222222222222224</x:v>
      </x:c>
    </x:row>
    <x:row r="1717">
      <x:c r="A1717" s="379" t="n">
        <x:v>47368</x:v>
      </x:c>
      <x:c r="B1717" s="380" t="n">
        <x:v>2029</x:v>
      </x:c>
      <x:c r="C1717" s="380" t="n">
        <x:v>9</x:v>
      </x:c>
      <x:c r="D1717" s="380" t="str">
        <x:v>Sep</x:v>
      </x:c>
      <x:c r="E1717" s="380" t="n">
        <x:v>7</x:v>
      </x:c>
      <x:c r="F1717" s="380" t="n">
        <x:v>5</x:v>
      </x:c>
      <x:c r="G1717" s="380" t="n">
        <x:f>--(F1717&lt;='Estimator'!$B$7)</x:f>
        <x:v>1</x:v>
      </x:c>
      <x:c r="H1717" s="381" t="n">
        <x:f>SUMIFS('Climate Data'!$G$7:$G$366,'Climate Data'!$A$7:$A$366,'Estimator'!$B$4,'Climate Data'!$B$7:$B$366,C1717)</x:f>
        <x:v>0.4160919540229885</x:v>
      </x:c>
      <x:c r="I1717" s="382" t="n">
        <x:f>SUMIFS('Climate Data'!$H$7:$H$366,'Climate Data'!$A$7:$A$366,'Estimator'!$B$4,'Climate Data'!$B$7:$B$366,C1717)</x:f>
        <x:v>8.019060773480662</x:v>
      </x:c>
      <x:c r="J1717" s="381" t="n">
        <x:f>SUMIFS('Wind Proxy'!$H$8:$H$19,'Wind Proxy'!$A$8:$A$19,'Estimator'!$B$4,'Wind Proxy'!$B$8:$B$19,C1717)</x:f>
        <x:v>0.22222222222222224</x:v>
      </x:c>
    </x:row>
    <x:row r="1718">
      <x:c r="A1718" s="379" t="n">
        <x:v>47369</x:v>
      </x:c>
      <x:c r="B1718" s="380" t="n">
        <x:v>2029</x:v>
      </x:c>
      <x:c r="C1718" s="380" t="n">
        <x:v>9</x:v>
      </x:c>
      <x:c r="D1718" s="380" t="str">
        <x:v>Sep</x:v>
      </x:c>
      <x:c r="E1718" s="380" t="n">
        <x:v>8</x:v>
      </x:c>
      <x:c r="F1718" s="380" t="n">
        <x:v>6</x:v>
      </x:c>
      <x:c r="G1718" s="380" t="n">
        <x:f>--(F1718&lt;='Estimator'!$B$7)</x:f>
        <x:v>0</x:v>
      </x:c>
      <x:c r="H1718" s="381" t="n">
        <x:f>SUMIFS('Climate Data'!$G$7:$G$366,'Climate Data'!$A$7:$A$366,'Estimator'!$B$4,'Climate Data'!$B$7:$B$366,C1718)</x:f>
        <x:v>0.4160919540229885</x:v>
      </x:c>
      <x:c r="I1718" s="382" t="n">
        <x:f>SUMIFS('Climate Data'!$H$7:$H$366,'Climate Data'!$A$7:$A$366,'Estimator'!$B$4,'Climate Data'!$B$7:$B$366,C1718)</x:f>
        <x:v>8.019060773480662</x:v>
      </x:c>
      <x:c r="J1718" s="381" t="n">
        <x:f>SUMIFS('Wind Proxy'!$H$8:$H$19,'Wind Proxy'!$A$8:$A$19,'Estimator'!$B$4,'Wind Proxy'!$B$8:$B$19,C1718)</x:f>
        <x:v>0.22222222222222224</x:v>
      </x:c>
    </x:row>
    <x:row r="1719">
      <x:c r="A1719" s="379" t="n">
        <x:v>47370</x:v>
      </x:c>
      <x:c r="B1719" s="380" t="n">
        <x:v>2029</x:v>
      </x:c>
      <x:c r="C1719" s="380" t="n">
        <x:v>9</x:v>
      </x:c>
      <x:c r="D1719" s="380" t="str">
        <x:v>Sep</x:v>
      </x:c>
      <x:c r="E1719" s="380" t="n">
        <x:v>9</x:v>
      </x:c>
      <x:c r="F1719" s="380" t="n">
        <x:v>7</x:v>
      </x:c>
      <x:c r="G1719" s="380" t="n">
        <x:f>--(F1719&lt;='Estimator'!$B$7)</x:f>
        <x:v>0</x:v>
      </x:c>
      <x:c r="H1719" s="381" t="n">
        <x:f>SUMIFS('Climate Data'!$G$7:$G$366,'Climate Data'!$A$7:$A$366,'Estimator'!$B$4,'Climate Data'!$B$7:$B$366,C1719)</x:f>
        <x:v>0.4160919540229885</x:v>
      </x:c>
      <x:c r="I1719" s="382" t="n">
        <x:f>SUMIFS('Climate Data'!$H$7:$H$366,'Climate Data'!$A$7:$A$366,'Estimator'!$B$4,'Climate Data'!$B$7:$B$366,C1719)</x:f>
        <x:v>8.019060773480662</x:v>
      </x:c>
      <x:c r="J1719" s="381" t="n">
        <x:f>SUMIFS('Wind Proxy'!$H$8:$H$19,'Wind Proxy'!$A$8:$A$19,'Estimator'!$B$4,'Wind Proxy'!$B$8:$B$19,C1719)</x:f>
        <x:v>0.22222222222222224</x:v>
      </x:c>
    </x:row>
    <x:row r="1720">
      <x:c r="A1720" s="379" t="n">
        <x:v>47371</x:v>
      </x:c>
      <x:c r="B1720" s="380" t="n">
        <x:v>2029</x:v>
      </x:c>
      <x:c r="C1720" s="380" t="n">
        <x:v>9</x:v>
      </x:c>
      <x:c r="D1720" s="380" t="str">
        <x:v>Sep</x:v>
      </x:c>
      <x:c r="E1720" s="380" t="n">
        <x:v>10</x:v>
      </x:c>
      <x:c r="F1720" s="380" t="n">
        <x:v>1</x:v>
      </x:c>
      <x:c r="G1720" s="380" t="n">
        <x:f>--(F1720&lt;='Estimator'!$B$7)</x:f>
        <x:v>1</x:v>
      </x:c>
      <x:c r="H1720" s="381" t="n">
        <x:f>SUMIFS('Climate Data'!$G$7:$G$366,'Climate Data'!$A$7:$A$366,'Estimator'!$B$4,'Climate Data'!$B$7:$B$366,C1720)</x:f>
        <x:v>0.4160919540229885</x:v>
      </x:c>
      <x:c r="I1720" s="382" t="n">
        <x:f>SUMIFS('Climate Data'!$H$7:$H$366,'Climate Data'!$A$7:$A$366,'Estimator'!$B$4,'Climate Data'!$B$7:$B$366,C1720)</x:f>
        <x:v>8.019060773480662</x:v>
      </x:c>
      <x:c r="J1720" s="381" t="n">
        <x:f>SUMIFS('Wind Proxy'!$H$8:$H$19,'Wind Proxy'!$A$8:$A$19,'Estimator'!$B$4,'Wind Proxy'!$B$8:$B$19,C1720)</x:f>
        <x:v>0.22222222222222224</x:v>
      </x:c>
    </x:row>
    <x:row r="1721">
      <x:c r="A1721" s="379" t="n">
        <x:v>47372</x:v>
      </x:c>
      <x:c r="B1721" s="380" t="n">
        <x:v>2029</x:v>
      </x:c>
      <x:c r="C1721" s="380" t="n">
        <x:v>9</x:v>
      </x:c>
      <x:c r="D1721" s="380" t="str">
        <x:v>Sep</x:v>
      </x:c>
      <x:c r="E1721" s="380" t="n">
        <x:v>11</x:v>
      </x:c>
      <x:c r="F1721" s="380" t="n">
        <x:v>2</x:v>
      </x:c>
      <x:c r="G1721" s="380" t="n">
        <x:f>--(F1721&lt;='Estimator'!$B$7)</x:f>
        <x:v>1</x:v>
      </x:c>
      <x:c r="H1721" s="381" t="n">
        <x:f>SUMIFS('Climate Data'!$G$7:$G$366,'Climate Data'!$A$7:$A$366,'Estimator'!$B$4,'Climate Data'!$B$7:$B$366,C1721)</x:f>
        <x:v>0.4160919540229885</x:v>
      </x:c>
      <x:c r="I1721" s="382" t="n">
        <x:f>SUMIFS('Climate Data'!$H$7:$H$366,'Climate Data'!$A$7:$A$366,'Estimator'!$B$4,'Climate Data'!$B$7:$B$366,C1721)</x:f>
        <x:v>8.019060773480662</x:v>
      </x:c>
      <x:c r="J1721" s="381" t="n">
        <x:f>SUMIFS('Wind Proxy'!$H$8:$H$19,'Wind Proxy'!$A$8:$A$19,'Estimator'!$B$4,'Wind Proxy'!$B$8:$B$19,C1721)</x:f>
        <x:v>0.22222222222222224</x:v>
      </x:c>
    </x:row>
    <x:row r="1722">
      <x:c r="A1722" s="379" t="n">
        <x:v>47373</x:v>
      </x:c>
      <x:c r="B1722" s="380" t="n">
        <x:v>2029</x:v>
      </x:c>
      <x:c r="C1722" s="380" t="n">
        <x:v>9</x:v>
      </x:c>
      <x:c r="D1722" s="380" t="str">
        <x:v>Sep</x:v>
      </x:c>
      <x:c r="E1722" s="380" t="n">
        <x:v>12</x:v>
      </x:c>
      <x:c r="F1722" s="380" t="n">
        <x:v>3</x:v>
      </x:c>
      <x:c r="G1722" s="380" t="n">
        <x:f>--(F1722&lt;='Estimator'!$B$7)</x:f>
        <x:v>1</x:v>
      </x:c>
      <x:c r="H1722" s="381" t="n">
        <x:f>SUMIFS('Climate Data'!$G$7:$G$366,'Climate Data'!$A$7:$A$366,'Estimator'!$B$4,'Climate Data'!$B$7:$B$366,C1722)</x:f>
        <x:v>0.4160919540229885</x:v>
      </x:c>
      <x:c r="I1722" s="382" t="n">
        <x:f>SUMIFS('Climate Data'!$H$7:$H$366,'Climate Data'!$A$7:$A$366,'Estimator'!$B$4,'Climate Data'!$B$7:$B$366,C1722)</x:f>
        <x:v>8.019060773480662</x:v>
      </x:c>
      <x:c r="J1722" s="381" t="n">
        <x:f>SUMIFS('Wind Proxy'!$H$8:$H$19,'Wind Proxy'!$A$8:$A$19,'Estimator'!$B$4,'Wind Proxy'!$B$8:$B$19,C1722)</x:f>
        <x:v>0.22222222222222224</x:v>
      </x:c>
    </x:row>
    <x:row r="1723">
      <x:c r="A1723" s="379" t="n">
        <x:v>47374</x:v>
      </x:c>
      <x:c r="B1723" s="380" t="n">
        <x:v>2029</x:v>
      </x:c>
      <x:c r="C1723" s="380" t="n">
        <x:v>9</x:v>
      </x:c>
      <x:c r="D1723" s="380" t="str">
        <x:v>Sep</x:v>
      </x:c>
      <x:c r="E1723" s="380" t="n">
        <x:v>13</x:v>
      </x:c>
      <x:c r="F1723" s="380" t="n">
        <x:v>4</x:v>
      </x:c>
      <x:c r="G1723" s="380" t="n">
        <x:f>--(F1723&lt;='Estimator'!$B$7)</x:f>
        <x:v>1</x:v>
      </x:c>
      <x:c r="H1723" s="381" t="n">
        <x:f>SUMIFS('Climate Data'!$G$7:$G$366,'Climate Data'!$A$7:$A$366,'Estimator'!$B$4,'Climate Data'!$B$7:$B$366,C1723)</x:f>
        <x:v>0.4160919540229885</x:v>
      </x:c>
      <x:c r="I1723" s="382" t="n">
        <x:f>SUMIFS('Climate Data'!$H$7:$H$366,'Climate Data'!$A$7:$A$366,'Estimator'!$B$4,'Climate Data'!$B$7:$B$366,C1723)</x:f>
        <x:v>8.019060773480662</x:v>
      </x:c>
      <x:c r="J1723" s="381" t="n">
        <x:f>SUMIFS('Wind Proxy'!$H$8:$H$19,'Wind Proxy'!$A$8:$A$19,'Estimator'!$B$4,'Wind Proxy'!$B$8:$B$19,C1723)</x:f>
        <x:v>0.22222222222222224</x:v>
      </x:c>
    </x:row>
    <x:row r="1724">
      <x:c r="A1724" s="379" t="n">
        <x:v>47375</x:v>
      </x:c>
      <x:c r="B1724" s="380" t="n">
        <x:v>2029</x:v>
      </x:c>
      <x:c r="C1724" s="380" t="n">
        <x:v>9</x:v>
      </x:c>
      <x:c r="D1724" s="380" t="str">
        <x:v>Sep</x:v>
      </x:c>
      <x:c r="E1724" s="380" t="n">
        <x:v>14</x:v>
      </x:c>
      <x:c r="F1724" s="380" t="n">
        <x:v>5</x:v>
      </x:c>
      <x:c r="G1724" s="380" t="n">
        <x:f>--(F1724&lt;='Estimator'!$B$7)</x:f>
        <x:v>1</x:v>
      </x:c>
      <x:c r="H1724" s="381" t="n">
        <x:f>SUMIFS('Climate Data'!$G$7:$G$366,'Climate Data'!$A$7:$A$366,'Estimator'!$B$4,'Climate Data'!$B$7:$B$366,C1724)</x:f>
        <x:v>0.4160919540229885</x:v>
      </x:c>
      <x:c r="I1724" s="382" t="n">
        <x:f>SUMIFS('Climate Data'!$H$7:$H$366,'Climate Data'!$A$7:$A$366,'Estimator'!$B$4,'Climate Data'!$B$7:$B$366,C1724)</x:f>
        <x:v>8.019060773480662</x:v>
      </x:c>
      <x:c r="J1724" s="381" t="n">
        <x:f>SUMIFS('Wind Proxy'!$H$8:$H$19,'Wind Proxy'!$A$8:$A$19,'Estimator'!$B$4,'Wind Proxy'!$B$8:$B$19,C1724)</x:f>
        <x:v>0.22222222222222224</x:v>
      </x:c>
    </x:row>
    <x:row r="1725">
      <x:c r="A1725" s="379" t="n">
        <x:v>47376</x:v>
      </x:c>
      <x:c r="B1725" s="380" t="n">
        <x:v>2029</x:v>
      </x:c>
      <x:c r="C1725" s="380" t="n">
        <x:v>9</x:v>
      </x:c>
      <x:c r="D1725" s="380" t="str">
        <x:v>Sep</x:v>
      </x:c>
      <x:c r="E1725" s="380" t="n">
        <x:v>15</x:v>
      </x:c>
      <x:c r="F1725" s="380" t="n">
        <x:v>6</x:v>
      </x:c>
      <x:c r="G1725" s="380" t="n">
        <x:f>--(F1725&lt;='Estimator'!$B$7)</x:f>
        <x:v>0</x:v>
      </x:c>
      <x:c r="H1725" s="381" t="n">
        <x:f>SUMIFS('Climate Data'!$G$7:$G$366,'Climate Data'!$A$7:$A$366,'Estimator'!$B$4,'Climate Data'!$B$7:$B$366,C1725)</x:f>
        <x:v>0.4160919540229885</x:v>
      </x:c>
      <x:c r="I1725" s="382" t="n">
        <x:f>SUMIFS('Climate Data'!$H$7:$H$366,'Climate Data'!$A$7:$A$366,'Estimator'!$B$4,'Climate Data'!$B$7:$B$366,C1725)</x:f>
        <x:v>8.019060773480662</x:v>
      </x:c>
      <x:c r="J1725" s="381" t="n">
        <x:f>SUMIFS('Wind Proxy'!$H$8:$H$19,'Wind Proxy'!$A$8:$A$19,'Estimator'!$B$4,'Wind Proxy'!$B$8:$B$19,C1725)</x:f>
        <x:v>0.22222222222222224</x:v>
      </x:c>
    </x:row>
    <x:row r="1726">
      <x:c r="A1726" s="379" t="n">
        <x:v>47377</x:v>
      </x:c>
      <x:c r="B1726" s="380" t="n">
        <x:v>2029</x:v>
      </x:c>
      <x:c r="C1726" s="380" t="n">
        <x:v>9</x:v>
      </x:c>
      <x:c r="D1726" s="380" t="str">
        <x:v>Sep</x:v>
      </x:c>
      <x:c r="E1726" s="380" t="n">
        <x:v>16</x:v>
      </x:c>
      <x:c r="F1726" s="380" t="n">
        <x:v>7</x:v>
      </x:c>
      <x:c r="G1726" s="380" t="n">
        <x:f>--(F1726&lt;='Estimator'!$B$7)</x:f>
        <x:v>0</x:v>
      </x:c>
      <x:c r="H1726" s="381" t="n">
        <x:f>SUMIFS('Climate Data'!$G$7:$G$366,'Climate Data'!$A$7:$A$366,'Estimator'!$B$4,'Climate Data'!$B$7:$B$366,C1726)</x:f>
        <x:v>0.4160919540229885</x:v>
      </x:c>
      <x:c r="I1726" s="382" t="n">
        <x:f>SUMIFS('Climate Data'!$H$7:$H$366,'Climate Data'!$A$7:$A$366,'Estimator'!$B$4,'Climate Data'!$B$7:$B$366,C1726)</x:f>
        <x:v>8.019060773480662</x:v>
      </x:c>
      <x:c r="J1726" s="381" t="n">
        <x:f>SUMIFS('Wind Proxy'!$H$8:$H$19,'Wind Proxy'!$A$8:$A$19,'Estimator'!$B$4,'Wind Proxy'!$B$8:$B$19,C1726)</x:f>
        <x:v>0.22222222222222224</x:v>
      </x:c>
    </x:row>
    <x:row r="1727">
      <x:c r="A1727" s="379" t="n">
        <x:v>47378</x:v>
      </x:c>
      <x:c r="B1727" s="380" t="n">
        <x:v>2029</x:v>
      </x:c>
      <x:c r="C1727" s="380" t="n">
        <x:v>9</x:v>
      </x:c>
      <x:c r="D1727" s="380" t="str">
        <x:v>Sep</x:v>
      </x:c>
      <x:c r="E1727" s="380" t="n">
        <x:v>17</x:v>
      </x:c>
      <x:c r="F1727" s="380" t="n">
        <x:v>1</x:v>
      </x:c>
      <x:c r="G1727" s="380" t="n">
        <x:f>--(F1727&lt;='Estimator'!$B$7)</x:f>
        <x:v>1</x:v>
      </x:c>
      <x:c r="H1727" s="381" t="n">
        <x:f>SUMIFS('Climate Data'!$G$7:$G$366,'Climate Data'!$A$7:$A$366,'Estimator'!$B$4,'Climate Data'!$B$7:$B$366,C1727)</x:f>
        <x:v>0.4160919540229885</x:v>
      </x:c>
      <x:c r="I1727" s="382" t="n">
        <x:f>SUMIFS('Climate Data'!$H$7:$H$366,'Climate Data'!$A$7:$A$366,'Estimator'!$B$4,'Climate Data'!$B$7:$B$366,C1727)</x:f>
        <x:v>8.019060773480662</x:v>
      </x:c>
      <x:c r="J1727" s="381" t="n">
        <x:f>SUMIFS('Wind Proxy'!$H$8:$H$19,'Wind Proxy'!$A$8:$A$19,'Estimator'!$B$4,'Wind Proxy'!$B$8:$B$19,C1727)</x:f>
        <x:v>0.22222222222222224</x:v>
      </x:c>
    </x:row>
    <x:row r="1728">
      <x:c r="A1728" s="379" t="n">
        <x:v>47379</x:v>
      </x:c>
      <x:c r="B1728" s="380" t="n">
        <x:v>2029</x:v>
      </x:c>
      <x:c r="C1728" s="380" t="n">
        <x:v>9</x:v>
      </x:c>
      <x:c r="D1728" s="380" t="str">
        <x:v>Sep</x:v>
      </x:c>
      <x:c r="E1728" s="380" t="n">
        <x:v>18</x:v>
      </x:c>
      <x:c r="F1728" s="380" t="n">
        <x:v>2</x:v>
      </x:c>
      <x:c r="G1728" s="380" t="n">
        <x:f>--(F1728&lt;='Estimator'!$B$7)</x:f>
        <x:v>1</x:v>
      </x:c>
      <x:c r="H1728" s="381" t="n">
        <x:f>SUMIFS('Climate Data'!$G$7:$G$366,'Climate Data'!$A$7:$A$366,'Estimator'!$B$4,'Climate Data'!$B$7:$B$366,C1728)</x:f>
        <x:v>0.4160919540229885</x:v>
      </x:c>
      <x:c r="I1728" s="382" t="n">
        <x:f>SUMIFS('Climate Data'!$H$7:$H$366,'Climate Data'!$A$7:$A$366,'Estimator'!$B$4,'Climate Data'!$B$7:$B$366,C1728)</x:f>
        <x:v>8.019060773480662</x:v>
      </x:c>
      <x:c r="J1728" s="381" t="n">
        <x:f>SUMIFS('Wind Proxy'!$H$8:$H$19,'Wind Proxy'!$A$8:$A$19,'Estimator'!$B$4,'Wind Proxy'!$B$8:$B$19,C1728)</x:f>
        <x:v>0.22222222222222224</x:v>
      </x:c>
    </x:row>
    <x:row r="1729">
      <x:c r="A1729" s="379" t="n">
        <x:v>47380</x:v>
      </x:c>
      <x:c r="B1729" s="380" t="n">
        <x:v>2029</x:v>
      </x:c>
      <x:c r="C1729" s="380" t="n">
        <x:v>9</x:v>
      </x:c>
      <x:c r="D1729" s="380" t="str">
        <x:v>Sep</x:v>
      </x:c>
      <x:c r="E1729" s="380" t="n">
        <x:v>19</x:v>
      </x:c>
      <x:c r="F1729" s="380" t="n">
        <x:v>3</x:v>
      </x:c>
      <x:c r="G1729" s="380" t="n">
        <x:f>--(F1729&lt;='Estimator'!$B$7)</x:f>
        <x:v>1</x:v>
      </x:c>
      <x:c r="H1729" s="381" t="n">
        <x:f>SUMIFS('Climate Data'!$G$7:$G$366,'Climate Data'!$A$7:$A$366,'Estimator'!$B$4,'Climate Data'!$B$7:$B$366,C1729)</x:f>
        <x:v>0.4160919540229885</x:v>
      </x:c>
      <x:c r="I1729" s="382" t="n">
        <x:f>SUMIFS('Climate Data'!$H$7:$H$366,'Climate Data'!$A$7:$A$366,'Estimator'!$B$4,'Climate Data'!$B$7:$B$366,C1729)</x:f>
        <x:v>8.019060773480662</x:v>
      </x:c>
      <x:c r="J1729" s="381" t="n">
        <x:f>SUMIFS('Wind Proxy'!$H$8:$H$19,'Wind Proxy'!$A$8:$A$19,'Estimator'!$B$4,'Wind Proxy'!$B$8:$B$19,C1729)</x:f>
        <x:v>0.22222222222222224</x:v>
      </x:c>
    </x:row>
    <x:row r="1730">
      <x:c r="A1730" s="379" t="n">
        <x:v>47381</x:v>
      </x:c>
      <x:c r="B1730" s="380" t="n">
        <x:v>2029</x:v>
      </x:c>
      <x:c r="C1730" s="380" t="n">
        <x:v>9</x:v>
      </x:c>
      <x:c r="D1730" s="380" t="str">
        <x:v>Sep</x:v>
      </x:c>
      <x:c r="E1730" s="380" t="n">
        <x:v>20</x:v>
      </x:c>
      <x:c r="F1730" s="380" t="n">
        <x:v>4</x:v>
      </x:c>
      <x:c r="G1730" s="380" t="n">
        <x:f>--(F1730&lt;='Estimator'!$B$7)</x:f>
        <x:v>1</x:v>
      </x:c>
      <x:c r="H1730" s="381" t="n">
        <x:f>SUMIFS('Climate Data'!$G$7:$G$366,'Climate Data'!$A$7:$A$366,'Estimator'!$B$4,'Climate Data'!$B$7:$B$366,C1730)</x:f>
        <x:v>0.4160919540229885</x:v>
      </x:c>
      <x:c r="I1730" s="382" t="n">
        <x:f>SUMIFS('Climate Data'!$H$7:$H$366,'Climate Data'!$A$7:$A$366,'Estimator'!$B$4,'Climate Data'!$B$7:$B$366,C1730)</x:f>
        <x:v>8.019060773480662</x:v>
      </x:c>
      <x:c r="J1730" s="381" t="n">
        <x:f>SUMIFS('Wind Proxy'!$H$8:$H$19,'Wind Proxy'!$A$8:$A$19,'Estimator'!$B$4,'Wind Proxy'!$B$8:$B$19,C1730)</x:f>
        <x:v>0.22222222222222224</x:v>
      </x:c>
    </x:row>
    <x:row r="1731">
      <x:c r="A1731" s="379" t="n">
        <x:v>47382</x:v>
      </x:c>
      <x:c r="B1731" s="380" t="n">
        <x:v>2029</x:v>
      </x:c>
      <x:c r="C1731" s="380" t="n">
        <x:v>9</x:v>
      </x:c>
      <x:c r="D1731" s="380" t="str">
        <x:v>Sep</x:v>
      </x:c>
      <x:c r="E1731" s="380" t="n">
        <x:v>21</x:v>
      </x:c>
      <x:c r="F1731" s="380" t="n">
        <x:v>5</x:v>
      </x:c>
      <x:c r="G1731" s="380" t="n">
        <x:f>--(F1731&lt;='Estimator'!$B$7)</x:f>
        <x:v>1</x:v>
      </x:c>
      <x:c r="H1731" s="381" t="n">
        <x:f>SUMIFS('Climate Data'!$G$7:$G$366,'Climate Data'!$A$7:$A$366,'Estimator'!$B$4,'Climate Data'!$B$7:$B$366,C1731)</x:f>
        <x:v>0.4160919540229885</x:v>
      </x:c>
      <x:c r="I1731" s="382" t="n">
        <x:f>SUMIFS('Climate Data'!$H$7:$H$366,'Climate Data'!$A$7:$A$366,'Estimator'!$B$4,'Climate Data'!$B$7:$B$366,C1731)</x:f>
        <x:v>8.019060773480662</x:v>
      </x:c>
      <x:c r="J1731" s="381" t="n">
        <x:f>SUMIFS('Wind Proxy'!$H$8:$H$19,'Wind Proxy'!$A$8:$A$19,'Estimator'!$B$4,'Wind Proxy'!$B$8:$B$19,C1731)</x:f>
        <x:v>0.22222222222222224</x:v>
      </x:c>
    </x:row>
    <x:row r="1732">
      <x:c r="A1732" s="379" t="n">
        <x:v>47383</x:v>
      </x:c>
      <x:c r="B1732" s="380" t="n">
        <x:v>2029</x:v>
      </x:c>
      <x:c r="C1732" s="380" t="n">
        <x:v>9</x:v>
      </x:c>
      <x:c r="D1732" s="380" t="str">
        <x:v>Sep</x:v>
      </x:c>
      <x:c r="E1732" s="380" t="n">
        <x:v>22</x:v>
      </x:c>
      <x:c r="F1732" s="380" t="n">
        <x:v>6</x:v>
      </x:c>
      <x:c r="G1732" s="380" t="n">
        <x:f>--(F1732&lt;='Estimator'!$B$7)</x:f>
        <x:v>0</x:v>
      </x:c>
      <x:c r="H1732" s="381" t="n">
        <x:f>SUMIFS('Climate Data'!$G$7:$G$366,'Climate Data'!$A$7:$A$366,'Estimator'!$B$4,'Climate Data'!$B$7:$B$366,C1732)</x:f>
        <x:v>0.4160919540229885</x:v>
      </x:c>
      <x:c r="I1732" s="382" t="n">
        <x:f>SUMIFS('Climate Data'!$H$7:$H$366,'Climate Data'!$A$7:$A$366,'Estimator'!$B$4,'Climate Data'!$B$7:$B$366,C1732)</x:f>
        <x:v>8.019060773480662</x:v>
      </x:c>
      <x:c r="J1732" s="381" t="n">
        <x:f>SUMIFS('Wind Proxy'!$H$8:$H$19,'Wind Proxy'!$A$8:$A$19,'Estimator'!$B$4,'Wind Proxy'!$B$8:$B$19,C1732)</x:f>
        <x:v>0.22222222222222224</x:v>
      </x:c>
    </x:row>
    <x:row r="1733">
      <x:c r="A1733" s="379" t="n">
        <x:v>47384</x:v>
      </x:c>
      <x:c r="B1733" s="380" t="n">
        <x:v>2029</x:v>
      </x:c>
      <x:c r="C1733" s="380" t="n">
        <x:v>9</x:v>
      </x:c>
      <x:c r="D1733" s="380" t="str">
        <x:v>Sep</x:v>
      </x:c>
      <x:c r="E1733" s="380" t="n">
        <x:v>23</x:v>
      </x:c>
      <x:c r="F1733" s="380" t="n">
        <x:v>7</x:v>
      </x:c>
      <x:c r="G1733" s="380" t="n">
        <x:f>--(F1733&lt;='Estimator'!$B$7)</x:f>
        <x:v>0</x:v>
      </x:c>
      <x:c r="H1733" s="381" t="n">
        <x:f>SUMIFS('Climate Data'!$G$7:$G$366,'Climate Data'!$A$7:$A$366,'Estimator'!$B$4,'Climate Data'!$B$7:$B$366,C1733)</x:f>
        <x:v>0.4160919540229885</x:v>
      </x:c>
      <x:c r="I1733" s="382" t="n">
        <x:f>SUMIFS('Climate Data'!$H$7:$H$366,'Climate Data'!$A$7:$A$366,'Estimator'!$B$4,'Climate Data'!$B$7:$B$366,C1733)</x:f>
        <x:v>8.019060773480662</x:v>
      </x:c>
      <x:c r="J1733" s="381" t="n">
        <x:f>SUMIFS('Wind Proxy'!$H$8:$H$19,'Wind Proxy'!$A$8:$A$19,'Estimator'!$B$4,'Wind Proxy'!$B$8:$B$19,C1733)</x:f>
        <x:v>0.22222222222222224</x:v>
      </x:c>
    </x:row>
    <x:row r="1734">
      <x:c r="A1734" s="379" t="n">
        <x:v>47385</x:v>
      </x:c>
      <x:c r="B1734" s="380" t="n">
        <x:v>2029</x:v>
      </x:c>
      <x:c r="C1734" s="380" t="n">
        <x:v>9</x:v>
      </x:c>
      <x:c r="D1734" s="380" t="str">
        <x:v>Sep</x:v>
      </x:c>
      <x:c r="E1734" s="380" t="n">
        <x:v>24</x:v>
      </x:c>
      <x:c r="F1734" s="380" t="n">
        <x:v>1</x:v>
      </x:c>
      <x:c r="G1734" s="380" t="n">
        <x:f>--(F1734&lt;='Estimator'!$B$7)</x:f>
        <x:v>1</x:v>
      </x:c>
      <x:c r="H1734" s="381" t="n">
        <x:f>SUMIFS('Climate Data'!$G$7:$G$366,'Climate Data'!$A$7:$A$366,'Estimator'!$B$4,'Climate Data'!$B$7:$B$366,C1734)</x:f>
        <x:v>0.4160919540229885</x:v>
      </x:c>
      <x:c r="I1734" s="382" t="n">
        <x:f>SUMIFS('Climate Data'!$H$7:$H$366,'Climate Data'!$A$7:$A$366,'Estimator'!$B$4,'Climate Data'!$B$7:$B$366,C1734)</x:f>
        <x:v>8.019060773480662</x:v>
      </x:c>
      <x:c r="J1734" s="381" t="n">
        <x:f>SUMIFS('Wind Proxy'!$H$8:$H$19,'Wind Proxy'!$A$8:$A$19,'Estimator'!$B$4,'Wind Proxy'!$B$8:$B$19,C1734)</x:f>
        <x:v>0.22222222222222224</x:v>
      </x:c>
    </x:row>
    <x:row r="1735">
      <x:c r="A1735" s="379" t="n">
        <x:v>47386</x:v>
      </x:c>
      <x:c r="B1735" s="380" t="n">
        <x:v>2029</x:v>
      </x:c>
      <x:c r="C1735" s="380" t="n">
        <x:v>9</x:v>
      </x:c>
      <x:c r="D1735" s="380" t="str">
        <x:v>Sep</x:v>
      </x:c>
      <x:c r="E1735" s="380" t="n">
        <x:v>25</x:v>
      </x:c>
      <x:c r="F1735" s="380" t="n">
        <x:v>2</x:v>
      </x:c>
      <x:c r="G1735" s="380" t="n">
        <x:f>--(F1735&lt;='Estimator'!$B$7)</x:f>
        <x:v>1</x:v>
      </x:c>
      <x:c r="H1735" s="381" t="n">
        <x:f>SUMIFS('Climate Data'!$G$7:$G$366,'Climate Data'!$A$7:$A$366,'Estimator'!$B$4,'Climate Data'!$B$7:$B$366,C1735)</x:f>
        <x:v>0.4160919540229885</x:v>
      </x:c>
      <x:c r="I1735" s="382" t="n">
        <x:f>SUMIFS('Climate Data'!$H$7:$H$366,'Climate Data'!$A$7:$A$366,'Estimator'!$B$4,'Climate Data'!$B$7:$B$366,C1735)</x:f>
        <x:v>8.019060773480662</x:v>
      </x:c>
      <x:c r="J1735" s="381" t="n">
        <x:f>SUMIFS('Wind Proxy'!$H$8:$H$19,'Wind Proxy'!$A$8:$A$19,'Estimator'!$B$4,'Wind Proxy'!$B$8:$B$19,C1735)</x:f>
        <x:v>0.22222222222222224</x:v>
      </x:c>
    </x:row>
    <x:row r="1736">
      <x:c r="A1736" s="379" t="n">
        <x:v>47387</x:v>
      </x:c>
      <x:c r="B1736" s="380" t="n">
        <x:v>2029</x:v>
      </x:c>
      <x:c r="C1736" s="380" t="n">
        <x:v>9</x:v>
      </x:c>
      <x:c r="D1736" s="380" t="str">
        <x:v>Sep</x:v>
      </x:c>
      <x:c r="E1736" s="380" t="n">
        <x:v>26</x:v>
      </x:c>
      <x:c r="F1736" s="380" t="n">
        <x:v>3</x:v>
      </x:c>
      <x:c r="G1736" s="380" t="n">
        <x:f>--(F1736&lt;='Estimator'!$B$7)</x:f>
        <x:v>1</x:v>
      </x:c>
      <x:c r="H1736" s="381" t="n">
        <x:f>SUMIFS('Climate Data'!$G$7:$G$366,'Climate Data'!$A$7:$A$366,'Estimator'!$B$4,'Climate Data'!$B$7:$B$366,C1736)</x:f>
        <x:v>0.4160919540229885</x:v>
      </x:c>
      <x:c r="I1736" s="382" t="n">
        <x:f>SUMIFS('Climate Data'!$H$7:$H$366,'Climate Data'!$A$7:$A$366,'Estimator'!$B$4,'Climate Data'!$B$7:$B$366,C1736)</x:f>
        <x:v>8.019060773480662</x:v>
      </x:c>
      <x:c r="J1736" s="381" t="n">
        <x:f>SUMIFS('Wind Proxy'!$H$8:$H$19,'Wind Proxy'!$A$8:$A$19,'Estimator'!$B$4,'Wind Proxy'!$B$8:$B$19,C1736)</x:f>
        <x:v>0.22222222222222224</x:v>
      </x:c>
    </x:row>
    <x:row r="1737">
      <x:c r="A1737" s="379" t="n">
        <x:v>47388</x:v>
      </x:c>
      <x:c r="B1737" s="380" t="n">
        <x:v>2029</x:v>
      </x:c>
      <x:c r="C1737" s="380" t="n">
        <x:v>9</x:v>
      </x:c>
      <x:c r="D1737" s="380" t="str">
        <x:v>Sep</x:v>
      </x:c>
      <x:c r="E1737" s="380" t="n">
        <x:v>27</x:v>
      </x:c>
      <x:c r="F1737" s="380" t="n">
        <x:v>4</x:v>
      </x:c>
      <x:c r="G1737" s="380" t="n">
        <x:f>--(F1737&lt;='Estimator'!$B$7)</x:f>
        <x:v>1</x:v>
      </x:c>
      <x:c r="H1737" s="381" t="n">
        <x:f>SUMIFS('Climate Data'!$G$7:$G$366,'Climate Data'!$A$7:$A$366,'Estimator'!$B$4,'Climate Data'!$B$7:$B$366,C1737)</x:f>
        <x:v>0.4160919540229885</x:v>
      </x:c>
      <x:c r="I1737" s="382" t="n">
        <x:f>SUMIFS('Climate Data'!$H$7:$H$366,'Climate Data'!$A$7:$A$366,'Estimator'!$B$4,'Climate Data'!$B$7:$B$366,C1737)</x:f>
        <x:v>8.019060773480662</x:v>
      </x:c>
      <x:c r="J1737" s="381" t="n">
        <x:f>SUMIFS('Wind Proxy'!$H$8:$H$19,'Wind Proxy'!$A$8:$A$19,'Estimator'!$B$4,'Wind Proxy'!$B$8:$B$19,C1737)</x:f>
        <x:v>0.22222222222222224</x:v>
      </x:c>
    </x:row>
    <x:row r="1738">
      <x:c r="A1738" s="379" t="n">
        <x:v>47389</x:v>
      </x:c>
      <x:c r="B1738" s="380" t="n">
        <x:v>2029</x:v>
      </x:c>
      <x:c r="C1738" s="380" t="n">
        <x:v>9</x:v>
      </x:c>
      <x:c r="D1738" s="380" t="str">
        <x:v>Sep</x:v>
      </x:c>
      <x:c r="E1738" s="380" t="n">
        <x:v>28</x:v>
      </x:c>
      <x:c r="F1738" s="380" t="n">
        <x:v>5</x:v>
      </x:c>
      <x:c r="G1738" s="380" t="n">
        <x:f>--(F1738&lt;='Estimator'!$B$7)</x:f>
        <x:v>1</x:v>
      </x:c>
      <x:c r="H1738" s="381" t="n">
        <x:f>SUMIFS('Climate Data'!$G$7:$G$366,'Climate Data'!$A$7:$A$366,'Estimator'!$B$4,'Climate Data'!$B$7:$B$366,C1738)</x:f>
        <x:v>0.4160919540229885</x:v>
      </x:c>
      <x:c r="I1738" s="382" t="n">
        <x:f>SUMIFS('Climate Data'!$H$7:$H$366,'Climate Data'!$A$7:$A$366,'Estimator'!$B$4,'Climate Data'!$B$7:$B$366,C1738)</x:f>
        <x:v>8.019060773480662</x:v>
      </x:c>
      <x:c r="J1738" s="381" t="n">
        <x:f>SUMIFS('Wind Proxy'!$H$8:$H$19,'Wind Proxy'!$A$8:$A$19,'Estimator'!$B$4,'Wind Proxy'!$B$8:$B$19,C1738)</x:f>
        <x:v>0.22222222222222224</x:v>
      </x:c>
    </x:row>
    <x:row r="1739">
      <x:c r="A1739" s="379" t="n">
        <x:v>47390</x:v>
      </x:c>
      <x:c r="B1739" s="380" t="n">
        <x:v>2029</x:v>
      </x:c>
      <x:c r="C1739" s="380" t="n">
        <x:v>9</x:v>
      </x:c>
      <x:c r="D1739" s="380" t="str">
        <x:v>Sep</x:v>
      </x:c>
      <x:c r="E1739" s="380" t="n">
        <x:v>29</x:v>
      </x:c>
      <x:c r="F1739" s="380" t="n">
        <x:v>6</x:v>
      </x:c>
      <x:c r="G1739" s="380" t="n">
        <x:f>--(F1739&lt;='Estimator'!$B$7)</x:f>
        <x:v>0</x:v>
      </x:c>
      <x:c r="H1739" s="381" t="n">
        <x:f>SUMIFS('Climate Data'!$G$7:$G$366,'Climate Data'!$A$7:$A$366,'Estimator'!$B$4,'Climate Data'!$B$7:$B$366,C1739)</x:f>
        <x:v>0.4160919540229885</x:v>
      </x:c>
      <x:c r="I1739" s="382" t="n">
        <x:f>SUMIFS('Climate Data'!$H$7:$H$366,'Climate Data'!$A$7:$A$366,'Estimator'!$B$4,'Climate Data'!$B$7:$B$366,C1739)</x:f>
        <x:v>8.019060773480662</x:v>
      </x:c>
      <x:c r="J1739" s="381" t="n">
        <x:f>SUMIFS('Wind Proxy'!$H$8:$H$19,'Wind Proxy'!$A$8:$A$19,'Estimator'!$B$4,'Wind Proxy'!$B$8:$B$19,C1739)</x:f>
        <x:v>0.22222222222222224</x:v>
      </x:c>
    </x:row>
    <x:row r="1740">
      <x:c r="A1740" s="379" t="n">
        <x:v>47391</x:v>
      </x:c>
      <x:c r="B1740" s="380" t="n">
        <x:v>2029</x:v>
      </x:c>
      <x:c r="C1740" s="380" t="n">
        <x:v>9</x:v>
      </x:c>
      <x:c r="D1740" s="380" t="str">
        <x:v>Sep</x:v>
      </x:c>
      <x:c r="E1740" s="380" t="n">
        <x:v>30</x:v>
      </x:c>
      <x:c r="F1740" s="380" t="n">
        <x:v>7</x:v>
      </x:c>
      <x:c r="G1740" s="380" t="n">
        <x:f>--(F1740&lt;='Estimator'!$B$7)</x:f>
        <x:v>0</x:v>
      </x:c>
      <x:c r="H1740" s="381" t="n">
        <x:f>SUMIFS('Climate Data'!$G$7:$G$366,'Climate Data'!$A$7:$A$366,'Estimator'!$B$4,'Climate Data'!$B$7:$B$366,C1740)</x:f>
        <x:v>0.4160919540229885</x:v>
      </x:c>
      <x:c r="I1740" s="382" t="n">
        <x:f>SUMIFS('Climate Data'!$H$7:$H$366,'Climate Data'!$A$7:$A$366,'Estimator'!$B$4,'Climate Data'!$B$7:$B$366,C1740)</x:f>
        <x:v>8.019060773480662</x:v>
      </x:c>
      <x:c r="J1740" s="381" t="n">
        <x:f>SUMIFS('Wind Proxy'!$H$8:$H$19,'Wind Proxy'!$A$8:$A$19,'Estimator'!$B$4,'Wind Proxy'!$B$8:$B$19,C1740)</x:f>
        <x:v>0.22222222222222224</x:v>
      </x:c>
    </x:row>
    <x:row r="1741">
      <x:c r="A1741" s="379" t="n">
        <x:v>47392</x:v>
      </x:c>
      <x:c r="B1741" s="380" t="n">
        <x:v>2029</x:v>
      </x:c>
      <x:c r="C1741" s="380" t="n">
        <x:v>10</x:v>
      </x:c>
      <x:c r="D1741" s="380" t="str">
        <x:v>Oct</x:v>
      </x:c>
      <x:c r="E1741" s="380" t="n">
        <x:v>1</x:v>
      </x:c>
      <x:c r="F1741" s="380" t="n">
        <x:v>1</x:v>
      </x:c>
      <x:c r="G1741" s="380" t="n">
        <x:f>--(F1741&lt;='Estimator'!$B$7)</x:f>
        <x:v>1</x:v>
      </x:c>
      <x:c r="H1741" s="381" t="n">
        <x:f>SUMIFS('Climate Data'!$G$7:$G$366,'Climate Data'!$A$7:$A$366,'Estimator'!$B$4,'Climate Data'!$B$7:$B$366,C1741)</x:f>
        <x:v>0.3721198156682028</x:v>
      </x:c>
      <x:c r="I1741" s="382" t="n">
        <x:f>SUMIFS('Climate Data'!$H$7:$H$366,'Climate Data'!$A$7:$A$366,'Estimator'!$B$4,'Climate Data'!$B$7:$B$366,C1741)</x:f>
        <x:v>7.940557275541795</x:v>
      </x:c>
      <x:c r="J1741" s="381" t="n">
        <x:f>SUMIFS('Wind Proxy'!$H$8:$H$19,'Wind Proxy'!$A$8:$A$19,'Estimator'!$B$4,'Wind Proxy'!$B$8:$B$19,C1741)</x:f>
        <x:v>0.21505376344086022</x:v>
      </x:c>
    </x:row>
    <x:row r="1742">
      <x:c r="A1742" s="379" t="n">
        <x:v>47393</x:v>
      </x:c>
      <x:c r="B1742" s="380" t="n">
        <x:v>2029</x:v>
      </x:c>
      <x:c r="C1742" s="380" t="n">
        <x:v>10</x:v>
      </x:c>
      <x:c r="D1742" s="380" t="str">
        <x:v>Oct</x:v>
      </x:c>
      <x:c r="E1742" s="380" t="n">
        <x:v>2</x:v>
      </x:c>
      <x:c r="F1742" s="380" t="n">
        <x:v>2</x:v>
      </x:c>
      <x:c r="G1742" s="380" t="n">
        <x:f>--(F1742&lt;='Estimator'!$B$7)</x:f>
        <x:v>1</x:v>
      </x:c>
      <x:c r="H1742" s="381" t="n">
        <x:f>SUMIFS('Climate Data'!$G$7:$G$366,'Climate Data'!$A$7:$A$366,'Estimator'!$B$4,'Climate Data'!$B$7:$B$366,C1742)</x:f>
        <x:v>0.3721198156682028</x:v>
      </x:c>
      <x:c r="I1742" s="382" t="n">
        <x:f>SUMIFS('Climate Data'!$H$7:$H$366,'Climate Data'!$A$7:$A$366,'Estimator'!$B$4,'Climate Data'!$B$7:$B$366,C1742)</x:f>
        <x:v>7.940557275541795</x:v>
      </x:c>
      <x:c r="J1742" s="381" t="n">
        <x:f>SUMIFS('Wind Proxy'!$H$8:$H$19,'Wind Proxy'!$A$8:$A$19,'Estimator'!$B$4,'Wind Proxy'!$B$8:$B$19,C1742)</x:f>
        <x:v>0.21505376344086022</x:v>
      </x:c>
    </x:row>
    <x:row r="1743">
      <x:c r="A1743" s="379" t="n">
        <x:v>47394</x:v>
      </x:c>
      <x:c r="B1743" s="380" t="n">
        <x:v>2029</x:v>
      </x:c>
      <x:c r="C1743" s="380" t="n">
        <x:v>10</x:v>
      </x:c>
      <x:c r="D1743" s="380" t="str">
        <x:v>Oct</x:v>
      </x:c>
      <x:c r="E1743" s="380" t="n">
        <x:v>3</x:v>
      </x:c>
      <x:c r="F1743" s="380" t="n">
        <x:v>3</x:v>
      </x:c>
      <x:c r="G1743" s="380" t="n">
        <x:f>--(F1743&lt;='Estimator'!$B$7)</x:f>
        <x:v>1</x:v>
      </x:c>
      <x:c r="H1743" s="381" t="n">
        <x:f>SUMIFS('Climate Data'!$G$7:$G$366,'Climate Data'!$A$7:$A$366,'Estimator'!$B$4,'Climate Data'!$B$7:$B$366,C1743)</x:f>
        <x:v>0.3721198156682028</x:v>
      </x:c>
      <x:c r="I1743" s="382" t="n">
        <x:f>SUMIFS('Climate Data'!$H$7:$H$366,'Climate Data'!$A$7:$A$366,'Estimator'!$B$4,'Climate Data'!$B$7:$B$366,C1743)</x:f>
        <x:v>7.940557275541795</x:v>
      </x:c>
      <x:c r="J1743" s="381" t="n">
        <x:f>SUMIFS('Wind Proxy'!$H$8:$H$19,'Wind Proxy'!$A$8:$A$19,'Estimator'!$B$4,'Wind Proxy'!$B$8:$B$19,C1743)</x:f>
        <x:v>0.21505376344086022</x:v>
      </x:c>
    </x:row>
    <x:row r="1744">
      <x:c r="A1744" s="379" t="n">
        <x:v>47395</x:v>
      </x:c>
      <x:c r="B1744" s="380" t="n">
        <x:v>2029</x:v>
      </x:c>
      <x:c r="C1744" s="380" t="n">
        <x:v>10</x:v>
      </x:c>
      <x:c r="D1744" s="380" t="str">
        <x:v>Oct</x:v>
      </x:c>
      <x:c r="E1744" s="380" t="n">
        <x:v>4</x:v>
      </x:c>
      <x:c r="F1744" s="380" t="n">
        <x:v>4</x:v>
      </x:c>
      <x:c r="G1744" s="380" t="n">
        <x:f>--(F1744&lt;='Estimator'!$B$7)</x:f>
        <x:v>1</x:v>
      </x:c>
      <x:c r="H1744" s="381" t="n">
        <x:f>SUMIFS('Climate Data'!$G$7:$G$366,'Climate Data'!$A$7:$A$366,'Estimator'!$B$4,'Climate Data'!$B$7:$B$366,C1744)</x:f>
        <x:v>0.3721198156682028</x:v>
      </x:c>
      <x:c r="I1744" s="382" t="n">
        <x:f>SUMIFS('Climate Data'!$H$7:$H$366,'Climate Data'!$A$7:$A$366,'Estimator'!$B$4,'Climate Data'!$B$7:$B$366,C1744)</x:f>
        <x:v>7.940557275541795</x:v>
      </x:c>
      <x:c r="J1744" s="381" t="n">
        <x:f>SUMIFS('Wind Proxy'!$H$8:$H$19,'Wind Proxy'!$A$8:$A$19,'Estimator'!$B$4,'Wind Proxy'!$B$8:$B$19,C1744)</x:f>
        <x:v>0.21505376344086022</x:v>
      </x:c>
    </x:row>
    <x:row r="1745">
      <x:c r="A1745" s="379" t="n">
        <x:v>47396</x:v>
      </x:c>
      <x:c r="B1745" s="380" t="n">
        <x:v>2029</x:v>
      </x:c>
      <x:c r="C1745" s="380" t="n">
        <x:v>10</x:v>
      </x:c>
      <x:c r="D1745" s="380" t="str">
        <x:v>Oct</x:v>
      </x:c>
      <x:c r="E1745" s="380" t="n">
        <x:v>5</x:v>
      </x:c>
      <x:c r="F1745" s="380" t="n">
        <x:v>5</x:v>
      </x:c>
      <x:c r="G1745" s="380" t="n">
        <x:f>--(F1745&lt;='Estimator'!$B$7)</x:f>
        <x:v>1</x:v>
      </x:c>
      <x:c r="H1745" s="381" t="n">
        <x:f>SUMIFS('Climate Data'!$G$7:$G$366,'Climate Data'!$A$7:$A$366,'Estimator'!$B$4,'Climate Data'!$B$7:$B$366,C1745)</x:f>
        <x:v>0.3721198156682028</x:v>
      </x:c>
      <x:c r="I1745" s="382" t="n">
        <x:f>SUMIFS('Climate Data'!$H$7:$H$366,'Climate Data'!$A$7:$A$366,'Estimator'!$B$4,'Climate Data'!$B$7:$B$366,C1745)</x:f>
        <x:v>7.940557275541795</x:v>
      </x:c>
      <x:c r="J1745" s="381" t="n">
        <x:f>SUMIFS('Wind Proxy'!$H$8:$H$19,'Wind Proxy'!$A$8:$A$19,'Estimator'!$B$4,'Wind Proxy'!$B$8:$B$19,C1745)</x:f>
        <x:v>0.21505376344086022</x:v>
      </x:c>
    </x:row>
    <x:row r="1746">
      <x:c r="A1746" s="379" t="n">
        <x:v>47397</x:v>
      </x:c>
      <x:c r="B1746" s="380" t="n">
        <x:v>2029</x:v>
      </x:c>
      <x:c r="C1746" s="380" t="n">
        <x:v>10</x:v>
      </x:c>
      <x:c r="D1746" s="380" t="str">
        <x:v>Oct</x:v>
      </x:c>
      <x:c r="E1746" s="380" t="n">
        <x:v>6</x:v>
      </x:c>
      <x:c r="F1746" s="380" t="n">
        <x:v>6</x:v>
      </x:c>
      <x:c r="G1746" s="380" t="n">
        <x:f>--(F1746&lt;='Estimator'!$B$7)</x:f>
        <x:v>0</x:v>
      </x:c>
      <x:c r="H1746" s="381" t="n">
        <x:f>SUMIFS('Climate Data'!$G$7:$G$366,'Climate Data'!$A$7:$A$366,'Estimator'!$B$4,'Climate Data'!$B$7:$B$366,C1746)</x:f>
        <x:v>0.3721198156682028</x:v>
      </x:c>
      <x:c r="I1746" s="382" t="n">
        <x:f>SUMIFS('Climate Data'!$H$7:$H$366,'Climate Data'!$A$7:$A$366,'Estimator'!$B$4,'Climate Data'!$B$7:$B$366,C1746)</x:f>
        <x:v>7.940557275541795</x:v>
      </x:c>
      <x:c r="J1746" s="381" t="n">
        <x:f>SUMIFS('Wind Proxy'!$H$8:$H$19,'Wind Proxy'!$A$8:$A$19,'Estimator'!$B$4,'Wind Proxy'!$B$8:$B$19,C1746)</x:f>
        <x:v>0.21505376344086022</x:v>
      </x:c>
    </x:row>
    <x:row r="1747">
      <x:c r="A1747" s="379" t="n">
        <x:v>47398</x:v>
      </x:c>
      <x:c r="B1747" s="380" t="n">
        <x:v>2029</x:v>
      </x:c>
      <x:c r="C1747" s="380" t="n">
        <x:v>10</x:v>
      </x:c>
      <x:c r="D1747" s="380" t="str">
        <x:v>Oct</x:v>
      </x:c>
      <x:c r="E1747" s="380" t="n">
        <x:v>7</x:v>
      </x:c>
      <x:c r="F1747" s="380" t="n">
        <x:v>7</x:v>
      </x:c>
      <x:c r="G1747" s="380" t="n">
        <x:f>--(F1747&lt;='Estimator'!$B$7)</x:f>
        <x:v>0</x:v>
      </x:c>
      <x:c r="H1747" s="381" t="n">
        <x:f>SUMIFS('Climate Data'!$G$7:$G$366,'Climate Data'!$A$7:$A$366,'Estimator'!$B$4,'Climate Data'!$B$7:$B$366,C1747)</x:f>
        <x:v>0.3721198156682028</x:v>
      </x:c>
      <x:c r="I1747" s="382" t="n">
        <x:f>SUMIFS('Climate Data'!$H$7:$H$366,'Climate Data'!$A$7:$A$366,'Estimator'!$B$4,'Climate Data'!$B$7:$B$366,C1747)</x:f>
        <x:v>7.940557275541795</x:v>
      </x:c>
      <x:c r="J1747" s="381" t="n">
        <x:f>SUMIFS('Wind Proxy'!$H$8:$H$19,'Wind Proxy'!$A$8:$A$19,'Estimator'!$B$4,'Wind Proxy'!$B$8:$B$19,C1747)</x:f>
        <x:v>0.21505376344086022</x:v>
      </x:c>
    </x:row>
    <x:row r="1748">
      <x:c r="A1748" s="379" t="n">
        <x:v>47399</x:v>
      </x:c>
      <x:c r="B1748" s="380" t="n">
        <x:v>2029</x:v>
      </x:c>
      <x:c r="C1748" s="380" t="n">
        <x:v>10</x:v>
      </x:c>
      <x:c r="D1748" s="380" t="str">
        <x:v>Oct</x:v>
      </x:c>
      <x:c r="E1748" s="380" t="n">
        <x:v>8</x:v>
      </x:c>
      <x:c r="F1748" s="380" t="n">
        <x:v>1</x:v>
      </x:c>
      <x:c r="G1748" s="380" t="n">
        <x:f>--(F1748&lt;='Estimator'!$B$7)</x:f>
        <x:v>1</x:v>
      </x:c>
      <x:c r="H1748" s="381" t="n">
        <x:f>SUMIFS('Climate Data'!$G$7:$G$366,'Climate Data'!$A$7:$A$366,'Estimator'!$B$4,'Climate Data'!$B$7:$B$366,C1748)</x:f>
        <x:v>0.3721198156682028</x:v>
      </x:c>
      <x:c r="I1748" s="382" t="n">
        <x:f>SUMIFS('Climate Data'!$H$7:$H$366,'Climate Data'!$A$7:$A$366,'Estimator'!$B$4,'Climate Data'!$B$7:$B$366,C1748)</x:f>
        <x:v>7.940557275541795</x:v>
      </x:c>
      <x:c r="J1748" s="381" t="n">
        <x:f>SUMIFS('Wind Proxy'!$H$8:$H$19,'Wind Proxy'!$A$8:$A$19,'Estimator'!$B$4,'Wind Proxy'!$B$8:$B$19,C1748)</x:f>
        <x:v>0.21505376344086022</x:v>
      </x:c>
    </x:row>
    <x:row r="1749">
      <x:c r="A1749" s="379" t="n">
        <x:v>47400</x:v>
      </x:c>
      <x:c r="B1749" s="380" t="n">
        <x:v>2029</x:v>
      </x:c>
      <x:c r="C1749" s="380" t="n">
        <x:v>10</x:v>
      </x:c>
      <x:c r="D1749" s="380" t="str">
        <x:v>Oct</x:v>
      </x:c>
      <x:c r="E1749" s="380" t="n">
        <x:v>9</x:v>
      </x:c>
      <x:c r="F1749" s="380" t="n">
        <x:v>2</x:v>
      </x:c>
      <x:c r="G1749" s="380" t="n">
        <x:f>--(F1749&lt;='Estimator'!$B$7)</x:f>
        <x:v>1</x:v>
      </x:c>
      <x:c r="H1749" s="381" t="n">
        <x:f>SUMIFS('Climate Data'!$G$7:$G$366,'Climate Data'!$A$7:$A$366,'Estimator'!$B$4,'Climate Data'!$B$7:$B$366,C1749)</x:f>
        <x:v>0.3721198156682028</x:v>
      </x:c>
      <x:c r="I1749" s="382" t="n">
        <x:f>SUMIFS('Climate Data'!$H$7:$H$366,'Climate Data'!$A$7:$A$366,'Estimator'!$B$4,'Climate Data'!$B$7:$B$366,C1749)</x:f>
        <x:v>7.940557275541795</x:v>
      </x:c>
      <x:c r="J1749" s="381" t="n">
        <x:f>SUMIFS('Wind Proxy'!$H$8:$H$19,'Wind Proxy'!$A$8:$A$19,'Estimator'!$B$4,'Wind Proxy'!$B$8:$B$19,C1749)</x:f>
        <x:v>0.21505376344086022</x:v>
      </x:c>
    </x:row>
    <x:row r="1750">
      <x:c r="A1750" s="379" t="n">
        <x:v>47401</x:v>
      </x:c>
      <x:c r="B1750" s="380" t="n">
        <x:v>2029</x:v>
      </x:c>
      <x:c r="C1750" s="380" t="n">
        <x:v>10</x:v>
      </x:c>
      <x:c r="D1750" s="380" t="str">
        <x:v>Oct</x:v>
      </x:c>
      <x:c r="E1750" s="380" t="n">
        <x:v>10</x:v>
      </x:c>
      <x:c r="F1750" s="380" t="n">
        <x:v>3</x:v>
      </x:c>
      <x:c r="G1750" s="380" t="n">
        <x:f>--(F1750&lt;='Estimator'!$B$7)</x:f>
        <x:v>1</x:v>
      </x:c>
      <x:c r="H1750" s="381" t="n">
        <x:f>SUMIFS('Climate Data'!$G$7:$G$366,'Climate Data'!$A$7:$A$366,'Estimator'!$B$4,'Climate Data'!$B$7:$B$366,C1750)</x:f>
        <x:v>0.3721198156682028</x:v>
      </x:c>
      <x:c r="I1750" s="382" t="n">
        <x:f>SUMIFS('Climate Data'!$H$7:$H$366,'Climate Data'!$A$7:$A$366,'Estimator'!$B$4,'Climate Data'!$B$7:$B$366,C1750)</x:f>
        <x:v>7.940557275541795</x:v>
      </x:c>
      <x:c r="J1750" s="381" t="n">
        <x:f>SUMIFS('Wind Proxy'!$H$8:$H$19,'Wind Proxy'!$A$8:$A$19,'Estimator'!$B$4,'Wind Proxy'!$B$8:$B$19,C1750)</x:f>
        <x:v>0.21505376344086022</x:v>
      </x:c>
    </x:row>
    <x:row r="1751">
      <x:c r="A1751" s="379" t="n">
        <x:v>47402</x:v>
      </x:c>
      <x:c r="B1751" s="380" t="n">
        <x:v>2029</x:v>
      </x:c>
      <x:c r="C1751" s="380" t="n">
        <x:v>10</x:v>
      </x:c>
      <x:c r="D1751" s="380" t="str">
        <x:v>Oct</x:v>
      </x:c>
      <x:c r="E1751" s="380" t="n">
        <x:v>11</x:v>
      </x:c>
      <x:c r="F1751" s="380" t="n">
        <x:v>4</x:v>
      </x:c>
      <x:c r="G1751" s="380" t="n">
        <x:f>--(F1751&lt;='Estimator'!$B$7)</x:f>
        <x:v>1</x:v>
      </x:c>
      <x:c r="H1751" s="381" t="n">
        <x:f>SUMIFS('Climate Data'!$G$7:$G$366,'Climate Data'!$A$7:$A$366,'Estimator'!$B$4,'Climate Data'!$B$7:$B$366,C1751)</x:f>
        <x:v>0.3721198156682028</x:v>
      </x:c>
      <x:c r="I1751" s="382" t="n">
        <x:f>SUMIFS('Climate Data'!$H$7:$H$366,'Climate Data'!$A$7:$A$366,'Estimator'!$B$4,'Climate Data'!$B$7:$B$366,C1751)</x:f>
        <x:v>7.940557275541795</x:v>
      </x:c>
      <x:c r="J1751" s="381" t="n">
        <x:f>SUMIFS('Wind Proxy'!$H$8:$H$19,'Wind Proxy'!$A$8:$A$19,'Estimator'!$B$4,'Wind Proxy'!$B$8:$B$19,C1751)</x:f>
        <x:v>0.21505376344086022</x:v>
      </x:c>
    </x:row>
    <x:row r="1752">
      <x:c r="A1752" s="379" t="n">
        <x:v>47403</x:v>
      </x:c>
      <x:c r="B1752" s="380" t="n">
        <x:v>2029</x:v>
      </x:c>
      <x:c r="C1752" s="380" t="n">
        <x:v>10</x:v>
      </x:c>
      <x:c r="D1752" s="380" t="str">
        <x:v>Oct</x:v>
      </x:c>
      <x:c r="E1752" s="380" t="n">
        <x:v>12</x:v>
      </x:c>
      <x:c r="F1752" s="380" t="n">
        <x:v>5</x:v>
      </x:c>
      <x:c r="G1752" s="380" t="n">
        <x:f>--(F1752&lt;='Estimator'!$B$7)</x:f>
        <x:v>1</x:v>
      </x:c>
      <x:c r="H1752" s="381" t="n">
        <x:f>SUMIFS('Climate Data'!$G$7:$G$366,'Climate Data'!$A$7:$A$366,'Estimator'!$B$4,'Climate Data'!$B$7:$B$366,C1752)</x:f>
        <x:v>0.3721198156682028</x:v>
      </x:c>
      <x:c r="I1752" s="382" t="n">
        <x:f>SUMIFS('Climate Data'!$H$7:$H$366,'Climate Data'!$A$7:$A$366,'Estimator'!$B$4,'Climate Data'!$B$7:$B$366,C1752)</x:f>
        <x:v>7.940557275541795</x:v>
      </x:c>
      <x:c r="J1752" s="381" t="n">
        <x:f>SUMIFS('Wind Proxy'!$H$8:$H$19,'Wind Proxy'!$A$8:$A$19,'Estimator'!$B$4,'Wind Proxy'!$B$8:$B$19,C1752)</x:f>
        <x:v>0.21505376344086022</x:v>
      </x:c>
    </x:row>
    <x:row r="1753">
      <x:c r="A1753" s="379" t="n">
        <x:v>47404</x:v>
      </x:c>
      <x:c r="B1753" s="380" t="n">
        <x:v>2029</x:v>
      </x:c>
      <x:c r="C1753" s="380" t="n">
        <x:v>10</x:v>
      </x:c>
      <x:c r="D1753" s="380" t="str">
        <x:v>Oct</x:v>
      </x:c>
      <x:c r="E1753" s="380" t="n">
        <x:v>13</x:v>
      </x:c>
      <x:c r="F1753" s="380" t="n">
        <x:v>6</x:v>
      </x:c>
      <x:c r="G1753" s="380" t="n">
        <x:f>--(F1753&lt;='Estimator'!$B$7)</x:f>
        <x:v>0</x:v>
      </x:c>
      <x:c r="H1753" s="381" t="n">
        <x:f>SUMIFS('Climate Data'!$G$7:$G$366,'Climate Data'!$A$7:$A$366,'Estimator'!$B$4,'Climate Data'!$B$7:$B$366,C1753)</x:f>
        <x:v>0.3721198156682028</x:v>
      </x:c>
      <x:c r="I1753" s="382" t="n">
        <x:f>SUMIFS('Climate Data'!$H$7:$H$366,'Climate Data'!$A$7:$A$366,'Estimator'!$B$4,'Climate Data'!$B$7:$B$366,C1753)</x:f>
        <x:v>7.940557275541795</x:v>
      </x:c>
      <x:c r="J1753" s="381" t="n">
        <x:f>SUMIFS('Wind Proxy'!$H$8:$H$19,'Wind Proxy'!$A$8:$A$19,'Estimator'!$B$4,'Wind Proxy'!$B$8:$B$19,C1753)</x:f>
        <x:v>0.21505376344086022</x:v>
      </x:c>
    </x:row>
    <x:row r="1754">
      <x:c r="A1754" s="379" t="n">
        <x:v>47405</x:v>
      </x:c>
      <x:c r="B1754" s="380" t="n">
        <x:v>2029</x:v>
      </x:c>
      <x:c r="C1754" s="380" t="n">
        <x:v>10</x:v>
      </x:c>
      <x:c r="D1754" s="380" t="str">
        <x:v>Oct</x:v>
      </x:c>
      <x:c r="E1754" s="380" t="n">
        <x:v>14</x:v>
      </x:c>
      <x:c r="F1754" s="380" t="n">
        <x:v>7</x:v>
      </x:c>
      <x:c r="G1754" s="380" t="n">
        <x:f>--(F1754&lt;='Estimator'!$B$7)</x:f>
        <x:v>0</x:v>
      </x:c>
      <x:c r="H1754" s="381" t="n">
        <x:f>SUMIFS('Climate Data'!$G$7:$G$366,'Climate Data'!$A$7:$A$366,'Estimator'!$B$4,'Climate Data'!$B$7:$B$366,C1754)</x:f>
        <x:v>0.3721198156682028</x:v>
      </x:c>
      <x:c r="I1754" s="382" t="n">
        <x:f>SUMIFS('Climate Data'!$H$7:$H$366,'Climate Data'!$A$7:$A$366,'Estimator'!$B$4,'Climate Data'!$B$7:$B$366,C1754)</x:f>
        <x:v>7.940557275541795</x:v>
      </x:c>
      <x:c r="J1754" s="381" t="n">
        <x:f>SUMIFS('Wind Proxy'!$H$8:$H$19,'Wind Proxy'!$A$8:$A$19,'Estimator'!$B$4,'Wind Proxy'!$B$8:$B$19,C1754)</x:f>
        <x:v>0.21505376344086022</x:v>
      </x:c>
    </x:row>
    <x:row r="1755">
      <x:c r="A1755" s="379" t="n">
        <x:v>47406</x:v>
      </x:c>
      <x:c r="B1755" s="380" t="n">
        <x:v>2029</x:v>
      </x:c>
      <x:c r="C1755" s="380" t="n">
        <x:v>10</x:v>
      </x:c>
      <x:c r="D1755" s="380" t="str">
        <x:v>Oct</x:v>
      </x:c>
      <x:c r="E1755" s="380" t="n">
        <x:v>15</x:v>
      </x:c>
      <x:c r="F1755" s="380" t="n">
        <x:v>1</x:v>
      </x:c>
      <x:c r="G1755" s="380" t="n">
        <x:f>--(F1755&lt;='Estimator'!$B$7)</x:f>
        <x:v>1</x:v>
      </x:c>
      <x:c r="H1755" s="381" t="n">
        <x:f>SUMIFS('Climate Data'!$G$7:$G$366,'Climate Data'!$A$7:$A$366,'Estimator'!$B$4,'Climate Data'!$B$7:$B$366,C1755)</x:f>
        <x:v>0.3721198156682028</x:v>
      </x:c>
      <x:c r="I1755" s="382" t="n">
        <x:f>SUMIFS('Climate Data'!$H$7:$H$366,'Climate Data'!$A$7:$A$366,'Estimator'!$B$4,'Climate Data'!$B$7:$B$366,C1755)</x:f>
        <x:v>7.940557275541795</x:v>
      </x:c>
      <x:c r="J1755" s="381" t="n">
        <x:f>SUMIFS('Wind Proxy'!$H$8:$H$19,'Wind Proxy'!$A$8:$A$19,'Estimator'!$B$4,'Wind Proxy'!$B$8:$B$19,C1755)</x:f>
        <x:v>0.21505376344086022</x:v>
      </x:c>
    </x:row>
    <x:row r="1756">
      <x:c r="A1756" s="379" t="n">
        <x:v>47407</x:v>
      </x:c>
      <x:c r="B1756" s="380" t="n">
        <x:v>2029</x:v>
      </x:c>
      <x:c r="C1756" s="380" t="n">
        <x:v>10</x:v>
      </x:c>
      <x:c r="D1756" s="380" t="str">
        <x:v>Oct</x:v>
      </x:c>
      <x:c r="E1756" s="380" t="n">
        <x:v>16</x:v>
      </x:c>
      <x:c r="F1756" s="380" t="n">
        <x:v>2</x:v>
      </x:c>
      <x:c r="G1756" s="380" t="n">
        <x:f>--(F1756&lt;='Estimator'!$B$7)</x:f>
        <x:v>1</x:v>
      </x:c>
      <x:c r="H1756" s="381" t="n">
        <x:f>SUMIFS('Climate Data'!$G$7:$G$366,'Climate Data'!$A$7:$A$366,'Estimator'!$B$4,'Climate Data'!$B$7:$B$366,C1756)</x:f>
        <x:v>0.3721198156682028</x:v>
      </x:c>
      <x:c r="I1756" s="382" t="n">
        <x:f>SUMIFS('Climate Data'!$H$7:$H$366,'Climate Data'!$A$7:$A$366,'Estimator'!$B$4,'Climate Data'!$B$7:$B$366,C1756)</x:f>
        <x:v>7.940557275541795</x:v>
      </x:c>
      <x:c r="J1756" s="381" t="n">
        <x:f>SUMIFS('Wind Proxy'!$H$8:$H$19,'Wind Proxy'!$A$8:$A$19,'Estimator'!$B$4,'Wind Proxy'!$B$8:$B$19,C1756)</x:f>
        <x:v>0.21505376344086022</x:v>
      </x:c>
    </x:row>
    <x:row r="1757">
      <x:c r="A1757" s="379" t="n">
        <x:v>47408</x:v>
      </x:c>
      <x:c r="B1757" s="380" t="n">
        <x:v>2029</x:v>
      </x:c>
      <x:c r="C1757" s="380" t="n">
        <x:v>10</x:v>
      </x:c>
      <x:c r="D1757" s="380" t="str">
        <x:v>Oct</x:v>
      </x:c>
      <x:c r="E1757" s="380" t="n">
        <x:v>17</x:v>
      </x:c>
      <x:c r="F1757" s="380" t="n">
        <x:v>3</x:v>
      </x:c>
      <x:c r="G1757" s="380" t="n">
        <x:f>--(F1757&lt;='Estimator'!$B$7)</x:f>
        <x:v>1</x:v>
      </x:c>
      <x:c r="H1757" s="381" t="n">
        <x:f>SUMIFS('Climate Data'!$G$7:$G$366,'Climate Data'!$A$7:$A$366,'Estimator'!$B$4,'Climate Data'!$B$7:$B$366,C1757)</x:f>
        <x:v>0.3721198156682028</x:v>
      </x:c>
      <x:c r="I1757" s="382" t="n">
        <x:f>SUMIFS('Climate Data'!$H$7:$H$366,'Climate Data'!$A$7:$A$366,'Estimator'!$B$4,'Climate Data'!$B$7:$B$366,C1757)</x:f>
        <x:v>7.940557275541795</x:v>
      </x:c>
      <x:c r="J1757" s="381" t="n">
        <x:f>SUMIFS('Wind Proxy'!$H$8:$H$19,'Wind Proxy'!$A$8:$A$19,'Estimator'!$B$4,'Wind Proxy'!$B$8:$B$19,C1757)</x:f>
        <x:v>0.21505376344086022</x:v>
      </x:c>
    </x:row>
    <x:row r="1758">
      <x:c r="A1758" s="379" t="n">
        <x:v>47409</x:v>
      </x:c>
      <x:c r="B1758" s="380" t="n">
        <x:v>2029</x:v>
      </x:c>
      <x:c r="C1758" s="380" t="n">
        <x:v>10</x:v>
      </x:c>
      <x:c r="D1758" s="380" t="str">
        <x:v>Oct</x:v>
      </x:c>
      <x:c r="E1758" s="380" t="n">
        <x:v>18</x:v>
      </x:c>
      <x:c r="F1758" s="380" t="n">
        <x:v>4</x:v>
      </x:c>
      <x:c r="G1758" s="380" t="n">
        <x:f>--(F1758&lt;='Estimator'!$B$7)</x:f>
        <x:v>1</x:v>
      </x:c>
      <x:c r="H1758" s="381" t="n">
        <x:f>SUMIFS('Climate Data'!$G$7:$G$366,'Climate Data'!$A$7:$A$366,'Estimator'!$B$4,'Climate Data'!$B$7:$B$366,C1758)</x:f>
        <x:v>0.3721198156682028</x:v>
      </x:c>
      <x:c r="I1758" s="382" t="n">
        <x:f>SUMIFS('Climate Data'!$H$7:$H$366,'Climate Data'!$A$7:$A$366,'Estimator'!$B$4,'Climate Data'!$B$7:$B$366,C1758)</x:f>
        <x:v>7.940557275541795</x:v>
      </x:c>
      <x:c r="J1758" s="381" t="n">
        <x:f>SUMIFS('Wind Proxy'!$H$8:$H$19,'Wind Proxy'!$A$8:$A$19,'Estimator'!$B$4,'Wind Proxy'!$B$8:$B$19,C1758)</x:f>
        <x:v>0.21505376344086022</x:v>
      </x:c>
    </x:row>
    <x:row r="1759">
      <x:c r="A1759" s="379" t="n">
        <x:v>47410</x:v>
      </x:c>
      <x:c r="B1759" s="380" t="n">
        <x:v>2029</x:v>
      </x:c>
      <x:c r="C1759" s="380" t="n">
        <x:v>10</x:v>
      </x:c>
      <x:c r="D1759" s="380" t="str">
        <x:v>Oct</x:v>
      </x:c>
      <x:c r="E1759" s="380" t="n">
        <x:v>19</x:v>
      </x:c>
      <x:c r="F1759" s="380" t="n">
        <x:v>5</x:v>
      </x:c>
      <x:c r="G1759" s="380" t="n">
        <x:f>--(F1759&lt;='Estimator'!$B$7)</x:f>
        <x:v>1</x:v>
      </x:c>
      <x:c r="H1759" s="381" t="n">
        <x:f>SUMIFS('Climate Data'!$G$7:$G$366,'Climate Data'!$A$7:$A$366,'Estimator'!$B$4,'Climate Data'!$B$7:$B$366,C1759)</x:f>
        <x:v>0.3721198156682028</x:v>
      </x:c>
      <x:c r="I1759" s="382" t="n">
        <x:f>SUMIFS('Climate Data'!$H$7:$H$366,'Climate Data'!$A$7:$A$366,'Estimator'!$B$4,'Climate Data'!$B$7:$B$366,C1759)</x:f>
        <x:v>7.940557275541795</x:v>
      </x:c>
      <x:c r="J1759" s="381" t="n">
        <x:f>SUMIFS('Wind Proxy'!$H$8:$H$19,'Wind Proxy'!$A$8:$A$19,'Estimator'!$B$4,'Wind Proxy'!$B$8:$B$19,C1759)</x:f>
        <x:v>0.21505376344086022</x:v>
      </x:c>
    </x:row>
    <x:row r="1760">
      <x:c r="A1760" s="379" t="n">
        <x:v>47411</x:v>
      </x:c>
      <x:c r="B1760" s="380" t="n">
        <x:v>2029</x:v>
      </x:c>
      <x:c r="C1760" s="380" t="n">
        <x:v>10</x:v>
      </x:c>
      <x:c r="D1760" s="380" t="str">
        <x:v>Oct</x:v>
      </x:c>
      <x:c r="E1760" s="380" t="n">
        <x:v>20</x:v>
      </x:c>
      <x:c r="F1760" s="380" t="n">
        <x:v>6</x:v>
      </x:c>
      <x:c r="G1760" s="380" t="n">
        <x:f>--(F1760&lt;='Estimator'!$B$7)</x:f>
        <x:v>0</x:v>
      </x:c>
      <x:c r="H1760" s="381" t="n">
        <x:f>SUMIFS('Climate Data'!$G$7:$G$366,'Climate Data'!$A$7:$A$366,'Estimator'!$B$4,'Climate Data'!$B$7:$B$366,C1760)</x:f>
        <x:v>0.3721198156682028</x:v>
      </x:c>
      <x:c r="I1760" s="382" t="n">
        <x:f>SUMIFS('Climate Data'!$H$7:$H$366,'Climate Data'!$A$7:$A$366,'Estimator'!$B$4,'Climate Data'!$B$7:$B$366,C1760)</x:f>
        <x:v>7.940557275541795</x:v>
      </x:c>
      <x:c r="J1760" s="381" t="n">
        <x:f>SUMIFS('Wind Proxy'!$H$8:$H$19,'Wind Proxy'!$A$8:$A$19,'Estimator'!$B$4,'Wind Proxy'!$B$8:$B$19,C1760)</x:f>
        <x:v>0.21505376344086022</x:v>
      </x:c>
    </x:row>
    <x:row r="1761">
      <x:c r="A1761" s="379" t="n">
        <x:v>47412</x:v>
      </x:c>
      <x:c r="B1761" s="380" t="n">
        <x:v>2029</x:v>
      </x:c>
      <x:c r="C1761" s="380" t="n">
        <x:v>10</x:v>
      </x:c>
      <x:c r="D1761" s="380" t="str">
        <x:v>Oct</x:v>
      </x:c>
      <x:c r="E1761" s="380" t="n">
        <x:v>21</x:v>
      </x:c>
      <x:c r="F1761" s="380" t="n">
        <x:v>7</x:v>
      </x:c>
      <x:c r="G1761" s="380" t="n">
        <x:f>--(F1761&lt;='Estimator'!$B$7)</x:f>
        <x:v>0</x:v>
      </x:c>
      <x:c r="H1761" s="381" t="n">
        <x:f>SUMIFS('Climate Data'!$G$7:$G$366,'Climate Data'!$A$7:$A$366,'Estimator'!$B$4,'Climate Data'!$B$7:$B$366,C1761)</x:f>
        <x:v>0.3721198156682028</x:v>
      </x:c>
      <x:c r="I1761" s="382" t="n">
        <x:f>SUMIFS('Climate Data'!$H$7:$H$366,'Climate Data'!$A$7:$A$366,'Estimator'!$B$4,'Climate Data'!$B$7:$B$366,C1761)</x:f>
        <x:v>7.940557275541795</x:v>
      </x:c>
      <x:c r="J1761" s="381" t="n">
        <x:f>SUMIFS('Wind Proxy'!$H$8:$H$19,'Wind Proxy'!$A$8:$A$19,'Estimator'!$B$4,'Wind Proxy'!$B$8:$B$19,C1761)</x:f>
        <x:v>0.21505376344086022</x:v>
      </x:c>
    </x:row>
    <x:row r="1762">
      <x:c r="A1762" s="379" t="n">
        <x:v>47413</x:v>
      </x:c>
      <x:c r="B1762" s="380" t="n">
        <x:v>2029</x:v>
      </x:c>
      <x:c r="C1762" s="380" t="n">
        <x:v>10</x:v>
      </x:c>
      <x:c r="D1762" s="380" t="str">
        <x:v>Oct</x:v>
      </x:c>
      <x:c r="E1762" s="380" t="n">
        <x:v>22</x:v>
      </x:c>
      <x:c r="F1762" s="380" t="n">
        <x:v>1</x:v>
      </x:c>
      <x:c r="G1762" s="380" t="n">
        <x:f>--(F1762&lt;='Estimator'!$B$7)</x:f>
        <x:v>1</x:v>
      </x:c>
      <x:c r="H1762" s="381" t="n">
        <x:f>SUMIFS('Climate Data'!$G$7:$G$366,'Climate Data'!$A$7:$A$366,'Estimator'!$B$4,'Climate Data'!$B$7:$B$366,C1762)</x:f>
        <x:v>0.3721198156682028</x:v>
      </x:c>
      <x:c r="I1762" s="382" t="n">
        <x:f>SUMIFS('Climate Data'!$H$7:$H$366,'Climate Data'!$A$7:$A$366,'Estimator'!$B$4,'Climate Data'!$B$7:$B$366,C1762)</x:f>
        <x:v>7.940557275541795</x:v>
      </x:c>
      <x:c r="J1762" s="381" t="n">
        <x:f>SUMIFS('Wind Proxy'!$H$8:$H$19,'Wind Proxy'!$A$8:$A$19,'Estimator'!$B$4,'Wind Proxy'!$B$8:$B$19,C1762)</x:f>
        <x:v>0.21505376344086022</x:v>
      </x:c>
    </x:row>
    <x:row r="1763">
      <x:c r="A1763" s="379" t="n">
        <x:v>47414</x:v>
      </x:c>
      <x:c r="B1763" s="380" t="n">
        <x:v>2029</x:v>
      </x:c>
      <x:c r="C1763" s="380" t="n">
        <x:v>10</x:v>
      </x:c>
      <x:c r="D1763" s="380" t="str">
        <x:v>Oct</x:v>
      </x:c>
      <x:c r="E1763" s="380" t="n">
        <x:v>23</x:v>
      </x:c>
      <x:c r="F1763" s="380" t="n">
        <x:v>2</x:v>
      </x:c>
      <x:c r="G1763" s="380" t="n">
        <x:f>--(F1763&lt;='Estimator'!$B$7)</x:f>
        <x:v>1</x:v>
      </x:c>
      <x:c r="H1763" s="381" t="n">
        <x:f>SUMIFS('Climate Data'!$G$7:$G$366,'Climate Data'!$A$7:$A$366,'Estimator'!$B$4,'Climate Data'!$B$7:$B$366,C1763)</x:f>
        <x:v>0.3721198156682028</x:v>
      </x:c>
      <x:c r="I1763" s="382" t="n">
        <x:f>SUMIFS('Climate Data'!$H$7:$H$366,'Climate Data'!$A$7:$A$366,'Estimator'!$B$4,'Climate Data'!$B$7:$B$366,C1763)</x:f>
        <x:v>7.940557275541795</x:v>
      </x:c>
      <x:c r="J1763" s="381" t="n">
        <x:f>SUMIFS('Wind Proxy'!$H$8:$H$19,'Wind Proxy'!$A$8:$A$19,'Estimator'!$B$4,'Wind Proxy'!$B$8:$B$19,C1763)</x:f>
        <x:v>0.21505376344086022</x:v>
      </x:c>
    </x:row>
    <x:row r="1764">
      <x:c r="A1764" s="379" t="n">
        <x:v>47415</x:v>
      </x:c>
      <x:c r="B1764" s="380" t="n">
        <x:v>2029</x:v>
      </x:c>
      <x:c r="C1764" s="380" t="n">
        <x:v>10</x:v>
      </x:c>
      <x:c r="D1764" s="380" t="str">
        <x:v>Oct</x:v>
      </x:c>
      <x:c r="E1764" s="380" t="n">
        <x:v>24</x:v>
      </x:c>
      <x:c r="F1764" s="380" t="n">
        <x:v>3</x:v>
      </x:c>
      <x:c r="G1764" s="380" t="n">
        <x:f>--(F1764&lt;='Estimator'!$B$7)</x:f>
        <x:v>1</x:v>
      </x:c>
      <x:c r="H1764" s="381" t="n">
        <x:f>SUMIFS('Climate Data'!$G$7:$G$366,'Climate Data'!$A$7:$A$366,'Estimator'!$B$4,'Climate Data'!$B$7:$B$366,C1764)</x:f>
        <x:v>0.3721198156682028</x:v>
      </x:c>
      <x:c r="I1764" s="382" t="n">
        <x:f>SUMIFS('Climate Data'!$H$7:$H$366,'Climate Data'!$A$7:$A$366,'Estimator'!$B$4,'Climate Data'!$B$7:$B$366,C1764)</x:f>
        <x:v>7.940557275541795</x:v>
      </x:c>
      <x:c r="J1764" s="381" t="n">
        <x:f>SUMIFS('Wind Proxy'!$H$8:$H$19,'Wind Proxy'!$A$8:$A$19,'Estimator'!$B$4,'Wind Proxy'!$B$8:$B$19,C1764)</x:f>
        <x:v>0.21505376344086022</x:v>
      </x:c>
    </x:row>
    <x:row r="1765">
      <x:c r="A1765" s="379" t="n">
        <x:v>47416</x:v>
      </x:c>
      <x:c r="B1765" s="380" t="n">
        <x:v>2029</x:v>
      </x:c>
      <x:c r="C1765" s="380" t="n">
        <x:v>10</x:v>
      </x:c>
      <x:c r="D1765" s="380" t="str">
        <x:v>Oct</x:v>
      </x:c>
      <x:c r="E1765" s="380" t="n">
        <x:v>25</x:v>
      </x:c>
      <x:c r="F1765" s="380" t="n">
        <x:v>4</x:v>
      </x:c>
      <x:c r="G1765" s="380" t="n">
        <x:f>--(F1765&lt;='Estimator'!$B$7)</x:f>
        <x:v>1</x:v>
      </x:c>
      <x:c r="H1765" s="381" t="n">
        <x:f>SUMIFS('Climate Data'!$G$7:$G$366,'Climate Data'!$A$7:$A$366,'Estimator'!$B$4,'Climate Data'!$B$7:$B$366,C1765)</x:f>
        <x:v>0.3721198156682028</x:v>
      </x:c>
      <x:c r="I1765" s="382" t="n">
        <x:f>SUMIFS('Climate Data'!$H$7:$H$366,'Climate Data'!$A$7:$A$366,'Estimator'!$B$4,'Climate Data'!$B$7:$B$366,C1765)</x:f>
        <x:v>7.940557275541795</x:v>
      </x:c>
      <x:c r="J1765" s="381" t="n">
        <x:f>SUMIFS('Wind Proxy'!$H$8:$H$19,'Wind Proxy'!$A$8:$A$19,'Estimator'!$B$4,'Wind Proxy'!$B$8:$B$19,C1765)</x:f>
        <x:v>0.21505376344086022</x:v>
      </x:c>
    </x:row>
    <x:row r="1766">
      <x:c r="A1766" s="379" t="n">
        <x:v>47417</x:v>
      </x:c>
      <x:c r="B1766" s="380" t="n">
        <x:v>2029</x:v>
      </x:c>
      <x:c r="C1766" s="380" t="n">
        <x:v>10</x:v>
      </x:c>
      <x:c r="D1766" s="380" t="str">
        <x:v>Oct</x:v>
      </x:c>
      <x:c r="E1766" s="380" t="n">
        <x:v>26</x:v>
      </x:c>
      <x:c r="F1766" s="380" t="n">
        <x:v>5</x:v>
      </x:c>
      <x:c r="G1766" s="380" t="n">
        <x:f>--(F1766&lt;='Estimator'!$B$7)</x:f>
        <x:v>1</x:v>
      </x:c>
      <x:c r="H1766" s="381" t="n">
        <x:f>SUMIFS('Climate Data'!$G$7:$G$366,'Climate Data'!$A$7:$A$366,'Estimator'!$B$4,'Climate Data'!$B$7:$B$366,C1766)</x:f>
        <x:v>0.3721198156682028</x:v>
      </x:c>
      <x:c r="I1766" s="382" t="n">
        <x:f>SUMIFS('Climate Data'!$H$7:$H$366,'Climate Data'!$A$7:$A$366,'Estimator'!$B$4,'Climate Data'!$B$7:$B$366,C1766)</x:f>
        <x:v>7.940557275541795</x:v>
      </x:c>
      <x:c r="J1766" s="381" t="n">
        <x:f>SUMIFS('Wind Proxy'!$H$8:$H$19,'Wind Proxy'!$A$8:$A$19,'Estimator'!$B$4,'Wind Proxy'!$B$8:$B$19,C1766)</x:f>
        <x:v>0.21505376344086022</x:v>
      </x:c>
    </x:row>
    <x:row r="1767">
      <x:c r="A1767" s="379" t="n">
        <x:v>47418</x:v>
      </x:c>
      <x:c r="B1767" s="380" t="n">
        <x:v>2029</x:v>
      </x:c>
      <x:c r="C1767" s="380" t="n">
        <x:v>10</x:v>
      </x:c>
      <x:c r="D1767" s="380" t="str">
        <x:v>Oct</x:v>
      </x:c>
      <x:c r="E1767" s="380" t="n">
        <x:v>27</x:v>
      </x:c>
      <x:c r="F1767" s="380" t="n">
        <x:v>6</x:v>
      </x:c>
      <x:c r="G1767" s="380" t="n">
        <x:f>--(F1767&lt;='Estimator'!$B$7)</x:f>
        <x:v>0</x:v>
      </x:c>
      <x:c r="H1767" s="381" t="n">
        <x:f>SUMIFS('Climate Data'!$G$7:$G$366,'Climate Data'!$A$7:$A$366,'Estimator'!$B$4,'Climate Data'!$B$7:$B$366,C1767)</x:f>
        <x:v>0.3721198156682028</x:v>
      </x:c>
      <x:c r="I1767" s="382" t="n">
        <x:f>SUMIFS('Climate Data'!$H$7:$H$366,'Climate Data'!$A$7:$A$366,'Estimator'!$B$4,'Climate Data'!$B$7:$B$366,C1767)</x:f>
        <x:v>7.940557275541795</x:v>
      </x:c>
      <x:c r="J1767" s="381" t="n">
        <x:f>SUMIFS('Wind Proxy'!$H$8:$H$19,'Wind Proxy'!$A$8:$A$19,'Estimator'!$B$4,'Wind Proxy'!$B$8:$B$19,C1767)</x:f>
        <x:v>0.21505376344086022</x:v>
      </x:c>
    </x:row>
    <x:row r="1768">
      <x:c r="A1768" s="379" t="n">
        <x:v>47419</x:v>
      </x:c>
      <x:c r="B1768" s="380" t="n">
        <x:v>2029</x:v>
      </x:c>
      <x:c r="C1768" s="380" t="n">
        <x:v>10</x:v>
      </x:c>
      <x:c r="D1768" s="380" t="str">
        <x:v>Oct</x:v>
      </x:c>
      <x:c r="E1768" s="380" t="n">
        <x:v>28</x:v>
      </x:c>
      <x:c r="F1768" s="380" t="n">
        <x:v>7</x:v>
      </x:c>
      <x:c r="G1768" s="380" t="n">
        <x:f>--(F1768&lt;='Estimator'!$B$7)</x:f>
        <x:v>0</x:v>
      </x:c>
      <x:c r="H1768" s="381" t="n">
        <x:f>SUMIFS('Climate Data'!$G$7:$G$366,'Climate Data'!$A$7:$A$366,'Estimator'!$B$4,'Climate Data'!$B$7:$B$366,C1768)</x:f>
        <x:v>0.3721198156682028</x:v>
      </x:c>
      <x:c r="I1768" s="382" t="n">
        <x:f>SUMIFS('Climate Data'!$H$7:$H$366,'Climate Data'!$A$7:$A$366,'Estimator'!$B$4,'Climate Data'!$B$7:$B$366,C1768)</x:f>
        <x:v>7.940557275541795</x:v>
      </x:c>
      <x:c r="J1768" s="381" t="n">
        <x:f>SUMIFS('Wind Proxy'!$H$8:$H$19,'Wind Proxy'!$A$8:$A$19,'Estimator'!$B$4,'Wind Proxy'!$B$8:$B$19,C1768)</x:f>
        <x:v>0.21505376344086022</x:v>
      </x:c>
    </x:row>
    <x:row r="1769">
      <x:c r="A1769" s="379" t="n">
        <x:v>47420</x:v>
      </x:c>
      <x:c r="B1769" s="380" t="n">
        <x:v>2029</x:v>
      </x:c>
      <x:c r="C1769" s="380" t="n">
        <x:v>10</x:v>
      </x:c>
      <x:c r="D1769" s="380" t="str">
        <x:v>Oct</x:v>
      </x:c>
      <x:c r="E1769" s="380" t="n">
        <x:v>29</x:v>
      </x:c>
      <x:c r="F1769" s="380" t="n">
        <x:v>1</x:v>
      </x:c>
      <x:c r="G1769" s="380" t="n">
        <x:f>--(F1769&lt;='Estimator'!$B$7)</x:f>
        <x:v>1</x:v>
      </x:c>
      <x:c r="H1769" s="381" t="n">
        <x:f>SUMIFS('Climate Data'!$G$7:$G$366,'Climate Data'!$A$7:$A$366,'Estimator'!$B$4,'Climate Data'!$B$7:$B$366,C1769)</x:f>
        <x:v>0.3721198156682028</x:v>
      </x:c>
      <x:c r="I1769" s="382" t="n">
        <x:f>SUMIFS('Climate Data'!$H$7:$H$366,'Climate Data'!$A$7:$A$366,'Estimator'!$B$4,'Climate Data'!$B$7:$B$366,C1769)</x:f>
        <x:v>7.940557275541795</x:v>
      </x:c>
      <x:c r="J1769" s="381" t="n">
        <x:f>SUMIFS('Wind Proxy'!$H$8:$H$19,'Wind Proxy'!$A$8:$A$19,'Estimator'!$B$4,'Wind Proxy'!$B$8:$B$19,C1769)</x:f>
        <x:v>0.21505376344086022</x:v>
      </x:c>
    </x:row>
    <x:row r="1770">
      <x:c r="A1770" s="379" t="n">
        <x:v>47421</x:v>
      </x:c>
      <x:c r="B1770" s="380" t="n">
        <x:v>2029</x:v>
      </x:c>
      <x:c r="C1770" s="380" t="n">
        <x:v>10</x:v>
      </x:c>
      <x:c r="D1770" s="380" t="str">
        <x:v>Oct</x:v>
      </x:c>
      <x:c r="E1770" s="380" t="n">
        <x:v>30</x:v>
      </x:c>
      <x:c r="F1770" s="380" t="n">
        <x:v>2</x:v>
      </x:c>
      <x:c r="G1770" s="380" t="n">
        <x:f>--(F1770&lt;='Estimator'!$B$7)</x:f>
        <x:v>1</x:v>
      </x:c>
      <x:c r="H1770" s="381" t="n">
        <x:f>SUMIFS('Climate Data'!$G$7:$G$366,'Climate Data'!$A$7:$A$366,'Estimator'!$B$4,'Climate Data'!$B$7:$B$366,C1770)</x:f>
        <x:v>0.3721198156682028</x:v>
      </x:c>
      <x:c r="I1770" s="382" t="n">
        <x:f>SUMIFS('Climate Data'!$H$7:$H$366,'Climate Data'!$A$7:$A$366,'Estimator'!$B$4,'Climate Data'!$B$7:$B$366,C1770)</x:f>
        <x:v>7.940557275541795</x:v>
      </x:c>
      <x:c r="J1770" s="381" t="n">
        <x:f>SUMIFS('Wind Proxy'!$H$8:$H$19,'Wind Proxy'!$A$8:$A$19,'Estimator'!$B$4,'Wind Proxy'!$B$8:$B$19,C1770)</x:f>
        <x:v>0.21505376344086022</x:v>
      </x:c>
    </x:row>
    <x:row r="1771">
      <x:c r="A1771" s="379" t="n">
        <x:v>47422</x:v>
      </x:c>
      <x:c r="B1771" s="380" t="n">
        <x:v>2029</x:v>
      </x:c>
      <x:c r="C1771" s="380" t="n">
        <x:v>10</x:v>
      </x:c>
      <x:c r="D1771" s="380" t="str">
        <x:v>Oct</x:v>
      </x:c>
      <x:c r="E1771" s="380" t="n">
        <x:v>31</x:v>
      </x:c>
      <x:c r="F1771" s="380" t="n">
        <x:v>3</x:v>
      </x:c>
      <x:c r="G1771" s="380" t="n">
        <x:f>--(F1771&lt;='Estimator'!$B$7)</x:f>
        <x:v>1</x:v>
      </x:c>
      <x:c r="H1771" s="381" t="n">
        <x:f>SUMIFS('Climate Data'!$G$7:$G$366,'Climate Data'!$A$7:$A$366,'Estimator'!$B$4,'Climate Data'!$B$7:$B$366,C1771)</x:f>
        <x:v>0.3721198156682028</x:v>
      </x:c>
      <x:c r="I1771" s="382" t="n">
        <x:f>SUMIFS('Climate Data'!$H$7:$H$366,'Climate Data'!$A$7:$A$366,'Estimator'!$B$4,'Climate Data'!$B$7:$B$366,C1771)</x:f>
        <x:v>7.940557275541795</x:v>
      </x:c>
      <x:c r="J1771" s="381" t="n">
        <x:f>SUMIFS('Wind Proxy'!$H$8:$H$19,'Wind Proxy'!$A$8:$A$19,'Estimator'!$B$4,'Wind Proxy'!$B$8:$B$19,C1771)</x:f>
        <x:v>0.21505376344086022</x:v>
      </x:c>
    </x:row>
    <x:row r="1772">
      <x:c r="A1772" s="379" t="n">
        <x:v>47423</x:v>
      </x:c>
      <x:c r="B1772" s="380" t="n">
        <x:v>2029</x:v>
      </x:c>
      <x:c r="C1772" s="380" t="n">
        <x:v>11</x:v>
      </x:c>
      <x:c r="D1772" s="380" t="str">
        <x:v>Nov</x:v>
      </x:c>
      <x:c r="E1772" s="380" t="n">
        <x:v>1</x:v>
      </x:c>
      <x:c r="F1772" s="380" t="n">
        <x:v>4</x:v>
      </x:c>
      <x:c r="G1772" s="380" t="n">
        <x:f>--(F1772&lt;='Estimator'!$B$7)</x:f>
        <x:v>1</x:v>
      </x:c>
      <x:c r="H1772" s="381" t="n">
        <x:f>SUMIFS('Climate Data'!$G$7:$G$366,'Climate Data'!$A$7:$A$366,'Estimator'!$B$4,'Climate Data'!$B$7:$B$366,C1772)</x:f>
        <x:v>0.3111111111111111</x:v>
      </x:c>
      <x:c r="I1772" s="382" t="n">
        <x:f>SUMIFS('Climate Data'!$H$7:$H$366,'Climate Data'!$A$7:$A$366,'Estimator'!$B$4,'Climate Data'!$B$7:$B$366,C1772)</x:f>
        <x:v>7.382142857142857</x:v>
      </x:c>
      <x:c r="J1772" s="381" t="n">
        <x:f>SUMIFS('Wind Proxy'!$H$8:$H$19,'Wind Proxy'!$A$8:$A$19,'Estimator'!$B$4,'Wind Proxy'!$B$8:$B$19,C1772)</x:f>
        <x:v>0.22222222222222224</x:v>
      </x:c>
    </x:row>
    <x:row r="1773">
      <x:c r="A1773" s="379" t="n">
        <x:v>47424</x:v>
      </x:c>
      <x:c r="B1773" s="380" t="n">
        <x:v>2029</x:v>
      </x:c>
      <x:c r="C1773" s="380" t="n">
        <x:v>11</x:v>
      </x:c>
      <x:c r="D1773" s="380" t="str">
        <x:v>Nov</x:v>
      </x:c>
      <x:c r="E1773" s="380" t="n">
        <x:v>2</x:v>
      </x:c>
      <x:c r="F1773" s="380" t="n">
        <x:v>5</x:v>
      </x:c>
      <x:c r="G1773" s="380" t="n">
        <x:f>--(F1773&lt;='Estimator'!$B$7)</x:f>
        <x:v>1</x:v>
      </x:c>
      <x:c r="H1773" s="381" t="n">
        <x:f>SUMIFS('Climate Data'!$G$7:$G$366,'Climate Data'!$A$7:$A$366,'Estimator'!$B$4,'Climate Data'!$B$7:$B$366,C1773)</x:f>
        <x:v>0.3111111111111111</x:v>
      </x:c>
      <x:c r="I1773" s="382" t="n">
        <x:f>SUMIFS('Climate Data'!$H$7:$H$366,'Climate Data'!$A$7:$A$366,'Estimator'!$B$4,'Climate Data'!$B$7:$B$366,C1773)</x:f>
        <x:v>7.382142857142857</x:v>
      </x:c>
      <x:c r="J1773" s="381" t="n">
        <x:f>SUMIFS('Wind Proxy'!$H$8:$H$19,'Wind Proxy'!$A$8:$A$19,'Estimator'!$B$4,'Wind Proxy'!$B$8:$B$19,C1773)</x:f>
        <x:v>0.22222222222222224</x:v>
      </x:c>
    </x:row>
    <x:row r="1774">
      <x:c r="A1774" s="379" t="n">
        <x:v>47425</x:v>
      </x:c>
      <x:c r="B1774" s="380" t="n">
        <x:v>2029</x:v>
      </x:c>
      <x:c r="C1774" s="380" t="n">
        <x:v>11</x:v>
      </x:c>
      <x:c r="D1774" s="380" t="str">
        <x:v>Nov</x:v>
      </x:c>
      <x:c r="E1774" s="380" t="n">
        <x:v>3</x:v>
      </x:c>
      <x:c r="F1774" s="380" t="n">
        <x:v>6</x:v>
      </x:c>
      <x:c r="G1774" s="380" t="n">
        <x:f>--(F1774&lt;='Estimator'!$B$7)</x:f>
        <x:v>0</x:v>
      </x:c>
      <x:c r="H1774" s="381" t="n">
        <x:f>SUMIFS('Climate Data'!$G$7:$G$366,'Climate Data'!$A$7:$A$366,'Estimator'!$B$4,'Climate Data'!$B$7:$B$366,C1774)</x:f>
        <x:v>0.3111111111111111</x:v>
      </x:c>
      <x:c r="I1774" s="382" t="n">
        <x:f>SUMIFS('Climate Data'!$H$7:$H$366,'Climate Data'!$A$7:$A$366,'Estimator'!$B$4,'Climate Data'!$B$7:$B$366,C1774)</x:f>
        <x:v>7.382142857142857</x:v>
      </x:c>
      <x:c r="J1774" s="381" t="n">
        <x:f>SUMIFS('Wind Proxy'!$H$8:$H$19,'Wind Proxy'!$A$8:$A$19,'Estimator'!$B$4,'Wind Proxy'!$B$8:$B$19,C1774)</x:f>
        <x:v>0.22222222222222224</x:v>
      </x:c>
    </x:row>
    <x:row r="1775">
      <x:c r="A1775" s="379" t="n">
        <x:v>47426</x:v>
      </x:c>
      <x:c r="B1775" s="380" t="n">
        <x:v>2029</x:v>
      </x:c>
      <x:c r="C1775" s="380" t="n">
        <x:v>11</x:v>
      </x:c>
      <x:c r="D1775" s="380" t="str">
        <x:v>Nov</x:v>
      </x:c>
      <x:c r="E1775" s="380" t="n">
        <x:v>4</x:v>
      </x:c>
      <x:c r="F1775" s="380" t="n">
        <x:v>7</x:v>
      </x:c>
      <x:c r="G1775" s="380" t="n">
        <x:f>--(F1775&lt;='Estimator'!$B$7)</x:f>
        <x:v>0</x:v>
      </x:c>
      <x:c r="H1775" s="381" t="n">
        <x:f>SUMIFS('Climate Data'!$G$7:$G$366,'Climate Data'!$A$7:$A$366,'Estimator'!$B$4,'Climate Data'!$B$7:$B$366,C1775)</x:f>
        <x:v>0.3111111111111111</x:v>
      </x:c>
      <x:c r="I1775" s="382" t="n">
        <x:f>SUMIFS('Climate Data'!$H$7:$H$366,'Climate Data'!$A$7:$A$366,'Estimator'!$B$4,'Climate Data'!$B$7:$B$366,C1775)</x:f>
        <x:v>7.382142857142857</x:v>
      </x:c>
      <x:c r="J1775" s="381" t="n">
        <x:f>SUMIFS('Wind Proxy'!$H$8:$H$19,'Wind Proxy'!$A$8:$A$19,'Estimator'!$B$4,'Wind Proxy'!$B$8:$B$19,C1775)</x:f>
        <x:v>0.22222222222222224</x:v>
      </x:c>
    </x:row>
    <x:row r="1776">
      <x:c r="A1776" s="379" t="n">
        <x:v>47427</x:v>
      </x:c>
      <x:c r="B1776" s="380" t="n">
        <x:v>2029</x:v>
      </x:c>
      <x:c r="C1776" s="380" t="n">
        <x:v>11</x:v>
      </x:c>
      <x:c r="D1776" s="380" t="str">
        <x:v>Nov</x:v>
      </x:c>
      <x:c r="E1776" s="380" t="n">
        <x:v>5</x:v>
      </x:c>
      <x:c r="F1776" s="380" t="n">
        <x:v>1</x:v>
      </x:c>
      <x:c r="G1776" s="380" t="n">
        <x:f>--(F1776&lt;='Estimator'!$B$7)</x:f>
        <x:v>1</x:v>
      </x:c>
      <x:c r="H1776" s="381" t="n">
        <x:f>SUMIFS('Climate Data'!$G$7:$G$366,'Climate Data'!$A$7:$A$366,'Estimator'!$B$4,'Climate Data'!$B$7:$B$366,C1776)</x:f>
        <x:v>0.3111111111111111</x:v>
      </x:c>
      <x:c r="I1776" s="382" t="n">
        <x:f>SUMIFS('Climate Data'!$H$7:$H$366,'Climate Data'!$A$7:$A$366,'Estimator'!$B$4,'Climate Data'!$B$7:$B$366,C1776)</x:f>
        <x:v>7.382142857142857</x:v>
      </x:c>
      <x:c r="J1776" s="381" t="n">
        <x:f>SUMIFS('Wind Proxy'!$H$8:$H$19,'Wind Proxy'!$A$8:$A$19,'Estimator'!$B$4,'Wind Proxy'!$B$8:$B$19,C1776)</x:f>
        <x:v>0.22222222222222224</x:v>
      </x:c>
    </x:row>
    <x:row r="1777">
      <x:c r="A1777" s="379" t="n">
        <x:v>47428</x:v>
      </x:c>
      <x:c r="B1777" s="380" t="n">
        <x:v>2029</x:v>
      </x:c>
      <x:c r="C1777" s="380" t="n">
        <x:v>11</x:v>
      </x:c>
      <x:c r="D1777" s="380" t="str">
        <x:v>Nov</x:v>
      </x:c>
      <x:c r="E1777" s="380" t="n">
        <x:v>6</x:v>
      </x:c>
      <x:c r="F1777" s="380" t="n">
        <x:v>2</x:v>
      </x:c>
      <x:c r="G1777" s="380" t="n">
        <x:f>--(F1777&lt;='Estimator'!$B$7)</x:f>
        <x:v>1</x:v>
      </x:c>
      <x:c r="H1777" s="381" t="n">
        <x:f>SUMIFS('Climate Data'!$G$7:$G$366,'Climate Data'!$A$7:$A$366,'Estimator'!$B$4,'Climate Data'!$B$7:$B$366,C1777)</x:f>
        <x:v>0.3111111111111111</x:v>
      </x:c>
      <x:c r="I1777" s="382" t="n">
        <x:f>SUMIFS('Climate Data'!$H$7:$H$366,'Climate Data'!$A$7:$A$366,'Estimator'!$B$4,'Climate Data'!$B$7:$B$366,C1777)</x:f>
        <x:v>7.382142857142857</x:v>
      </x:c>
      <x:c r="J1777" s="381" t="n">
        <x:f>SUMIFS('Wind Proxy'!$H$8:$H$19,'Wind Proxy'!$A$8:$A$19,'Estimator'!$B$4,'Wind Proxy'!$B$8:$B$19,C1777)</x:f>
        <x:v>0.22222222222222224</x:v>
      </x:c>
    </x:row>
    <x:row r="1778">
      <x:c r="A1778" s="379" t="n">
        <x:v>47429</x:v>
      </x:c>
      <x:c r="B1778" s="380" t="n">
        <x:v>2029</x:v>
      </x:c>
      <x:c r="C1778" s="380" t="n">
        <x:v>11</x:v>
      </x:c>
      <x:c r="D1778" s="380" t="str">
        <x:v>Nov</x:v>
      </x:c>
      <x:c r="E1778" s="380" t="n">
        <x:v>7</x:v>
      </x:c>
      <x:c r="F1778" s="380" t="n">
        <x:v>3</x:v>
      </x:c>
      <x:c r="G1778" s="380" t="n">
        <x:f>--(F1778&lt;='Estimator'!$B$7)</x:f>
        <x:v>1</x:v>
      </x:c>
      <x:c r="H1778" s="381" t="n">
        <x:f>SUMIFS('Climate Data'!$G$7:$G$366,'Climate Data'!$A$7:$A$366,'Estimator'!$B$4,'Climate Data'!$B$7:$B$366,C1778)</x:f>
        <x:v>0.3111111111111111</x:v>
      </x:c>
      <x:c r="I1778" s="382" t="n">
        <x:f>SUMIFS('Climate Data'!$H$7:$H$366,'Climate Data'!$A$7:$A$366,'Estimator'!$B$4,'Climate Data'!$B$7:$B$366,C1778)</x:f>
        <x:v>7.382142857142857</x:v>
      </x:c>
      <x:c r="J1778" s="381" t="n">
        <x:f>SUMIFS('Wind Proxy'!$H$8:$H$19,'Wind Proxy'!$A$8:$A$19,'Estimator'!$B$4,'Wind Proxy'!$B$8:$B$19,C1778)</x:f>
        <x:v>0.22222222222222224</x:v>
      </x:c>
    </x:row>
    <x:row r="1779">
      <x:c r="A1779" s="379" t="n">
        <x:v>47430</x:v>
      </x:c>
      <x:c r="B1779" s="380" t="n">
        <x:v>2029</x:v>
      </x:c>
      <x:c r="C1779" s="380" t="n">
        <x:v>11</x:v>
      </x:c>
      <x:c r="D1779" s="380" t="str">
        <x:v>Nov</x:v>
      </x:c>
      <x:c r="E1779" s="380" t="n">
        <x:v>8</x:v>
      </x:c>
      <x:c r="F1779" s="380" t="n">
        <x:v>4</x:v>
      </x:c>
      <x:c r="G1779" s="380" t="n">
        <x:f>--(F1779&lt;='Estimator'!$B$7)</x:f>
        <x:v>1</x:v>
      </x:c>
      <x:c r="H1779" s="381" t="n">
        <x:f>SUMIFS('Climate Data'!$G$7:$G$366,'Climate Data'!$A$7:$A$366,'Estimator'!$B$4,'Climate Data'!$B$7:$B$366,C1779)</x:f>
        <x:v>0.3111111111111111</x:v>
      </x:c>
      <x:c r="I1779" s="382" t="n">
        <x:f>SUMIFS('Climate Data'!$H$7:$H$366,'Climate Data'!$A$7:$A$366,'Estimator'!$B$4,'Climate Data'!$B$7:$B$366,C1779)</x:f>
        <x:v>7.382142857142857</x:v>
      </x:c>
      <x:c r="J1779" s="381" t="n">
        <x:f>SUMIFS('Wind Proxy'!$H$8:$H$19,'Wind Proxy'!$A$8:$A$19,'Estimator'!$B$4,'Wind Proxy'!$B$8:$B$19,C1779)</x:f>
        <x:v>0.22222222222222224</x:v>
      </x:c>
    </x:row>
    <x:row r="1780">
      <x:c r="A1780" s="379" t="n">
        <x:v>47431</x:v>
      </x:c>
      <x:c r="B1780" s="380" t="n">
        <x:v>2029</x:v>
      </x:c>
      <x:c r="C1780" s="380" t="n">
        <x:v>11</x:v>
      </x:c>
      <x:c r="D1780" s="380" t="str">
        <x:v>Nov</x:v>
      </x:c>
      <x:c r="E1780" s="380" t="n">
        <x:v>9</x:v>
      </x:c>
      <x:c r="F1780" s="380" t="n">
        <x:v>5</x:v>
      </x:c>
      <x:c r="G1780" s="380" t="n">
        <x:f>--(F1780&lt;='Estimator'!$B$7)</x:f>
        <x:v>1</x:v>
      </x:c>
      <x:c r="H1780" s="381" t="n">
        <x:f>SUMIFS('Climate Data'!$G$7:$G$366,'Climate Data'!$A$7:$A$366,'Estimator'!$B$4,'Climate Data'!$B$7:$B$366,C1780)</x:f>
        <x:v>0.3111111111111111</x:v>
      </x:c>
      <x:c r="I1780" s="382" t="n">
        <x:f>SUMIFS('Climate Data'!$H$7:$H$366,'Climate Data'!$A$7:$A$366,'Estimator'!$B$4,'Climate Data'!$B$7:$B$366,C1780)</x:f>
        <x:v>7.382142857142857</x:v>
      </x:c>
      <x:c r="J1780" s="381" t="n">
        <x:f>SUMIFS('Wind Proxy'!$H$8:$H$19,'Wind Proxy'!$A$8:$A$19,'Estimator'!$B$4,'Wind Proxy'!$B$8:$B$19,C1780)</x:f>
        <x:v>0.22222222222222224</x:v>
      </x:c>
    </x:row>
    <x:row r="1781">
      <x:c r="A1781" s="379" t="n">
        <x:v>47432</x:v>
      </x:c>
      <x:c r="B1781" s="380" t="n">
        <x:v>2029</x:v>
      </x:c>
      <x:c r="C1781" s="380" t="n">
        <x:v>11</x:v>
      </x:c>
      <x:c r="D1781" s="380" t="str">
        <x:v>Nov</x:v>
      </x:c>
      <x:c r="E1781" s="380" t="n">
        <x:v>10</x:v>
      </x:c>
      <x:c r="F1781" s="380" t="n">
        <x:v>6</x:v>
      </x:c>
      <x:c r="G1781" s="380" t="n">
        <x:f>--(F1781&lt;='Estimator'!$B$7)</x:f>
        <x:v>0</x:v>
      </x:c>
      <x:c r="H1781" s="381" t="n">
        <x:f>SUMIFS('Climate Data'!$G$7:$G$366,'Climate Data'!$A$7:$A$366,'Estimator'!$B$4,'Climate Data'!$B$7:$B$366,C1781)</x:f>
        <x:v>0.3111111111111111</x:v>
      </x:c>
      <x:c r="I1781" s="382" t="n">
        <x:f>SUMIFS('Climate Data'!$H$7:$H$366,'Climate Data'!$A$7:$A$366,'Estimator'!$B$4,'Climate Data'!$B$7:$B$366,C1781)</x:f>
        <x:v>7.382142857142857</x:v>
      </x:c>
      <x:c r="J1781" s="381" t="n">
        <x:f>SUMIFS('Wind Proxy'!$H$8:$H$19,'Wind Proxy'!$A$8:$A$19,'Estimator'!$B$4,'Wind Proxy'!$B$8:$B$19,C1781)</x:f>
        <x:v>0.22222222222222224</x:v>
      </x:c>
    </x:row>
    <x:row r="1782">
      <x:c r="A1782" s="379" t="n">
        <x:v>47433</x:v>
      </x:c>
      <x:c r="B1782" s="380" t="n">
        <x:v>2029</x:v>
      </x:c>
      <x:c r="C1782" s="380" t="n">
        <x:v>11</x:v>
      </x:c>
      <x:c r="D1782" s="380" t="str">
        <x:v>Nov</x:v>
      </x:c>
      <x:c r="E1782" s="380" t="n">
        <x:v>11</x:v>
      </x:c>
      <x:c r="F1782" s="380" t="n">
        <x:v>7</x:v>
      </x:c>
      <x:c r="G1782" s="380" t="n">
        <x:f>--(F1782&lt;='Estimator'!$B$7)</x:f>
        <x:v>0</x:v>
      </x:c>
      <x:c r="H1782" s="381" t="n">
        <x:f>SUMIFS('Climate Data'!$G$7:$G$366,'Climate Data'!$A$7:$A$366,'Estimator'!$B$4,'Climate Data'!$B$7:$B$366,C1782)</x:f>
        <x:v>0.3111111111111111</x:v>
      </x:c>
      <x:c r="I1782" s="382" t="n">
        <x:f>SUMIFS('Climate Data'!$H$7:$H$366,'Climate Data'!$A$7:$A$366,'Estimator'!$B$4,'Climate Data'!$B$7:$B$366,C1782)</x:f>
        <x:v>7.382142857142857</x:v>
      </x:c>
      <x:c r="J1782" s="381" t="n">
        <x:f>SUMIFS('Wind Proxy'!$H$8:$H$19,'Wind Proxy'!$A$8:$A$19,'Estimator'!$B$4,'Wind Proxy'!$B$8:$B$19,C1782)</x:f>
        <x:v>0.22222222222222224</x:v>
      </x:c>
    </x:row>
    <x:row r="1783">
      <x:c r="A1783" s="379" t="n">
        <x:v>47434</x:v>
      </x:c>
      <x:c r="B1783" s="380" t="n">
        <x:v>2029</x:v>
      </x:c>
      <x:c r="C1783" s="380" t="n">
        <x:v>11</x:v>
      </x:c>
      <x:c r="D1783" s="380" t="str">
        <x:v>Nov</x:v>
      </x:c>
      <x:c r="E1783" s="380" t="n">
        <x:v>12</x:v>
      </x:c>
      <x:c r="F1783" s="380" t="n">
        <x:v>1</x:v>
      </x:c>
      <x:c r="G1783" s="380" t="n">
        <x:f>--(F1783&lt;='Estimator'!$B$7)</x:f>
        <x:v>1</x:v>
      </x:c>
      <x:c r="H1783" s="381" t="n">
        <x:f>SUMIFS('Climate Data'!$G$7:$G$366,'Climate Data'!$A$7:$A$366,'Estimator'!$B$4,'Climate Data'!$B$7:$B$366,C1783)</x:f>
        <x:v>0.3111111111111111</x:v>
      </x:c>
      <x:c r="I1783" s="382" t="n">
        <x:f>SUMIFS('Climate Data'!$H$7:$H$366,'Climate Data'!$A$7:$A$366,'Estimator'!$B$4,'Climate Data'!$B$7:$B$366,C1783)</x:f>
        <x:v>7.382142857142857</x:v>
      </x:c>
      <x:c r="J1783" s="381" t="n">
        <x:f>SUMIFS('Wind Proxy'!$H$8:$H$19,'Wind Proxy'!$A$8:$A$19,'Estimator'!$B$4,'Wind Proxy'!$B$8:$B$19,C1783)</x:f>
        <x:v>0.22222222222222224</x:v>
      </x:c>
    </x:row>
    <x:row r="1784">
      <x:c r="A1784" s="379" t="n">
        <x:v>47435</x:v>
      </x:c>
      <x:c r="B1784" s="380" t="n">
        <x:v>2029</x:v>
      </x:c>
      <x:c r="C1784" s="380" t="n">
        <x:v>11</x:v>
      </x:c>
      <x:c r="D1784" s="380" t="str">
        <x:v>Nov</x:v>
      </x:c>
      <x:c r="E1784" s="380" t="n">
        <x:v>13</x:v>
      </x:c>
      <x:c r="F1784" s="380" t="n">
        <x:v>2</x:v>
      </x:c>
      <x:c r="G1784" s="380" t="n">
        <x:f>--(F1784&lt;='Estimator'!$B$7)</x:f>
        <x:v>1</x:v>
      </x:c>
      <x:c r="H1784" s="381" t="n">
        <x:f>SUMIFS('Climate Data'!$G$7:$G$366,'Climate Data'!$A$7:$A$366,'Estimator'!$B$4,'Climate Data'!$B$7:$B$366,C1784)</x:f>
        <x:v>0.3111111111111111</x:v>
      </x:c>
      <x:c r="I1784" s="382" t="n">
        <x:f>SUMIFS('Climate Data'!$H$7:$H$366,'Climate Data'!$A$7:$A$366,'Estimator'!$B$4,'Climate Data'!$B$7:$B$366,C1784)</x:f>
        <x:v>7.382142857142857</x:v>
      </x:c>
      <x:c r="J1784" s="381" t="n">
        <x:f>SUMIFS('Wind Proxy'!$H$8:$H$19,'Wind Proxy'!$A$8:$A$19,'Estimator'!$B$4,'Wind Proxy'!$B$8:$B$19,C1784)</x:f>
        <x:v>0.22222222222222224</x:v>
      </x:c>
    </x:row>
    <x:row r="1785">
      <x:c r="A1785" s="379" t="n">
        <x:v>47436</x:v>
      </x:c>
      <x:c r="B1785" s="380" t="n">
        <x:v>2029</x:v>
      </x:c>
      <x:c r="C1785" s="380" t="n">
        <x:v>11</x:v>
      </x:c>
      <x:c r="D1785" s="380" t="str">
        <x:v>Nov</x:v>
      </x:c>
      <x:c r="E1785" s="380" t="n">
        <x:v>14</x:v>
      </x:c>
      <x:c r="F1785" s="380" t="n">
        <x:v>3</x:v>
      </x:c>
      <x:c r="G1785" s="380" t="n">
        <x:f>--(F1785&lt;='Estimator'!$B$7)</x:f>
        <x:v>1</x:v>
      </x:c>
      <x:c r="H1785" s="381" t="n">
        <x:f>SUMIFS('Climate Data'!$G$7:$G$366,'Climate Data'!$A$7:$A$366,'Estimator'!$B$4,'Climate Data'!$B$7:$B$366,C1785)</x:f>
        <x:v>0.3111111111111111</x:v>
      </x:c>
      <x:c r="I1785" s="382" t="n">
        <x:f>SUMIFS('Climate Data'!$H$7:$H$366,'Climate Data'!$A$7:$A$366,'Estimator'!$B$4,'Climate Data'!$B$7:$B$366,C1785)</x:f>
        <x:v>7.382142857142857</x:v>
      </x:c>
      <x:c r="J1785" s="381" t="n">
        <x:f>SUMIFS('Wind Proxy'!$H$8:$H$19,'Wind Proxy'!$A$8:$A$19,'Estimator'!$B$4,'Wind Proxy'!$B$8:$B$19,C1785)</x:f>
        <x:v>0.22222222222222224</x:v>
      </x:c>
    </x:row>
    <x:row r="1786">
      <x:c r="A1786" s="379" t="n">
        <x:v>47437</x:v>
      </x:c>
      <x:c r="B1786" s="380" t="n">
        <x:v>2029</x:v>
      </x:c>
      <x:c r="C1786" s="380" t="n">
        <x:v>11</x:v>
      </x:c>
      <x:c r="D1786" s="380" t="str">
        <x:v>Nov</x:v>
      </x:c>
      <x:c r="E1786" s="380" t="n">
        <x:v>15</x:v>
      </x:c>
      <x:c r="F1786" s="380" t="n">
        <x:v>4</x:v>
      </x:c>
      <x:c r="G1786" s="380" t="n">
        <x:f>--(F1786&lt;='Estimator'!$B$7)</x:f>
        <x:v>1</x:v>
      </x:c>
      <x:c r="H1786" s="381" t="n">
        <x:f>SUMIFS('Climate Data'!$G$7:$G$366,'Climate Data'!$A$7:$A$366,'Estimator'!$B$4,'Climate Data'!$B$7:$B$366,C1786)</x:f>
        <x:v>0.3111111111111111</x:v>
      </x:c>
      <x:c r="I1786" s="382" t="n">
        <x:f>SUMIFS('Climate Data'!$H$7:$H$366,'Climate Data'!$A$7:$A$366,'Estimator'!$B$4,'Climate Data'!$B$7:$B$366,C1786)</x:f>
        <x:v>7.382142857142857</x:v>
      </x:c>
      <x:c r="J1786" s="381" t="n">
        <x:f>SUMIFS('Wind Proxy'!$H$8:$H$19,'Wind Proxy'!$A$8:$A$19,'Estimator'!$B$4,'Wind Proxy'!$B$8:$B$19,C1786)</x:f>
        <x:v>0.22222222222222224</x:v>
      </x:c>
    </x:row>
    <x:row r="1787">
      <x:c r="A1787" s="379" t="n">
        <x:v>47438</x:v>
      </x:c>
      <x:c r="B1787" s="380" t="n">
        <x:v>2029</x:v>
      </x:c>
      <x:c r="C1787" s="380" t="n">
        <x:v>11</x:v>
      </x:c>
      <x:c r="D1787" s="380" t="str">
        <x:v>Nov</x:v>
      </x:c>
      <x:c r="E1787" s="380" t="n">
        <x:v>16</x:v>
      </x:c>
      <x:c r="F1787" s="380" t="n">
        <x:v>5</x:v>
      </x:c>
      <x:c r="G1787" s="380" t="n">
        <x:f>--(F1787&lt;='Estimator'!$B$7)</x:f>
        <x:v>1</x:v>
      </x:c>
      <x:c r="H1787" s="381" t="n">
        <x:f>SUMIFS('Climate Data'!$G$7:$G$366,'Climate Data'!$A$7:$A$366,'Estimator'!$B$4,'Climate Data'!$B$7:$B$366,C1787)</x:f>
        <x:v>0.3111111111111111</x:v>
      </x:c>
      <x:c r="I1787" s="382" t="n">
        <x:f>SUMIFS('Climate Data'!$H$7:$H$366,'Climate Data'!$A$7:$A$366,'Estimator'!$B$4,'Climate Data'!$B$7:$B$366,C1787)</x:f>
        <x:v>7.382142857142857</x:v>
      </x:c>
      <x:c r="J1787" s="381" t="n">
        <x:f>SUMIFS('Wind Proxy'!$H$8:$H$19,'Wind Proxy'!$A$8:$A$19,'Estimator'!$B$4,'Wind Proxy'!$B$8:$B$19,C1787)</x:f>
        <x:v>0.22222222222222224</x:v>
      </x:c>
    </x:row>
    <x:row r="1788">
      <x:c r="A1788" s="379" t="n">
        <x:v>47439</x:v>
      </x:c>
      <x:c r="B1788" s="380" t="n">
        <x:v>2029</x:v>
      </x:c>
      <x:c r="C1788" s="380" t="n">
        <x:v>11</x:v>
      </x:c>
      <x:c r="D1788" s="380" t="str">
        <x:v>Nov</x:v>
      </x:c>
      <x:c r="E1788" s="380" t="n">
        <x:v>17</x:v>
      </x:c>
      <x:c r="F1788" s="380" t="n">
        <x:v>6</x:v>
      </x:c>
      <x:c r="G1788" s="380" t="n">
        <x:f>--(F1788&lt;='Estimator'!$B$7)</x:f>
        <x:v>0</x:v>
      </x:c>
      <x:c r="H1788" s="381" t="n">
        <x:f>SUMIFS('Climate Data'!$G$7:$G$366,'Climate Data'!$A$7:$A$366,'Estimator'!$B$4,'Climate Data'!$B$7:$B$366,C1788)</x:f>
        <x:v>0.3111111111111111</x:v>
      </x:c>
      <x:c r="I1788" s="382" t="n">
        <x:f>SUMIFS('Climate Data'!$H$7:$H$366,'Climate Data'!$A$7:$A$366,'Estimator'!$B$4,'Climate Data'!$B$7:$B$366,C1788)</x:f>
        <x:v>7.382142857142857</x:v>
      </x:c>
      <x:c r="J1788" s="381" t="n">
        <x:f>SUMIFS('Wind Proxy'!$H$8:$H$19,'Wind Proxy'!$A$8:$A$19,'Estimator'!$B$4,'Wind Proxy'!$B$8:$B$19,C1788)</x:f>
        <x:v>0.22222222222222224</x:v>
      </x:c>
    </x:row>
    <x:row r="1789">
      <x:c r="A1789" s="379" t="n">
        <x:v>47440</x:v>
      </x:c>
      <x:c r="B1789" s="380" t="n">
        <x:v>2029</x:v>
      </x:c>
      <x:c r="C1789" s="380" t="n">
        <x:v>11</x:v>
      </x:c>
      <x:c r="D1789" s="380" t="str">
        <x:v>Nov</x:v>
      </x:c>
      <x:c r="E1789" s="380" t="n">
        <x:v>18</x:v>
      </x:c>
      <x:c r="F1789" s="380" t="n">
        <x:v>7</x:v>
      </x:c>
      <x:c r="G1789" s="380" t="n">
        <x:f>--(F1789&lt;='Estimator'!$B$7)</x:f>
        <x:v>0</x:v>
      </x:c>
      <x:c r="H1789" s="381" t="n">
        <x:f>SUMIFS('Climate Data'!$G$7:$G$366,'Climate Data'!$A$7:$A$366,'Estimator'!$B$4,'Climate Data'!$B$7:$B$366,C1789)</x:f>
        <x:v>0.3111111111111111</x:v>
      </x:c>
      <x:c r="I1789" s="382" t="n">
        <x:f>SUMIFS('Climate Data'!$H$7:$H$366,'Climate Data'!$A$7:$A$366,'Estimator'!$B$4,'Climate Data'!$B$7:$B$366,C1789)</x:f>
        <x:v>7.382142857142857</x:v>
      </x:c>
      <x:c r="J1789" s="381" t="n">
        <x:f>SUMIFS('Wind Proxy'!$H$8:$H$19,'Wind Proxy'!$A$8:$A$19,'Estimator'!$B$4,'Wind Proxy'!$B$8:$B$19,C1789)</x:f>
        <x:v>0.22222222222222224</x:v>
      </x:c>
    </x:row>
    <x:row r="1790">
      <x:c r="A1790" s="379" t="n">
        <x:v>47441</x:v>
      </x:c>
      <x:c r="B1790" s="380" t="n">
        <x:v>2029</x:v>
      </x:c>
      <x:c r="C1790" s="380" t="n">
        <x:v>11</x:v>
      </x:c>
      <x:c r="D1790" s="380" t="str">
        <x:v>Nov</x:v>
      </x:c>
      <x:c r="E1790" s="380" t="n">
        <x:v>19</x:v>
      </x:c>
      <x:c r="F1790" s="380" t="n">
        <x:v>1</x:v>
      </x:c>
      <x:c r="G1790" s="380" t="n">
        <x:f>--(F1790&lt;='Estimator'!$B$7)</x:f>
        <x:v>1</x:v>
      </x:c>
      <x:c r="H1790" s="381" t="n">
        <x:f>SUMIFS('Climate Data'!$G$7:$G$366,'Climate Data'!$A$7:$A$366,'Estimator'!$B$4,'Climate Data'!$B$7:$B$366,C1790)</x:f>
        <x:v>0.3111111111111111</x:v>
      </x:c>
      <x:c r="I1790" s="382" t="n">
        <x:f>SUMIFS('Climate Data'!$H$7:$H$366,'Climate Data'!$A$7:$A$366,'Estimator'!$B$4,'Climate Data'!$B$7:$B$366,C1790)</x:f>
        <x:v>7.382142857142857</x:v>
      </x:c>
      <x:c r="J1790" s="381" t="n">
        <x:f>SUMIFS('Wind Proxy'!$H$8:$H$19,'Wind Proxy'!$A$8:$A$19,'Estimator'!$B$4,'Wind Proxy'!$B$8:$B$19,C1790)</x:f>
        <x:v>0.22222222222222224</x:v>
      </x:c>
    </x:row>
    <x:row r="1791">
      <x:c r="A1791" s="379" t="n">
        <x:v>47442</x:v>
      </x:c>
      <x:c r="B1791" s="380" t="n">
        <x:v>2029</x:v>
      </x:c>
      <x:c r="C1791" s="380" t="n">
        <x:v>11</x:v>
      </x:c>
      <x:c r="D1791" s="380" t="str">
        <x:v>Nov</x:v>
      </x:c>
      <x:c r="E1791" s="380" t="n">
        <x:v>20</x:v>
      </x:c>
      <x:c r="F1791" s="380" t="n">
        <x:v>2</x:v>
      </x:c>
      <x:c r="G1791" s="380" t="n">
        <x:f>--(F1791&lt;='Estimator'!$B$7)</x:f>
        <x:v>1</x:v>
      </x:c>
      <x:c r="H1791" s="381" t="n">
        <x:f>SUMIFS('Climate Data'!$G$7:$G$366,'Climate Data'!$A$7:$A$366,'Estimator'!$B$4,'Climate Data'!$B$7:$B$366,C1791)</x:f>
        <x:v>0.3111111111111111</x:v>
      </x:c>
      <x:c r="I1791" s="382" t="n">
        <x:f>SUMIFS('Climate Data'!$H$7:$H$366,'Climate Data'!$A$7:$A$366,'Estimator'!$B$4,'Climate Data'!$B$7:$B$366,C1791)</x:f>
        <x:v>7.382142857142857</x:v>
      </x:c>
      <x:c r="J1791" s="381" t="n">
        <x:f>SUMIFS('Wind Proxy'!$H$8:$H$19,'Wind Proxy'!$A$8:$A$19,'Estimator'!$B$4,'Wind Proxy'!$B$8:$B$19,C1791)</x:f>
        <x:v>0.22222222222222224</x:v>
      </x:c>
    </x:row>
    <x:row r="1792">
      <x:c r="A1792" s="379" t="n">
        <x:v>47443</x:v>
      </x:c>
      <x:c r="B1792" s="380" t="n">
        <x:v>2029</x:v>
      </x:c>
      <x:c r="C1792" s="380" t="n">
        <x:v>11</x:v>
      </x:c>
      <x:c r="D1792" s="380" t="str">
        <x:v>Nov</x:v>
      </x:c>
      <x:c r="E1792" s="380" t="n">
        <x:v>21</x:v>
      </x:c>
      <x:c r="F1792" s="380" t="n">
        <x:v>3</x:v>
      </x:c>
      <x:c r="G1792" s="380" t="n">
        <x:f>--(F1792&lt;='Estimator'!$B$7)</x:f>
        <x:v>1</x:v>
      </x:c>
      <x:c r="H1792" s="381" t="n">
        <x:f>SUMIFS('Climate Data'!$G$7:$G$366,'Climate Data'!$A$7:$A$366,'Estimator'!$B$4,'Climate Data'!$B$7:$B$366,C1792)</x:f>
        <x:v>0.3111111111111111</x:v>
      </x:c>
      <x:c r="I1792" s="382" t="n">
        <x:f>SUMIFS('Climate Data'!$H$7:$H$366,'Climate Data'!$A$7:$A$366,'Estimator'!$B$4,'Climate Data'!$B$7:$B$366,C1792)</x:f>
        <x:v>7.382142857142857</x:v>
      </x:c>
      <x:c r="J1792" s="381" t="n">
        <x:f>SUMIFS('Wind Proxy'!$H$8:$H$19,'Wind Proxy'!$A$8:$A$19,'Estimator'!$B$4,'Wind Proxy'!$B$8:$B$19,C1792)</x:f>
        <x:v>0.22222222222222224</x:v>
      </x:c>
    </x:row>
    <x:row r="1793">
      <x:c r="A1793" s="379" t="n">
        <x:v>47444</x:v>
      </x:c>
      <x:c r="B1793" s="380" t="n">
        <x:v>2029</x:v>
      </x:c>
      <x:c r="C1793" s="380" t="n">
        <x:v>11</x:v>
      </x:c>
      <x:c r="D1793" s="380" t="str">
        <x:v>Nov</x:v>
      </x:c>
      <x:c r="E1793" s="380" t="n">
        <x:v>22</x:v>
      </x:c>
      <x:c r="F1793" s="380" t="n">
        <x:v>4</x:v>
      </x:c>
      <x:c r="G1793" s="380" t="n">
        <x:f>--(F1793&lt;='Estimator'!$B$7)</x:f>
        <x:v>1</x:v>
      </x:c>
      <x:c r="H1793" s="381" t="n">
        <x:f>SUMIFS('Climate Data'!$G$7:$G$366,'Climate Data'!$A$7:$A$366,'Estimator'!$B$4,'Climate Data'!$B$7:$B$366,C1793)</x:f>
        <x:v>0.3111111111111111</x:v>
      </x:c>
      <x:c r="I1793" s="382" t="n">
        <x:f>SUMIFS('Climate Data'!$H$7:$H$366,'Climate Data'!$A$7:$A$366,'Estimator'!$B$4,'Climate Data'!$B$7:$B$366,C1793)</x:f>
        <x:v>7.382142857142857</x:v>
      </x:c>
      <x:c r="J1793" s="381" t="n">
        <x:f>SUMIFS('Wind Proxy'!$H$8:$H$19,'Wind Proxy'!$A$8:$A$19,'Estimator'!$B$4,'Wind Proxy'!$B$8:$B$19,C1793)</x:f>
        <x:v>0.22222222222222224</x:v>
      </x:c>
    </x:row>
    <x:row r="1794">
      <x:c r="A1794" s="379" t="n">
        <x:v>47445</x:v>
      </x:c>
      <x:c r="B1794" s="380" t="n">
        <x:v>2029</x:v>
      </x:c>
      <x:c r="C1794" s="380" t="n">
        <x:v>11</x:v>
      </x:c>
      <x:c r="D1794" s="380" t="str">
        <x:v>Nov</x:v>
      </x:c>
      <x:c r="E1794" s="380" t="n">
        <x:v>23</x:v>
      </x:c>
      <x:c r="F1794" s="380" t="n">
        <x:v>5</x:v>
      </x:c>
      <x:c r="G1794" s="380" t="n">
        <x:f>--(F1794&lt;='Estimator'!$B$7)</x:f>
        <x:v>1</x:v>
      </x:c>
      <x:c r="H1794" s="381" t="n">
        <x:f>SUMIFS('Climate Data'!$G$7:$G$366,'Climate Data'!$A$7:$A$366,'Estimator'!$B$4,'Climate Data'!$B$7:$B$366,C1794)</x:f>
        <x:v>0.3111111111111111</x:v>
      </x:c>
      <x:c r="I1794" s="382" t="n">
        <x:f>SUMIFS('Climate Data'!$H$7:$H$366,'Climate Data'!$A$7:$A$366,'Estimator'!$B$4,'Climate Data'!$B$7:$B$366,C1794)</x:f>
        <x:v>7.382142857142857</x:v>
      </x:c>
      <x:c r="J1794" s="381" t="n">
        <x:f>SUMIFS('Wind Proxy'!$H$8:$H$19,'Wind Proxy'!$A$8:$A$19,'Estimator'!$B$4,'Wind Proxy'!$B$8:$B$19,C1794)</x:f>
        <x:v>0.22222222222222224</x:v>
      </x:c>
    </x:row>
    <x:row r="1795">
      <x:c r="A1795" s="379" t="n">
        <x:v>47446</x:v>
      </x:c>
      <x:c r="B1795" s="380" t="n">
        <x:v>2029</x:v>
      </x:c>
      <x:c r="C1795" s="380" t="n">
        <x:v>11</x:v>
      </x:c>
      <x:c r="D1795" s="380" t="str">
        <x:v>Nov</x:v>
      </x:c>
      <x:c r="E1795" s="380" t="n">
        <x:v>24</x:v>
      </x:c>
      <x:c r="F1795" s="380" t="n">
        <x:v>6</x:v>
      </x:c>
      <x:c r="G1795" s="380" t="n">
        <x:f>--(F1795&lt;='Estimator'!$B$7)</x:f>
        <x:v>0</x:v>
      </x:c>
      <x:c r="H1795" s="381" t="n">
        <x:f>SUMIFS('Climate Data'!$G$7:$G$366,'Climate Data'!$A$7:$A$366,'Estimator'!$B$4,'Climate Data'!$B$7:$B$366,C1795)</x:f>
        <x:v>0.3111111111111111</x:v>
      </x:c>
      <x:c r="I1795" s="382" t="n">
        <x:f>SUMIFS('Climate Data'!$H$7:$H$366,'Climate Data'!$A$7:$A$366,'Estimator'!$B$4,'Climate Data'!$B$7:$B$366,C1795)</x:f>
        <x:v>7.382142857142857</x:v>
      </x:c>
      <x:c r="J1795" s="381" t="n">
        <x:f>SUMIFS('Wind Proxy'!$H$8:$H$19,'Wind Proxy'!$A$8:$A$19,'Estimator'!$B$4,'Wind Proxy'!$B$8:$B$19,C1795)</x:f>
        <x:v>0.22222222222222224</x:v>
      </x:c>
    </x:row>
    <x:row r="1796">
      <x:c r="A1796" s="379" t="n">
        <x:v>47447</x:v>
      </x:c>
      <x:c r="B1796" s="380" t="n">
        <x:v>2029</x:v>
      </x:c>
      <x:c r="C1796" s="380" t="n">
        <x:v>11</x:v>
      </x:c>
      <x:c r="D1796" s="380" t="str">
        <x:v>Nov</x:v>
      </x:c>
      <x:c r="E1796" s="380" t="n">
        <x:v>25</x:v>
      </x:c>
      <x:c r="F1796" s="380" t="n">
        <x:v>7</x:v>
      </x:c>
      <x:c r="G1796" s="380" t="n">
        <x:f>--(F1796&lt;='Estimator'!$B$7)</x:f>
        <x:v>0</x:v>
      </x:c>
      <x:c r="H1796" s="381" t="n">
        <x:f>SUMIFS('Climate Data'!$G$7:$G$366,'Climate Data'!$A$7:$A$366,'Estimator'!$B$4,'Climate Data'!$B$7:$B$366,C1796)</x:f>
        <x:v>0.3111111111111111</x:v>
      </x:c>
      <x:c r="I1796" s="382" t="n">
        <x:f>SUMIFS('Climate Data'!$H$7:$H$366,'Climate Data'!$A$7:$A$366,'Estimator'!$B$4,'Climate Data'!$B$7:$B$366,C1796)</x:f>
        <x:v>7.382142857142857</x:v>
      </x:c>
      <x:c r="J1796" s="381" t="n">
        <x:f>SUMIFS('Wind Proxy'!$H$8:$H$19,'Wind Proxy'!$A$8:$A$19,'Estimator'!$B$4,'Wind Proxy'!$B$8:$B$19,C1796)</x:f>
        <x:v>0.22222222222222224</x:v>
      </x:c>
    </x:row>
    <x:row r="1797">
      <x:c r="A1797" s="379" t="n">
        <x:v>47448</x:v>
      </x:c>
      <x:c r="B1797" s="380" t="n">
        <x:v>2029</x:v>
      </x:c>
      <x:c r="C1797" s="380" t="n">
        <x:v>11</x:v>
      </x:c>
      <x:c r="D1797" s="380" t="str">
        <x:v>Nov</x:v>
      </x:c>
      <x:c r="E1797" s="380" t="n">
        <x:v>26</x:v>
      </x:c>
      <x:c r="F1797" s="380" t="n">
        <x:v>1</x:v>
      </x:c>
      <x:c r="G1797" s="380" t="n">
        <x:f>--(F1797&lt;='Estimator'!$B$7)</x:f>
        <x:v>1</x:v>
      </x:c>
      <x:c r="H1797" s="381" t="n">
        <x:f>SUMIFS('Climate Data'!$G$7:$G$366,'Climate Data'!$A$7:$A$366,'Estimator'!$B$4,'Climate Data'!$B$7:$B$366,C1797)</x:f>
        <x:v>0.3111111111111111</x:v>
      </x:c>
      <x:c r="I1797" s="382" t="n">
        <x:f>SUMIFS('Climate Data'!$H$7:$H$366,'Climate Data'!$A$7:$A$366,'Estimator'!$B$4,'Climate Data'!$B$7:$B$366,C1797)</x:f>
        <x:v>7.382142857142857</x:v>
      </x:c>
      <x:c r="J1797" s="381" t="n">
        <x:f>SUMIFS('Wind Proxy'!$H$8:$H$19,'Wind Proxy'!$A$8:$A$19,'Estimator'!$B$4,'Wind Proxy'!$B$8:$B$19,C1797)</x:f>
        <x:v>0.22222222222222224</x:v>
      </x:c>
    </x:row>
    <x:row r="1798">
      <x:c r="A1798" s="379" t="n">
        <x:v>47449</x:v>
      </x:c>
      <x:c r="B1798" s="380" t="n">
        <x:v>2029</x:v>
      </x:c>
      <x:c r="C1798" s="380" t="n">
        <x:v>11</x:v>
      </x:c>
      <x:c r="D1798" s="380" t="str">
        <x:v>Nov</x:v>
      </x:c>
      <x:c r="E1798" s="380" t="n">
        <x:v>27</x:v>
      </x:c>
      <x:c r="F1798" s="380" t="n">
        <x:v>2</x:v>
      </x:c>
      <x:c r="G1798" s="380" t="n">
        <x:f>--(F1798&lt;='Estimator'!$B$7)</x:f>
        <x:v>1</x:v>
      </x:c>
      <x:c r="H1798" s="381" t="n">
        <x:f>SUMIFS('Climate Data'!$G$7:$G$366,'Climate Data'!$A$7:$A$366,'Estimator'!$B$4,'Climate Data'!$B$7:$B$366,C1798)</x:f>
        <x:v>0.3111111111111111</x:v>
      </x:c>
      <x:c r="I1798" s="382" t="n">
        <x:f>SUMIFS('Climate Data'!$H$7:$H$366,'Climate Data'!$A$7:$A$366,'Estimator'!$B$4,'Climate Data'!$B$7:$B$366,C1798)</x:f>
        <x:v>7.382142857142857</x:v>
      </x:c>
      <x:c r="J1798" s="381" t="n">
        <x:f>SUMIFS('Wind Proxy'!$H$8:$H$19,'Wind Proxy'!$A$8:$A$19,'Estimator'!$B$4,'Wind Proxy'!$B$8:$B$19,C1798)</x:f>
        <x:v>0.22222222222222224</x:v>
      </x:c>
    </x:row>
    <x:row r="1799">
      <x:c r="A1799" s="379" t="n">
        <x:v>47450</x:v>
      </x:c>
      <x:c r="B1799" s="380" t="n">
        <x:v>2029</x:v>
      </x:c>
      <x:c r="C1799" s="380" t="n">
        <x:v>11</x:v>
      </x:c>
      <x:c r="D1799" s="380" t="str">
        <x:v>Nov</x:v>
      </x:c>
      <x:c r="E1799" s="380" t="n">
        <x:v>28</x:v>
      </x:c>
      <x:c r="F1799" s="380" t="n">
        <x:v>3</x:v>
      </x:c>
      <x:c r="G1799" s="380" t="n">
        <x:f>--(F1799&lt;='Estimator'!$B$7)</x:f>
        <x:v>1</x:v>
      </x:c>
      <x:c r="H1799" s="381" t="n">
        <x:f>SUMIFS('Climate Data'!$G$7:$G$366,'Climate Data'!$A$7:$A$366,'Estimator'!$B$4,'Climate Data'!$B$7:$B$366,C1799)</x:f>
        <x:v>0.3111111111111111</x:v>
      </x:c>
      <x:c r="I1799" s="382" t="n">
        <x:f>SUMIFS('Climate Data'!$H$7:$H$366,'Climate Data'!$A$7:$A$366,'Estimator'!$B$4,'Climate Data'!$B$7:$B$366,C1799)</x:f>
        <x:v>7.382142857142857</x:v>
      </x:c>
      <x:c r="J1799" s="381" t="n">
        <x:f>SUMIFS('Wind Proxy'!$H$8:$H$19,'Wind Proxy'!$A$8:$A$19,'Estimator'!$B$4,'Wind Proxy'!$B$8:$B$19,C1799)</x:f>
        <x:v>0.22222222222222224</x:v>
      </x:c>
    </x:row>
    <x:row r="1800">
      <x:c r="A1800" s="379" t="n">
        <x:v>47451</x:v>
      </x:c>
      <x:c r="B1800" s="380" t="n">
        <x:v>2029</x:v>
      </x:c>
      <x:c r="C1800" s="380" t="n">
        <x:v>11</x:v>
      </x:c>
      <x:c r="D1800" s="380" t="str">
        <x:v>Nov</x:v>
      </x:c>
      <x:c r="E1800" s="380" t="n">
        <x:v>29</x:v>
      </x:c>
      <x:c r="F1800" s="380" t="n">
        <x:v>4</x:v>
      </x:c>
      <x:c r="G1800" s="380" t="n">
        <x:f>--(F1800&lt;='Estimator'!$B$7)</x:f>
        <x:v>1</x:v>
      </x:c>
      <x:c r="H1800" s="381" t="n">
        <x:f>SUMIFS('Climate Data'!$G$7:$G$366,'Climate Data'!$A$7:$A$366,'Estimator'!$B$4,'Climate Data'!$B$7:$B$366,C1800)</x:f>
        <x:v>0.3111111111111111</x:v>
      </x:c>
      <x:c r="I1800" s="382" t="n">
        <x:f>SUMIFS('Climate Data'!$H$7:$H$366,'Climate Data'!$A$7:$A$366,'Estimator'!$B$4,'Climate Data'!$B$7:$B$366,C1800)</x:f>
        <x:v>7.382142857142857</x:v>
      </x:c>
      <x:c r="J1800" s="381" t="n">
        <x:f>SUMIFS('Wind Proxy'!$H$8:$H$19,'Wind Proxy'!$A$8:$A$19,'Estimator'!$B$4,'Wind Proxy'!$B$8:$B$19,C1800)</x:f>
        <x:v>0.22222222222222224</x:v>
      </x:c>
    </x:row>
    <x:row r="1801">
      <x:c r="A1801" s="379" t="n">
        <x:v>47452</x:v>
      </x:c>
      <x:c r="B1801" s="380" t="n">
        <x:v>2029</x:v>
      </x:c>
      <x:c r="C1801" s="380" t="n">
        <x:v>11</x:v>
      </x:c>
      <x:c r="D1801" s="380" t="str">
        <x:v>Nov</x:v>
      </x:c>
      <x:c r="E1801" s="380" t="n">
        <x:v>30</x:v>
      </x:c>
      <x:c r="F1801" s="380" t="n">
        <x:v>5</x:v>
      </x:c>
      <x:c r="G1801" s="380" t="n">
        <x:f>--(F1801&lt;='Estimator'!$B$7)</x:f>
        <x:v>1</x:v>
      </x:c>
      <x:c r="H1801" s="381" t="n">
        <x:f>SUMIFS('Climate Data'!$G$7:$G$366,'Climate Data'!$A$7:$A$366,'Estimator'!$B$4,'Climate Data'!$B$7:$B$366,C1801)</x:f>
        <x:v>0.3111111111111111</x:v>
      </x:c>
      <x:c r="I1801" s="382" t="n">
        <x:f>SUMIFS('Climate Data'!$H$7:$H$366,'Climate Data'!$A$7:$A$366,'Estimator'!$B$4,'Climate Data'!$B$7:$B$366,C1801)</x:f>
        <x:v>7.382142857142857</x:v>
      </x:c>
      <x:c r="J1801" s="381" t="n">
        <x:f>SUMIFS('Wind Proxy'!$H$8:$H$19,'Wind Proxy'!$A$8:$A$19,'Estimator'!$B$4,'Wind Proxy'!$B$8:$B$19,C1801)</x:f>
        <x:v>0.22222222222222224</x:v>
      </x:c>
    </x:row>
    <x:row r="1802">
      <x:c r="A1802" s="379" t="n">
        <x:v>47453</x:v>
      </x:c>
      <x:c r="B1802" s="380" t="n">
        <x:v>2029</x:v>
      </x:c>
      <x:c r="C1802" s="380" t="n">
        <x:v>12</x:v>
      </x:c>
      <x:c r="D1802" s="380" t="str">
        <x:v>Dec</x:v>
      </x:c>
      <x:c r="E1802" s="380" t="n">
        <x:v>1</x:v>
      </x:c>
      <x:c r="F1802" s="380" t="n">
        <x:v>6</x:v>
      </x:c>
      <x:c r="G1802" s="380" t="n">
        <x:f>--(F1802&lt;='Estimator'!$B$7)</x:f>
        <x:v>0</x:v>
      </x:c>
      <x:c r="H1802" s="381" t="n">
        <x:f>SUMIFS('Climate Data'!$G$7:$G$366,'Climate Data'!$A$7:$A$366,'Estimator'!$B$4,'Climate Data'!$B$7:$B$366,C1802)</x:f>
        <x:v>0.2914349276974416</x:v>
      </x:c>
      <x:c r="I1802" s="382" t="n">
        <x:f>SUMIFS('Climate Data'!$H$7:$H$366,'Climate Data'!$A$7:$A$366,'Estimator'!$B$4,'Climate Data'!$B$7:$B$366,C1802)</x:f>
        <x:v>9.043129770992365</x:v>
      </x:c>
      <x:c r="J1802" s="381" t="n">
        <x:f>SUMIFS('Wind Proxy'!$H$8:$H$19,'Wind Proxy'!$A$8:$A$19,'Estimator'!$B$4,'Wind Proxy'!$B$8:$B$19,C1802)</x:f>
        <x:v>0.12544802867383514</x:v>
      </x:c>
    </x:row>
    <x:row r="1803">
      <x:c r="A1803" s="379" t="n">
        <x:v>47454</x:v>
      </x:c>
      <x:c r="B1803" s="380" t="n">
        <x:v>2029</x:v>
      </x:c>
      <x:c r="C1803" s="380" t="n">
        <x:v>12</x:v>
      </x:c>
      <x:c r="D1803" s="380" t="str">
        <x:v>Dec</x:v>
      </x:c>
      <x:c r="E1803" s="380" t="n">
        <x:v>2</x:v>
      </x:c>
      <x:c r="F1803" s="380" t="n">
        <x:v>7</x:v>
      </x:c>
      <x:c r="G1803" s="380" t="n">
        <x:f>--(F1803&lt;='Estimator'!$B$7)</x:f>
        <x:v>0</x:v>
      </x:c>
      <x:c r="H1803" s="381" t="n">
        <x:f>SUMIFS('Climate Data'!$G$7:$G$366,'Climate Data'!$A$7:$A$366,'Estimator'!$B$4,'Climate Data'!$B$7:$B$366,C1803)</x:f>
        <x:v>0.2914349276974416</x:v>
      </x:c>
      <x:c r="I1803" s="382" t="n">
        <x:f>SUMIFS('Climate Data'!$H$7:$H$366,'Climate Data'!$A$7:$A$366,'Estimator'!$B$4,'Climate Data'!$B$7:$B$366,C1803)</x:f>
        <x:v>9.043129770992365</x:v>
      </x:c>
      <x:c r="J1803" s="381" t="n">
        <x:f>SUMIFS('Wind Proxy'!$H$8:$H$19,'Wind Proxy'!$A$8:$A$19,'Estimator'!$B$4,'Wind Proxy'!$B$8:$B$19,C1803)</x:f>
        <x:v>0.12544802867383514</x:v>
      </x:c>
    </x:row>
    <x:row r="1804">
      <x:c r="A1804" s="379" t="n">
        <x:v>47455</x:v>
      </x:c>
      <x:c r="B1804" s="380" t="n">
        <x:v>2029</x:v>
      </x:c>
      <x:c r="C1804" s="380" t="n">
        <x:v>12</x:v>
      </x:c>
      <x:c r="D1804" s="380" t="str">
        <x:v>Dec</x:v>
      </x:c>
      <x:c r="E1804" s="380" t="n">
        <x:v>3</x:v>
      </x:c>
      <x:c r="F1804" s="380" t="n">
        <x:v>1</x:v>
      </x:c>
      <x:c r="G1804" s="380" t="n">
        <x:f>--(F1804&lt;='Estimator'!$B$7)</x:f>
        <x:v>1</x:v>
      </x:c>
      <x:c r="H1804" s="381" t="n">
        <x:f>SUMIFS('Climate Data'!$G$7:$G$366,'Climate Data'!$A$7:$A$366,'Estimator'!$B$4,'Climate Data'!$B$7:$B$366,C1804)</x:f>
        <x:v>0.2914349276974416</x:v>
      </x:c>
      <x:c r="I1804" s="382" t="n">
        <x:f>SUMIFS('Climate Data'!$H$7:$H$366,'Climate Data'!$A$7:$A$366,'Estimator'!$B$4,'Climate Data'!$B$7:$B$366,C1804)</x:f>
        <x:v>9.043129770992365</x:v>
      </x:c>
      <x:c r="J1804" s="381" t="n">
        <x:f>SUMIFS('Wind Proxy'!$H$8:$H$19,'Wind Proxy'!$A$8:$A$19,'Estimator'!$B$4,'Wind Proxy'!$B$8:$B$19,C1804)</x:f>
        <x:v>0.12544802867383514</x:v>
      </x:c>
    </x:row>
    <x:row r="1805">
      <x:c r="A1805" s="379" t="n">
        <x:v>47456</x:v>
      </x:c>
      <x:c r="B1805" s="380" t="n">
        <x:v>2029</x:v>
      </x:c>
      <x:c r="C1805" s="380" t="n">
        <x:v>12</x:v>
      </x:c>
      <x:c r="D1805" s="380" t="str">
        <x:v>Dec</x:v>
      </x:c>
      <x:c r="E1805" s="380" t="n">
        <x:v>4</x:v>
      </x:c>
      <x:c r="F1805" s="380" t="n">
        <x:v>2</x:v>
      </x:c>
      <x:c r="G1805" s="380" t="n">
        <x:f>--(F1805&lt;='Estimator'!$B$7)</x:f>
        <x:v>1</x:v>
      </x:c>
      <x:c r="H1805" s="381" t="n">
        <x:f>SUMIFS('Climate Data'!$G$7:$G$366,'Climate Data'!$A$7:$A$366,'Estimator'!$B$4,'Climate Data'!$B$7:$B$366,C1805)</x:f>
        <x:v>0.2914349276974416</x:v>
      </x:c>
      <x:c r="I1805" s="382" t="n">
        <x:f>SUMIFS('Climate Data'!$H$7:$H$366,'Climate Data'!$A$7:$A$366,'Estimator'!$B$4,'Climate Data'!$B$7:$B$366,C1805)</x:f>
        <x:v>9.043129770992365</x:v>
      </x:c>
      <x:c r="J1805" s="381" t="n">
        <x:f>SUMIFS('Wind Proxy'!$H$8:$H$19,'Wind Proxy'!$A$8:$A$19,'Estimator'!$B$4,'Wind Proxy'!$B$8:$B$19,C1805)</x:f>
        <x:v>0.12544802867383514</x:v>
      </x:c>
    </x:row>
    <x:row r="1806">
      <x:c r="A1806" s="379" t="n">
        <x:v>47457</x:v>
      </x:c>
      <x:c r="B1806" s="380" t="n">
        <x:v>2029</x:v>
      </x:c>
      <x:c r="C1806" s="380" t="n">
        <x:v>12</x:v>
      </x:c>
      <x:c r="D1806" s="380" t="str">
        <x:v>Dec</x:v>
      </x:c>
      <x:c r="E1806" s="380" t="n">
        <x:v>5</x:v>
      </x:c>
      <x:c r="F1806" s="380" t="n">
        <x:v>3</x:v>
      </x:c>
      <x:c r="G1806" s="380" t="n">
        <x:f>--(F1806&lt;='Estimator'!$B$7)</x:f>
        <x:v>1</x:v>
      </x:c>
      <x:c r="H1806" s="381" t="n">
        <x:f>SUMIFS('Climate Data'!$G$7:$G$366,'Climate Data'!$A$7:$A$366,'Estimator'!$B$4,'Climate Data'!$B$7:$B$366,C1806)</x:f>
        <x:v>0.2914349276974416</x:v>
      </x:c>
      <x:c r="I1806" s="382" t="n">
        <x:f>SUMIFS('Climate Data'!$H$7:$H$366,'Climate Data'!$A$7:$A$366,'Estimator'!$B$4,'Climate Data'!$B$7:$B$366,C1806)</x:f>
        <x:v>9.043129770992365</x:v>
      </x:c>
      <x:c r="J1806" s="381" t="n">
        <x:f>SUMIFS('Wind Proxy'!$H$8:$H$19,'Wind Proxy'!$A$8:$A$19,'Estimator'!$B$4,'Wind Proxy'!$B$8:$B$19,C1806)</x:f>
        <x:v>0.12544802867383514</x:v>
      </x:c>
    </x:row>
    <x:row r="1807">
      <x:c r="A1807" s="379" t="n">
        <x:v>47458</x:v>
      </x:c>
      <x:c r="B1807" s="380" t="n">
        <x:v>2029</x:v>
      </x:c>
      <x:c r="C1807" s="380" t="n">
        <x:v>12</x:v>
      </x:c>
      <x:c r="D1807" s="380" t="str">
        <x:v>Dec</x:v>
      </x:c>
      <x:c r="E1807" s="380" t="n">
        <x:v>6</x:v>
      </x:c>
      <x:c r="F1807" s="380" t="n">
        <x:v>4</x:v>
      </x:c>
      <x:c r="G1807" s="380" t="n">
        <x:f>--(F1807&lt;='Estimator'!$B$7)</x:f>
        <x:v>1</x:v>
      </x:c>
      <x:c r="H1807" s="381" t="n">
        <x:f>SUMIFS('Climate Data'!$G$7:$G$366,'Climate Data'!$A$7:$A$366,'Estimator'!$B$4,'Climate Data'!$B$7:$B$366,C1807)</x:f>
        <x:v>0.2914349276974416</x:v>
      </x:c>
      <x:c r="I1807" s="382" t="n">
        <x:f>SUMIFS('Climate Data'!$H$7:$H$366,'Climate Data'!$A$7:$A$366,'Estimator'!$B$4,'Climate Data'!$B$7:$B$366,C1807)</x:f>
        <x:v>9.043129770992365</x:v>
      </x:c>
      <x:c r="J1807" s="381" t="n">
        <x:f>SUMIFS('Wind Proxy'!$H$8:$H$19,'Wind Proxy'!$A$8:$A$19,'Estimator'!$B$4,'Wind Proxy'!$B$8:$B$19,C1807)</x:f>
        <x:v>0.12544802867383514</x:v>
      </x:c>
    </x:row>
    <x:row r="1808">
      <x:c r="A1808" s="379" t="n">
        <x:v>47459</x:v>
      </x:c>
      <x:c r="B1808" s="380" t="n">
        <x:v>2029</x:v>
      </x:c>
      <x:c r="C1808" s="380" t="n">
        <x:v>12</x:v>
      </x:c>
      <x:c r="D1808" s="380" t="str">
        <x:v>Dec</x:v>
      </x:c>
      <x:c r="E1808" s="380" t="n">
        <x:v>7</x:v>
      </x:c>
      <x:c r="F1808" s="380" t="n">
        <x:v>5</x:v>
      </x:c>
      <x:c r="G1808" s="380" t="n">
        <x:f>--(F1808&lt;='Estimator'!$B$7)</x:f>
        <x:v>1</x:v>
      </x:c>
      <x:c r="H1808" s="381" t="n">
        <x:f>SUMIFS('Climate Data'!$G$7:$G$366,'Climate Data'!$A$7:$A$366,'Estimator'!$B$4,'Climate Data'!$B$7:$B$366,C1808)</x:f>
        <x:v>0.2914349276974416</x:v>
      </x:c>
      <x:c r="I1808" s="382" t="n">
        <x:f>SUMIFS('Climate Data'!$H$7:$H$366,'Climate Data'!$A$7:$A$366,'Estimator'!$B$4,'Climate Data'!$B$7:$B$366,C1808)</x:f>
        <x:v>9.043129770992365</x:v>
      </x:c>
      <x:c r="J1808" s="381" t="n">
        <x:f>SUMIFS('Wind Proxy'!$H$8:$H$19,'Wind Proxy'!$A$8:$A$19,'Estimator'!$B$4,'Wind Proxy'!$B$8:$B$19,C1808)</x:f>
        <x:v>0.12544802867383514</x:v>
      </x:c>
    </x:row>
    <x:row r="1809">
      <x:c r="A1809" s="379" t="n">
        <x:v>47460</x:v>
      </x:c>
      <x:c r="B1809" s="380" t="n">
        <x:v>2029</x:v>
      </x:c>
      <x:c r="C1809" s="380" t="n">
        <x:v>12</x:v>
      </x:c>
      <x:c r="D1809" s="380" t="str">
        <x:v>Dec</x:v>
      </x:c>
      <x:c r="E1809" s="380" t="n">
        <x:v>8</x:v>
      </x:c>
      <x:c r="F1809" s="380" t="n">
        <x:v>6</x:v>
      </x:c>
      <x:c r="G1809" s="380" t="n">
        <x:f>--(F1809&lt;='Estimator'!$B$7)</x:f>
        <x:v>0</x:v>
      </x:c>
      <x:c r="H1809" s="381" t="n">
        <x:f>SUMIFS('Climate Data'!$G$7:$G$366,'Climate Data'!$A$7:$A$366,'Estimator'!$B$4,'Climate Data'!$B$7:$B$366,C1809)</x:f>
        <x:v>0.2914349276974416</x:v>
      </x:c>
      <x:c r="I1809" s="382" t="n">
        <x:f>SUMIFS('Climate Data'!$H$7:$H$366,'Climate Data'!$A$7:$A$366,'Estimator'!$B$4,'Climate Data'!$B$7:$B$366,C1809)</x:f>
        <x:v>9.043129770992365</x:v>
      </x:c>
      <x:c r="J1809" s="381" t="n">
        <x:f>SUMIFS('Wind Proxy'!$H$8:$H$19,'Wind Proxy'!$A$8:$A$19,'Estimator'!$B$4,'Wind Proxy'!$B$8:$B$19,C1809)</x:f>
        <x:v>0.12544802867383514</x:v>
      </x:c>
    </x:row>
    <x:row r="1810">
      <x:c r="A1810" s="379" t="n">
        <x:v>47461</x:v>
      </x:c>
      <x:c r="B1810" s="380" t="n">
        <x:v>2029</x:v>
      </x:c>
      <x:c r="C1810" s="380" t="n">
        <x:v>12</x:v>
      </x:c>
      <x:c r="D1810" s="380" t="str">
        <x:v>Dec</x:v>
      </x:c>
      <x:c r="E1810" s="380" t="n">
        <x:v>9</x:v>
      </x:c>
      <x:c r="F1810" s="380" t="n">
        <x:v>7</x:v>
      </x:c>
      <x:c r="G1810" s="380" t="n">
        <x:f>--(F1810&lt;='Estimator'!$B$7)</x:f>
        <x:v>0</x:v>
      </x:c>
      <x:c r="H1810" s="381" t="n">
        <x:f>SUMIFS('Climate Data'!$G$7:$G$366,'Climate Data'!$A$7:$A$366,'Estimator'!$B$4,'Climate Data'!$B$7:$B$366,C1810)</x:f>
        <x:v>0.2914349276974416</x:v>
      </x:c>
      <x:c r="I1810" s="382" t="n">
        <x:f>SUMIFS('Climate Data'!$H$7:$H$366,'Climate Data'!$A$7:$A$366,'Estimator'!$B$4,'Climate Data'!$B$7:$B$366,C1810)</x:f>
        <x:v>9.043129770992365</x:v>
      </x:c>
      <x:c r="J1810" s="381" t="n">
        <x:f>SUMIFS('Wind Proxy'!$H$8:$H$19,'Wind Proxy'!$A$8:$A$19,'Estimator'!$B$4,'Wind Proxy'!$B$8:$B$19,C1810)</x:f>
        <x:v>0.12544802867383514</x:v>
      </x:c>
    </x:row>
    <x:row r="1811">
      <x:c r="A1811" s="379" t="n">
        <x:v>47462</x:v>
      </x:c>
      <x:c r="B1811" s="380" t="n">
        <x:v>2029</x:v>
      </x:c>
      <x:c r="C1811" s="380" t="n">
        <x:v>12</x:v>
      </x:c>
      <x:c r="D1811" s="380" t="str">
        <x:v>Dec</x:v>
      </x:c>
      <x:c r="E1811" s="380" t="n">
        <x:v>10</x:v>
      </x:c>
      <x:c r="F1811" s="380" t="n">
        <x:v>1</x:v>
      </x:c>
      <x:c r="G1811" s="380" t="n">
        <x:f>--(F1811&lt;='Estimator'!$B$7)</x:f>
        <x:v>1</x:v>
      </x:c>
      <x:c r="H1811" s="381" t="n">
        <x:f>SUMIFS('Climate Data'!$G$7:$G$366,'Climate Data'!$A$7:$A$366,'Estimator'!$B$4,'Climate Data'!$B$7:$B$366,C1811)</x:f>
        <x:v>0.2914349276974416</x:v>
      </x:c>
      <x:c r="I1811" s="382" t="n">
        <x:f>SUMIFS('Climate Data'!$H$7:$H$366,'Climate Data'!$A$7:$A$366,'Estimator'!$B$4,'Climate Data'!$B$7:$B$366,C1811)</x:f>
        <x:v>9.043129770992365</x:v>
      </x:c>
      <x:c r="J1811" s="381" t="n">
        <x:f>SUMIFS('Wind Proxy'!$H$8:$H$19,'Wind Proxy'!$A$8:$A$19,'Estimator'!$B$4,'Wind Proxy'!$B$8:$B$19,C1811)</x:f>
        <x:v>0.12544802867383514</x:v>
      </x:c>
    </x:row>
    <x:row r="1812">
      <x:c r="A1812" s="379" t="n">
        <x:v>47463</x:v>
      </x:c>
      <x:c r="B1812" s="380" t="n">
        <x:v>2029</x:v>
      </x:c>
      <x:c r="C1812" s="380" t="n">
        <x:v>12</x:v>
      </x:c>
      <x:c r="D1812" s="380" t="str">
        <x:v>Dec</x:v>
      </x:c>
      <x:c r="E1812" s="380" t="n">
        <x:v>11</x:v>
      </x:c>
      <x:c r="F1812" s="380" t="n">
        <x:v>2</x:v>
      </x:c>
      <x:c r="G1812" s="380" t="n">
        <x:f>--(F1812&lt;='Estimator'!$B$7)</x:f>
        <x:v>1</x:v>
      </x:c>
      <x:c r="H1812" s="381" t="n">
        <x:f>SUMIFS('Climate Data'!$G$7:$G$366,'Climate Data'!$A$7:$A$366,'Estimator'!$B$4,'Climate Data'!$B$7:$B$366,C1812)</x:f>
        <x:v>0.2914349276974416</x:v>
      </x:c>
      <x:c r="I1812" s="382" t="n">
        <x:f>SUMIFS('Climate Data'!$H$7:$H$366,'Climate Data'!$A$7:$A$366,'Estimator'!$B$4,'Climate Data'!$B$7:$B$366,C1812)</x:f>
        <x:v>9.043129770992365</x:v>
      </x:c>
      <x:c r="J1812" s="381" t="n">
        <x:f>SUMIFS('Wind Proxy'!$H$8:$H$19,'Wind Proxy'!$A$8:$A$19,'Estimator'!$B$4,'Wind Proxy'!$B$8:$B$19,C1812)</x:f>
        <x:v>0.12544802867383514</x:v>
      </x:c>
    </x:row>
    <x:row r="1813">
      <x:c r="A1813" s="379" t="n">
        <x:v>47464</x:v>
      </x:c>
      <x:c r="B1813" s="380" t="n">
        <x:v>2029</x:v>
      </x:c>
      <x:c r="C1813" s="380" t="n">
        <x:v>12</x:v>
      </x:c>
      <x:c r="D1813" s="380" t="str">
        <x:v>Dec</x:v>
      </x:c>
      <x:c r="E1813" s="380" t="n">
        <x:v>12</x:v>
      </x:c>
      <x:c r="F1813" s="380" t="n">
        <x:v>3</x:v>
      </x:c>
      <x:c r="G1813" s="380" t="n">
        <x:f>--(F1813&lt;='Estimator'!$B$7)</x:f>
        <x:v>1</x:v>
      </x:c>
      <x:c r="H1813" s="381" t="n">
        <x:f>SUMIFS('Climate Data'!$G$7:$G$366,'Climate Data'!$A$7:$A$366,'Estimator'!$B$4,'Climate Data'!$B$7:$B$366,C1813)</x:f>
        <x:v>0.2914349276974416</x:v>
      </x:c>
      <x:c r="I1813" s="382" t="n">
        <x:f>SUMIFS('Climate Data'!$H$7:$H$366,'Climate Data'!$A$7:$A$366,'Estimator'!$B$4,'Climate Data'!$B$7:$B$366,C1813)</x:f>
        <x:v>9.043129770992365</x:v>
      </x:c>
      <x:c r="J1813" s="381" t="n">
        <x:f>SUMIFS('Wind Proxy'!$H$8:$H$19,'Wind Proxy'!$A$8:$A$19,'Estimator'!$B$4,'Wind Proxy'!$B$8:$B$19,C1813)</x:f>
        <x:v>0.12544802867383514</x:v>
      </x:c>
    </x:row>
    <x:row r="1814">
      <x:c r="A1814" s="379" t="n">
        <x:v>47465</x:v>
      </x:c>
      <x:c r="B1814" s="380" t="n">
        <x:v>2029</x:v>
      </x:c>
      <x:c r="C1814" s="380" t="n">
        <x:v>12</x:v>
      </x:c>
      <x:c r="D1814" s="380" t="str">
        <x:v>Dec</x:v>
      </x:c>
      <x:c r="E1814" s="380" t="n">
        <x:v>13</x:v>
      </x:c>
      <x:c r="F1814" s="380" t="n">
        <x:v>4</x:v>
      </x:c>
      <x:c r="G1814" s="380" t="n">
        <x:f>--(F1814&lt;='Estimator'!$B$7)</x:f>
        <x:v>1</x:v>
      </x:c>
      <x:c r="H1814" s="381" t="n">
        <x:f>SUMIFS('Climate Data'!$G$7:$G$366,'Climate Data'!$A$7:$A$366,'Estimator'!$B$4,'Climate Data'!$B$7:$B$366,C1814)</x:f>
        <x:v>0.2914349276974416</x:v>
      </x:c>
      <x:c r="I1814" s="382" t="n">
        <x:f>SUMIFS('Climate Data'!$H$7:$H$366,'Climate Data'!$A$7:$A$366,'Estimator'!$B$4,'Climate Data'!$B$7:$B$366,C1814)</x:f>
        <x:v>9.043129770992365</x:v>
      </x:c>
      <x:c r="J1814" s="381" t="n">
        <x:f>SUMIFS('Wind Proxy'!$H$8:$H$19,'Wind Proxy'!$A$8:$A$19,'Estimator'!$B$4,'Wind Proxy'!$B$8:$B$19,C1814)</x:f>
        <x:v>0.12544802867383514</x:v>
      </x:c>
    </x:row>
    <x:row r="1815">
      <x:c r="A1815" s="379" t="n">
        <x:v>47466</x:v>
      </x:c>
      <x:c r="B1815" s="380" t="n">
        <x:v>2029</x:v>
      </x:c>
      <x:c r="C1815" s="380" t="n">
        <x:v>12</x:v>
      </x:c>
      <x:c r="D1815" s="380" t="str">
        <x:v>Dec</x:v>
      </x:c>
      <x:c r="E1815" s="380" t="n">
        <x:v>14</x:v>
      </x:c>
      <x:c r="F1815" s="380" t="n">
        <x:v>5</x:v>
      </x:c>
      <x:c r="G1815" s="380" t="n">
        <x:f>--(F1815&lt;='Estimator'!$B$7)</x:f>
        <x:v>1</x:v>
      </x:c>
      <x:c r="H1815" s="381" t="n">
        <x:f>SUMIFS('Climate Data'!$G$7:$G$366,'Climate Data'!$A$7:$A$366,'Estimator'!$B$4,'Climate Data'!$B$7:$B$366,C1815)</x:f>
        <x:v>0.2914349276974416</x:v>
      </x:c>
      <x:c r="I1815" s="382" t="n">
        <x:f>SUMIFS('Climate Data'!$H$7:$H$366,'Climate Data'!$A$7:$A$366,'Estimator'!$B$4,'Climate Data'!$B$7:$B$366,C1815)</x:f>
        <x:v>9.043129770992365</x:v>
      </x:c>
      <x:c r="J1815" s="381" t="n">
        <x:f>SUMIFS('Wind Proxy'!$H$8:$H$19,'Wind Proxy'!$A$8:$A$19,'Estimator'!$B$4,'Wind Proxy'!$B$8:$B$19,C1815)</x:f>
        <x:v>0.12544802867383514</x:v>
      </x:c>
    </x:row>
    <x:row r="1816">
      <x:c r="A1816" s="379" t="n">
        <x:v>47467</x:v>
      </x:c>
      <x:c r="B1816" s="380" t="n">
        <x:v>2029</x:v>
      </x:c>
      <x:c r="C1816" s="380" t="n">
        <x:v>12</x:v>
      </x:c>
      <x:c r="D1816" s="380" t="str">
        <x:v>Dec</x:v>
      </x:c>
      <x:c r="E1816" s="380" t="n">
        <x:v>15</x:v>
      </x:c>
      <x:c r="F1816" s="380" t="n">
        <x:v>6</x:v>
      </x:c>
      <x:c r="G1816" s="380" t="n">
        <x:f>--(F1816&lt;='Estimator'!$B$7)</x:f>
        <x:v>0</x:v>
      </x:c>
      <x:c r="H1816" s="381" t="n">
        <x:f>SUMIFS('Climate Data'!$G$7:$G$366,'Climate Data'!$A$7:$A$366,'Estimator'!$B$4,'Climate Data'!$B$7:$B$366,C1816)</x:f>
        <x:v>0.2914349276974416</x:v>
      </x:c>
      <x:c r="I1816" s="382" t="n">
        <x:f>SUMIFS('Climate Data'!$H$7:$H$366,'Climate Data'!$A$7:$A$366,'Estimator'!$B$4,'Climate Data'!$B$7:$B$366,C1816)</x:f>
        <x:v>9.043129770992365</x:v>
      </x:c>
      <x:c r="J1816" s="381" t="n">
        <x:f>SUMIFS('Wind Proxy'!$H$8:$H$19,'Wind Proxy'!$A$8:$A$19,'Estimator'!$B$4,'Wind Proxy'!$B$8:$B$19,C1816)</x:f>
        <x:v>0.12544802867383514</x:v>
      </x:c>
    </x:row>
    <x:row r="1817">
      <x:c r="A1817" s="379" t="n">
        <x:v>47468</x:v>
      </x:c>
      <x:c r="B1817" s="380" t="n">
        <x:v>2029</x:v>
      </x:c>
      <x:c r="C1817" s="380" t="n">
        <x:v>12</x:v>
      </x:c>
      <x:c r="D1817" s="380" t="str">
        <x:v>Dec</x:v>
      </x:c>
      <x:c r="E1817" s="380" t="n">
        <x:v>16</x:v>
      </x:c>
      <x:c r="F1817" s="380" t="n">
        <x:v>7</x:v>
      </x:c>
      <x:c r="G1817" s="380" t="n">
        <x:f>--(F1817&lt;='Estimator'!$B$7)</x:f>
        <x:v>0</x:v>
      </x:c>
      <x:c r="H1817" s="381" t="n">
        <x:f>SUMIFS('Climate Data'!$G$7:$G$366,'Climate Data'!$A$7:$A$366,'Estimator'!$B$4,'Climate Data'!$B$7:$B$366,C1817)</x:f>
        <x:v>0.2914349276974416</x:v>
      </x:c>
      <x:c r="I1817" s="382" t="n">
        <x:f>SUMIFS('Climate Data'!$H$7:$H$366,'Climate Data'!$A$7:$A$366,'Estimator'!$B$4,'Climate Data'!$B$7:$B$366,C1817)</x:f>
        <x:v>9.043129770992365</x:v>
      </x:c>
      <x:c r="J1817" s="381" t="n">
        <x:f>SUMIFS('Wind Proxy'!$H$8:$H$19,'Wind Proxy'!$A$8:$A$19,'Estimator'!$B$4,'Wind Proxy'!$B$8:$B$19,C1817)</x:f>
        <x:v>0.12544802867383514</x:v>
      </x:c>
    </x:row>
    <x:row r="1818">
      <x:c r="A1818" s="379" t="n">
        <x:v>47469</x:v>
      </x:c>
      <x:c r="B1818" s="380" t="n">
        <x:v>2029</x:v>
      </x:c>
      <x:c r="C1818" s="380" t="n">
        <x:v>12</x:v>
      </x:c>
      <x:c r="D1818" s="380" t="str">
        <x:v>Dec</x:v>
      </x:c>
      <x:c r="E1818" s="380" t="n">
        <x:v>17</x:v>
      </x:c>
      <x:c r="F1818" s="380" t="n">
        <x:v>1</x:v>
      </x:c>
      <x:c r="G1818" s="380" t="n">
        <x:f>--(F1818&lt;='Estimator'!$B$7)</x:f>
        <x:v>1</x:v>
      </x:c>
      <x:c r="H1818" s="381" t="n">
        <x:f>SUMIFS('Climate Data'!$G$7:$G$366,'Climate Data'!$A$7:$A$366,'Estimator'!$B$4,'Climate Data'!$B$7:$B$366,C1818)</x:f>
        <x:v>0.2914349276974416</x:v>
      </x:c>
      <x:c r="I1818" s="382" t="n">
        <x:f>SUMIFS('Climate Data'!$H$7:$H$366,'Climate Data'!$A$7:$A$366,'Estimator'!$B$4,'Climate Data'!$B$7:$B$366,C1818)</x:f>
        <x:v>9.043129770992365</x:v>
      </x:c>
      <x:c r="J1818" s="381" t="n">
        <x:f>SUMIFS('Wind Proxy'!$H$8:$H$19,'Wind Proxy'!$A$8:$A$19,'Estimator'!$B$4,'Wind Proxy'!$B$8:$B$19,C1818)</x:f>
        <x:v>0.12544802867383514</x:v>
      </x:c>
    </x:row>
    <x:row r="1819">
      <x:c r="A1819" s="379" t="n">
        <x:v>47470</x:v>
      </x:c>
      <x:c r="B1819" s="380" t="n">
        <x:v>2029</x:v>
      </x:c>
      <x:c r="C1819" s="380" t="n">
        <x:v>12</x:v>
      </x:c>
      <x:c r="D1819" s="380" t="str">
        <x:v>Dec</x:v>
      </x:c>
      <x:c r="E1819" s="380" t="n">
        <x:v>18</x:v>
      </x:c>
      <x:c r="F1819" s="380" t="n">
        <x:v>2</x:v>
      </x:c>
      <x:c r="G1819" s="380" t="n">
        <x:f>--(F1819&lt;='Estimator'!$B$7)</x:f>
        <x:v>1</x:v>
      </x:c>
      <x:c r="H1819" s="381" t="n">
        <x:f>SUMIFS('Climate Data'!$G$7:$G$366,'Climate Data'!$A$7:$A$366,'Estimator'!$B$4,'Climate Data'!$B$7:$B$366,C1819)</x:f>
        <x:v>0.2914349276974416</x:v>
      </x:c>
      <x:c r="I1819" s="382" t="n">
        <x:f>SUMIFS('Climate Data'!$H$7:$H$366,'Climate Data'!$A$7:$A$366,'Estimator'!$B$4,'Climate Data'!$B$7:$B$366,C1819)</x:f>
        <x:v>9.043129770992365</x:v>
      </x:c>
      <x:c r="J1819" s="381" t="n">
        <x:f>SUMIFS('Wind Proxy'!$H$8:$H$19,'Wind Proxy'!$A$8:$A$19,'Estimator'!$B$4,'Wind Proxy'!$B$8:$B$19,C1819)</x:f>
        <x:v>0.12544802867383514</x:v>
      </x:c>
    </x:row>
    <x:row r="1820">
      <x:c r="A1820" s="379" t="n">
        <x:v>47471</x:v>
      </x:c>
      <x:c r="B1820" s="380" t="n">
        <x:v>2029</x:v>
      </x:c>
      <x:c r="C1820" s="380" t="n">
        <x:v>12</x:v>
      </x:c>
      <x:c r="D1820" s="380" t="str">
        <x:v>Dec</x:v>
      </x:c>
      <x:c r="E1820" s="380" t="n">
        <x:v>19</x:v>
      </x:c>
      <x:c r="F1820" s="380" t="n">
        <x:v>3</x:v>
      </x:c>
      <x:c r="G1820" s="380" t="n">
        <x:f>--(F1820&lt;='Estimator'!$B$7)</x:f>
        <x:v>1</x:v>
      </x:c>
      <x:c r="H1820" s="381" t="n">
        <x:f>SUMIFS('Climate Data'!$G$7:$G$366,'Climate Data'!$A$7:$A$366,'Estimator'!$B$4,'Climate Data'!$B$7:$B$366,C1820)</x:f>
        <x:v>0.2914349276974416</x:v>
      </x:c>
      <x:c r="I1820" s="382" t="n">
        <x:f>SUMIFS('Climate Data'!$H$7:$H$366,'Climate Data'!$A$7:$A$366,'Estimator'!$B$4,'Climate Data'!$B$7:$B$366,C1820)</x:f>
        <x:v>9.043129770992365</x:v>
      </x:c>
      <x:c r="J1820" s="381" t="n">
        <x:f>SUMIFS('Wind Proxy'!$H$8:$H$19,'Wind Proxy'!$A$8:$A$19,'Estimator'!$B$4,'Wind Proxy'!$B$8:$B$19,C1820)</x:f>
        <x:v>0.12544802867383514</x:v>
      </x:c>
    </x:row>
    <x:row r="1821">
      <x:c r="A1821" s="379" t="n">
        <x:v>47472</x:v>
      </x:c>
      <x:c r="B1821" s="380" t="n">
        <x:v>2029</x:v>
      </x:c>
      <x:c r="C1821" s="380" t="n">
        <x:v>12</x:v>
      </x:c>
      <x:c r="D1821" s="380" t="str">
        <x:v>Dec</x:v>
      </x:c>
      <x:c r="E1821" s="380" t="n">
        <x:v>20</x:v>
      </x:c>
      <x:c r="F1821" s="380" t="n">
        <x:v>4</x:v>
      </x:c>
      <x:c r="G1821" s="380" t="n">
        <x:f>--(F1821&lt;='Estimator'!$B$7)</x:f>
        <x:v>1</x:v>
      </x:c>
      <x:c r="H1821" s="381" t="n">
        <x:f>SUMIFS('Climate Data'!$G$7:$G$366,'Climate Data'!$A$7:$A$366,'Estimator'!$B$4,'Climate Data'!$B$7:$B$366,C1821)</x:f>
        <x:v>0.2914349276974416</x:v>
      </x:c>
      <x:c r="I1821" s="382" t="n">
        <x:f>SUMIFS('Climate Data'!$H$7:$H$366,'Climate Data'!$A$7:$A$366,'Estimator'!$B$4,'Climate Data'!$B$7:$B$366,C1821)</x:f>
        <x:v>9.043129770992365</x:v>
      </x:c>
      <x:c r="J1821" s="381" t="n">
        <x:f>SUMIFS('Wind Proxy'!$H$8:$H$19,'Wind Proxy'!$A$8:$A$19,'Estimator'!$B$4,'Wind Proxy'!$B$8:$B$19,C1821)</x:f>
        <x:v>0.12544802867383514</x:v>
      </x:c>
    </x:row>
    <x:row r="1822">
      <x:c r="A1822" s="379" t="n">
        <x:v>47473</x:v>
      </x:c>
      <x:c r="B1822" s="380" t="n">
        <x:v>2029</x:v>
      </x:c>
      <x:c r="C1822" s="380" t="n">
        <x:v>12</x:v>
      </x:c>
      <x:c r="D1822" s="380" t="str">
        <x:v>Dec</x:v>
      </x:c>
      <x:c r="E1822" s="380" t="n">
        <x:v>21</x:v>
      </x:c>
      <x:c r="F1822" s="380" t="n">
        <x:v>5</x:v>
      </x:c>
      <x:c r="G1822" s="380" t="n">
        <x:f>--(F1822&lt;='Estimator'!$B$7)</x:f>
        <x:v>1</x:v>
      </x:c>
      <x:c r="H1822" s="381" t="n">
        <x:f>SUMIFS('Climate Data'!$G$7:$G$366,'Climate Data'!$A$7:$A$366,'Estimator'!$B$4,'Climate Data'!$B$7:$B$366,C1822)</x:f>
        <x:v>0.2914349276974416</x:v>
      </x:c>
      <x:c r="I1822" s="382" t="n">
        <x:f>SUMIFS('Climate Data'!$H$7:$H$366,'Climate Data'!$A$7:$A$366,'Estimator'!$B$4,'Climate Data'!$B$7:$B$366,C1822)</x:f>
        <x:v>9.043129770992365</x:v>
      </x:c>
      <x:c r="J1822" s="381" t="n">
        <x:f>SUMIFS('Wind Proxy'!$H$8:$H$19,'Wind Proxy'!$A$8:$A$19,'Estimator'!$B$4,'Wind Proxy'!$B$8:$B$19,C1822)</x:f>
        <x:v>0.12544802867383514</x:v>
      </x:c>
    </x:row>
    <x:row r="1823">
      <x:c r="A1823" s="379" t="n">
        <x:v>47474</x:v>
      </x:c>
      <x:c r="B1823" s="380" t="n">
        <x:v>2029</x:v>
      </x:c>
      <x:c r="C1823" s="380" t="n">
        <x:v>12</x:v>
      </x:c>
      <x:c r="D1823" s="380" t="str">
        <x:v>Dec</x:v>
      </x:c>
      <x:c r="E1823" s="380" t="n">
        <x:v>22</x:v>
      </x:c>
      <x:c r="F1823" s="380" t="n">
        <x:v>6</x:v>
      </x:c>
      <x:c r="G1823" s="380" t="n">
        <x:f>--(F1823&lt;='Estimator'!$B$7)</x:f>
        <x:v>0</x:v>
      </x:c>
      <x:c r="H1823" s="381" t="n">
        <x:f>SUMIFS('Climate Data'!$G$7:$G$366,'Climate Data'!$A$7:$A$366,'Estimator'!$B$4,'Climate Data'!$B$7:$B$366,C1823)</x:f>
        <x:v>0.2914349276974416</x:v>
      </x:c>
      <x:c r="I1823" s="382" t="n">
        <x:f>SUMIFS('Climate Data'!$H$7:$H$366,'Climate Data'!$A$7:$A$366,'Estimator'!$B$4,'Climate Data'!$B$7:$B$366,C1823)</x:f>
        <x:v>9.043129770992365</x:v>
      </x:c>
      <x:c r="J1823" s="381" t="n">
        <x:f>SUMIFS('Wind Proxy'!$H$8:$H$19,'Wind Proxy'!$A$8:$A$19,'Estimator'!$B$4,'Wind Proxy'!$B$8:$B$19,C1823)</x:f>
        <x:v>0.12544802867383514</x:v>
      </x:c>
    </x:row>
    <x:row r="1824">
      <x:c r="A1824" s="379" t="n">
        <x:v>47475</x:v>
      </x:c>
      <x:c r="B1824" s="380" t="n">
        <x:v>2029</x:v>
      </x:c>
      <x:c r="C1824" s="380" t="n">
        <x:v>12</x:v>
      </x:c>
      <x:c r="D1824" s="380" t="str">
        <x:v>Dec</x:v>
      </x:c>
      <x:c r="E1824" s="380" t="n">
        <x:v>23</x:v>
      </x:c>
      <x:c r="F1824" s="380" t="n">
        <x:v>7</x:v>
      </x:c>
      <x:c r="G1824" s="380" t="n">
        <x:f>--(F1824&lt;='Estimator'!$B$7)</x:f>
        <x:v>0</x:v>
      </x:c>
      <x:c r="H1824" s="381" t="n">
        <x:f>SUMIFS('Climate Data'!$G$7:$G$366,'Climate Data'!$A$7:$A$366,'Estimator'!$B$4,'Climate Data'!$B$7:$B$366,C1824)</x:f>
        <x:v>0.2914349276974416</x:v>
      </x:c>
      <x:c r="I1824" s="382" t="n">
        <x:f>SUMIFS('Climate Data'!$H$7:$H$366,'Climate Data'!$A$7:$A$366,'Estimator'!$B$4,'Climate Data'!$B$7:$B$366,C1824)</x:f>
        <x:v>9.043129770992365</x:v>
      </x:c>
      <x:c r="J1824" s="381" t="n">
        <x:f>SUMIFS('Wind Proxy'!$H$8:$H$19,'Wind Proxy'!$A$8:$A$19,'Estimator'!$B$4,'Wind Proxy'!$B$8:$B$19,C1824)</x:f>
        <x:v>0.12544802867383514</x:v>
      </x:c>
    </x:row>
    <x:row r="1825">
      <x:c r="A1825" s="379" t="n">
        <x:v>47476</x:v>
      </x:c>
      <x:c r="B1825" s="380" t="n">
        <x:v>2029</x:v>
      </x:c>
      <x:c r="C1825" s="380" t="n">
        <x:v>12</x:v>
      </x:c>
      <x:c r="D1825" s="380" t="str">
        <x:v>Dec</x:v>
      </x:c>
      <x:c r="E1825" s="380" t="n">
        <x:v>24</x:v>
      </x:c>
      <x:c r="F1825" s="380" t="n">
        <x:v>1</x:v>
      </x:c>
      <x:c r="G1825" s="380" t="n">
        <x:f>--(F1825&lt;='Estimator'!$B$7)</x:f>
        <x:v>1</x:v>
      </x:c>
      <x:c r="H1825" s="381" t="n">
        <x:f>SUMIFS('Climate Data'!$G$7:$G$366,'Climate Data'!$A$7:$A$366,'Estimator'!$B$4,'Climate Data'!$B$7:$B$366,C1825)</x:f>
        <x:v>0.2914349276974416</x:v>
      </x:c>
      <x:c r="I1825" s="382" t="n">
        <x:f>SUMIFS('Climate Data'!$H$7:$H$366,'Climate Data'!$A$7:$A$366,'Estimator'!$B$4,'Climate Data'!$B$7:$B$366,C1825)</x:f>
        <x:v>9.043129770992365</x:v>
      </x:c>
      <x:c r="J1825" s="381" t="n">
        <x:f>SUMIFS('Wind Proxy'!$H$8:$H$19,'Wind Proxy'!$A$8:$A$19,'Estimator'!$B$4,'Wind Proxy'!$B$8:$B$19,C1825)</x:f>
        <x:v>0.12544802867383514</x:v>
      </x:c>
    </x:row>
    <x:row r="1826">
      <x:c r="A1826" s="379" t="n">
        <x:v>47477</x:v>
      </x:c>
      <x:c r="B1826" s="380" t="n">
        <x:v>2029</x:v>
      </x:c>
      <x:c r="C1826" s="380" t="n">
        <x:v>12</x:v>
      </x:c>
      <x:c r="D1826" s="380" t="str">
        <x:v>Dec</x:v>
      </x:c>
      <x:c r="E1826" s="380" t="n">
        <x:v>25</x:v>
      </x:c>
      <x:c r="F1826" s="380" t="n">
        <x:v>2</x:v>
      </x:c>
      <x:c r="G1826" s="380" t="n">
        <x:f>--(F1826&lt;='Estimator'!$B$7)</x:f>
        <x:v>1</x:v>
      </x:c>
      <x:c r="H1826" s="381" t="n">
        <x:f>SUMIFS('Climate Data'!$G$7:$G$366,'Climate Data'!$A$7:$A$366,'Estimator'!$B$4,'Climate Data'!$B$7:$B$366,C1826)</x:f>
        <x:v>0.2914349276974416</x:v>
      </x:c>
      <x:c r="I1826" s="382" t="n">
        <x:f>SUMIFS('Climate Data'!$H$7:$H$366,'Climate Data'!$A$7:$A$366,'Estimator'!$B$4,'Climate Data'!$B$7:$B$366,C1826)</x:f>
        <x:v>9.043129770992365</x:v>
      </x:c>
      <x:c r="J1826" s="381" t="n">
        <x:f>SUMIFS('Wind Proxy'!$H$8:$H$19,'Wind Proxy'!$A$8:$A$19,'Estimator'!$B$4,'Wind Proxy'!$B$8:$B$19,C1826)</x:f>
        <x:v>0.12544802867383514</x:v>
      </x:c>
    </x:row>
    <x:row r="1827">
      <x:c r="A1827" s="379" t="n">
        <x:v>47478</x:v>
      </x:c>
      <x:c r="B1827" s="380" t="n">
        <x:v>2029</x:v>
      </x:c>
      <x:c r="C1827" s="380" t="n">
        <x:v>12</x:v>
      </x:c>
      <x:c r="D1827" s="380" t="str">
        <x:v>Dec</x:v>
      </x:c>
      <x:c r="E1827" s="380" t="n">
        <x:v>26</x:v>
      </x:c>
      <x:c r="F1827" s="380" t="n">
        <x:v>3</x:v>
      </x:c>
      <x:c r="G1827" s="380" t="n">
        <x:f>--(F1827&lt;='Estimator'!$B$7)</x:f>
        <x:v>1</x:v>
      </x:c>
      <x:c r="H1827" s="381" t="n">
        <x:f>SUMIFS('Climate Data'!$G$7:$G$366,'Climate Data'!$A$7:$A$366,'Estimator'!$B$4,'Climate Data'!$B$7:$B$366,C1827)</x:f>
        <x:v>0.2914349276974416</x:v>
      </x:c>
      <x:c r="I1827" s="382" t="n">
        <x:f>SUMIFS('Climate Data'!$H$7:$H$366,'Climate Data'!$A$7:$A$366,'Estimator'!$B$4,'Climate Data'!$B$7:$B$366,C1827)</x:f>
        <x:v>9.043129770992365</x:v>
      </x:c>
      <x:c r="J1827" s="381" t="n">
        <x:f>SUMIFS('Wind Proxy'!$H$8:$H$19,'Wind Proxy'!$A$8:$A$19,'Estimator'!$B$4,'Wind Proxy'!$B$8:$B$19,C1827)</x:f>
        <x:v>0.12544802867383514</x:v>
      </x:c>
    </x:row>
    <x:row r="1828">
      <x:c r="A1828" s="379" t="n">
        <x:v>47479</x:v>
      </x:c>
      <x:c r="B1828" s="380" t="n">
        <x:v>2029</x:v>
      </x:c>
      <x:c r="C1828" s="380" t="n">
        <x:v>12</x:v>
      </x:c>
      <x:c r="D1828" s="380" t="str">
        <x:v>Dec</x:v>
      </x:c>
      <x:c r="E1828" s="380" t="n">
        <x:v>27</x:v>
      </x:c>
      <x:c r="F1828" s="380" t="n">
        <x:v>4</x:v>
      </x:c>
      <x:c r="G1828" s="380" t="n">
        <x:f>--(F1828&lt;='Estimator'!$B$7)</x:f>
        <x:v>1</x:v>
      </x:c>
      <x:c r="H1828" s="381" t="n">
        <x:f>SUMIFS('Climate Data'!$G$7:$G$366,'Climate Data'!$A$7:$A$366,'Estimator'!$B$4,'Climate Data'!$B$7:$B$366,C1828)</x:f>
        <x:v>0.2914349276974416</x:v>
      </x:c>
      <x:c r="I1828" s="382" t="n">
        <x:f>SUMIFS('Climate Data'!$H$7:$H$366,'Climate Data'!$A$7:$A$366,'Estimator'!$B$4,'Climate Data'!$B$7:$B$366,C1828)</x:f>
        <x:v>9.043129770992365</x:v>
      </x:c>
      <x:c r="J1828" s="381" t="n">
        <x:f>SUMIFS('Wind Proxy'!$H$8:$H$19,'Wind Proxy'!$A$8:$A$19,'Estimator'!$B$4,'Wind Proxy'!$B$8:$B$19,C1828)</x:f>
        <x:v>0.12544802867383514</x:v>
      </x:c>
    </x:row>
    <x:row r="1829">
      <x:c r="A1829" s="379" t="n">
        <x:v>47480</x:v>
      </x:c>
      <x:c r="B1829" s="380" t="n">
        <x:v>2029</x:v>
      </x:c>
      <x:c r="C1829" s="380" t="n">
        <x:v>12</x:v>
      </x:c>
      <x:c r="D1829" s="380" t="str">
        <x:v>Dec</x:v>
      </x:c>
      <x:c r="E1829" s="380" t="n">
        <x:v>28</x:v>
      </x:c>
      <x:c r="F1829" s="380" t="n">
        <x:v>5</x:v>
      </x:c>
      <x:c r="G1829" s="380" t="n">
        <x:f>--(F1829&lt;='Estimator'!$B$7)</x:f>
        <x:v>1</x:v>
      </x:c>
      <x:c r="H1829" s="381" t="n">
        <x:f>SUMIFS('Climate Data'!$G$7:$G$366,'Climate Data'!$A$7:$A$366,'Estimator'!$B$4,'Climate Data'!$B$7:$B$366,C1829)</x:f>
        <x:v>0.2914349276974416</x:v>
      </x:c>
      <x:c r="I1829" s="382" t="n">
        <x:f>SUMIFS('Climate Data'!$H$7:$H$366,'Climate Data'!$A$7:$A$366,'Estimator'!$B$4,'Climate Data'!$B$7:$B$366,C1829)</x:f>
        <x:v>9.043129770992365</x:v>
      </x:c>
      <x:c r="J1829" s="381" t="n">
        <x:f>SUMIFS('Wind Proxy'!$H$8:$H$19,'Wind Proxy'!$A$8:$A$19,'Estimator'!$B$4,'Wind Proxy'!$B$8:$B$19,C1829)</x:f>
        <x:v>0.12544802867383514</x:v>
      </x:c>
    </x:row>
    <x:row r="1830">
      <x:c r="A1830" s="379" t="n">
        <x:v>47481</x:v>
      </x:c>
      <x:c r="B1830" s="380" t="n">
        <x:v>2029</x:v>
      </x:c>
      <x:c r="C1830" s="380" t="n">
        <x:v>12</x:v>
      </x:c>
      <x:c r="D1830" s="380" t="str">
        <x:v>Dec</x:v>
      </x:c>
      <x:c r="E1830" s="380" t="n">
        <x:v>29</x:v>
      </x:c>
      <x:c r="F1830" s="380" t="n">
        <x:v>6</x:v>
      </x:c>
      <x:c r="G1830" s="380" t="n">
        <x:f>--(F1830&lt;='Estimator'!$B$7)</x:f>
        <x:v>0</x:v>
      </x:c>
      <x:c r="H1830" s="381" t="n">
        <x:f>SUMIFS('Climate Data'!$G$7:$G$366,'Climate Data'!$A$7:$A$366,'Estimator'!$B$4,'Climate Data'!$B$7:$B$366,C1830)</x:f>
        <x:v>0.2914349276974416</x:v>
      </x:c>
      <x:c r="I1830" s="382" t="n">
        <x:f>SUMIFS('Climate Data'!$H$7:$H$366,'Climate Data'!$A$7:$A$366,'Estimator'!$B$4,'Climate Data'!$B$7:$B$366,C1830)</x:f>
        <x:v>9.043129770992365</x:v>
      </x:c>
      <x:c r="J1830" s="381" t="n">
        <x:f>SUMIFS('Wind Proxy'!$H$8:$H$19,'Wind Proxy'!$A$8:$A$19,'Estimator'!$B$4,'Wind Proxy'!$B$8:$B$19,C1830)</x:f>
        <x:v>0.12544802867383514</x:v>
      </x:c>
    </x:row>
    <x:row r="1831">
      <x:c r="A1831" s="379" t="n">
        <x:v>47482</x:v>
      </x:c>
      <x:c r="B1831" s="380" t="n">
        <x:v>2029</x:v>
      </x:c>
      <x:c r="C1831" s="380" t="n">
        <x:v>12</x:v>
      </x:c>
      <x:c r="D1831" s="380" t="str">
        <x:v>Dec</x:v>
      </x:c>
      <x:c r="E1831" s="380" t="n">
        <x:v>30</x:v>
      </x:c>
      <x:c r="F1831" s="380" t="n">
        <x:v>7</x:v>
      </x:c>
      <x:c r="G1831" s="380" t="n">
        <x:f>--(F1831&lt;='Estimator'!$B$7)</x:f>
        <x:v>0</x:v>
      </x:c>
      <x:c r="H1831" s="381" t="n">
        <x:f>SUMIFS('Climate Data'!$G$7:$G$366,'Climate Data'!$A$7:$A$366,'Estimator'!$B$4,'Climate Data'!$B$7:$B$366,C1831)</x:f>
        <x:v>0.2914349276974416</x:v>
      </x:c>
      <x:c r="I1831" s="382" t="n">
        <x:f>SUMIFS('Climate Data'!$H$7:$H$366,'Climate Data'!$A$7:$A$366,'Estimator'!$B$4,'Climate Data'!$B$7:$B$366,C1831)</x:f>
        <x:v>9.043129770992365</x:v>
      </x:c>
      <x:c r="J1831" s="381" t="n">
        <x:f>SUMIFS('Wind Proxy'!$H$8:$H$19,'Wind Proxy'!$A$8:$A$19,'Estimator'!$B$4,'Wind Proxy'!$B$8:$B$19,C1831)</x:f>
        <x:v>0.12544802867383514</x:v>
      </x:c>
    </x:row>
    <x:row r="1832">
      <x:c r="A1832" s="379" t="n">
        <x:v>47483</x:v>
      </x:c>
      <x:c r="B1832" s="380" t="n">
        <x:v>2029</x:v>
      </x:c>
      <x:c r="C1832" s="380" t="n">
        <x:v>12</x:v>
      </x:c>
      <x:c r="D1832" s="380" t="str">
        <x:v>Dec</x:v>
      </x:c>
      <x:c r="E1832" s="380" t="n">
        <x:v>31</x:v>
      </x:c>
      <x:c r="F1832" s="380" t="n">
        <x:v>1</x:v>
      </x:c>
      <x:c r="G1832" s="380" t="n">
        <x:f>--(F1832&lt;='Estimator'!$B$7)</x:f>
        <x:v>1</x:v>
      </x:c>
      <x:c r="H1832" s="381" t="n">
        <x:f>SUMIFS('Climate Data'!$G$7:$G$366,'Climate Data'!$A$7:$A$366,'Estimator'!$B$4,'Climate Data'!$B$7:$B$366,C1832)</x:f>
        <x:v>0.2914349276974416</x:v>
      </x:c>
      <x:c r="I1832" s="382" t="n">
        <x:f>SUMIFS('Climate Data'!$H$7:$H$366,'Climate Data'!$A$7:$A$366,'Estimator'!$B$4,'Climate Data'!$B$7:$B$366,C1832)</x:f>
        <x:v>9.043129770992365</x:v>
      </x:c>
      <x:c r="J1832" s="381" t="n">
        <x:f>SUMIFS('Wind Proxy'!$H$8:$H$19,'Wind Proxy'!$A$8:$A$19,'Estimator'!$B$4,'Wind Proxy'!$B$8:$B$19,C1832)</x:f>
        <x:v>0.12544802867383514</x:v>
      </x:c>
    </x:row>
    <x:row r="1833">
      <x:c r="A1833" s="379" t="n">
        <x:v>47484</x:v>
      </x:c>
      <x:c r="B1833" s="380" t="n">
        <x:v>2030</x:v>
      </x:c>
      <x:c r="C1833" s="380" t="n">
        <x:v>1</x:v>
      </x:c>
      <x:c r="D1833" s="380" t="str">
        <x:v>Jan</x:v>
      </x:c>
      <x:c r="E1833" s="380" t="n">
        <x:v>1</x:v>
      </x:c>
      <x:c r="F1833" s="380" t="n">
        <x:v>2</x:v>
      </x:c>
      <x:c r="G1833" s="380" t="n">
        <x:f>--(F1833&lt;='Estimator'!$B$7)</x:f>
        <x:v>1</x:v>
      </x:c>
      <x:c r="H1833" s="381" t="n">
        <x:f>SUMIFS('Climate Data'!$G$7:$G$366,'Climate Data'!$A$7:$A$366,'Estimator'!$B$4,'Climate Data'!$B$7:$B$366,C1833)</x:f>
        <x:v>0.21802002224694106</x:v>
      </x:c>
      <x:c r="I1833" s="382" t="n">
        <x:f>SUMIFS('Climate Data'!$H$7:$H$366,'Climate Data'!$A$7:$A$366,'Estimator'!$B$4,'Climate Data'!$B$7:$B$366,C1833)</x:f>
        <x:v>8.596428571428572</x:v>
      </x:c>
      <x:c r="J1833" s="381" t="n">
        <x:f>SUMIFS('Wind Proxy'!$H$8:$H$19,'Wind Proxy'!$A$8:$A$19,'Estimator'!$B$4,'Wind Proxy'!$B$8:$B$19,C1833)</x:f>
        <x:v>0.12544802867383514</x:v>
      </x:c>
    </x:row>
    <x:row r="1834">
      <x:c r="A1834" s="379" t="n">
        <x:v>47485</x:v>
      </x:c>
      <x:c r="B1834" s="380" t="n">
        <x:v>2030</x:v>
      </x:c>
      <x:c r="C1834" s="380" t="n">
        <x:v>1</x:v>
      </x:c>
      <x:c r="D1834" s="380" t="str">
        <x:v>Jan</x:v>
      </x:c>
      <x:c r="E1834" s="380" t="n">
        <x:v>2</x:v>
      </x:c>
      <x:c r="F1834" s="380" t="n">
        <x:v>3</x:v>
      </x:c>
      <x:c r="G1834" s="380" t="n">
        <x:f>--(F1834&lt;='Estimator'!$B$7)</x:f>
        <x:v>1</x:v>
      </x:c>
      <x:c r="H1834" s="381" t="n">
        <x:f>SUMIFS('Climate Data'!$G$7:$G$366,'Climate Data'!$A$7:$A$366,'Estimator'!$B$4,'Climate Data'!$B$7:$B$366,C1834)</x:f>
        <x:v>0.21802002224694106</x:v>
      </x:c>
      <x:c r="I1834" s="382" t="n">
        <x:f>SUMIFS('Climate Data'!$H$7:$H$366,'Climate Data'!$A$7:$A$366,'Estimator'!$B$4,'Climate Data'!$B$7:$B$366,C1834)</x:f>
        <x:v>8.596428571428572</x:v>
      </x:c>
      <x:c r="J1834" s="381" t="n">
        <x:f>SUMIFS('Wind Proxy'!$H$8:$H$19,'Wind Proxy'!$A$8:$A$19,'Estimator'!$B$4,'Wind Proxy'!$B$8:$B$19,C1834)</x:f>
        <x:v>0.12544802867383514</x:v>
      </x:c>
    </x:row>
    <x:row r="1835">
      <x:c r="A1835" s="379" t="n">
        <x:v>47486</x:v>
      </x:c>
      <x:c r="B1835" s="380" t="n">
        <x:v>2030</x:v>
      </x:c>
      <x:c r="C1835" s="380" t="n">
        <x:v>1</x:v>
      </x:c>
      <x:c r="D1835" s="380" t="str">
        <x:v>Jan</x:v>
      </x:c>
      <x:c r="E1835" s="380" t="n">
        <x:v>3</x:v>
      </x:c>
      <x:c r="F1835" s="380" t="n">
        <x:v>4</x:v>
      </x:c>
      <x:c r="G1835" s="380" t="n">
        <x:f>--(F1835&lt;='Estimator'!$B$7)</x:f>
        <x:v>1</x:v>
      </x:c>
      <x:c r="H1835" s="381" t="n">
        <x:f>SUMIFS('Climate Data'!$G$7:$G$366,'Climate Data'!$A$7:$A$366,'Estimator'!$B$4,'Climate Data'!$B$7:$B$366,C1835)</x:f>
        <x:v>0.21802002224694106</x:v>
      </x:c>
      <x:c r="I1835" s="382" t="n">
        <x:f>SUMIFS('Climate Data'!$H$7:$H$366,'Climate Data'!$A$7:$A$366,'Estimator'!$B$4,'Climate Data'!$B$7:$B$366,C1835)</x:f>
        <x:v>8.596428571428572</x:v>
      </x:c>
      <x:c r="J1835" s="381" t="n">
        <x:f>SUMIFS('Wind Proxy'!$H$8:$H$19,'Wind Proxy'!$A$8:$A$19,'Estimator'!$B$4,'Wind Proxy'!$B$8:$B$19,C1835)</x:f>
        <x:v>0.12544802867383514</x:v>
      </x:c>
    </x:row>
    <x:row r="1836">
      <x:c r="A1836" s="379" t="n">
        <x:v>47487</x:v>
      </x:c>
      <x:c r="B1836" s="380" t="n">
        <x:v>2030</x:v>
      </x:c>
      <x:c r="C1836" s="380" t="n">
        <x:v>1</x:v>
      </x:c>
      <x:c r="D1836" s="380" t="str">
        <x:v>Jan</x:v>
      </x:c>
      <x:c r="E1836" s="380" t="n">
        <x:v>4</x:v>
      </x:c>
      <x:c r="F1836" s="380" t="n">
        <x:v>5</x:v>
      </x:c>
      <x:c r="G1836" s="380" t="n">
        <x:f>--(F1836&lt;='Estimator'!$B$7)</x:f>
        <x:v>1</x:v>
      </x:c>
      <x:c r="H1836" s="381" t="n">
        <x:f>SUMIFS('Climate Data'!$G$7:$G$366,'Climate Data'!$A$7:$A$366,'Estimator'!$B$4,'Climate Data'!$B$7:$B$366,C1836)</x:f>
        <x:v>0.21802002224694106</x:v>
      </x:c>
      <x:c r="I1836" s="382" t="n">
        <x:f>SUMIFS('Climate Data'!$H$7:$H$366,'Climate Data'!$A$7:$A$366,'Estimator'!$B$4,'Climate Data'!$B$7:$B$366,C1836)</x:f>
        <x:v>8.596428571428572</x:v>
      </x:c>
      <x:c r="J1836" s="381" t="n">
        <x:f>SUMIFS('Wind Proxy'!$H$8:$H$19,'Wind Proxy'!$A$8:$A$19,'Estimator'!$B$4,'Wind Proxy'!$B$8:$B$19,C1836)</x:f>
        <x:v>0.12544802867383514</x:v>
      </x:c>
    </x:row>
    <x:row r="1837">
      <x:c r="A1837" s="379" t="n">
        <x:v>47488</x:v>
      </x:c>
      <x:c r="B1837" s="380" t="n">
        <x:v>2030</x:v>
      </x:c>
      <x:c r="C1837" s="380" t="n">
        <x:v>1</x:v>
      </x:c>
      <x:c r="D1837" s="380" t="str">
        <x:v>Jan</x:v>
      </x:c>
      <x:c r="E1837" s="380" t="n">
        <x:v>5</x:v>
      </x:c>
      <x:c r="F1837" s="380" t="n">
        <x:v>6</x:v>
      </x:c>
      <x:c r="G1837" s="380" t="n">
        <x:f>--(F1837&lt;='Estimator'!$B$7)</x:f>
        <x:v>0</x:v>
      </x:c>
      <x:c r="H1837" s="381" t="n">
        <x:f>SUMIFS('Climate Data'!$G$7:$G$366,'Climate Data'!$A$7:$A$366,'Estimator'!$B$4,'Climate Data'!$B$7:$B$366,C1837)</x:f>
        <x:v>0.21802002224694106</x:v>
      </x:c>
      <x:c r="I1837" s="382" t="n">
        <x:f>SUMIFS('Climate Data'!$H$7:$H$366,'Climate Data'!$A$7:$A$366,'Estimator'!$B$4,'Climate Data'!$B$7:$B$366,C1837)</x:f>
        <x:v>8.596428571428572</x:v>
      </x:c>
      <x:c r="J1837" s="381" t="n">
        <x:f>SUMIFS('Wind Proxy'!$H$8:$H$19,'Wind Proxy'!$A$8:$A$19,'Estimator'!$B$4,'Wind Proxy'!$B$8:$B$19,C1837)</x:f>
        <x:v>0.12544802867383514</x:v>
      </x:c>
    </x:row>
    <x:row r="1838">
      <x:c r="A1838" s="379" t="n">
        <x:v>47489</x:v>
      </x:c>
      <x:c r="B1838" s="380" t="n">
        <x:v>2030</x:v>
      </x:c>
      <x:c r="C1838" s="380" t="n">
        <x:v>1</x:v>
      </x:c>
      <x:c r="D1838" s="380" t="str">
        <x:v>Jan</x:v>
      </x:c>
      <x:c r="E1838" s="380" t="n">
        <x:v>6</x:v>
      </x:c>
      <x:c r="F1838" s="380" t="n">
        <x:v>7</x:v>
      </x:c>
      <x:c r="G1838" s="380" t="n">
        <x:f>--(F1838&lt;='Estimator'!$B$7)</x:f>
        <x:v>0</x:v>
      </x:c>
      <x:c r="H1838" s="381" t="n">
        <x:f>SUMIFS('Climate Data'!$G$7:$G$366,'Climate Data'!$A$7:$A$366,'Estimator'!$B$4,'Climate Data'!$B$7:$B$366,C1838)</x:f>
        <x:v>0.21802002224694106</x:v>
      </x:c>
      <x:c r="I1838" s="382" t="n">
        <x:f>SUMIFS('Climate Data'!$H$7:$H$366,'Climate Data'!$A$7:$A$366,'Estimator'!$B$4,'Climate Data'!$B$7:$B$366,C1838)</x:f>
        <x:v>8.596428571428572</x:v>
      </x:c>
      <x:c r="J1838" s="381" t="n">
        <x:f>SUMIFS('Wind Proxy'!$H$8:$H$19,'Wind Proxy'!$A$8:$A$19,'Estimator'!$B$4,'Wind Proxy'!$B$8:$B$19,C1838)</x:f>
        <x:v>0.12544802867383514</x:v>
      </x:c>
    </x:row>
    <x:row r="1839">
      <x:c r="A1839" s="379" t="n">
        <x:v>47490</x:v>
      </x:c>
      <x:c r="B1839" s="380" t="n">
        <x:v>2030</x:v>
      </x:c>
      <x:c r="C1839" s="380" t="n">
        <x:v>1</x:v>
      </x:c>
      <x:c r="D1839" s="380" t="str">
        <x:v>Jan</x:v>
      </x:c>
      <x:c r="E1839" s="380" t="n">
        <x:v>7</x:v>
      </x:c>
      <x:c r="F1839" s="380" t="n">
        <x:v>1</x:v>
      </x:c>
      <x:c r="G1839" s="380" t="n">
        <x:f>--(F1839&lt;='Estimator'!$B$7)</x:f>
        <x:v>1</x:v>
      </x:c>
      <x:c r="H1839" s="381" t="n">
        <x:f>SUMIFS('Climate Data'!$G$7:$G$366,'Climate Data'!$A$7:$A$366,'Estimator'!$B$4,'Climate Data'!$B$7:$B$366,C1839)</x:f>
        <x:v>0.21802002224694106</x:v>
      </x:c>
      <x:c r="I1839" s="382" t="n">
        <x:f>SUMIFS('Climate Data'!$H$7:$H$366,'Climate Data'!$A$7:$A$366,'Estimator'!$B$4,'Climate Data'!$B$7:$B$366,C1839)</x:f>
        <x:v>8.596428571428572</x:v>
      </x:c>
      <x:c r="J1839" s="381" t="n">
        <x:f>SUMIFS('Wind Proxy'!$H$8:$H$19,'Wind Proxy'!$A$8:$A$19,'Estimator'!$B$4,'Wind Proxy'!$B$8:$B$19,C1839)</x:f>
        <x:v>0.12544802867383514</x:v>
      </x:c>
    </x:row>
    <x:row r="1840">
      <x:c r="A1840" s="379" t="n">
        <x:v>47491</x:v>
      </x:c>
      <x:c r="B1840" s="380" t="n">
        <x:v>2030</x:v>
      </x:c>
      <x:c r="C1840" s="380" t="n">
        <x:v>1</x:v>
      </x:c>
      <x:c r="D1840" s="380" t="str">
        <x:v>Jan</x:v>
      </x:c>
      <x:c r="E1840" s="380" t="n">
        <x:v>8</x:v>
      </x:c>
      <x:c r="F1840" s="380" t="n">
        <x:v>2</x:v>
      </x:c>
      <x:c r="G1840" s="380" t="n">
        <x:f>--(F1840&lt;='Estimator'!$B$7)</x:f>
        <x:v>1</x:v>
      </x:c>
      <x:c r="H1840" s="381" t="n">
        <x:f>SUMIFS('Climate Data'!$G$7:$G$366,'Climate Data'!$A$7:$A$366,'Estimator'!$B$4,'Climate Data'!$B$7:$B$366,C1840)</x:f>
        <x:v>0.21802002224694106</x:v>
      </x:c>
      <x:c r="I1840" s="382" t="n">
        <x:f>SUMIFS('Climate Data'!$H$7:$H$366,'Climate Data'!$A$7:$A$366,'Estimator'!$B$4,'Climate Data'!$B$7:$B$366,C1840)</x:f>
        <x:v>8.596428571428572</x:v>
      </x:c>
      <x:c r="J1840" s="381" t="n">
        <x:f>SUMIFS('Wind Proxy'!$H$8:$H$19,'Wind Proxy'!$A$8:$A$19,'Estimator'!$B$4,'Wind Proxy'!$B$8:$B$19,C1840)</x:f>
        <x:v>0.12544802867383514</x:v>
      </x:c>
    </x:row>
    <x:row r="1841">
      <x:c r="A1841" s="379" t="n">
        <x:v>47492</x:v>
      </x:c>
      <x:c r="B1841" s="380" t="n">
        <x:v>2030</x:v>
      </x:c>
      <x:c r="C1841" s="380" t="n">
        <x:v>1</x:v>
      </x:c>
      <x:c r="D1841" s="380" t="str">
        <x:v>Jan</x:v>
      </x:c>
      <x:c r="E1841" s="380" t="n">
        <x:v>9</x:v>
      </x:c>
      <x:c r="F1841" s="380" t="n">
        <x:v>3</x:v>
      </x:c>
      <x:c r="G1841" s="380" t="n">
        <x:f>--(F1841&lt;='Estimator'!$B$7)</x:f>
        <x:v>1</x:v>
      </x:c>
      <x:c r="H1841" s="381" t="n">
        <x:f>SUMIFS('Climate Data'!$G$7:$G$366,'Climate Data'!$A$7:$A$366,'Estimator'!$B$4,'Climate Data'!$B$7:$B$366,C1841)</x:f>
        <x:v>0.21802002224694106</x:v>
      </x:c>
      <x:c r="I1841" s="382" t="n">
        <x:f>SUMIFS('Climate Data'!$H$7:$H$366,'Climate Data'!$A$7:$A$366,'Estimator'!$B$4,'Climate Data'!$B$7:$B$366,C1841)</x:f>
        <x:v>8.596428571428572</x:v>
      </x:c>
      <x:c r="J1841" s="381" t="n">
        <x:f>SUMIFS('Wind Proxy'!$H$8:$H$19,'Wind Proxy'!$A$8:$A$19,'Estimator'!$B$4,'Wind Proxy'!$B$8:$B$19,C1841)</x:f>
        <x:v>0.12544802867383514</x:v>
      </x:c>
    </x:row>
    <x:row r="1842">
      <x:c r="A1842" s="379" t="n">
        <x:v>47493</x:v>
      </x:c>
      <x:c r="B1842" s="380" t="n">
        <x:v>2030</x:v>
      </x:c>
      <x:c r="C1842" s="380" t="n">
        <x:v>1</x:v>
      </x:c>
      <x:c r="D1842" s="380" t="str">
        <x:v>Jan</x:v>
      </x:c>
      <x:c r="E1842" s="380" t="n">
        <x:v>10</x:v>
      </x:c>
      <x:c r="F1842" s="380" t="n">
        <x:v>4</x:v>
      </x:c>
      <x:c r="G1842" s="380" t="n">
        <x:f>--(F1842&lt;='Estimator'!$B$7)</x:f>
        <x:v>1</x:v>
      </x:c>
      <x:c r="H1842" s="381" t="n">
        <x:f>SUMIFS('Climate Data'!$G$7:$G$366,'Climate Data'!$A$7:$A$366,'Estimator'!$B$4,'Climate Data'!$B$7:$B$366,C1842)</x:f>
        <x:v>0.21802002224694106</x:v>
      </x:c>
      <x:c r="I1842" s="382" t="n">
        <x:f>SUMIFS('Climate Data'!$H$7:$H$366,'Climate Data'!$A$7:$A$366,'Estimator'!$B$4,'Climate Data'!$B$7:$B$366,C1842)</x:f>
        <x:v>8.596428571428572</x:v>
      </x:c>
      <x:c r="J1842" s="381" t="n">
        <x:f>SUMIFS('Wind Proxy'!$H$8:$H$19,'Wind Proxy'!$A$8:$A$19,'Estimator'!$B$4,'Wind Proxy'!$B$8:$B$19,C1842)</x:f>
        <x:v>0.12544802867383514</x:v>
      </x:c>
    </x:row>
    <x:row r="1843">
      <x:c r="A1843" s="379" t="n">
        <x:v>47494</x:v>
      </x:c>
      <x:c r="B1843" s="380" t="n">
        <x:v>2030</x:v>
      </x:c>
      <x:c r="C1843" s="380" t="n">
        <x:v>1</x:v>
      </x:c>
      <x:c r="D1843" s="380" t="str">
        <x:v>Jan</x:v>
      </x:c>
      <x:c r="E1843" s="380" t="n">
        <x:v>11</x:v>
      </x:c>
      <x:c r="F1843" s="380" t="n">
        <x:v>5</x:v>
      </x:c>
      <x:c r="G1843" s="380" t="n">
        <x:f>--(F1843&lt;='Estimator'!$B$7)</x:f>
        <x:v>1</x:v>
      </x:c>
      <x:c r="H1843" s="381" t="n">
        <x:f>SUMIFS('Climate Data'!$G$7:$G$366,'Climate Data'!$A$7:$A$366,'Estimator'!$B$4,'Climate Data'!$B$7:$B$366,C1843)</x:f>
        <x:v>0.21802002224694106</x:v>
      </x:c>
      <x:c r="I1843" s="382" t="n">
        <x:f>SUMIFS('Climate Data'!$H$7:$H$366,'Climate Data'!$A$7:$A$366,'Estimator'!$B$4,'Climate Data'!$B$7:$B$366,C1843)</x:f>
        <x:v>8.596428571428572</x:v>
      </x:c>
      <x:c r="J1843" s="381" t="n">
        <x:f>SUMIFS('Wind Proxy'!$H$8:$H$19,'Wind Proxy'!$A$8:$A$19,'Estimator'!$B$4,'Wind Proxy'!$B$8:$B$19,C1843)</x:f>
        <x:v>0.12544802867383514</x:v>
      </x:c>
    </x:row>
    <x:row r="1844">
      <x:c r="A1844" s="379" t="n">
        <x:v>47495</x:v>
      </x:c>
      <x:c r="B1844" s="380" t="n">
        <x:v>2030</x:v>
      </x:c>
      <x:c r="C1844" s="380" t="n">
        <x:v>1</x:v>
      </x:c>
      <x:c r="D1844" s="380" t="str">
        <x:v>Jan</x:v>
      </x:c>
      <x:c r="E1844" s="380" t="n">
        <x:v>12</x:v>
      </x:c>
      <x:c r="F1844" s="380" t="n">
        <x:v>6</x:v>
      </x:c>
      <x:c r="G1844" s="380" t="n">
        <x:f>--(F1844&lt;='Estimator'!$B$7)</x:f>
        <x:v>0</x:v>
      </x:c>
      <x:c r="H1844" s="381" t="n">
        <x:f>SUMIFS('Climate Data'!$G$7:$G$366,'Climate Data'!$A$7:$A$366,'Estimator'!$B$4,'Climate Data'!$B$7:$B$366,C1844)</x:f>
        <x:v>0.21802002224694106</x:v>
      </x:c>
      <x:c r="I1844" s="382" t="n">
        <x:f>SUMIFS('Climate Data'!$H$7:$H$366,'Climate Data'!$A$7:$A$366,'Estimator'!$B$4,'Climate Data'!$B$7:$B$366,C1844)</x:f>
        <x:v>8.596428571428572</x:v>
      </x:c>
      <x:c r="J1844" s="381" t="n">
        <x:f>SUMIFS('Wind Proxy'!$H$8:$H$19,'Wind Proxy'!$A$8:$A$19,'Estimator'!$B$4,'Wind Proxy'!$B$8:$B$19,C1844)</x:f>
        <x:v>0.12544802867383514</x:v>
      </x:c>
    </x:row>
    <x:row r="1845">
      <x:c r="A1845" s="379" t="n">
        <x:v>47496</x:v>
      </x:c>
      <x:c r="B1845" s="380" t="n">
        <x:v>2030</x:v>
      </x:c>
      <x:c r="C1845" s="380" t="n">
        <x:v>1</x:v>
      </x:c>
      <x:c r="D1845" s="380" t="str">
        <x:v>Jan</x:v>
      </x:c>
      <x:c r="E1845" s="380" t="n">
        <x:v>13</x:v>
      </x:c>
      <x:c r="F1845" s="380" t="n">
        <x:v>7</x:v>
      </x:c>
      <x:c r="G1845" s="380" t="n">
        <x:f>--(F1845&lt;='Estimator'!$B$7)</x:f>
        <x:v>0</x:v>
      </x:c>
      <x:c r="H1845" s="381" t="n">
        <x:f>SUMIFS('Climate Data'!$G$7:$G$366,'Climate Data'!$A$7:$A$366,'Estimator'!$B$4,'Climate Data'!$B$7:$B$366,C1845)</x:f>
        <x:v>0.21802002224694106</x:v>
      </x:c>
      <x:c r="I1845" s="382" t="n">
        <x:f>SUMIFS('Climate Data'!$H$7:$H$366,'Climate Data'!$A$7:$A$366,'Estimator'!$B$4,'Climate Data'!$B$7:$B$366,C1845)</x:f>
        <x:v>8.596428571428572</x:v>
      </x:c>
      <x:c r="J1845" s="381" t="n">
        <x:f>SUMIFS('Wind Proxy'!$H$8:$H$19,'Wind Proxy'!$A$8:$A$19,'Estimator'!$B$4,'Wind Proxy'!$B$8:$B$19,C1845)</x:f>
        <x:v>0.12544802867383514</x:v>
      </x:c>
    </x:row>
    <x:row r="1846">
      <x:c r="A1846" s="379" t="n">
        <x:v>47497</x:v>
      </x:c>
      <x:c r="B1846" s="380" t="n">
        <x:v>2030</x:v>
      </x:c>
      <x:c r="C1846" s="380" t="n">
        <x:v>1</x:v>
      </x:c>
      <x:c r="D1846" s="380" t="str">
        <x:v>Jan</x:v>
      </x:c>
      <x:c r="E1846" s="380" t="n">
        <x:v>14</x:v>
      </x:c>
      <x:c r="F1846" s="380" t="n">
        <x:v>1</x:v>
      </x:c>
      <x:c r="G1846" s="380" t="n">
        <x:f>--(F1846&lt;='Estimator'!$B$7)</x:f>
        <x:v>1</x:v>
      </x:c>
      <x:c r="H1846" s="381" t="n">
        <x:f>SUMIFS('Climate Data'!$G$7:$G$366,'Climate Data'!$A$7:$A$366,'Estimator'!$B$4,'Climate Data'!$B$7:$B$366,C1846)</x:f>
        <x:v>0.21802002224694106</x:v>
      </x:c>
      <x:c r="I1846" s="382" t="n">
        <x:f>SUMIFS('Climate Data'!$H$7:$H$366,'Climate Data'!$A$7:$A$366,'Estimator'!$B$4,'Climate Data'!$B$7:$B$366,C1846)</x:f>
        <x:v>8.596428571428572</x:v>
      </x:c>
      <x:c r="J1846" s="381" t="n">
        <x:f>SUMIFS('Wind Proxy'!$H$8:$H$19,'Wind Proxy'!$A$8:$A$19,'Estimator'!$B$4,'Wind Proxy'!$B$8:$B$19,C1846)</x:f>
        <x:v>0.12544802867383514</x:v>
      </x:c>
    </x:row>
    <x:row r="1847">
      <x:c r="A1847" s="379" t="n">
        <x:v>47498</x:v>
      </x:c>
      <x:c r="B1847" s="380" t="n">
        <x:v>2030</x:v>
      </x:c>
      <x:c r="C1847" s="380" t="n">
        <x:v>1</x:v>
      </x:c>
      <x:c r="D1847" s="380" t="str">
        <x:v>Jan</x:v>
      </x:c>
      <x:c r="E1847" s="380" t="n">
        <x:v>15</x:v>
      </x:c>
      <x:c r="F1847" s="380" t="n">
        <x:v>2</x:v>
      </x:c>
      <x:c r="G1847" s="380" t="n">
        <x:f>--(F1847&lt;='Estimator'!$B$7)</x:f>
        <x:v>1</x:v>
      </x:c>
      <x:c r="H1847" s="381" t="n">
        <x:f>SUMIFS('Climate Data'!$G$7:$G$366,'Climate Data'!$A$7:$A$366,'Estimator'!$B$4,'Climate Data'!$B$7:$B$366,C1847)</x:f>
        <x:v>0.21802002224694106</x:v>
      </x:c>
      <x:c r="I1847" s="382" t="n">
        <x:f>SUMIFS('Climate Data'!$H$7:$H$366,'Climate Data'!$A$7:$A$366,'Estimator'!$B$4,'Climate Data'!$B$7:$B$366,C1847)</x:f>
        <x:v>8.596428571428572</x:v>
      </x:c>
      <x:c r="J1847" s="381" t="n">
        <x:f>SUMIFS('Wind Proxy'!$H$8:$H$19,'Wind Proxy'!$A$8:$A$19,'Estimator'!$B$4,'Wind Proxy'!$B$8:$B$19,C1847)</x:f>
        <x:v>0.12544802867383514</x:v>
      </x:c>
    </x:row>
    <x:row r="1848">
      <x:c r="A1848" s="379" t="n">
        <x:v>47499</x:v>
      </x:c>
      <x:c r="B1848" s="380" t="n">
        <x:v>2030</x:v>
      </x:c>
      <x:c r="C1848" s="380" t="n">
        <x:v>1</x:v>
      </x:c>
      <x:c r="D1848" s="380" t="str">
        <x:v>Jan</x:v>
      </x:c>
      <x:c r="E1848" s="380" t="n">
        <x:v>16</x:v>
      </x:c>
      <x:c r="F1848" s="380" t="n">
        <x:v>3</x:v>
      </x:c>
      <x:c r="G1848" s="380" t="n">
        <x:f>--(F1848&lt;='Estimator'!$B$7)</x:f>
        <x:v>1</x:v>
      </x:c>
      <x:c r="H1848" s="381" t="n">
        <x:f>SUMIFS('Climate Data'!$G$7:$G$366,'Climate Data'!$A$7:$A$366,'Estimator'!$B$4,'Climate Data'!$B$7:$B$366,C1848)</x:f>
        <x:v>0.21802002224694106</x:v>
      </x:c>
      <x:c r="I1848" s="382" t="n">
        <x:f>SUMIFS('Climate Data'!$H$7:$H$366,'Climate Data'!$A$7:$A$366,'Estimator'!$B$4,'Climate Data'!$B$7:$B$366,C1848)</x:f>
        <x:v>8.596428571428572</x:v>
      </x:c>
      <x:c r="J1848" s="381" t="n">
        <x:f>SUMIFS('Wind Proxy'!$H$8:$H$19,'Wind Proxy'!$A$8:$A$19,'Estimator'!$B$4,'Wind Proxy'!$B$8:$B$19,C1848)</x:f>
        <x:v>0.12544802867383514</x:v>
      </x:c>
    </x:row>
    <x:row r="1849">
      <x:c r="A1849" s="379" t="n">
        <x:v>47500</x:v>
      </x:c>
      <x:c r="B1849" s="380" t="n">
        <x:v>2030</x:v>
      </x:c>
      <x:c r="C1849" s="380" t="n">
        <x:v>1</x:v>
      </x:c>
      <x:c r="D1849" s="380" t="str">
        <x:v>Jan</x:v>
      </x:c>
      <x:c r="E1849" s="380" t="n">
        <x:v>17</x:v>
      </x:c>
      <x:c r="F1849" s="380" t="n">
        <x:v>4</x:v>
      </x:c>
      <x:c r="G1849" s="380" t="n">
        <x:f>--(F1849&lt;='Estimator'!$B$7)</x:f>
        <x:v>1</x:v>
      </x:c>
      <x:c r="H1849" s="381" t="n">
        <x:f>SUMIFS('Climate Data'!$G$7:$G$366,'Climate Data'!$A$7:$A$366,'Estimator'!$B$4,'Climate Data'!$B$7:$B$366,C1849)</x:f>
        <x:v>0.21802002224694106</x:v>
      </x:c>
      <x:c r="I1849" s="382" t="n">
        <x:f>SUMIFS('Climate Data'!$H$7:$H$366,'Climate Data'!$A$7:$A$366,'Estimator'!$B$4,'Climate Data'!$B$7:$B$366,C1849)</x:f>
        <x:v>8.596428571428572</x:v>
      </x:c>
      <x:c r="J1849" s="381" t="n">
        <x:f>SUMIFS('Wind Proxy'!$H$8:$H$19,'Wind Proxy'!$A$8:$A$19,'Estimator'!$B$4,'Wind Proxy'!$B$8:$B$19,C1849)</x:f>
        <x:v>0.12544802867383514</x:v>
      </x:c>
    </x:row>
    <x:row r="1850">
      <x:c r="A1850" s="379" t="n">
        <x:v>47501</x:v>
      </x:c>
      <x:c r="B1850" s="380" t="n">
        <x:v>2030</x:v>
      </x:c>
      <x:c r="C1850" s="380" t="n">
        <x:v>1</x:v>
      </x:c>
      <x:c r="D1850" s="380" t="str">
        <x:v>Jan</x:v>
      </x:c>
      <x:c r="E1850" s="380" t="n">
        <x:v>18</x:v>
      </x:c>
      <x:c r="F1850" s="380" t="n">
        <x:v>5</x:v>
      </x:c>
      <x:c r="G1850" s="380" t="n">
        <x:f>--(F1850&lt;='Estimator'!$B$7)</x:f>
        <x:v>1</x:v>
      </x:c>
      <x:c r="H1850" s="381" t="n">
        <x:f>SUMIFS('Climate Data'!$G$7:$G$366,'Climate Data'!$A$7:$A$366,'Estimator'!$B$4,'Climate Data'!$B$7:$B$366,C1850)</x:f>
        <x:v>0.21802002224694106</x:v>
      </x:c>
      <x:c r="I1850" s="382" t="n">
        <x:f>SUMIFS('Climate Data'!$H$7:$H$366,'Climate Data'!$A$7:$A$366,'Estimator'!$B$4,'Climate Data'!$B$7:$B$366,C1850)</x:f>
        <x:v>8.596428571428572</x:v>
      </x:c>
      <x:c r="J1850" s="381" t="n">
        <x:f>SUMIFS('Wind Proxy'!$H$8:$H$19,'Wind Proxy'!$A$8:$A$19,'Estimator'!$B$4,'Wind Proxy'!$B$8:$B$19,C1850)</x:f>
        <x:v>0.12544802867383514</x:v>
      </x:c>
    </x:row>
    <x:row r="1851">
      <x:c r="A1851" s="379" t="n">
        <x:v>47502</x:v>
      </x:c>
      <x:c r="B1851" s="380" t="n">
        <x:v>2030</x:v>
      </x:c>
      <x:c r="C1851" s="380" t="n">
        <x:v>1</x:v>
      </x:c>
      <x:c r="D1851" s="380" t="str">
        <x:v>Jan</x:v>
      </x:c>
      <x:c r="E1851" s="380" t="n">
        <x:v>19</x:v>
      </x:c>
      <x:c r="F1851" s="380" t="n">
        <x:v>6</x:v>
      </x:c>
      <x:c r="G1851" s="380" t="n">
        <x:f>--(F1851&lt;='Estimator'!$B$7)</x:f>
        <x:v>0</x:v>
      </x:c>
      <x:c r="H1851" s="381" t="n">
        <x:f>SUMIFS('Climate Data'!$G$7:$G$366,'Climate Data'!$A$7:$A$366,'Estimator'!$B$4,'Climate Data'!$B$7:$B$366,C1851)</x:f>
        <x:v>0.21802002224694106</x:v>
      </x:c>
      <x:c r="I1851" s="382" t="n">
        <x:f>SUMIFS('Climate Data'!$H$7:$H$366,'Climate Data'!$A$7:$A$366,'Estimator'!$B$4,'Climate Data'!$B$7:$B$366,C1851)</x:f>
        <x:v>8.596428571428572</x:v>
      </x:c>
      <x:c r="J1851" s="381" t="n">
        <x:f>SUMIFS('Wind Proxy'!$H$8:$H$19,'Wind Proxy'!$A$8:$A$19,'Estimator'!$B$4,'Wind Proxy'!$B$8:$B$19,C1851)</x:f>
        <x:v>0.12544802867383514</x:v>
      </x:c>
    </x:row>
    <x:row r="1852">
      <x:c r="A1852" s="379" t="n">
        <x:v>47503</x:v>
      </x:c>
      <x:c r="B1852" s="380" t="n">
        <x:v>2030</x:v>
      </x:c>
      <x:c r="C1852" s="380" t="n">
        <x:v>1</x:v>
      </x:c>
      <x:c r="D1852" s="380" t="str">
        <x:v>Jan</x:v>
      </x:c>
      <x:c r="E1852" s="380" t="n">
        <x:v>20</x:v>
      </x:c>
      <x:c r="F1852" s="380" t="n">
        <x:v>7</x:v>
      </x:c>
      <x:c r="G1852" s="380" t="n">
        <x:f>--(F1852&lt;='Estimator'!$B$7)</x:f>
        <x:v>0</x:v>
      </x:c>
      <x:c r="H1852" s="381" t="n">
        <x:f>SUMIFS('Climate Data'!$G$7:$G$366,'Climate Data'!$A$7:$A$366,'Estimator'!$B$4,'Climate Data'!$B$7:$B$366,C1852)</x:f>
        <x:v>0.21802002224694106</x:v>
      </x:c>
      <x:c r="I1852" s="382" t="n">
        <x:f>SUMIFS('Climate Data'!$H$7:$H$366,'Climate Data'!$A$7:$A$366,'Estimator'!$B$4,'Climate Data'!$B$7:$B$366,C1852)</x:f>
        <x:v>8.596428571428572</x:v>
      </x:c>
      <x:c r="J1852" s="381" t="n">
        <x:f>SUMIFS('Wind Proxy'!$H$8:$H$19,'Wind Proxy'!$A$8:$A$19,'Estimator'!$B$4,'Wind Proxy'!$B$8:$B$19,C1852)</x:f>
        <x:v>0.12544802867383514</x:v>
      </x:c>
    </x:row>
    <x:row r="1853">
      <x:c r="A1853" s="379" t="n">
        <x:v>47504</x:v>
      </x:c>
      <x:c r="B1853" s="380" t="n">
        <x:v>2030</x:v>
      </x:c>
      <x:c r="C1853" s="380" t="n">
        <x:v>1</x:v>
      </x:c>
      <x:c r="D1853" s="380" t="str">
        <x:v>Jan</x:v>
      </x:c>
      <x:c r="E1853" s="380" t="n">
        <x:v>21</x:v>
      </x:c>
      <x:c r="F1853" s="380" t="n">
        <x:v>1</x:v>
      </x:c>
      <x:c r="G1853" s="380" t="n">
        <x:f>--(F1853&lt;='Estimator'!$B$7)</x:f>
        <x:v>1</x:v>
      </x:c>
      <x:c r="H1853" s="381" t="n">
        <x:f>SUMIFS('Climate Data'!$G$7:$G$366,'Climate Data'!$A$7:$A$366,'Estimator'!$B$4,'Climate Data'!$B$7:$B$366,C1853)</x:f>
        <x:v>0.21802002224694106</x:v>
      </x:c>
      <x:c r="I1853" s="382" t="n">
        <x:f>SUMIFS('Climate Data'!$H$7:$H$366,'Climate Data'!$A$7:$A$366,'Estimator'!$B$4,'Climate Data'!$B$7:$B$366,C1853)</x:f>
        <x:v>8.596428571428572</x:v>
      </x:c>
      <x:c r="J1853" s="381" t="n">
        <x:f>SUMIFS('Wind Proxy'!$H$8:$H$19,'Wind Proxy'!$A$8:$A$19,'Estimator'!$B$4,'Wind Proxy'!$B$8:$B$19,C1853)</x:f>
        <x:v>0.12544802867383514</x:v>
      </x:c>
    </x:row>
    <x:row r="1854">
      <x:c r="A1854" s="379" t="n">
        <x:v>47505</x:v>
      </x:c>
      <x:c r="B1854" s="380" t="n">
        <x:v>2030</x:v>
      </x:c>
      <x:c r="C1854" s="380" t="n">
        <x:v>1</x:v>
      </x:c>
      <x:c r="D1854" s="380" t="str">
        <x:v>Jan</x:v>
      </x:c>
      <x:c r="E1854" s="380" t="n">
        <x:v>22</x:v>
      </x:c>
      <x:c r="F1854" s="380" t="n">
        <x:v>2</x:v>
      </x:c>
      <x:c r="G1854" s="380" t="n">
        <x:f>--(F1854&lt;='Estimator'!$B$7)</x:f>
        <x:v>1</x:v>
      </x:c>
      <x:c r="H1854" s="381" t="n">
        <x:f>SUMIFS('Climate Data'!$G$7:$G$366,'Climate Data'!$A$7:$A$366,'Estimator'!$B$4,'Climate Data'!$B$7:$B$366,C1854)</x:f>
        <x:v>0.21802002224694106</x:v>
      </x:c>
      <x:c r="I1854" s="382" t="n">
        <x:f>SUMIFS('Climate Data'!$H$7:$H$366,'Climate Data'!$A$7:$A$366,'Estimator'!$B$4,'Climate Data'!$B$7:$B$366,C1854)</x:f>
        <x:v>8.596428571428572</x:v>
      </x:c>
      <x:c r="J1854" s="381" t="n">
        <x:f>SUMIFS('Wind Proxy'!$H$8:$H$19,'Wind Proxy'!$A$8:$A$19,'Estimator'!$B$4,'Wind Proxy'!$B$8:$B$19,C1854)</x:f>
        <x:v>0.12544802867383514</x:v>
      </x:c>
    </x:row>
    <x:row r="1855">
      <x:c r="A1855" s="379" t="n">
        <x:v>47506</x:v>
      </x:c>
      <x:c r="B1855" s="380" t="n">
        <x:v>2030</x:v>
      </x:c>
      <x:c r="C1855" s="380" t="n">
        <x:v>1</x:v>
      </x:c>
      <x:c r="D1855" s="380" t="str">
        <x:v>Jan</x:v>
      </x:c>
      <x:c r="E1855" s="380" t="n">
        <x:v>23</x:v>
      </x:c>
      <x:c r="F1855" s="380" t="n">
        <x:v>3</x:v>
      </x:c>
      <x:c r="G1855" s="380" t="n">
        <x:f>--(F1855&lt;='Estimator'!$B$7)</x:f>
        <x:v>1</x:v>
      </x:c>
      <x:c r="H1855" s="381" t="n">
        <x:f>SUMIFS('Climate Data'!$G$7:$G$366,'Climate Data'!$A$7:$A$366,'Estimator'!$B$4,'Climate Data'!$B$7:$B$366,C1855)</x:f>
        <x:v>0.21802002224694106</x:v>
      </x:c>
      <x:c r="I1855" s="382" t="n">
        <x:f>SUMIFS('Climate Data'!$H$7:$H$366,'Climate Data'!$A$7:$A$366,'Estimator'!$B$4,'Climate Data'!$B$7:$B$366,C1855)</x:f>
        <x:v>8.596428571428572</x:v>
      </x:c>
      <x:c r="J1855" s="381" t="n">
        <x:f>SUMIFS('Wind Proxy'!$H$8:$H$19,'Wind Proxy'!$A$8:$A$19,'Estimator'!$B$4,'Wind Proxy'!$B$8:$B$19,C1855)</x:f>
        <x:v>0.12544802867383514</x:v>
      </x:c>
    </x:row>
    <x:row r="1856">
      <x:c r="A1856" s="379" t="n">
        <x:v>47507</x:v>
      </x:c>
      <x:c r="B1856" s="380" t="n">
        <x:v>2030</x:v>
      </x:c>
      <x:c r="C1856" s="380" t="n">
        <x:v>1</x:v>
      </x:c>
      <x:c r="D1856" s="380" t="str">
        <x:v>Jan</x:v>
      </x:c>
      <x:c r="E1856" s="380" t="n">
        <x:v>24</x:v>
      </x:c>
      <x:c r="F1856" s="380" t="n">
        <x:v>4</x:v>
      </x:c>
      <x:c r="G1856" s="380" t="n">
        <x:f>--(F1856&lt;='Estimator'!$B$7)</x:f>
        <x:v>1</x:v>
      </x:c>
      <x:c r="H1856" s="381" t="n">
        <x:f>SUMIFS('Climate Data'!$G$7:$G$366,'Climate Data'!$A$7:$A$366,'Estimator'!$B$4,'Climate Data'!$B$7:$B$366,C1856)</x:f>
        <x:v>0.21802002224694106</x:v>
      </x:c>
      <x:c r="I1856" s="382" t="n">
        <x:f>SUMIFS('Climate Data'!$H$7:$H$366,'Climate Data'!$A$7:$A$366,'Estimator'!$B$4,'Climate Data'!$B$7:$B$366,C1856)</x:f>
        <x:v>8.596428571428572</x:v>
      </x:c>
      <x:c r="J1856" s="381" t="n">
        <x:f>SUMIFS('Wind Proxy'!$H$8:$H$19,'Wind Proxy'!$A$8:$A$19,'Estimator'!$B$4,'Wind Proxy'!$B$8:$B$19,C1856)</x:f>
        <x:v>0.12544802867383514</x:v>
      </x:c>
    </x:row>
    <x:row r="1857">
      <x:c r="A1857" s="379" t="n">
        <x:v>47508</x:v>
      </x:c>
      <x:c r="B1857" s="380" t="n">
        <x:v>2030</x:v>
      </x:c>
      <x:c r="C1857" s="380" t="n">
        <x:v>1</x:v>
      </x:c>
      <x:c r="D1857" s="380" t="str">
        <x:v>Jan</x:v>
      </x:c>
      <x:c r="E1857" s="380" t="n">
        <x:v>25</x:v>
      </x:c>
      <x:c r="F1857" s="380" t="n">
        <x:v>5</x:v>
      </x:c>
      <x:c r="G1857" s="380" t="n">
        <x:f>--(F1857&lt;='Estimator'!$B$7)</x:f>
        <x:v>1</x:v>
      </x:c>
      <x:c r="H1857" s="381" t="n">
        <x:f>SUMIFS('Climate Data'!$G$7:$G$366,'Climate Data'!$A$7:$A$366,'Estimator'!$B$4,'Climate Data'!$B$7:$B$366,C1857)</x:f>
        <x:v>0.21802002224694106</x:v>
      </x:c>
      <x:c r="I1857" s="382" t="n">
        <x:f>SUMIFS('Climate Data'!$H$7:$H$366,'Climate Data'!$A$7:$A$366,'Estimator'!$B$4,'Climate Data'!$B$7:$B$366,C1857)</x:f>
        <x:v>8.596428571428572</x:v>
      </x:c>
      <x:c r="J1857" s="381" t="n">
        <x:f>SUMIFS('Wind Proxy'!$H$8:$H$19,'Wind Proxy'!$A$8:$A$19,'Estimator'!$B$4,'Wind Proxy'!$B$8:$B$19,C1857)</x:f>
        <x:v>0.12544802867383514</x:v>
      </x:c>
    </x:row>
    <x:row r="1858">
      <x:c r="A1858" s="379" t="n">
        <x:v>47509</x:v>
      </x:c>
      <x:c r="B1858" s="380" t="n">
        <x:v>2030</x:v>
      </x:c>
      <x:c r="C1858" s="380" t="n">
        <x:v>1</x:v>
      </x:c>
      <x:c r="D1858" s="380" t="str">
        <x:v>Jan</x:v>
      </x:c>
      <x:c r="E1858" s="380" t="n">
        <x:v>26</x:v>
      </x:c>
      <x:c r="F1858" s="380" t="n">
        <x:v>6</x:v>
      </x:c>
      <x:c r="G1858" s="380" t="n">
        <x:f>--(F1858&lt;='Estimator'!$B$7)</x:f>
        <x:v>0</x:v>
      </x:c>
      <x:c r="H1858" s="381" t="n">
        <x:f>SUMIFS('Climate Data'!$G$7:$G$366,'Climate Data'!$A$7:$A$366,'Estimator'!$B$4,'Climate Data'!$B$7:$B$366,C1858)</x:f>
        <x:v>0.21802002224694106</x:v>
      </x:c>
      <x:c r="I1858" s="382" t="n">
        <x:f>SUMIFS('Climate Data'!$H$7:$H$366,'Climate Data'!$A$7:$A$366,'Estimator'!$B$4,'Climate Data'!$B$7:$B$366,C1858)</x:f>
        <x:v>8.596428571428572</x:v>
      </x:c>
      <x:c r="J1858" s="381" t="n">
        <x:f>SUMIFS('Wind Proxy'!$H$8:$H$19,'Wind Proxy'!$A$8:$A$19,'Estimator'!$B$4,'Wind Proxy'!$B$8:$B$19,C1858)</x:f>
        <x:v>0.12544802867383514</x:v>
      </x:c>
    </x:row>
    <x:row r="1859">
      <x:c r="A1859" s="379" t="n">
        <x:v>47510</x:v>
      </x:c>
      <x:c r="B1859" s="380" t="n">
        <x:v>2030</x:v>
      </x:c>
      <x:c r="C1859" s="380" t="n">
        <x:v>1</x:v>
      </x:c>
      <x:c r="D1859" s="380" t="str">
        <x:v>Jan</x:v>
      </x:c>
      <x:c r="E1859" s="380" t="n">
        <x:v>27</x:v>
      </x:c>
      <x:c r="F1859" s="380" t="n">
        <x:v>7</x:v>
      </x:c>
      <x:c r="G1859" s="380" t="n">
        <x:f>--(F1859&lt;='Estimator'!$B$7)</x:f>
        <x:v>0</x:v>
      </x:c>
      <x:c r="H1859" s="381" t="n">
        <x:f>SUMIFS('Climate Data'!$G$7:$G$366,'Climate Data'!$A$7:$A$366,'Estimator'!$B$4,'Climate Data'!$B$7:$B$366,C1859)</x:f>
        <x:v>0.21802002224694106</x:v>
      </x:c>
      <x:c r="I1859" s="382" t="n">
        <x:f>SUMIFS('Climate Data'!$H$7:$H$366,'Climate Data'!$A$7:$A$366,'Estimator'!$B$4,'Climate Data'!$B$7:$B$366,C1859)</x:f>
        <x:v>8.596428571428572</x:v>
      </x:c>
      <x:c r="J1859" s="381" t="n">
        <x:f>SUMIFS('Wind Proxy'!$H$8:$H$19,'Wind Proxy'!$A$8:$A$19,'Estimator'!$B$4,'Wind Proxy'!$B$8:$B$19,C1859)</x:f>
        <x:v>0.12544802867383514</x:v>
      </x:c>
    </x:row>
    <x:row r="1860">
      <x:c r="A1860" s="379" t="n">
        <x:v>47511</x:v>
      </x:c>
      <x:c r="B1860" s="380" t="n">
        <x:v>2030</x:v>
      </x:c>
      <x:c r="C1860" s="380" t="n">
        <x:v>1</x:v>
      </x:c>
      <x:c r="D1860" s="380" t="str">
        <x:v>Jan</x:v>
      </x:c>
      <x:c r="E1860" s="380" t="n">
        <x:v>28</x:v>
      </x:c>
      <x:c r="F1860" s="380" t="n">
        <x:v>1</x:v>
      </x:c>
      <x:c r="G1860" s="380" t="n">
        <x:f>--(F1860&lt;='Estimator'!$B$7)</x:f>
        <x:v>1</x:v>
      </x:c>
      <x:c r="H1860" s="381" t="n">
        <x:f>SUMIFS('Climate Data'!$G$7:$G$366,'Climate Data'!$A$7:$A$366,'Estimator'!$B$4,'Climate Data'!$B$7:$B$366,C1860)</x:f>
        <x:v>0.21802002224694106</x:v>
      </x:c>
      <x:c r="I1860" s="382" t="n">
        <x:f>SUMIFS('Climate Data'!$H$7:$H$366,'Climate Data'!$A$7:$A$366,'Estimator'!$B$4,'Climate Data'!$B$7:$B$366,C1860)</x:f>
        <x:v>8.596428571428572</x:v>
      </x:c>
      <x:c r="J1860" s="381" t="n">
        <x:f>SUMIFS('Wind Proxy'!$H$8:$H$19,'Wind Proxy'!$A$8:$A$19,'Estimator'!$B$4,'Wind Proxy'!$B$8:$B$19,C1860)</x:f>
        <x:v>0.12544802867383514</x:v>
      </x:c>
    </x:row>
    <x:row r="1861">
      <x:c r="A1861" s="379" t="n">
        <x:v>47512</x:v>
      </x:c>
      <x:c r="B1861" s="380" t="n">
        <x:v>2030</x:v>
      </x:c>
      <x:c r="C1861" s="380" t="n">
        <x:v>1</x:v>
      </x:c>
      <x:c r="D1861" s="380" t="str">
        <x:v>Jan</x:v>
      </x:c>
      <x:c r="E1861" s="380" t="n">
        <x:v>29</x:v>
      </x:c>
      <x:c r="F1861" s="380" t="n">
        <x:v>2</x:v>
      </x:c>
      <x:c r="G1861" s="380" t="n">
        <x:f>--(F1861&lt;='Estimator'!$B$7)</x:f>
        <x:v>1</x:v>
      </x:c>
      <x:c r="H1861" s="381" t="n">
        <x:f>SUMIFS('Climate Data'!$G$7:$G$366,'Climate Data'!$A$7:$A$366,'Estimator'!$B$4,'Climate Data'!$B$7:$B$366,C1861)</x:f>
        <x:v>0.21802002224694106</x:v>
      </x:c>
      <x:c r="I1861" s="382" t="n">
        <x:f>SUMIFS('Climate Data'!$H$7:$H$366,'Climate Data'!$A$7:$A$366,'Estimator'!$B$4,'Climate Data'!$B$7:$B$366,C1861)</x:f>
        <x:v>8.596428571428572</x:v>
      </x:c>
      <x:c r="J1861" s="381" t="n">
        <x:f>SUMIFS('Wind Proxy'!$H$8:$H$19,'Wind Proxy'!$A$8:$A$19,'Estimator'!$B$4,'Wind Proxy'!$B$8:$B$19,C1861)</x:f>
        <x:v>0.12544802867383514</x:v>
      </x:c>
    </x:row>
    <x:row r="1862">
      <x:c r="A1862" s="379" t="n">
        <x:v>47513</x:v>
      </x:c>
      <x:c r="B1862" s="380" t="n">
        <x:v>2030</x:v>
      </x:c>
      <x:c r="C1862" s="380" t="n">
        <x:v>1</x:v>
      </x:c>
      <x:c r="D1862" s="380" t="str">
        <x:v>Jan</x:v>
      </x:c>
      <x:c r="E1862" s="380" t="n">
        <x:v>30</x:v>
      </x:c>
      <x:c r="F1862" s="380" t="n">
        <x:v>3</x:v>
      </x:c>
      <x:c r="G1862" s="380" t="n">
        <x:f>--(F1862&lt;='Estimator'!$B$7)</x:f>
        <x:v>1</x:v>
      </x:c>
      <x:c r="H1862" s="381" t="n">
        <x:f>SUMIFS('Climate Data'!$G$7:$G$366,'Climate Data'!$A$7:$A$366,'Estimator'!$B$4,'Climate Data'!$B$7:$B$366,C1862)</x:f>
        <x:v>0.21802002224694106</x:v>
      </x:c>
      <x:c r="I1862" s="382" t="n">
        <x:f>SUMIFS('Climate Data'!$H$7:$H$366,'Climate Data'!$A$7:$A$366,'Estimator'!$B$4,'Climate Data'!$B$7:$B$366,C1862)</x:f>
        <x:v>8.596428571428572</x:v>
      </x:c>
      <x:c r="J1862" s="381" t="n">
        <x:f>SUMIFS('Wind Proxy'!$H$8:$H$19,'Wind Proxy'!$A$8:$A$19,'Estimator'!$B$4,'Wind Proxy'!$B$8:$B$19,C1862)</x:f>
        <x:v>0.12544802867383514</x:v>
      </x:c>
    </x:row>
    <x:row r="1863">
      <x:c r="A1863" s="379" t="n">
        <x:v>47514</x:v>
      </x:c>
      <x:c r="B1863" s="380" t="n">
        <x:v>2030</x:v>
      </x:c>
      <x:c r="C1863" s="380" t="n">
        <x:v>1</x:v>
      </x:c>
      <x:c r="D1863" s="380" t="str">
        <x:v>Jan</x:v>
      </x:c>
      <x:c r="E1863" s="380" t="n">
        <x:v>31</x:v>
      </x:c>
      <x:c r="F1863" s="380" t="n">
        <x:v>4</x:v>
      </x:c>
      <x:c r="G1863" s="380" t="n">
        <x:f>--(F1863&lt;='Estimator'!$B$7)</x:f>
        <x:v>1</x:v>
      </x:c>
      <x:c r="H1863" s="381" t="n">
        <x:f>SUMIFS('Climate Data'!$G$7:$G$366,'Climate Data'!$A$7:$A$366,'Estimator'!$B$4,'Climate Data'!$B$7:$B$366,C1863)</x:f>
        <x:v>0.21802002224694106</x:v>
      </x:c>
      <x:c r="I1863" s="382" t="n">
        <x:f>SUMIFS('Climate Data'!$H$7:$H$366,'Climate Data'!$A$7:$A$366,'Estimator'!$B$4,'Climate Data'!$B$7:$B$366,C1863)</x:f>
        <x:v>8.596428571428572</x:v>
      </x:c>
      <x:c r="J1863" s="381" t="n">
        <x:f>SUMIFS('Wind Proxy'!$H$8:$H$19,'Wind Proxy'!$A$8:$A$19,'Estimator'!$B$4,'Wind Proxy'!$B$8:$B$19,C1863)</x:f>
        <x:v>0.12544802867383514</x:v>
      </x:c>
    </x:row>
    <x:row r="1864">
      <x:c r="A1864" s="379" t="n">
        <x:v>47515</x:v>
      </x:c>
      <x:c r="B1864" s="380" t="n">
        <x:v>2030</x:v>
      </x:c>
      <x:c r="C1864" s="380" t="n">
        <x:v>2</x:v>
      </x:c>
      <x:c r="D1864" s="380" t="str">
        <x:v>Feb</x:v>
      </x:c>
      <x:c r="E1864" s="380" t="n">
        <x:v>1</x:v>
      </x:c>
      <x:c r="F1864" s="380" t="n">
        <x:v>5</x:v>
      </x:c>
      <x:c r="G1864" s="380" t="n">
        <x:f>--(F1864&lt;='Estimator'!$B$7)</x:f>
        <x:v>1</x:v>
      </x:c>
      <x:c r="H1864" s="381" t="n">
        <x:f>SUMIFS('Climate Data'!$G$7:$G$366,'Climate Data'!$A$7:$A$366,'Estimator'!$B$4,'Climate Data'!$B$7:$B$366,C1864)</x:f>
        <x:v>0.23056278464541316</x:v>
      </x:c>
      <x:c r="I1864" s="382" t="n">
        <x:f>SUMIFS('Climate Data'!$H$7:$H$366,'Climate Data'!$A$7:$A$366,'Estimator'!$B$4,'Climate Data'!$B$7:$B$366,C1864)</x:f>
        <x:v>9.682010582010582</x:v>
      </x:c>
      <x:c r="J1864" s="381" t="n">
        <x:f>SUMIFS('Wind Proxy'!$H$8:$H$19,'Wind Proxy'!$A$8:$A$19,'Estimator'!$B$4,'Wind Proxy'!$B$8:$B$19,C1864)</x:f>
        <x:v>0.13757861635220128</x:v>
      </x:c>
    </x:row>
    <x:row r="1865">
      <x:c r="A1865" s="379" t="n">
        <x:v>47516</x:v>
      </x:c>
      <x:c r="B1865" s="380" t="n">
        <x:v>2030</x:v>
      </x:c>
      <x:c r="C1865" s="380" t="n">
        <x:v>2</x:v>
      </x:c>
      <x:c r="D1865" s="380" t="str">
        <x:v>Feb</x:v>
      </x:c>
      <x:c r="E1865" s="380" t="n">
        <x:v>2</x:v>
      </x:c>
      <x:c r="F1865" s="380" t="n">
        <x:v>6</x:v>
      </x:c>
      <x:c r="G1865" s="380" t="n">
        <x:f>--(F1865&lt;='Estimator'!$B$7)</x:f>
        <x:v>0</x:v>
      </x:c>
      <x:c r="H1865" s="381" t="n">
        <x:f>SUMIFS('Climate Data'!$G$7:$G$366,'Climate Data'!$A$7:$A$366,'Estimator'!$B$4,'Climate Data'!$B$7:$B$366,C1865)</x:f>
        <x:v>0.23056278464541316</x:v>
      </x:c>
      <x:c r="I1865" s="382" t="n">
        <x:f>SUMIFS('Climate Data'!$H$7:$H$366,'Climate Data'!$A$7:$A$366,'Estimator'!$B$4,'Climate Data'!$B$7:$B$366,C1865)</x:f>
        <x:v>9.682010582010582</x:v>
      </x:c>
      <x:c r="J1865" s="381" t="n">
        <x:f>SUMIFS('Wind Proxy'!$H$8:$H$19,'Wind Proxy'!$A$8:$A$19,'Estimator'!$B$4,'Wind Proxy'!$B$8:$B$19,C1865)</x:f>
        <x:v>0.13757861635220128</x:v>
      </x:c>
    </x:row>
    <x:row r="1866">
      <x:c r="A1866" s="379" t="n">
        <x:v>47517</x:v>
      </x:c>
      <x:c r="B1866" s="380" t="n">
        <x:v>2030</x:v>
      </x:c>
      <x:c r="C1866" s="380" t="n">
        <x:v>2</x:v>
      </x:c>
      <x:c r="D1866" s="380" t="str">
        <x:v>Feb</x:v>
      </x:c>
      <x:c r="E1866" s="380" t="n">
        <x:v>3</x:v>
      </x:c>
      <x:c r="F1866" s="380" t="n">
        <x:v>7</x:v>
      </x:c>
      <x:c r="G1866" s="380" t="n">
        <x:f>--(F1866&lt;='Estimator'!$B$7)</x:f>
        <x:v>0</x:v>
      </x:c>
      <x:c r="H1866" s="381" t="n">
        <x:f>SUMIFS('Climate Data'!$G$7:$G$366,'Climate Data'!$A$7:$A$366,'Estimator'!$B$4,'Climate Data'!$B$7:$B$366,C1866)</x:f>
        <x:v>0.23056278464541316</x:v>
      </x:c>
      <x:c r="I1866" s="382" t="n">
        <x:f>SUMIFS('Climate Data'!$H$7:$H$366,'Climate Data'!$A$7:$A$366,'Estimator'!$B$4,'Climate Data'!$B$7:$B$366,C1866)</x:f>
        <x:v>9.682010582010582</x:v>
      </x:c>
      <x:c r="J1866" s="381" t="n">
        <x:f>SUMIFS('Wind Proxy'!$H$8:$H$19,'Wind Proxy'!$A$8:$A$19,'Estimator'!$B$4,'Wind Proxy'!$B$8:$B$19,C1866)</x:f>
        <x:v>0.13757861635220128</x:v>
      </x:c>
    </x:row>
    <x:row r="1867">
      <x:c r="A1867" s="379" t="n">
        <x:v>47518</x:v>
      </x:c>
      <x:c r="B1867" s="380" t="n">
        <x:v>2030</x:v>
      </x:c>
      <x:c r="C1867" s="380" t="n">
        <x:v>2</x:v>
      </x:c>
      <x:c r="D1867" s="380" t="str">
        <x:v>Feb</x:v>
      </x:c>
      <x:c r="E1867" s="380" t="n">
        <x:v>4</x:v>
      </x:c>
      <x:c r="F1867" s="380" t="n">
        <x:v>1</x:v>
      </x:c>
      <x:c r="G1867" s="380" t="n">
        <x:f>--(F1867&lt;='Estimator'!$B$7)</x:f>
        <x:v>1</x:v>
      </x:c>
      <x:c r="H1867" s="381" t="n">
        <x:f>SUMIFS('Climate Data'!$G$7:$G$366,'Climate Data'!$A$7:$A$366,'Estimator'!$B$4,'Climate Data'!$B$7:$B$366,C1867)</x:f>
        <x:v>0.23056278464541316</x:v>
      </x:c>
      <x:c r="I1867" s="382" t="n">
        <x:f>SUMIFS('Climate Data'!$H$7:$H$366,'Climate Data'!$A$7:$A$366,'Estimator'!$B$4,'Climate Data'!$B$7:$B$366,C1867)</x:f>
        <x:v>9.682010582010582</x:v>
      </x:c>
      <x:c r="J1867" s="381" t="n">
        <x:f>SUMIFS('Wind Proxy'!$H$8:$H$19,'Wind Proxy'!$A$8:$A$19,'Estimator'!$B$4,'Wind Proxy'!$B$8:$B$19,C1867)</x:f>
        <x:v>0.13757861635220128</x:v>
      </x:c>
    </x:row>
    <x:row r="1868">
      <x:c r="A1868" s="379" t="n">
        <x:v>47519</x:v>
      </x:c>
      <x:c r="B1868" s="380" t="n">
        <x:v>2030</x:v>
      </x:c>
      <x:c r="C1868" s="380" t="n">
        <x:v>2</x:v>
      </x:c>
      <x:c r="D1868" s="380" t="str">
        <x:v>Feb</x:v>
      </x:c>
      <x:c r="E1868" s="380" t="n">
        <x:v>5</x:v>
      </x:c>
      <x:c r="F1868" s="380" t="n">
        <x:v>2</x:v>
      </x:c>
      <x:c r="G1868" s="380" t="n">
        <x:f>--(F1868&lt;='Estimator'!$B$7)</x:f>
        <x:v>1</x:v>
      </x:c>
      <x:c r="H1868" s="381" t="n">
        <x:f>SUMIFS('Climate Data'!$G$7:$G$366,'Climate Data'!$A$7:$A$366,'Estimator'!$B$4,'Climate Data'!$B$7:$B$366,C1868)</x:f>
        <x:v>0.23056278464541316</x:v>
      </x:c>
      <x:c r="I1868" s="382" t="n">
        <x:f>SUMIFS('Climate Data'!$H$7:$H$366,'Climate Data'!$A$7:$A$366,'Estimator'!$B$4,'Climate Data'!$B$7:$B$366,C1868)</x:f>
        <x:v>9.682010582010582</x:v>
      </x:c>
      <x:c r="J1868" s="381" t="n">
        <x:f>SUMIFS('Wind Proxy'!$H$8:$H$19,'Wind Proxy'!$A$8:$A$19,'Estimator'!$B$4,'Wind Proxy'!$B$8:$B$19,C1868)</x:f>
        <x:v>0.13757861635220128</x:v>
      </x:c>
    </x:row>
    <x:row r="1869">
      <x:c r="A1869" s="379" t="n">
        <x:v>47520</x:v>
      </x:c>
      <x:c r="B1869" s="380" t="n">
        <x:v>2030</x:v>
      </x:c>
      <x:c r="C1869" s="380" t="n">
        <x:v>2</x:v>
      </x:c>
      <x:c r="D1869" s="380" t="str">
        <x:v>Feb</x:v>
      </x:c>
      <x:c r="E1869" s="380" t="n">
        <x:v>6</x:v>
      </x:c>
      <x:c r="F1869" s="380" t="n">
        <x:v>3</x:v>
      </x:c>
      <x:c r="G1869" s="380" t="n">
        <x:f>--(F1869&lt;='Estimator'!$B$7)</x:f>
        <x:v>1</x:v>
      </x:c>
      <x:c r="H1869" s="381" t="n">
        <x:f>SUMIFS('Climate Data'!$G$7:$G$366,'Climate Data'!$A$7:$A$366,'Estimator'!$B$4,'Climate Data'!$B$7:$B$366,C1869)</x:f>
        <x:v>0.23056278464541316</x:v>
      </x:c>
      <x:c r="I1869" s="382" t="n">
        <x:f>SUMIFS('Climate Data'!$H$7:$H$366,'Climate Data'!$A$7:$A$366,'Estimator'!$B$4,'Climate Data'!$B$7:$B$366,C1869)</x:f>
        <x:v>9.682010582010582</x:v>
      </x:c>
      <x:c r="J1869" s="381" t="n">
        <x:f>SUMIFS('Wind Proxy'!$H$8:$H$19,'Wind Proxy'!$A$8:$A$19,'Estimator'!$B$4,'Wind Proxy'!$B$8:$B$19,C1869)</x:f>
        <x:v>0.13757861635220128</x:v>
      </x:c>
    </x:row>
    <x:row r="1870">
      <x:c r="A1870" s="379" t="n">
        <x:v>47521</x:v>
      </x:c>
      <x:c r="B1870" s="380" t="n">
        <x:v>2030</x:v>
      </x:c>
      <x:c r="C1870" s="380" t="n">
        <x:v>2</x:v>
      </x:c>
      <x:c r="D1870" s="380" t="str">
        <x:v>Feb</x:v>
      </x:c>
      <x:c r="E1870" s="380" t="n">
        <x:v>7</x:v>
      </x:c>
      <x:c r="F1870" s="380" t="n">
        <x:v>4</x:v>
      </x:c>
      <x:c r="G1870" s="380" t="n">
        <x:f>--(F1870&lt;='Estimator'!$B$7)</x:f>
        <x:v>1</x:v>
      </x:c>
      <x:c r="H1870" s="381" t="n">
        <x:f>SUMIFS('Climate Data'!$G$7:$G$366,'Climate Data'!$A$7:$A$366,'Estimator'!$B$4,'Climate Data'!$B$7:$B$366,C1870)</x:f>
        <x:v>0.23056278464541316</x:v>
      </x:c>
      <x:c r="I1870" s="382" t="n">
        <x:f>SUMIFS('Climate Data'!$H$7:$H$366,'Climate Data'!$A$7:$A$366,'Estimator'!$B$4,'Climate Data'!$B$7:$B$366,C1870)</x:f>
        <x:v>9.682010582010582</x:v>
      </x:c>
      <x:c r="J1870" s="381" t="n">
        <x:f>SUMIFS('Wind Proxy'!$H$8:$H$19,'Wind Proxy'!$A$8:$A$19,'Estimator'!$B$4,'Wind Proxy'!$B$8:$B$19,C1870)</x:f>
        <x:v>0.13757861635220128</x:v>
      </x:c>
    </x:row>
    <x:row r="1871">
      <x:c r="A1871" s="379" t="n">
        <x:v>47522</x:v>
      </x:c>
      <x:c r="B1871" s="380" t="n">
        <x:v>2030</x:v>
      </x:c>
      <x:c r="C1871" s="380" t="n">
        <x:v>2</x:v>
      </x:c>
      <x:c r="D1871" s="380" t="str">
        <x:v>Feb</x:v>
      </x:c>
      <x:c r="E1871" s="380" t="n">
        <x:v>8</x:v>
      </x:c>
      <x:c r="F1871" s="380" t="n">
        <x:v>5</x:v>
      </x:c>
      <x:c r="G1871" s="380" t="n">
        <x:f>--(F1871&lt;='Estimator'!$B$7)</x:f>
        <x:v>1</x:v>
      </x:c>
      <x:c r="H1871" s="381" t="n">
        <x:f>SUMIFS('Climate Data'!$G$7:$G$366,'Climate Data'!$A$7:$A$366,'Estimator'!$B$4,'Climate Data'!$B$7:$B$366,C1871)</x:f>
        <x:v>0.23056278464541316</x:v>
      </x:c>
      <x:c r="I1871" s="382" t="n">
        <x:f>SUMIFS('Climate Data'!$H$7:$H$366,'Climate Data'!$A$7:$A$366,'Estimator'!$B$4,'Climate Data'!$B$7:$B$366,C1871)</x:f>
        <x:v>9.682010582010582</x:v>
      </x:c>
      <x:c r="J1871" s="381" t="n">
        <x:f>SUMIFS('Wind Proxy'!$H$8:$H$19,'Wind Proxy'!$A$8:$A$19,'Estimator'!$B$4,'Wind Proxy'!$B$8:$B$19,C1871)</x:f>
        <x:v>0.13757861635220128</x:v>
      </x:c>
    </x:row>
    <x:row r="1872">
      <x:c r="A1872" s="379" t="n">
        <x:v>47523</x:v>
      </x:c>
      <x:c r="B1872" s="380" t="n">
        <x:v>2030</x:v>
      </x:c>
      <x:c r="C1872" s="380" t="n">
        <x:v>2</x:v>
      </x:c>
      <x:c r="D1872" s="380" t="str">
        <x:v>Feb</x:v>
      </x:c>
      <x:c r="E1872" s="380" t="n">
        <x:v>9</x:v>
      </x:c>
      <x:c r="F1872" s="380" t="n">
        <x:v>6</x:v>
      </x:c>
      <x:c r="G1872" s="380" t="n">
        <x:f>--(F1872&lt;='Estimator'!$B$7)</x:f>
        <x:v>0</x:v>
      </x:c>
      <x:c r="H1872" s="381" t="n">
        <x:f>SUMIFS('Climate Data'!$G$7:$G$366,'Climate Data'!$A$7:$A$366,'Estimator'!$B$4,'Climate Data'!$B$7:$B$366,C1872)</x:f>
        <x:v>0.23056278464541316</x:v>
      </x:c>
      <x:c r="I1872" s="382" t="n">
        <x:f>SUMIFS('Climate Data'!$H$7:$H$366,'Climate Data'!$A$7:$A$366,'Estimator'!$B$4,'Climate Data'!$B$7:$B$366,C1872)</x:f>
        <x:v>9.682010582010582</x:v>
      </x:c>
      <x:c r="J1872" s="381" t="n">
        <x:f>SUMIFS('Wind Proxy'!$H$8:$H$19,'Wind Proxy'!$A$8:$A$19,'Estimator'!$B$4,'Wind Proxy'!$B$8:$B$19,C1872)</x:f>
        <x:v>0.13757861635220128</x:v>
      </x:c>
    </x:row>
    <x:row r="1873">
      <x:c r="A1873" s="379" t="n">
        <x:v>47524</x:v>
      </x:c>
      <x:c r="B1873" s="380" t="n">
        <x:v>2030</x:v>
      </x:c>
      <x:c r="C1873" s="380" t="n">
        <x:v>2</x:v>
      </x:c>
      <x:c r="D1873" s="380" t="str">
        <x:v>Feb</x:v>
      </x:c>
      <x:c r="E1873" s="380" t="n">
        <x:v>10</x:v>
      </x:c>
      <x:c r="F1873" s="380" t="n">
        <x:v>7</x:v>
      </x:c>
      <x:c r="G1873" s="380" t="n">
        <x:f>--(F1873&lt;='Estimator'!$B$7)</x:f>
        <x:v>0</x:v>
      </x:c>
      <x:c r="H1873" s="381" t="n">
        <x:f>SUMIFS('Climate Data'!$G$7:$G$366,'Climate Data'!$A$7:$A$366,'Estimator'!$B$4,'Climate Data'!$B$7:$B$366,C1873)</x:f>
        <x:v>0.23056278464541316</x:v>
      </x:c>
      <x:c r="I1873" s="382" t="n">
        <x:f>SUMIFS('Climate Data'!$H$7:$H$366,'Climate Data'!$A$7:$A$366,'Estimator'!$B$4,'Climate Data'!$B$7:$B$366,C1873)</x:f>
        <x:v>9.682010582010582</x:v>
      </x:c>
      <x:c r="J1873" s="381" t="n">
        <x:f>SUMIFS('Wind Proxy'!$H$8:$H$19,'Wind Proxy'!$A$8:$A$19,'Estimator'!$B$4,'Wind Proxy'!$B$8:$B$19,C1873)</x:f>
        <x:v>0.13757861635220128</x:v>
      </x:c>
    </x:row>
    <x:row r="1874">
      <x:c r="A1874" s="379" t="n">
        <x:v>47525</x:v>
      </x:c>
      <x:c r="B1874" s="380" t="n">
        <x:v>2030</x:v>
      </x:c>
      <x:c r="C1874" s="380" t="n">
        <x:v>2</x:v>
      </x:c>
      <x:c r="D1874" s="380" t="str">
        <x:v>Feb</x:v>
      </x:c>
      <x:c r="E1874" s="380" t="n">
        <x:v>11</x:v>
      </x:c>
      <x:c r="F1874" s="380" t="n">
        <x:v>1</x:v>
      </x:c>
      <x:c r="G1874" s="380" t="n">
        <x:f>--(F1874&lt;='Estimator'!$B$7)</x:f>
        <x:v>1</x:v>
      </x:c>
      <x:c r="H1874" s="381" t="n">
        <x:f>SUMIFS('Climate Data'!$G$7:$G$366,'Climate Data'!$A$7:$A$366,'Estimator'!$B$4,'Climate Data'!$B$7:$B$366,C1874)</x:f>
        <x:v>0.23056278464541316</x:v>
      </x:c>
      <x:c r="I1874" s="382" t="n">
        <x:f>SUMIFS('Climate Data'!$H$7:$H$366,'Climate Data'!$A$7:$A$366,'Estimator'!$B$4,'Climate Data'!$B$7:$B$366,C1874)</x:f>
        <x:v>9.682010582010582</x:v>
      </x:c>
      <x:c r="J1874" s="381" t="n">
        <x:f>SUMIFS('Wind Proxy'!$H$8:$H$19,'Wind Proxy'!$A$8:$A$19,'Estimator'!$B$4,'Wind Proxy'!$B$8:$B$19,C1874)</x:f>
        <x:v>0.13757861635220128</x:v>
      </x:c>
    </x:row>
    <x:row r="1875">
      <x:c r="A1875" s="379" t="n">
        <x:v>47526</x:v>
      </x:c>
      <x:c r="B1875" s="380" t="n">
        <x:v>2030</x:v>
      </x:c>
      <x:c r="C1875" s="380" t="n">
        <x:v>2</x:v>
      </x:c>
      <x:c r="D1875" s="380" t="str">
        <x:v>Feb</x:v>
      </x:c>
      <x:c r="E1875" s="380" t="n">
        <x:v>12</x:v>
      </x:c>
      <x:c r="F1875" s="380" t="n">
        <x:v>2</x:v>
      </x:c>
      <x:c r="G1875" s="380" t="n">
        <x:f>--(F1875&lt;='Estimator'!$B$7)</x:f>
        <x:v>1</x:v>
      </x:c>
      <x:c r="H1875" s="381" t="n">
        <x:f>SUMIFS('Climate Data'!$G$7:$G$366,'Climate Data'!$A$7:$A$366,'Estimator'!$B$4,'Climate Data'!$B$7:$B$366,C1875)</x:f>
        <x:v>0.23056278464541316</x:v>
      </x:c>
      <x:c r="I1875" s="382" t="n">
        <x:f>SUMIFS('Climate Data'!$H$7:$H$366,'Climate Data'!$A$7:$A$366,'Estimator'!$B$4,'Climate Data'!$B$7:$B$366,C1875)</x:f>
        <x:v>9.682010582010582</x:v>
      </x:c>
      <x:c r="J1875" s="381" t="n">
        <x:f>SUMIFS('Wind Proxy'!$H$8:$H$19,'Wind Proxy'!$A$8:$A$19,'Estimator'!$B$4,'Wind Proxy'!$B$8:$B$19,C1875)</x:f>
        <x:v>0.13757861635220128</x:v>
      </x:c>
    </x:row>
    <x:row r="1876">
      <x:c r="A1876" s="379" t="n">
        <x:v>47527</x:v>
      </x:c>
      <x:c r="B1876" s="380" t="n">
        <x:v>2030</x:v>
      </x:c>
      <x:c r="C1876" s="380" t="n">
        <x:v>2</x:v>
      </x:c>
      <x:c r="D1876" s="380" t="str">
        <x:v>Feb</x:v>
      </x:c>
      <x:c r="E1876" s="380" t="n">
        <x:v>13</x:v>
      </x:c>
      <x:c r="F1876" s="380" t="n">
        <x:v>3</x:v>
      </x:c>
      <x:c r="G1876" s="380" t="n">
        <x:f>--(F1876&lt;='Estimator'!$B$7)</x:f>
        <x:v>1</x:v>
      </x:c>
      <x:c r="H1876" s="381" t="n">
        <x:f>SUMIFS('Climate Data'!$G$7:$G$366,'Climate Data'!$A$7:$A$366,'Estimator'!$B$4,'Climate Data'!$B$7:$B$366,C1876)</x:f>
        <x:v>0.23056278464541316</x:v>
      </x:c>
      <x:c r="I1876" s="382" t="n">
        <x:f>SUMIFS('Climate Data'!$H$7:$H$366,'Climate Data'!$A$7:$A$366,'Estimator'!$B$4,'Climate Data'!$B$7:$B$366,C1876)</x:f>
        <x:v>9.682010582010582</x:v>
      </x:c>
      <x:c r="J1876" s="381" t="n">
        <x:f>SUMIFS('Wind Proxy'!$H$8:$H$19,'Wind Proxy'!$A$8:$A$19,'Estimator'!$B$4,'Wind Proxy'!$B$8:$B$19,C1876)</x:f>
        <x:v>0.13757861635220128</x:v>
      </x:c>
    </x:row>
    <x:row r="1877">
      <x:c r="A1877" s="379" t="n">
        <x:v>47528</x:v>
      </x:c>
      <x:c r="B1877" s="380" t="n">
        <x:v>2030</x:v>
      </x:c>
      <x:c r="C1877" s="380" t="n">
        <x:v>2</x:v>
      </x:c>
      <x:c r="D1877" s="380" t="str">
        <x:v>Feb</x:v>
      </x:c>
      <x:c r="E1877" s="380" t="n">
        <x:v>14</x:v>
      </x:c>
      <x:c r="F1877" s="380" t="n">
        <x:v>4</x:v>
      </x:c>
      <x:c r="G1877" s="380" t="n">
        <x:f>--(F1877&lt;='Estimator'!$B$7)</x:f>
        <x:v>1</x:v>
      </x:c>
      <x:c r="H1877" s="381" t="n">
        <x:f>SUMIFS('Climate Data'!$G$7:$G$366,'Climate Data'!$A$7:$A$366,'Estimator'!$B$4,'Climate Data'!$B$7:$B$366,C1877)</x:f>
        <x:v>0.23056278464541316</x:v>
      </x:c>
      <x:c r="I1877" s="382" t="n">
        <x:f>SUMIFS('Climate Data'!$H$7:$H$366,'Climate Data'!$A$7:$A$366,'Estimator'!$B$4,'Climate Data'!$B$7:$B$366,C1877)</x:f>
        <x:v>9.682010582010582</x:v>
      </x:c>
      <x:c r="J1877" s="381" t="n">
        <x:f>SUMIFS('Wind Proxy'!$H$8:$H$19,'Wind Proxy'!$A$8:$A$19,'Estimator'!$B$4,'Wind Proxy'!$B$8:$B$19,C1877)</x:f>
        <x:v>0.13757861635220128</x:v>
      </x:c>
    </x:row>
    <x:row r="1878">
      <x:c r="A1878" s="379" t="n">
        <x:v>47529</x:v>
      </x:c>
      <x:c r="B1878" s="380" t="n">
        <x:v>2030</x:v>
      </x:c>
      <x:c r="C1878" s="380" t="n">
        <x:v>2</x:v>
      </x:c>
      <x:c r="D1878" s="380" t="str">
        <x:v>Feb</x:v>
      </x:c>
      <x:c r="E1878" s="380" t="n">
        <x:v>15</x:v>
      </x:c>
      <x:c r="F1878" s="380" t="n">
        <x:v>5</x:v>
      </x:c>
      <x:c r="G1878" s="380" t="n">
        <x:f>--(F1878&lt;='Estimator'!$B$7)</x:f>
        <x:v>1</x:v>
      </x:c>
      <x:c r="H1878" s="381" t="n">
        <x:f>SUMIFS('Climate Data'!$G$7:$G$366,'Climate Data'!$A$7:$A$366,'Estimator'!$B$4,'Climate Data'!$B$7:$B$366,C1878)</x:f>
        <x:v>0.23056278464541316</x:v>
      </x:c>
      <x:c r="I1878" s="382" t="n">
        <x:f>SUMIFS('Climate Data'!$H$7:$H$366,'Climate Data'!$A$7:$A$366,'Estimator'!$B$4,'Climate Data'!$B$7:$B$366,C1878)</x:f>
        <x:v>9.682010582010582</x:v>
      </x:c>
      <x:c r="J1878" s="381" t="n">
        <x:f>SUMIFS('Wind Proxy'!$H$8:$H$19,'Wind Proxy'!$A$8:$A$19,'Estimator'!$B$4,'Wind Proxy'!$B$8:$B$19,C1878)</x:f>
        <x:v>0.13757861635220128</x:v>
      </x:c>
    </x:row>
    <x:row r="1879">
      <x:c r="A1879" s="379" t="n">
        <x:v>47530</x:v>
      </x:c>
      <x:c r="B1879" s="380" t="n">
        <x:v>2030</x:v>
      </x:c>
      <x:c r="C1879" s="380" t="n">
        <x:v>2</x:v>
      </x:c>
      <x:c r="D1879" s="380" t="str">
        <x:v>Feb</x:v>
      </x:c>
      <x:c r="E1879" s="380" t="n">
        <x:v>16</x:v>
      </x:c>
      <x:c r="F1879" s="380" t="n">
        <x:v>6</x:v>
      </x:c>
      <x:c r="G1879" s="380" t="n">
        <x:f>--(F1879&lt;='Estimator'!$B$7)</x:f>
        <x:v>0</x:v>
      </x:c>
      <x:c r="H1879" s="381" t="n">
        <x:f>SUMIFS('Climate Data'!$G$7:$G$366,'Climate Data'!$A$7:$A$366,'Estimator'!$B$4,'Climate Data'!$B$7:$B$366,C1879)</x:f>
        <x:v>0.23056278464541316</x:v>
      </x:c>
      <x:c r="I1879" s="382" t="n">
        <x:f>SUMIFS('Climate Data'!$H$7:$H$366,'Climate Data'!$A$7:$A$366,'Estimator'!$B$4,'Climate Data'!$B$7:$B$366,C1879)</x:f>
        <x:v>9.682010582010582</x:v>
      </x:c>
      <x:c r="J1879" s="381" t="n">
        <x:f>SUMIFS('Wind Proxy'!$H$8:$H$19,'Wind Proxy'!$A$8:$A$19,'Estimator'!$B$4,'Wind Proxy'!$B$8:$B$19,C1879)</x:f>
        <x:v>0.13757861635220128</x:v>
      </x:c>
    </x:row>
    <x:row r="1880">
      <x:c r="A1880" s="379" t="n">
        <x:v>47531</x:v>
      </x:c>
      <x:c r="B1880" s="380" t="n">
        <x:v>2030</x:v>
      </x:c>
      <x:c r="C1880" s="380" t="n">
        <x:v>2</x:v>
      </x:c>
      <x:c r="D1880" s="380" t="str">
        <x:v>Feb</x:v>
      </x:c>
      <x:c r="E1880" s="380" t="n">
        <x:v>17</x:v>
      </x:c>
      <x:c r="F1880" s="380" t="n">
        <x:v>7</x:v>
      </x:c>
      <x:c r="G1880" s="380" t="n">
        <x:f>--(F1880&lt;='Estimator'!$B$7)</x:f>
        <x:v>0</x:v>
      </x:c>
      <x:c r="H1880" s="381" t="n">
        <x:f>SUMIFS('Climate Data'!$G$7:$G$366,'Climate Data'!$A$7:$A$366,'Estimator'!$B$4,'Climate Data'!$B$7:$B$366,C1880)</x:f>
        <x:v>0.23056278464541316</x:v>
      </x:c>
      <x:c r="I1880" s="382" t="n">
        <x:f>SUMIFS('Climate Data'!$H$7:$H$366,'Climate Data'!$A$7:$A$366,'Estimator'!$B$4,'Climate Data'!$B$7:$B$366,C1880)</x:f>
        <x:v>9.682010582010582</x:v>
      </x:c>
      <x:c r="J1880" s="381" t="n">
        <x:f>SUMIFS('Wind Proxy'!$H$8:$H$19,'Wind Proxy'!$A$8:$A$19,'Estimator'!$B$4,'Wind Proxy'!$B$8:$B$19,C1880)</x:f>
        <x:v>0.13757861635220128</x:v>
      </x:c>
    </x:row>
    <x:row r="1881">
      <x:c r="A1881" s="379" t="n">
        <x:v>47532</x:v>
      </x:c>
      <x:c r="B1881" s="380" t="n">
        <x:v>2030</x:v>
      </x:c>
      <x:c r="C1881" s="380" t="n">
        <x:v>2</x:v>
      </x:c>
      <x:c r="D1881" s="380" t="str">
        <x:v>Feb</x:v>
      </x:c>
      <x:c r="E1881" s="380" t="n">
        <x:v>18</x:v>
      </x:c>
      <x:c r="F1881" s="380" t="n">
        <x:v>1</x:v>
      </x:c>
      <x:c r="G1881" s="380" t="n">
        <x:f>--(F1881&lt;='Estimator'!$B$7)</x:f>
        <x:v>1</x:v>
      </x:c>
      <x:c r="H1881" s="381" t="n">
        <x:f>SUMIFS('Climate Data'!$G$7:$G$366,'Climate Data'!$A$7:$A$366,'Estimator'!$B$4,'Climate Data'!$B$7:$B$366,C1881)</x:f>
        <x:v>0.23056278464541316</x:v>
      </x:c>
      <x:c r="I1881" s="382" t="n">
        <x:f>SUMIFS('Climate Data'!$H$7:$H$366,'Climate Data'!$A$7:$A$366,'Estimator'!$B$4,'Climate Data'!$B$7:$B$366,C1881)</x:f>
        <x:v>9.682010582010582</x:v>
      </x:c>
      <x:c r="J1881" s="381" t="n">
        <x:f>SUMIFS('Wind Proxy'!$H$8:$H$19,'Wind Proxy'!$A$8:$A$19,'Estimator'!$B$4,'Wind Proxy'!$B$8:$B$19,C1881)</x:f>
        <x:v>0.13757861635220128</x:v>
      </x:c>
    </x:row>
    <x:row r="1882">
      <x:c r="A1882" s="379" t="n">
        <x:v>47533</x:v>
      </x:c>
      <x:c r="B1882" s="380" t="n">
        <x:v>2030</x:v>
      </x:c>
      <x:c r="C1882" s="380" t="n">
        <x:v>2</x:v>
      </x:c>
      <x:c r="D1882" s="380" t="str">
        <x:v>Feb</x:v>
      </x:c>
      <x:c r="E1882" s="380" t="n">
        <x:v>19</x:v>
      </x:c>
      <x:c r="F1882" s="380" t="n">
        <x:v>2</x:v>
      </x:c>
      <x:c r="G1882" s="380" t="n">
        <x:f>--(F1882&lt;='Estimator'!$B$7)</x:f>
        <x:v>1</x:v>
      </x:c>
      <x:c r="H1882" s="381" t="n">
        <x:f>SUMIFS('Climate Data'!$G$7:$G$366,'Climate Data'!$A$7:$A$366,'Estimator'!$B$4,'Climate Data'!$B$7:$B$366,C1882)</x:f>
        <x:v>0.23056278464541316</x:v>
      </x:c>
      <x:c r="I1882" s="382" t="n">
        <x:f>SUMIFS('Climate Data'!$H$7:$H$366,'Climate Data'!$A$7:$A$366,'Estimator'!$B$4,'Climate Data'!$B$7:$B$366,C1882)</x:f>
        <x:v>9.682010582010582</x:v>
      </x:c>
      <x:c r="J1882" s="381" t="n">
        <x:f>SUMIFS('Wind Proxy'!$H$8:$H$19,'Wind Proxy'!$A$8:$A$19,'Estimator'!$B$4,'Wind Proxy'!$B$8:$B$19,C1882)</x:f>
        <x:v>0.13757861635220128</x:v>
      </x:c>
    </x:row>
    <x:row r="1883">
      <x:c r="A1883" s="379" t="n">
        <x:v>47534</x:v>
      </x:c>
      <x:c r="B1883" s="380" t="n">
        <x:v>2030</x:v>
      </x:c>
      <x:c r="C1883" s="380" t="n">
        <x:v>2</x:v>
      </x:c>
      <x:c r="D1883" s="380" t="str">
        <x:v>Feb</x:v>
      </x:c>
      <x:c r="E1883" s="380" t="n">
        <x:v>20</x:v>
      </x:c>
      <x:c r="F1883" s="380" t="n">
        <x:v>3</x:v>
      </x:c>
      <x:c r="G1883" s="380" t="n">
        <x:f>--(F1883&lt;='Estimator'!$B$7)</x:f>
        <x:v>1</x:v>
      </x:c>
      <x:c r="H1883" s="381" t="n">
        <x:f>SUMIFS('Climate Data'!$G$7:$G$366,'Climate Data'!$A$7:$A$366,'Estimator'!$B$4,'Climate Data'!$B$7:$B$366,C1883)</x:f>
        <x:v>0.23056278464541316</x:v>
      </x:c>
      <x:c r="I1883" s="382" t="n">
        <x:f>SUMIFS('Climate Data'!$H$7:$H$366,'Climate Data'!$A$7:$A$366,'Estimator'!$B$4,'Climate Data'!$B$7:$B$366,C1883)</x:f>
        <x:v>9.682010582010582</x:v>
      </x:c>
      <x:c r="J1883" s="381" t="n">
        <x:f>SUMIFS('Wind Proxy'!$H$8:$H$19,'Wind Proxy'!$A$8:$A$19,'Estimator'!$B$4,'Wind Proxy'!$B$8:$B$19,C1883)</x:f>
        <x:v>0.13757861635220128</x:v>
      </x:c>
    </x:row>
    <x:row r="1884">
      <x:c r="A1884" s="379" t="n">
        <x:v>47535</x:v>
      </x:c>
      <x:c r="B1884" s="380" t="n">
        <x:v>2030</x:v>
      </x:c>
      <x:c r="C1884" s="380" t="n">
        <x:v>2</x:v>
      </x:c>
      <x:c r="D1884" s="380" t="str">
        <x:v>Feb</x:v>
      </x:c>
      <x:c r="E1884" s="380" t="n">
        <x:v>21</x:v>
      </x:c>
      <x:c r="F1884" s="380" t="n">
        <x:v>4</x:v>
      </x:c>
      <x:c r="G1884" s="380" t="n">
        <x:f>--(F1884&lt;='Estimator'!$B$7)</x:f>
        <x:v>1</x:v>
      </x:c>
      <x:c r="H1884" s="381" t="n">
        <x:f>SUMIFS('Climate Data'!$G$7:$G$366,'Climate Data'!$A$7:$A$366,'Estimator'!$B$4,'Climate Data'!$B$7:$B$366,C1884)</x:f>
        <x:v>0.23056278464541316</x:v>
      </x:c>
      <x:c r="I1884" s="382" t="n">
        <x:f>SUMIFS('Climate Data'!$H$7:$H$366,'Climate Data'!$A$7:$A$366,'Estimator'!$B$4,'Climate Data'!$B$7:$B$366,C1884)</x:f>
        <x:v>9.682010582010582</x:v>
      </x:c>
      <x:c r="J1884" s="381" t="n">
        <x:f>SUMIFS('Wind Proxy'!$H$8:$H$19,'Wind Proxy'!$A$8:$A$19,'Estimator'!$B$4,'Wind Proxy'!$B$8:$B$19,C1884)</x:f>
        <x:v>0.13757861635220128</x:v>
      </x:c>
    </x:row>
    <x:row r="1885">
      <x:c r="A1885" s="379" t="n">
        <x:v>47536</x:v>
      </x:c>
      <x:c r="B1885" s="380" t="n">
        <x:v>2030</x:v>
      </x:c>
      <x:c r="C1885" s="380" t="n">
        <x:v>2</x:v>
      </x:c>
      <x:c r="D1885" s="380" t="str">
        <x:v>Feb</x:v>
      </x:c>
      <x:c r="E1885" s="380" t="n">
        <x:v>22</x:v>
      </x:c>
      <x:c r="F1885" s="380" t="n">
        <x:v>5</x:v>
      </x:c>
      <x:c r="G1885" s="380" t="n">
        <x:f>--(F1885&lt;='Estimator'!$B$7)</x:f>
        <x:v>1</x:v>
      </x:c>
      <x:c r="H1885" s="381" t="n">
        <x:f>SUMIFS('Climate Data'!$G$7:$G$366,'Climate Data'!$A$7:$A$366,'Estimator'!$B$4,'Climate Data'!$B$7:$B$366,C1885)</x:f>
        <x:v>0.23056278464541316</x:v>
      </x:c>
      <x:c r="I1885" s="382" t="n">
        <x:f>SUMIFS('Climate Data'!$H$7:$H$366,'Climate Data'!$A$7:$A$366,'Estimator'!$B$4,'Climate Data'!$B$7:$B$366,C1885)</x:f>
        <x:v>9.682010582010582</x:v>
      </x:c>
      <x:c r="J1885" s="381" t="n">
        <x:f>SUMIFS('Wind Proxy'!$H$8:$H$19,'Wind Proxy'!$A$8:$A$19,'Estimator'!$B$4,'Wind Proxy'!$B$8:$B$19,C1885)</x:f>
        <x:v>0.13757861635220128</x:v>
      </x:c>
    </x:row>
    <x:row r="1886">
      <x:c r="A1886" s="379" t="n">
        <x:v>47537</x:v>
      </x:c>
      <x:c r="B1886" s="380" t="n">
        <x:v>2030</x:v>
      </x:c>
      <x:c r="C1886" s="380" t="n">
        <x:v>2</x:v>
      </x:c>
      <x:c r="D1886" s="380" t="str">
        <x:v>Feb</x:v>
      </x:c>
      <x:c r="E1886" s="380" t="n">
        <x:v>23</x:v>
      </x:c>
      <x:c r="F1886" s="380" t="n">
        <x:v>6</x:v>
      </x:c>
      <x:c r="G1886" s="380" t="n">
        <x:f>--(F1886&lt;='Estimator'!$B$7)</x:f>
        <x:v>0</x:v>
      </x:c>
      <x:c r="H1886" s="381" t="n">
        <x:f>SUMIFS('Climate Data'!$G$7:$G$366,'Climate Data'!$A$7:$A$366,'Estimator'!$B$4,'Climate Data'!$B$7:$B$366,C1886)</x:f>
        <x:v>0.23056278464541316</x:v>
      </x:c>
      <x:c r="I1886" s="382" t="n">
        <x:f>SUMIFS('Climate Data'!$H$7:$H$366,'Climate Data'!$A$7:$A$366,'Estimator'!$B$4,'Climate Data'!$B$7:$B$366,C1886)</x:f>
        <x:v>9.682010582010582</x:v>
      </x:c>
      <x:c r="J1886" s="381" t="n">
        <x:f>SUMIFS('Wind Proxy'!$H$8:$H$19,'Wind Proxy'!$A$8:$A$19,'Estimator'!$B$4,'Wind Proxy'!$B$8:$B$19,C1886)</x:f>
        <x:v>0.13757861635220128</x:v>
      </x:c>
    </x:row>
    <x:row r="1887">
      <x:c r="A1887" s="379" t="n">
        <x:v>47538</x:v>
      </x:c>
      <x:c r="B1887" s="380" t="n">
        <x:v>2030</x:v>
      </x:c>
      <x:c r="C1887" s="380" t="n">
        <x:v>2</x:v>
      </x:c>
      <x:c r="D1887" s="380" t="str">
        <x:v>Feb</x:v>
      </x:c>
      <x:c r="E1887" s="380" t="n">
        <x:v>24</x:v>
      </x:c>
      <x:c r="F1887" s="380" t="n">
        <x:v>7</x:v>
      </x:c>
      <x:c r="G1887" s="380" t="n">
        <x:f>--(F1887&lt;='Estimator'!$B$7)</x:f>
        <x:v>0</x:v>
      </x:c>
      <x:c r="H1887" s="381" t="n">
        <x:f>SUMIFS('Climate Data'!$G$7:$G$366,'Climate Data'!$A$7:$A$366,'Estimator'!$B$4,'Climate Data'!$B$7:$B$366,C1887)</x:f>
        <x:v>0.23056278464541316</x:v>
      </x:c>
      <x:c r="I1887" s="382" t="n">
        <x:f>SUMIFS('Climate Data'!$H$7:$H$366,'Climate Data'!$A$7:$A$366,'Estimator'!$B$4,'Climate Data'!$B$7:$B$366,C1887)</x:f>
        <x:v>9.682010582010582</x:v>
      </x:c>
      <x:c r="J1887" s="381" t="n">
        <x:f>SUMIFS('Wind Proxy'!$H$8:$H$19,'Wind Proxy'!$A$8:$A$19,'Estimator'!$B$4,'Wind Proxy'!$B$8:$B$19,C1887)</x:f>
        <x:v>0.13757861635220128</x:v>
      </x:c>
    </x:row>
    <x:row r="1888">
      <x:c r="A1888" s="379" t="n">
        <x:v>47539</x:v>
      </x:c>
      <x:c r="B1888" s="380" t="n">
        <x:v>2030</x:v>
      </x:c>
      <x:c r="C1888" s="380" t="n">
        <x:v>2</x:v>
      </x:c>
      <x:c r="D1888" s="380" t="str">
        <x:v>Feb</x:v>
      </x:c>
      <x:c r="E1888" s="380" t="n">
        <x:v>25</x:v>
      </x:c>
      <x:c r="F1888" s="380" t="n">
        <x:v>1</x:v>
      </x:c>
      <x:c r="G1888" s="380" t="n">
        <x:f>--(F1888&lt;='Estimator'!$B$7)</x:f>
        <x:v>1</x:v>
      </x:c>
      <x:c r="H1888" s="381" t="n">
        <x:f>SUMIFS('Climate Data'!$G$7:$G$366,'Climate Data'!$A$7:$A$366,'Estimator'!$B$4,'Climate Data'!$B$7:$B$366,C1888)</x:f>
        <x:v>0.23056278464541316</x:v>
      </x:c>
      <x:c r="I1888" s="382" t="n">
        <x:f>SUMIFS('Climate Data'!$H$7:$H$366,'Climate Data'!$A$7:$A$366,'Estimator'!$B$4,'Climate Data'!$B$7:$B$366,C1888)</x:f>
        <x:v>9.682010582010582</x:v>
      </x:c>
      <x:c r="J1888" s="381" t="n">
        <x:f>SUMIFS('Wind Proxy'!$H$8:$H$19,'Wind Proxy'!$A$8:$A$19,'Estimator'!$B$4,'Wind Proxy'!$B$8:$B$19,C1888)</x:f>
        <x:v>0.13757861635220128</x:v>
      </x:c>
    </x:row>
    <x:row r="1889">
      <x:c r="A1889" s="379" t="n">
        <x:v>47540</x:v>
      </x:c>
      <x:c r="B1889" s="380" t="n">
        <x:v>2030</x:v>
      </x:c>
      <x:c r="C1889" s="380" t="n">
        <x:v>2</x:v>
      </x:c>
      <x:c r="D1889" s="380" t="str">
        <x:v>Feb</x:v>
      </x:c>
      <x:c r="E1889" s="380" t="n">
        <x:v>26</x:v>
      </x:c>
      <x:c r="F1889" s="380" t="n">
        <x:v>2</x:v>
      </x:c>
      <x:c r="G1889" s="380" t="n">
        <x:f>--(F1889&lt;='Estimator'!$B$7)</x:f>
        <x:v>1</x:v>
      </x:c>
      <x:c r="H1889" s="381" t="n">
        <x:f>SUMIFS('Climate Data'!$G$7:$G$366,'Climate Data'!$A$7:$A$366,'Estimator'!$B$4,'Climate Data'!$B$7:$B$366,C1889)</x:f>
        <x:v>0.23056278464541316</x:v>
      </x:c>
      <x:c r="I1889" s="382" t="n">
        <x:f>SUMIFS('Climate Data'!$H$7:$H$366,'Climate Data'!$A$7:$A$366,'Estimator'!$B$4,'Climate Data'!$B$7:$B$366,C1889)</x:f>
        <x:v>9.682010582010582</x:v>
      </x:c>
      <x:c r="J1889" s="381" t="n">
        <x:f>SUMIFS('Wind Proxy'!$H$8:$H$19,'Wind Proxy'!$A$8:$A$19,'Estimator'!$B$4,'Wind Proxy'!$B$8:$B$19,C1889)</x:f>
        <x:v>0.13757861635220128</x:v>
      </x:c>
    </x:row>
    <x:row r="1890">
      <x:c r="A1890" s="379" t="n">
        <x:v>47541</x:v>
      </x:c>
      <x:c r="B1890" s="380" t="n">
        <x:v>2030</x:v>
      </x:c>
      <x:c r="C1890" s="380" t="n">
        <x:v>2</x:v>
      </x:c>
      <x:c r="D1890" s="380" t="str">
        <x:v>Feb</x:v>
      </x:c>
      <x:c r="E1890" s="380" t="n">
        <x:v>27</x:v>
      </x:c>
      <x:c r="F1890" s="380" t="n">
        <x:v>3</x:v>
      </x:c>
      <x:c r="G1890" s="380" t="n">
        <x:f>--(F1890&lt;='Estimator'!$B$7)</x:f>
        <x:v>1</x:v>
      </x:c>
      <x:c r="H1890" s="381" t="n">
        <x:f>SUMIFS('Climate Data'!$G$7:$G$366,'Climate Data'!$A$7:$A$366,'Estimator'!$B$4,'Climate Data'!$B$7:$B$366,C1890)</x:f>
        <x:v>0.23056278464541316</x:v>
      </x:c>
      <x:c r="I1890" s="382" t="n">
        <x:f>SUMIFS('Climate Data'!$H$7:$H$366,'Climate Data'!$A$7:$A$366,'Estimator'!$B$4,'Climate Data'!$B$7:$B$366,C1890)</x:f>
        <x:v>9.682010582010582</x:v>
      </x:c>
      <x:c r="J1890" s="381" t="n">
        <x:f>SUMIFS('Wind Proxy'!$H$8:$H$19,'Wind Proxy'!$A$8:$A$19,'Estimator'!$B$4,'Wind Proxy'!$B$8:$B$19,C1890)</x:f>
        <x:v>0.13757861635220128</x:v>
      </x:c>
    </x:row>
    <x:row r="1891">
      <x:c r="A1891" s="379" t="n">
        <x:v>47542</x:v>
      </x:c>
      <x:c r="B1891" s="380" t="n">
        <x:v>2030</x:v>
      </x:c>
      <x:c r="C1891" s="380" t="n">
        <x:v>2</x:v>
      </x:c>
      <x:c r="D1891" s="380" t="str">
        <x:v>Feb</x:v>
      </x:c>
      <x:c r="E1891" s="380" t="n">
        <x:v>28</x:v>
      </x:c>
      <x:c r="F1891" s="380" t="n">
        <x:v>4</x:v>
      </x:c>
      <x:c r="G1891" s="380" t="n">
        <x:f>--(F1891&lt;='Estimator'!$B$7)</x:f>
        <x:v>1</x:v>
      </x:c>
      <x:c r="H1891" s="381" t="n">
        <x:f>SUMIFS('Climate Data'!$G$7:$G$366,'Climate Data'!$A$7:$A$366,'Estimator'!$B$4,'Climate Data'!$B$7:$B$366,C1891)</x:f>
        <x:v>0.23056278464541316</x:v>
      </x:c>
      <x:c r="I1891" s="382" t="n">
        <x:f>SUMIFS('Climate Data'!$H$7:$H$366,'Climate Data'!$A$7:$A$366,'Estimator'!$B$4,'Climate Data'!$B$7:$B$366,C1891)</x:f>
        <x:v>9.682010582010582</x:v>
      </x:c>
      <x:c r="J1891" s="381" t="n">
        <x:f>SUMIFS('Wind Proxy'!$H$8:$H$19,'Wind Proxy'!$A$8:$A$19,'Estimator'!$B$4,'Wind Proxy'!$B$8:$B$19,C1891)</x:f>
        <x:v>0.13757861635220128</x:v>
      </x:c>
    </x:row>
    <x:row r="1892">
      <x:c r="A1892" s="379" t="n">
        <x:v>47543</x:v>
      </x:c>
      <x:c r="B1892" s="380" t="n">
        <x:v>2030</x:v>
      </x:c>
      <x:c r="C1892" s="380" t="n">
        <x:v>3</x:v>
      </x:c>
      <x:c r="D1892" s="380" t="str">
        <x:v>Mar</x:v>
      </x:c>
      <x:c r="E1892" s="380" t="n">
        <x:v>1</x:v>
      </x:c>
      <x:c r="F1892" s="380" t="n">
        <x:v>5</x:v>
      </x:c>
      <x:c r="G1892" s="380" t="n">
        <x:f>--(F1892&lt;='Estimator'!$B$7)</x:f>
        <x:v>1</x:v>
      </x:c>
      <x:c r="H1892" s="381" t="n">
        <x:f>SUMIFS('Climate Data'!$G$7:$G$366,'Climate Data'!$A$7:$A$366,'Estimator'!$B$4,'Climate Data'!$B$7:$B$366,C1892)</x:f>
        <x:v>0.24916573971078979</x:v>
      </x:c>
      <x:c r="I1892" s="382" t="n">
        <x:f>SUMIFS('Climate Data'!$H$7:$H$366,'Climate Data'!$A$7:$A$366,'Estimator'!$B$4,'Climate Data'!$B$7:$B$366,C1892)</x:f>
        <x:v>9.709821428571429</x:v>
      </x:c>
      <x:c r="J1892" s="381" t="n">
        <x:f>SUMIFS('Wind Proxy'!$H$8:$H$19,'Wind Proxy'!$A$8:$A$19,'Estimator'!$B$4,'Wind Proxy'!$B$8:$B$19,C1892)</x:f>
        <x:v>0.11350059737156513</x:v>
      </x:c>
    </x:row>
    <x:row r="1893">
      <x:c r="A1893" s="379" t="n">
        <x:v>47544</x:v>
      </x:c>
      <x:c r="B1893" s="380" t="n">
        <x:v>2030</x:v>
      </x:c>
      <x:c r="C1893" s="380" t="n">
        <x:v>3</x:v>
      </x:c>
      <x:c r="D1893" s="380" t="str">
        <x:v>Mar</x:v>
      </x:c>
      <x:c r="E1893" s="380" t="n">
        <x:v>2</x:v>
      </x:c>
      <x:c r="F1893" s="380" t="n">
        <x:v>6</x:v>
      </x:c>
      <x:c r="G1893" s="380" t="n">
        <x:f>--(F1893&lt;='Estimator'!$B$7)</x:f>
        <x:v>0</x:v>
      </x:c>
      <x:c r="H1893" s="381" t="n">
        <x:f>SUMIFS('Climate Data'!$G$7:$G$366,'Climate Data'!$A$7:$A$366,'Estimator'!$B$4,'Climate Data'!$B$7:$B$366,C1893)</x:f>
        <x:v>0.24916573971078979</x:v>
      </x:c>
      <x:c r="I1893" s="382" t="n">
        <x:f>SUMIFS('Climate Data'!$H$7:$H$366,'Climate Data'!$A$7:$A$366,'Estimator'!$B$4,'Climate Data'!$B$7:$B$366,C1893)</x:f>
        <x:v>9.709821428571429</x:v>
      </x:c>
      <x:c r="J1893" s="381" t="n">
        <x:f>SUMIFS('Wind Proxy'!$H$8:$H$19,'Wind Proxy'!$A$8:$A$19,'Estimator'!$B$4,'Wind Proxy'!$B$8:$B$19,C1893)</x:f>
        <x:v>0.11350059737156513</x:v>
      </x:c>
    </x:row>
    <x:row r="1894">
      <x:c r="A1894" s="379" t="n">
        <x:v>47545</x:v>
      </x:c>
      <x:c r="B1894" s="380" t="n">
        <x:v>2030</x:v>
      </x:c>
      <x:c r="C1894" s="380" t="n">
        <x:v>3</x:v>
      </x:c>
      <x:c r="D1894" s="380" t="str">
        <x:v>Mar</x:v>
      </x:c>
      <x:c r="E1894" s="380" t="n">
        <x:v>3</x:v>
      </x:c>
      <x:c r="F1894" s="380" t="n">
        <x:v>7</x:v>
      </x:c>
      <x:c r="G1894" s="380" t="n">
        <x:f>--(F1894&lt;='Estimator'!$B$7)</x:f>
        <x:v>0</x:v>
      </x:c>
      <x:c r="H1894" s="381" t="n">
        <x:f>SUMIFS('Climate Data'!$G$7:$G$366,'Climate Data'!$A$7:$A$366,'Estimator'!$B$4,'Climate Data'!$B$7:$B$366,C1894)</x:f>
        <x:v>0.24916573971078979</x:v>
      </x:c>
      <x:c r="I1894" s="382" t="n">
        <x:f>SUMIFS('Climate Data'!$H$7:$H$366,'Climate Data'!$A$7:$A$366,'Estimator'!$B$4,'Climate Data'!$B$7:$B$366,C1894)</x:f>
        <x:v>9.709821428571429</x:v>
      </x:c>
      <x:c r="J1894" s="381" t="n">
        <x:f>SUMIFS('Wind Proxy'!$H$8:$H$19,'Wind Proxy'!$A$8:$A$19,'Estimator'!$B$4,'Wind Proxy'!$B$8:$B$19,C1894)</x:f>
        <x:v>0.11350059737156513</x:v>
      </x:c>
    </x:row>
    <x:row r="1895">
      <x:c r="A1895" s="379" t="n">
        <x:v>47546</x:v>
      </x:c>
      <x:c r="B1895" s="380" t="n">
        <x:v>2030</x:v>
      </x:c>
      <x:c r="C1895" s="380" t="n">
        <x:v>3</x:v>
      </x:c>
      <x:c r="D1895" s="380" t="str">
        <x:v>Mar</x:v>
      </x:c>
      <x:c r="E1895" s="380" t="n">
        <x:v>4</x:v>
      </x:c>
      <x:c r="F1895" s="380" t="n">
        <x:v>1</x:v>
      </x:c>
      <x:c r="G1895" s="380" t="n">
        <x:f>--(F1895&lt;='Estimator'!$B$7)</x:f>
        <x:v>1</x:v>
      </x:c>
      <x:c r="H1895" s="381" t="n">
        <x:f>SUMIFS('Climate Data'!$G$7:$G$366,'Climate Data'!$A$7:$A$366,'Estimator'!$B$4,'Climate Data'!$B$7:$B$366,C1895)</x:f>
        <x:v>0.24916573971078979</x:v>
      </x:c>
      <x:c r="I1895" s="382" t="n">
        <x:f>SUMIFS('Climate Data'!$H$7:$H$366,'Climate Data'!$A$7:$A$366,'Estimator'!$B$4,'Climate Data'!$B$7:$B$366,C1895)</x:f>
        <x:v>9.709821428571429</x:v>
      </x:c>
      <x:c r="J1895" s="381" t="n">
        <x:f>SUMIFS('Wind Proxy'!$H$8:$H$19,'Wind Proxy'!$A$8:$A$19,'Estimator'!$B$4,'Wind Proxy'!$B$8:$B$19,C1895)</x:f>
        <x:v>0.11350059737156513</x:v>
      </x:c>
    </x:row>
    <x:row r="1896">
      <x:c r="A1896" s="379" t="n">
        <x:v>47547</x:v>
      </x:c>
      <x:c r="B1896" s="380" t="n">
        <x:v>2030</x:v>
      </x:c>
      <x:c r="C1896" s="380" t="n">
        <x:v>3</x:v>
      </x:c>
      <x:c r="D1896" s="380" t="str">
        <x:v>Mar</x:v>
      </x:c>
      <x:c r="E1896" s="380" t="n">
        <x:v>5</x:v>
      </x:c>
      <x:c r="F1896" s="380" t="n">
        <x:v>2</x:v>
      </x:c>
      <x:c r="G1896" s="380" t="n">
        <x:f>--(F1896&lt;='Estimator'!$B$7)</x:f>
        <x:v>1</x:v>
      </x:c>
      <x:c r="H1896" s="381" t="n">
        <x:f>SUMIFS('Climate Data'!$G$7:$G$366,'Climate Data'!$A$7:$A$366,'Estimator'!$B$4,'Climate Data'!$B$7:$B$366,C1896)</x:f>
        <x:v>0.24916573971078979</x:v>
      </x:c>
      <x:c r="I1896" s="382" t="n">
        <x:f>SUMIFS('Climate Data'!$H$7:$H$366,'Climate Data'!$A$7:$A$366,'Estimator'!$B$4,'Climate Data'!$B$7:$B$366,C1896)</x:f>
        <x:v>9.709821428571429</x:v>
      </x:c>
      <x:c r="J1896" s="381" t="n">
        <x:f>SUMIFS('Wind Proxy'!$H$8:$H$19,'Wind Proxy'!$A$8:$A$19,'Estimator'!$B$4,'Wind Proxy'!$B$8:$B$19,C1896)</x:f>
        <x:v>0.11350059737156513</x:v>
      </x:c>
    </x:row>
    <x:row r="1897">
      <x:c r="A1897" s="379" t="n">
        <x:v>47548</x:v>
      </x:c>
      <x:c r="B1897" s="380" t="n">
        <x:v>2030</x:v>
      </x:c>
      <x:c r="C1897" s="380" t="n">
        <x:v>3</x:v>
      </x:c>
      <x:c r="D1897" s="380" t="str">
        <x:v>Mar</x:v>
      </x:c>
      <x:c r="E1897" s="380" t="n">
        <x:v>6</x:v>
      </x:c>
      <x:c r="F1897" s="380" t="n">
        <x:v>3</x:v>
      </x:c>
      <x:c r="G1897" s="380" t="n">
        <x:f>--(F1897&lt;='Estimator'!$B$7)</x:f>
        <x:v>1</x:v>
      </x:c>
      <x:c r="H1897" s="381" t="n">
        <x:f>SUMIFS('Climate Data'!$G$7:$G$366,'Climate Data'!$A$7:$A$366,'Estimator'!$B$4,'Climate Data'!$B$7:$B$366,C1897)</x:f>
        <x:v>0.24916573971078979</x:v>
      </x:c>
      <x:c r="I1897" s="382" t="n">
        <x:f>SUMIFS('Climate Data'!$H$7:$H$366,'Climate Data'!$A$7:$A$366,'Estimator'!$B$4,'Climate Data'!$B$7:$B$366,C1897)</x:f>
        <x:v>9.709821428571429</x:v>
      </x:c>
      <x:c r="J1897" s="381" t="n">
        <x:f>SUMIFS('Wind Proxy'!$H$8:$H$19,'Wind Proxy'!$A$8:$A$19,'Estimator'!$B$4,'Wind Proxy'!$B$8:$B$19,C1897)</x:f>
        <x:v>0.11350059737156513</x:v>
      </x:c>
    </x:row>
    <x:row r="1898">
      <x:c r="A1898" s="379" t="n">
        <x:v>47549</x:v>
      </x:c>
      <x:c r="B1898" s="380" t="n">
        <x:v>2030</x:v>
      </x:c>
      <x:c r="C1898" s="380" t="n">
        <x:v>3</x:v>
      </x:c>
      <x:c r="D1898" s="380" t="str">
        <x:v>Mar</x:v>
      </x:c>
      <x:c r="E1898" s="380" t="n">
        <x:v>7</x:v>
      </x:c>
      <x:c r="F1898" s="380" t="n">
        <x:v>4</x:v>
      </x:c>
      <x:c r="G1898" s="380" t="n">
        <x:f>--(F1898&lt;='Estimator'!$B$7)</x:f>
        <x:v>1</x:v>
      </x:c>
      <x:c r="H1898" s="381" t="n">
        <x:f>SUMIFS('Climate Data'!$G$7:$G$366,'Climate Data'!$A$7:$A$366,'Estimator'!$B$4,'Climate Data'!$B$7:$B$366,C1898)</x:f>
        <x:v>0.24916573971078979</x:v>
      </x:c>
      <x:c r="I1898" s="382" t="n">
        <x:f>SUMIFS('Climate Data'!$H$7:$H$366,'Climate Data'!$A$7:$A$366,'Estimator'!$B$4,'Climate Data'!$B$7:$B$366,C1898)</x:f>
        <x:v>9.709821428571429</x:v>
      </x:c>
      <x:c r="J1898" s="381" t="n">
        <x:f>SUMIFS('Wind Proxy'!$H$8:$H$19,'Wind Proxy'!$A$8:$A$19,'Estimator'!$B$4,'Wind Proxy'!$B$8:$B$19,C1898)</x:f>
        <x:v>0.11350059737156513</x:v>
      </x:c>
    </x:row>
    <x:row r="1899">
      <x:c r="A1899" s="379" t="n">
        <x:v>47550</x:v>
      </x:c>
      <x:c r="B1899" s="380" t="n">
        <x:v>2030</x:v>
      </x:c>
      <x:c r="C1899" s="380" t="n">
        <x:v>3</x:v>
      </x:c>
      <x:c r="D1899" s="380" t="str">
        <x:v>Mar</x:v>
      </x:c>
      <x:c r="E1899" s="380" t="n">
        <x:v>8</x:v>
      </x:c>
      <x:c r="F1899" s="380" t="n">
        <x:v>5</x:v>
      </x:c>
      <x:c r="G1899" s="380" t="n">
        <x:f>--(F1899&lt;='Estimator'!$B$7)</x:f>
        <x:v>1</x:v>
      </x:c>
      <x:c r="H1899" s="381" t="n">
        <x:f>SUMIFS('Climate Data'!$G$7:$G$366,'Climate Data'!$A$7:$A$366,'Estimator'!$B$4,'Climate Data'!$B$7:$B$366,C1899)</x:f>
        <x:v>0.24916573971078979</x:v>
      </x:c>
      <x:c r="I1899" s="382" t="n">
        <x:f>SUMIFS('Climate Data'!$H$7:$H$366,'Climate Data'!$A$7:$A$366,'Estimator'!$B$4,'Climate Data'!$B$7:$B$366,C1899)</x:f>
        <x:v>9.709821428571429</x:v>
      </x:c>
      <x:c r="J1899" s="381" t="n">
        <x:f>SUMIFS('Wind Proxy'!$H$8:$H$19,'Wind Proxy'!$A$8:$A$19,'Estimator'!$B$4,'Wind Proxy'!$B$8:$B$19,C1899)</x:f>
        <x:v>0.11350059737156513</x:v>
      </x:c>
    </x:row>
    <x:row r="1900">
      <x:c r="A1900" s="379" t="n">
        <x:v>47551</x:v>
      </x:c>
      <x:c r="B1900" s="380" t="n">
        <x:v>2030</x:v>
      </x:c>
      <x:c r="C1900" s="380" t="n">
        <x:v>3</x:v>
      </x:c>
      <x:c r="D1900" s="380" t="str">
        <x:v>Mar</x:v>
      </x:c>
      <x:c r="E1900" s="380" t="n">
        <x:v>9</x:v>
      </x:c>
      <x:c r="F1900" s="380" t="n">
        <x:v>6</x:v>
      </x:c>
      <x:c r="G1900" s="380" t="n">
        <x:f>--(F1900&lt;='Estimator'!$B$7)</x:f>
        <x:v>0</x:v>
      </x:c>
      <x:c r="H1900" s="381" t="n">
        <x:f>SUMIFS('Climate Data'!$G$7:$G$366,'Climate Data'!$A$7:$A$366,'Estimator'!$B$4,'Climate Data'!$B$7:$B$366,C1900)</x:f>
        <x:v>0.24916573971078979</x:v>
      </x:c>
      <x:c r="I1900" s="382" t="n">
        <x:f>SUMIFS('Climate Data'!$H$7:$H$366,'Climate Data'!$A$7:$A$366,'Estimator'!$B$4,'Climate Data'!$B$7:$B$366,C1900)</x:f>
        <x:v>9.709821428571429</x:v>
      </x:c>
      <x:c r="J1900" s="381" t="n">
        <x:f>SUMIFS('Wind Proxy'!$H$8:$H$19,'Wind Proxy'!$A$8:$A$19,'Estimator'!$B$4,'Wind Proxy'!$B$8:$B$19,C1900)</x:f>
        <x:v>0.11350059737156513</x:v>
      </x:c>
    </x:row>
    <x:row r="1901">
      <x:c r="A1901" s="379" t="n">
        <x:v>47552</x:v>
      </x:c>
      <x:c r="B1901" s="380" t="n">
        <x:v>2030</x:v>
      </x:c>
      <x:c r="C1901" s="380" t="n">
        <x:v>3</x:v>
      </x:c>
      <x:c r="D1901" s="380" t="str">
        <x:v>Mar</x:v>
      </x:c>
      <x:c r="E1901" s="380" t="n">
        <x:v>10</x:v>
      </x:c>
      <x:c r="F1901" s="380" t="n">
        <x:v>7</x:v>
      </x:c>
      <x:c r="G1901" s="380" t="n">
        <x:f>--(F1901&lt;='Estimator'!$B$7)</x:f>
        <x:v>0</x:v>
      </x:c>
      <x:c r="H1901" s="381" t="n">
        <x:f>SUMIFS('Climate Data'!$G$7:$G$366,'Climate Data'!$A$7:$A$366,'Estimator'!$B$4,'Climate Data'!$B$7:$B$366,C1901)</x:f>
        <x:v>0.24916573971078979</x:v>
      </x:c>
      <x:c r="I1901" s="382" t="n">
        <x:f>SUMIFS('Climate Data'!$H$7:$H$366,'Climate Data'!$A$7:$A$366,'Estimator'!$B$4,'Climate Data'!$B$7:$B$366,C1901)</x:f>
        <x:v>9.709821428571429</x:v>
      </x:c>
      <x:c r="J1901" s="381" t="n">
        <x:f>SUMIFS('Wind Proxy'!$H$8:$H$19,'Wind Proxy'!$A$8:$A$19,'Estimator'!$B$4,'Wind Proxy'!$B$8:$B$19,C1901)</x:f>
        <x:v>0.11350059737156513</x:v>
      </x:c>
    </x:row>
    <x:row r="1902">
      <x:c r="A1902" s="379" t="n">
        <x:v>47553</x:v>
      </x:c>
      <x:c r="B1902" s="380" t="n">
        <x:v>2030</x:v>
      </x:c>
      <x:c r="C1902" s="380" t="n">
        <x:v>3</x:v>
      </x:c>
      <x:c r="D1902" s="380" t="str">
        <x:v>Mar</x:v>
      </x:c>
      <x:c r="E1902" s="380" t="n">
        <x:v>11</x:v>
      </x:c>
      <x:c r="F1902" s="380" t="n">
        <x:v>1</x:v>
      </x:c>
      <x:c r="G1902" s="380" t="n">
        <x:f>--(F1902&lt;='Estimator'!$B$7)</x:f>
        <x:v>1</x:v>
      </x:c>
      <x:c r="H1902" s="381" t="n">
        <x:f>SUMIFS('Climate Data'!$G$7:$G$366,'Climate Data'!$A$7:$A$366,'Estimator'!$B$4,'Climate Data'!$B$7:$B$366,C1902)</x:f>
        <x:v>0.24916573971078979</x:v>
      </x:c>
      <x:c r="I1902" s="382" t="n">
        <x:f>SUMIFS('Climate Data'!$H$7:$H$366,'Climate Data'!$A$7:$A$366,'Estimator'!$B$4,'Climate Data'!$B$7:$B$366,C1902)</x:f>
        <x:v>9.709821428571429</x:v>
      </x:c>
      <x:c r="J1902" s="381" t="n">
        <x:f>SUMIFS('Wind Proxy'!$H$8:$H$19,'Wind Proxy'!$A$8:$A$19,'Estimator'!$B$4,'Wind Proxy'!$B$8:$B$19,C1902)</x:f>
        <x:v>0.11350059737156513</x:v>
      </x:c>
    </x:row>
    <x:row r="1903">
      <x:c r="A1903" s="379" t="n">
        <x:v>47554</x:v>
      </x:c>
      <x:c r="B1903" s="380" t="n">
        <x:v>2030</x:v>
      </x:c>
      <x:c r="C1903" s="380" t="n">
        <x:v>3</x:v>
      </x:c>
      <x:c r="D1903" s="380" t="str">
        <x:v>Mar</x:v>
      </x:c>
      <x:c r="E1903" s="380" t="n">
        <x:v>12</x:v>
      </x:c>
      <x:c r="F1903" s="380" t="n">
        <x:v>2</x:v>
      </x:c>
      <x:c r="G1903" s="380" t="n">
        <x:f>--(F1903&lt;='Estimator'!$B$7)</x:f>
        <x:v>1</x:v>
      </x:c>
      <x:c r="H1903" s="381" t="n">
        <x:f>SUMIFS('Climate Data'!$G$7:$G$366,'Climate Data'!$A$7:$A$366,'Estimator'!$B$4,'Climate Data'!$B$7:$B$366,C1903)</x:f>
        <x:v>0.24916573971078979</x:v>
      </x:c>
      <x:c r="I1903" s="382" t="n">
        <x:f>SUMIFS('Climate Data'!$H$7:$H$366,'Climate Data'!$A$7:$A$366,'Estimator'!$B$4,'Climate Data'!$B$7:$B$366,C1903)</x:f>
        <x:v>9.709821428571429</x:v>
      </x:c>
      <x:c r="J1903" s="381" t="n">
        <x:f>SUMIFS('Wind Proxy'!$H$8:$H$19,'Wind Proxy'!$A$8:$A$19,'Estimator'!$B$4,'Wind Proxy'!$B$8:$B$19,C1903)</x:f>
        <x:v>0.11350059737156513</x:v>
      </x:c>
    </x:row>
    <x:row r="1904">
      <x:c r="A1904" s="379" t="n">
        <x:v>47555</x:v>
      </x:c>
      <x:c r="B1904" s="380" t="n">
        <x:v>2030</x:v>
      </x:c>
      <x:c r="C1904" s="380" t="n">
        <x:v>3</x:v>
      </x:c>
      <x:c r="D1904" s="380" t="str">
        <x:v>Mar</x:v>
      </x:c>
      <x:c r="E1904" s="380" t="n">
        <x:v>13</x:v>
      </x:c>
      <x:c r="F1904" s="380" t="n">
        <x:v>3</x:v>
      </x:c>
      <x:c r="G1904" s="380" t="n">
        <x:f>--(F1904&lt;='Estimator'!$B$7)</x:f>
        <x:v>1</x:v>
      </x:c>
      <x:c r="H1904" s="381" t="n">
        <x:f>SUMIFS('Climate Data'!$G$7:$G$366,'Climate Data'!$A$7:$A$366,'Estimator'!$B$4,'Climate Data'!$B$7:$B$366,C1904)</x:f>
        <x:v>0.24916573971078979</x:v>
      </x:c>
      <x:c r="I1904" s="382" t="n">
        <x:f>SUMIFS('Climate Data'!$H$7:$H$366,'Climate Data'!$A$7:$A$366,'Estimator'!$B$4,'Climate Data'!$B$7:$B$366,C1904)</x:f>
        <x:v>9.709821428571429</x:v>
      </x:c>
      <x:c r="J1904" s="381" t="n">
        <x:f>SUMIFS('Wind Proxy'!$H$8:$H$19,'Wind Proxy'!$A$8:$A$19,'Estimator'!$B$4,'Wind Proxy'!$B$8:$B$19,C1904)</x:f>
        <x:v>0.11350059737156513</x:v>
      </x:c>
    </x:row>
    <x:row r="1905">
      <x:c r="A1905" s="379" t="n">
        <x:v>47556</x:v>
      </x:c>
      <x:c r="B1905" s="380" t="n">
        <x:v>2030</x:v>
      </x:c>
      <x:c r="C1905" s="380" t="n">
        <x:v>3</x:v>
      </x:c>
      <x:c r="D1905" s="380" t="str">
        <x:v>Mar</x:v>
      </x:c>
      <x:c r="E1905" s="380" t="n">
        <x:v>14</x:v>
      </x:c>
      <x:c r="F1905" s="380" t="n">
        <x:v>4</x:v>
      </x:c>
      <x:c r="G1905" s="380" t="n">
        <x:f>--(F1905&lt;='Estimator'!$B$7)</x:f>
        <x:v>1</x:v>
      </x:c>
      <x:c r="H1905" s="381" t="n">
        <x:f>SUMIFS('Climate Data'!$G$7:$G$366,'Climate Data'!$A$7:$A$366,'Estimator'!$B$4,'Climate Data'!$B$7:$B$366,C1905)</x:f>
        <x:v>0.24916573971078979</x:v>
      </x:c>
      <x:c r="I1905" s="382" t="n">
        <x:f>SUMIFS('Climate Data'!$H$7:$H$366,'Climate Data'!$A$7:$A$366,'Estimator'!$B$4,'Climate Data'!$B$7:$B$366,C1905)</x:f>
        <x:v>9.709821428571429</x:v>
      </x:c>
      <x:c r="J1905" s="381" t="n">
        <x:f>SUMIFS('Wind Proxy'!$H$8:$H$19,'Wind Proxy'!$A$8:$A$19,'Estimator'!$B$4,'Wind Proxy'!$B$8:$B$19,C1905)</x:f>
        <x:v>0.11350059737156513</x:v>
      </x:c>
    </x:row>
    <x:row r="1906">
      <x:c r="A1906" s="379" t="n">
        <x:v>47557</x:v>
      </x:c>
      <x:c r="B1906" s="380" t="n">
        <x:v>2030</x:v>
      </x:c>
      <x:c r="C1906" s="380" t="n">
        <x:v>3</x:v>
      </x:c>
      <x:c r="D1906" s="380" t="str">
        <x:v>Mar</x:v>
      </x:c>
      <x:c r="E1906" s="380" t="n">
        <x:v>15</x:v>
      </x:c>
      <x:c r="F1906" s="380" t="n">
        <x:v>5</x:v>
      </x:c>
      <x:c r="G1906" s="380" t="n">
        <x:f>--(F1906&lt;='Estimator'!$B$7)</x:f>
        <x:v>1</x:v>
      </x:c>
      <x:c r="H1906" s="381" t="n">
        <x:f>SUMIFS('Climate Data'!$G$7:$G$366,'Climate Data'!$A$7:$A$366,'Estimator'!$B$4,'Climate Data'!$B$7:$B$366,C1906)</x:f>
        <x:v>0.24916573971078979</x:v>
      </x:c>
      <x:c r="I1906" s="382" t="n">
        <x:f>SUMIFS('Climate Data'!$H$7:$H$366,'Climate Data'!$A$7:$A$366,'Estimator'!$B$4,'Climate Data'!$B$7:$B$366,C1906)</x:f>
        <x:v>9.709821428571429</x:v>
      </x:c>
      <x:c r="J1906" s="381" t="n">
        <x:f>SUMIFS('Wind Proxy'!$H$8:$H$19,'Wind Proxy'!$A$8:$A$19,'Estimator'!$B$4,'Wind Proxy'!$B$8:$B$19,C1906)</x:f>
        <x:v>0.11350059737156513</x:v>
      </x:c>
    </x:row>
    <x:row r="1907">
      <x:c r="A1907" s="379" t="n">
        <x:v>47558</x:v>
      </x:c>
      <x:c r="B1907" s="380" t="n">
        <x:v>2030</x:v>
      </x:c>
      <x:c r="C1907" s="380" t="n">
        <x:v>3</x:v>
      </x:c>
      <x:c r="D1907" s="380" t="str">
        <x:v>Mar</x:v>
      </x:c>
      <x:c r="E1907" s="380" t="n">
        <x:v>16</x:v>
      </x:c>
      <x:c r="F1907" s="380" t="n">
        <x:v>6</x:v>
      </x:c>
      <x:c r="G1907" s="380" t="n">
        <x:f>--(F1907&lt;='Estimator'!$B$7)</x:f>
        <x:v>0</x:v>
      </x:c>
      <x:c r="H1907" s="381" t="n">
        <x:f>SUMIFS('Climate Data'!$G$7:$G$366,'Climate Data'!$A$7:$A$366,'Estimator'!$B$4,'Climate Data'!$B$7:$B$366,C1907)</x:f>
        <x:v>0.24916573971078979</x:v>
      </x:c>
      <x:c r="I1907" s="382" t="n">
        <x:f>SUMIFS('Climate Data'!$H$7:$H$366,'Climate Data'!$A$7:$A$366,'Estimator'!$B$4,'Climate Data'!$B$7:$B$366,C1907)</x:f>
        <x:v>9.709821428571429</x:v>
      </x:c>
      <x:c r="J1907" s="381" t="n">
        <x:f>SUMIFS('Wind Proxy'!$H$8:$H$19,'Wind Proxy'!$A$8:$A$19,'Estimator'!$B$4,'Wind Proxy'!$B$8:$B$19,C1907)</x:f>
        <x:v>0.11350059737156513</x:v>
      </x:c>
    </x:row>
    <x:row r="1908">
      <x:c r="A1908" s="379" t="n">
        <x:v>47559</x:v>
      </x:c>
      <x:c r="B1908" s="380" t="n">
        <x:v>2030</x:v>
      </x:c>
      <x:c r="C1908" s="380" t="n">
        <x:v>3</x:v>
      </x:c>
      <x:c r="D1908" s="380" t="str">
        <x:v>Mar</x:v>
      </x:c>
      <x:c r="E1908" s="380" t="n">
        <x:v>17</x:v>
      </x:c>
      <x:c r="F1908" s="380" t="n">
        <x:v>7</x:v>
      </x:c>
      <x:c r="G1908" s="380" t="n">
        <x:f>--(F1908&lt;='Estimator'!$B$7)</x:f>
        <x:v>0</x:v>
      </x:c>
      <x:c r="H1908" s="381" t="n">
        <x:f>SUMIFS('Climate Data'!$G$7:$G$366,'Climate Data'!$A$7:$A$366,'Estimator'!$B$4,'Climate Data'!$B$7:$B$366,C1908)</x:f>
        <x:v>0.24916573971078979</x:v>
      </x:c>
      <x:c r="I1908" s="382" t="n">
        <x:f>SUMIFS('Climate Data'!$H$7:$H$366,'Climate Data'!$A$7:$A$366,'Estimator'!$B$4,'Climate Data'!$B$7:$B$366,C1908)</x:f>
        <x:v>9.709821428571429</x:v>
      </x:c>
      <x:c r="J1908" s="381" t="n">
        <x:f>SUMIFS('Wind Proxy'!$H$8:$H$19,'Wind Proxy'!$A$8:$A$19,'Estimator'!$B$4,'Wind Proxy'!$B$8:$B$19,C1908)</x:f>
        <x:v>0.11350059737156513</x:v>
      </x:c>
    </x:row>
    <x:row r="1909">
      <x:c r="A1909" s="379" t="n">
        <x:v>47560</x:v>
      </x:c>
      <x:c r="B1909" s="380" t="n">
        <x:v>2030</x:v>
      </x:c>
      <x:c r="C1909" s="380" t="n">
        <x:v>3</x:v>
      </x:c>
      <x:c r="D1909" s="380" t="str">
        <x:v>Mar</x:v>
      </x:c>
      <x:c r="E1909" s="380" t="n">
        <x:v>18</x:v>
      </x:c>
      <x:c r="F1909" s="380" t="n">
        <x:v>1</x:v>
      </x:c>
      <x:c r="G1909" s="380" t="n">
        <x:f>--(F1909&lt;='Estimator'!$B$7)</x:f>
        <x:v>1</x:v>
      </x:c>
      <x:c r="H1909" s="381" t="n">
        <x:f>SUMIFS('Climate Data'!$G$7:$G$366,'Climate Data'!$A$7:$A$366,'Estimator'!$B$4,'Climate Data'!$B$7:$B$366,C1909)</x:f>
        <x:v>0.24916573971078979</x:v>
      </x:c>
      <x:c r="I1909" s="382" t="n">
        <x:f>SUMIFS('Climate Data'!$H$7:$H$366,'Climate Data'!$A$7:$A$366,'Estimator'!$B$4,'Climate Data'!$B$7:$B$366,C1909)</x:f>
        <x:v>9.709821428571429</x:v>
      </x:c>
      <x:c r="J1909" s="381" t="n">
        <x:f>SUMIFS('Wind Proxy'!$H$8:$H$19,'Wind Proxy'!$A$8:$A$19,'Estimator'!$B$4,'Wind Proxy'!$B$8:$B$19,C1909)</x:f>
        <x:v>0.11350059737156513</x:v>
      </x:c>
    </x:row>
    <x:row r="1910">
      <x:c r="A1910" s="379" t="n">
        <x:v>47561</x:v>
      </x:c>
      <x:c r="B1910" s="380" t="n">
        <x:v>2030</x:v>
      </x:c>
      <x:c r="C1910" s="380" t="n">
        <x:v>3</x:v>
      </x:c>
      <x:c r="D1910" s="380" t="str">
        <x:v>Mar</x:v>
      </x:c>
      <x:c r="E1910" s="380" t="n">
        <x:v>19</x:v>
      </x:c>
      <x:c r="F1910" s="380" t="n">
        <x:v>2</x:v>
      </x:c>
      <x:c r="G1910" s="380" t="n">
        <x:f>--(F1910&lt;='Estimator'!$B$7)</x:f>
        <x:v>1</x:v>
      </x:c>
      <x:c r="H1910" s="381" t="n">
        <x:f>SUMIFS('Climate Data'!$G$7:$G$366,'Climate Data'!$A$7:$A$366,'Estimator'!$B$4,'Climate Data'!$B$7:$B$366,C1910)</x:f>
        <x:v>0.24916573971078979</x:v>
      </x:c>
      <x:c r="I1910" s="382" t="n">
        <x:f>SUMIFS('Climate Data'!$H$7:$H$366,'Climate Data'!$A$7:$A$366,'Estimator'!$B$4,'Climate Data'!$B$7:$B$366,C1910)</x:f>
        <x:v>9.709821428571429</x:v>
      </x:c>
      <x:c r="J1910" s="381" t="n">
        <x:f>SUMIFS('Wind Proxy'!$H$8:$H$19,'Wind Proxy'!$A$8:$A$19,'Estimator'!$B$4,'Wind Proxy'!$B$8:$B$19,C1910)</x:f>
        <x:v>0.11350059737156513</x:v>
      </x:c>
    </x:row>
    <x:row r="1911">
      <x:c r="A1911" s="379" t="n">
        <x:v>47562</x:v>
      </x:c>
      <x:c r="B1911" s="380" t="n">
        <x:v>2030</x:v>
      </x:c>
      <x:c r="C1911" s="380" t="n">
        <x:v>3</x:v>
      </x:c>
      <x:c r="D1911" s="380" t="str">
        <x:v>Mar</x:v>
      </x:c>
      <x:c r="E1911" s="380" t="n">
        <x:v>20</x:v>
      </x:c>
      <x:c r="F1911" s="380" t="n">
        <x:v>3</x:v>
      </x:c>
      <x:c r="G1911" s="380" t="n">
        <x:f>--(F1911&lt;='Estimator'!$B$7)</x:f>
        <x:v>1</x:v>
      </x:c>
      <x:c r="H1911" s="381" t="n">
        <x:f>SUMIFS('Climate Data'!$G$7:$G$366,'Climate Data'!$A$7:$A$366,'Estimator'!$B$4,'Climate Data'!$B$7:$B$366,C1911)</x:f>
        <x:v>0.24916573971078979</x:v>
      </x:c>
      <x:c r="I1911" s="382" t="n">
        <x:f>SUMIFS('Climate Data'!$H$7:$H$366,'Climate Data'!$A$7:$A$366,'Estimator'!$B$4,'Climate Data'!$B$7:$B$366,C1911)</x:f>
        <x:v>9.709821428571429</x:v>
      </x:c>
      <x:c r="J1911" s="381" t="n">
        <x:f>SUMIFS('Wind Proxy'!$H$8:$H$19,'Wind Proxy'!$A$8:$A$19,'Estimator'!$B$4,'Wind Proxy'!$B$8:$B$19,C1911)</x:f>
        <x:v>0.11350059737156513</x:v>
      </x:c>
    </x:row>
    <x:row r="1912">
      <x:c r="A1912" s="379" t="n">
        <x:v>47563</x:v>
      </x:c>
      <x:c r="B1912" s="380" t="n">
        <x:v>2030</x:v>
      </x:c>
      <x:c r="C1912" s="380" t="n">
        <x:v>3</x:v>
      </x:c>
      <x:c r="D1912" s="380" t="str">
        <x:v>Mar</x:v>
      </x:c>
      <x:c r="E1912" s="380" t="n">
        <x:v>21</x:v>
      </x:c>
      <x:c r="F1912" s="380" t="n">
        <x:v>4</x:v>
      </x:c>
      <x:c r="G1912" s="380" t="n">
        <x:f>--(F1912&lt;='Estimator'!$B$7)</x:f>
        <x:v>1</x:v>
      </x:c>
      <x:c r="H1912" s="381" t="n">
        <x:f>SUMIFS('Climate Data'!$G$7:$G$366,'Climate Data'!$A$7:$A$366,'Estimator'!$B$4,'Climate Data'!$B$7:$B$366,C1912)</x:f>
        <x:v>0.24916573971078979</x:v>
      </x:c>
      <x:c r="I1912" s="382" t="n">
        <x:f>SUMIFS('Climate Data'!$H$7:$H$366,'Climate Data'!$A$7:$A$366,'Estimator'!$B$4,'Climate Data'!$B$7:$B$366,C1912)</x:f>
        <x:v>9.709821428571429</x:v>
      </x:c>
      <x:c r="J1912" s="381" t="n">
        <x:f>SUMIFS('Wind Proxy'!$H$8:$H$19,'Wind Proxy'!$A$8:$A$19,'Estimator'!$B$4,'Wind Proxy'!$B$8:$B$19,C1912)</x:f>
        <x:v>0.11350059737156513</x:v>
      </x:c>
    </x:row>
    <x:row r="1913">
      <x:c r="A1913" s="379" t="n">
        <x:v>47564</x:v>
      </x:c>
      <x:c r="B1913" s="380" t="n">
        <x:v>2030</x:v>
      </x:c>
      <x:c r="C1913" s="380" t="n">
        <x:v>3</x:v>
      </x:c>
      <x:c r="D1913" s="380" t="str">
        <x:v>Mar</x:v>
      </x:c>
      <x:c r="E1913" s="380" t="n">
        <x:v>22</x:v>
      </x:c>
      <x:c r="F1913" s="380" t="n">
        <x:v>5</x:v>
      </x:c>
      <x:c r="G1913" s="380" t="n">
        <x:f>--(F1913&lt;='Estimator'!$B$7)</x:f>
        <x:v>1</x:v>
      </x:c>
      <x:c r="H1913" s="381" t="n">
        <x:f>SUMIFS('Climate Data'!$G$7:$G$366,'Climate Data'!$A$7:$A$366,'Estimator'!$B$4,'Climate Data'!$B$7:$B$366,C1913)</x:f>
        <x:v>0.24916573971078979</x:v>
      </x:c>
      <x:c r="I1913" s="382" t="n">
        <x:f>SUMIFS('Climate Data'!$H$7:$H$366,'Climate Data'!$A$7:$A$366,'Estimator'!$B$4,'Climate Data'!$B$7:$B$366,C1913)</x:f>
        <x:v>9.709821428571429</x:v>
      </x:c>
      <x:c r="J1913" s="381" t="n">
        <x:f>SUMIFS('Wind Proxy'!$H$8:$H$19,'Wind Proxy'!$A$8:$A$19,'Estimator'!$B$4,'Wind Proxy'!$B$8:$B$19,C1913)</x:f>
        <x:v>0.11350059737156513</x:v>
      </x:c>
    </x:row>
    <x:row r="1914">
      <x:c r="A1914" s="379" t="n">
        <x:v>47565</x:v>
      </x:c>
      <x:c r="B1914" s="380" t="n">
        <x:v>2030</x:v>
      </x:c>
      <x:c r="C1914" s="380" t="n">
        <x:v>3</x:v>
      </x:c>
      <x:c r="D1914" s="380" t="str">
        <x:v>Mar</x:v>
      </x:c>
      <x:c r="E1914" s="380" t="n">
        <x:v>23</x:v>
      </x:c>
      <x:c r="F1914" s="380" t="n">
        <x:v>6</x:v>
      </x:c>
      <x:c r="G1914" s="380" t="n">
        <x:f>--(F1914&lt;='Estimator'!$B$7)</x:f>
        <x:v>0</x:v>
      </x:c>
      <x:c r="H1914" s="381" t="n">
        <x:f>SUMIFS('Climate Data'!$G$7:$G$366,'Climate Data'!$A$7:$A$366,'Estimator'!$B$4,'Climate Data'!$B$7:$B$366,C1914)</x:f>
        <x:v>0.24916573971078979</x:v>
      </x:c>
      <x:c r="I1914" s="382" t="n">
        <x:f>SUMIFS('Climate Data'!$H$7:$H$366,'Climate Data'!$A$7:$A$366,'Estimator'!$B$4,'Climate Data'!$B$7:$B$366,C1914)</x:f>
        <x:v>9.709821428571429</x:v>
      </x:c>
      <x:c r="J1914" s="381" t="n">
        <x:f>SUMIFS('Wind Proxy'!$H$8:$H$19,'Wind Proxy'!$A$8:$A$19,'Estimator'!$B$4,'Wind Proxy'!$B$8:$B$19,C1914)</x:f>
        <x:v>0.11350059737156513</x:v>
      </x:c>
    </x:row>
    <x:row r="1915">
      <x:c r="A1915" s="379" t="n">
        <x:v>47566</x:v>
      </x:c>
      <x:c r="B1915" s="380" t="n">
        <x:v>2030</x:v>
      </x:c>
      <x:c r="C1915" s="380" t="n">
        <x:v>3</x:v>
      </x:c>
      <x:c r="D1915" s="380" t="str">
        <x:v>Mar</x:v>
      </x:c>
      <x:c r="E1915" s="380" t="n">
        <x:v>24</x:v>
      </x:c>
      <x:c r="F1915" s="380" t="n">
        <x:v>7</x:v>
      </x:c>
      <x:c r="G1915" s="380" t="n">
        <x:f>--(F1915&lt;='Estimator'!$B$7)</x:f>
        <x:v>0</x:v>
      </x:c>
      <x:c r="H1915" s="381" t="n">
        <x:f>SUMIFS('Climate Data'!$G$7:$G$366,'Climate Data'!$A$7:$A$366,'Estimator'!$B$4,'Climate Data'!$B$7:$B$366,C1915)</x:f>
        <x:v>0.24916573971078979</x:v>
      </x:c>
      <x:c r="I1915" s="382" t="n">
        <x:f>SUMIFS('Climate Data'!$H$7:$H$366,'Climate Data'!$A$7:$A$366,'Estimator'!$B$4,'Climate Data'!$B$7:$B$366,C1915)</x:f>
        <x:v>9.709821428571429</x:v>
      </x:c>
      <x:c r="J1915" s="381" t="n">
        <x:f>SUMIFS('Wind Proxy'!$H$8:$H$19,'Wind Proxy'!$A$8:$A$19,'Estimator'!$B$4,'Wind Proxy'!$B$8:$B$19,C1915)</x:f>
        <x:v>0.11350059737156513</x:v>
      </x:c>
    </x:row>
    <x:row r="1916">
      <x:c r="A1916" s="379" t="n">
        <x:v>47567</x:v>
      </x:c>
      <x:c r="B1916" s="380" t="n">
        <x:v>2030</x:v>
      </x:c>
      <x:c r="C1916" s="380" t="n">
        <x:v>3</x:v>
      </x:c>
      <x:c r="D1916" s="380" t="str">
        <x:v>Mar</x:v>
      </x:c>
      <x:c r="E1916" s="380" t="n">
        <x:v>25</x:v>
      </x:c>
      <x:c r="F1916" s="380" t="n">
        <x:v>1</x:v>
      </x:c>
      <x:c r="G1916" s="380" t="n">
        <x:f>--(F1916&lt;='Estimator'!$B$7)</x:f>
        <x:v>1</x:v>
      </x:c>
      <x:c r="H1916" s="381" t="n">
        <x:f>SUMIFS('Climate Data'!$G$7:$G$366,'Climate Data'!$A$7:$A$366,'Estimator'!$B$4,'Climate Data'!$B$7:$B$366,C1916)</x:f>
        <x:v>0.24916573971078979</x:v>
      </x:c>
      <x:c r="I1916" s="382" t="n">
        <x:f>SUMIFS('Climate Data'!$H$7:$H$366,'Climate Data'!$A$7:$A$366,'Estimator'!$B$4,'Climate Data'!$B$7:$B$366,C1916)</x:f>
        <x:v>9.709821428571429</x:v>
      </x:c>
      <x:c r="J1916" s="381" t="n">
        <x:f>SUMIFS('Wind Proxy'!$H$8:$H$19,'Wind Proxy'!$A$8:$A$19,'Estimator'!$B$4,'Wind Proxy'!$B$8:$B$19,C1916)</x:f>
        <x:v>0.11350059737156513</x:v>
      </x:c>
    </x:row>
    <x:row r="1917">
      <x:c r="A1917" s="379" t="n">
        <x:v>47568</x:v>
      </x:c>
      <x:c r="B1917" s="380" t="n">
        <x:v>2030</x:v>
      </x:c>
      <x:c r="C1917" s="380" t="n">
        <x:v>3</x:v>
      </x:c>
      <x:c r="D1917" s="380" t="str">
        <x:v>Mar</x:v>
      </x:c>
      <x:c r="E1917" s="380" t="n">
        <x:v>26</x:v>
      </x:c>
      <x:c r="F1917" s="380" t="n">
        <x:v>2</x:v>
      </x:c>
      <x:c r="G1917" s="380" t="n">
        <x:f>--(F1917&lt;='Estimator'!$B$7)</x:f>
        <x:v>1</x:v>
      </x:c>
      <x:c r="H1917" s="381" t="n">
        <x:f>SUMIFS('Climate Data'!$G$7:$G$366,'Climate Data'!$A$7:$A$366,'Estimator'!$B$4,'Climate Data'!$B$7:$B$366,C1917)</x:f>
        <x:v>0.24916573971078979</x:v>
      </x:c>
      <x:c r="I1917" s="382" t="n">
        <x:f>SUMIFS('Climate Data'!$H$7:$H$366,'Climate Data'!$A$7:$A$366,'Estimator'!$B$4,'Climate Data'!$B$7:$B$366,C1917)</x:f>
        <x:v>9.709821428571429</x:v>
      </x:c>
      <x:c r="J1917" s="381" t="n">
        <x:f>SUMIFS('Wind Proxy'!$H$8:$H$19,'Wind Proxy'!$A$8:$A$19,'Estimator'!$B$4,'Wind Proxy'!$B$8:$B$19,C1917)</x:f>
        <x:v>0.11350059737156513</x:v>
      </x:c>
    </x:row>
    <x:row r="1918">
      <x:c r="A1918" s="379" t="n">
        <x:v>47569</x:v>
      </x:c>
      <x:c r="B1918" s="380" t="n">
        <x:v>2030</x:v>
      </x:c>
      <x:c r="C1918" s="380" t="n">
        <x:v>3</x:v>
      </x:c>
      <x:c r="D1918" s="380" t="str">
        <x:v>Mar</x:v>
      </x:c>
      <x:c r="E1918" s="380" t="n">
        <x:v>27</x:v>
      </x:c>
      <x:c r="F1918" s="380" t="n">
        <x:v>3</x:v>
      </x:c>
      <x:c r="G1918" s="380" t="n">
        <x:f>--(F1918&lt;='Estimator'!$B$7)</x:f>
        <x:v>1</x:v>
      </x:c>
      <x:c r="H1918" s="381" t="n">
        <x:f>SUMIFS('Climate Data'!$G$7:$G$366,'Climate Data'!$A$7:$A$366,'Estimator'!$B$4,'Climate Data'!$B$7:$B$366,C1918)</x:f>
        <x:v>0.24916573971078979</x:v>
      </x:c>
      <x:c r="I1918" s="382" t="n">
        <x:f>SUMIFS('Climate Data'!$H$7:$H$366,'Climate Data'!$A$7:$A$366,'Estimator'!$B$4,'Climate Data'!$B$7:$B$366,C1918)</x:f>
        <x:v>9.709821428571429</x:v>
      </x:c>
      <x:c r="J1918" s="381" t="n">
        <x:f>SUMIFS('Wind Proxy'!$H$8:$H$19,'Wind Proxy'!$A$8:$A$19,'Estimator'!$B$4,'Wind Proxy'!$B$8:$B$19,C1918)</x:f>
        <x:v>0.11350059737156513</x:v>
      </x:c>
    </x:row>
    <x:row r="1919">
      <x:c r="A1919" s="379" t="n">
        <x:v>47570</x:v>
      </x:c>
      <x:c r="B1919" s="380" t="n">
        <x:v>2030</x:v>
      </x:c>
      <x:c r="C1919" s="380" t="n">
        <x:v>3</x:v>
      </x:c>
      <x:c r="D1919" s="380" t="str">
        <x:v>Mar</x:v>
      </x:c>
      <x:c r="E1919" s="380" t="n">
        <x:v>28</x:v>
      </x:c>
      <x:c r="F1919" s="380" t="n">
        <x:v>4</x:v>
      </x:c>
      <x:c r="G1919" s="380" t="n">
        <x:f>--(F1919&lt;='Estimator'!$B$7)</x:f>
        <x:v>1</x:v>
      </x:c>
      <x:c r="H1919" s="381" t="n">
        <x:f>SUMIFS('Climate Data'!$G$7:$G$366,'Climate Data'!$A$7:$A$366,'Estimator'!$B$4,'Climate Data'!$B$7:$B$366,C1919)</x:f>
        <x:v>0.24916573971078979</x:v>
      </x:c>
      <x:c r="I1919" s="382" t="n">
        <x:f>SUMIFS('Climate Data'!$H$7:$H$366,'Climate Data'!$A$7:$A$366,'Estimator'!$B$4,'Climate Data'!$B$7:$B$366,C1919)</x:f>
        <x:v>9.709821428571429</x:v>
      </x:c>
      <x:c r="J1919" s="381" t="n">
        <x:f>SUMIFS('Wind Proxy'!$H$8:$H$19,'Wind Proxy'!$A$8:$A$19,'Estimator'!$B$4,'Wind Proxy'!$B$8:$B$19,C1919)</x:f>
        <x:v>0.11350059737156513</x:v>
      </x:c>
    </x:row>
    <x:row r="1920">
      <x:c r="A1920" s="379" t="n">
        <x:v>47571</x:v>
      </x:c>
      <x:c r="B1920" s="380" t="n">
        <x:v>2030</x:v>
      </x:c>
      <x:c r="C1920" s="380" t="n">
        <x:v>3</x:v>
      </x:c>
      <x:c r="D1920" s="380" t="str">
        <x:v>Mar</x:v>
      </x:c>
      <x:c r="E1920" s="380" t="n">
        <x:v>29</x:v>
      </x:c>
      <x:c r="F1920" s="380" t="n">
        <x:v>5</x:v>
      </x:c>
      <x:c r="G1920" s="380" t="n">
        <x:f>--(F1920&lt;='Estimator'!$B$7)</x:f>
        <x:v>1</x:v>
      </x:c>
      <x:c r="H1920" s="381" t="n">
        <x:f>SUMIFS('Climate Data'!$G$7:$G$366,'Climate Data'!$A$7:$A$366,'Estimator'!$B$4,'Climate Data'!$B$7:$B$366,C1920)</x:f>
        <x:v>0.24916573971078979</x:v>
      </x:c>
      <x:c r="I1920" s="382" t="n">
        <x:f>SUMIFS('Climate Data'!$H$7:$H$366,'Climate Data'!$A$7:$A$366,'Estimator'!$B$4,'Climate Data'!$B$7:$B$366,C1920)</x:f>
        <x:v>9.709821428571429</x:v>
      </x:c>
      <x:c r="J1920" s="381" t="n">
        <x:f>SUMIFS('Wind Proxy'!$H$8:$H$19,'Wind Proxy'!$A$8:$A$19,'Estimator'!$B$4,'Wind Proxy'!$B$8:$B$19,C1920)</x:f>
        <x:v>0.11350059737156513</x:v>
      </x:c>
    </x:row>
    <x:row r="1921">
      <x:c r="A1921" s="379" t="n">
        <x:v>47572</x:v>
      </x:c>
      <x:c r="B1921" s="380" t="n">
        <x:v>2030</x:v>
      </x:c>
      <x:c r="C1921" s="380" t="n">
        <x:v>3</x:v>
      </x:c>
      <x:c r="D1921" s="380" t="str">
        <x:v>Mar</x:v>
      </x:c>
      <x:c r="E1921" s="380" t="n">
        <x:v>30</x:v>
      </x:c>
      <x:c r="F1921" s="380" t="n">
        <x:v>6</x:v>
      </x:c>
      <x:c r="G1921" s="380" t="n">
        <x:f>--(F1921&lt;='Estimator'!$B$7)</x:f>
        <x:v>0</x:v>
      </x:c>
      <x:c r="H1921" s="381" t="n">
        <x:f>SUMIFS('Climate Data'!$G$7:$G$366,'Climate Data'!$A$7:$A$366,'Estimator'!$B$4,'Climate Data'!$B$7:$B$366,C1921)</x:f>
        <x:v>0.24916573971078979</x:v>
      </x:c>
      <x:c r="I1921" s="382" t="n">
        <x:f>SUMIFS('Climate Data'!$H$7:$H$366,'Climate Data'!$A$7:$A$366,'Estimator'!$B$4,'Climate Data'!$B$7:$B$366,C1921)</x:f>
        <x:v>9.709821428571429</x:v>
      </x:c>
      <x:c r="J1921" s="381" t="n">
        <x:f>SUMIFS('Wind Proxy'!$H$8:$H$19,'Wind Proxy'!$A$8:$A$19,'Estimator'!$B$4,'Wind Proxy'!$B$8:$B$19,C1921)</x:f>
        <x:v>0.11350059737156513</x:v>
      </x:c>
    </x:row>
    <x:row r="1922">
      <x:c r="A1922" s="379" t="n">
        <x:v>47573</x:v>
      </x:c>
      <x:c r="B1922" s="380" t="n">
        <x:v>2030</x:v>
      </x:c>
      <x:c r="C1922" s="380" t="n">
        <x:v>3</x:v>
      </x:c>
      <x:c r="D1922" s="380" t="str">
        <x:v>Mar</x:v>
      </x:c>
      <x:c r="E1922" s="380" t="n">
        <x:v>31</x:v>
      </x:c>
      <x:c r="F1922" s="380" t="n">
        <x:v>7</x:v>
      </x:c>
      <x:c r="G1922" s="380" t="n">
        <x:f>--(F1922&lt;='Estimator'!$B$7)</x:f>
        <x:v>0</x:v>
      </x:c>
      <x:c r="H1922" s="381" t="n">
        <x:f>SUMIFS('Climate Data'!$G$7:$G$366,'Climate Data'!$A$7:$A$366,'Estimator'!$B$4,'Climate Data'!$B$7:$B$366,C1922)</x:f>
        <x:v>0.24916573971078979</x:v>
      </x:c>
      <x:c r="I1922" s="382" t="n">
        <x:f>SUMIFS('Climate Data'!$H$7:$H$366,'Climate Data'!$A$7:$A$366,'Estimator'!$B$4,'Climate Data'!$B$7:$B$366,C1922)</x:f>
        <x:v>9.709821428571429</x:v>
      </x:c>
      <x:c r="J1922" s="381" t="n">
        <x:f>SUMIFS('Wind Proxy'!$H$8:$H$19,'Wind Proxy'!$A$8:$A$19,'Estimator'!$B$4,'Wind Proxy'!$B$8:$B$19,C1922)</x:f>
        <x:v>0.11350059737156513</x:v>
      </x:c>
    </x:row>
    <x:row r="1923">
      <x:c r="A1923" s="379" t="n">
        <x:v>47574</x:v>
      </x:c>
      <x:c r="B1923" s="380" t="n">
        <x:v>2030</x:v>
      </x:c>
      <x:c r="C1923" s="380" t="n">
        <x:v>4</x:v>
      </x:c>
      <x:c r="D1923" s="380" t="str">
        <x:v>Apr</x:v>
      </x:c>
      <x:c r="E1923" s="380" t="n">
        <x:v>1</x:v>
      </x:c>
      <x:c r="F1923" s="380" t="n">
        <x:v>1</x:v>
      </x:c>
      <x:c r="G1923" s="380" t="n">
        <x:f>--(F1923&lt;='Estimator'!$B$7)</x:f>
        <x:v>1</x:v>
      </x:c>
      <x:c r="H1923" s="381" t="n">
        <x:f>SUMIFS('Climate Data'!$G$7:$G$366,'Climate Data'!$A$7:$A$366,'Estimator'!$B$4,'Climate Data'!$B$7:$B$366,C1923)</x:f>
        <x:v>0.32023809523809527</x:v>
      </x:c>
      <x:c r="I1923" s="382" t="n">
        <x:f>SUMIFS('Climate Data'!$H$7:$H$366,'Climate Data'!$A$7:$A$366,'Estimator'!$B$4,'Climate Data'!$B$7:$B$366,C1923)</x:f>
        <x:v>9.066171003717471</x:v>
      </x:c>
      <x:c r="J1923" s="381" t="n">
        <x:f>SUMIFS('Wind Proxy'!$H$8:$H$19,'Wind Proxy'!$A$8:$A$19,'Estimator'!$B$4,'Wind Proxy'!$B$8:$B$19,C1923)</x:f>
        <x:v>0.11728395061728397</x:v>
      </x:c>
    </x:row>
    <x:row r="1924">
      <x:c r="A1924" s="379" t="n">
        <x:v>47575</x:v>
      </x:c>
      <x:c r="B1924" s="380" t="n">
        <x:v>2030</x:v>
      </x:c>
      <x:c r="C1924" s="380" t="n">
        <x:v>4</x:v>
      </x:c>
      <x:c r="D1924" s="380" t="str">
        <x:v>Apr</x:v>
      </x:c>
      <x:c r="E1924" s="380" t="n">
        <x:v>2</x:v>
      </x:c>
      <x:c r="F1924" s="380" t="n">
        <x:v>2</x:v>
      </x:c>
      <x:c r="G1924" s="380" t="n">
        <x:f>--(F1924&lt;='Estimator'!$B$7)</x:f>
        <x:v>1</x:v>
      </x:c>
      <x:c r="H1924" s="381" t="n">
        <x:f>SUMIFS('Climate Data'!$G$7:$G$366,'Climate Data'!$A$7:$A$366,'Estimator'!$B$4,'Climate Data'!$B$7:$B$366,C1924)</x:f>
        <x:v>0.32023809523809527</x:v>
      </x:c>
      <x:c r="I1924" s="382" t="n">
        <x:f>SUMIFS('Climate Data'!$H$7:$H$366,'Climate Data'!$A$7:$A$366,'Estimator'!$B$4,'Climate Data'!$B$7:$B$366,C1924)</x:f>
        <x:v>9.066171003717471</x:v>
      </x:c>
      <x:c r="J1924" s="381" t="n">
        <x:f>SUMIFS('Wind Proxy'!$H$8:$H$19,'Wind Proxy'!$A$8:$A$19,'Estimator'!$B$4,'Wind Proxy'!$B$8:$B$19,C1924)</x:f>
        <x:v>0.11728395061728397</x:v>
      </x:c>
    </x:row>
    <x:row r="1925">
      <x:c r="A1925" s="379" t="n">
        <x:v>47576</x:v>
      </x:c>
      <x:c r="B1925" s="380" t="n">
        <x:v>2030</x:v>
      </x:c>
      <x:c r="C1925" s="380" t="n">
        <x:v>4</x:v>
      </x:c>
      <x:c r="D1925" s="380" t="str">
        <x:v>Apr</x:v>
      </x:c>
      <x:c r="E1925" s="380" t="n">
        <x:v>3</x:v>
      </x:c>
      <x:c r="F1925" s="380" t="n">
        <x:v>3</x:v>
      </x:c>
      <x:c r="G1925" s="380" t="n">
        <x:f>--(F1925&lt;='Estimator'!$B$7)</x:f>
        <x:v>1</x:v>
      </x:c>
      <x:c r="H1925" s="381" t="n">
        <x:f>SUMIFS('Climate Data'!$G$7:$G$366,'Climate Data'!$A$7:$A$366,'Estimator'!$B$4,'Climate Data'!$B$7:$B$366,C1925)</x:f>
        <x:v>0.32023809523809527</x:v>
      </x:c>
      <x:c r="I1925" s="382" t="n">
        <x:f>SUMIFS('Climate Data'!$H$7:$H$366,'Climate Data'!$A$7:$A$366,'Estimator'!$B$4,'Climate Data'!$B$7:$B$366,C1925)</x:f>
        <x:v>9.066171003717471</x:v>
      </x:c>
      <x:c r="J1925" s="381" t="n">
        <x:f>SUMIFS('Wind Proxy'!$H$8:$H$19,'Wind Proxy'!$A$8:$A$19,'Estimator'!$B$4,'Wind Proxy'!$B$8:$B$19,C1925)</x:f>
        <x:v>0.11728395061728397</x:v>
      </x:c>
    </x:row>
    <x:row r="1926">
      <x:c r="A1926" s="379" t="n">
        <x:v>47577</x:v>
      </x:c>
      <x:c r="B1926" s="380" t="n">
        <x:v>2030</x:v>
      </x:c>
      <x:c r="C1926" s="380" t="n">
        <x:v>4</x:v>
      </x:c>
      <x:c r="D1926" s="380" t="str">
        <x:v>Apr</x:v>
      </x:c>
      <x:c r="E1926" s="380" t="n">
        <x:v>4</x:v>
      </x:c>
      <x:c r="F1926" s="380" t="n">
        <x:v>4</x:v>
      </x:c>
      <x:c r="G1926" s="380" t="n">
        <x:f>--(F1926&lt;='Estimator'!$B$7)</x:f>
        <x:v>1</x:v>
      </x:c>
      <x:c r="H1926" s="381" t="n">
        <x:f>SUMIFS('Climate Data'!$G$7:$G$366,'Climate Data'!$A$7:$A$366,'Estimator'!$B$4,'Climate Data'!$B$7:$B$366,C1926)</x:f>
        <x:v>0.32023809523809527</x:v>
      </x:c>
      <x:c r="I1926" s="382" t="n">
        <x:f>SUMIFS('Climate Data'!$H$7:$H$366,'Climate Data'!$A$7:$A$366,'Estimator'!$B$4,'Climate Data'!$B$7:$B$366,C1926)</x:f>
        <x:v>9.066171003717471</x:v>
      </x:c>
      <x:c r="J1926" s="381" t="n">
        <x:f>SUMIFS('Wind Proxy'!$H$8:$H$19,'Wind Proxy'!$A$8:$A$19,'Estimator'!$B$4,'Wind Proxy'!$B$8:$B$19,C1926)</x:f>
        <x:v>0.11728395061728397</x:v>
      </x:c>
    </x:row>
    <x:row r="1927">
      <x:c r="A1927" s="379" t="n">
        <x:v>47578</x:v>
      </x:c>
      <x:c r="B1927" s="380" t="n">
        <x:v>2030</x:v>
      </x:c>
      <x:c r="C1927" s="380" t="n">
        <x:v>4</x:v>
      </x:c>
      <x:c r="D1927" s="380" t="str">
        <x:v>Apr</x:v>
      </x:c>
      <x:c r="E1927" s="380" t="n">
        <x:v>5</x:v>
      </x:c>
      <x:c r="F1927" s="380" t="n">
        <x:v>5</x:v>
      </x:c>
      <x:c r="G1927" s="380" t="n">
        <x:f>--(F1927&lt;='Estimator'!$B$7)</x:f>
        <x:v>1</x:v>
      </x:c>
      <x:c r="H1927" s="381" t="n">
        <x:f>SUMIFS('Climate Data'!$G$7:$G$366,'Climate Data'!$A$7:$A$366,'Estimator'!$B$4,'Climate Data'!$B$7:$B$366,C1927)</x:f>
        <x:v>0.32023809523809527</x:v>
      </x:c>
      <x:c r="I1927" s="382" t="n">
        <x:f>SUMIFS('Climate Data'!$H$7:$H$366,'Climate Data'!$A$7:$A$366,'Estimator'!$B$4,'Climate Data'!$B$7:$B$366,C1927)</x:f>
        <x:v>9.066171003717471</x:v>
      </x:c>
      <x:c r="J1927" s="381" t="n">
        <x:f>SUMIFS('Wind Proxy'!$H$8:$H$19,'Wind Proxy'!$A$8:$A$19,'Estimator'!$B$4,'Wind Proxy'!$B$8:$B$19,C1927)</x:f>
        <x:v>0.11728395061728397</x:v>
      </x:c>
    </x:row>
    <x:row r="1928">
      <x:c r="A1928" s="379" t="n">
        <x:v>47579</x:v>
      </x:c>
      <x:c r="B1928" s="380" t="n">
        <x:v>2030</x:v>
      </x:c>
      <x:c r="C1928" s="380" t="n">
        <x:v>4</x:v>
      </x:c>
      <x:c r="D1928" s="380" t="str">
        <x:v>Apr</x:v>
      </x:c>
      <x:c r="E1928" s="380" t="n">
        <x:v>6</x:v>
      </x:c>
      <x:c r="F1928" s="380" t="n">
        <x:v>6</x:v>
      </x:c>
      <x:c r="G1928" s="380" t="n">
        <x:f>--(F1928&lt;='Estimator'!$B$7)</x:f>
        <x:v>0</x:v>
      </x:c>
      <x:c r="H1928" s="381" t="n">
        <x:f>SUMIFS('Climate Data'!$G$7:$G$366,'Climate Data'!$A$7:$A$366,'Estimator'!$B$4,'Climate Data'!$B$7:$B$366,C1928)</x:f>
        <x:v>0.32023809523809527</x:v>
      </x:c>
      <x:c r="I1928" s="382" t="n">
        <x:f>SUMIFS('Climate Data'!$H$7:$H$366,'Climate Data'!$A$7:$A$366,'Estimator'!$B$4,'Climate Data'!$B$7:$B$366,C1928)</x:f>
        <x:v>9.066171003717471</x:v>
      </x:c>
      <x:c r="J1928" s="381" t="n">
        <x:f>SUMIFS('Wind Proxy'!$H$8:$H$19,'Wind Proxy'!$A$8:$A$19,'Estimator'!$B$4,'Wind Proxy'!$B$8:$B$19,C1928)</x:f>
        <x:v>0.11728395061728397</x:v>
      </x:c>
    </x:row>
    <x:row r="1929">
      <x:c r="A1929" s="379" t="n">
        <x:v>47580</x:v>
      </x:c>
      <x:c r="B1929" s="380" t="n">
        <x:v>2030</x:v>
      </x:c>
      <x:c r="C1929" s="380" t="n">
        <x:v>4</x:v>
      </x:c>
      <x:c r="D1929" s="380" t="str">
        <x:v>Apr</x:v>
      </x:c>
      <x:c r="E1929" s="380" t="n">
        <x:v>7</x:v>
      </x:c>
      <x:c r="F1929" s="380" t="n">
        <x:v>7</x:v>
      </x:c>
      <x:c r="G1929" s="380" t="n">
        <x:f>--(F1929&lt;='Estimator'!$B$7)</x:f>
        <x:v>0</x:v>
      </x:c>
      <x:c r="H1929" s="381" t="n">
        <x:f>SUMIFS('Climate Data'!$G$7:$G$366,'Climate Data'!$A$7:$A$366,'Estimator'!$B$4,'Climate Data'!$B$7:$B$366,C1929)</x:f>
        <x:v>0.32023809523809527</x:v>
      </x:c>
      <x:c r="I1929" s="382" t="n">
        <x:f>SUMIFS('Climate Data'!$H$7:$H$366,'Climate Data'!$A$7:$A$366,'Estimator'!$B$4,'Climate Data'!$B$7:$B$366,C1929)</x:f>
        <x:v>9.066171003717471</x:v>
      </x:c>
      <x:c r="J1929" s="381" t="n">
        <x:f>SUMIFS('Wind Proxy'!$H$8:$H$19,'Wind Proxy'!$A$8:$A$19,'Estimator'!$B$4,'Wind Proxy'!$B$8:$B$19,C1929)</x:f>
        <x:v>0.11728395061728397</x:v>
      </x:c>
    </x:row>
    <x:row r="1930">
      <x:c r="A1930" s="379" t="n">
        <x:v>47581</x:v>
      </x:c>
      <x:c r="B1930" s="380" t="n">
        <x:v>2030</x:v>
      </x:c>
      <x:c r="C1930" s="380" t="n">
        <x:v>4</x:v>
      </x:c>
      <x:c r="D1930" s="380" t="str">
        <x:v>Apr</x:v>
      </x:c>
      <x:c r="E1930" s="380" t="n">
        <x:v>8</x:v>
      </x:c>
      <x:c r="F1930" s="380" t="n">
        <x:v>1</x:v>
      </x:c>
      <x:c r="G1930" s="380" t="n">
        <x:f>--(F1930&lt;='Estimator'!$B$7)</x:f>
        <x:v>1</x:v>
      </x:c>
      <x:c r="H1930" s="381" t="n">
        <x:f>SUMIFS('Climate Data'!$G$7:$G$366,'Climate Data'!$A$7:$A$366,'Estimator'!$B$4,'Climate Data'!$B$7:$B$366,C1930)</x:f>
        <x:v>0.32023809523809527</x:v>
      </x:c>
      <x:c r="I1930" s="382" t="n">
        <x:f>SUMIFS('Climate Data'!$H$7:$H$366,'Climate Data'!$A$7:$A$366,'Estimator'!$B$4,'Climate Data'!$B$7:$B$366,C1930)</x:f>
        <x:v>9.066171003717471</x:v>
      </x:c>
      <x:c r="J1930" s="381" t="n">
        <x:f>SUMIFS('Wind Proxy'!$H$8:$H$19,'Wind Proxy'!$A$8:$A$19,'Estimator'!$B$4,'Wind Proxy'!$B$8:$B$19,C1930)</x:f>
        <x:v>0.11728395061728397</x:v>
      </x:c>
    </x:row>
    <x:row r="1931">
      <x:c r="A1931" s="379" t="n">
        <x:v>47582</x:v>
      </x:c>
      <x:c r="B1931" s="380" t="n">
        <x:v>2030</x:v>
      </x:c>
      <x:c r="C1931" s="380" t="n">
        <x:v>4</x:v>
      </x:c>
      <x:c r="D1931" s="380" t="str">
        <x:v>Apr</x:v>
      </x:c>
      <x:c r="E1931" s="380" t="n">
        <x:v>9</x:v>
      </x:c>
      <x:c r="F1931" s="380" t="n">
        <x:v>2</x:v>
      </x:c>
      <x:c r="G1931" s="380" t="n">
        <x:f>--(F1931&lt;='Estimator'!$B$7)</x:f>
        <x:v>1</x:v>
      </x:c>
      <x:c r="H1931" s="381" t="n">
        <x:f>SUMIFS('Climate Data'!$G$7:$G$366,'Climate Data'!$A$7:$A$366,'Estimator'!$B$4,'Climate Data'!$B$7:$B$366,C1931)</x:f>
        <x:v>0.32023809523809527</x:v>
      </x:c>
      <x:c r="I1931" s="382" t="n">
        <x:f>SUMIFS('Climate Data'!$H$7:$H$366,'Climate Data'!$A$7:$A$366,'Estimator'!$B$4,'Climate Data'!$B$7:$B$366,C1931)</x:f>
        <x:v>9.066171003717471</x:v>
      </x:c>
      <x:c r="J1931" s="381" t="n">
        <x:f>SUMIFS('Wind Proxy'!$H$8:$H$19,'Wind Proxy'!$A$8:$A$19,'Estimator'!$B$4,'Wind Proxy'!$B$8:$B$19,C1931)</x:f>
        <x:v>0.11728395061728397</x:v>
      </x:c>
    </x:row>
    <x:row r="1932">
      <x:c r="A1932" s="379" t="n">
        <x:v>47583</x:v>
      </x:c>
      <x:c r="B1932" s="380" t="n">
        <x:v>2030</x:v>
      </x:c>
      <x:c r="C1932" s="380" t="n">
        <x:v>4</x:v>
      </x:c>
      <x:c r="D1932" s="380" t="str">
        <x:v>Apr</x:v>
      </x:c>
      <x:c r="E1932" s="380" t="n">
        <x:v>10</x:v>
      </x:c>
      <x:c r="F1932" s="380" t="n">
        <x:v>3</x:v>
      </x:c>
      <x:c r="G1932" s="380" t="n">
        <x:f>--(F1932&lt;='Estimator'!$B$7)</x:f>
        <x:v>1</x:v>
      </x:c>
      <x:c r="H1932" s="381" t="n">
        <x:f>SUMIFS('Climate Data'!$G$7:$G$366,'Climate Data'!$A$7:$A$366,'Estimator'!$B$4,'Climate Data'!$B$7:$B$366,C1932)</x:f>
        <x:v>0.32023809523809527</x:v>
      </x:c>
      <x:c r="I1932" s="382" t="n">
        <x:f>SUMIFS('Climate Data'!$H$7:$H$366,'Climate Data'!$A$7:$A$366,'Estimator'!$B$4,'Climate Data'!$B$7:$B$366,C1932)</x:f>
        <x:v>9.066171003717471</x:v>
      </x:c>
      <x:c r="J1932" s="381" t="n">
        <x:f>SUMIFS('Wind Proxy'!$H$8:$H$19,'Wind Proxy'!$A$8:$A$19,'Estimator'!$B$4,'Wind Proxy'!$B$8:$B$19,C1932)</x:f>
        <x:v>0.11728395061728397</x:v>
      </x:c>
    </x:row>
    <x:row r="1933">
      <x:c r="A1933" s="379" t="n">
        <x:v>47584</x:v>
      </x:c>
      <x:c r="B1933" s="380" t="n">
        <x:v>2030</x:v>
      </x:c>
      <x:c r="C1933" s="380" t="n">
        <x:v>4</x:v>
      </x:c>
      <x:c r="D1933" s="380" t="str">
        <x:v>Apr</x:v>
      </x:c>
      <x:c r="E1933" s="380" t="n">
        <x:v>11</x:v>
      </x:c>
      <x:c r="F1933" s="380" t="n">
        <x:v>4</x:v>
      </x:c>
      <x:c r="G1933" s="380" t="n">
        <x:f>--(F1933&lt;='Estimator'!$B$7)</x:f>
        <x:v>1</x:v>
      </x:c>
      <x:c r="H1933" s="381" t="n">
        <x:f>SUMIFS('Climate Data'!$G$7:$G$366,'Climate Data'!$A$7:$A$366,'Estimator'!$B$4,'Climate Data'!$B$7:$B$366,C1933)</x:f>
        <x:v>0.32023809523809527</x:v>
      </x:c>
      <x:c r="I1933" s="382" t="n">
        <x:f>SUMIFS('Climate Data'!$H$7:$H$366,'Climate Data'!$A$7:$A$366,'Estimator'!$B$4,'Climate Data'!$B$7:$B$366,C1933)</x:f>
        <x:v>9.066171003717471</x:v>
      </x:c>
      <x:c r="J1933" s="381" t="n">
        <x:f>SUMIFS('Wind Proxy'!$H$8:$H$19,'Wind Proxy'!$A$8:$A$19,'Estimator'!$B$4,'Wind Proxy'!$B$8:$B$19,C1933)</x:f>
        <x:v>0.11728395061728397</x:v>
      </x:c>
    </x:row>
    <x:row r="1934">
      <x:c r="A1934" s="379" t="n">
        <x:v>47585</x:v>
      </x:c>
      <x:c r="B1934" s="380" t="n">
        <x:v>2030</x:v>
      </x:c>
      <x:c r="C1934" s="380" t="n">
        <x:v>4</x:v>
      </x:c>
      <x:c r="D1934" s="380" t="str">
        <x:v>Apr</x:v>
      </x:c>
      <x:c r="E1934" s="380" t="n">
        <x:v>12</x:v>
      </x:c>
      <x:c r="F1934" s="380" t="n">
        <x:v>5</x:v>
      </x:c>
      <x:c r="G1934" s="380" t="n">
        <x:f>--(F1934&lt;='Estimator'!$B$7)</x:f>
        <x:v>1</x:v>
      </x:c>
      <x:c r="H1934" s="381" t="n">
        <x:f>SUMIFS('Climate Data'!$G$7:$G$366,'Climate Data'!$A$7:$A$366,'Estimator'!$B$4,'Climate Data'!$B$7:$B$366,C1934)</x:f>
        <x:v>0.32023809523809527</x:v>
      </x:c>
      <x:c r="I1934" s="382" t="n">
        <x:f>SUMIFS('Climate Data'!$H$7:$H$366,'Climate Data'!$A$7:$A$366,'Estimator'!$B$4,'Climate Data'!$B$7:$B$366,C1934)</x:f>
        <x:v>9.066171003717471</x:v>
      </x:c>
      <x:c r="J1934" s="381" t="n">
        <x:f>SUMIFS('Wind Proxy'!$H$8:$H$19,'Wind Proxy'!$A$8:$A$19,'Estimator'!$B$4,'Wind Proxy'!$B$8:$B$19,C1934)</x:f>
        <x:v>0.11728395061728397</x:v>
      </x:c>
    </x:row>
    <x:row r="1935">
      <x:c r="A1935" s="379" t="n">
        <x:v>47586</x:v>
      </x:c>
      <x:c r="B1935" s="380" t="n">
        <x:v>2030</x:v>
      </x:c>
      <x:c r="C1935" s="380" t="n">
        <x:v>4</x:v>
      </x:c>
      <x:c r="D1935" s="380" t="str">
        <x:v>Apr</x:v>
      </x:c>
      <x:c r="E1935" s="380" t="n">
        <x:v>13</x:v>
      </x:c>
      <x:c r="F1935" s="380" t="n">
        <x:v>6</x:v>
      </x:c>
      <x:c r="G1935" s="380" t="n">
        <x:f>--(F1935&lt;='Estimator'!$B$7)</x:f>
        <x:v>0</x:v>
      </x:c>
      <x:c r="H1935" s="381" t="n">
        <x:f>SUMIFS('Climate Data'!$G$7:$G$366,'Climate Data'!$A$7:$A$366,'Estimator'!$B$4,'Climate Data'!$B$7:$B$366,C1935)</x:f>
        <x:v>0.32023809523809527</x:v>
      </x:c>
      <x:c r="I1935" s="382" t="n">
        <x:f>SUMIFS('Climate Data'!$H$7:$H$366,'Climate Data'!$A$7:$A$366,'Estimator'!$B$4,'Climate Data'!$B$7:$B$366,C1935)</x:f>
        <x:v>9.066171003717471</x:v>
      </x:c>
      <x:c r="J1935" s="381" t="n">
        <x:f>SUMIFS('Wind Proxy'!$H$8:$H$19,'Wind Proxy'!$A$8:$A$19,'Estimator'!$B$4,'Wind Proxy'!$B$8:$B$19,C1935)</x:f>
        <x:v>0.11728395061728397</x:v>
      </x:c>
    </x:row>
    <x:row r="1936">
      <x:c r="A1936" s="379" t="n">
        <x:v>47587</x:v>
      </x:c>
      <x:c r="B1936" s="380" t="n">
        <x:v>2030</x:v>
      </x:c>
      <x:c r="C1936" s="380" t="n">
        <x:v>4</x:v>
      </x:c>
      <x:c r="D1936" s="380" t="str">
        <x:v>Apr</x:v>
      </x:c>
      <x:c r="E1936" s="380" t="n">
        <x:v>14</x:v>
      </x:c>
      <x:c r="F1936" s="380" t="n">
        <x:v>7</x:v>
      </x:c>
      <x:c r="G1936" s="380" t="n">
        <x:f>--(F1936&lt;='Estimator'!$B$7)</x:f>
        <x:v>0</x:v>
      </x:c>
      <x:c r="H1936" s="381" t="n">
        <x:f>SUMIFS('Climate Data'!$G$7:$G$366,'Climate Data'!$A$7:$A$366,'Estimator'!$B$4,'Climate Data'!$B$7:$B$366,C1936)</x:f>
        <x:v>0.32023809523809527</x:v>
      </x:c>
      <x:c r="I1936" s="382" t="n">
        <x:f>SUMIFS('Climate Data'!$H$7:$H$366,'Climate Data'!$A$7:$A$366,'Estimator'!$B$4,'Climate Data'!$B$7:$B$366,C1936)</x:f>
        <x:v>9.066171003717471</x:v>
      </x:c>
      <x:c r="J1936" s="381" t="n">
        <x:f>SUMIFS('Wind Proxy'!$H$8:$H$19,'Wind Proxy'!$A$8:$A$19,'Estimator'!$B$4,'Wind Proxy'!$B$8:$B$19,C1936)</x:f>
        <x:v>0.11728395061728397</x:v>
      </x:c>
    </x:row>
    <x:row r="1937">
      <x:c r="A1937" s="379" t="n">
        <x:v>47588</x:v>
      </x:c>
      <x:c r="B1937" s="380" t="n">
        <x:v>2030</x:v>
      </x:c>
      <x:c r="C1937" s="380" t="n">
        <x:v>4</x:v>
      </x:c>
      <x:c r="D1937" s="380" t="str">
        <x:v>Apr</x:v>
      </x:c>
      <x:c r="E1937" s="380" t="n">
        <x:v>15</x:v>
      </x:c>
      <x:c r="F1937" s="380" t="n">
        <x:v>1</x:v>
      </x:c>
      <x:c r="G1937" s="380" t="n">
        <x:f>--(F1937&lt;='Estimator'!$B$7)</x:f>
        <x:v>1</x:v>
      </x:c>
      <x:c r="H1937" s="381" t="n">
        <x:f>SUMIFS('Climate Data'!$G$7:$G$366,'Climate Data'!$A$7:$A$366,'Estimator'!$B$4,'Climate Data'!$B$7:$B$366,C1937)</x:f>
        <x:v>0.32023809523809527</x:v>
      </x:c>
      <x:c r="I1937" s="382" t="n">
        <x:f>SUMIFS('Climate Data'!$H$7:$H$366,'Climate Data'!$A$7:$A$366,'Estimator'!$B$4,'Climate Data'!$B$7:$B$366,C1937)</x:f>
        <x:v>9.066171003717471</x:v>
      </x:c>
      <x:c r="J1937" s="381" t="n">
        <x:f>SUMIFS('Wind Proxy'!$H$8:$H$19,'Wind Proxy'!$A$8:$A$19,'Estimator'!$B$4,'Wind Proxy'!$B$8:$B$19,C1937)</x:f>
        <x:v>0.11728395061728397</x:v>
      </x:c>
    </x:row>
    <x:row r="1938">
      <x:c r="A1938" s="379" t="n">
        <x:v>47589</x:v>
      </x:c>
      <x:c r="B1938" s="380" t="n">
        <x:v>2030</x:v>
      </x:c>
      <x:c r="C1938" s="380" t="n">
        <x:v>4</x:v>
      </x:c>
      <x:c r="D1938" s="380" t="str">
        <x:v>Apr</x:v>
      </x:c>
      <x:c r="E1938" s="380" t="n">
        <x:v>16</x:v>
      </x:c>
      <x:c r="F1938" s="380" t="n">
        <x:v>2</x:v>
      </x:c>
      <x:c r="G1938" s="380" t="n">
        <x:f>--(F1938&lt;='Estimator'!$B$7)</x:f>
        <x:v>1</x:v>
      </x:c>
      <x:c r="H1938" s="381" t="n">
        <x:f>SUMIFS('Climate Data'!$G$7:$G$366,'Climate Data'!$A$7:$A$366,'Estimator'!$B$4,'Climate Data'!$B$7:$B$366,C1938)</x:f>
        <x:v>0.32023809523809527</x:v>
      </x:c>
      <x:c r="I1938" s="382" t="n">
        <x:f>SUMIFS('Climate Data'!$H$7:$H$366,'Climate Data'!$A$7:$A$366,'Estimator'!$B$4,'Climate Data'!$B$7:$B$366,C1938)</x:f>
        <x:v>9.066171003717471</x:v>
      </x:c>
      <x:c r="J1938" s="381" t="n">
        <x:f>SUMIFS('Wind Proxy'!$H$8:$H$19,'Wind Proxy'!$A$8:$A$19,'Estimator'!$B$4,'Wind Proxy'!$B$8:$B$19,C1938)</x:f>
        <x:v>0.11728395061728397</x:v>
      </x:c>
    </x:row>
    <x:row r="1939">
      <x:c r="A1939" s="379" t="n">
        <x:v>47590</x:v>
      </x:c>
      <x:c r="B1939" s="380" t="n">
        <x:v>2030</x:v>
      </x:c>
      <x:c r="C1939" s="380" t="n">
        <x:v>4</x:v>
      </x:c>
      <x:c r="D1939" s="380" t="str">
        <x:v>Apr</x:v>
      </x:c>
      <x:c r="E1939" s="380" t="n">
        <x:v>17</x:v>
      </x:c>
      <x:c r="F1939" s="380" t="n">
        <x:v>3</x:v>
      </x:c>
      <x:c r="G1939" s="380" t="n">
        <x:f>--(F1939&lt;='Estimator'!$B$7)</x:f>
        <x:v>1</x:v>
      </x:c>
      <x:c r="H1939" s="381" t="n">
        <x:f>SUMIFS('Climate Data'!$G$7:$G$366,'Climate Data'!$A$7:$A$366,'Estimator'!$B$4,'Climate Data'!$B$7:$B$366,C1939)</x:f>
        <x:v>0.32023809523809527</x:v>
      </x:c>
      <x:c r="I1939" s="382" t="n">
        <x:f>SUMIFS('Climate Data'!$H$7:$H$366,'Climate Data'!$A$7:$A$366,'Estimator'!$B$4,'Climate Data'!$B$7:$B$366,C1939)</x:f>
        <x:v>9.066171003717471</x:v>
      </x:c>
      <x:c r="J1939" s="381" t="n">
        <x:f>SUMIFS('Wind Proxy'!$H$8:$H$19,'Wind Proxy'!$A$8:$A$19,'Estimator'!$B$4,'Wind Proxy'!$B$8:$B$19,C1939)</x:f>
        <x:v>0.11728395061728397</x:v>
      </x:c>
    </x:row>
    <x:row r="1940">
      <x:c r="A1940" s="379" t="n">
        <x:v>47591</x:v>
      </x:c>
      <x:c r="B1940" s="380" t="n">
        <x:v>2030</x:v>
      </x:c>
      <x:c r="C1940" s="380" t="n">
        <x:v>4</x:v>
      </x:c>
      <x:c r="D1940" s="380" t="str">
        <x:v>Apr</x:v>
      </x:c>
      <x:c r="E1940" s="380" t="n">
        <x:v>18</x:v>
      </x:c>
      <x:c r="F1940" s="380" t="n">
        <x:v>4</x:v>
      </x:c>
      <x:c r="G1940" s="380" t="n">
        <x:f>--(F1940&lt;='Estimator'!$B$7)</x:f>
        <x:v>1</x:v>
      </x:c>
      <x:c r="H1940" s="381" t="n">
        <x:f>SUMIFS('Climate Data'!$G$7:$G$366,'Climate Data'!$A$7:$A$366,'Estimator'!$B$4,'Climate Data'!$B$7:$B$366,C1940)</x:f>
        <x:v>0.32023809523809527</x:v>
      </x:c>
      <x:c r="I1940" s="382" t="n">
        <x:f>SUMIFS('Climate Data'!$H$7:$H$366,'Climate Data'!$A$7:$A$366,'Estimator'!$B$4,'Climate Data'!$B$7:$B$366,C1940)</x:f>
        <x:v>9.066171003717471</x:v>
      </x:c>
      <x:c r="J1940" s="381" t="n">
        <x:f>SUMIFS('Wind Proxy'!$H$8:$H$19,'Wind Proxy'!$A$8:$A$19,'Estimator'!$B$4,'Wind Proxy'!$B$8:$B$19,C1940)</x:f>
        <x:v>0.11728395061728397</x:v>
      </x:c>
    </x:row>
    <x:row r="1941">
      <x:c r="A1941" s="379" t="n">
        <x:v>47592</x:v>
      </x:c>
      <x:c r="B1941" s="380" t="n">
        <x:v>2030</x:v>
      </x:c>
      <x:c r="C1941" s="380" t="n">
        <x:v>4</x:v>
      </x:c>
      <x:c r="D1941" s="380" t="str">
        <x:v>Apr</x:v>
      </x:c>
      <x:c r="E1941" s="380" t="n">
        <x:v>19</x:v>
      </x:c>
      <x:c r="F1941" s="380" t="n">
        <x:v>5</x:v>
      </x:c>
      <x:c r="G1941" s="380" t="n">
        <x:f>--(F1941&lt;='Estimator'!$B$7)</x:f>
        <x:v>1</x:v>
      </x:c>
      <x:c r="H1941" s="381" t="n">
        <x:f>SUMIFS('Climate Data'!$G$7:$G$366,'Climate Data'!$A$7:$A$366,'Estimator'!$B$4,'Climate Data'!$B$7:$B$366,C1941)</x:f>
        <x:v>0.32023809523809527</x:v>
      </x:c>
      <x:c r="I1941" s="382" t="n">
        <x:f>SUMIFS('Climate Data'!$H$7:$H$366,'Climate Data'!$A$7:$A$366,'Estimator'!$B$4,'Climate Data'!$B$7:$B$366,C1941)</x:f>
        <x:v>9.066171003717471</x:v>
      </x:c>
      <x:c r="J1941" s="381" t="n">
        <x:f>SUMIFS('Wind Proxy'!$H$8:$H$19,'Wind Proxy'!$A$8:$A$19,'Estimator'!$B$4,'Wind Proxy'!$B$8:$B$19,C1941)</x:f>
        <x:v>0.11728395061728397</x:v>
      </x:c>
    </x:row>
    <x:row r="1942">
      <x:c r="A1942" s="379" t="n">
        <x:v>47593</x:v>
      </x:c>
      <x:c r="B1942" s="380" t="n">
        <x:v>2030</x:v>
      </x:c>
      <x:c r="C1942" s="380" t="n">
        <x:v>4</x:v>
      </x:c>
      <x:c r="D1942" s="380" t="str">
        <x:v>Apr</x:v>
      </x:c>
      <x:c r="E1942" s="380" t="n">
        <x:v>20</x:v>
      </x:c>
      <x:c r="F1942" s="380" t="n">
        <x:v>6</x:v>
      </x:c>
      <x:c r="G1942" s="380" t="n">
        <x:f>--(F1942&lt;='Estimator'!$B$7)</x:f>
        <x:v>0</x:v>
      </x:c>
      <x:c r="H1942" s="381" t="n">
        <x:f>SUMIFS('Climate Data'!$G$7:$G$366,'Climate Data'!$A$7:$A$366,'Estimator'!$B$4,'Climate Data'!$B$7:$B$366,C1942)</x:f>
        <x:v>0.32023809523809527</x:v>
      </x:c>
      <x:c r="I1942" s="382" t="n">
        <x:f>SUMIFS('Climate Data'!$H$7:$H$366,'Climate Data'!$A$7:$A$366,'Estimator'!$B$4,'Climate Data'!$B$7:$B$366,C1942)</x:f>
        <x:v>9.066171003717471</x:v>
      </x:c>
      <x:c r="J1942" s="381" t="n">
        <x:f>SUMIFS('Wind Proxy'!$H$8:$H$19,'Wind Proxy'!$A$8:$A$19,'Estimator'!$B$4,'Wind Proxy'!$B$8:$B$19,C1942)</x:f>
        <x:v>0.11728395061728397</x:v>
      </x:c>
    </x:row>
    <x:row r="1943">
      <x:c r="A1943" s="379" t="n">
        <x:v>47594</x:v>
      </x:c>
      <x:c r="B1943" s="380" t="n">
        <x:v>2030</x:v>
      </x:c>
      <x:c r="C1943" s="380" t="n">
        <x:v>4</x:v>
      </x:c>
      <x:c r="D1943" s="380" t="str">
        <x:v>Apr</x:v>
      </x:c>
      <x:c r="E1943" s="380" t="n">
        <x:v>21</x:v>
      </x:c>
      <x:c r="F1943" s="380" t="n">
        <x:v>7</x:v>
      </x:c>
      <x:c r="G1943" s="380" t="n">
        <x:f>--(F1943&lt;='Estimator'!$B$7)</x:f>
        <x:v>0</x:v>
      </x:c>
      <x:c r="H1943" s="381" t="n">
        <x:f>SUMIFS('Climate Data'!$G$7:$G$366,'Climate Data'!$A$7:$A$366,'Estimator'!$B$4,'Climate Data'!$B$7:$B$366,C1943)</x:f>
        <x:v>0.32023809523809527</x:v>
      </x:c>
      <x:c r="I1943" s="382" t="n">
        <x:f>SUMIFS('Climate Data'!$H$7:$H$366,'Climate Data'!$A$7:$A$366,'Estimator'!$B$4,'Climate Data'!$B$7:$B$366,C1943)</x:f>
        <x:v>9.066171003717471</x:v>
      </x:c>
      <x:c r="J1943" s="381" t="n">
        <x:f>SUMIFS('Wind Proxy'!$H$8:$H$19,'Wind Proxy'!$A$8:$A$19,'Estimator'!$B$4,'Wind Proxy'!$B$8:$B$19,C1943)</x:f>
        <x:v>0.11728395061728397</x:v>
      </x:c>
    </x:row>
    <x:row r="1944">
      <x:c r="A1944" s="379" t="n">
        <x:v>47595</x:v>
      </x:c>
      <x:c r="B1944" s="380" t="n">
        <x:v>2030</x:v>
      </x:c>
      <x:c r="C1944" s="380" t="n">
        <x:v>4</x:v>
      </x:c>
      <x:c r="D1944" s="380" t="str">
        <x:v>Apr</x:v>
      </x:c>
      <x:c r="E1944" s="380" t="n">
        <x:v>22</x:v>
      </x:c>
      <x:c r="F1944" s="380" t="n">
        <x:v>1</x:v>
      </x:c>
      <x:c r="G1944" s="380" t="n">
        <x:f>--(F1944&lt;='Estimator'!$B$7)</x:f>
        <x:v>1</x:v>
      </x:c>
      <x:c r="H1944" s="381" t="n">
        <x:f>SUMIFS('Climate Data'!$G$7:$G$366,'Climate Data'!$A$7:$A$366,'Estimator'!$B$4,'Climate Data'!$B$7:$B$366,C1944)</x:f>
        <x:v>0.32023809523809527</x:v>
      </x:c>
      <x:c r="I1944" s="382" t="n">
        <x:f>SUMIFS('Climate Data'!$H$7:$H$366,'Climate Data'!$A$7:$A$366,'Estimator'!$B$4,'Climate Data'!$B$7:$B$366,C1944)</x:f>
        <x:v>9.066171003717471</x:v>
      </x:c>
      <x:c r="J1944" s="381" t="n">
        <x:f>SUMIFS('Wind Proxy'!$H$8:$H$19,'Wind Proxy'!$A$8:$A$19,'Estimator'!$B$4,'Wind Proxy'!$B$8:$B$19,C1944)</x:f>
        <x:v>0.11728395061728397</x:v>
      </x:c>
    </x:row>
    <x:row r="1945">
      <x:c r="A1945" s="379" t="n">
        <x:v>47596</x:v>
      </x:c>
      <x:c r="B1945" s="380" t="n">
        <x:v>2030</x:v>
      </x:c>
      <x:c r="C1945" s="380" t="n">
        <x:v>4</x:v>
      </x:c>
      <x:c r="D1945" s="380" t="str">
        <x:v>Apr</x:v>
      </x:c>
      <x:c r="E1945" s="380" t="n">
        <x:v>23</x:v>
      </x:c>
      <x:c r="F1945" s="380" t="n">
        <x:v>2</x:v>
      </x:c>
      <x:c r="G1945" s="380" t="n">
        <x:f>--(F1945&lt;='Estimator'!$B$7)</x:f>
        <x:v>1</x:v>
      </x:c>
      <x:c r="H1945" s="381" t="n">
        <x:f>SUMIFS('Climate Data'!$G$7:$G$366,'Climate Data'!$A$7:$A$366,'Estimator'!$B$4,'Climate Data'!$B$7:$B$366,C1945)</x:f>
        <x:v>0.32023809523809527</x:v>
      </x:c>
      <x:c r="I1945" s="382" t="n">
        <x:f>SUMIFS('Climate Data'!$H$7:$H$366,'Climate Data'!$A$7:$A$366,'Estimator'!$B$4,'Climate Data'!$B$7:$B$366,C1945)</x:f>
        <x:v>9.066171003717471</x:v>
      </x:c>
      <x:c r="J1945" s="381" t="n">
        <x:f>SUMIFS('Wind Proxy'!$H$8:$H$19,'Wind Proxy'!$A$8:$A$19,'Estimator'!$B$4,'Wind Proxy'!$B$8:$B$19,C1945)</x:f>
        <x:v>0.11728395061728397</x:v>
      </x:c>
    </x:row>
    <x:row r="1946">
      <x:c r="A1946" s="379" t="n">
        <x:v>47597</x:v>
      </x:c>
      <x:c r="B1946" s="380" t="n">
        <x:v>2030</x:v>
      </x:c>
      <x:c r="C1946" s="380" t="n">
        <x:v>4</x:v>
      </x:c>
      <x:c r="D1946" s="380" t="str">
        <x:v>Apr</x:v>
      </x:c>
      <x:c r="E1946" s="380" t="n">
        <x:v>24</x:v>
      </x:c>
      <x:c r="F1946" s="380" t="n">
        <x:v>3</x:v>
      </x:c>
      <x:c r="G1946" s="380" t="n">
        <x:f>--(F1946&lt;='Estimator'!$B$7)</x:f>
        <x:v>1</x:v>
      </x:c>
      <x:c r="H1946" s="381" t="n">
        <x:f>SUMIFS('Climate Data'!$G$7:$G$366,'Climate Data'!$A$7:$A$366,'Estimator'!$B$4,'Climate Data'!$B$7:$B$366,C1946)</x:f>
        <x:v>0.32023809523809527</x:v>
      </x:c>
      <x:c r="I1946" s="382" t="n">
        <x:f>SUMIFS('Climate Data'!$H$7:$H$366,'Climate Data'!$A$7:$A$366,'Estimator'!$B$4,'Climate Data'!$B$7:$B$366,C1946)</x:f>
        <x:v>9.066171003717471</x:v>
      </x:c>
      <x:c r="J1946" s="381" t="n">
        <x:f>SUMIFS('Wind Proxy'!$H$8:$H$19,'Wind Proxy'!$A$8:$A$19,'Estimator'!$B$4,'Wind Proxy'!$B$8:$B$19,C1946)</x:f>
        <x:v>0.11728395061728397</x:v>
      </x:c>
    </x:row>
    <x:row r="1947">
      <x:c r="A1947" s="379" t="n">
        <x:v>47598</x:v>
      </x:c>
      <x:c r="B1947" s="380" t="n">
        <x:v>2030</x:v>
      </x:c>
      <x:c r="C1947" s="380" t="n">
        <x:v>4</x:v>
      </x:c>
      <x:c r="D1947" s="380" t="str">
        <x:v>Apr</x:v>
      </x:c>
      <x:c r="E1947" s="380" t="n">
        <x:v>25</x:v>
      </x:c>
      <x:c r="F1947" s="380" t="n">
        <x:v>4</x:v>
      </x:c>
      <x:c r="G1947" s="380" t="n">
        <x:f>--(F1947&lt;='Estimator'!$B$7)</x:f>
        <x:v>1</x:v>
      </x:c>
      <x:c r="H1947" s="381" t="n">
        <x:f>SUMIFS('Climate Data'!$G$7:$G$366,'Climate Data'!$A$7:$A$366,'Estimator'!$B$4,'Climate Data'!$B$7:$B$366,C1947)</x:f>
        <x:v>0.32023809523809527</x:v>
      </x:c>
      <x:c r="I1947" s="382" t="n">
        <x:f>SUMIFS('Climate Data'!$H$7:$H$366,'Climate Data'!$A$7:$A$366,'Estimator'!$B$4,'Climate Data'!$B$7:$B$366,C1947)</x:f>
        <x:v>9.066171003717471</x:v>
      </x:c>
      <x:c r="J1947" s="381" t="n">
        <x:f>SUMIFS('Wind Proxy'!$H$8:$H$19,'Wind Proxy'!$A$8:$A$19,'Estimator'!$B$4,'Wind Proxy'!$B$8:$B$19,C1947)</x:f>
        <x:v>0.11728395061728397</x:v>
      </x:c>
    </x:row>
    <x:row r="1948">
      <x:c r="A1948" s="379" t="n">
        <x:v>47599</x:v>
      </x:c>
      <x:c r="B1948" s="380" t="n">
        <x:v>2030</x:v>
      </x:c>
      <x:c r="C1948" s="380" t="n">
        <x:v>4</x:v>
      </x:c>
      <x:c r="D1948" s="380" t="str">
        <x:v>Apr</x:v>
      </x:c>
      <x:c r="E1948" s="380" t="n">
        <x:v>26</x:v>
      </x:c>
      <x:c r="F1948" s="380" t="n">
        <x:v>5</x:v>
      </x:c>
      <x:c r="G1948" s="380" t="n">
        <x:f>--(F1948&lt;='Estimator'!$B$7)</x:f>
        <x:v>1</x:v>
      </x:c>
      <x:c r="H1948" s="381" t="n">
        <x:f>SUMIFS('Climate Data'!$G$7:$G$366,'Climate Data'!$A$7:$A$366,'Estimator'!$B$4,'Climate Data'!$B$7:$B$366,C1948)</x:f>
        <x:v>0.32023809523809527</x:v>
      </x:c>
      <x:c r="I1948" s="382" t="n">
        <x:f>SUMIFS('Climate Data'!$H$7:$H$366,'Climate Data'!$A$7:$A$366,'Estimator'!$B$4,'Climate Data'!$B$7:$B$366,C1948)</x:f>
        <x:v>9.066171003717471</x:v>
      </x:c>
      <x:c r="J1948" s="381" t="n">
        <x:f>SUMIFS('Wind Proxy'!$H$8:$H$19,'Wind Proxy'!$A$8:$A$19,'Estimator'!$B$4,'Wind Proxy'!$B$8:$B$19,C1948)</x:f>
        <x:v>0.11728395061728397</x:v>
      </x:c>
    </x:row>
    <x:row r="1949">
      <x:c r="A1949" s="379" t="n">
        <x:v>47600</x:v>
      </x:c>
      <x:c r="B1949" s="380" t="n">
        <x:v>2030</x:v>
      </x:c>
      <x:c r="C1949" s="380" t="n">
        <x:v>4</x:v>
      </x:c>
      <x:c r="D1949" s="380" t="str">
        <x:v>Apr</x:v>
      </x:c>
      <x:c r="E1949" s="380" t="n">
        <x:v>27</x:v>
      </x:c>
      <x:c r="F1949" s="380" t="n">
        <x:v>6</x:v>
      </x:c>
      <x:c r="G1949" s="380" t="n">
        <x:f>--(F1949&lt;='Estimator'!$B$7)</x:f>
        <x:v>0</x:v>
      </x:c>
      <x:c r="H1949" s="381" t="n">
        <x:f>SUMIFS('Climate Data'!$G$7:$G$366,'Climate Data'!$A$7:$A$366,'Estimator'!$B$4,'Climate Data'!$B$7:$B$366,C1949)</x:f>
        <x:v>0.32023809523809527</x:v>
      </x:c>
      <x:c r="I1949" s="382" t="n">
        <x:f>SUMIFS('Climate Data'!$H$7:$H$366,'Climate Data'!$A$7:$A$366,'Estimator'!$B$4,'Climate Data'!$B$7:$B$366,C1949)</x:f>
        <x:v>9.066171003717471</x:v>
      </x:c>
      <x:c r="J1949" s="381" t="n">
        <x:f>SUMIFS('Wind Proxy'!$H$8:$H$19,'Wind Proxy'!$A$8:$A$19,'Estimator'!$B$4,'Wind Proxy'!$B$8:$B$19,C1949)</x:f>
        <x:v>0.11728395061728397</x:v>
      </x:c>
    </x:row>
    <x:row r="1950">
      <x:c r="A1950" s="379" t="n">
        <x:v>47601</x:v>
      </x:c>
      <x:c r="B1950" s="380" t="n">
        <x:v>2030</x:v>
      </x:c>
      <x:c r="C1950" s="380" t="n">
        <x:v>4</x:v>
      </x:c>
      <x:c r="D1950" s="380" t="str">
        <x:v>Apr</x:v>
      </x:c>
      <x:c r="E1950" s="380" t="n">
        <x:v>28</x:v>
      </x:c>
      <x:c r="F1950" s="380" t="n">
        <x:v>7</x:v>
      </x:c>
      <x:c r="G1950" s="380" t="n">
        <x:f>--(F1950&lt;='Estimator'!$B$7)</x:f>
        <x:v>0</x:v>
      </x:c>
      <x:c r="H1950" s="381" t="n">
        <x:f>SUMIFS('Climate Data'!$G$7:$G$366,'Climate Data'!$A$7:$A$366,'Estimator'!$B$4,'Climate Data'!$B$7:$B$366,C1950)</x:f>
        <x:v>0.32023809523809527</x:v>
      </x:c>
      <x:c r="I1950" s="382" t="n">
        <x:f>SUMIFS('Climate Data'!$H$7:$H$366,'Climate Data'!$A$7:$A$366,'Estimator'!$B$4,'Climate Data'!$B$7:$B$366,C1950)</x:f>
        <x:v>9.066171003717471</x:v>
      </x:c>
      <x:c r="J1950" s="381" t="n">
        <x:f>SUMIFS('Wind Proxy'!$H$8:$H$19,'Wind Proxy'!$A$8:$A$19,'Estimator'!$B$4,'Wind Proxy'!$B$8:$B$19,C1950)</x:f>
        <x:v>0.11728395061728397</x:v>
      </x:c>
    </x:row>
    <x:row r="1951">
      <x:c r="A1951" s="379" t="n">
        <x:v>47602</x:v>
      </x:c>
      <x:c r="B1951" s="380" t="n">
        <x:v>2030</x:v>
      </x:c>
      <x:c r="C1951" s="380" t="n">
        <x:v>4</x:v>
      </x:c>
      <x:c r="D1951" s="380" t="str">
        <x:v>Apr</x:v>
      </x:c>
      <x:c r="E1951" s="380" t="n">
        <x:v>29</x:v>
      </x:c>
      <x:c r="F1951" s="380" t="n">
        <x:v>1</x:v>
      </x:c>
      <x:c r="G1951" s="380" t="n">
        <x:f>--(F1951&lt;='Estimator'!$B$7)</x:f>
        <x:v>1</x:v>
      </x:c>
      <x:c r="H1951" s="381" t="n">
        <x:f>SUMIFS('Climate Data'!$G$7:$G$366,'Climate Data'!$A$7:$A$366,'Estimator'!$B$4,'Climate Data'!$B$7:$B$366,C1951)</x:f>
        <x:v>0.32023809523809527</x:v>
      </x:c>
      <x:c r="I1951" s="382" t="n">
        <x:f>SUMIFS('Climate Data'!$H$7:$H$366,'Climate Data'!$A$7:$A$366,'Estimator'!$B$4,'Climate Data'!$B$7:$B$366,C1951)</x:f>
        <x:v>9.066171003717471</x:v>
      </x:c>
      <x:c r="J1951" s="381" t="n">
        <x:f>SUMIFS('Wind Proxy'!$H$8:$H$19,'Wind Proxy'!$A$8:$A$19,'Estimator'!$B$4,'Wind Proxy'!$B$8:$B$19,C1951)</x:f>
        <x:v>0.11728395061728397</x:v>
      </x:c>
    </x:row>
    <x:row r="1952">
      <x:c r="A1952" s="379" t="n">
        <x:v>47603</x:v>
      </x:c>
      <x:c r="B1952" s="380" t="n">
        <x:v>2030</x:v>
      </x:c>
      <x:c r="C1952" s="380" t="n">
        <x:v>4</x:v>
      </x:c>
      <x:c r="D1952" s="380" t="str">
        <x:v>Apr</x:v>
      </x:c>
      <x:c r="E1952" s="380" t="n">
        <x:v>30</x:v>
      </x:c>
      <x:c r="F1952" s="380" t="n">
        <x:v>2</x:v>
      </x:c>
      <x:c r="G1952" s="380" t="n">
        <x:f>--(F1952&lt;='Estimator'!$B$7)</x:f>
        <x:v>1</x:v>
      </x:c>
      <x:c r="H1952" s="381" t="n">
        <x:f>SUMIFS('Climate Data'!$G$7:$G$366,'Climate Data'!$A$7:$A$366,'Estimator'!$B$4,'Climate Data'!$B$7:$B$366,C1952)</x:f>
        <x:v>0.32023809523809527</x:v>
      </x:c>
      <x:c r="I1952" s="382" t="n">
        <x:f>SUMIFS('Climate Data'!$H$7:$H$366,'Climate Data'!$A$7:$A$366,'Estimator'!$B$4,'Climate Data'!$B$7:$B$366,C1952)</x:f>
        <x:v>9.066171003717471</x:v>
      </x:c>
      <x:c r="J1952" s="381" t="n">
        <x:f>SUMIFS('Wind Proxy'!$H$8:$H$19,'Wind Proxy'!$A$8:$A$19,'Estimator'!$B$4,'Wind Proxy'!$B$8:$B$19,C1952)</x:f>
        <x:v>0.11728395061728397</x:v>
      </x:c>
    </x:row>
    <x:row r="1953">
      <x:c r="A1953" s="379" t="n">
        <x:v>47604</x:v>
      </x:c>
      <x:c r="B1953" s="380" t="n">
        <x:v>2030</x:v>
      </x:c>
      <x:c r="C1953" s="380" t="n">
        <x:v>5</x:v>
      </x:c>
      <x:c r="D1953" s="380" t="str">
        <x:v>May</x:v>
      </x:c>
      <x:c r="E1953" s="380" t="n">
        <x:v>1</x:v>
      </x:c>
      <x:c r="F1953" s="380" t="n">
        <x:v>3</x:v>
      </x:c>
      <x:c r="G1953" s="380" t="n">
        <x:f>--(F1953&lt;='Estimator'!$B$7)</x:f>
        <x:v>1</x:v>
      </x:c>
      <x:c r="H1953" s="381" t="n">
        <x:f>SUMIFS('Climate Data'!$G$7:$G$366,'Climate Data'!$A$7:$A$366,'Estimator'!$B$4,'Climate Data'!$B$7:$B$366,C1953)</x:f>
        <x:v>0.41935483870967744</x:v>
      </x:c>
      <x:c r="I1953" s="382" t="n">
        <x:f>SUMIFS('Climate Data'!$H$7:$H$366,'Climate Data'!$A$7:$A$366,'Estimator'!$B$4,'Climate Data'!$B$7:$B$366,C1953)</x:f>
        <x:v>9.215384615384615</x:v>
      </x:c>
      <x:c r="J1953" s="381" t="n">
        <x:f>SUMIFS('Wind Proxy'!$H$8:$H$19,'Wind Proxy'!$A$8:$A$19,'Estimator'!$B$4,'Wind Proxy'!$B$8:$B$19,C1953)</x:f>
        <x:v>0.11350059737156513</x:v>
      </x:c>
    </x:row>
    <x:row r="1954">
      <x:c r="A1954" s="379" t="n">
        <x:v>47605</x:v>
      </x:c>
      <x:c r="B1954" s="380" t="n">
        <x:v>2030</x:v>
      </x:c>
      <x:c r="C1954" s="380" t="n">
        <x:v>5</x:v>
      </x:c>
      <x:c r="D1954" s="380" t="str">
        <x:v>May</x:v>
      </x:c>
      <x:c r="E1954" s="380" t="n">
        <x:v>2</x:v>
      </x:c>
      <x:c r="F1954" s="380" t="n">
        <x:v>4</x:v>
      </x:c>
      <x:c r="G1954" s="380" t="n">
        <x:f>--(F1954&lt;='Estimator'!$B$7)</x:f>
        <x:v>1</x:v>
      </x:c>
      <x:c r="H1954" s="381" t="n">
        <x:f>SUMIFS('Climate Data'!$G$7:$G$366,'Climate Data'!$A$7:$A$366,'Estimator'!$B$4,'Climate Data'!$B$7:$B$366,C1954)</x:f>
        <x:v>0.41935483870967744</x:v>
      </x:c>
      <x:c r="I1954" s="382" t="n">
        <x:f>SUMIFS('Climate Data'!$H$7:$H$366,'Climate Data'!$A$7:$A$366,'Estimator'!$B$4,'Climate Data'!$B$7:$B$366,C1954)</x:f>
        <x:v>9.215384615384615</x:v>
      </x:c>
      <x:c r="J1954" s="381" t="n">
        <x:f>SUMIFS('Wind Proxy'!$H$8:$H$19,'Wind Proxy'!$A$8:$A$19,'Estimator'!$B$4,'Wind Proxy'!$B$8:$B$19,C1954)</x:f>
        <x:v>0.11350059737156513</x:v>
      </x:c>
    </x:row>
    <x:row r="1955">
      <x:c r="A1955" s="379" t="n">
        <x:v>47606</x:v>
      </x:c>
      <x:c r="B1955" s="380" t="n">
        <x:v>2030</x:v>
      </x:c>
      <x:c r="C1955" s="380" t="n">
        <x:v>5</x:v>
      </x:c>
      <x:c r="D1955" s="380" t="str">
        <x:v>May</x:v>
      </x:c>
      <x:c r="E1955" s="380" t="n">
        <x:v>3</x:v>
      </x:c>
      <x:c r="F1955" s="380" t="n">
        <x:v>5</x:v>
      </x:c>
      <x:c r="G1955" s="380" t="n">
        <x:f>--(F1955&lt;='Estimator'!$B$7)</x:f>
        <x:v>1</x:v>
      </x:c>
      <x:c r="H1955" s="381" t="n">
        <x:f>SUMIFS('Climate Data'!$G$7:$G$366,'Climate Data'!$A$7:$A$366,'Estimator'!$B$4,'Climate Data'!$B$7:$B$366,C1955)</x:f>
        <x:v>0.41935483870967744</x:v>
      </x:c>
      <x:c r="I1955" s="382" t="n">
        <x:f>SUMIFS('Climate Data'!$H$7:$H$366,'Climate Data'!$A$7:$A$366,'Estimator'!$B$4,'Climate Data'!$B$7:$B$366,C1955)</x:f>
        <x:v>9.215384615384615</x:v>
      </x:c>
      <x:c r="J1955" s="381" t="n">
        <x:f>SUMIFS('Wind Proxy'!$H$8:$H$19,'Wind Proxy'!$A$8:$A$19,'Estimator'!$B$4,'Wind Proxy'!$B$8:$B$19,C1955)</x:f>
        <x:v>0.11350059737156513</x:v>
      </x:c>
    </x:row>
    <x:row r="1956">
      <x:c r="A1956" s="379" t="n">
        <x:v>47607</x:v>
      </x:c>
      <x:c r="B1956" s="380" t="n">
        <x:v>2030</x:v>
      </x:c>
      <x:c r="C1956" s="380" t="n">
        <x:v>5</x:v>
      </x:c>
      <x:c r="D1956" s="380" t="str">
        <x:v>May</x:v>
      </x:c>
      <x:c r="E1956" s="380" t="n">
        <x:v>4</x:v>
      </x:c>
      <x:c r="F1956" s="380" t="n">
        <x:v>6</x:v>
      </x:c>
      <x:c r="G1956" s="380" t="n">
        <x:f>--(F1956&lt;='Estimator'!$B$7)</x:f>
        <x:v>0</x:v>
      </x:c>
      <x:c r="H1956" s="381" t="n">
        <x:f>SUMIFS('Climate Data'!$G$7:$G$366,'Climate Data'!$A$7:$A$366,'Estimator'!$B$4,'Climate Data'!$B$7:$B$366,C1956)</x:f>
        <x:v>0.41935483870967744</x:v>
      </x:c>
      <x:c r="I1956" s="382" t="n">
        <x:f>SUMIFS('Climate Data'!$H$7:$H$366,'Climate Data'!$A$7:$A$366,'Estimator'!$B$4,'Climate Data'!$B$7:$B$366,C1956)</x:f>
        <x:v>9.215384615384615</x:v>
      </x:c>
      <x:c r="J1956" s="381" t="n">
        <x:f>SUMIFS('Wind Proxy'!$H$8:$H$19,'Wind Proxy'!$A$8:$A$19,'Estimator'!$B$4,'Wind Proxy'!$B$8:$B$19,C1956)</x:f>
        <x:v>0.11350059737156513</x:v>
      </x:c>
    </x:row>
    <x:row r="1957">
      <x:c r="A1957" s="379" t="n">
        <x:v>47608</x:v>
      </x:c>
      <x:c r="B1957" s="380" t="n">
        <x:v>2030</x:v>
      </x:c>
      <x:c r="C1957" s="380" t="n">
        <x:v>5</x:v>
      </x:c>
      <x:c r="D1957" s="380" t="str">
        <x:v>May</x:v>
      </x:c>
      <x:c r="E1957" s="380" t="n">
        <x:v>5</x:v>
      </x:c>
      <x:c r="F1957" s="380" t="n">
        <x:v>7</x:v>
      </x:c>
      <x:c r="G1957" s="380" t="n">
        <x:f>--(F1957&lt;='Estimator'!$B$7)</x:f>
        <x:v>0</x:v>
      </x:c>
      <x:c r="H1957" s="381" t="n">
        <x:f>SUMIFS('Climate Data'!$G$7:$G$366,'Climate Data'!$A$7:$A$366,'Estimator'!$B$4,'Climate Data'!$B$7:$B$366,C1957)</x:f>
        <x:v>0.41935483870967744</x:v>
      </x:c>
      <x:c r="I1957" s="382" t="n">
        <x:f>SUMIFS('Climate Data'!$H$7:$H$366,'Climate Data'!$A$7:$A$366,'Estimator'!$B$4,'Climate Data'!$B$7:$B$366,C1957)</x:f>
        <x:v>9.215384615384615</x:v>
      </x:c>
      <x:c r="J1957" s="381" t="n">
        <x:f>SUMIFS('Wind Proxy'!$H$8:$H$19,'Wind Proxy'!$A$8:$A$19,'Estimator'!$B$4,'Wind Proxy'!$B$8:$B$19,C1957)</x:f>
        <x:v>0.11350059737156513</x:v>
      </x:c>
    </x:row>
    <x:row r="1958">
      <x:c r="A1958" s="379" t="n">
        <x:v>47609</x:v>
      </x:c>
      <x:c r="B1958" s="380" t="n">
        <x:v>2030</x:v>
      </x:c>
      <x:c r="C1958" s="380" t="n">
        <x:v>5</x:v>
      </x:c>
      <x:c r="D1958" s="380" t="str">
        <x:v>May</x:v>
      </x:c>
      <x:c r="E1958" s="380" t="n">
        <x:v>6</x:v>
      </x:c>
      <x:c r="F1958" s="380" t="n">
        <x:v>1</x:v>
      </x:c>
      <x:c r="G1958" s="380" t="n">
        <x:f>--(F1958&lt;='Estimator'!$B$7)</x:f>
        <x:v>1</x:v>
      </x:c>
      <x:c r="H1958" s="381" t="n">
        <x:f>SUMIFS('Climate Data'!$G$7:$G$366,'Climate Data'!$A$7:$A$366,'Estimator'!$B$4,'Climate Data'!$B$7:$B$366,C1958)</x:f>
        <x:v>0.41935483870967744</x:v>
      </x:c>
      <x:c r="I1958" s="382" t="n">
        <x:f>SUMIFS('Climate Data'!$H$7:$H$366,'Climate Data'!$A$7:$A$366,'Estimator'!$B$4,'Climate Data'!$B$7:$B$366,C1958)</x:f>
        <x:v>9.215384615384615</x:v>
      </x:c>
      <x:c r="J1958" s="381" t="n">
        <x:f>SUMIFS('Wind Proxy'!$H$8:$H$19,'Wind Proxy'!$A$8:$A$19,'Estimator'!$B$4,'Wind Proxy'!$B$8:$B$19,C1958)</x:f>
        <x:v>0.11350059737156513</x:v>
      </x:c>
    </x:row>
    <x:row r="1959">
      <x:c r="A1959" s="379" t="n">
        <x:v>47610</x:v>
      </x:c>
      <x:c r="B1959" s="380" t="n">
        <x:v>2030</x:v>
      </x:c>
      <x:c r="C1959" s="380" t="n">
        <x:v>5</x:v>
      </x:c>
      <x:c r="D1959" s="380" t="str">
        <x:v>May</x:v>
      </x:c>
      <x:c r="E1959" s="380" t="n">
        <x:v>7</x:v>
      </x:c>
      <x:c r="F1959" s="380" t="n">
        <x:v>2</x:v>
      </x:c>
      <x:c r="G1959" s="380" t="n">
        <x:f>--(F1959&lt;='Estimator'!$B$7)</x:f>
        <x:v>1</x:v>
      </x:c>
      <x:c r="H1959" s="381" t="n">
        <x:f>SUMIFS('Climate Data'!$G$7:$G$366,'Climate Data'!$A$7:$A$366,'Estimator'!$B$4,'Climate Data'!$B$7:$B$366,C1959)</x:f>
        <x:v>0.41935483870967744</x:v>
      </x:c>
      <x:c r="I1959" s="382" t="n">
        <x:f>SUMIFS('Climate Data'!$H$7:$H$366,'Climate Data'!$A$7:$A$366,'Estimator'!$B$4,'Climate Data'!$B$7:$B$366,C1959)</x:f>
        <x:v>9.215384615384615</x:v>
      </x:c>
      <x:c r="J1959" s="381" t="n">
        <x:f>SUMIFS('Wind Proxy'!$H$8:$H$19,'Wind Proxy'!$A$8:$A$19,'Estimator'!$B$4,'Wind Proxy'!$B$8:$B$19,C1959)</x:f>
        <x:v>0.11350059737156513</x:v>
      </x:c>
    </x:row>
    <x:row r="1960">
      <x:c r="A1960" s="379" t="n">
        <x:v>47611</x:v>
      </x:c>
      <x:c r="B1960" s="380" t="n">
        <x:v>2030</x:v>
      </x:c>
      <x:c r="C1960" s="380" t="n">
        <x:v>5</x:v>
      </x:c>
      <x:c r="D1960" s="380" t="str">
        <x:v>May</x:v>
      </x:c>
      <x:c r="E1960" s="380" t="n">
        <x:v>8</x:v>
      </x:c>
      <x:c r="F1960" s="380" t="n">
        <x:v>3</x:v>
      </x:c>
      <x:c r="G1960" s="380" t="n">
        <x:f>--(F1960&lt;='Estimator'!$B$7)</x:f>
        <x:v>1</x:v>
      </x:c>
      <x:c r="H1960" s="381" t="n">
        <x:f>SUMIFS('Climate Data'!$G$7:$G$366,'Climate Data'!$A$7:$A$366,'Estimator'!$B$4,'Climate Data'!$B$7:$B$366,C1960)</x:f>
        <x:v>0.41935483870967744</x:v>
      </x:c>
      <x:c r="I1960" s="382" t="n">
        <x:f>SUMIFS('Climate Data'!$H$7:$H$366,'Climate Data'!$A$7:$A$366,'Estimator'!$B$4,'Climate Data'!$B$7:$B$366,C1960)</x:f>
        <x:v>9.215384615384615</x:v>
      </x:c>
      <x:c r="J1960" s="381" t="n">
        <x:f>SUMIFS('Wind Proxy'!$H$8:$H$19,'Wind Proxy'!$A$8:$A$19,'Estimator'!$B$4,'Wind Proxy'!$B$8:$B$19,C1960)</x:f>
        <x:v>0.11350059737156513</x:v>
      </x:c>
    </x:row>
    <x:row r="1961">
      <x:c r="A1961" s="379" t="n">
        <x:v>47612</x:v>
      </x:c>
      <x:c r="B1961" s="380" t="n">
        <x:v>2030</x:v>
      </x:c>
      <x:c r="C1961" s="380" t="n">
        <x:v>5</x:v>
      </x:c>
      <x:c r="D1961" s="380" t="str">
        <x:v>May</x:v>
      </x:c>
      <x:c r="E1961" s="380" t="n">
        <x:v>9</x:v>
      </x:c>
      <x:c r="F1961" s="380" t="n">
        <x:v>4</x:v>
      </x:c>
      <x:c r="G1961" s="380" t="n">
        <x:f>--(F1961&lt;='Estimator'!$B$7)</x:f>
        <x:v>1</x:v>
      </x:c>
      <x:c r="H1961" s="381" t="n">
        <x:f>SUMIFS('Climate Data'!$G$7:$G$366,'Climate Data'!$A$7:$A$366,'Estimator'!$B$4,'Climate Data'!$B$7:$B$366,C1961)</x:f>
        <x:v>0.41935483870967744</x:v>
      </x:c>
      <x:c r="I1961" s="382" t="n">
        <x:f>SUMIFS('Climate Data'!$H$7:$H$366,'Climate Data'!$A$7:$A$366,'Estimator'!$B$4,'Climate Data'!$B$7:$B$366,C1961)</x:f>
        <x:v>9.215384615384615</x:v>
      </x:c>
      <x:c r="J1961" s="381" t="n">
        <x:f>SUMIFS('Wind Proxy'!$H$8:$H$19,'Wind Proxy'!$A$8:$A$19,'Estimator'!$B$4,'Wind Proxy'!$B$8:$B$19,C1961)</x:f>
        <x:v>0.11350059737156513</x:v>
      </x:c>
    </x:row>
    <x:row r="1962">
      <x:c r="A1962" s="379" t="n">
        <x:v>47613</x:v>
      </x:c>
      <x:c r="B1962" s="380" t="n">
        <x:v>2030</x:v>
      </x:c>
      <x:c r="C1962" s="380" t="n">
        <x:v>5</x:v>
      </x:c>
      <x:c r="D1962" s="380" t="str">
        <x:v>May</x:v>
      </x:c>
      <x:c r="E1962" s="380" t="n">
        <x:v>10</x:v>
      </x:c>
      <x:c r="F1962" s="380" t="n">
        <x:v>5</x:v>
      </x:c>
      <x:c r="G1962" s="380" t="n">
        <x:f>--(F1962&lt;='Estimator'!$B$7)</x:f>
        <x:v>1</x:v>
      </x:c>
      <x:c r="H1962" s="381" t="n">
        <x:f>SUMIFS('Climate Data'!$G$7:$G$366,'Climate Data'!$A$7:$A$366,'Estimator'!$B$4,'Climate Data'!$B$7:$B$366,C1962)</x:f>
        <x:v>0.41935483870967744</x:v>
      </x:c>
      <x:c r="I1962" s="382" t="n">
        <x:f>SUMIFS('Climate Data'!$H$7:$H$366,'Climate Data'!$A$7:$A$366,'Estimator'!$B$4,'Climate Data'!$B$7:$B$366,C1962)</x:f>
        <x:v>9.215384615384615</x:v>
      </x:c>
      <x:c r="J1962" s="381" t="n">
        <x:f>SUMIFS('Wind Proxy'!$H$8:$H$19,'Wind Proxy'!$A$8:$A$19,'Estimator'!$B$4,'Wind Proxy'!$B$8:$B$19,C1962)</x:f>
        <x:v>0.11350059737156513</x:v>
      </x:c>
    </x:row>
    <x:row r="1963">
      <x:c r="A1963" s="379" t="n">
        <x:v>47614</x:v>
      </x:c>
      <x:c r="B1963" s="380" t="n">
        <x:v>2030</x:v>
      </x:c>
      <x:c r="C1963" s="380" t="n">
        <x:v>5</x:v>
      </x:c>
      <x:c r="D1963" s="380" t="str">
        <x:v>May</x:v>
      </x:c>
      <x:c r="E1963" s="380" t="n">
        <x:v>11</x:v>
      </x:c>
      <x:c r="F1963" s="380" t="n">
        <x:v>6</x:v>
      </x:c>
      <x:c r="G1963" s="380" t="n">
        <x:f>--(F1963&lt;='Estimator'!$B$7)</x:f>
        <x:v>0</x:v>
      </x:c>
      <x:c r="H1963" s="381" t="n">
        <x:f>SUMIFS('Climate Data'!$G$7:$G$366,'Climate Data'!$A$7:$A$366,'Estimator'!$B$4,'Climate Data'!$B$7:$B$366,C1963)</x:f>
        <x:v>0.41935483870967744</x:v>
      </x:c>
      <x:c r="I1963" s="382" t="n">
        <x:f>SUMIFS('Climate Data'!$H$7:$H$366,'Climate Data'!$A$7:$A$366,'Estimator'!$B$4,'Climate Data'!$B$7:$B$366,C1963)</x:f>
        <x:v>9.215384615384615</x:v>
      </x:c>
      <x:c r="J1963" s="381" t="n">
        <x:f>SUMIFS('Wind Proxy'!$H$8:$H$19,'Wind Proxy'!$A$8:$A$19,'Estimator'!$B$4,'Wind Proxy'!$B$8:$B$19,C1963)</x:f>
        <x:v>0.11350059737156513</x:v>
      </x:c>
    </x:row>
    <x:row r="1964">
      <x:c r="A1964" s="379" t="n">
        <x:v>47615</x:v>
      </x:c>
      <x:c r="B1964" s="380" t="n">
        <x:v>2030</x:v>
      </x:c>
      <x:c r="C1964" s="380" t="n">
        <x:v>5</x:v>
      </x:c>
      <x:c r="D1964" s="380" t="str">
        <x:v>May</x:v>
      </x:c>
      <x:c r="E1964" s="380" t="n">
        <x:v>12</x:v>
      </x:c>
      <x:c r="F1964" s="380" t="n">
        <x:v>7</x:v>
      </x:c>
      <x:c r="G1964" s="380" t="n">
        <x:f>--(F1964&lt;='Estimator'!$B$7)</x:f>
        <x:v>0</x:v>
      </x:c>
      <x:c r="H1964" s="381" t="n">
        <x:f>SUMIFS('Climate Data'!$G$7:$G$366,'Climate Data'!$A$7:$A$366,'Estimator'!$B$4,'Climate Data'!$B$7:$B$366,C1964)</x:f>
        <x:v>0.41935483870967744</x:v>
      </x:c>
      <x:c r="I1964" s="382" t="n">
        <x:f>SUMIFS('Climate Data'!$H$7:$H$366,'Climate Data'!$A$7:$A$366,'Estimator'!$B$4,'Climate Data'!$B$7:$B$366,C1964)</x:f>
        <x:v>9.215384615384615</x:v>
      </x:c>
      <x:c r="J1964" s="381" t="n">
        <x:f>SUMIFS('Wind Proxy'!$H$8:$H$19,'Wind Proxy'!$A$8:$A$19,'Estimator'!$B$4,'Wind Proxy'!$B$8:$B$19,C1964)</x:f>
        <x:v>0.11350059737156513</x:v>
      </x:c>
    </x:row>
    <x:row r="1965">
      <x:c r="A1965" s="379" t="n">
        <x:v>47616</x:v>
      </x:c>
      <x:c r="B1965" s="380" t="n">
        <x:v>2030</x:v>
      </x:c>
      <x:c r="C1965" s="380" t="n">
        <x:v>5</x:v>
      </x:c>
      <x:c r="D1965" s="380" t="str">
        <x:v>May</x:v>
      </x:c>
      <x:c r="E1965" s="380" t="n">
        <x:v>13</x:v>
      </x:c>
      <x:c r="F1965" s="380" t="n">
        <x:v>1</x:v>
      </x:c>
      <x:c r="G1965" s="380" t="n">
        <x:f>--(F1965&lt;='Estimator'!$B$7)</x:f>
        <x:v>1</x:v>
      </x:c>
      <x:c r="H1965" s="381" t="n">
        <x:f>SUMIFS('Climate Data'!$G$7:$G$366,'Climate Data'!$A$7:$A$366,'Estimator'!$B$4,'Climate Data'!$B$7:$B$366,C1965)</x:f>
        <x:v>0.41935483870967744</x:v>
      </x:c>
      <x:c r="I1965" s="382" t="n">
        <x:f>SUMIFS('Climate Data'!$H$7:$H$366,'Climate Data'!$A$7:$A$366,'Estimator'!$B$4,'Climate Data'!$B$7:$B$366,C1965)</x:f>
        <x:v>9.215384615384615</x:v>
      </x:c>
      <x:c r="J1965" s="381" t="n">
        <x:f>SUMIFS('Wind Proxy'!$H$8:$H$19,'Wind Proxy'!$A$8:$A$19,'Estimator'!$B$4,'Wind Proxy'!$B$8:$B$19,C1965)</x:f>
        <x:v>0.11350059737156513</x:v>
      </x:c>
    </x:row>
    <x:row r="1966">
      <x:c r="A1966" s="379" t="n">
        <x:v>47617</x:v>
      </x:c>
      <x:c r="B1966" s="380" t="n">
        <x:v>2030</x:v>
      </x:c>
      <x:c r="C1966" s="380" t="n">
        <x:v>5</x:v>
      </x:c>
      <x:c r="D1966" s="380" t="str">
        <x:v>May</x:v>
      </x:c>
      <x:c r="E1966" s="380" t="n">
        <x:v>14</x:v>
      </x:c>
      <x:c r="F1966" s="380" t="n">
        <x:v>2</x:v>
      </x:c>
      <x:c r="G1966" s="380" t="n">
        <x:f>--(F1966&lt;='Estimator'!$B$7)</x:f>
        <x:v>1</x:v>
      </x:c>
      <x:c r="H1966" s="381" t="n">
        <x:f>SUMIFS('Climate Data'!$G$7:$G$366,'Climate Data'!$A$7:$A$366,'Estimator'!$B$4,'Climate Data'!$B$7:$B$366,C1966)</x:f>
        <x:v>0.41935483870967744</x:v>
      </x:c>
      <x:c r="I1966" s="382" t="n">
        <x:f>SUMIFS('Climate Data'!$H$7:$H$366,'Climate Data'!$A$7:$A$366,'Estimator'!$B$4,'Climate Data'!$B$7:$B$366,C1966)</x:f>
        <x:v>9.215384615384615</x:v>
      </x:c>
      <x:c r="J1966" s="381" t="n">
        <x:f>SUMIFS('Wind Proxy'!$H$8:$H$19,'Wind Proxy'!$A$8:$A$19,'Estimator'!$B$4,'Wind Proxy'!$B$8:$B$19,C1966)</x:f>
        <x:v>0.11350059737156513</x:v>
      </x:c>
    </x:row>
    <x:row r="1967">
      <x:c r="A1967" s="379" t="n">
        <x:v>47618</x:v>
      </x:c>
      <x:c r="B1967" s="380" t="n">
        <x:v>2030</x:v>
      </x:c>
      <x:c r="C1967" s="380" t="n">
        <x:v>5</x:v>
      </x:c>
      <x:c r="D1967" s="380" t="str">
        <x:v>May</x:v>
      </x:c>
      <x:c r="E1967" s="380" t="n">
        <x:v>15</x:v>
      </x:c>
      <x:c r="F1967" s="380" t="n">
        <x:v>3</x:v>
      </x:c>
      <x:c r="G1967" s="380" t="n">
        <x:f>--(F1967&lt;='Estimator'!$B$7)</x:f>
        <x:v>1</x:v>
      </x:c>
      <x:c r="H1967" s="381" t="n">
        <x:f>SUMIFS('Climate Data'!$G$7:$G$366,'Climate Data'!$A$7:$A$366,'Estimator'!$B$4,'Climate Data'!$B$7:$B$366,C1967)</x:f>
        <x:v>0.41935483870967744</x:v>
      </x:c>
      <x:c r="I1967" s="382" t="n">
        <x:f>SUMIFS('Climate Data'!$H$7:$H$366,'Climate Data'!$A$7:$A$366,'Estimator'!$B$4,'Climate Data'!$B$7:$B$366,C1967)</x:f>
        <x:v>9.215384615384615</x:v>
      </x:c>
      <x:c r="J1967" s="381" t="n">
        <x:f>SUMIFS('Wind Proxy'!$H$8:$H$19,'Wind Proxy'!$A$8:$A$19,'Estimator'!$B$4,'Wind Proxy'!$B$8:$B$19,C1967)</x:f>
        <x:v>0.11350059737156513</x:v>
      </x:c>
    </x:row>
    <x:row r="1968">
      <x:c r="A1968" s="379" t="n">
        <x:v>47619</x:v>
      </x:c>
      <x:c r="B1968" s="380" t="n">
        <x:v>2030</x:v>
      </x:c>
      <x:c r="C1968" s="380" t="n">
        <x:v>5</x:v>
      </x:c>
      <x:c r="D1968" s="380" t="str">
        <x:v>May</x:v>
      </x:c>
      <x:c r="E1968" s="380" t="n">
        <x:v>16</x:v>
      </x:c>
      <x:c r="F1968" s="380" t="n">
        <x:v>4</x:v>
      </x:c>
      <x:c r="G1968" s="380" t="n">
        <x:f>--(F1968&lt;='Estimator'!$B$7)</x:f>
        <x:v>1</x:v>
      </x:c>
      <x:c r="H1968" s="381" t="n">
        <x:f>SUMIFS('Climate Data'!$G$7:$G$366,'Climate Data'!$A$7:$A$366,'Estimator'!$B$4,'Climate Data'!$B$7:$B$366,C1968)</x:f>
        <x:v>0.41935483870967744</x:v>
      </x:c>
      <x:c r="I1968" s="382" t="n">
        <x:f>SUMIFS('Climate Data'!$H$7:$H$366,'Climate Data'!$A$7:$A$366,'Estimator'!$B$4,'Climate Data'!$B$7:$B$366,C1968)</x:f>
        <x:v>9.215384615384615</x:v>
      </x:c>
      <x:c r="J1968" s="381" t="n">
        <x:f>SUMIFS('Wind Proxy'!$H$8:$H$19,'Wind Proxy'!$A$8:$A$19,'Estimator'!$B$4,'Wind Proxy'!$B$8:$B$19,C1968)</x:f>
        <x:v>0.11350059737156513</x:v>
      </x:c>
    </x:row>
    <x:row r="1969">
      <x:c r="A1969" s="379" t="n">
        <x:v>47620</x:v>
      </x:c>
      <x:c r="B1969" s="380" t="n">
        <x:v>2030</x:v>
      </x:c>
      <x:c r="C1969" s="380" t="n">
        <x:v>5</x:v>
      </x:c>
      <x:c r="D1969" s="380" t="str">
        <x:v>May</x:v>
      </x:c>
      <x:c r="E1969" s="380" t="n">
        <x:v>17</x:v>
      </x:c>
      <x:c r="F1969" s="380" t="n">
        <x:v>5</x:v>
      </x:c>
      <x:c r="G1969" s="380" t="n">
        <x:f>--(F1969&lt;='Estimator'!$B$7)</x:f>
        <x:v>1</x:v>
      </x:c>
      <x:c r="H1969" s="381" t="n">
        <x:f>SUMIFS('Climate Data'!$G$7:$G$366,'Climate Data'!$A$7:$A$366,'Estimator'!$B$4,'Climate Data'!$B$7:$B$366,C1969)</x:f>
        <x:v>0.41935483870967744</x:v>
      </x:c>
      <x:c r="I1969" s="382" t="n">
        <x:f>SUMIFS('Climate Data'!$H$7:$H$366,'Climate Data'!$A$7:$A$366,'Estimator'!$B$4,'Climate Data'!$B$7:$B$366,C1969)</x:f>
        <x:v>9.215384615384615</x:v>
      </x:c>
      <x:c r="J1969" s="381" t="n">
        <x:f>SUMIFS('Wind Proxy'!$H$8:$H$19,'Wind Proxy'!$A$8:$A$19,'Estimator'!$B$4,'Wind Proxy'!$B$8:$B$19,C1969)</x:f>
        <x:v>0.11350059737156513</x:v>
      </x:c>
    </x:row>
    <x:row r="1970">
      <x:c r="A1970" s="379" t="n">
        <x:v>47621</x:v>
      </x:c>
      <x:c r="B1970" s="380" t="n">
        <x:v>2030</x:v>
      </x:c>
      <x:c r="C1970" s="380" t="n">
        <x:v>5</x:v>
      </x:c>
      <x:c r="D1970" s="380" t="str">
        <x:v>May</x:v>
      </x:c>
      <x:c r="E1970" s="380" t="n">
        <x:v>18</x:v>
      </x:c>
      <x:c r="F1970" s="380" t="n">
        <x:v>6</x:v>
      </x:c>
      <x:c r="G1970" s="380" t="n">
        <x:f>--(F1970&lt;='Estimator'!$B$7)</x:f>
        <x:v>0</x:v>
      </x:c>
      <x:c r="H1970" s="381" t="n">
        <x:f>SUMIFS('Climate Data'!$G$7:$G$366,'Climate Data'!$A$7:$A$366,'Estimator'!$B$4,'Climate Data'!$B$7:$B$366,C1970)</x:f>
        <x:v>0.41935483870967744</x:v>
      </x:c>
      <x:c r="I1970" s="382" t="n">
        <x:f>SUMIFS('Climate Data'!$H$7:$H$366,'Climate Data'!$A$7:$A$366,'Estimator'!$B$4,'Climate Data'!$B$7:$B$366,C1970)</x:f>
        <x:v>9.215384615384615</x:v>
      </x:c>
      <x:c r="J1970" s="381" t="n">
        <x:f>SUMIFS('Wind Proxy'!$H$8:$H$19,'Wind Proxy'!$A$8:$A$19,'Estimator'!$B$4,'Wind Proxy'!$B$8:$B$19,C1970)</x:f>
        <x:v>0.11350059737156513</x:v>
      </x:c>
    </x:row>
    <x:row r="1971">
      <x:c r="A1971" s="379" t="n">
        <x:v>47622</x:v>
      </x:c>
      <x:c r="B1971" s="380" t="n">
        <x:v>2030</x:v>
      </x:c>
      <x:c r="C1971" s="380" t="n">
        <x:v>5</x:v>
      </x:c>
      <x:c r="D1971" s="380" t="str">
        <x:v>May</x:v>
      </x:c>
      <x:c r="E1971" s="380" t="n">
        <x:v>19</x:v>
      </x:c>
      <x:c r="F1971" s="380" t="n">
        <x:v>7</x:v>
      </x:c>
      <x:c r="G1971" s="380" t="n">
        <x:f>--(F1971&lt;='Estimator'!$B$7)</x:f>
        <x:v>0</x:v>
      </x:c>
      <x:c r="H1971" s="381" t="n">
        <x:f>SUMIFS('Climate Data'!$G$7:$G$366,'Climate Data'!$A$7:$A$366,'Estimator'!$B$4,'Climate Data'!$B$7:$B$366,C1971)</x:f>
        <x:v>0.41935483870967744</x:v>
      </x:c>
      <x:c r="I1971" s="382" t="n">
        <x:f>SUMIFS('Climate Data'!$H$7:$H$366,'Climate Data'!$A$7:$A$366,'Estimator'!$B$4,'Climate Data'!$B$7:$B$366,C1971)</x:f>
        <x:v>9.215384615384615</x:v>
      </x:c>
      <x:c r="J1971" s="381" t="n">
        <x:f>SUMIFS('Wind Proxy'!$H$8:$H$19,'Wind Proxy'!$A$8:$A$19,'Estimator'!$B$4,'Wind Proxy'!$B$8:$B$19,C1971)</x:f>
        <x:v>0.11350059737156513</x:v>
      </x:c>
    </x:row>
    <x:row r="1972">
      <x:c r="A1972" s="379" t="n">
        <x:v>47623</x:v>
      </x:c>
      <x:c r="B1972" s="380" t="n">
        <x:v>2030</x:v>
      </x:c>
      <x:c r="C1972" s="380" t="n">
        <x:v>5</x:v>
      </x:c>
      <x:c r="D1972" s="380" t="str">
        <x:v>May</x:v>
      </x:c>
      <x:c r="E1972" s="380" t="n">
        <x:v>20</x:v>
      </x:c>
      <x:c r="F1972" s="380" t="n">
        <x:v>1</x:v>
      </x:c>
      <x:c r="G1972" s="380" t="n">
        <x:f>--(F1972&lt;='Estimator'!$B$7)</x:f>
        <x:v>1</x:v>
      </x:c>
      <x:c r="H1972" s="381" t="n">
        <x:f>SUMIFS('Climate Data'!$G$7:$G$366,'Climate Data'!$A$7:$A$366,'Estimator'!$B$4,'Climate Data'!$B$7:$B$366,C1972)</x:f>
        <x:v>0.41935483870967744</x:v>
      </x:c>
      <x:c r="I1972" s="382" t="n">
        <x:f>SUMIFS('Climate Data'!$H$7:$H$366,'Climate Data'!$A$7:$A$366,'Estimator'!$B$4,'Climate Data'!$B$7:$B$366,C1972)</x:f>
        <x:v>9.215384615384615</x:v>
      </x:c>
      <x:c r="J1972" s="381" t="n">
        <x:f>SUMIFS('Wind Proxy'!$H$8:$H$19,'Wind Proxy'!$A$8:$A$19,'Estimator'!$B$4,'Wind Proxy'!$B$8:$B$19,C1972)</x:f>
        <x:v>0.11350059737156513</x:v>
      </x:c>
    </x:row>
    <x:row r="1973">
      <x:c r="A1973" s="379" t="n">
        <x:v>47624</x:v>
      </x:c>
      <x:c r="B1973" s="380" t="n">
        <x:v>2030</x:v>
      </x:c>
      <x:c r="C1973" s="380" t="n">
        <x:v>5</x:v>
      </x:c>
      <x:c r="D1973" s="380" t="str">
        <x:v>May</x:v>
      </x:c>
      <x:c r="E1973" s="380" t="n">
        <x:v>21</x:v>
      </x:c>
      <x:c r="F1973" s="380" t="n">
        <x:v>2</x:v>
      </x:c>
      <x:c r="G1973" s="380" t="n">
        <x:f>--(F1973&lt;='Estimator'!$B$7)</x:f>
        <x:v>1</x:v>
      </x:c>
      <x:c r="H1973" s="381" t="n">
        <x:f>SUMIFS('Climate Data'!$G$7:$G$366,'Climate Data'!$A$7:$A$366,'Estimator'!$B$4,'Climate Data'!$B$7:$B$366,C1973)</x:f>
        <x:v>0.41935483870967744</x:v>
      </x:c>
      <x:c r="I1973" s="382" t="n">
        <x:f>SUMIFS('Climate Data'!$H$7:$H$366,'Climate Data'!$A$7:$A$366,'Estimator'!$B$4,'Climate Data'!$B$7:$B$366,C1973)</x:f>
        <x:v>9.215384615384615</x:v>
      </x:c>
      <x:c r="J1973" s="381" t="n">
        <x:f>SUMIFS('Wind Proxy'!$H$8:$H$19,'Wind Proxy'!$A$8:$A$19,'Estimator'!$B$4,'Wind Proxy'!$B$8:$B$19,C1973)</x:f>
        <x:v>0.11350059737156513</x:v>
      </x:c>
    </x:row>
    <x:row r="1974">
      <x:c r="A1974" s="379" t="n">
        <x:v>47625</x:v>
      </x:c>
      <x:c r="B1974" s="380" t="n">
        <x:v>2030</x:v>
      </x:c>
      <x:c r="C1974" s="380" t="n">
        <x:v>5</x:v>
      </x:c>
      <x:c r="D1974" s="380" t="str">
        <x:v>May</x:v>
      </x:c>
      <x:c r="E1974" s="380" t="n">
        <x:v>22</x:v>
      </x:c>
      <x:c r="F1974" s="380" t="n">
        <x:v>3</x:v>
      </x:c>
      <x:c r="G1974" s="380" t="n">
        <x:f>--(F1974&lt;='Estimator'!$B$7)</x:f>
        <x:v>1</x:v>
      </x:c>
      <x:c r="H1974" s="381" t="n">
        <x:f>SUMIFS('Climate Data'!$G$7:$G$366,'Climate Data'!$A$7:$A$366,'Estimator'!$B$4,'Climate Data'!$B$7:$B$366,C1974)</x:f>
        <x:v>0.41935483870967744</x:v>
      </x:c>
      <x:c r="I1974" s="382" t="n">
        <x:f>SUMIFS('Climate Data'!$H$7:$H$366,'Climate Data'!$A$7:$A$366,'Estimator'!$B$4,'Climate Data'!$B$7:$B$366,C1974)</x:f>
        <x:v>9.215384615384615</x:v>
      </x:c>
      <x:c r="J1974" s="381" t="n">
        <x:f>SUMIFS('Wind Proxy'!$H$8:$H$19,'Wind Proxy'!$A$8:$A$19,'Estimator'!$B$4,'Wind Proxy'!$B$8:$B$19,C1974)</x:f>
        <x:v>0.11350059737156513</x:v>
      </x:c>
    </x:row>
    <x:row r="1975">
      <x:c r="A1975" s="379" t="n">
        <x:v>47626</x:v>
      </x:c>
      <x:c r="B1975" s="380" t="n">
        <x:v>2030</x:v>
      </x:c>
      <x:c r="C1975" s="380" t="n">
        <x:v>5</x:v>
      </x:c>
      <x:c r="D1975" s="380" t="str">
        <x:v>May</x:v>
      </x:c>
      <x:c r="E1975" s="380" t="n">
        <x:v>23</x:v>
      </x:c>
      <x:c r="F1975" s="380" t="n">
        <x:v>4</x:v>
      </x:c>
      <x:c r="G1975" s="380" t="n">
        <x:f>--(F1975&lt;='Estimator'!$B$7)</x:f>
        <x:v>1</x:v>
      </x:c>
      <x:c r="H1975" s="381" t="n">
        <x:f>SUMIFS('Climate Data'!$G$7:$G$366,'Climate Data'!$A$7:$A$366,'Estimator'!$B$4,'Climate Data'!$B$7:$B$366,C1975)</x:f>
        <x:v>0.41935483870967744</x:v>
      </x:c>
      <x:c r="I1975" s="382" t="n">
        <x:f>SUMIFS('Climate Data'!$H$7:$H$366,'Climate Data'!$A$7:$A$366,'Estimator'!$B$4,'Climate Data'!$B$7:$B$366,C1975)</x:f>
        <x:v>9.215384615384615</x:v>
      </x:c>
      <x:c r="J1975" s="381" t="n">
        <x:f>SUMIFS('Wind Proxy'!$H$8:$H$19,'Wind Proxy'!$A$8:$A$19,'Estimator'!$B$4,'Wind Proxy'!$B$8:$B$19,C1975)</x:f>
        <x:v>0.11350059737156513</x:v>
      </x:c>
    </x:row>
    <x:row r="1976">
      <x:c r="A1976" s="379" t="n">
        <x:v>47627</x:v>
      </x:c>
      <x:c r="B1976" s="380" t="n">
        <x:v>2030</x:v>
      </x:c>
      <x:c r="C1976" s="380" t="n">
        <x:v>5</x:v>
      </x:c>
      <x:c r="D1976" s="380" t="str">
        <x:v>May</x:v>
      </x:c>
      <x:c r="E1976" s="380" t="n">
        <x:v>24</x:v>
      </x:c>
      <x:c r="F1976" s="380" t="n">
        <x:v>5</x:v>
      </x:c>
      <x:c r="G1976" s="380" t="n">
        <x:f>--(F1976&lt;='Estimator'!$B$7)</x:f>
        <x:v>1</x:v>
      </x:c>
      <x:c r="H1976" s="381" t="n">
        <x:f>SUMIFS('Climate Data'!$G$7:$G$366,'Climate Data'!$A$7:$A$366,'Estimator'!$B$4,'Climate Data'!$B$7:$B$366,C1976)</x:f>
        <x:v>0.41935483870967744</x:v>
      </x:c>
      <x:c r="I1976" s="382" t="n">
        <x:f>SUMIFS('Climate Data'!$H$7:$H$366,'Climate Data'!$A$7:$A$366,'Estimator'!$B$4,'Climate Data'!$B$7:$B$366,C1976)</x:f>
        <x:v>9.215384615384615</x:v>
      </x:c>
      <x:c r="J1976" s="381" t="n">
        <x:f>SUMIFS('Wind Proxy'!$H$8:$H$19,'Wind Proxy'!$A$8:$A$19,'Estimator'!$B$4,'Wind Proxy'!$B$8:$B$19,C1976)</x:f>
        <x:v>0.11350059737156513</x:v>
      </x:c>
    </x:row>
    <x:row r="1977">
      <x:c r="A1977" s="379" t="n">
        <x:v>47628</x:v>
      </x:c>
      <x:c r="B1977" s="380" t="n">
        <x:v>2030</x:v>
      </x:c>
      <x:c r="C1977" s="380" t="n">
        <x:v>5</x:v>
      </x:c>
      <x:c r="D1977" s="380" t="str">
        <x:v>May</x:v>
      </x:c>
      <x:c r="E1977" s="380" t="n">
        <x:v>25</x:v>
      </x:c>
      <x:c r="F1977" s="380" t="n">
        <x:v>6</x:v>
      </x:c>
      <x:c r="G1977" s="380" t="n">
        <x:f>--(F1977&lt;='Estimator'!$B$7)</x:f>
        <x:v>0</x:v>
      </x:c>
      <x:c r="H1977" s="381" t="n">
        <x:f>SUMIFS('Climate Data'!$G$7:$G$366,'Climate Data'!$A$7:$A$366,'Estimator'!$B$4,'Climate Data'!$B$7:$B$366,C1977)</x:f>
        <x:v>0.41935483870967744</x:v>
      </x:c>
      <x:c r="I1977" s="382" t="n">
        <x:f>SUMIFS('Climate Data'!$H$7:$H$366,'Climate Data'!$A$7:$A$366,'Estimator'!$B$4,'Climate Data'!$B$7:$B$366,C1977)</x:f>
        <x:v>9.215384615384615</x:v>
      </x:c>
      <x:c r="J1977" s="381" t="n">
        <x:f>SUMIFS('Wind Proxy'!$H$8:$H$19,'Wind Proxy'!$A$8:$A$19,'Estimator'!$B$4,'Wind Proxy'!$B$8:$B$19,C1977)</x:f>
        <x:v>0.11350059737156513</x:v>
      </x:c>
    </x:row>
    <x:row r="1978">
      <x:c r="A1978" s="379" t="n">
        <x:v>47629</x:v>
      </x:c>
      <x:c r="B1978" s="380" t="n">
        <x:v>2030</x:v>
      </x:c>
      <x:c r="C1978" s="380" t="n">
        <x:v>5</x:v>
      </x:c>
      <x:c r="D1978" s="380" t="str">
        <x:v>May</x:v>
      </x:c>
      <x:c r="E1978" s="380" t="n">
        <x:v>26</x:v>
      </x:c>
      <x:c r="F1978" s="380" t="n">
        <x:v>7</x:v>
      </x:c>
      <x:c r="G1978" s="380" t="n">
        <x:f>--(F1978&lt;='Estimator'!$B$7)</x:f>
        <x:v>0</x:v>
      </x:c>
      <x:c r="H1978" s="381" t="n">
        <x:f>SUMIFS('Climate Data'!$G$7:$G$366,'Climate Data'!$A$7:$A$366,'Estimator'!$B$4,'Climate Data'!$B$7:$B$366,C1978)</x:f>
        <x:v>0.41935483870967744</x:v>
      </x:c>
      <x:c r="I1978" s="382" t="n">
        <x:f>SUMIFS('Climate Data'!$H$7:$H$366,'Climate Data'!$A$7:$A$366,'Estimator'!$B$4,'Climate Data'!$B$7:$B$366,C1978)</x:f>
        <x:v>9.215384615384615</x:v>
      </x:c>
      <x:c r="J1978" s="381" t="n">
        <x:f>SUMIFS('Wind Proxy'!$H$8:$H$19,'Wind Proxy'!$A$8:$A$19,'Estimator'!$B$4,'Wind Proxy'!$B$8:$B$19,C1978)</x:f>
        <x:v>0.11350059737156513</x:v>
      </x:c>
    </x:row>
    <x:row r="1979">
      <x:c r="A1979" s="379" t="n">
        <x:v>47630</x:v>
      </x:c>
      <x:c r="B1979" s="380" t="n">
        <x:v>2030</x:v>
      </x:c>
      <x:c r="C1979" s="380" t="n">
        <x:v>5</x:v>
      </x:c>
      <x:c r="D1979" s="380" t="str">
        <x:v>May</x:v>
      </x:c>
      <x:c r="E1979" s="380" t="n">
        <x:v>27</x:v>
      </x:c>
      <x:c r="F1979" s="380" t="n">
        <x:v>1</x:v>
      </x:c>
      <x:c r="G1979" s="380" t="n">
        <x:f>--(F1979&lt;='Estimator'!$B$7)</x:f>
        <x:v>1</x:v>
      </x:c>
      <x:c r="H1979" s="381" t="n">
        <x:f>SUMIFS('Climate Data'!$G$7:$G$366,'Climate Data'!$A$7:$A$366,'Estimator'!$B$4,'Climate Data'!$B$7:$B$366,C1979)</x:f>
        <x:v>0.41935483870967744</x:v>
      </x:c>
      <x:c r="I1979" s="382" t="n">
        <x:f>SUMIFS('Climate Data'!$H$7:$H$366,'Climate Data'!$A$7:$A$366,'Estimator'!$B$4,'Climate Data'!$B$7:$B$366,C1979)</x:f>
        <x:v>9.215384615384615</x:v>
      </x:c>
      <x:c r="J1979" s="381" t="n">
        <x:f>SUMIFS('Wind Proxy'!$H$8:$H$19,'Wind Proxy'!$A$8:$A$19,'Estimator'!$B$4,'Wind Proxy'!$B$8:$B$19,C1979)</x:f>
        <x:v>0.11350059737156513</x:v>
      </x:c>
    </x:row>
    <x:row r="1980">
      <x:c r="A1980" s="379" t="n">
        <x:v>47631</x:v>
      </x:c>
      <x:c r="B1980" s="380" t="n">
        <x:v>2030</x:v>
      </x:c>
      <x:c r="C1980" s="380" t="n">
        <x:v>5</x:v>
      </x:c>
      <x:c r="D1980" s="380" t="str">
        <x:v>May</x:v>
      </x:c>
      <x:c r="E1980" s="380" t="n">
        <x:v>28</x:v>
      </x:c>
      <x:c r="F1980" s="380" t="n">
        <x:v>2</x:v>
      </x:c>
      <x:c r="G1980" s="380" t="n">
        <x:f>--(F1980&lt;='Estimator'!$B$7)</x:f>
        <x:v>1</x:v>
      </x:c>
      <x:c r="H1980" s="381" t="n">
        <x:f>SUMIFS('Climate Data'!$G$7:$G$366,'Climate Data'!$A$7:$A$366,'Estimator'!$B$4,'Climate Data'!$B$7:$B$366,C1980)</x:f>
        <x:v>0.41935483870967744</x:v>
      </x:c>
      <x:c r="I1980" s="382" t="n">
        <x:f>SUMIFS('Climate Data'!$H$7:$H$366,'Climate Data'!$A$7:$A$366,'Estimator'!$B$4,'Climate Data'!$B$7:$B$366,C1980)</x:f>
        <x:v>9.215384615384615</x:v>
      </x:c>
      <x:c r="J1980" s="381" t="n">
        <x:f>SUMIFS('Wind Proxy'!$H$8:$H$19,'Wind Proxy'!$A$8:$A$19,'Estimator'!$B$4,'Wind Proxy'!$B$8:$B$19,C1980)</x:f>
        <x:v>0.11350059737156513</x:v>
      </x:c>
    </x:row>
    <x:row r="1981">
      <x:c r="A1981" s="379" t="n">
        <x:v>47632</x:v>
      </x:c>
      <x:c r="B1981" s="380" t="n">
        <x:v>2030</x:v>
      </x:c>
      <x:c r="C1981" s="380" t="n">
        <x:v>5</x:v>
      </x:c>
      <x:c r="D1981" s="380" t="str">
        <x:v>May</x:v>
      </x:c>
      <x:c r="E1981" s="380" t="n">
        <x:v>29</x:v>
      </x:c>
      <x:c r="F1981" s="380" t="n">
        <x:v>3</x:v>
      </x:c>
      <x:c r="G1981" s="380" t="n">
        <x:f>--(F1981&lt;='Estimator'!$B$7)</x:f>
        <x:v>1</x:v>
      </x:c>
      <x:c r="H1981" s="381" t="n">
        <x:f>SUMIFS('Climate Data'!$G$7:$G$366,'Climate Data'!$A$7:$A$366,'Estimator'!$B$4,'Climate Data'!$B$7:$B$366,C1981)</x:f>
        <x:v>0.41935483870967744</x:v>
      </x:c>
      <x:c r="I1981" s="382" t="n">
        <x:f>SUMIFS('Climate Data'!$H$7:$H$366,'Climate Data'!$A$7:$A$366,'Estimator'!$B$4,'Climate Data'!$B$7:$B$366,C1981)</x:f>
        <x:v>9.215384615384615</x:v>
      </x:c>
      <x:c r="J1981" s="381" t="n">
        <x:f>SUMIFS('Wind Proxy'!$H$8:$H$19,'Wind Proxy'!$A$8:$A$19,'Estimator'!$B$4,'Wind Proxy'!$B$8:$B$19,C1981)</x:f>
        <x:v>0.11350059737156513</x:v>
      </x:c>
    </x:row>
    <x:row r="1982">
      <x:c r="A1982" s="379" t="n">
        <x:v>47633</x:v>
      </x:c>
      <x:c r="B1982" s="380" t="n">
        <x:v>2030</x:v>
      </x:c>
      <x:c r="C1982" s="380" t="n">
        <x:v>5</x:v>
      </x:c>
      <x:c r="D1982" s="380" t="str">
        <x:v>May</x:v>
      </x:c>
      <x:c r="E1982" s="380" t="n">
        <x:v>30</x:v>
      </x:c>
      <x:c r="F1982" s="380" t="n">
        <x:v>4</x:v>
      </x:c>
      <x:c r="G1982" s="380" t="n">
        <x:f>--(F1982&lt;='Estimator'!$B$7)</x:f>
        <x:v>1</x:v>
      </x:c>
      <x:c r="H1982" s="381" t="n">
        <x:f>SUMIFS('Climate Data'!$G$7:$G$366,'Climate Data'!$A$7:$A$366,'Estimator'!$B$4,'Climate Data'!$B$7:$B$366,C1982)</x:f>
        <x:v>0.41935483870967744</x:v>
      </x:c>
      <x:c r="I1982" s="382" t="n">
        <x:f>SUMIFS('Climate Data'!$H$7:$H$366,'Climate Data'!$A$7:$A$366,'Estimator'!$B$4,'Climate Data'!$B$7:$B$366,C1982)</x:f>
        <x:v>9.215384615384615</x:v>
      </x:c>
      <x:c r="J1982" s="381" t="n">
        <x:f>SUMIFS('Wind Proxy'!$H$8:$H$19,'Wind Proxy'!$A$8:$A$19,'Estimator'!$B$4,'Wind Proxy'!$B$8:$B$19,C1982)</x:f>
        <x:v>0.11350059737156513</x:v>
      </x:c>
    </x:row>
    <x:row r="1983">
      <x:c r="A1983" s="379" t="n">
        <x:v>47634</x:v>
      </x:c>
      <x:c r="B1983" s="380" t="n">
        <x:v>2030</x:v>
      </x:c>
      <x:c r="C1983" s="380" t="n">
        <x:v>5</x:v>
      </x:c>
      <x:c r="D1983" s="380" t="str">
        <x:v>May</x:v>
      </x:c>
      <x:c r="E1983" s="380" t="n">
        <x:v>31</x:v>
      </x:c>
      <x:c r="F1983" s="380" t="n">
        <x:v>5</x:v>
      </x:c>
      <x:c r="G1983" s="380" t="n">
        <x:f>--(F1983&lt;='Estimator'!$B$7)</x:f>
        <x:v>1</x:v>
      </x:c>
      <x:c r="H1983" s="381" t="n">
        <x:f>SUMIFS('Climate Data'!$G$7:$G$366,'Climate Data'!$A$7:$A$366,'Estimator'!$B$4,'Climate Data'!$B$7:$B$366,C1983)</x:f>
        <x:v>0.41935483870967744</x:v>
      </x:c>
      <x:c r="I1983" s="382" t="n">
        <x:f>SUMIFS('Climate Data'!$H$7:$H$366,'Climate Data'!$A$7:$A$366,'Estimator'!$B$4,'Climate Data'!$B$7:$B$366,C1983)</x:f>
        <x:v>9.215384615384615</x:v>
      </x:c>
      <x:c r="J1983" s="381" t="n">
        <x:f>SUMIFS('Wind Proxy'!$H$8:$H$19,'Wind Proxy'!$A$8:$A$19,'Estimator'!$B$4,'Wind Proxy'!$B$8:$B$19,C1983)</x:f>
        <x:v>0.11350059737156513</x:v>
      </x:c>
    </x:row>
    <x:row r="1984">
      <x:c r="A1984" s="379" t="n">
        <x:v>47635</x:v>
      </x:c>
      <x:c r="B1984" s="380" t="n">
        <x:v>2030</x:v>
      </x:c>
      <x:c r="C1984" s="380" t="n">
        <x:v>6</x:v>
      </x:c>
      <x:c r="D1984" s="380" t="str">
        <x:v>Jun</x:v>
      </x:c>
      <x:c r="E1984" s="380" t="n">
        <x:v>1</x:v>
      </x:c>
      <x:c r="F1984" s="380" t="n">
        <x:v>6</x:v>
      </x:c>
      <x:c r="G1984" s="380" t="n">
        <x:f>--(F1984&lt;='Estimator'!$B$7)</x:f>
        <x:v>0</x:v>
      </x:c>
      <x:c r="H1984" s="381" t="n">
        <x:f>SUMIFS('Climate Data'!$G$7:$G$366,'Climate Data'!$A$7:$A$366,'Estimator'!$B$4,'Climate Data'!$B$7:$B$366,C1984)</x:f>
        <x:v>0.475</x:v>
      </x:c>
      <x:c r="I1984" s="382" t="n">
        <x:f>SUMIFS('Climate Data'!$H$7:$H$366,'Climate Data'!$A$7:$A$366,'Estimator'!$B$4,'Climate Data'!$B$7:$B$366,C1984)</x:f>
        <x:v>8.378947368421054</x:v>
      </x:c>
      <x:c r="J1984" s="381" t="n">
        <x:f>SUMIFS('Wind Proxy'!$H$8:$H$19,'Wind Proxy'!$A$8:$A$19,'Estimator'!$B$4,'Wind Proxy'!$B$8:$B$19,C1984)</x:f>
        <x:v>0.14197530864197533</x:v>
      </x:c>
    </x:row>
    <x:row r="1985">
      <x:c r="A1985" s="379" t="n">
        <x:v>47636</x:v>
      </x:c>
      <x:c r="B1985" s="380" t="n">
        <x:v>2030</x:v>
      </x:c>
      <x:c r="C1985" s="380" t="n">
        <x:v>6</x:v>
      </x:c>
      <x:c r="D1985" s="380" t="str">
        <x:v>Jun</x:v>
      </x:c>
      <x:c r="E1985" s="380" t="n">
        <x:v>2</x:v>
      </x:c>
      <x:c r="F1985" s="380" t="n">
        <x:v>7</x:v>
      </x:c>
      <x:c r="G1985" s="380" t="n">
        <x:f>--(F1985&lt;='Estimator'!$B$7)</x:f>
        <x:v>0</x:v>
      </x:c>
      <x:c r="H1985" s="381" t="n">
        <x:f>SUMIFS('Climate Data'!$G$7:$G$366,'Climate Data'!$A$7:$A$366,'Estimator'!$B$4,'Climate Data'!$B$7:$B$366,C1985)</x:f>
        <x:v>0.475</x:v>
      </x:c>
      <x:c r="I1985" s="382" t="n">
        <x:f>SUMIFS('Climate Data'!$H$7:$H$366,'Climate Data'!$A$7:$A$366,'Estimator'!$B$4,'Climate Data'!$B$7:$B$366,C1985)</x:f>
        <x:v>8.378947368421054</x:v>
      </x:c>
      <x:c r="J1985" s="381" t="n">
        <x:f>SUMIFS('Wind Proxy'!$H$8:$H$19,'Wind Proxy'!$A$8:$A$19,'Estimator'!$B$4,'Wind Proxy'!$B$8:$B$19,C1985)</x:f>
        <x:v>0.14197530864197533</x:v>
      </x:c>
    </x:row>
    <x:row r="1986">
      <x:c r="A1986" s="379" t="n">
        <x:v>47637</x:v>
      </x:c>
      <x:c r="B1986" s="380" t="n">
        <x:v>2030</x:v>
      </x:c>
      <x:c r="C1986" s="380" t="n">
        <x:v>6</x:v>
      </x:c>
      <x:c r="D1986" s="380" t="str">
        <x:v>Jun</x:v>
      </x:c>
      <x:c r="E1986" s="380" t="n">
        <x:v>3</x:v>
      </x:c>
      <x:c r="F1986" s="380" t="n">
        <x:v>1</x:v>
      </x:c>
      <x:c r="G1986" s="380" t="n">
        <x:f>--(F1986&lt;='Estimator'!$B$7)</x:f>
        <x:v>1</x:v>
      </x:c>
      <x:c r="H1986" s="381" t="n">
        <x:f>SUMIFS('Climate Data'!$G$7:$G$366,'Climate Data'!$A$7:$A$366,'Estimator'!$B$4,'Climate Data'!$B$7:$B$366,C1986)</x:f>
        <x:v>0.475</x:v>
      </x:c>
      <x:c r="I1986" s="382" t="n">
        <x:f>SUMIFS('Climate Data'!$H$7:$H$366,'Climate Data'!$A$7:$A$366,'Estimator'!$B$4,'Climate Data'!$B$7:$B$366,C1986)</x:f>
        <x:v>8.378947368421054</x:v>
      </x:c>
      <x:c r="J1986" s="381" t="n">
        <x:f>SUMIFS('Wind Proxy'!$H$8:$H$19,'Wind Proxy'!$A$8:$A$19,'Estimator'!$B$4,'Wind Proxy'!$B$8:$B$19,C1986)</x:f>
        <x:v>0.14197530864197533</x:v>
      </x:c>
    </x:row>
    <x:row r="1987">
      <x:c r="A1987" s="379" t="n">
        <x:v>47638</x:v>
      </x:c>
      <x:c r="B1987" s="380" t="n">
        <x:v>2030</x:v>
      </x:c>
      <x:c r="C1987" s="380" t="n">
        <x:v>6</x:v>
      </x:c>
      <x:c r="D1987" s="380" t="str">
        <x:v>Jun</x:v>
      </x:c>
      <x:c r="E1987" s="380" t="n">
        <x:v>4</x:v>
      </x:c>
      <x:c r="F1987" s="380" t="n">
        <x:v>2</x:v>
      </x:c>
      <x:c r="G1987" s="380" t="n">
        <x:f>--(F1987&lt;='Estimator'!$B$7)</x:f>
        <x:v>1</x:v>
      </x:c>
      <x:c r="H1987" s="381" t="n">
        <x:f>SUMIFS('Climate Data'!$G$7:$G$366,'Climate Data'!$A$7:$A$366,'Estimator'!$B$4,'Climate Data'!$B$7:$B$366,C1987)</x:f>
        <x:v>0.475</x:v>
      </x:c>
      <x:c r="I1987" s="382" t="n">
        <x:f>SUMIFS('Climate Data'!$H$7:$H$366,'Climate Data'!$A$7:$A$366,'Estimator'!$B$4,'Climate Data'!$B$7:$B$366,C1987)</x:f>
        <x:v>8.378947368421054</x:v>
      </x:c>
      <x:c r="J1987" s="381" t="n">
        <x:f>SUMIFS('Wind Proxy'!$H$8:$H$19,'Wind Proxy'!$A$8:$A$19,'Estimator'!$B$4,'Wind Proxy'!$B$8:$B$19,C1987)</x:f>
        <x:v>0.14197530864197533</x:v>
      </x:c>
    </x:row>
    <x:row r="1988">
      <x:c r="A1988" s="379" t="n">
        <x:v>47639</x:v>
      </x:c>
      <x:c r="B1988" s="380" t="n">
        <x:v>2030</x:v>
      </x:c>
      <x:c r="C1988" s="380" t="n">
        <x:v>6</x:v>
      </x:c>
      <x:c r="D1988" s="380" t="str">
        <x:v>Jun</x:v>
      </x:c>
      <x:c r="E1988" s="380" t="n">
        <x:v>5</x:v>
      </x:c>
      <x:c r="F1988" s="380" t="n">
        <x:v>3</x:v>
      </x:c>
      <x:c r="G1988" s="380" t="n">
        <x:f>--(F1988&lt;='Estimator'!$B$7)</x:f>
        <x:v>1</x:v>
      </x:c>
      <x:c r="H1988" s="381" t="n">
        <x:f>SUMIFS('Climate Data'!$G$7:$G$366,'Climate Data'!$A$7:$A$366,'Estimator'!$B$4,'Climate Data'!$B$7:$B$366,C1988)</x:f>
        <x:v>0.475</x:v>
      </x:c>
      <x:c r="I1988" s="382" t="n">
        <x:f>SUMIFS('Climate Data'!$H$7:$H$366,'Climate Data'!$A$7:$A$366,'Estimator'!$B$4,'Climate Data'!$B$7:$B$366,C1988)</x:f>
        <x:v>8.378947368421054</x:v>
      </x:c>
      <x:c r="J1988" s="381" t="n">
        <x:f>SUMIFS('Wind Proxy'!$H$8:$H$19,'Wind Proxy'!$A$8:$A$19,'Estimator'!$B$4,'Wind Proxy'!$B$8:$B$19,C1988)</x:f>
        <x:v>0.14197530864197533</x:v>
      </x:c>
    </x:row>
    <x:row r="1989">
      <x:c r="A1989" s="379" t="n">
        <x:v>47640</x:v>
      </x:c>
      <x:c r="B1989" s="380" t="n">
        <x:v>2030</x:v>
      </x:c>
      <x:c r="C1989" s="380" t="n">
        <x:v>6</x:v>
      </x:c>
      <x:c r="D1989" s="380" t="str">
        <x:v>Jun</x:v>
      </x:c>
      <x:c r="E1989" s="380" t="n">
        <x:v>6</x:v>
      </x:c>
      <x:c r="F1989" s="380" t="n">
        <x:v>4</x:v>
      </x:c>
      <x:c r="G1989" s="380" t="n">
        <x:f>--(F1989&lt;='Estimator'!$B$7)</x:f>
        <x:v>1</x:v>
      </x:c>
      <x:c r="H1989" s="381" t="n">
        <x:f>SUMIFS('Climate Data'!$G$7:$G$366,'Climate Data'!$A$7:$A$366,'Estimator'!$B$4,'Climate Data'!$B$7:$B$366,C1989)</x:f>
        <x:v>0.475</x:v>
      </x:c>
      <x:c r="I1989" s="382" t="n">
        <x:f>SUMIFS('Climate Data'!$H$7:$H$366,'Climate Data'!$A$7:$A$366,'Estimator'!$B$4,'Climate Data'!$B$7:$B$366,C1989)</x:f>
        <x:v>8.378947368421054</x:v>
      </x:c>
      <x:c r="J1989" s="381" t="n">
        <x:f>SUMIFS('Wind Proxy'!$H$8:$H$19,'Wind Proxy'!$A$8:$A$19,'Estimator'!$B$4,'Wind Proxy'!$B$8:$B$19,C1989)</x:f>
        <x:v>0.14197530864197533</x:v>
      </x:c>
    </x:row>
    <x:row r="1990">
      <x:c r="A1990" s="379" t="n">
        <x:v>47641</x:v>
      </x:c>
      <x:c r="B1990" s="380" t="n">
        <x:v>2030</x:v>
      </x:c>
      <x:c r="C1990" s="380" t="n">
        <x:v>6</x:v>
      </x:c>
      <x:c r="D1990" s="380" t="str">
        <x:v>Jun</x:v>
      </x:c>
      <x:c r="E1990" s="380" t="n">
        <x:v>7</x:v>
      </x:c>
      <x:c r="F1990" s="380" t="n">
        <x:v>5</x:v>
      </x:c>
      <x:c r="G1990" s="380" t="n">
        <x:f>--(F1990&lt;='Estimator'!$B$7)</x:f>
        <x:v>1</x:v>
      </x:c>
      <x:c r="H1990" s="381" t="n">
        <x:f>SUMIFS('Climate Data'!$G$7:$G$366,'Climate Data'!$A$7:$A$366,'Estimator'!$B$4,'Climate Data'!$B$7:$B$366,C1990)</x:f>
        <x:v>0.475</x:v>
      </x:c>
      <x:c r="I1990" s="382" t="n">
        <x:f>SUMIFS('Climate Data'!$H$7:$H$366,'Climate Data'!$A$7:$A$366,'Estimator'!$B$4,'Climate Data'!$B$7:$B$366,C1990)</x:f>
        <x:v>8.378947368421054</x:v>
      </x:c>
      <x:c r="J1990" s="381" t="n">
        <x:f>SUMIFS('Wind Proxy'!$H$8:$H$19,'Wind Proxy'!$A$8:$A$19,'Estimator'!$B$4,'Wind Proxy'!$B$8:$B$19,C1990)</x:f>
        <x:v>0.14197530864197533</x:v>
      </x:c>
    </x:row>
    <x:row r="1991">
      <x:c r="A1991" s="379" t="n">
        <x:v>47642</x:v>
      </x:c>
      <x:c r="B1991" s="380" t="n">
        <x:v>2030</x:v>
      </x:c>
      <x:c r="C1991" s="380" t="n">
        <x:v>6</x:v>
      </x:c>
      <x:c r="D1991" s="380" t="str">
        <x:v>Jun</x:v>
      </x:c>
      <x:c r="E1991" s="380" t="n">
        <x:v>8</x:v>
      </x:c>
      <x:c r="F1991" s="380" t="n">
        <x:v>6</x:v>
      </x:c>
      <x:c r="G1991" s="380" t="n">
        <x:f>--(F1991&lt;='Estimator'!$B$7)</x:f>
        <x:v>0</x:v>
      </x:c>
      <x:c r="H1991" s="381" t="n">
        <x:f>SUMIFS('Climate Data'!$G$7:$G$366,'Climate Data'!$A$7:$A$366,'Estimator'!$B$4,'Climate Data'!$B$7:$B$366,C1991)</x:f>
        <x:v>0.475</x:v>
      </x:c>
      <x:c r="I1991" s="382" t="n">
        <x:f>SUMIFS('Climate Data'!$H$7:$H$366,'Climate Data'!$A$7:$A$366,'Estimator'!$B$4,'Climate Data'!$B$7:$B$366,C1991)</x:f>
        <x:v>8.378947368421054</x:v>
      </x:c>
      <x:c r="J1991" s="381" t="n">
        <x:f>SUMIFS('Wind Proxy'!$H$8:$H$19,'Wind Proxy'!$A$8:$A$19,'Estimator'!$B$4,'Wind Proxy'!$B$8:$B$19,C1991)</x:f>
        <x:v>0.14197530864197533</x:v>
      </x:c>
    </x:row>
    <x:row r="1992">
      <x:c r="A1992" s="379" t="n">
        <x:v>47643</x:v>
      </x:c>
      <x:c r="B1992" s="380" t="n">
        <x:v>2030</x:v>
      </x:c>
      <x:c r="C1992" s="380" t="n">
        <x:v>6</x:v>
      </x:c>
      <x:c r="D1992" s="380" t="str">
        <x:v>Jun</x:v>
      </x:c>
      <x:c r="E1992" s="380" t="n">
        <x:v>9</x:v>
      </x:c>
      <x:c r="F1992" s="380" t="n">
        <x:v>7</x:v>
      </x:c>
      <x:c r="G1992" s="380" t="n">
        <x:f>--(F1992&lt;='Estimator'!$B$7)</x:f>
        <x:v>0</x:v>
      </x:c>
      <x:c r="H1992" s="381" t="n">
        <x:f>SUMIFS('Climate Data'!$G$7:$G$366,'Climate Data'!$A$7:$A$366,'Estimator'!$B$4,'Climate Data'!$B$7:$B$366,C1992)</x:f>
        <x:v>0.475</x:v>
      </x:c>
      <x:c r="I1992" s="382" t="n">
        <x:f>SUMIFS('Climate Data'!$H$7:$H$366,'Climate Data'!$A$7:$A$366,'Estimator'!$B$4,'Climate Data'!$B$7:$B$366,C1992)</x:f>
        <x:v>8.378947368421054</x:v>
      </x:c>
      <x:c r="J1992" s="381" t="n">
        <x:f>SUMIFS('Wind Proxy'!$H$8:$H$19,'Wind Proxy'!$A$8:$A$19,'Estimator'!$B$4,'Wind Proxy'!$B$8:$B$19,C1992)</x:f>
        <x:v>0.14197530864197533</x:v>
      </x:c>
    </x:row>
    <x:row r="1993">
      <x:c r="A1993" s="379" t="n">
        <x:v>47644</x:v>
      </x:c>
      <x:c r="B1993" s="380" t="n">
        <x:v>2030</x:v>
      </x:c>
      <x:c r="C1993" s="380" t="n">
        <x:v>6</x:v>
      </x:c>
      <x:c r="D1993" s="380" t="str">
        <x:v>Jun</x:v>
      </x:c>
      <x:c r="E1993" s="380" t="n">
        <x:v>10</x:v>
      </x:c>
      <x:c r="F1993" s="380" t="n">
        <x:v>1</x:v>
      </x:c>
      <x:c r="G1993" s="380" t="n">
        <x:f>--(F1993&lt;='Estimator'!$B$7)</x:f>
        <x:v>1</x:v>
      </x:c>
      <x:c r="H1993" s="381" t="n">
        <x:f>SUMIFS('Climate Data'!$G$7:$G$366,'Climate Data'!$A$7:$A$366,'Estimator'!$B$4,'Climate Data'!$B$7:$B$366,C1993)</x:f>
        <x:v>0.475</x:v>
      </x:c>
      <x:c r="I1993" s="382" t="n">
        <x:f>SUMIFS('Climate Data'!$H$7:$H$366,'Climate Data'!$A$7:$A$366,'Estimator'!$B$4,'Climate Data'!$B$7:$B$366,C1993)</x:f>
        <x:v>8.378947368421054</x:v>
      </x:c>
      <x:c r="J1993" s="381" t="n">
        <x:f>SUMIFS('Wind Proxy'!$H$8:$H$19,'Wind Proxy'!$A$8:$A$19,'Estimator'!$B$4,'Wind Proxy'!$B$8:$B$19,C1993)</x:f>
        <x:v>0.14197530864197533</x:v>
      </x:c>
    </x:row>
    <x:row r="1994">
      <x:c r="A1994" s="379" t="n">
        <x:v>47645</x:v>
      </x:c>
      <x:c r="B1994" s="380" t="n">
        <x:v>2030</x:v>
      </x:c>
      <x:c r="C1994" s="380" t="n">
        <x:v>6</x:v>
      </x:c>
      <x:c r="D1994" s="380" t="str">
        <x:v>Jun</x:v>
      </x:c>
      <x:c r="E1994" s="380" t="n">
        <x:v>11</x:v>
      </x:c>
      <x:c r="F1994" s="380" t="n">
        <x:v>2</x:v>
      </x:c>
      <x:c r="G1994" s="380" t="n">
        <x:f>--(F1994&lt;='Estimator'!$B$7)</x:f>
        <x:v>1</x:v>
      </x:c>
      <x:c r="H1994" s="381" t="n">
        <x:f>SUMIFS('Climate Data'!$G$7:$G$366,'Climate Data'!$A$7:$A$366,'Estimator'!$B$4,'Climate Data'!$B$7:$B$366,C1994)</x:f>
        <x:v>0.475</x:v>
      </x:c>
      <x:c r="I1994" s="382" t="n">
        <x:f>SUMIFS('Climate Data'!$H$7:$H$366,'Climate Data'!$A$7:$A$366,'Estimator'!$B$4,'Climate Data'!$B$7:$B$366,C1994)</x:f>
        <x:v>8.378947368421054</x:v>
      </x:c>
      <x:c r="J1994" s="381" t="n">
        <x:f>SUMIFS('Wind Proxy'!$H$8:$H$19,'Wind Proxy'!$A$8:$A$19,'Estimator'!$B$4,'Wind Proxy'!$B$8:$B$19,C1994)</x:f>
        <x:v>0.14197530864197533</x:v>
      </x:c>
    </x:row>
    <x:row r="1995">
      <x:c r="A1995" s="379" t="n">
        <x:v>47646</x:v>
      </x:c>
      <x:c r="B1995" s="380" t="n">
        <x:v>2030</x:v>
      </x:c>
      <x:c r="C1995" s="380" t="n">
        <x:v>6</x:v>
      </x:c>
      <x:c r="D1995" s="380" t="str">
        <x:v>Jun</x:v>
      </x:c>
      <x:c r="E1995" s="380" t="n">
        <x:v>12</x:v>
      </x:c>
      <x:c r="F1995" s="380" t="n">
        <x:v>3</x:v>
      </x:c>
      <x:c r="G1995" s="380" t="n">
        <x:f>--(F1995&lt;='Estimator'!$B$7)</x:f>
        <x:v>1</x:v>
      </x:c>
      <x:c r="H1995" s="381" t="n">
        <x:f>SUMIFS('Climate Data'!$G$7:$G$366,'Climate Data'!$A$7:$A$366,'Estimator'!$B$4,'Climate Data'!$B$7:$B$366,C1995)</x:f>
        <x:v>0.475</x:v>
      </x:c>
      <x:c r="I1995" s="382" t="n">
        <x:f>SUMIFS('Climate Data'!$H$7:$H$366,'Climate Data'!$A$7:$A$366,'Estimator'!$B$4,'Climate Data'!$B$7:$B$366,C1995)</x:f>
        <x:v>8.378947368421054</x:v>
      </x:c>
      <x:c r="J1995" s="381" t="n">
        <x:f>SUMIFS('Wind Proxy'!$H$8:$H$19,'Wind Proxy'!$A$8:$A$19,'Estimator'!$B$4,'Wind Proxy'!$B$8:$B$19,C1995)</x:f>
        <x:v>0.14197530864197533</x:v>
      </x:c>
    </x:row>
    <x:row r="1996">
      <x:c r="A1996" s="379" t="n">
        <x:v>47647</x:v>
      </x:c>
      <x:c r="B1996" s="380" t="n">
        <x:v>2030</x:v>
      </x:c>
      <x:c r="C1996" s="380" t="n">
        <x:v>6</x:v>
      </x:c>
      <x:c r="D1996" s="380" t="str">
        <x:v>Jun</x:v>
      </x:c>
      <x:c r="E1996" s="380" t="n">
        <x:v>13</x:v>
      </x:c>
      <x:c r="F1996" s="380" t="n">
        <x:v>4</x:v>
      </x:c>
      <x:c r="G1996" s="380" t="n">
        <x:f>--(F1996&lt;='Estimator'!$B$7)</x:f>
        <x:v>1</x:v>
      </x:c>
      <x:c r="H1996" s="381" t="n">
        <x:f>SUMIFS('Climate Data'!$G$7:$G$366,'Climate Data'!$A$7:$A$366,'Estimator'!$B$4,'Climate Data'!$B$7:$B$366,C1996)</x:f>
        <x:v>0.475</x:v>
      </x:c>
      <x:c r="I1996" s="382" t="n">
        <x:f>SUMIFS('Climate Data'!$H$7:$H$366,'Climate Data'!$A$7:$A$366,'Estimator'!$B$4,'Climate Data'!$B$7:$B$366,C1996)</x:f>
        <x:v>8.378947368421054</x:v>
      </x:c>
      <x:c r="J1996" s="381" t="n">
        <x:f>SUMIFS('Wind Proxy'!$H$8:$H$19,'Wind Proxy'!$A$8:$A$19,'Estimator'!$B$4,'Wind Proxy'!$B$8:$B$19,C1996)</x:f>
        <x:v>0.14197530864197533</x:v>
      </x:c>
    </x:row>
    <x:row r="1997">
      <x:c r="A1997" s="379" t="n">
        <x:v>47648</x:v>
      </x:c>
      <x:c r="B1997" s="380" t="n">
        <x:v>2030</x:v>
      </x:c>
      <x:c r="C1997" s="380" t="n">
        <x:v>6</x:v>
      </x:c>
      <x:c r="D1997" s="380" t="str">
        <x:v>Jun</x:v>
      </x:c>
      <x:c r="E1997" s="380" t="n">
        <x:v>14</x:v>
      </x:c>
      <x:c r="F1997" s="380" t="n">
        <x:v>5</x:v>
      </x:c>
      <x:c r="G1997" s="380" t="n">
        <x:f>--(F1997&lt;='Estimator'!$B$7)</x:f>
        <x:v>1</x:v>
      </x:c>
      <x:c r="H1997" s="381" t="n">
        <x:f>SUMIFS('Climate Data'!$G$7:$G$366,'Climate Data'!$A$7:$A$366,'Estimator'!$B$4,'Climate Data'!$B$7:$B$366,C1997)</x:f>
        <x:v>0.475</x:v>
      </x:c>
      <x:c r="I1997" s="382" t="n">
        <x:f>SUMIFS('Climate Data'!$H$7:$H$366,'Climate Data'!$A$7:$A$366,'Estimator'!$B$4,'Climate Data'!$B$7:$B$366,C1997)</x:f>
        <x:v>8.378947368421054</x:v>
      </x:c>
      <x:c r="J1997" s="381" t="n">
        <x:f>SUMIFS('Wind Proxy'!$H$8:$H$19,'Wind Proxy'!$A$8:$A$19,'Estimator'!$B$4,'Wind Proxy'!$B$8:$B$19,C1997)</x:f>
        <x:v>0.14197530864197533</x:v>
      </x:c>
    </x:row>
    <x:row r="1998">
      <x:c r="A1998" s="379" t="n">
        <x:v>47649</x:v>
      </x:c>
      <x:c r="B1998" s="380" t="n">
        <x:v>2030</x:v>
      </x:c>
      <x:c r="C1998" s="380" t="n">
        <x:v>6</x:v>
      </x:c>
      <x:c r="D1998" s="380" t="str">
        <x:v>Jun</x:v>
      </x:c>
      <x:c r="E1998" s="380" t="n">
        <x:v>15</x:v>
      </x:c>
      <x:c r="F1998" s="380" t="n">
        <x:v>6</x:v>
      </x:c>
      <x:c r="G1998" s="380" t="n">
        <x:f>--(F1998&lt;='Estimator'!$B$7)</x:f>
        <x:v>0</x:v>
      </x:c>
      <x:c r="H1998" s="381" t="n">
        <x:f>SUMIFS('Climate Data'!$G$7:$G$366,'Climate Data'!$A$7:$A$366,'Estimator'!$B$4,'Climate Data'!$B$7:$B$366,C1998)</x:f>
        <x:v>0.475</x:v>
      </x:c>
      <x:c r="I1998" s="382" t="n">
        <x:f>SUMIFS('Climate Data'!$H$7:$H$366,'Climate Data'!$A$7:$A$366,'Estimator'!$B$4,'Climate Data'!$B$7:$B$366,C1998)</x:f>
        <x:v>8.378947368421054</x:v>
      </x:c>
      <x:c r="J1998" s="381" t="n">
        <x:f>SUMIFS('Wind Proxy'!$H$8:$H$19,'Wind Proxy'!$A$8:$A$19,'Estimator'!$B$4,'Wind Proxy'!$B$8:$B$19,C1998)</x:f>
        <x:v>0.14197530864197533</x:v>
      </x:c>
    </x:row>
    <x:row r="1999">
      <x:c r="A1999" s="379" t="n">
        <x:v>47650</x:v>
      </x:c>
      <x:c r="B1999" s="380" t="n">
        <x:v>2030</x:v>
      </x:c>
      <x:c r="C1999" s="380" t="n">
        <x:v>6</x:v>
      </x:c>
      <x:c r="D1999" s="380" t="str">
        <x:v>Jun</x:v>
      </x:c>
      <x:c r="E1999" s="380" t="n">
        <x:v>16</x:v>
      </x:c>
      <x:c r="F1999" s="380" t="n">
        <x:v>7</x:v>
      </x:c>
      <x:c r="G1999" s="380" t="n">
        <x:f>--(F1999&lt;='Estimator'!$B$7)</x:f>
        <x:v>0</x:v>
      </x:c>
      <x:c r="H1999" s="381" t="n">
        <x:f>SUMIFS('Climate Data'!$G$7:$G$366,'Climate Data'!$A$7:$A$366,'Estimator'!$B$4,'Climate Data'!$B$7:$B$366,C1999)</x:f>
        <x:v>0.475</x:v>
      </x:c>
      <x:c r="I1999" s="382" t="n">
        <x:f>SUMIFS('Climate Data'!$H$7:$H$366,'Climate Data'!$A$7:$A$366,'Estimator'!$B$4,'Climate Data'!$B$7:$B$366,C1999)</x:f>
        <x:v>8.378947368421054</x:v>
      </x:c>
      <x:c r="J1999" s="381" t="n">
        <x:f>SUMIFS('Wind Proxy'!$H$8:$H$19,'Wind Proxy'!$A$8:$A$19,'Estimator'!$B$4,'Wind Proxy'!$B$8:$B$19,C1999)</x:f>
        <x:v>0.14197530864197533</x:v>
      </x:c>
    </x:row>
    <x:row r="2000">
      <x:c r="A2000" s="379" t="n">
        <x:v>47651</x:v>
      </x:c>
      <x:c r="B2000" s="380" t="n">
        <x:v>2030</x:v>
      </x:c>
      <x:c r="C2000" s="380" t="n">
        <x:v>6</x:v>
      </x:c>
      <x:c r="D2000" s="380" t="str">
        <x:v>Jun</x:v>
      </x:c>
      <x:c r="E2000" s="380" t="n">
        <x:v>17</x:v>
      </x:c>
      <x:c r="F2000" s="380" t="n">
        <x:v>1</x:v>
      </x:c>
      <x:c r="G2000" s="380" t="n">
        <x:f>--(F2000&lt;='Estimator'!$B$7)</x:f>
        <x:v>1</x:v>
      </x:c>
      <x:c r="H2000" s="381" t="n">
        <x:f>SUMIFS('Climate Data'!$G$7:$G$366,'Climate Data'!$A$7:$A$366,'Estimator'!$B$4,'Climate Data'!$B$7:$B$366,C2000)</x:f>
        <x:v>0.475</x:v>
      </x:c>
      <x:c r="I2000" s="382" t="n">
        <x:f>SUMIFS('Climate Data'!$H$7:$H$366,'Climate Data'!$A$7:$A$366,'Estimator'!$B$4,'Climate Data'!$B$7:$B$366,C2000)</x:f>
        <x:v>8.378947368421054</x:v>
      </x:c>
      <x:c r="J2000" s="381" t="n">
        <x:f>SUMIFS('Wind Proxy'!$H$8:$H$19,'Wind Proxy'!$A$8:$A$19,'Estimator'!$B$4,'Wind Proxy'!$B$8:$B$19,C2000)</x:f>
        <x:v>0.14197530864197533</x:v>
      </x:c>
    </x:row>
    <x:row r="2001">
      <x:c r="A2001" s="379" t="n">
        <x:v>47652</x:v>
      </x:c>
      <x:c r="B2001" s="380" t="n">
        <x:v>2030</x:v>
      </x:c>
      <x:c r="C2001" s="380" t="n">
        <x:v>6</x:v>
      </x:c>
      <x:c r="D2001" s="380" t="str">
        <x:v>Jun</x:v>
      </x:c>
      <x:c r="E2001" s="380" t="n">
        <x:v>18</x:v>
      </x:c>
      <x:c r="F2001" s="380" t="n">
        <x:v>2</x:v>
      </x:c>
      <x:c r="G2001" s="380" t="n">
        <x:f>--(F2001&lt;='Estimator'!$B$7)</x:f>
        <x:v>1</x:v>
      </x:c>
      <x:c r="H2001" s="381" t="n">
        <x:f>SUMIFS('Climate Data'!$G$7:$G$366,'Climate Data'!$A$7:$A$366,'Estimator'!$B$4,'Climate Data'!$B$7:$B$366,C2001)</x:f>
        <x:v>0.475</x:v>
      </x:c>
      <x:c r="I2001" s="382" t="n">
        <x:f>SUMIFS('Climate Data'!$H$7:$H$366,'Climate Data'!$A$7:$A$366,'Estimator'!$B$4,'Climate Data'!$B$7:$B$366,C2001)</x:f>
        <x:v>8.378947368421054</x:v>
      </x:c>
      <x:c r="J2001" s="381" t="n">
        <x:f>SUMIFS('Wind Proxy'!$H$8:$H$19,'Wind Proxy'!$A$8:$A$19,'Estimator'!$B$4,'Wind Proxy'!$B$8:$B$19,C2001)</x:f>
        <x:v>0.14197530864197533</x:v>
      </x:c>
    </x:row>
    <x:row r="2002">
      <x:c r="A2002" s="379" t="n">
        <x:v>47653</x:v>
      </x:c>
      <x:c r="B2002" s="380" t="n">
        <x:v>2030</x:v>
      </x:c>
      <x:c r="C2002" s="380" t="n">
        <x:v>6</x:v>
      </x:c>
      <x:c r="D2002" s="380" t="str">
        <x:v>Jun</x:v>
      </x:c>
      <x:c r="E2002" s="380" t="n">
        <x:v>19</x:v>
      </x:c>
      <x:c r="F2002" s="380" t="n">
        <x:v>3</x:v>
      </x:c>
      <x:c r="G2002" s="380" t="n">
        <x:f>--(F2002&lt;='Estimator'!$B$7)</x:f>
        <x:v>1</x:v>
      </x:c>
      <x:c r="H2002" s="381" t="n">
        <x:f>SUMIFS('Climate Data'!$G$7:$G$366,'Climate Data'!$A$7:$A$366,'Estimator'!$B$4,'Climate Data'!$B$7:$B$366,C2002)</x:f>
        <x:v>0.475</x:v>
      </x:c>
      <x:c r="I2002" s="382" t="n">
        <x:f>SUMIFS('Climate Data'!$H$7:$H$366,'Climate Data'!$A$7:$A$366,'Estimator'!$B$4,'Climate Data'!$B$7:$B$366,C2002)</x:f>
        <x:v>8.378947368421054</x:v>
      </x:c>
      <x:c r="J2002" s="381" t="n">
        <x:f>SUMIFS('Wind Proxy'!$H$8:$H$19,'Wind Proxy'!$A$8:$A$19,'Estimator'!$B$4,'Wind Proxy'!$B$8:$B$19,C2002)</x:f>
        <x:v>0.14197530864197533</x:v>
      </x:c>
    </x:row>
    <x:row r="2003">
      <x:c r="A2003" s="379" t="n">
        <x:v>47654</x:v>
      </x:c>
      <x:c r="B2003" s="380" t="n">
        <x:v>2030</x:v>
      </x:c>
      <x:c r="C2003" s="380" t="n">
        <x:v>6</x:v>
      </x:c>
      <x:c r="D2003" s="380" t="str">
        <x:v>Jun</x:v>
      </x:c>
      <x:c r="E2003" s="380" t="n">
        <x:v>20</x:v>
      </x:c>
      <x:c r="F2003" s="380" t="n">
        <x:v>4</x:v>
      </x:c>
      <x:c r="G2003" s="380" t="n">
        <x:f>--(F2003&lt;='Estimator'!$B$7)</x:f>
        <x:v>1</x:v>
      </x:c>
      <x:c r="H2003" s="381" t="n">
        <x:f>SUMIFS('Climate Data'!$G$7:$G$366,'Climate Data'!$A$7:$A$366,'Estimator'!$B$4,'Climate Data'!$B$7:$B$366,C2003)</x:f>
        <x:v>0.475</x:v>
      </x:c>
      <x:c r="I2003" s="382" t="n">
        <x:f>SUMIFS('Climate Data'!$H$7:$H$366,'Climate Data'!$A$7:$A$366,'Estimator'!$B$4,'Climate Data'!$B$7:$B$366,C2003)</x:f>
        <x:v>8.378947368421054</x:v>
      </x:c>
      <x:c r="J2003" s="381" t="n">
        <x:f>SUMIFS('Wind Proxy'!$H$8:$H$19,'Wind Proxy'!$A$8:$A$19,'Estimator'!$B$4,'Wind Proxy'!$B$8:$B$19,C2003)</x:f>
        <x:v>0.14197530864197533</x:v>
      </x:c>
    </x:row>
    <x:row r="2004">
      <x:c r="A2004" s="379" t="n">
        <x:v>47655</x:v>
      </x:c>
      <x:c r="B2004" s="380" t="n">
        <x:v>2030</x:v>
      </x:c>
      <x:c r="C2004" s="380" t="n">
        <x:v>6</x:v>
      </x:c>
      <x:c r="D2004" s="380" t="str">
        <x:v>Jun</x:v>
      </x:c>
      <x:c r="E2004" s="380" t="n">
        <x:v>21</x:v>
      </x:c>
      <x:c r="F2004" s="380" t="n">
        <x:v>5</x:v>
      </x:c>
      <x:c r="G2004" s="380" t="n">
        <x:f>--(F2004&lt;='Estimator'!$B$7)</x:f>
        <x:v>1</x:v>
      </x:c>
      <x:c r="H2004" s="381" t="n">
        <x:f>SUMIFS('Climate Data'!$G$7:$G$366,'Climate Data'!$A$7:$A$366,'Estimator'!$B$4,'Climate Data'!$B$7:$B$366,C2004)</x:f>
        <x:v>0.475</x:v>
      </x:c>
      <x:c r="I2004" s="382" t="n">
        <x:f>SUMIFS('Climate Data'!$H$7:$H$366,'Climate Data'!$A$7:$A$366,'Estimator'!$B$4,'Climate Data'!$B$7:$B$366,C2004)</x:f>
        <x:v>8.378947368421054</x:v>
      </x:c>
      <x:c r="J2004" s="381" t="n">
        <x:f>SUMIFS('Wind Proxy'!$H$8:$H$19,'Wind Proxy'!$A$8:$A$19,'Estimator'!$B$4,'Wind Proxy'!$B$8:$B$19,C2004)</x:f>
        <x:v>0.14197530864197533</x:v>
      </x:c>
    </x:row>
    <x:row r="2005">
      <x:c r="A2005" s="379" t="n">
        <x:v>47656</x:v>
      </x:c>
      <x:c r="B2005" s="380" t="n">
        <x:v>2030</x:v>
      </x:c>
      <x:c r="C2005" s="380" t="n">
        <x:v>6</x:v>
      </x:c>
      <x:c r="D2005" s="380" t="str">
        <x:v>Jun</x:v>
      </x:c>
      <x:c r="E2005" s="380" t="n">
        <x:v>22</x:v>
      </x:c>
      <x:c r="F2005" s="380" t="n">
        <x:v>6</x:v>
      </x:c>
      <x:c r="G2005" s="380" t="n">
        <x:f>--(F2005&lt;='Estimator'!$B$7)</x:f>
        <x:v>0</x:v>
      </x:c>
      <x:c r="H2005" s="381" t="n">
        <x:f>SUMIFS('Climate Data'!$G$7:$G$366,'Climate Data'!$A$7:$A$366,'Estimator'!$B$4,'Climate Data'!$B$7:$B$366,C2005)</x:f>
        <x:v>0.475</x:v>
      </x:c>
      <x:c r="I2005" s="382" t="n">
        <x:f>SUMIFS('Climate Data'!$H$7:$H$366,'Climate Data'!$A$7:$A$366,'Estimator'!$B$4,'Climate Data'!$B$7:$B$366,C2005)</x:f>
        <x:v>8.378947368421054</x:v>
      </x:c>
      <x:c r="J2005" s="381" t="n">
        <x:f>SUMIFS('Wind Proxy'!$H$8:$H$19,'Wind Proxy'!$A$8:$A$19,'Estimator'!$B$4,'Wind Proxy'!$B$8:$B$19,C2005)</x:f>
        <x:v>0.14197530864197533</x:v>
      </x:c>
    </x:row>
    <x:row r="2006">
      <x:c r="A2006" s="379" t="n">
        <x:v>47657</x:v>
      </x:c>
      <x:c r="B2006" s="380" t="n">
        <x:v>2030</x:v>
      </x:c>
      <x:c r="C2006" s="380" t="n">
        <x:v>6</x:v>
      </x:c>
      <x:c r="D2006" s="380" t="str">
        <x:v>Jun</x:v>
      </x:c>
      <x:c r="E2006" s="380" t="n">
        <x:v>23</x:v>
      </x:c>
      <x:c r="F2006" s="380" t="n">
        <x:v>7</x:v>
      </x:c>
      <x:c r="G2006" s="380" t="n">
        <x:f>--(F2006&lt;='Estimator'!$B$7)</x:f>
        <x:v>0</x:v>
      </x:c>
      <x:c r="H2006" s="381" t="n">
        <x:f>SUMIFS('Climate Data'!$G$7:$G$366,'Climate Data'!$A$7:$A$366,'Estimator'!$B$4,'Climate Data'!$B$7:$B$366,C2006)</x:f>
        <x:v>0.475</x:v>
      </x:c>
      <x:c r="I2006" s="382" t="n">
        <x:f>SUMIFS('Climate Data'!$H$7:$H$366,'Climate Data'!$A$7:$A$366,'Estimator'!$B$4,'Climate Data'!$B$7:$B$366,C2006)</x:f>
        <x:v>8.378947368421054</x:v>
      </x:c>
      <x:c r="J2006" s="381" t="n">
        <x:f>SUMIFS('Wind Proxy'!$H$8:$H$19,'Wind Proxy'!$A$8:$A$19,'Estimator'!$B$4,'Wind Proxy'!$B$8:$B$19,C2006)</x:f>
        <x:v>0.14197530864197533</x:v>
      </x:c>
    </x:row>
    <x:row r="2007">
      <x:c r="A2007" s="379" t="n">
        <x:v>47658</x:v>
      </x:c>
      <x:c r="B2007" s="380" t="n">
        <x:v>2030</x:v>
      </x:c>
      <x:c r="C2007" s="380" t="n">
        <x:v>6</x:v>
      </x:c>
      <x:c r="D2007" s="380" t="str">
        <x:v>Jun</x:v>
      </x:c>
      <x:c r="E2007" s="380" t="n">
        <x:v>24</x:v>
      </x:c>
      <x:c r="F2007" s="380" t="n">
        <x:v>1</x:v>
      </x:c>
      <x:c r="G2007" s="380" t="n">
        <x:f>--(F2007&lt;='Estimator'!$B$7)</x:f>
        <x:v>1</x:v>
      </x:c>
      <x:c r="H2007" s="381" t="n">
        <x:f>SUMIFS('Climate Data'!$G$7:$G$366,'Climate Data'!$A$7:$A$366,'Estimator'!$B$4,'Climate Data'!$B$7:$B$366,C2007)</x:f>
        <x:v>0.475</x:v>
      </x:c>
      <x:c r="I2007" s="382" t="n">
        <x:f>SUMIFS('Climate Data'!$H$7:$H$366,'Climate Data'!$A$7:$A$366,'Estimator'!$B$4,'Climate Data'!$B$7:$B$366,C2007)</x:f>
        <x:v>8.378947368421054</x:v>
      </x:c>
      <x:c r="J2007" s="381" t="n">
        <x:f>SUMIFS('Wind Proxy'!$H$8:$H$19,'Wind Proxy'!$A$8:$A$19,'Estimator'!$B$4,'Wind Proxy'!$B$8:$B$19,C2007)</x:f>
        <x:v>0.14197530864197533</x:v>
      </x:c>
    </x:row>
    <x:row r="2008">
      <x:c r="A2008" s="379" t="n">
        <x:v>47659</x:v>
      </x:c>
      <x:c r="B2008" s="380" t="n">
        <x:v>2030</x:v>
      </x:c>
      <x:c r="C2008" s="380" t="n">
        <x:v>6</x:v>
      </x:c>
      <x:c r="D2008" s="380" t="str">
        <x:v>Jun</x:v>
      </x:c>
      <x:c r="E2008" s="380" t="n">
        <x:v>25</x:v>
      </x:c>
      <x:c r="F2008" s="380" t="n">
        <x:v>2</x:v>
      </x:c>
      <x:c r="G2008" s="380" t="n">
        <x:f>--(F2008&lt;='Estimator'!$B$7)</x:f>
        <x:v>1</x:v>
      </x:c>
      <x:c r="H2008" s="381" t="n">
        <x:f>SUMIFS('Climate Data'!$G$7:$G$366,'Climate Data'!$A$7:$A$366,'Estimator'!$B$4,'Climate Data'!$B$7:$B$366,C2008)</x:f>
        <x:v>0.475</x:v>
      </x:c>
      <x:c r="I2008" s="382" t="n">
        <x:f>SUMIFS('Climate Data'!$H$7:$H$366,'Climate Data'!$A$7:$A$366,'Estimator'!$B$4,'Climate Data'!$B$7:$B$366,C2008)</x:f>
        <x:v>8.378947368421054</x:v>
      </x:c>
      <x:c r="J2008" s="381" t="n">
        <x:f>SUMIFS('Wind Proxy'!$H$8:$H$19,'Wind Proxy'!$A$8:$A$19,'Estimator'!$B$4,'Wind Proxy'!$B$8:$B$19,C2008)</x:f>
        <x:v>0.14197530864197533</x:v>
      </x:c>
    </x:row>
    <x:row r="2009">
      <x:c r="A2009" s="379" t="n">
        <x:v>47660</x:v>
      </x:c>
      <x:c r="B2009" s="380" t="n">
        <x:v>2030</x:v>
      </x:c>
      <x:c r="C2009" s="380" t="n">
        <x:v>6</x:v>
      </x:c>
      <x:c r="D2009" s="380" t="str">
        <x:v>Jun</x:v>
      </x:c>
      <x:c r="E2009" s="380" t="n">
        <x:v>26</x:v>
      </x:c>
      <x:c r="F2009" s="380" t="n">
        <x:v>3</x:v>
      </x:c>
      <x:c r="G2009" s="380" t="n">
        <x:f>--(F2009&lt;='Estimator'!$B$7)</x:f>
        <x:v>1</x:v>
      </x:c>
      <x:c r="H2009" s="381" t="n">
        <x:f>SUMIFS('Climate Data'!$G$7:$G$366,'Climate Data'!$A$7:$A$366,'Estimator'!$B$4,'Climate Data'!$B$7:$B$366,C2009)</x:f>
        <x:v>0.475</x:v>
      </x:c>
      <x:c r="I2009" s="382" t="n">
        <x:f>SUMIFS('Climate Data'!$H$7:$H$366,'Climate Data'!$A$7:$A$366,'Estimator'!$B$4,'Climate Data'!$B$7:$B$366,C2009)</x:f>
        <x:v>8.378947368421054</x:v>
      </x:c>
      <x:c r="J2009" s="381" t="n">
        <x:f>SUMIFS('Wind Proxy'!$H$8:$H$19,'Wind Proxy'!$A$8:$A$19,'Estimator'!$B$4,'Wind Proxy'!$B$8:$B$19,C2009)</x:f>
        <x:v>0.14197530864197533</x:v>
      </x:c>
    </x:row>
    <x:row r="2010">
      <x:c r="A2010" s="379" t="n">
        <x:v>47661</x:v>
      </x:c>
      <x:c r="B2010" s="380" t="n">
        <x:v>2030</x:v>
      </x:c>
      <x:c r="C2010" s="380" t="n">
        <x:v>6</x:v>
      </x:c>
      <x:c r="D2010" s="380" t="str">
        <x:v>Jun</x:v>
      </x:c>
      <x:c r="E2010" s="380" t="n">
        <x:v>27</x:v>
      </x:c>
      <x:c r="F2010" s="380" t="n">
        <x:v>4</x:v>
      </x:c>
      <x:c r="G2010" s="380" t="n">
        <x:f>--(F2010&lt;='Estimator'!$B$7)</x:f>
        <x:v>1</x:v>
      </x:c>
      <x:c r="H2010" s="381" t="n">
        <x:f>SUMIFS('Climate Data'!$G$7:$G$366,'Climate Data'!$A$7:$A$366,'Estimator'!$B$4,'Climate Data'!$B$7:$B$366,C2010)</x:f>
        <x:v>0.475</x:v>
      </x:c>
      <x:c r="I2010" s="382" t="n">
        <x:f>SUMIFS('Climate Data'!$H$7:$H$366,'Climate Data'!$A$7:$A$366,'Estimator'!$B$4,'Climate Data'!$B$7:$B$366,C2010)</x:f>
        <x:v>8.378947368421054</x:v>
      </x:c>
      <x:c r="J2010" s="381" t="n">
        <x:f>SUMIFS('Wind Proxy'!$H$8:$H$19,'Wind Proxy'!$A$8:$A$19,'Estimator'!$B$4,'Wind Proxy'!$B$8:$B$19,C2010)</x:f>
        <x:v>0.14197530864197533</x:v>
      </x:c>
    </x:row>
    <x:row r="2011">
      <x:c r="A2011" s="379" t="n">
        <x:v>47662</x:v>
      </x:c>
      <x:c r="B2011" s="380" t="n">
        <x:v>2030</x:v>
      </x:c>
      <x:c r="C2011" s="380" t="n">
        <x:v>6</x:v>
      </x:c>
      <x:c r="D2011" s="380" t="str">
        <x:v>Jun</x:v>
      </x:c>
      <x:c r="E2011" s="380" t="n">
        <x:v>28</x:v>
      </x:c>
      <x:c r="F2011" s="380" t="n">
        <x:v>5</x:v>
      </x:c>
      <x:c r="G2011" s="380" t="n">
        <x:f>--(F2011&lt;='Estimator'!$B$7)</x:f>
        <x:v>1</x:v>
      </x:c>
      <x:c r="H2011" s="381" t="n">
        <x:f>SUMIFS('Climate Data'!$G$7:$G$366,'Climate Data'!$A$7:$A$366,'Estimator'!$B$4,'Climate Data'!$B$7:$B$366,C2011)</x:f>
        <x:v>0.475</x:v>
      </x:c>
      <x:c r="I2011" s="382" t="n">
        <x:f>SUMIFS('Climate Data'!$H$7:$H$366,'Climate Data'!$A$7:$A$366,'Estimator'!$B$4,'Climate Data'!$B$7:$B$366,C2011)</x:f>
        <x:v>8.378947368421054</x:v>
      </x:c>
      <x:c r="J2011" s="381" t="n">
        <x:f>SUMIFS('Wind Proxy'!$H$8:$H$19,'Wind Proxy'!$A$8:$A$19,'Estimator'!$B$4,'Wind Proxy'!$B$8:$B$19,C2011)</x:f>
        <x:v>0.14197530864197533</x:v>
      </x:c>
    </x:row>
    <x:row r="2012">
      <x:c r="A2012" s="379" t="n">
        <x:v>47663</x:v>
      </x:c>
      <x:c r="B2012" s="380" t="n">
        <x:v>2030</x:v>
      </x:c>
      <x:c r="C2012" s="380" t="n">
        <x:v>6</x:v>
      </x:c>
      <x:c r="D2012" s="380" t="str">
        <x:v>Jun</x:v>
      </x:c>
      <x:c r="E2012" s="380" t="n">
        <x:v>29</x:v>
      </x:c>
      <x:c r="F2012" s="380" t="n">
        <x:v>6</x:v>
      </x:c>
      <x:c r="G2012" s="380" t="n">
        <x:f>--(F2012&lt;='Estimator'!$B$7)</x:f>
        <x:v>0</x:v>
      </x:c>
      <x:c r="H2012" s="381" t="n">
        <x:f>SUMIFS('Climate Data'!$G$7:$G$366,'Climate Data'!$A$7:$A$366,'Estimator'!$B$4,'Climate Data'!$B$7:$B$366,C2012)</x:f>
        <x:v>0.475</x:v>
      </x:c>
      <x:c r="I2012" s="382" t="n">
        <x:f>SUMIFS('Climate Data'!$H$7:$H$366,'Climate Data'!$A$7:$A$366,'Estimator'!$B$4,'Climate Data'!$B$7:$B$366,C2012)</x:f>
        <x:v>8.378947368421054</x:v>
      </x:c>
      <x:c r="J2012" s="381" t="n">
        <x:f>SUMIFS('Wind Proxy'!$H$8:$H$19,'Wind Proxy'!$A$8:$A$19,'Estimator'!$B$4,'Wind Proxy'!$B$8:$B$19,C2012)</x:f>
        <x:v>0.14197530864197533</x:v>
      </x:c>
    </x:row>
    <x:row r="2013">
      <x:c r="A2013" s="379" t="n">
        <x:v>47664</x:v>
      </x:c>
      <x:c r="B2013" s="380" t="n">
        <x:v>2030</x:v>
      </x:c>
      <x:c r="C2013" s="380" t="n">
        <x:v>6</x:v>
      </x:c>
      <x:c r="D2013" s="380" t="str">
        <x:v>Jun</x:v>
      </x:c>
      <x:c r="E2013" s="380" t="n">
        <x:v>30</x:v>
      </x:c>
      <x:c r="F2013" s="380" t="n">
        <x:v>7</x:v>
      </x:c>
      <x:c r="G2013" s="380" t="n">
        <x:f>--(F2013&lt;='Estimator'!$B$7)</x:f>
        <x:v>0</x:v>
      </x:c>
      <x:c r="H2013" s="381" t="n">
        <x:f>SUMIFS('Climate Data'!$G$7:$G$366,'Climate Data'!$A$7:$A$366,'Estimator'!$B$4,'Climate Data'!$B$7:$B$366,C2013)</x:f>
        <x:v>0.475</x:v>
      </x:c>
      <x:c r="I2013" s="382" t="n">
        <x:f>SUMIFS('Climate Data'!$H$7:$H$366,'Climate Data'!$A$7:$A$366,'Estimator'!$B$4,'Climate Data'!$B$7:$B$366,C2013)</x:f>
        <x:v>8.378947368421054</x:v>
      </x:c>
      <x:c r="J2013" s="381" t="n">
        <x:f>SUMIFS('Wind Proxy'!$H$8:$H$19,'Wind Proxy'!$A$8:$A$19,'Estimator'!$B$4,'Wind Proxy'!$B$8:$B$19,C2013)</x:f>
        <x:v>0.14197530864197533</x:v>
      </x:c>
    </x:row>
    <x:row r="2014">
      <x:c r="A2014" s="379" t="n">
        <x:v>47665</x:v>
      </x:c>
      <x:c r="B2014" s="380" t="n">
        <x:v>2030</x:v>
      </x:c>
      <x:c r="C2014" s="380" t="n">
        <x:v>7</x:v>
      </x:c>
      <x:c r="D2014" s="380" t="str">
        <x:v>Jul</x:v>
      </x:c>
      <x:c r="E2014" s="380" t="n">
        <x:v>1</x:v>
      </x:c>
      <x:c r="F2014" s="380" t="n">
        <x:v>1</x:v>
      </x:c>
      <x:c r="G2014" s="380" t="n">
        <x:f>--(F2014&lt;='Estimator'!$B$7)</x:f>
        <x:v>1</x:v>
      </x:c>
      <x:c r="H2014" s="381" t="n">
        <x:f>SUMIFS('Climate Data'!$G$7:$G$366,'Climate Data'!$A$7:$A$366,'Estimator'!$B$4,'Climate Data'!$B$7:$B$366,C2014)</x:f>
        <x:v>0.49078341013824883</x:v>
      </x:c>
      <x:c r="I2014" s="382" t="n">
        <x:f>SUMIFS('Climate Data'!$H$7:$H$366,'Climate Data'!$A$7:$A$366,'Estimator'!$B$4,'Climate Data'!$B$7:$B$366,C2014)</x:f>
        <x:v>8.998122065727701</x:v>
      </x:c>
      <x:c r="J2014" s="381" t="n">
        <x:f>SUMIFS('Wind Proxy'!$H$8:$H$19,'Wind Proxy'!$A$8:$A$19,'Estimator'!$B$4,'Wind Proxy'!$B$8:$B$19,C2014)</x:f>
        <x:v>0.13739545997610514</x:v>
      </x:c>
    </x:row>
    <x:row r="2015">
      <x:c r="A2015" s="379" t="n">
        <x:v>47666</x:v>
      </x:c>
      <x:c r="B2015" s="380" t="n">
        <x:v>2030</x:v>
      </x:c>
      <x:c r="C2015" s="380" t="n">
        <x:v>7</x:v>
      </x:c>
      <x:c r="D2015" s="380" t="str">
        <x:v>Jul</x:v>
      </x:c>
      <x:c r="E2015" s="380" t="n">
        <x:v>2</x:v>
      </x:c>
      <x:c r="F2015" s="380" t="n">
        <x:v>2</x:v>
      </x:c>
      <x:c r="G2015" s="380" t="n">
        <x:f>--(F2015&lt;='Estimator'!$B$7)</x:f>
        <x:v>1</x:v>
      </x:c>
      <x:c r="H2015" s="381" t="n">
        <x:f>SUMIFS('Climate Data'!$G$7:$G$366,'Climate Data'!$A$7:$A$366,'Estimator'!$B$4,'Climate Data'!$B$7:$B$366,C2015)</x:f>
        <x:v>0.49078341013824883</x:v>
      </x:c>
      <x:c r="I2015" s="382" t="n">
        <x:f>SUMIFS('Climate Data'!$H$7:$H$366,'Climate Data'!$A$7:$A$366,'Estimator'!$B$4,'Climate Data'!$B$7:$B$366,C2015)</x:f>
        <x:v>8.998122065727701</x:v>
      </x:c>
      <x:c r="J2015" s="381" t="n">
        <x:f>SUMIFS('Wind Proxy'!$H$8:$H$19,'Wind Proxy'!$A$8:$A$19,'Estimator'!$B$4,'Wind Proxy'!$B$8:$B$19,C2015)</x:f>
        <x:v>0.13739545997610514</x:v>
      </x:c>
    </x:row>
    <x:row r="2016">
      <x:c r="A2016" s="379" t="n">
        <x:v>47667</x:v>
      </x:c>
      <x:c r="B2016" s="380" t="n">
        <x:v>2030</x:v>
      </x:c>
      <x:c r="C2016" s="380" t="n">
        <x:v>7</x:v>
      </x:c>
      <x:c r="D2016" s="380" t="str">
        <x:v>Jul</x:v>
      </x:c>
      <x:c r="E2016" s="380" t="n">
        <x:v>3</x:v>
      </x:c>
      <x:c r="F2016" s="380" t="n">
        <x:v>3</x:v>
      </x:c>
      <x:c r="G2016" s="380" t="n">
        <x:f>--(F2016&lt;='Estimator'!$B$7)</x:f>
        <x:v>1</x:v>
      </x:c>
      <x:c r="H2016" s="381" t="n">
        <x:f>SUMIFS('Climate Data'!$G$7:$G$366,'Climate Data'!$A$7:$A$366,'Estimator'!$B$4,'Climate Data'!$B$7:$B$366,C2016)</x:f>
        <x:v>0.49078341013824883</x:v>
      </x:c>
      <x:c r="I2016" s="382" t="n">
        <x:f>SUMIFS('Climate Data'!$H$7:$H$366,'Climate Data'!$A$7:$A$366,'Estimator'!$B$4,'Climate Data'!$B$7:$B$366,C2016)</x:f>
        <x:v>8.998122065727701</x:v>
      </x:c>
      <x:c r="J2016" s="381" t="n">
        <x:f>SUMIFS('Wind Proxy'!$H$8:$H$19,'Wind Proxy'!$A$8:$A$19,'Estimator'!$B$4,'Wind Proxy'!$B$8:$B$19,C2016)</x:f>
        <x:v>0.13739545997610514</x:v>
      </x:c>
    </x:row>
    <x:row r="2017">
      <x:c r="A2017" s="379" t="n">
        <x:v>47668</x:v>
      </x:c>
      <x:c r="B2017" s="380" t="n">
        <x:v>2030</x:v>
      </x:c>
      <x:c r="C2017" s="380" t="n">
        <x:v>7</x:v>
      </x:c>
      <x:c r="D2017" s="380" t="str">
        <x:v>Jul</x:v>
      </x:c>
      <x:c r="E2017" s="380" t="n">
        <x:v>4</x:v>
      </x:c>
      <x:c r="F2017" s="380" t="n">
        <x:v>4</x:v>
      </x:c>
      <x:c r="G2017" s="380" t="n">
        <x:f>--(F2017&lt;='Estimator'!$B$7)</x:f>
        <x:v>1</x:v>
      </x:c>
      <x:c r="H2017" s="381" t="n">
        <x:f>SUMIFS('Climate Data'!$G$7:$G$366,'Climate Data'!$A$7:$A$366,'Estimator'!$B$4,'Climate Data'!$B$7:$B$366,C2017)</x:f>
        <x:v>0.49078341013824883</x:v>
      </x:c>
      <x:c r="I2017" s="382" t="n">
        <x:f>SUMIFS('Climate Data'!$H$7:$H$366,'Climate Data'!$A$7:$A$366,'Estimator'!$B$4,'Climate Data'!$B$7:$B$366,C2017)</x:f>
        <x:v>8.998122065727701</x:v>
      </x:c>
      <x:c r="J2017" s="381" t="n">
        <x:f>SUMIFS('Wind Proxy'!$H$8:$H$19,'Wind Proxy'!$A$8:$A$19,'Estimator'!$B$4,'Wind Proxy'!$B$8:$B$19,C2017)</x:f>
        <x:v>0.13739545997610514</x:v>
      </x:c>
    </x:row>
    <x:row r="2018">
      <x:c r="A2018" s="379" t="n">
        <x:v>47669</x:v>
      </x:c>
      <x:c r="B2018" s="380" t="n">
        <x:v>2030</x:v>
      </x:c>
      <x:c r="C2018" s="380" t="n">
        <x:v>7</x:v>
      </x:c>
      <x:c r="D2018" s="380" t="str">
        <x:v>Jul</x:v>
      </x:c>
      <x:c r="E2018" s="380" t="n">
        <x:v>5</x:v>
      </x:c>
      <x:c r="F2018" s="380" t="n">
        <x:v>5</x:v>
      </x:c>
      <x:c r="G2018" s="380" t="n">
        <x:f>--(F2018&lt;='Estimator'!$B$7)</x:f>
        <x:v>1</x:v>
      </x:c>
      <x:c r="H2018" s="381" t="n">
        <x:f>SUMIFS('Climate Data'!$G$7:$G$366,'Climate Data'!$A$7:$A$366,'Estimator'!$B$4,'Climate Data'!$B$7:$B$366,C2018)</x:f>
        <x:v>0.49078341013824883</x:v>
      </x:c>
      <x:c r="I2018" s="382" t="n">
        <x:f>SUMIFS('Climate Data'!$H$7:$H$366,'Climate Data'!$A$7:$A$366,'Estimator'!$B$4,'Climate Data'!$B$7:$B$366,C2018)</x:f>
        <x:v>8.998122065727701</x:v>
      </x:c>
      <x:c r="J2018" s="381" t="n">
        <x:f>SUMIFS('Wind Proxy'!$H$8:$H$19,'Wind Proxy'!$A$8:$A$19,'Estimator'!$B$4,'Wind Proxy'!$B$8:$B$19,C2018)</x:f>
        <x:v>0.13739545997610514</x:v>
      </x:c>
    </x:row>
    <x:row r="2019">
      <x:c r="A2019" s="379" t="n">
        <x:v>47670</x:v>
      </x:c>
      <x:c r="B2019" s="380" t="n">
        <x:v>2030</x:v>
      </x:c>
      <x:c r="C2019" s="380" t="n">
        <x:v>7</x:v>
      </x:c>
      <x:c r="D2019" s="380" t="str">
        <x:v>Jul</x:v>
      </x:c>
      <x:c r="E2019" s="380" t="n">
        <x:v>6</x:v>
      </x:c>
      <x:c r="F2019" s="380" t="n">
        <x:v>6</x:v>
      </x:c>
      <x:c r="G2019" s="380" t="n">
        <x:f>--(F2019&lt;='Estimator'!$B$7)</x:f>
        <x:v>0</x:v>
      </x:c>
      <x:c r="H2019" s="381" t="n">
        <x:f>SUMIFS('Climate Data'!$G$7:$G$366,'Climate Data'!$A$7:$A$366,'Estimator'!$B$4,'Climate Data'!$B$7:$B$366,C2019)</x:f>
        <x:v>0.49078341013824883</x:v>
      </x:c>
      <x:c r="I2019" s="382" t="n">
        <x:f>SUMIFS('Climate Data'!$H$7:$H$366,'Climate Data'!$A$7:$A$366,'Estimator'!$B$4,'Climate Data'!$B$7:$B$366,C2019)</x:f>
        <x:v>8.998122065727701</x:v>
      </x:c>
      <x:c r="J2019" s="381" t="n">
        <x:f>SUMIFS('Wind Proxy'!$H$8:$H$19,'Wind Proxy'!$A$8:$A$19,'Estimator'!$B$4,'Wind Proxy'!$B$8:$B$19,C2019)</x:f>
        <x:v>0.13739545997610514</x:v>
      </x:c>
    </x:row>
    <x:row r="2020">
      <x:c r="A2020" s="379" t="n">
        <x:v>47671</x:v>
      </x:c>
      <x:c r="B2020" s="380" t="n">
        <x:v>2030</x:v>
      </x:c>
      <x:c r="C2020" s="380" t="n">
        <x:v>7</x:v>
      </x:c>
      <x:c r="D2020" s="380" t="str">
        <x:v>Jul</x:v>
      </x:c>
      <x:c r="E2020" s="380" t="n">
        <x:v>7</x:v>
      </x:c>
      <x:c r="F2020" s="380" t="n">
        <x:v>7</x:v>
      </x:c>
      <x:c r="G2020" s="380" t="n">
        <x:f>--(F2020&lt;='Estimator'!$B$7)</x:f>
        <x:v>0</x:v>
      </x:c>
      <x:c r="H2020" s="381" t="n">
        <x:f>SUMIFS('Climate Data'!$G$7:$G$366,'Climate Data'!$A$7:$A$366,'Estimator'!$B$4,'Climate Data'!$B$7:$B$366,C2020)</x:f>
        <x:v>0.49078341013824883</x:v>
      </x:c>
      <x:c r="I2020" s="382" t="n">
        <x:f>SUMIFS('Climate Data'!$H$7:$H$366,'Climate Data'!$A$7:$A$366,'Estimator'!$B$4,'Climate Data'!$B$7:$B$366,C2020)</x:f>
        <x:v>8.998122065727701</x:v>
      </x:c>
      <x:c r="J2020" s="381" t="n">
        <x:f>SUMIFS('Wind Proxy'!$H$8:$H$19,'Wind Proxy'!$A$8:$A$19,'Estimator'!$B$4,'Wind Proxy'!$B$8:$B$19,C2020)</x:f>
        <x:v>0.13739545997610514</x:v>
      </x:c>
    </x:row>
    <x:row r="2021">
      <x:c r="A2021" s="379" t="n">
        <x:v>47672</x:v>
      </x:c>
      <x:c r="B2021" s="380" t="n">
        <x:v>2030</x:v>
      </x:c>
      <x:c r="C2021" s="380" t="n">
        <x:v>7</x:v>
      </x:c>
      <x:c r="D2021" s="380" t="str">
        <x:v>Jul</x:v>
      </x:c>
      <x:c r="E2021" s="380" t="n">
        <x:v>8</x:v>
      </x:c>
      <x:c r="F2021" s="380" t="n">
        <x:v>1</x:v>
      </x:c>
      <x:c r="G2021" s="380" t="n">
        <x:f>--(F2021&lt;='Estimator'!$B$7)</x:f>
        <x:v>1</x:v>
      </x:c>
      <x:c r="H2021" s="381" t="n">
        <x:f>SUMIFS('Climate Data'!$G$7:$G$366,'Climate Data'!$A$7:$A$366,'Estimator'!$B$4,'Climate Data'!$B$7:$B$366,C2021)</x:f>
        <x:v>0.49078341013824883</x:v>
      </x:c>
      <x:c r="I2021" s="382" t="n">
        <x:f>SUMIFS('Climate Data'!$H$7:$H$366,'Climate Data'!$A$7:$A$366,'Estimator'!$B$4,'Climate Data'!$B$7:$B$366,C2021)</x:f>
        <x:v>8.998122065727701</x:v>
      </x:c>
      <x:c r="J2021" s="381" t="n">
        <x:f>SUMIFS('Wind Proxy'!$H$8:$H$19,'Wind Proxy'!$A$8:$A$19,'Estimator'!$B$4,'Wind Proxy'!$B$8:$B$19,C2021)</x:f>
        <x:v>0.13739545997610514</x:v>
      </x:c>
    </x:row>
    <x:row r="2022">
      <x:c r="A2022" s="379" t="n">
        <x:v>47673</x:v>
      </x:c>
      <x:c r="B2022" s="380" t="n">
        <x:v>2030</x:v>
      </x:c>
      <x:c r="C2022" s="380" t="n">
        <x:v>7</x:v>
      </x:c>
      <x:c r="D2022" s="380" t="str">
        <x:v>Jul</x:v>
      </x:c>
      <x:c r="E2022" s="380" t="n">
        <x:v>9</x:v>
      </x:c>
      <x:c r="F2022" s="380" t="n">
        <x:v>2</x:v>
      </x:c>
      <x:c r="G2022" s="380" t="n">
        <x:f>--(F2022&lt;='Estimator'!$B$7)</x:f>
        <x:v>1</x:v>
      </x:c>
      <x:c r="H2022" s="381" t="n">
        <x:f>SUMIFS('Climate Data'!$G$7:$G$366,'Climate Data'!$A$7:$A$366,'Estimator'!$B$4,'Climate Data'!$B$7:$B$366,C2022)</x:f>
        <x:v>0.49078341013824883</x:v>
      </x:c>
      <x:c r="I2022" s="382" t="n">
        <x:f>SUMIFS('Climate Data'!$H$7:$H$366,'Climate Data'!$A$7:$A$366,'Estimator'!$B$4,'Climate Data'!$B$7:$B$366,C2022)</x:f>
        <x:v>8.998122065727701</x:v>
      </x:c>
      <x:c r="J2022" s="381" t="n">
        <x:f>SUMIFS('Wind Proxy'!$H$8:$H$19,'Wind Proxy'!$A$8:$A$19,'Estimator'!$B$4,'Wind Proxy'!$B$8:$B$19,C2022)</x:f>
        <x:v>0.13739545997610514</x:v>
      </x:c>
    </x:row>
    <x:row r="2023">
      <x:c r="A2023" s="379" t="n">
        <x:v>47674</x:v>
      </x:c>
      <x:c r="B2023" s="380" t="n">
        <x:v>2030</x:v>
      </x:c>
      <x:c r="C2023" s="380" t="n">
        <x:v>7</x:v>
      </x:c>
      <x:c r="D2023" s="380" t="str">
        <x:v>Jul</x:v>
      </x:c>
      <x:c r="E2023" s="380" t="n">
        <x:v>10</x:v>
      </x:c>
      <x:c r="F2023" s="380" t="n">
        <x:v>3</x:v>
      </x:c>
      <x:c r="G2023" s="380" t="n">
        <x:f>--(F2023&lt;='Estimator'!$B$7)</x:f>
        <x:v>1</x:v>
      </x:c>
      <x:c r="H2023" s="381" t="n">
        <x:f>SUMIFS('Climate Data'!$G$7:$G$366,'Climate Data'!$A$7:$A$366,'Estimator'!$B$4,'Climate Data'!$B$7:$B$366,C2023)</x:f>
        <x:v>0.49078341013824883</x:v>
      </x:c>
      <x:c r="I2023" s="382" t="n">
        <x:f>SUMIFS('Climate Data'!$H$7:$H$366,'Climate Data'!$A$7:$A$366,'Estimator'!$B$4,'Climate Data'!$B$7:$B$366,C2023)</x:f>
        <x:v>8.998122065727701</x:v>
      </x:c>
      <x:c r="J2023" s="381" t="n">
        <x:f>SUMIFS('Wind Proxy'!$H$8:$H$19,'Wind Proxy'!$A$8:$A$19,'Estimator'!$B$4,'Wind Proxy'!$B$8:$B$19,C2023)</x:f>
        <x:v>0.13739545997610514</x:v>
      </x:c>
    </x:row>
    <x:row r="2024">
      <x:c r="A2024" s="379" t="n">
        <x:v>47675</x:v>
      </x:c>
      <x:c r="B2024" s="380" t="n">
        <x:v>2030</x:v>
      </x:c>
      <x:c r="C2024" s="380" t="n">
        <x:v>7</x:v>
      </x:c>
      <x:c r="D2024" s="380" t="str">
        <x:v>Jul</x:v>
      </x:c>
      <x:c r="E2024" s="380" t="n">
        <x:v>11</x:v>
      </x:c>
      <x:c r="F2024" s="380" t="n">
        <x:v>4</x:v>
      </x:c>
      <x:c r="G2024" s="380" t="n">
        <x:f>--(F2024&lt;='Estimator'!$B$7)</x:f>
        <x:v>1</x:v>
      </x:c>
      <x:c r="H2024" s="381" t="n">
        <x:f>SUMIFS('Climate Data'!$G$7:$G$366,'Climate Data'!$A$7:$A$366,'Estimator'!$B$4,'Climate Data'!$B$7:$B$366,C2024)</x:f>
        <x:v>0.49078341013824883</x:v>
      </x:c>
      <x:c r="I2024" s="382" t="n">
        <x:f>SUMIFS('Climate Data'!$H$7:$H$366,'Climate Data'!$A$7:$A$366,'Estimator'!$B$4,'Climate Data'!$B$7:$B$366,C2024)</x:f>
        <x:v>8.998122065727701</x:v>
      </x:c>
      <x:c r="J2024" s="381" t="n">
        <x:f>SUMIFS('Wind Proxy'!$H$8:$H$19,'Wind Proxy'!$A$8:$A$19,'Estimator'!$B$4,'Wind Proxy'!$B$8:$B$19,C2024)</x:f>
        <x:v>0.13739545997610514</x:v>
      </x:c>
    </x:row>
    <x:row r="2025">
      <x:c r="A2025" s="379" t="n">
        <x:v>47676</x:v>
      </x:c>
      <x:c r="B2025" s="380" t="n">
        <x:v>2030</x:v>
      </x:c>
      <x:c r="C2025" s="380" t="n">
        <x:v>7</x:v>
      </x:c>
      <x:c r="D2025" s="380" t="str">
        <x:v>Jul</x:v>
      </x:c>
      <x:c r="E2025" s="380" t="n">
        <x:v>12</x:v>
      </x:c>
      <x:c r="F2025" s="380" t="n">
        <x:v>5</x:v>
      </x:c>
      <x:c r="G2025" s="380" t="n">
        <x:f>--(F2025&lt;='Estimator'!$B$7)</x:f>
        <x:v>1</x:v>
      </x:c>
      <x:c r="H2025" s="381" t="n">
        <x:f>SUMIFS('Climate Data'!$G$7:$G$366,'Climate Data'!$A$7:$A$366,'Estimator'!$B$4,'Climate Data'!$B$7:$B$366,C2025)</x:f>
        <x:v>0.49078341013824883</x:v>
      </x:c>
      <x:c r="I2025" s="382" t="n">
        <x:f>SUMIFS('Climate Data'!$H$7:$H$366,'Climate Data'!$A$7:$A$366,'Estimator'!$B$4,'Climate Data'!$B$7:$B$366,C2025)</x:f>
        <x:v>8.998122065727701</x:v>
      </x:c>
      <x:c r="J2025" s="381" t="n">
        <x:f>SUMIFS('Wind Proxy'!$H$8:$H$19,'Wind Proxy'!$A$8:$A$19,'Estimator'!$B$4,'Wind Proxy'!$B$8:$B$19,C2025)</x:f>
        <x:v>0.13739545997610514</x:v>
      </x:c>
    </x:row>
    <x:row r="2026">
      <x:c r="A2026" s="379" t="n">
        <x:v>47677</x:v>
      </x:c>
      <x:c r="B2026" s="380" t="n">
        <x:v>2030</x:v>
      </x:c>
      <x:c r="C2026" s="380" t="n">
        <x:v>7</x:v>
      </x:c>
      <x:c r="D2026" s="380" t="str">
        <x:v>Jul</x:v>
      </x:c>
      <x:c r="E2026" s="380" t="n">
        <x:v>13</x:v>
      </x:c>
      <x:c r="F2026" s="380" t="n">
        <x:v>6</x:v>
      </x:c>
      <x:c r="G2026" s="380" t="n">
        <x:f>--(F2026&lt;='Estimator'!$B$7)</x:f>
        <x:v>0</x:v>
      </x:c>
      <x:c r="H2026" s="381" t="n">
        <x:f>SUMIFS('Climate Data'!$G$7:$G$366,'Climate Data'!$A$7:$A$366,'Estimator'!$B$4,'Climate Data'!$B$7:$B$366,C2026)</x:f>
        <x:v>0.49078341013824883</x:v>
      </x:c>
      <x:c r="I2026" s="382" t="n">
        <x:f>SUMIFS('Climate Data'!$H$7:$H$366,'Climate Data'!$A$7:$A$366,'Estimator'!$B$4,'Climate Data'!$B$7:$B$366,C2026)</x:f>
        <x:v>8.998122065727701</x:v>
      </x:c>
      <x:c r="J2026" s="381" t="n">
        <x:f>SUMIFS('Wind Proxy'!$H$8:$H$19,'Wind Proxy'!$A$8:$A$19,'Estimator'!$B$4,'Wind Proxy'!$B$8:$B$19,C2026)</x:f>
        <x:v>0.13739545997610514</x:v>
      </x:c>
    </x:row>
    <x:row r="2027">
      <x:c r="A2027" s="379" t="n">
        <x:v>47678</x:v>
      </x:c>
      <x:c r="B2027" s="380" t="n">
        <x:v>2030</x:v>
      </x:c>
      <x:c r="C2027" s="380" t="n">
        <x:v>7</x:v>
      </x:c>
      <x:c r="D2027" s="380" t="str">
        <x:v>Jul</x:v>
      </x:c>
      <x:c r="E2027" s="380" t="n">
        <x:v>14</x:v>
      </x:c>
      <x:c r="F2027" s="380" t="n">
        <x:v>7</x:v>
      </x:c>
      <x:c r="G2027" s="380" t="n">
        <x:f>--(F2027&lt;='Estimator'!$B$7)</x:f>
        <x:v>0</x:v>
      </x:c>
      <x:c r="H2027" s="381" t="n">
        <x:f>SUMIFS('Climate Data'!$G$7:$G$366,'Climate Data'!$A$7:$A$366,'Estimator'!$B$4,'Climate Data'!$B$7:$B$366,C2027)</x:f>
        <x:v>0.49078341013824883</x:v>
      </x:c>
      <x:c r="I2027" s="382" t="n">
        <x:f>SUMIFS('Climate Data'!$H$7:$H$366,'Climate Data'!$A$7:$A$366,'Estimator'!$B$4,'Climate Data'!$B$7:$B$366,C2027)</x:f>
        <x:v>8.998122065727701</x:v>
      </x:c>
      <x:c r="J2027" s="381" t="n">
        <x:f>SUMIFS('Wind Proxy'!$H$8:$H$19,'Wind Proxy'!$A$8:$A$19,'Estimator'!$B$4,'Wind Proxy'!$B$8:$B$19,C2027)</x:f>
        <x:v>0.13739545997610514</x:v>
      </x:c>
    </x:row>
    <x:row r="2028">
      <x:c r="A2028" s="379" t="n">
        <x:v>47679</x:v>
      </x:c>
      <x:c r="B2028" s="380" t="n">
        <x:v>2030</x:v>
      </x:c>
      <x:c r="C2028" s="380" t="n">
        <x:v>7</x:v>
      </x:c>
      <x:c r="D2028" s="380" t="str">
        <x:v>Jul</x:v>
      </x:c>
      <x:c r="E2028" s="380" t="n">
        <x:v>15</x:v>
      </x:c>
      <x:c r="F2028" s="380" t="n">
        <x:v>1</x:v>
      </x:c>
      <x:c r="G2028" s="380" t="n">
        <x:f>--(F2028&lt;='Estimator'!$B$7)</x:f>
        <x:v>1</x:v>
      </x:c>
      <x:c r="H2028" s="381" t="n">
        <x:f>SUMIFS('Climate Data'!$G$7:$G$366,'Climate Data'!$A$7:$A$366,'Estimator'!$B$4,'Climate Data'!$B$7:$B$366,C2028)</x:f>
        <x:v>0.49078341013824883</x:v>
      </x:c>
      <x:c r="I2028" s="382" t="n">
        <x:f>SUMIFS('Climate Data'!$H$7:$H$366,'Climate Data'!$A$7:$A$366,'Estimator'!$B$4,'Climate Data'!$B$7:$B$366,C2028)</x:f>
        <x:v>8.998122065727701</x:v>
      </x:c>
      <x:c r="J2028" s="381" t="n">
        <x:f>SUMIFS('Wind Proxy'!$H$8:$H$19,'Wind Proxy'!$A$8:$A$19,'Estimator'!$B$4,'Wind Proxy'!$B$8:$B$19,C2028)</x:f>
        <x:v>0.13739545997610514</x:v>
      </x:c>
    </x:row>
    <x:row r="2029">
      <x:c r="A2029" s="379" t="n">
        <x:v>47680</x:v>
      </x:c>
      <x:c r="B2029" s="380" t="n">
        <x:v>2030</x:v>
      </x:c>
      <x:c r="C2029" s="380" t="n">
        <x:v>7</x:v>
      </x:c>
      <x:c r="D2029" s="380" t="str">
        <x:v>Jul</x:v>
      </x:c>
      <x:c r="E2029" s="380" t="n">
        <x:v>16</x:v>
      </x:c>
      <x:c r="F2029" s="380" t="n">
        <x:v>2</x:v>
      </x:c>
      <x:c r="G2029" s="380" t="n">
        <x:f>--(F2029&lt;='Estimator'!$B$7)</x:f>
        <x:v>1</x:v>
      </x:c>
      <x:c r="H2029" s="381" t="n">
        <x:f>SUMIFS('Climate Data'!$G$7:$G$366,'Climate Data'!$A$7:$A$366,'Estimator'!$B$4,'Climate Data'!$B$7:$B$366,C2029)</x:f>
        <x:v>0.49078341013824883</x:v>
      </x:c>
      <x:c r="I2029" s="382" t="n">
        <x:f>SUMIFS('Climate Data'!$H$7:$H$366,'Climate Data'!$A$7:$A$366,'Estimator'!$B$4,'Climate Data'!$B$7:$B$366,C2029)</x:f>
        <x:v>8.998122065727701</x:v>
      </x:c>
      <x:c r="J2029" s="381" t="n">
        <x:f>SUMIFS('Wind Proxy'!$H$8:$H$19,'Wind Proxy'!$A$8:$A$19,'Estimator'!$B$4,'Wind Proxy'!$B$8:$B$19,C2029)</x:f>
        <x:v>0.13739545997610514</x:v>
      </x:c>
    </x:row>
    <x:row r="2030">
      <x:c r="A2030" s="379" t="n">
        <x:v>47681</x:v>
      </x:c>
      <x:c r="B2030" s="380" t="n">
        <x:v>2030</x:v>
      </x:c>
      <x:c r="C2030" s="380" t="n">
        <x:v>7</x:v>
      </x:c>
      <x:c r="D2030" s="380" t="str">
        <x:v>Jul</x:v>
      </x:c>
      <x:c r="E2030" s="380" t="n">
        <x:v>17</x:v>
      </x:c>
      <x:c r="F2030" s="380" t="n">
        <x:v>3</x:v>
      </x:c>
      <x:c r="G2030" s="380" t="n">
        <x:f>--(F2030&lt;='Estimator'!$B$7)</x:f>
        <x:v>1</x:v>
      </x:c>
      <x:c r="H2030" s="381" t="n">
        <x:f>SUMIFS('Climate Data'!$G$7:$G$366,'Climate Data'!$A$7:$A$366,'Estimator'!$B$4,'Climate Data'!$B$7:$B$366,C2030)</x:f>
        <x:v>0.49078341013824883</x:v>
      </x:c>
      <x:c r="I2030" s="382" t="n">
        <x:f>SUMIFS('Climate Data'!$H$7:$H$366,'Climate Data'!$A$7:$A$366,'Estimator'!$B$4,'Climate Data'!$B$7:$B$366,C2030)</x:f>
        <x:v>8.998122065727701</x:v>
      </x:c>
      <x:c r="J2030" s="381" t="n">
        <x:f>SUMIFS('Wind Proxy'!$H$8:$H$19,'Wind Proxy'!$A$8:$A$19,'Estimator'!$B$4,'Wind Proxy'!$B$8:$B$19,C2030)</x:f>
        <x:v>0.13739545997610514</x:v>
      </x:c>
    </x:row>
    <x:row r="2031">
      <x:c r="A2031" s="379" t="n">
        <x:v>47682</x:v>
      </x:c>
      <x:c r="B2031" s="380" t="n">
        <x:v>2030</x:v>
      </x:c>
      <x:c r="C2031" s="380" t="n">
        <x:v>7</x:v>
      </x:c>
      <x:c r="D2031" s="380" t="str">
        <x:v>Jul</x:v>
      </x:c>
      <x:c r="E2031" s="380" t="n">
        <x:v>18</x:v>
      </x:c>
      <x:c r="F2031" s="380" t="n">
        <x:v>4</x:v>
      </x:c>
      <x:c r="G2031" s="380" t="n">
        <x:f>--(F2031&lt;='Estimator'!$B$7)</x:f>
        <x:v>1</x:v>
      </x:c>
      <x:c r="H2031" s="381" t="n">
        <x:f>SUMIFS('Climate Data'!$G$7:$G$366,'Climate Data'!$A$7:$A$366,'Estimator'!$B$4,'Climate Data'!$B$7:$B$366,C2031)</x:f>
        <x:v>0.49078341013824883</x:v>
      </x:c>
      <x:c r="I2031" s="382" t="n">
        <x:f>SUMIFS('Climate Data'!$H$7:$H$366,'Climate Data'!$A$7:$A$366,'Estimator'!$B$4,'Climate Data'!$B$7:$B$366,C2031)</x:f>
        <x:v>8.998122065727701</x:v>
      </x:c>
      <x:c r="J2031" s="381" t="n">
        <x:f>SUMIFS('Wind Proxy'!$H$8:$H$19,'Wind Proxy'!$A$8:$A$19,'Estimator'!$B$4,'Wind Proxy'!$B$8:$B$19,C2031)</x:f>
        <x:v>0.13739545997610514</x:v>
      </x:c>
    </x:row>
    <x:row r="2032">
      <x:c r="A2032" s="379" t="n">
        <x:v>47683</x:v>
      </x:c>
      <x:c r="B2032" s="380" t="n">
        <x:v>2030</x:v>
      </x:c>
      <x:c r="C2032" s="380" t="n">
        <x:v>7</x:v>
      </x:c>
      <x:c r="D2032" s="380" t="str">
        <x:v>Jul</x:v>
      </x:c>
      <x:c r="E2032" s="380" t="n">
        <x:v>19</x:v>
      </x:c>
      <x:c r="F2032" s="380" t="n">
        <x:v>5</x:v>
      </x:c>
      <x:c r="G2032" s="380" t="n">
        <x:f>--(F2032&lt;='Estimator'!$B$7)</x:f>
        <x:v>1</x:v>
      </x:c>
      <x:c r="H2032" s="381" t="n">
        <x:f>SUMIFS('Climate Data'!$G$7:$G$366,'Climate Data'!$A$7:$A$366,'Estimator'!$B$4,'Climate Data'!$B$7:$B$366,C2032)</x:f>
        <x:v>0.49078341013824883</x:v>
      </x:c>
      <x:c r="I2032" s="382" t="n">
        <x:f>SUMIFS('Climate Data'!$H$7:$H$366,'Climate Data'!$A$7:$A$366,'Estimator'!$B$4,'Climate Data'!$B$7:$B$366,C2032)</x:f>
        <x:v>8.998122065727701</x:v>
      </x:c>
      <x:c r="J2032" s="381" t="n">
        <x:f>SUMIFS('Wind Proxy'!$H$8:$H$19,'Wind Proxy'!$A$8:$A$19,'Estimator'!$B$4,'Wind Proxy'!$B$8:$B$19,C2032)</x:f>
        <x:v>0.13739545997610514</x:v>
      </x:c>
    </x:row>
    <x:row r="2033">
      <x:c r="A2033" s="379" t="n">
        <x:v>47684</x:v>
      </x:c>
      <x:c r="B2033" s="380" t="n">
        <x:v>2030</x:v>
      </x:c>
      <x:c r="C2033" s="380" t="n">
        <x:v>7</x:v>
      </x:c>
      <x:c r="D2033" s="380" t="str">
        <x:v>Jul</x:v>
      </x:c>
      <x:c r="E2033" s="380" t="n">
        <x:v>20</x:v>
      </x:c>
      <x:c r="F2033" s="380" t="n">
        <x:v>6</x:v>
      </x:c>
      <x:c r="G2033" s="380" t="n">
        <x:f>--(F2033&lt;='Estimator'!$B$7)</x:f>
        <x:v>0</x:v>
      </x:c>
      <x:c r="H2033" s="381" t="n">
        <x:f>SUMIFS('Climate Data'!$G$7:$G$366,'Climate Data'!$A$7:$A$366,'Estimator'!$B$4,'Climate Data'!$B$7:$B$366,C2033)</x:f>
        <x:v>0.49078341013824883</x:v>
      </x:c>
      <x:c r="I2033" s="382" t="n">
        <x:f>SUMIFS('Climate Data'!$H$7:$H$366,'Climate Data'!$A$7:$A$366,'Estimator'!$B$4,'Climate Data'!$B$7:$B$366,C2033)</x:f>
        <x:v>8.998122065727701</x:v>
      </x:c>
      <x:c r="J2033" s="381" t="n">
        <x:f>SUMIFS('Wind Proxy'!$H$8:$H$19,'Wind Proxy'!$A$8:$A$19,'Estimator'!$B$4,'Wind Proxy'!$B$8:$B$19,C2033)</x:f>
        <x:v>0.13739545997610514</x:v>
      </x:c>
    </x:row>
    <x:row r="2034">
      <x:c r="A2034" s="379" t="n">
        <x:v>47685</x:v>
      </x:c>
      <x:c r="B2034" s="380" t="n">
        <x:v>2030</x:v>
      </x:c>
      <x:c r="C2034" s="380" t="n">
        <x:v>7</x:v>
      </x:c>
      <x:c r="D2034" s="380" t="str">
        <x:v>Jul</x:v>
      </x:c>
      <x:c r="E2034" s="380" t="n">
        <x:v>21</x:v>
      </x:c>
      <x:c r="F2034" s="380" t="n">
        <x:v>7</x:v>
      </x:c>
      <x:c r="G2034" s="380" t="n">
        <x:f>--(F2034&lt;='Estimator'!$B$7)</x:f>
        <x:v>0</x:v>
      </x:c>
      <x:c r="H2034" s="381" t="n">
        <x:f>SUMIFS('Climate Data'!$G$7:$G$366,'Climate Data'!$A$7:$A$366,'Estimator'!$B$4,'Climate Data'!$B$7:$B$366,C2034)</x:f>
        <x:v>0.49078341013824883</x:v>
      </x:c>
      <x:c r="I2034" s="382" t="n">
        <x:f>SUMIFS('Climate Data'!$H$7:$H$366,'Climate Data'!$A$7:$A$366,'Estimator'!$B$4,'Climate Data'!$B$7:$B$366,C2034)</x:f>
        <x:v>8.998122065727701</x:v>
      </x:c>
      <x:c r="J2034" s="381" t="n">
        <x:f>SUMIFS('Wind Proxy'!$H$8:$H$19,'Wind Proxy'!$A$8:$A$19,'Estimator'!$B$4,'Wind Proxy'!$B$8:$B$19,C2034)</x:f>
        <x:v>0.13739545997610514</x:v>
      </x:c>
    </x:row>
    <x:row r="2035">
      <x:c r="A2035" s="379" t="n">
        <x:v>47686</x:v>
      </x:c>
      <x:c r="B2035" s="380" t="n">
        <x:v>2030</x:v>
      </x:c>
      <x:c r="C2035" s="380" t="n">
        <x:v>7</x:v>
      </x:c>
      <x:c r="D2035" s="380" t="str">
        <x:v>Jul</x:v>
      </x:c>
      <x:c r="E2035" s="380" t="n">
        <x:v>22</x:v>
      </x:c>
      <x:c r="F2035" s="380" t="n">
        <x:v>1</x:v>
      </x:c>
      <x:c r="G2035" s="380" t="n">
        <x:f>--(F2035&lt;='Estimator'!$B$7)</x:f>
        <x:v>1</x:v>
      </x:c>
      <x:c r="H2035" s="381" t="n">
        <x:f>SUMIFS('Climate Data'!$G$7:$G$366,'Climate Data'!$A$7:$A$366,'Estimator'!$B$4,'Climate Data'!$B$7:$B$366,C2035)</x:f>
        <x:v>0.49078341013824883</x:v>
      </x:c>
      <x:c r="I2035" s="382" t="n">
        <x:f>SUMIFS('Climate Data'!$H$7:$H$366,'Climate Data'!$A$7:$A$366,'Estimator'!$B$4,'Climate Data'!$B$7:$B$366,C2035)</x:f>
        <x:v>8.998122065727701</x:v>
      </x:c>
      <x:c r="J2035" s="381" t="n">
        <x:f>SUMIFS('Wind Proxy'!$H$8:$H$19,'Wind Proxy'!$A$8:$A$19,'Estimator'!$B$4,'Wind Proxy'!$B$8:$B$19,C2035)</x:f>
        <x:v>0.13739545997610514</x:v>
      </x:c>
    </x:row>
    <x:row r="2036">
      <x:c r="A2036" s="379" t="n">
        <x:v>47687</x:v>
      </x:c>
      <x:c r="B2036" s="380" t="n">
        <x:v>2030</x:v>
      </x:c>
      <x:c r="C2036" s="380" t="n">
        <x:v>7</x:v>
      </x:c>
      <x:c r="D2036" s="380" t="str">
        <x:v>Jul</x:v>
      </x:c>
      <x:c r="E2036" s="380" t="n">
        <x:v>23</x:v>
      </x:c>
      <x:c r="F2036" s="380" t="n">
        <x:v>2</x:v>
      </x:c>
      <x:c r="G2036" s="380" t="n">
        <x:f>--(F2036&lt;='Estimator'!$B$7)</x:f>
        <x:v>1</x:v>
      </x:c>
      <x:c r="H2036" s="381" t="n">
        <x:f>SUMIFS('Climate Data'!$G$7:$G$366,'Climate Data'!$A$7:$A$366,'Estimator'!$B$4,'Climate Data'!$B$7:$B$366,C2036)</x:f>
        <x:v>0.49078341013824883</x:v>
      </x:c>
      <x:c r="I2036" s="382" t="n">
        <x:f>SUMIFS('Climate Data'!$H$7:$H$366,'Climate Data'!$A$7:$A$366,'Estimator'!$B$4,'Climate Data'!$B$7:$B$366,C2036)</x:f>
        <x:v>8.998122065727701</x:v>
      </x:c>
      <x:c r="J2036" s="381" t="n">
        <x:f>SUMIFS('Wind Proxy'!$H$8:$H$19,'Wind Proxy'!$A$8:$A$19,'Estimator'!$B$4,'Wind Proxy'!$B$8:$B$19,C2036)</x:f>
        <x:v>0.13739545997610514</x:v>
      </x:c>
    </x:row>
    <x:row r="2037">
      <x:c r="A2037" s="379" t="n">
        <x:v>47688</x:v>
      </x:c>
      <x:c r="B2037" s="380" t="n">
        <x:v>2030</x:v>
      </x:c>
      <x:c r="C2037" s="380" t="n">
        <x:v>7</x:v>
      </x:c>
      <x:c r="D2037" s="380" t="str">
        <x:v>Jul</x:v>
      </x:c>
      <x:c r="E2037" s="380" t="n">
        <x:v>24</x:v>
      </x:c>
      <x:c r="F2037" s="380" t="n">
        <x:v>3</x:v>
      </x:c>
      <x:c r="G2037" s="380" t="n">
        <x:f>--(F2037&lt;='Estimator'!$B$7)</x:f>
        <x:v>1</x:v>
      </x:c>
      <x:c r="H2037" s="381" t="n">
        <x:f>SUMIFS('Climate Data'!$G$7:$G$366,'Climate Data'!$A$7:$A$366,'Estimator'!$B$4,'Climate Data'!$B$7:$B$366,C2037)</x:f>
        <x:v>0.49078341013824883</x:v>
      </x:c>
      <x:c r="I2037" s="382" t="n">
        <x:f>SUMIFS('Climate Data'!$H$7:$H$366,'Climate Data'!$A$7:$A$366,'Estimator'!$B$4,'Climate Data'!$B$7:$B$366,C2037)</x:f>
        <x:v>8.998122065727701</x:v>
      </x:c>
      <x:c r="J2037" s="381" t="n">
        <x:f>SUMIFS('Wind Proxy'!$H$8:$H$19,'Wind Proxy'!$A$8:$A$19,'Estimator'!$B$4,'Wind Proxy'!$B$8:$B$19,C2037)</x:f>
        <x:v>0.13739545997610514</x:v>
      </x:c>
    </x:row>
    <x:row r="2038">
      <x:c r="A2038" s="379" t="n">
        <x:v>47689</x:v>
      </x:c>
      <x:c r="B2038" s="380" t="n">
        <x:v>2030</x:v>
      </x:c>
      <x:c r="C2038" s="380" t="n">
        <x:v>7</x:v>
      </x:c>
      <x:c r="D2038" s="380" t="str">
        <x:v>Jul</x:v>
      </x:c>
      <x:c r="E2038" s="380" t="n">
        <x:v>25</x:v>
      </x:c>
      <x:c r="F2038" s="380" t="n">
        <x:v>4</x:v>
      </x:c>
      <x:c r="G2038" s="380" t="n">
        <x:f>--(F2038&lt;='Estimator'!$B$7)</x:f>
        <x:v>1</x:v>
      </x:c>
      <x:c r="H2038" s="381" t="n">
        <x:f>SUMIFS('Climate Data'!$G$7:$G$366,'Climate Data'!$A$7:$A$366,'Estimator'!$B$4,'Climate Data'!$B$7:$B$366,C2038)</x:f>
        <x:v>0.49078341013824883</x:v>
      </x:c>
      <x:c r="I2038" s="382" t="n">
        <x:f>SUMIFS('Climate Data'!$H$7:$H$366,'Climate Data'!$A$7:$A$366,'Estimator'!$B$4,'Climate Data'!$B$7:$B$366,C2038)</x:f>
        <x:v>8.998122065727701</x:v>
      </x:c>
      <x:c r="J2038" s="381" t="n">
        <x:f>SUMIFS('Wind Proxy'!$H$8:$H$19,'Wind Proxy'!$A$8:$A$19,'Estimator'!$B$4,'Wind Proxy'!$B$8:$B$19,C2038)</x:f>
        <x:v>0.13739545997610514</x:v>
      </x:c>
    </x:row>
    <x:row r="2039">
      <x:c r="A2039" s="379" t="n">
        <x:v>47690</x:v>
      </x:c>
      <x:c r="B2039" s="380" t="n">
        <x:v>2030</x:v>
      </x:c>
      <x:c r="C2039" s="380" t="n">
        <x:v>7</x:v>
      </x:c>
      <x:c r="D2039" s="380" t="str">
        <x:v>Jul</x:v>
      </x:c>
      <x:c r="E2039" s="380" t="n">
        <x:v>26</x:v>
      </x:c>
      <x:c r="F2039" s="380" t="n">
        <x:v>5</x:v>
      </x:c>
      <x:c r="G2039" s="380" t="n">
        <x:f>--(F2039&lt;='Estimator'!$B$7)</x:f>
        <x:v>1</x:v>
      </x:c>
      <x:c r="H2039" s="381" t="n">
        <x:f>SUMIFS('Climate Data'!$G$7:$G$366,'Climate Data'!$A$7:$A$366,'Estimator'!$B$4,'Climate Data'!$B$7:$B$366,C2039)</x:f>
        <x:v>0.49078341013824883</x:v>
      </x:c>
      <x:c r="I2039" s="382" t="n">
        <x:f>SUMIFS('Climate Data'!$H$7:$H$366,'Climate Data'!$A$7:$A$366,'Estimator'!$B$4,'Climate Data'!$B$7:$B$366,C2039)</x:f>
        <x:v>8.998122065727701</x:v>
      </x:c>
      <x:c r="J2039" s="381" t="n">
        <x:f>SUMIFS('Wind Proxy'!$H$8:$H$19,'Wind Proxy'!$A$8:$A$19,'Estimator'!$B$4,'Wind Proxy'!$B$8:$B$19,C2039)</x:f>
        <x:v>0.13739545997610514</x:v>
      </x:c>
    </x:row>
    <x:row r="2040">
      <x:c r="A2040" s="379" t="n">
        <x:v>47691</x:v>
      </x:c>
      <x:c r="B2040" s="380" t="n">
        <x:v>2030</x:v>
      </x:c>
      <x:c r="C2040" s="380" t="n">
        <x:v>7</x:v>
      </x:c>
      <x:c r="D2040" s="380" t="str">
        <x:v>Jul</x:v>
      </x:c>
      <x:c r="E2040" s="380" t="n">
        <x:v>27</x:v>
      </x:c>
      <x:c r="F2040" s="380" t="n">
        <x:v>6</x:v>
      </x:c>
      <x:c r="G2040" s="380" t="n">
        <x:f>--(F2040&lt;='Estimator'!$B$7)</x:f>
        <x:v>0</x:v>
      </x:c>
      <x:c r="H2040" s="381" t="n">
        <x:f>SUMIFS('Climate Data'!$G$7:$G$366,'Climate Data'!$A$7:$A$366,'Estimator'!$B$4,'Climate Data'!$B$7:$B$366,C2040)</x:f>
        <x:v>0.49078341013824883</x:v>
      </x:c>
      <x:c r="I2040" s="382" t="n">
        <x:f>SUMIFS('Climate Data'!$H$7:$H$366,'Climate Data'!$A$7:$A$366,'Estimator'!$B$4,'Climate Data'!$B$7:$B$366,C2040)</x:f>
        <x:v>8.998122065727701</x:v>
      </x:c>
      <x:c r="J2040" s="381" t="n">
        <x:f>SUMIFS('Wind Proxy'!$H$8:$H$19,'Wind Proxy'!$A$8:$A$19,'Estimator'!$B$4,'Wind Proxy'!$B$8:$B$19,C2040)</x:f>
        <x:v>0.13739545997610514</x:v>
      </x:c>
    </x:row>
    <x:row r="2041">
      <x:c r="A2041" s="379" t="n">
        <x:v>47692</x:v>
      </x:c>
      <x:c r="B2041" s="380" t="n">
        <x:v>2030</x:v>
      </x:c>
      <x:c r="C2041" s="380" t="n">
        <x:v>7</x:v>
      </x:c>
      <x:c r="D2041" s="380" t="str">
        <x:v>Jul</x:v>
      </x:c>
      <x:c r="E2041" s="380" t="n">
        <x:v>28</x:v>
      </x:c>
      <x:c r="F2041" s="380" t="n">
        <x:v>7</x:v>
      </x:c>
      <x:c r="G2041" s="380" t="n">
        <x:f>--(F2041&lt;='Estimator'!$B$7)</x:f>
        <x:v>0</x:v>
      </x:c>
      <x:c r="H2041" s="381" t="n">
        <x:f>SUMIFS('Climate Data'!$G$7:$G$366,'Climate Data'!$A$7:$A$366,'Estimator'!$B$4,'Climate Data'!$B$7:$B$366,C2041)</x:f>
        <x:v>0.49078341013824883</x:v>
      </x:c>
      <x:c r="I2041" s="382" t="n">
        <x:f>SUMIFS('Climate Data'!$H$7:$H$366,'Climate Data'!$A$7:$A$366,'Estimator'!$B$4,'Climate Data'!$B$7:$B$366,C2041)</x:f>
        <x:v>8.998122065727701</x:v>
      </x:c>
      <x:c r="J2041" s="381" t="n">
        <x:f>SUMIFS('Wind Proxy'!$H$8:$H$19,'Wind Proxy'!$A$8:$A$19,'Estimator'!$B$4,'Wind Proxy'!$B$8:$B$19,C2041)</x:f>
        <x:v>0.13739545997610514</x:v>
      </x:c>
    </x:row>
    <x:row r="2042">
      <x:c r="A2042" s="379" t="n">
        <x:v>47693</x:v>
      </x:c>
      <x:c r="B2042" s="380" t="n">
        <x:v>2030</x:v>
      </x:c>
      <x:c r="C2042" s="380" t="n">
        <x:v>7</x:v>
      </x:c>
      <x:c r="D2042" s="380" t="str">
        <x:v>Jul</x:v>
      </x:c>
      <x:c r="E2042" s="380" t="n">
        <x:v>29</x:v>
      </x:c>
      <x:c r="F2042" s="380" t="n">
        <x:v>1</x:v>
      </x:c>
      <x:c r="G2042" s="380" t="n">
        <x:f>--(F2042&lt;='Estimator'!$B$7)</x:f>
        <x:v>1</x:v>
      </x:c>
      <x:c r="H2042" s="381" t="n">
        <x:f>SUMIFS('Climate Data'!$G$7:$G$366,'Climate Data'!$A$7:$A$366,'Estimator'!$B$4,'Climate Data'!$B$7:$B$366,C2042)</x:f>
        <x:v>0.49078341013824883</x:v>
      </x:c>
      <x:c r="I2042" s="382" t="n">
        <x:f>SUMIFS('Climate Data'!$H$7:$H$366,'Climate Data'!$A$7:$A$366,'Estimator'!$B$4,'Climate Data'!$B$7:$B$366,C2042)</x:f>
        <x:v>8.998122065727701</x:v>
      </x:c>
      <x:c r="J2042" s="381" t="n">
        <x:f>SUMIFS('Wind Proxy'!$H$8:$H$19,'Wind Proxy'!$A$8:$A$19,'Estimator'!$B$4,'Wind Proxy'!$B$8:$B$19,C2042)</x:f>
        <x:v>0.13739545997610514</x:v>
      </x:c>
    </x:row>
    <x:row r="2043">
      <x:c r="A2043" s="379" t="n">
        <x:v>47694</x:v>
      </x:c>
      <x:c r="B2043" s="380" t="n">
        <x:v>2030</x:v>
      </x:c>
      <x:c r="C2043" s="380" t="n">
        <x:v>7</x:v>
      </x:c>
      <x:c r="D2043" s="380" t="str">
        <x:v>Jul</x:v>
      </x:c>
      <x:c r="E2043" s="380" t="n">
        <x:v>30</x:v>
      </x:c>
      <x:c r="F2043" s="380" t="n">
        <x:v>2</x:v>
      </x:c>
      <x:c r="G2043" s="380" t="n">
        <x:f>--(F2043&lt;='Estimator'!$B$7)</x:f>
        <x:v>1</x:v>
      </x:c>
      <x:c r="H2043" s="381" t="n">
        <x:f>SUMIFS('Climate Data'!$G$7:$G$366,'Climate Data'!$A$7:$A$366,'Estimator'!$B$4,'Climate Data'!$B$7:$B$366,C2043)</x:f>
        <x:v>0.49078341013824883</x:v>
      </x:c>
      <x:c r="I2043" s="382" t="n">
        <x:f>SUMIFS('Climate Data'!$H$7:$H$366,'Climate Data'!$A$7:$A$366,'Estimator'!$B$4,'Climate Data'!$B$7:$B$366,C2043)</x:f>
        <x:v>8.998122065727701</x:v>
      </x:c>
      <x:c r="J2043" s="381" t="n">
        <x:f>SUMIFS('Wind Proxy'!$H$8:$H$19,'Wind Proxy'!$A$8:$A$19,'Estimator'!$B$4,'Wind Proxy'!$B$8:$B$19,C2043)</x:f>
        <x:v>0.13739545997610514</x:v>
      </x:c>
    </x:row>
    <x:row r="2044">
      <x:c r="A2044" s="379" t="n">
        <x:v>47695</x:v>
      </x:c>
      <x:c r="B2044" s="380" t="n">
        <x:v>2030</x:v>
      </x:c>
      <x:c r="C2044" s="380" t="n">
        <x:v>7</x:v>
      </x:c>
      <x:c r="D2044" s="380" t="str">
        <x:v>Jul</x:v>
      </x:c>
      <x:c r="E2044" s="380" t="n">
        <x:v>31</x:v>
      </x:c>
      <x:c r="F2044" s="380" t="n">
        <x:v>3</x:v>
      </x:c>
      <x:c r="G2044" s="380" t="n">
        <x:f>--(F2044&lt;='Estimator'!$B$7)</x:f>
        <x:v>1</x:v>
      </x:c>
      <x:c r="H2044" s="381" t="n">
        <x:f>SUMIFS('Climate Data'!$G$7:$G$366,'Climate Data'!$A$7:$A$366,'Estimator'!$B$4,'Climate Data'!$B$7:$B$366,C2044)</x:f>
        <x:v>0.49078341013824883</x:v>
      </x:c>
      <x:c r="I2044" s="382" t="n">
        <x:f>SUMIFS('Climate Data'!$H$7:$H$366,'Climate Data'!$A$7:$A$366,'Estimator'!$B$4,'Climate Data'!$B$7:$B$366,C2044)</x:f>
        <x:v>8.998122065727701</x:v>
      </x:c>
      <x:c r="J2044" s="381" t="n">
        <x:f>SUMIFS('Wind Proxy'!$H$8:$H$19,'Wind Proxy'!$A$8:$A$19,'Estimator'!$B$4,'Wind Proxy'!$B$8:$B$19,C2044)</x:f>
        <x:v>0.13739545997610514</x:v>
      </x:c>
    </x:row>
    <x:row r="2045">
      <x:c r="A2045" s="379" t="n">
        <x:v>47696</x:v>
      </x:c>
      <x:c r="B2045" s="380" t="n">
        <x:v>2030</x:v>
      </x:c>
      <x:c r="C2045" s="380" t="n">
        <x:v>8</x:v>
      </x:c>
      <x:c r="D2045" s="380" t="str">
        <x:v>Aug</x:v>
      </x:c>
      <x:c r="E2045" s="380" t="n">
        <x:v>1</x:v>
      </x:c>
      <x:c r="F2045" s="380" t="n">
        <x:v>4</x:v>
      </x:c>
      <x:c r="G2045" s="380" t="n">
        <x:f>--(F2045&lt;='Estimator'!$B$7)</x:f>
        <x:v>1</x:v>
      </x:c>
      <x:c r="H2045" s="381" t="n">
        <x:f>SUMIFS('Climate Data'!$G$7:$G$366,'Climate Data'!$A$7:$A$366,'Estimator'!$B$4,'Climate Data'!$B$7:$B$366,C2045)</x:f>
        <x:v>0.47274749721913234</x:v>
      </x:c>
      <x:c r="I2045" s="382" t="n">
        <x:f>SUMIFS('Climate Data'!$H$7:$H$366,'Climate Data'!$A$7:$A$366,'Estimator'!$B$4,'Climate Data'!$B$7:$B$366,C2045)</x:f>
        <x:v>7.9971764705882356</x:v>
      </x:c>
      <x:c r="J2045" s="381" t="n">
        <x:f>SUMIFS('Wind Proxy'!$H$8:$H$19,'Wind Proxy'!$A$8:$A$19,'Estimator'!$B$4,'Wind Proxy'!$B$8:$B$19,C2045)</x:f>
        <x:v>0.13739545997610514</x:v>
      </x:c>
    </x:row>
    <x:row r="2046">
      <x:c r="A2046" s="379" t="n">
        <x:v>47697</x:v>
      </x:c>
      <x:c r="B2046" s="380" t="n">
        <x:v>2030</x:v>
      </x:c>
      <x:c r="C2046" s="380" t="n">
        <x:v>8</x:v>
      </x:c>
      <x:c r="D2046" s="380" t="str">
        <x:v>Aug</x:v>
      </x:c>
      <x:c r="E2046" s="380" t="n">
        <x:v>2</x:v>
      </x:c>
      <x:c r="F2046" s="380" t="n">
        <x:v>5</x:v>
      </x:c>
      <x:c r="G2046" s="380" t="n">
        <x:f>--(F2046&lt;='Estimator'!$B$7)</x:f>
        <x:v>1</x:v>
      </x:c>
      <x:c r="H2046" s="381" t="n">
        <x:f>SUMIFS('Climate Data'!$G$7:$G$366,'Climate Data'!$A$7:$A$366,'Estimator'!$B$4,'Climate Data'!$B$7:$B$366,C2046)</x:f>
        <x:v>0.47274749721913234</x:v>
      </x:c>
      <x:c r="I2046" s="382" t="n">
        <x:f>SUMIFS('Climate Data'!$H$7:$H$366,'Climate Data'!$A$7:$A$366,'Estimator'!$B$4,'Climate Data'!$B$7:$B$366,C2046)</x:f>
        <x:v>7.9971764705882356</x:v>
      </x:c>
      <x:c r="J2046" s="381" t="n">
        <x:f>SUMIFS('Wind Proxy'!$H$8:$H$19,'Wind Proxy'!$A$8:$A$19,'Estimator'!$B$4,'Wind Proxy'!$B$8:$B$19,C2046)</x:f>
        <x:v>0.13739545997610514</x:v>
      </x:c>
    </x:row>
    <x:row r="2047">
      <x:c r="A2047" s="379" t="n">
        <x:v>47698</x:v>
      </x:c>
      <x:c r="B2047" s="380" t="n">
        <x:v>2030</x:v>
      </x:c>
      <x:c r="C2047" s="380" t="n">
        <x:v>8</x:v>
      </x:c>
      <x:c r="D2047" s="380" t="str">
        <x:v>Aug</x:v>
      </x:c>
      <x:c r="E2047" s="380" t="n">
        <x:v>3</x:v>
      </x:c>
      <x:c r="F2047" s="380" t="n">
        <x:v>6</x:v>
      </x:c>
      <x:c r="G2047" s="380" t="n">
        <x:f>--(F2047&lt;='Estimator'!$B$7)</x:f>
        <x:v>0</x:v>
      </x:c>
      <x:c r="H2047" s="381" t="n">
        <x:f>SUMIFS('Climate Data'!$G$7:$G$366,'Climate Data'!$A$7:$A$366,'Estimator'!$B$4,'Climate Data'!$B$7:$B$366,C2047)</x:f>
        <x:v>0.47274749721913234</x:v>
      </x:c>
      <x:c r="I2047" s="382" t="n">
        <x:f>SUMIFS('Climate Data'!$H$7:$H$366,'Climate Data'!$A$7:$A$366,'Estimator'!$B$4,'Climate Data'!$B$7:$B$366,C2047)</x:f>
        <x:v>7.9971764705882356</x:v>
      </x:c>
      <x:c r="J2047" s="381" t="n">
        <x:f>SUMIFS('Wind Proxy'!$H$8:$H$19,'Wind Proxy'!$A$8:$A$19,'Estimator'!$B$4,'Wind Proxy'!$B$8:$B$19,C2047)</x:f>
        <x:v>0.13739545997610514</x:v>
      </x:c>
    </x:row>
    <x:row r="2048">
      <x:c r="A2048" s="379" t="n">
        <x:v>47699</x:v>
      </x:c>
      <x:c r="B2048" s="380" t="n">
        <x:v>2030</x:v>
      </x:c>
      <x:c r="C2048" s="380" t="n">
        <x:v>8</x:v>
      </x:c>
      <x:c r="D2048" s="380" t="str">
        <x:v>Aug</x:v>
      </x:c>
      <x:c r="E2048" s="380" t="n">
        <x:v>4</x:v>
      </x:c>
      <x:c r="F2048" s="380" t="n">
        <x:v>7</x:v>
      </x:c>
      <x:c r="G2048" s="380" t="n">
        <x:f>--(F2048&lt;='Estimator'!$B$7)</x:f>
        <x:v>0</x:v>
      </x:c>
      <x:c r="H2048" s="381" t="n">
        <x:f>SUMIFS('Climate Data'!$G$7:$G$366,'Climate Data'!$A$7:$A$366,'Estimator'!$B$4,'Climate Data'!$B$7:$B$366,C2048)</x:f>
        <x:v>0.47274749721913234</x:v>
      </x:c>
      <x:c r="I2048" s="382" t="n">
        <x:f>SUMIFS('Climate Data'!$H$7:$H$366,'Climate Data'!$A$7:$A$366,'Estimator'!$B$4,'Climate Data'!$B$7:$B$366,C2048)</x:f>
        <x:v>7.9971764705882356</x:v>
      </x:c>
      <x:c r="J2048" s="381" t="n">
        <x:f>SUMIFS('Wind Proxy'!$H$8:$H$19,'Wind Proxy'!$A$8:$A$19,'Estimator'!$B$4,'Wind Proxy'!$B$8:$B$19,C2048)</x:f>
        <x:v>0.13739545997610514</x:v>
      </x:c>
    </x:row>
    <x:row r="2049">
      <x:c r="A2049" s="379" t="n">
        <x:v>47700</x:v>
      </x:c>
      <x:c r="B2049" s="380" t="n">
        <x:v>2030</x:v>
      </x:c>
      <x:c r="C2049" s="380" t="n">
        <x:v>8</x:v>
      </x:c>
      <x:c r="D2049" s="380" t="str">
        <x:v>Aug</x:v>
      </x:c>
      <x:c r="E2049" s="380" t="n">
        <x:v>5</x:v>
      </x:c>
      <x:c r="F2049" s="380" t="n">
        <x:v>1</x:v>
      </x:c>
      <x:c r="G2049" s="380" t="n">
        <x:f>--(F2049&lt;='Estimator'!$B$7)</x:f>
        <x:v>1</x:v>
      </x:c>
      <x:c r="H2049" s="381" t="n">
        <x:f>SUMIFS('Climate Data'!$G$7:$G$366,'Climate Data'!$A$7:$A$366,'Estimator'!$B$4,'Climate Data'!$B$7:$B$366,C2049)</x:f>
        <x:v>0.47274749721913234</x:v>
      </x:c>
      <x:c r="I2049" s="382" t="n">
        <x:f>SUMIFS('Climate Data'!$H$7:$H$366,'Climate Data'!$A$7:$A$366,'Estimator'!$B$4,'Climate Data'!$B$7:$B$366,C2049)</x:f>
        <x:v>7.9971764705882356</x:v>
      </x:c>
      <x:c r="J2049" s="381" t="n">
        <x:f>SUMIFS('Wind Proxy'!$H$8:$H$19,'Wind Proxy'!$A$8:$A$19,'Estimator'!$B$4,'Wind Proxy'!$B$8:$B$19,C2049)</x:f>
        <x:v>0.13739545997610514</x:v>
      </x:c>
    </x:row>
    <x:row r="2050">
      <x:c r="A2050" s="379" t="n">
        <x:v>47701</x:v>
      </x:c>
      <x:c r="B2050" s="380" t="n">
        <x:v>2030</x:v>
      </x:c>
      <x:c r="C2050" s="380" t="n">
        <x:v>8</x:v>
      </x:c>
      <x:c r="D2050" s="380" t="str">
        <x:v>Aug</x:v>
      </x:c>
      <x:c r="E2050" s="380" t="n">
        <x:v>6</x:v>
      </x:c>
      <x:c r="F2050" s="380" t="n">
        <x:v>2</x:v>
      </x:c>
      <x:c r="G2050" s="380" t="n">
        <x:f>--(F2050&lt;='Estimator'!$B$7)</x:f>
        <x:v>1</x:v>
      </x:c>
      <x:c r="H2050" s="381" t="n">
        <x:f>SUMIFS('Climate Data'!$G$7:$G$366,'Climate Data'!$A$7:$A$366,'Estimator'!$B$4,'Climate Data'!$B$7:$B$366,C2050)</x:f>
        <x:v>0.47274749721913234</x:v>
      </x:c>
      <x:c r="I2050" s="382" t="n">
        <x:f>SUMIFS('Climate Data'!$H$7:$H$366,'Climate Data'!$A$7:$A$366,'Estimator'!$B$4,'Climate Data'!$B$7:$B$366,C2050)</x:f>
        <x:v>7.9971764705882356</x:v>
      </x:c>
      <x:c r="J2050" s="381" t="n">
        <x:f>SUMIFS('Wind Proxy'!$H$8:$H$19,'Wind Proxy'!$A$8:$A$19,'Estimator'!$B$4,'Wind Proxy'!$B$8:$B$19,C2050)</x:f>
        <x:v>0.13739545997610514</x:v>
      </x:c>
    </x:row>
    <x:row r="2051">
      <x:c r="A2051" s="379" t="n">
        <x:v>47702</x:v>
      </x:c>
      <x:c r="B2051" s="380" t="n">
        <x:v>2030</x:v>
      </x:c>
      <x:c r="C2051" s="380" t="n">
        <x:v>8</x:v>
      </x:c>
      <x:c r="D2051" s="380" t="str">
        <x:v>Aug</x:v>
      </x:c>
      <x:c r="E2051" s="380" t="n">
        <x:v>7</x:v>
      </x:c>
      <x:c r="F2051" s="380" t="n">
        <x:v>3</x:v>
      </x:c>
      <x:c r="G2051" s="380" t="n">
        <x:f>--(F2051&lt;='Estimator'!$B$7)</x:f>
        <x:v>1</x:v>
      </x:c>
      <x:c r="H2051" s="381" t="n">
        <x:f>SUMIFS('Climate Data'!$G$7:$G$366,'Climate Data'!$A$7:$A$366,'Estimator'!$B$4,'Climate Data'!$B$7:$B$366,C2051)</x:f>
        <x:v>0.47274749721913234</x:v>
      </x:c>
      <x:c r="I2051" s="382" t="n">
        <x:f>SUMIFS('Climate Data'!$H$7:$H$366,'Climate Data'!$A$7:$A$366,'Estimator'!$B$4,'Climate Data'!$B$7:$B$366,C2051)</x:f>
        <x:v>7.9971764705882356</x:v>
      </x:c>
      <x:c r="J2051" s="381" t="n">
        <x:f>SUMIFS('Wind Proxy'!$H$8:$H$19,'Wind Proxy'!$A$8:$A$19,'Estimator'!$B$4,'Wind Proxy'!$B$8:$B$19,C2051)</x:f>
        <x:v>0.13739545997610514</x:v>
      </x:c>
    </x:row>
    <x:row r="2052">
      <x:c r="A2052" s="379" t="n">
        <x:v>47703</x:v>
      </x:c>
      <x:c r="B2052" s="380" t="n">
        <x:v>2030</x:v>
      </x:c>
      <x:c r="C2052" s="380" t="n">
        <x:v>8</x:v>
      </x:c>
      <x:c r="D2052" s="380" t="str">
        <x:v>Aug</x:v>
      </x:c>
      <x:c r="E2052" s="380" t="n">
        <x:v>8</x:v>
      </x:c>
      <x:c r="F2052" s="380" t="n">
        <x:v>4</x:v>
      </x:c>
      <x:c r="G2052" s="380" t="n">
        <x:f>--(F2052&lt;='Estimator'!$B$7)</x:f>
        <x:v>1</x:v>
      </x:c>
      <x:c r="H2052" s="381" t="n">
        <x:f>SUMIFS('Climate Data'!$G$7:$G$366,'Climate Data'!$A$7:$A$366,'Estimator'!$B$4,'Climate Data'!$B$7:$B$366,C2052)</x:f>
        <x:v>0.47274749721913234</x:v>
      </x:c>
      <x:c r="I2052" s="382" t="n">
        <x:f>SUMIFS('Climate Data'!$H$7:$H$366,'Climate Data'!$A$7:$A$366,'Estimator'!$B$4,'Climate Data'!$B$7:$B$366,C2052)</x:f>
        <x:v>7.9971764705882356</x:v>
      </x:c>
      <x:c r="J2052" s="381" t="n">
        <x:f>SUMIFS('Wind Proxy'!$H$8:$H$19,'Wind Proxy'!$A$8:$A$19,'Estimator'!$B$4,'Wind Proxy'!$B$8:$B$19,C2052)</x:f>
        <x:v>0.13739545997610514</x:v>
      </x:c>
    </x:row>
    <x:row r="2053">
      <x:c r="A2053" s="379" t="n">
        <x:v>47704</x:v>
      </x:c>
      <x:c r="B2053" s="380" t="n">
        <x:v>2030</x:v>
      </x:c>
      <x:c r="C2053" s="380" t="n">
        <x:v>8</x:v>
      </x:c>
      <x:c r="D2053" s="380" t="str">
        <x:v>Aug</x:v>
      </x:c>
      <x:c r="E2053" s="380" t="n">
        <x:v>9</x:v>
      </x:c>
      <x:c r="F2053" s="380" t="n">
        <x:v>5</x:v>
      </x:c>
      <x:c r="G2053" s="380" t="n">
        <x:f>--(F2053&lt;='Estimator'!$B$7)</x:f>
        <x:v>1</x:v>
      </x:c>
      <x:c r="H2053" s="381" t="n">
        <x:f>SUMIFS('Climate Data'!$G$7:$G$366,'Climate Data'!$A$7:$A$366,'Estimator'!$B$4,'Climate Data'!$B$7:$B$366,C2053)</x:f>
        <x:v>0.47274749721913234</x:v>
      </x:c>
      <x:c r="I2053" s="382" t="n">
        <x:f>SUMIFS('Climate Data'!$H$7:$H$366,'Climate Data'!$A$7:$A$366,'Estimator'!$B$4,'Climate Data'!$B$7:$B$366,C2053)</x:f>
        <x:v>7.9971764705882356</x:v>
      </x:c>
      <x:c r="J2053" s="381" t="n">
        <x:f>SUMIFS('Wind Proxy'!$H$8:$H$19,'Wind Proxy'!$A$8:$A$19,'Estimator'!$B$4,'Wind Proxy'!$B$8:$B$19,C2053)</x:f>
        <x:v>0.13739545997610514</x:v>
      </x:c>
    </x:row>
    <x:row r="2054">
      <x:c r="A2054" s="379" t="n">
        <x:v>47705</x:v>
      </x:c>
      <x:c r="B2054" s="380" t="n">
        <x:v>2030</x:v>
      </x:c>
      <x:c r="C2054" s="380" t="n">
        <x:v>8</x:v>
      </x:c>
      <x:c r="D2054" s="380" t="str">
        <x:v>Aug</x:v>
      </x:c>
      <x:c r="E2054" s="380" t="n">
        <x:v>10</x:v>
      </x:c>
      <x:c r="F2054" s="380" t="n">
        <x:v>6</x:v>
      </x:c>
      <x:c r="G2054" s="380" t="n">
        <x:f>--(F2054&lt;='Estimator'!$B$7)</x:f>
        <x:v>0</x:v>
      </x:c>
      <x:c r="H2054" s="381" t="n">
        <x:f>SUMIFS('Climate Data'!$G$7:$G$366,'Climate Data'!$A$7:$A$366,'Estimator'!$B$4,'Climate Data'!$B$7:$B$366,C2054)</x:f>
        <x:v>0.47274749721913234</x:v>
      </x:c>
      <x:c r="I2054" s="382" t="n">
        <x:f>SUMIFS('Climate Data'!$H$7:$H$366,'Climate Data'!$A$7:$A$366,'Estimator'!$B$4,'Climate Data'!$B$7:$B$366,C2054)</x:f>
        <x:v>7.9971764705882356</x:v>
      </x:c>
      <x:c r="J2054" s="381" t="n">
        <x:f>SUMIFS('Wind Proxy'!$H$8:$H$19,'Wind Proxy'!$A$8:$A$19,'Estimator'!$B$4,'Wind Proxy'!$B$8:$B$19,C2054)</x:f>
        <x:v>0.13739545997610514</x:v>
      </x:c>
    </x:row>
    <x:row r="2055">
      <x:c r="A2055" s="379" t="n">
        <x:v>47706</x:v>
      </x:c>
      <x:c r="B2055" s="380" t="n">
        <x:v>2030</x:v>
      </x:c>
      <x:c r="C2055" s="380" t="n">
        <x:v>8</x:v>
      </x:c>
      <x:c r="D2055" s="380" t="str">
        <x:v>Aug</x:v>
      </x:c>
      <x:c r="E2055" s="380" t="n">
        <x:v>11</x:v>
      </x:c>
      <x:c r="F2055" s="380" t="n">
        <x:v>7</x:v>
      </x:c>
      <x:c r="G2055" s="380" t="n">
        <x:f>--(F2055&lt;='Estimator'!$B$7)</x:f>
        <x:v>0</x:v>
      </x:c>
      <x:c r="H2055" s="381" t="n">
        <x:f>SUMIFS('Climate Data'!$G$7:$G$366,'Climate Data'!$A$7:$A$366,'Estimator'!$B$4,'Climate Data'!$B$7:$B$366,C2055)</x:f>
        <x:v>0.47274749721913234</x:v>
      </x:c>
      <x:c r="I2055" s="382" t="n">
        <x:f>SUMIFS('Climate Data'!$H$7:$H$366,'Climate Data'!$A$7:$A$366,'Estimator'!$B$4,'Climate Data'!$B$7:$B$366,C2055)</x:f>
        <x:v>7.9971764705882356</x:v>
      </x:c>
      <x:c r="J2055" s="381" t="n">
        <x:f>SUMIFS('Wind Proxy'!$H$8:$H$19,'Wind Proxy'!$A$8:$A$19,'Estimator'!$B$4,'Wind Proxy'!$B$8:$B$19,C2055)</x:f>
        <x:v>0.13739545997610514</x:v>
      </x:c>
    </x:row>
    <x:row r="2056">
      <x:c r="A2056" s="379" t="n">
        <x:v>47707</x:v>
      </x:c>
      <x:c r="B2056" s="380" t="n">
        <x:v>2030</x:v>
      </x:c>
      <x:c r="C2056" s="380" t="n">
        <x:v>8</x:v>
      </x:c>
      <x:c r="D2056" s="380" t="str">
        <x:v>Aug</x:v>
      </x:c>
      <x:c r="E2056" s="380" t="n">
        <x:v>12</x:v>
      </x:c>
      <x:c r="F2056" s="380" t="n">
        <x:v>1</x:v>
      </x:c>
      <x:c r="G2056" s="380" t="n">
        <x:f>--(F2056&lt;='Estimator'!$B$7)</x:f>
        <x:v>1</x:v>
      </x:c>
      <x:c r="H2056" s="381" t="n">
        <x:f>SUMIFS('Climate Data'!$G$7:$G$366,'Climate Data'!$A$7:$A$366,'Estimator'!$B$4,'Climate Data'!$B$7:$B$366,C2056)</x:f>
        <x:v>0.47274749721913234</x:v>
      </x:c>
      <x:c r="I2056" s="382" t="n">
        <x:f>SUMIFS('Climate Data'!$H$7:$H$366,'Climate Data'!$A$7:$A$366,'Estimator'!$B$4,'Climate Data'!$B$7:$B$366,C2056)</x:f>
        <x:v>7.9971764705882356</x:v>
      </x:c>
      <x:c r="J2056" s="381" t="n">
        <x:f>SUMIFS('Wind Proxy'!$H$8:$H$19,'Wind Proxy'!$A$8:$A$19,'Estimator'!$B$4,'Wind Proxy'!$B$8:$B$19,C2056)</x:f>
        <x:v>0.13739545997610514</x:v>
      </x:c>
    </x:row>
    <x:row r="2057">
      <x:c r="A2057" s="379" t="n">
        <x:v>47708</x:v>
      </x:c>
      <x:c r="B2057" s="380" t="n">
        <x:v>2030</x:v>
      </x:c>
      <x:c r="C2057" s="380" t="n">
        <x:v>8</x:v>
      </x:c>
      <x:c r="D2057" s="380" t="str">
        <x:v>Aug</x:v>
      </x:c>
      <x:c r="E2057" s="380" t="n">
        <x:v>13</x:v>
      </x:c>
      <x:c r="F2057" s="380" t="n">
        <x:v>2</x:v>
      </x:c>
      <x:c r="G2057" s="380" t="n">
        <x:f>--(F2057&lt;='Estimator'!$B$7)</x:f>
        <x:v>1</x:v>
      </x:c>
      <x:c r="H2057" s="381" t="n">
        <x:f>SUMIFS('Climate Data'!$G$7:$G$366,'Climate Data'!$A$7:$A$366,'Estimator'!$B$4,'Climate Data'!$B$7:$B$366,C2057)</x:f>
        <x:v>0.47274749721913234</x:v>
      </x:c>
      <x:c r="I2057" s="382" t="n">
        <x:f>SUMIFS('Climate Data'!$H$7:$H$366,'Climate Data'!$A$7:$A$366,'Estimator'!$B$4,'Climate Data'!$B$7:$B$366,C2057)</x:f>
        <x:v>7.9971764705882356</x:v>
      </x:c>
      <x:c r="J2057" s="381" t="n">
        <x:f>SUMIFS('Wind Proxy'!$H$8:$H$19,'Wind Proxy'!$A$8:$A$19,'Estimator'!$B$4,'Wind Proxy'!$B$8:$B$19,C2057)</x:f>
        <x:v>0.13739545997610514</x:v>
      </x:c>
    </x:row>
    <x:row r="2058">
      <x:c r="A2058" s="379" t="n">
        <x:v>47709</x:v>
      </x:c>
      <x:c r="B2058" s="380" t="n">
        <x:v>2030</x:v>
      </x:c>
      <x:c r="C2058" s="380" t="n">
        <x:v>8</x:v>
      </x:c>
      <x:c r="D2058" s="380" t="str">
        <x:v>Aug</x:v>
      </x:c>
      <x:c r="E2058" s="380" t="n">
        <x:v>14</x:v>
      </x:c>
      <x:c r="F2058" s="380" t="n">
        <x:v>3</x:v>
      </x:c>
      <x:c r="G2058" s="380" t="n">
        <x:f>--(F2058&lt;='Estimator'!$B$7)</x:f>
        <x:v>1</x:v>
      </x:c>
      <x:c r="H2058" s="381" t="n">
        <x:f>SUMIFS('Climate Data'!$G$7:$G$366,'Climate Data'!$A$7:$A$366,'Estimator'!$B$4,'Climate Data'!$B$7:$B$366,C2058)</x:f>
        <x:v>0.47274749721913234</x:v>
      </x:c>
      <x:c r="I2058" s="382" t="n">
        <x:f>SUMIFS('Climate Data'!$H$7:$H$366,'Climate Data'!$A$7:$A$366,'Estimator'!$B$4,'Climate Data'!$B$7:$B$366,C2058)</x:f>
        <x:v>7.9971764705882356</x:v>
      </x:c>
      <x:c r="J2058" s="381" t="n">
        <x:f>SUMIFS('Wind Proxy'!$H$8:$H$19,'Wind Proxy'!$A$8:$A$19,'Estimator'!$B$4,'Wind Proxy'!$B$8:$B$19,C2058)</x:f>
        <x:v>0.13739545997610514</x:v>
      </x:c>
    </x:row>
    <x:row r="2059">
      <x:c r="A2059" s="379" t="n">
        <x:v>47710</x:v>
      </x:c>
      <x:c r="B2059" s="380" t="n">
        <x:v>2030</x:v>
      </x:c>
      <x:c r="C2059" s="380" t="n">
        <x:v>8</x:v>
      </x:c>
      <x:c r="D2059" s="380" t="str">
        <x:v>Aug</x:v>
      </x:c>
      <x:c r="E2059" s="380" t="n">
        <x:v>15</x:v>
      </x:c>
      <x:c r="F2059" s="380" t="n">
        <x:v>4</x:v>
      </x:c>
      <x:c r="G2059" s="380" t="n">
        <x:f>--(F2059&lt;='Estimator'!$B$7)</x:f>
        <x:v>1</x:v>
      </x:c>
      <x:c r="H2059" s="381" t="n">
        <x:f>SUMIFS('Climate Data'!$G$7:$G$366,'Climate Data'!$A$7:$A$366,'Estimator'!$B$4,'Climate Data'!$B$7:$B$366,C2059)</x:f>
        <x:v>0.47274749721913234</x:v>
      </x:c>
      <x:c r="I2059" s="382" t="n">
        <x:f>SUMIFS('Climate Data'!$H$7:$H$366,'Climate Data'!$A$7:$A$366,'Estimator'!$B$4,'Climate Data'!$B$7:$B$366,C2059)</x:f>
        <x:v>7.9971764705882356</x:v>
      </x:c>
      <x:c r="J2059" s="381" t="n">
        <x:f>SUMIFS('Wind Proxy'!$H$8:$H$19,'Wind Proxy'!$A$8:$A$19,'Estimator'!$B$4,'Wind Proxy'!$B$8:$B$19,C2059)</x:f>
        <x:v>0.13739545997610514</x:v>
      </x:c>
    </x:row>
    <x:row r="2060">
      <x:c r="A2060" s="379" t="n">
        <x:v>47711</x:v>
      </x:c>
      <x:c r="B2060" s="380" t="n">
        <x:v>2030</x:v>
      </x:c>
      <x:c r="C2060" s="380" t="n">
        <x:v>8</x:v>
      </x:c>
      <x:c r="D2060" s="380" t="str">
        <x:v>Aug</x:v>
      </x:c>
      <x:c r="E2060" s="380" t="n">
        <x:v>16</x:v>
      </x:c>
      <x:c r="F2060" s="380" t="n">
        <x:v>5</x:v>
      </x:c>
      <x:c r="G2060" s="380" t="n">
        <x:f>--(F2060&lt;='Estimator'!$B$7)</x:f>
        <x:v>1</x:v>
      </x:c>
      <x:c r="H2060" s="381" t="n">
        <x:f>SUMIFS('Climate Data'!$G$7:$G$366,'Climate Data'!$A$7:$A$366,'Estimator'!$B$4,'Climate Data'!$B$7:$B$366,C2060)</x:f>
        <x:v>0.47274749721913234</x:v>
      </x:c>
      <x:c r="I2060" s="382" t="n">
        <x:f>SUMIFS('Climate Data'!$H$7:$H$366,'Climate Data'!$A$7:$A$366,'Estimator'!$B$4,'Climate Data'!$B$7:$B$366,C2060)</x:f>
        <x:v>7.9971764705882356</x:v>
      </x:c>
      <x:c r="J2060" s="381" t="n">
        <x:f>SUMIFS('Wind Proxy'!$H$8:$H$19,'Wind Proxy'!$A$8:$A$19,'Estimator'!$B$4,'Wind Proxy'!$B$8:$B$19,C2060)</x:f>
        <x:v>0.13739545997610514</x:v>
      </x:c>
    </x:row>
    <x:row r="2061">
      <x:c r="A2061" s="379" t="n">
        <x:v>47712</x:v>
      </x:c>
      <x:c r="B2061" s="380" t="n">
        <x:v>2030</x:v>
      </x:c>
      <x:c r="C2061" s="380" t="n">
        <x:v>8</x:v>
      </x:c>
      <x:c r="D2061" s="380" t="str">
        <x:v>Aug</x:v>
      </x:c>
      <x:c r="E2061" s="380" t="n">
        <x:v>17</x:v>
      </x:c>
      <x:c r="F2061" s="380" t="n">
        <x:v>6</x:v>
      </x:c>
      <x:c r="G2061" s="380" t="n">
        <x:f>--(F2061&lt;='Estimator'!$B$7)</x:f>
        <x:v>0</x:v>
      </x:c>
      <x:c r="H2061" s="381" t="n">
        <x:f>SUMIFS('Climate Data'!$G$7:$G$366,'Climate Data'!$A$7:$A$366,'Estimator'!$B$4,'Climate Data'!$B$7:$B$366,C2061)</x:f>
        <x:v>0.47274749721913234</x:v>
      </x:c>
      <x:c r="I2061" s="382" t="n">
        <x:f>SUMIFS('Climate Data'!$H$7:$H$366,'Climate Data'!$A$7:$A$366,'Estimator'!$B$4,'Climate Data'!$B$7:$B$366,C2061)</x:f>
        <x:v>7.9971764705882356</x:v>
      </x:c>
      <x:c r="J2061" s="381" t="n">
        <x:f>SUMIFS('Wind Proxy'!$H$8:$H$19,'Wind Proxy'!$A$8:$A$19,'Estimator'!$B$4,'Wind Proxy'!$B$8:$B$19,C2061)</x:f>
        <x:v>0.13739545997610514</x:v>
      </x:c>
    </x:row>
    <x:row r="2062">
      <x:c r="A2062" s="379" t="n">
        <x:v>47713</x:v>
      </x:c>
      <x:c r="B2062" s="380" t="n">
        <x:v>2030</x:v>
      </x:c>
      <x:c r="C2062" s="380" t="n">
        <x:v>8</x:v>
      </x:c>
      <x:c r="D2062" s="380" t="str">
        <x:v>Aug</x:v>
      </x:c>
      <x:c r="E2062" s="380" t="n">
        <x:v>18</x:v>
      </x:c>
      <x:c r="F2062" s="380" t="n">
        <x:v>7</x:v>
      </x:c>
      <x:c r="G2062" s="380" t="n">
        <x:f>--(F2062&lt;='Estimator'!$B$7)</x:f>
        <x:v>0</x:v>
      </x:c>
      <x:c r="H2062" s="381" t="n">
        <x:f>SUMIFS('Climate Data'!$G$7:$G$366,'Climate Data'!$A$7:$A$366,'Estimator'!$B$4,'Climate Data'!$B$7:$B$366,C2062)</x:f>
        <x:v>0.47274749721913234</x:v>
      </x:c>
      <x:c r="I2062" s="382" t="n">
        <x:f>SUMIFS('Climate Data'!$H$7:$H$366,'Climate Data'!$A$7:$A$366,'Estimator'!$B$4,'Climate Data'!$B$7:$B$366,C2062)</x:f>
        <x:v>7.9971764705882356</x:v>
      </x:c>
      <x:c r="J2062" s="381" t="n">
        <x:f>SUMIFS('Wind Proxy'!$H$8:$H$19,'Wind Proxy'!$A$8:$A$19,'Estimator'!$B$4,'Wind Proxy'!$B$8:$B$19,C2062)</x:f>
        <x:v>0.13739545997610514</x:v>
      </x:c>
    </x:row>
    <x:row r="2063">
      <x:c r="A2063" s="379" t="n">
        <x:v>47714</x:v>
      </x:c>
      <x:c r="B2063" s="380" t="n">
        <x:v>2030</x:v>
      </x:c>
      <x:c r="C2063" s="380" t="n">
        <x:v>8</x:v>
      </x:c>
      <x:c r="D2063" s="380" t="str">
        <x:v>Aug</x:v>
      </x:c>
      <x:c r="E2063" s="380" t="n">
        <x:v>19</x:v>
      </x:c>
      <x:c r="F2063" s="380" t="n">
        <x:v>1</x:v>
      </x:c>
      <x:c r="G2063" s="380" t="n">
        <x:f>--(F2063&lt;='Estimator'!$B$7)</x:f>
        <x:v>1</x:v>
      </x:c>
      <x:c r="H2063" s="381" t="n">
        <x:f>SUMIFS('Climate Data'!$G$7:$G$366,'Climate Data'!$A$7:$A$366,'Estimator'!$B$4,'Climate Data'!$B$7:$B$366,C2063)</x:f>
        <x:v>0.47274749721913234</x:v>
      </x:c>
      <x:c r="I2063" s="382" t="n">
        <x:f>SUMIFS('Climate Data'!$H$7:$H$366,'Climate Data'!$A$7:$A$366,'Estimator'!$B$4,'Climate Data'!$B$7:$B$366,C2063)</x:f>
        <x:v>7.9971764705882356</x:v>
      </x:c>
      <x:c r="J2063" s="381" t="n">
        <x:f>SUMIFS('Wind Proxy'!$H$8:$H$19,'Wind Proxy'!$A$8:$A$19,'Estimator'!$B$4,'Wind Proxy'!$B$8:$B$19,C2063)</x:f>
        <x:v>0.13739545997610514</x:v>
      </x:c>
    </x:row>
    <x:row r="2064">
      <x:c r="A2064" s="379" t="n">
        <x:v>47715</x:v>
      </x:c>
      <x:c r="B2064" s="380" t="n">
        <x:v>2030</x:v>
      </x:c>
      <x:c r="C2064" s="380" t="n">
        <x:v>8</x:v>
      </x:c>
      <x:c r="D2064" s="380" t="str">
        <x:v>Aug</x:v>
      </x:c>
      <x:c r="E2064" s="380" t="n">
        <x:v>20</x:v>
      </x:c>
      <x:c r="F2064" s="380" t="n">
        <x:v>2</x:v>
      </x:c>
      <x:c r="G2064" s="380" t="n">
        <x:f>--(F2064&lt;='Estimator'!$B$7)</x:f>
        <x:v>1</x:v>
      </x:c>
      <x:c r="H2064" s="381" t="n">
        <x:f>SUMIFS('Climate Data'!$G$7:$G$366,'Climate Data'!$A$7:$A$366,'Estimator'!$B$4,'Climate Data'!$B$7:$B$366,C2064)</x:f>
        <x:v>0.47274749721913234</x:v>
      </x:c>
      <x:c r="I2064" s="382" t="n">
        <x:f>SUMIFS('Climate Data'!$H$7:$H$366,'Climate Data'!$A$7:$A$366,'Estimator'!$B$4,'Climate Data'!$B$7:$B$366,C2064)</x:f>
        <x:v>7.9971764705882356</x:v>
      </x:c>
      <x:c r="J2064" s="381" t="n">
        <x:f>SUMIFS('Wind Proxy'!$H$8:$H$19,'Wind Proxy'!$A$8:$A$19,'Estimator'!$B$4,'Wind Proxy'!$B$8:$B$19,C2064)</x:f>
        <x:v>0.13739545997610514</x:v>
      </x:c>
    </x:row>
    <x:row r="2065">
      <x:c r="A2065" s="379" t="n">
        <x:v>47716</x:v>
      </x:c>
      <x:c r="B2065" s="380" t="n">
        <x:v>2030</x:v>
      </x:c>
      <x:c r="C2065" s="380" t="n">
        <x:v>8</x:v>
      </x:c>
      <x:c r="D2065" s="380" t="str">
        <x:v>Aug</x:v>
      </x:c>
      <x:c r="E2065" s="380" t="n">
        <x:v>21</x:v>
      </x:c>
      <x:c r="F2065" s="380" t="n">
        <x:v>3</x:v>
      </x:c>
      <x:c r="G2065" s="380" t="n">
        <x:f>--(F2065&lt;='Estimator'!$B$7)</x:f>
        <x:v>1</x:v>
      </x:c>
      <x:c r="H2065" s="381" t="n">
        <x:f>SUMIFS('Climate Data'!$G$7:$G$366,'Climate Data'!$A$7:$A$366,'Estimator'!$B$4,'Climate Data'!$B$7:$B$366,C2065)</x:f>
        <x:v>0.47274749721913234</x:v>
      </x:c>
      <x:c r="I2065" s="382" t="n">
        <x:f>SUMIFS('Climate Data'!$H$7:$H$366,'Climate Data'!$A$7:$A$366,'Estimator'!$B$4,'Climate Data'!$B$7:$B$366,C2065)</x:f>
        <x:v>7.9971764705882356</x:v>
      </x:c>
      <x:c r="J2065" s="381" t="n">
        <x:f>SUMIFS('Wind Proxy'!$H$8:$H$19,'Wind Proxy'!$A$8:$A$19,'Estimator'!$B$4,'Wind Proxy'!$B$8:$B$19,C2065)</x:f>
        <x:v>0.13739545997610514</x:v>
      </x:c>
    </x:row>
    <x:row r="2066">
      <x:c r="A2066" s="379" t="n">
        <x:v>47717</x:v>
      </x:c>
      <x:c r="B2066" s="380" t="n">
        <x:v>2030</x:v>
      </x:c>
      <x:c r="C2066" s="380" t="n">
        <x:v>8</x:v>
      </x:c>
      <x:c r="D2066" s="380" t="str">
        <x:v>Aug</x:v>
      </x:c>
      <x:c r="E2066" s="380" t="n">
        <x:v>22</x:v>
      </x:c>
      <x:c r="F2066" s="380" t="n">
        <x:v>4</x:v>
      </x:c>
      <x:c r="G2066" s="380" t="n">
        <x:f>--(F2066&lt;='Estimator'!$B$7)</x:f>
        <x:v>1</x:v>
      </x:c>
      <x:c r="H2066" s="381" t="n">
        <x:f>SUMIFS('Climate Data'!$G$7:$G$366,'Climate Data'!$A$7:$A$366,'Estimator'!$B$4,'Climate Data'!$B$7:$B$366,C2066)</x:f>
        <x:v>0.47274749721913234</x:v>
      </x:c>
      <x:c r="I2066" s="382" t="n">
        <x:f>SUMIFS('Climate Data'!$H$7:$H$366,'Climate Data'!$A$7:$A$366,'Estimator'!$B$4,'Climate Data'!$B$7:$B$366,C2066)</x:f>
        <x:v>7.9971764705882356</x:v>
      </x:c>
      <x:c r="J2066" s="381" t="n">
        <x:f>SUMIFS('Wind Proxy'!$H$8:$H$19,'Wind Proxy'!$A$8:$A$19,'Estimator'!$B$4,'Wind Proxy'!$B$8:$B$19,C2066)</x:f>
        <x:v>0.13739545997610514</x:v>
      </x:c>
    </x:row>
    <x:row r="2067">
      <x:c r="A2067" s="379" t="n">
        <x:v>47718</x:v>
      </x:c>
      <x:c r="B2067" s="380" t="n">
        <x:v>2030</x:v>
      </x:c>
      <x:c r="C2067" s="380" t="n">
        <x:v>8</x:v>
      </x:c>
      <x:c r="D2067" s="380" t="str">
        <x:v>Aug</x:v>
      </x:c>
      <x:c r="E2067" s="380" t="n">
        <x:v>23</x:v>
      </x:c>
      <x:c r="F2067" s="380" t="n">
        <x:v>5</x:v>
      </x:c>
      <x:c r="G2067" s="380" t="n">
        <x:f>--(F2067&lt;='Estimator'!$B$7)</x:f>
        <x:v>1</x:v>
      </x:c>
      <x:c r="H2067" s="381" t="n">
        <x:f>SUMIFS('Climate Data'!$G$7:$G$366,'Climate Data'!$A$7:$A$366,'Estimator'!$B$4,'Climate Data'!$B$7:$B$366,C2067)</x:f>
        <x:v>0.47274749721913234</x:v>
      </x:c>
      <x:c r="I2067" s="382" t="n">
        <x:f>SUMIFS('Climate Data'!$H$7:$H$366,'Climate Data'!$A$7:$A$366,'Estimator'!$B$4,'Climate Data'!$B$7:$B$366,C2067)</x:f>
        <x:v>7.9971764705882356</x:v>
      </x:c>
      <x:c r="J2067" s="381" t="n">
        <x:f>SUMIFS('Wind Proxy'!$H$8:$H$19,'Wind Proxy'!$A$8:$A$19,'Estimator'!$B$4,'Wind Proxy'!$B$8:$B$19,C2067)</x:f>
        <x:v>0.13739545997610514</x:v>
      </x:c>
    </x:row>
    <x:row r="2068">
      <x:c r="A2068" s="379" t="n">
        <x:v>47719</x:v>
      </x:c>
      <x:c r="B2068" s="380" t="n">
        <x:v>2030</x:v>
      </x:c>
      <x:c r="C2068" s="380" t="n">
        <x:v>8</x:v>
      </x:c>
      <x:c r="D2068" s="380" t="str">
        <x:v>Aug</x:v>
      </x:c>
      <x:c r="E2068" s="380" t="n">
        <x:v>24</x:v>
      </x:c>
      <x:c r="F2068" s="380" t="n">
        <x:v>6</x:v>
      </x:c>
      <x:c r="G2068" s="380" t="n">
        <x:f>--(F2068&lt;='Estimator'!$B$7)</x:f>
        <x:v>0</x:v>
      </x:c>
      <x:c r="H2068" s="381" t="n">
        <x:f>SUMIFS('Climate Data'!$G$7:$G$366,'Climate Data'!$A$7:$A$366,'Estimator'!$B$4,'Climate Data'!$B$7:$B$366,C2068)</x:f>
        <x:v>0.47274749721913234</x:v>
      </x:c>
      <x:c r="I2068" s="382" t="n">
        <x:f>SUMIFS('Climate Data'!$H$7:$H$366,'Climate Data'!$A$7:$A$366,'Estimator'!$B$4,'Climate Data'!$B$7:$B$366,C2068)</x:f>
        <x:v>7.9971764705882356</x:v>
      </x:c>
      <x:c r="J2068" s="381" t="n">
        <x:f>SUMIFS('Wind Proxy'!$H$8:$H$19,'Wind Proxy'!$A$8:$A$19,'Estimator'!$B$4,'Wind Proxy'!$B$8:$B$19,C2068)</x:f>
        <x:v>0.13739545997610514</x:v>
      </x:c>
    </x:row>
    <x:row r="2069">
      <x:c r="A2069" s="379" t="n">
        <x:v>47720</x:v>
      </x:c>
      <x:c r="B2069" s="380" t="n">
        <x:v>2030</x:v>
      </x:c>
      <x:c r="C2069" s="380" t="n">
        <x:v>8</x:v>
      </x:c>
      <x:c r="D2069" s="380" t="str">
        <x:v>Aug</x:v>
      </x:c>
      <x:c r="E2069" s="380" t="n">
        <x:v>25</x:v>
      </x:c>
      <x:c r="F2069" s="380" t="n">
        <x:v>7</x:v>
      </x:c>
      <x:c r="G2069" s="380" t="n">
        <x:f>--(F2069&lt;='Estimator'!$B$7)</x:f>
        <x:v>0</x:v>
      </x:c>
      <x:c r="H2069" s="381" t="n">
        <x:f>SUMIFS('Climate Data'!$G$7:$G$366,'Climate Data'!$A$7:$A$366,'Estimator'!$B$4,'Climate Data'!$B$7:$B$366,C2069)</x:f>
        <x:v>0.47274749721913234</x:v>
      </x:c>
      <x:c r="I2069" s="382" t="n">
        <x:f>SUMIFS('Climate Data'!$H$7:$H$366,'Climate Data'!$A$7:$A$366,'Estimator'!$B$4,'Climate Data'!$B$7:$B$366,C2069)</x:f>
        <x:v>7.9971764705882356</x:v>
      </x:c>
      <x:c r="J2069" s="381" t="n">
        <x:f>SUMIFS('Wind Proxy'!$H$8:$H$19,'Wind Proxy'!$A$8:$A$19,'Estimator'!$B$4,'Wind Proxy'!$B$8:$B$19,C2069)</x:f>
        <x:v>0.13739545997610514</x:v>
      </x:c>
    </x:row>
    <x:row r="2070">
      <x:c r="A2070" s="379" t="n">
        <x:v>47721</x:v>
      </x:c>
      <x:c r="B2070" s="380" t="n">
        <x:v>2030</x:v>
      </x:c>
      <x:c r="C2070" s="380" t="n">
        <x:v>8</x:v>
      </x:c>
      <x:c r="D2070" s="380" t="str">
        <x:v>Aug</x:v>
      </x:c>
      <x:c r="E2070" s="380" t="n">
        <x:v>26</x:v>
      </x:c>
      <x:c r="F2070" s="380" t="n">
        <x:v>1</x:v>
      </x:c>
      <x:c r="G2070" s="380" t="n">
        <x:f>--(F2070&lt;='Estimator'!$B$7)</x:f>
        <x:v>1</x:v>
      </x:c>
      <x:c r="H2070" s="381" t="n">
        <x:f>SUMIFS('Climate Data'!$G$7:$G$366,'Climate Data'!$A$7:$A$366,'Estimator'!$B$4,'Climate Data'!$B$7:$B$366,C2070)</x:f>
        <x:v>0.47274749721913234</x:v>
      </x:c>
      <x:c r="I2070" s="382" t="n">
        <x:f>SUMIFS('Climate Data'!$H$7:$H$366,'Climate Data'!$A$7:$A$366,'Estimator'!$B$4,'Climate Data'!$B$7:$B$366,C2070)</x:f>
        <x:v>7.9971764705882356</x:v>
      </x:c>
      <x:c r="J2070" s="381" t="n">
        <x:f>SUMIFS('Wind Proxy'!$H$8:$H$19,'Wind Proxy'!$A$8:$A$19,'Estimator'!$B$4,'Wind Proxy'!$B$8:$B$19,C2070)</x:f>
        <x:v>0.13739545997610514</x:v>
      </x:c>
    </x:row>
    <x:row r="2071">
      <x:c r="A2071" s="379" t="n">
        <x:v>47722</x:v>
      </x:c>
      <x:c r="B2071" s="380" t="n">
        <x:v>2030</x:v>
      </x:c>
      <x:c r="C2071" s="380" t="n">
        <x:v>8</x:v>
      </x:c>
      <x:c r="D2071" s="380" t="str">
        <x:v>Aug</x:v>
      </x:c>
      <x:c r="E2071" s="380" t="n">
        <x:v>27</x:v>
      </x:c>
      <x:c r="F2071" s="380" t="n">
        <x:v>2</x:v>
      </x:c>
      <x:c r="G2071" s="380" t="n">
        <x:f>--(F2071&lt;='Estimator'!$B$7)</x:f>
        <x:v>1</x:v>
      </x:c>
      <x:c r="H2071" s="381" t="n">
        <x:f>SUMIFS('Climate Data'!$G$7:$G$366,'Climate Data'!$A$7:$A$366,'Estimator'!$B$4,'Climate Data'!$B$7:$B$366,C2071)</x:f>
        <x:v>0.47274749721913234</x:v>
      </x:c>
      <x:c r="I2071" s="382" t="n">
        <x:f>SUMIFS('Climate Data'!$H$7:$H$366,'Climate Data'!$A$7:$A$366,'Estimator'!$B$4,'Climate Data'!$B$7:$B$366,C2071)</x:f>
        <x:v>7.9971764705882356</x:v>
      </x:c>
      <x:c r="J2071" s="381" t="n">
        <x:f>SUMIFS('Wind Proxy'!$H$8:$H$19,'Wind Proxy'!$A$8:$A$19,'Estimator'!$B$4,'Wind Proxy'!$B$8:$B$19,C2071)</x:f>
        <x:v>0.13739545997610514</x:v>
      </x:c>
    </x:row>
    <x:row r="2072">
      <x:c r="A2072" s="379" t="n">
        <x:v>47723</x:v>
      </x:c>
      <x:c r="B2072" s="380" t="n">
        <x:v>2030</x:v>
      </x:c>
      <x:c r="C2072" s="380" t="n">
        <x:v>8</x:v>
      </x:c>
      <x:c r="D2072" s="380" t="str">
        <x:v>Aug</x:v>
      </x:c>
      <x:c r="E2072" s="380" t="n">
        <x:v>28</x:v>
      </x:c>
      <x:c r="F2072" s="380" t="n">
        <x:v>3</x:v>
      </x:c>
      <x:c r="G2072" s="380" t="n">
        <x:f>--(F2072&lt;='Estimator'!$B$7)</x:f>
        <x:v>1</x:v>
      </x:c>
      <x:c r="H2072" s="381" t="n">
        <x:f>SUMIFS('Climate Data'!$G$7:$G$366,'Climate Data'!$A$7:$A$366,'Estimator'!$B$4,'Climate Data'!$B$7:$B$366,C2072)</x:f>
        <x:v>0.47274749721913234</x:v>
      </x:c>
      <x:c r="I2072" s="382" t="n">
        <x:f>SUMIFS('Climate Data'!$H$7:$H$366,'Climate Data'!$A$7:$A$366,'Estimator'!$B$4,'Climate Data'!$B$7:$B$366,C2072)</x:f>
        <x:v>7.9971764705882356</x:v>
      </x:c>
      <x:c r="J2072" s="381" t="n">
        <x:f>SUMIFS('Wind Proxy'!$H$8:$H$19,'Wind Proxy'!$A$8:$A$19,'Estimator'!$B$4,'Wind Proxy'!$B$8:$B$19,C2072)</x:f>
        <x:v>0.13739545997610514</x:v>
      </x:c>
    </x:row>
    <x:row r="2073">
      <x:c r="A2073" s="379" t="n">
        <x:v>47724</x:v>
      </x:c>
      <x:c r="B2073" s="380" t="n">
        <x:v>2030</x:v>
      </x:c>
      <x:c r="C2073" s="380" t="n">
        <x:v>8</x:v>
      </x:c>
      <x:c r="D2073" s="380" t="str">
        <x:v>Aug</x:v>
      </x:c>
      <x:c r="E2073" s="380" t="n">
        <x:v>29</x:v>
      </x:c>
      <x:c r="F2073" s="380" t="n">
        <x:v>4</x:v>
      </x:c>
      <x:c r="G2073" s="380" t="n">
        <x:f>--(F2073&lt;='Estimator'!$B$7)</x:f>
        <x:v>1</x:v>
      </x:c>
      <x:c r="H2073" s="381" t="n">
        <x:f>SUMIFS('Climate Data'!$G$7:$G$366,'Climate Data'!$A$7:$A$366,'Estimator'!$B$4,'Climate Data'!$B$7:$B$366,C2073)</x:f>
        <x:v>0.47274749721913234</x:v>
      </x:c>
      <x:c r="I2073" s="382" t="n">
        <x:f>SUMIFS('Climate Data'!$H$7:$H$366,'Climate Data'!$A$7:$A$366,'Estimator'!$B$4,'Climate Data'!$B$7:$B$366,C2073)</x:f>
        <x:v>7.9971764705882356</x:v>
      </x:c>
      <x:c r="J2073" s="381" t="n">
        <x:f>SUMIFS('Wind Proxy'!$H$8:$H$19,'Wind Proxy'!$A$8:$A$19,'Estimator'!$B$4,'Wind Proxy'!$B$8:$B$19,C2073)</x:f>
        <x:v>0.13739545997610514</x:v>
      </x:c>
    </x:row>
    <x:row r="2074">
      <x:c r="A2074" s="379" t="n">
        <x:v>47725</x:v>
      </x:c>
      <x:c r="B2074" s="380" t="n">
        <x:v>2030</x:v>
      </x:c>
      <x:c r="C2074" s="380" t="n">
        <x:v>8</x:v>
      </x:c>
      <x:c r="D2074" s="380" t="str">
        <x:v>Aug</x:v>
      </x:c>
      <x:c r="E2074" s="380" t="n">
        <x:v>30</x:v>
      </x:c>
      <x:c r="F2074" s="380" t="n">
        <x:v>5</x:v>
      </x:c>
      <x:c r="G2074" s="380" t="n">
        <x:f>--(F2074&lt;='Estimator'!$B$7)</x:f>
        <x:v>1</x:v>
      </x:c>
      <x:c r="H2074" s="381" t="n">
        <x:f>SUMIFS('Climate Data'!$G$7:$G$366,'Climate Data'!$A$7:$A$366,'Estimator'!$B$4,'Climate Data'!$B$7:$B$366,C2074)</x:f>
        <x:v>0.47274749721913234</x:v>
      </x:c>
      <x:c r="I2074" s="382" t="n">
        <x:f>SUMIFS('Climate Data'!$H$7:$H$366,'Climate Data'!$A$7:$A$366,'Estimator'!$B$4,'Climate Data'!$B$7:$B$366,C2074)</x:f>
        <x:v>7.9971764705882356</x:v>
      </x:c>
      <x:c r="J2074" s="381" t="n">
        <x:f>SUMIFS('Wind Proxy'!$H$8:$H$19,'Wind Proxy'!$A$8:$A$19,'Estimator'!$B$4,'Wind Proxy'!$B$8:$B$19,C2074)</x:f>
        <x:v>0.13739545997610514</x:v>
      </x:c>
    </x:row>
    <x:row r="2075">
      <x:c r="A2075" s="379" t="n">
        <x:v>47726</x:v>
      </x:c>
      <x:c r="B2075" s="380" t="n">
        <x:v>2030</x:v>
      </x:c>
      <x:c r="C2075" s="380" t="n">
        <x:v>8</x:v>
      </x:c>
      <x:c r="D2075" s="380" t="str">
        <x:v>Aug</x:v>
      </x:c>
      <x:c r="E2075" s="380" t="n">
        <x:v>31</x:v>
      </x:c>
      <x:c r="F2075" s="380" t="n">
        <x:v>6</x:v>
      </x:c>
      <x:c r="G2075" s="380" t="n">
        <x:f>--(F2075&lt;='Estimator'!$B$7)</x:f>
        <x:v>0</x:v>
      </x:c>
      <x:c r="H2075" s="381" t="n">
        <x:f>SUMIFS('Climate Data'!$G$7:$G$366,'Climate Data'!$A$7:$A$366,'Estimator'!$B$4,'Climate Data'!$B$7:$B$366,C2075)</x:f>
        <x:v>0.47274749721913234</x:v>
      </x:c>
      <x:c r="I2075" s="382" t="n">
        <x:f>SUMIFS('Climate Data'!$H$7:$H$366,'Climate Data'!$A$7:$A$366,'Estimator'!$B$4,'Climate Data'!$B$7:$B$366,C2075)</x:f>
        <x:v>7.9971764705882356</x:v>
      </x:c>
      <x:c r="J2075" s="381" t="n">
        <x:f>SUMIFS('Wind Proxy'!$H$8:$H$19,'Wind Proxy'!$A$8:$A$19,'Estimator'!$B$4,'Wind Proxy'!$B$8:$B$19,C2075)</x:f>
        <x:v>0.13739545997610514</x:v>
      </x:c>
    </x:row>
    <x:row r="2076">
      <x:c r="A2076" s="379" t="n">
        <x:v>47727</x:v>
      </x:c>
      <x:c r="B2076" s="380" t="n">
        <x:v>2030</x:v>
      </x:c>
      <x:c r="C2076" s="380" t="n">
        <x:v>9</x:v>
      </x:c>
      <x:c r="D2076" s="380" t="str">
        <x:v>Sep</x:v>
      </x:c>
      <x:c r="E2076" s="380" t="n">
        <x:v>1</x:v>
      </x:c>
      <x:c r="F2076" s="380" t="n">
        <x:v>7</x:v>
      </x:c>
      <x:c r="G2076" s="380" t="n">
        <x:f>--(F2076&lt;='Estimator'!$B$7)</x:f>
        <x:v>0</x:v>
      </x:c>
      <x:c r="H2076" s="381" t="n">
        <x:f>SUMIFS('Climate Data'!$G$7:$G$366,'Climate Data'!$A$7:$A$366,'Estimator'!$B$4,'Climate Data'!$B$7:$B$366,C2076)</x:f>
        <x:v>0.4160919540229885</x:v>
      </x:c>
      <x:c r="I2076" s="382" t="n">
        <x:f>SUMIFS('Climate Data'!$H$7:$H$366,'Climate Data'!$A$7:$A$366,'Estimator'!$B$4,'Climate Data'!$B$7:$B$366,C2076)</x:f>
        <x:v>8.019060773480662</x:v>
      </x:c>
      <x:c r="J2076" s="381" t="n">
        <x:f>SUMIFS('Wind Proxy'!$H$8:$H$19,'Wind Proxy'!$A$8:$A$19,'Estimator'!$B$4,'Wind Proxy'!$B$8:$B$19,C2076)</x:f>
        <x:v>0.22222222222222224</x:v>
      </x:c>
    </x:row>
    <x:row r="2077">
      <x:c r="A2077" s="379" t="n">
        <x:v>47728</x:v>
      </x:c>
      <x:c r="B2077" s="380" t="n">
        <x:v>2030</x:v>
      </x:c>
      <x:c r="C2077" s="380" t="n">
        <x:v>9</x:v>
      </x:c>
      <x:c r="D2077" s="380" t="str">
        <x:v>Sep</x:v>
      </x:c>
      <x:c r="E2077" s="380" t="n">
        <x:v>2</x:v>
      </x:c>
      <x:c r="F2077" s="380" t="n">
        <x:v>1</x:v>
      </x:c>
      <x:c r="G2077" s="380" t="n">
        <x:f>--(F2077&lt;='Estimator'!$B$7)</x:f>
        <x:v>1</x:v>
      </x:c>
      <x:c r="H2077" s="381" t="n">
        <x:f>SUMIFS('Climate Data'!$G$7:$G$366,'Climate Data'!$A$7:$A$366,'Estimator'!$B$4,'Climate Data'!$B$7:$B$366,C2077)</x:f>
        <x:v>0.4160919540229885</x:v>
      </x:c>
      <x:c r="I2077" s="382" t="n">
        <x:f>SUMIFS('Climate Data'!$H$7:$H$366,'Climate Data'!$A$7:$A$366,'Estimator'!$B$4,'Climate Data'!$B$7:$B$366,C2077)</x:f>
        <x:v>8.019060773480662</x:v>
      </x:c>
      <x:c r="J2077" s="381" t="n">
        <x:f>SUMIFS('Wind Proxy'!$H$8:$H$19,'Wind Proxy'!$A$8:$A$19,'Estimator'!$B$4,'Wind Proxy'!$B$8:$B$19,C2077)</x:f>
        <x:v>0.22222222222222224</x:v>
      </x:c>
    </x:row>
    <x:row r="2078">
      <x:c r="A2078" s="379" t="n">
        <x:v>47729</x:v>
      </x:c>
      <x:c r="B2078" s="380" t="n">
        <x:v>2030</x:v>
      </x:c>
      <x:c r="C2078" s="380" t="n">
        <x:v>9</x:v>
      </x:c>
      <x:c r="D2078" s="380" t="str">
        <x:v>Sep</x:v>
      </x:c>
      <x:c r="E2078" s="380" t="n">
        <x:v>3</x:v>
      </x:c>
      <x:c r="F2078" s="380" t="n">
        <x:v>2</x:v>
      </x:c>
      <x:c r="G2078" s="380" t="n">
        <x:f>--(F2078&lt;='Estimator'!$B$7)</x:f>
        <x:v>1</x:v>
      </x:c>
      <x:c r="H2078" s="381" t="n">
        <x:f>SUMIFS('Climate Data'!$G$7:$G$366,'Climate Data'!$A$7:$A$366,'Estimator'!$B$4,'Climate Data'!$B$7:$B$366,C2078)</x:f>
        <x:v>0.4160919540229885</x:v>
      </x:c>
      <x:c r="I2078" s="382" t="n">
        <x:f>SUMIFS('Climate Data'!$H$7:$H$366,'Climate Data'!$A$7:$A$366,'Estimator'!$B$4,'Climate Data'!$B$7:$B$366,C2078)</x:f>
        <x:v>8.019060773480662</x:v>
      </x:c>
      <x:c r="J2078" s="381" t="n">
        <x:f>SUMIFS('Wind Proxy'!$H$8:$H$19,'Wind Proxy'!$A$8:$A$19,'Estimator'!$B$4,'Wind Proxy'!$B$8:$B$19,C2078)</x:f>
        <x:v>0.22222222222222224</x:v>
      </x:c>
    </x:row>
    <x:row r="2079">
      <x:c r="A2079" s="379" t="n">
        <x:v>47730</x:v>
      </x:c>
      <x:c r="B2079" s="380" t="n">
        <x:v>2030</x:v>
      </x:c>
      <x:c r="C2079" s="380" t="n">
        <x:v>9</x:v>
      </x:c>
      <x:c r="D2079" s="380" t="str">
        <x:v>Sep</x:v>
      </x:c>
      <x:c r="E2079" s="380" t="n">
        <x:v>4</x:v>
      </x:c>
      <x:c r="F2079" s="380" t="n">
        <x:v>3</x:v>
      </x:c>
      <x:c r="G2079" s="380" t="n">
        <x:f>--(F2079&lt;='Estimator'!$B$7)</x:f>
        <x:v>1</x:v>
      </x:c>
      <x:c r="H2079" s="381" t="n">
        <x:f>SUMIFS('Climate Data'!$G$7:$G$366,'Climate Data'!$A$7:$A$366,'Estimator'!$B$4,'Climate Data'!$B$7:$B$366,C2079)</x:f>
        <x:v>0.4160919540229885</x:v>
      </x:c>
      <x:c r="I2079" s="382" t="n">
        <x:f>SUMIFS('Climate Data'!$H$7:$H$366,'Climate Data'!$A$7:$A$366,'Estimator'!$B$4,'Climate Data'!$B$7:$B$366,C2079)</x:f>
        <x:v>8.019060773480662</x:v>
      </x:c>
      <x:c r="J2079" s="381" t="n">
        <x:f>SUMIFS('Wind Proxy'!$H$8:$H$19,'Wind Proxy'!$A$8:$A$19,'Estimator'!$B$4,'Wind Proxy'!$B$8:$B$19,C2079)</x:f>
        <x:v>0.22222222222222224</x:v>
      </x:c>
    </x:row>
    <x:row r="2080">
      <x:c r="A2080" s="379" t="n">
        <x:v>47731</x:v>
      </x:c>
      <x:c r="B2080" s="380" t="n">
        <x:v>2030</x:v>
      </x:c>
      <x:c r="C2080" s="380" t="n">
        <x:v>9</x:v>
      </x:c>
      <x:c r="D2080" s="380" t="str">
        <x:v>Sep</x:v>
      </x:c>
      <x:c r="E2080" s="380" t="n">
        <x:v>5</x:v>
      </x:c>
      <x:c r="F2080" s="380" t="n">
        <x:v>4</x:v>
      </x:c>
      <x:c r="G2080" s="380" t="n">
        <x:f>--(F2080&lt;='Estimator'!$B$7)</x:f>
        <x:v>1</x:v>
      </x:c>
      <x:c r="H2080" s="381" t="n">
        <x:f>SUMIFS('Climate Data'!$G$7:$G$366,'Climate Data'!$A$7:$A$366,'Estimator'!$B$4,'Climate Data'!$B$7:$B$366,C2080)</x:f>
        <x:v>0.4160919540229885</x:v>
      </x:c>
      <x:c r="I2080" s="382" t="n">
        <x:f>SUMIFS('Climate Data'!$H$7:$H$366,'Climate Data'!$A$7:$A$366,'Estimator'!$B$4,'Climate Data'!$B$7:$B$366,C2080)</x:f>
        <x:v>8.019060773480662</x:v>
      </x:c>
      <x:c r="J2080" s="381" t="n">
        <x:f>SUMIFS('Wind Proxy'!$H$8:$H$19,'Wind Proxy'!$A$8:$A$19,'Estimator'!$B$4,'Wind Proxy'!$B$8:$B$19,C2080)</x:f>
        <x:v>0.22222222222222224</x:v>
      </x:c>
    </x:row>
    <x:row r="2081">
      <x:c r="A2081" s="379" t="n">
        <x:v>47732</x:v>
      </x:c>
      <x:c r="B2081" s="380" t="n">
        <x:v>2030</x:v>
      </x:c>
      <x:c r="C2081" s="380" t="n">
        <x:v>9</x:v>
      </x:c>
      <x:c r="D2081" s="380" t="str">
        <x:v>Sep</x:v>
      </x:c>
      <x:c r="E2081" s="380" t="n">
        <x:v>6</x:v>
      </x:c>
      <x:c r="F2081" s="380" t="n">
        <x:v>5</x:v>
      </x:c>
      <x:c r="G2081" s="380" t="n">
        <x:f>--(F2081&lt;='Estimator'!$B$7)</x:f>
        <x:v>1</x:v>
      </x:c>
      <x:c r="H2081" s="381" t="n">
        <x:f>SUMIFS('Climate Data'!$G$7:$G$366,'Climate Data'!$A$7:$A$366,'Estimator'!$B$4,'Climate Data'!$B$7:$B$366,C2081)</x:f>
        <x:v>0.4160919540229885</x:v>
      </x:c>
      <x:c r="I2081" s="382" t="n">
        <x:f>SUMIFS('Climate Data'!$H$7:$H$366,'Climate Data'!$A$7:$A$366,'Estimator'!$B$4,'Climate Data'!$B$7:$B$366,C2081)</x:f>
        <x:v>8.019060773480662</x:v>
      </x:c>
      <x:c r="J2081" s="381" t="n">
        <x:f>SUMIFS('Wind Proxy'!$H$8:$H$19,'Wind Proxy'!$A$8:$A$19,'Estimator'!$B$4,'Wind Proxy'!$B$8:$B$19,C2081)</x:f>
        <x:v>0.22222222222222224</x:v>
      </x:c>
    </x:row>
    <x:row r="2082">
      <x:c r="A2082" s="379" t="n">
        <x:v>47733</x:v>
      </x:c>
      <x:c r="B2082" s="380" t="n">
        <x:v>2030</x:v>
      </x:c>
      <x:c r="C2082" s="380" t="n">
        <x:v>9</x:v>
      </x:c>
      <x:c r="D2082" s="380" t="str">
        <x:v>Sep</x:v>
      </x:c>
      <x:c r="E2082" s="380" t="n">
        <x:v>7</x:v>
      </x:c>
      <x:c r="F2082" s="380" t="n">
        <x:v>6</x:v>
      </x:c>
      <x:c r="G2082" s="380" t="n">
        <x:f>--(F2082&lt;='Estimator'!$B$7)</x:f>
        <x:v>0</x:v>
      </x:c>
      <x:c r="H2082" s="381" t="n">
        <x:f>SUMIFS('Climate Data'!$G$7:$G$366,'Climate Data'!$A$7:$A$366,'Estimator'!$B$4,'Climate Data'!$B$7:$B$366,C2082)</x:f>
        <x:v>0.4160919540229885</x:v>
      </x:c>
      <x:c r="I2082" s="382" t="n">
        <x:f>SUMIFS('Climate Data'!$H$7:$H$366,'Climate Data'!$A$7:$A$366,'Estimator'!$B$4,'Climate Data'!$B$7:$B$366,C2082)</x:f>
        <x:v>8.019060773480662</x:v>
      </x:c>
      <x:c r="J2082" s="381" t="n">
        <x:f>SUMIFS('Wind Proxy'!$H$8:$H$19,'Wind Proxy'!$A$8:$A$19,'Estimator'!$B$4,'Wind Proxy'!$B$8:$B$19,C2082)</x:f>
        <x:v>0.22222222222222224</x:v>
      </x:c>
    </x:row>
    <x:row r="2083">
      <x:c r="A2083" s="379" t="n">
        <x:v>47734</x:v>
      </x:c>
      <x:c r="B2083" s="380" t="n">
        <x:v>2030</x:v>
      </x:c>
      <x:c r="C2083" s="380" t="n">
        <x:v>9</x:v>
      </x:c>
      <x:c r="D2083" s="380" t="str">
        <x:v>Sep</x:v>
      </x:c>
      <x:c r="E2083" s="380" t="n">
        <x:v>8</x:v>
      </x:c>
      <x:c r="F2083" s="380" t="n">
        <x:v>7</x:v>
      </x:c>
      <x:c r="G2083" s="380" t="n">
        <x:f>--(F2083&lt;='Estimator'!$B$7)</x:f>
        <x:v>0</x:v>
      </x:c>
      <x:c r="H2083" s="381" t="n">
        <x:f>SUMIFS('Climate Data'!$G$7:$G$366,'Climate Data'!$A$7:$A$366,'Estimator'!$B$4,'Climate Data'!$B$7:$B$366,C2083)</x:f>
        <x:v>0.4160919540229885</x:v>
      </x:c>
      <x:c r="I2083" s="382" t="n">
        <x:f>SUMIFS('Climate Data'!$H$7:$H$366,'Climate Data'!$A$7:$A$366,'Estimator'!$B$4,'Climate Data'!$B$7:$B$366,C2083)</x:f>
        <x:v>8.019060773480662</x:v>
      </x:c>
      <x:c r="J2083" s="381" t="n">
        <x:f>SUMIFS('Wind Proxy'!$H$8:$H$19,'Wind Proxy'!$A$8:$A$19,'Estimator'!$B$4,'Wind Proxy'!$B$8:$B$19,C2083)</x:f>
        <x:v>0.22222222222222224</x:v>
      </x:c>
    </x:row>
    <x:row r="2084">
      <x:c r="A2084" s="379" t="n">
        <x:v>47735</x:v>
      </x:c>
      <x:c r="B2084" s="380" t="n">
        <x:v>2030</x:v>
      </x:c>
      <x:c r="C2084" s="380" t="n">
        <x:v>9</x:v>
      </x:c>
      <x:c r="D2084" s="380" t="str">
        <x:v>Sep</x:v>
      </x:c>
      <x:c r="E2084" s="380" t="n">
        <x:v>9</x:v>
      </x:c>
      <x:c r="F2084" s="380" t="n">
        <x:v>1</x:v>
      </x:c>
      <x:c r="G2084" s="380" t="n">
        <x:f>--(F2084&lt;='Estimator'!$B$7)</x:f>
        <x:v>1</x:v>
      </x:c>
      <x:c r="H2084" s="381" t="n">
        <x:f>SUMIFS('Climate Data'!$G$7:$G$366,'Climate Data'!$A$7:$A$366,'Estimator'!$B$4,'Climate Data'!$B$7:$B$366,C2084)</x:f>
        <x:v>0.4160919540229885</x:v>
      </x:c>
      <x:c r="I2084" s="382" t="n">
        <x:f>SUMIFS('Climate Data'!$H$7:$H$366,'Climate Data'!$A$7:$A$366,'Estimator'!$B$4,'Climate Data'!$B$7:$B$366,C2084)</x:f>
        <x:v>8.019060773480662</x:v>
      </x:c>
      <x:c r="J2084" s="381" t="n">
        <x:f>SUMIFS('Wind Proxy'!$H$8:$H$19,'Wind Proxy'!$A$8:$A$19,'Estimator'!$B$4,'Wind Proxy'!$B$8:$B$19,C2084)</x:f>
        <x:v>0.22222222222222224</x:v>
      </x:c>
    </x:row>
    <x:row r="2085">
      <x:c r="A2085" s="379" t="n">
        <x:v>47736</x:v>
      </x:c>
      <x:c r="B2085" s="380" t="n">
        <x:v>2030</x:v>
      </x:c>
      <x:c r="C2085" s="380" t="n">
        <x:v>9</x:v>
      </x:c>
      <x:c r="D2085" s="380" t="str">
        <x:v>Sep</x:v>
      </x:c>
      <x:c r="E2085" s="380" t="n">
        <x:v>10</x:v>
      </x:c>
      <x:c r="F2085" s="380" t="n">
        <x:v>2</x:v>
      </x:c>
      <x:c r="G2085" s="380" t="n">
        <x:f>--(F2085&lt;='Estimator'!$B$7)</x:f>
        <x:v>1</x:v>
      </x:c>
      <x:c r="H2085" s="381" t="n">
        <x:f>SUMIFS('Climate Data'!$G$7:$G$366,'Climate Data'!$A$7:$A$366,'Estimator'!$B$4,'Climate Data'!$B$7:$B$366,C2085)</x:f>
        <x:v>0.4160919540229885</x:v>
      </x:c>
      <x:c r="I2085" s="382" t="n">
        <x:f>SUMIFS('Climate Data'!$H$7:$H$366,'Climate Data'!$A$7:$A$366,'Estimator'!$B$4,'Climate Data'!$B$7:$B$366,C2085)</x:f>
        <x:v>8.019060773480662</x:v>
      </x:c>
      <x:c r="J2085" s="381" t="n">
        <x:f>SUMIFS('Wind Proxy'!$H$8:$H$19,'Wind Proxy'!$A$8:$A$19,'Estimator'!$B$4,'Wind Proxy'!$B$8:$B$19,C2085)</x:f>
        <x:v>0.22222222222222224</x:v>
      </x:c>
    </x:row>
    <x:row r="2086">
      <x:c r="A2086" s="379" t="n">
        <x:v>47737</x:v>
      </x:c>
      <x:c r="B2086" s="380" t="n">
        <x:v>2030</x:v>
      </x:c>
      <x:c r="C2086" s="380" t="n">
        <x:v>9</x:v>
      </x:c>
      <x:c r="D2086" s="380" t="str">
        <x:v>Sep</x:v>
      </x:c>
      <x:c r="E2086" s="380" t="n">
        <x:v>11</x:v>
      </x:c>
      <x:c r="F2086" s="380" t="n">
        <x:v>3</x:v>
      </x:c>
      <x:c r="G2086" s="380" t="n">
        <x:f>--(F2086&lt;='Estimator'!$B$7)</x:f>
        <x:v>1</x:v>
      </x:c>
      <x:c r="H2086" s="381" t="n">
        <x:f>SUMIFS('Climate Data'!$G$7:$G$366,'Climate Data'!$A$7:$A$366,'Estimator'!$B$4,'Climate Data'!$B$7:$B$366,C2086)</x:f>
        <x:v>0.4160919540229885</x:v>
      </x:c>
      <x:c r="I2086" s="382" t="n">
        <x:f>SUMIFS('Climate Data'!$H$7:$H$366,'Climate Data'!$A$7:$A$366,'Estimator'!$B$4,'Climate Data'!$B$7:$B$366,C2086)</x:f>
        <x:v>8.019060773480662</x:v>
      </x:c>
      <x:c r="J2086" s="381" t="n">
        <x:f>SUMIFS('Wind Proxy'!$H$8:$H$19,'Wind Proxy'!$A$8:$A$19,'Estimator'!$B$4,'Wind Proxy'!$B$8:$B$19,C2086)</x:f>
        <x:v>0.22222222222222224</x:v>
      </x:c>
    </x:row>
    <x:row r="2087">
      <x:c r="A2087" s="379" t="n">
        <x:v>47738</x:v>
      </x:c>
      <x:c r="B2087" s="380" t="n">
        <x:v>2030</x:v>
      </x:c>
      <x:c r="C2087" s="380" t="n">
        <x:v>9</x:v>
      </x:c>
      <x:c r="D2087" s="380" t="str">
        <x:v>Sep</x:v>
      </x:c>
      <x:c r="E2087" s="380" t="n">
        <x:v>12</x:v>
      </x:c>
      <x:c r="F2087" s="380" t="n">
        <x:v>4</x:v>
      </x:c>
      <x:c r="G2087" s="380" t="n">
        <x:f>--(F2087&lt;='Estimator'!$B$7)</x:f>
        <x:v>1</x:v>
      </x:c>
      <x:c r="H2087" s="381" t="n">
        <x:f>SUMIFS('Climate Data'!$G$7:$G$366,'Climate Data'!$A$7:$A$366,'Estimator'!$B$4,'Climate Data'!$B$7:$B$366,C2087)</x:f>
        <x:v>0.4160919540229885</x:v>
      </x:c>
      <x:c r="I2087" s="382" t="n">
        <x:f>SUMIFS('Climate Data'!$H$7:$H$366,'Climate Data'!$A$7:$A$366,'Estimator'!$B$4,'Climate Data'!$B$7:$B$366,C2087)</x:f>
        <x:v>8.019060773480662</x:v>
      </x:c>
      <x:c r="J2087" s="381" t="n">
        <x:f>SUMIFS('Wind Proxy'!$H$8:$H$19,'Wind Proxy'!$A$8:$A$19,'Estimator'!$B$4,'Wind Proxy'!$B$8:$B$19,C2087)</x:f>
        <x:v>0.22222222222222224</x:v>
      </x:c>
    </x:row>
    <x:row r="2088">
      <x:c r="A2088" s="379" t="n">
        <x:v>47739</x:v>
      </x:c>
      <x:c r="B2088" s="380" t="n">
        <x:v>2030</x:v>
      </x:c>
      <x:c r="C2088" s="380" t="n">
        <x:v>9</x:v>
      </x:c>
      <x:c r="D2088" s="380" t="str">
        <x:v>Sep</x:v>
      </x:c>
      <x:c r="E2088" s="380" t="n">
        <x:v>13</x:v>
      </x:c>
      <x:c r="F2088" s="380" t="n">
        <x:v>5</x:v>
      </x:c>
      <x:c r="G2088" s="380" t="n">
        <x:f>--(F2088&lt;='Estimator'!$B$7)</x:f>
        <x:v>1</x:v>
      </x:c>
      <x:c r="H2088" s="381" t="n">
        <x:f>SUMIFS('Climate Data'!$G$7:$G$366,'Climate Data'!$A$7:$A$366,'Estimator'!$B$4,'Climate Data'!$B$7:$B$366,C2088)</x:f>
        <x:v>0.4160919540229885</x:v>
      </x:c>
      <x:c r="I2088" s="382" t="n">
        <x:f>SUMIFS('Climate Data'!$H$7:$H$366,'Climate Data'!$A$7:$A$366,'Estimator'!$B$4,'Climate Data'!$B$7:$B$366,C2088)</x:f>
        <x:v>8.019060773480662</x:v>
      </x:c>
      <x:c r="J2088" s="381" t="n">
        <x:f>SUMIFS('Wind Proxy'!$H$8:$H$19,'Wind Proxy'!$A$8:$A$19,'Estimator'!$B$4,'Wind Proxy'!$B$8:$B$19,C2088)</x:f>
        <x:v>0.22222222222222224</x:v>
      </x:c>
    </x:row>
    <x:row r="2089">
      <x:c r="A2089" s="379" t="n">
        <x:v>47740</x:v>
      </x:c>
      <x:c r="B2089" s="380" t="n">
        <x:v>2030</x:v>
      </x:c>
      <x:c r="C2089" s="380" t="n">
        <x:v>9</x:v>
      </x:c>
      <x:c r="D2089" s="380" t="str">
        <x:v>Sep</x:v>
      </x:c>
      <x:c r="E2089" s="380" t="n">
        <x:v>14</x:v>
      </x:c>
      <x:c r="F2089" s="380" t="n">
        <x:v>6</x:v>
      </x:c>
      <x:c r="G2089" s="380" t="n">
        <x:f>--(F2089&lt;='Estimator'!$B$7)</x:f>
        <x:v>0</x:v>
      </x:c>
      <x:c r="H2089" s="381" t="n">
        <x:f>SUMIFS('Climate Data'!$G$7:$G$366,'Climate Data'!$A$7:$A$366,'Estimator'!$B$4,'Climate Data'!$B$7:$B$366,C2089)</x:f>
        <x:v>0.4160919540229885</x:v>
      </x:c>
      <x:c r="I2089" s="382" t="n">
        <x:f>SUMIFS('Climate Data'!$H$7:$H$366,'Climate Data'!$A$7:$A$366,'Estimator'!$B$4,'Climate Data'!$B$7:$B$366,C2089)</x:f>
        <x:v>8.019060773480662</x:v>
      </x:c>
      <x:c r="J2089" s="381" t="n">
        <x:f>SUMIFS('Wind Proxy'!$H$8:$H$19,'Wind Proxy'!$A$8:$A$19,'Estimator'!$B$4,'Wind Proxy'!$B$8:$B$19,C2089)</x:f>
        <x:v>0.22222222222222224</x:v>
      </x:c>
    </x:row>
    <x:row r="2090">
      <x:c r="A2090" s="379" t="n">
        <x:v>47741</x:v>
      </x:c>
      <x:c r="B2090" s="380" t="n">
        <x:v>2030</x:v>
      </x:c>
      <x:c r="C2090" s="380" t="n">
        <x:v>9</x:v>
      </x:c>
      <x:c r="D2090" s="380" t="str">
        <x:v>Sep</x:v>
      </x:c>
      <x:c r="E2090" s="380" t="n">
        <x:v>15</x:v>
      </x:c>
      <x:c r="F2090" s="380" t="n">
        <x:v>7</x:v>
      </x:c>
      <x:c r="G2090" s="380" t="n">
        <x:f>--(F2090&lt;='Estimator'!$B$7)</x:f>
        <x:v>0</x:v>
      </x:c>
      <x:c r="H2090" s="381" t="n">
        <x:f>SUMIFS('Climate Data'!$G$7:$G$366,'Climate Data'!$A$7:$A$366,'Estimator'!$B$4,'Climate Data'!$B$7:$B$366,C2090)</x:f>
        <x:v>0.4160919540229885</x:v>
      </x:c>
      <x:c r="I2090" s="382" t="n">
        <x:f>SUMIFS('Climate Data'!$H$7:$H$366,'Climate Data'!$A$7:$A$366,'Estimator'!$B$4,'Climate Data'!$B$7:$B$366,C2090)</x:f>
        <x:v>8.019060773480662</x:v>
      </x:c>
      <x:c r="J2090" s="381" t="n">
        <x:f>SUMIFS('Wind Proxy'!$H$8:$H$19,'Wind Proxy'!$A$8:$A$19,'Estimator'!$B$4,'Wind Proxy'!$B$8:$B$19,C2090)</x:f>
        <x:v>0.22222222222222224</x:v>
      </x:c>
    </x:row>
    <x:row r="2091">
      <x:c r="A2091" s="379" t="n">
        <x:v>47742</x:v>
      </x:c>
      <x:c r="B2091" s="380" t="n">
        <x:v>2030</x:v>
      </x:c>
      <x:c r="C2091" s="380" t="n">
        <x:v>9</x:v>
      </x:c>
      <x:c r="D2091" s="380" t="str">
        <x:v>Sep</x:v>
      </x:c>
      <x:c r="E2091" s="380" t="n">
        <x:v>16</x:v>
      </x:c>
      <x:c r="F2091" s="380" t="n">
        <x:v>1</x:v>
      </x:c>
      <x:c r="G2091" s="380" t="n">
        <x:f>--(F2091&lt;='Estimator'!$B$7)</x:f>
        <x:v>1</x:v>
      </x:c>
      <x:c r="H2091" s="381" t="n">
        <x:f>SUMIFS('Climate Data'!$G$7:$G$366,'Climate Data'!$A$7:$A$366,'Estimator'!$B$4,'Climate Data'!$B$7:$B$366,C2091)</x:f>
        <x:v>0.4160919540229885</x:v>
      </x:c>
      <x:c r="I2091" s="382" t="n">
        <x:f>SUMIFS('Climate Data'!$H$7:$H$366,'Climate Data'!$A$7:$A$366,'Estimator'!$B$4,'Climate Data'!$B$7:$B$366,C2091)</x:f>
        <x:v>8.019060773480662</x:v>
      </x:c>
      <x:c r="J2091" s="381" t="n">
        <x:f>SUMIFS('Wind Proxy'!$H$8:$H$19,'Wind Proxy'!$A$8:$A$19,'Estimator'!$B$4,'Wind Proxy'!$B$8:$B$19,C2091)</x:f>
        <x:v>0.22222222222222224</x:v>
      </x:c>
    </x:row>
    <x:row r="2092">
      <x:c r="A2092" s="379" t="n">
        <x:v>47743</x:v>
      </x:c>
      <x:c r="B2092" s="380" t="n">
        <x:v>2030</x:v>
      </x:c>
      <x:c r="C2092" s="380" t="n">
        <x:v>9</x:v>
      </x:c>
      <x:c r="D2092" s="380" t="str">
        <x:v>Sep</x:v>
      </x:c>
      <x:c r="E2092" s="380" t="n">
        <x:v>17</x:v>
      </x:c>
      <x:c r="F2092" s="380" t="n">
        <x:v>2</x:v>
      </x:c>
      <x:c r="G2092" s="380" t="n">
        <x:f>--(F2092&lt;='Estimator'!$B$7)</x:f>
        <x:v>1</x:v>
      </x:c>
      <x:c r="H2092" s="381" t="n">
        <x:f>SUMIFS('Climate Data'!$G$7:$G$366,'Climate Data'!$A$7:$A$366,'Estimator'!$B$4,'Climate Data'!$B$7:$B$366,C2092)</x:f>
        <x:v>0.4160919540229885</x:v>
      </x:c>
      <x:c r="I2092" s="382" t="n">
        <x:f>SUMIFS('Climate Data'!$H$7:$H$366,'Climate Data'!$A$7:$A$366,'Estimator'!$B$4,'Climate Data'!$B$7:$B$366,C2092)</x:f>
        <x:v>8.019060773480662</x:v>
      </x:c>
      <x:c r="J2092" s="381" t="n">
        <x:f>SUMIFS('Wind Proxy'!$H$8:$H$19,'Wind Proxy'!$A$8:$A$19,'Estimator'!$B$4,'Wind Proxy'!$B$8:$B$19,C2092)</x:f>
        <x:v>0.22222222222222224</x:v>
      </x:c>
    </x:row>
    <x:row r="2093">
      <x:c r="A2093" s="379" t="n">
        <x:v>47744</x:v>
      </x:c>
      <x:c r="B2093" s="380" t="n">
        <x:v>2030</x:v>
      </x:c>
      <x:c r="C2093" s="380" t="n">
        <x:v>9</x:v>
      </x:c>
      <x:c r="D2093" s="380" t="str">
        <x:v>Sep</x:v>
      </x:c>
      <x:c r="E2093" s="380" t="n">
        <x:v>18</x:v>
      </x:c>
      <x:c r="F2093" s="380" t="n">
        <x:v>3</x:v>
      </x:c>
      <x:c r="G2093" s="380" t="n">
        <x:f>--(F2093&lt;='Estimator'!$B$7)</x:f>
        <x:v>1</x:v>
      </x:c>
      <x:c r="H2093" s="381" t="n">
        <x:f>SUMIFS('Climate Data'!$G$7:$G$366,'Climate Data'!$A$7:$A$366,'Estimator'!$B$4,'Climate Data'!$B$7:$B$366,C2093)</x:f>
        <x:v>0.4160919540229885</x:v>
      </x:c>
      <x:c r="I2093" s="382" t="n">
        <x:f>SUMIFS('Climate Data'!$H$7:$H$366,'Climate Data'!$A$7:$A$366,'Estimator'!$B$4,'Climate Data'!$B$7:$B$366,C2093)</x:f>
        <x:v>8.019060773480662</x:v>
      </x:c>
      <x:c r="J2093" s="381" t="n">
        <x:f>SUMIFS('Wind Proxy'!$H$8:$H$19,'Wind Proxy'!$A$8:$A$19,'Estimator'!$B$4,'Wind Proxy'!$B$8:$B$19,C2093)</x:f>
        <x:v>0.22222222222222224</x:v>
      </x:c>
    </x:row>
    <x:row r="2094">
      <x:c r="A2094" s="379" t="n">
        <x:v>47745</x:v>
      </x:c>
      <x:c r="B2094" s="380" t="n">
        <x:v>2030</x:v>
      </x:c>
      <x:c r="C2094" s="380" t="n">
        <x:v>9</x:v>
      </x:c>
      <x:c r="D2094" s="380" t="str">
        <x:v>Sep</x:v>
      </x:c>
      <x:c r="E2094" s="380" t="n">
        <x:v>19</x:v>
      </x:c>
      <x:c r="F2094" s="380" t="n">
        <x:v>4</x:v>
      </x:c>
      <x:c r="G2094" s="380" t="n">
        <x:f>--(F2094&lt;='Estimator'!$B$7)</x:f>
        <x:v>1</x:v>
      </x:c>
      <x:c r="H2094" s="381" t="n">
        <x:f>SUMIFS('Climate Data'!$G$7:$G$366,'Climate Data'!$A$7:$A$366,'Estimator'!$B$4,'Climate Data'!$B$7:$B$366,C2094)</x:f>
        <x:v>0.4160919540229885</x:v>
      </x:c>
      <x:c r="I2094" s="382" t="n">
        <x:f>SUMIFS('Climate Data'!$H$7:$H$366,'Climate Data'!$A$7:$A$366,'Estimator'!$B$4,'Climate Data'!$B$7:$B$366,C2094)</x:f>
        <x:v>8.019060773480662</x:v>
      </x:c>
      <x:c r="J2094" s="381" t="n">
        <x:f>SUMIFS('Wind Proxy'!$H$8:$H$19,'Wind Proxy'!$A$8:$A$19,'Estimator'!$B$4,'Wind Proxy'!$B$8:$B$19,C2094)</x:f>
        <x:v>0.22222222222222224</x:v>
      </x:c>
    </x:row>
    <x:row r="2095">
      <x:c r="A2095" s="379" t="n">
        <x:v>47746</x:v>
      </x:c>
      <x:c r="B2095" s="380" t="n">
        <x:v>2030</x:v>
      </x:c>
      <x:c r="C2095" s="380" t="n">
        <x:v>9</x:v>
      </x:c>
      <x:c r="D2095" s="380" t="str">
        <x:v>Sep</x:v>
      </x:c>
      <x:c r="E2095" s="380" t="n">
        <x:v>20</x:v>
      </x:c>
      <x:c r="F2095" s="380" t="n">
        <x:v>5</x:v>
      </x:c>
      <x:c r="G2095" s="380" t="n">
        <x:f>--(F2095&lt;='Estimator'!$B$7)</x:f>
        <x:v>1</x:v>
      </x:c>
      <x:c r="H2095" s="381" t="n">
        <x:f>SUMIFS('Climate Data'!$G$7:$G$366,'Climate Data'!$A$7:$A$366,'Estimator'!$B$4,'Climate Data'!$B$7:$B$366,C2095)</x:f>
        <x:v>0.4160919540229885</x:v>
      </x:c>
      <x:c r="I2095" s="382" t="n">
        <x:f>SUMIFS('Climate Data'!$H$7:$H$366,'Climate Data'!$A$7:$A$366,'Estimator'!$B$4,'Climate Data'!$B$7:$B$366,C2095)</x:f>
        <x:v>8.019060773480662</x:v>
      </x:c>
      <x:c r="J2095" s="381" t="n">
        <x:f>SUMIFS('Wind Proxy'!$H$8:$H$19,'Wind Proxy'!$A$8:$A$19,'Estimator'!$B$4,'Wind Proxy'!$B$8:$B$19,C2095)</x:f>
        <x:v>0.22222222222222224</x:v>
      </x:c>
    </x:row>
    <x:row r="2096">
      <x:c r="A2096" s="379" t="n">
        <x:v>47747</x:v>
      </x:c>
      <x:c r="B2096" s="380" t="n">
        <x:v>2030</x:v>
      </x:c>
      <x:c r="C2096" s="380" t="n">
        <x:v>9</x:v>
      </x:c>
      <x:c r="D2096" s="380" t="str">
        <x:v>Sep</x:v>
      </x:c>
      <x:c r="E2096" s="380" t="n">
        <x:v>21</x:v>
      </x:c>
      <x:c r="F2096" s="380" t="n">
        <x:v>6</x:v>
      </x:c>
      <x:c r="G2096" s="380" t="n">
        <x:f>--(F2096&lt;='Estimator'!$B$7)</x:f>
        <x:v>0</x:v>
      </x:c>
      <x:c r="H2096" s="381" t="n">
        <x:f>SUMIFS('Climate Data'!$G$7:$G$366,'Climate Data'!$A$7:$A$366,'Estimator'!$B$4,'Climate Data'!$B$7:$B$366,C2096)</x:f>
        <x:v>0.4160919540229885</x:v>
      </x:c>
      <x:c r="I2096" s="382" t="n">
        <x:f>SUMIFS('Climate Data'!$H$7:$H$366,'Climate Data'!$A$7:$A$366,'Estimator'!$B$4,'Climate Data'!$B$7:$B$366,C2096)</x:f>
        <x:v>8.019060773480662</x:v>
      </x:c>
      <x:c r="J2096" s="381" t="n">
        <x:f>SUMIFS('Wind Proxy'!$H$8:$H$19,'Wind Proxy'!$A$8:$A$19,'Estimator'!$B$4,'Wind Proxy'!$B$8:$B$19,C2096)</x:f>
        <x:v>0.22222222222222224</x:v>
      </x:c>
    </x:row>
    <x:row r="2097">
      <x:c r="A2097" s="379" t="n">
        <x:v>47748</x:v>
      </x:c>
      <x:c r="B2097" s="380" t="n">
        <x:v>2030</x:v>
      </x:c>
      <x:c r="C2097" s="380" t="n">
        <x:v>9</x:v>
      </x:c>
      <x:c r="D2097" s="380" t="str">
        <x:v>Sep</x:v>
      </x:c>
      <x:c r="E2097" s="380" t="n">
        <x:v>22</x:v>
      </x:c>
      <x:c r="F2097" s="380" t="n">
        <x:v>7</x:v>
      </x:c>
      <x:c r="G2097" s="380" t="n">
        <x:f>--(F2097&lt;='Estimator'!$B$7)</x:f>
        <x:v>0</x:v>
      </x:c>
      <x:c r="H2097" s="381" t="n">
        <x:f>SUMIFS('Climate Data'!$G$7:$G$366,'Climate Data'!$A$7:$A$366,'Estimator'!$B$4,'Climate Data'!$B$7:$B$366,C2097)</x:f>
        <x:v>0.4160919540229885</x:v>
      </x:c>
      <x:c r="I2097" s="382" t="n">
        <x:f>SUMIFS('Climate Data'!$H$7:$H$366,'Climate Data'!$A$7:$A$366,'Estimator'!$B$4,'Climate Data'!$B$7:$B$366,C2097)</x:f>
        <x:v>8.019060773480662</x:v>
      </x:c>
      <x:c r="J2097" s="381" t="n">
        <x:f>SUMIFS('Wind Proxy'!$H$8:$H$19,'Wind Proxy'!$A$8:$A$19,'Estimator'!$B$4,'Wind Proxy'!$B$8:$B$19,C2097)</x:f>
        <x:v>0.22222222222222224</x:v>
      </x:c>
    </x:row>
    <x:row r="2098">
      <x:c r="A2098" s="379" t="n">
        <x:v>47749</x:v>
      </x:c>
      <x:c r="B2098" s="380" t="n">
        <x:v>2030</x:v>
      </x:c>
      <x:c r="C2098" s="380" t="n">
        <x:v>9</x:v>
      </x:c>
      <x:c r="D2098" s="380" t="str">
        <x:v>Sep</x:v>
      </x:c>
      <x:c r="E2098" s="380" t="n">
        <x:v>23</x:v>
      </x:c>
      <x:c r="F2098" s="380" t="n">
        <x:v>1</x:v>
      </x:c>
      <x:c r="G2098" s="380" t="n">
        <x:f>--(F2098&lt;='Estimator'!$B$7)</x:f>
        <x:v>1</x:v>
      </x:c>
      <x:c r="H2098" s="381" t="n">
        <x:f>SUMIFS('Climate Data'!$G$7:$G$366,'Climate Data'!$A$7:$A$366,'Estimator'!$B$4,'Climate Data'!$B$7:$B$366,C2098)</x:f>
        <x:v>0.4160919540229885</x:v>
      </x:c>
      <x:c r="I2098" s="382" t="n">
        <x:f>SUMIFS('Climate Data'!$H$7:$H$366,'Climate Data'!$A$7:$A$366,'Estimator'!$B$4,'Climate Data'!$B$7:$B$366,C2098)</x:f>
        <x:v>8.019060773480662</x:v>
      </x:c>
      <x:c r="J2098" s="381" t="n">
        <x:f>SUMIFS('Wind Proxy'!$H$8:$H$19,'Wind Proxy'!$A$8:$A$19,'Estimator'!$B$4,'Wind Proxy'!$B$8:$B$19,C2098)</x:f>
        <x:v>0.22222222222222224</x:v>
      </x:c>
    </x:row>
    <x:row r="2099">
      <x:c r="A2099" s="379" t="n">
        <x:v>47750</x:v>
      </x:c>
      <x:c r="B2099" s="380" t="n">
        <x:v>2030</x:v>
      </x:c>
      <x:c r="C2099" s="380" t="n">
        <x:v>9</x:v>
      </x:c>
      <x:c r="D2099" s="380" t="str">
        <x:v>Sep</x:v>
      </x:c>
      <x:c r="E2099" s="380" t="n">
        <x:v>24</x:v>
      </x:c>
      <x:c r="F2099" s="380" t="n">
        <x:v>2</x:v>
      </x:c>
      <x:c r="G2099" s="380" t="n">
        <x:f>--(F2099&lt;='Estimator'!$B$7)</x:f>
        <x:v>1</x:v>
      </x:c>
      <x:c r="H2099" s="381" t="n">
        <x:f>SUMIFS('Climate Data'!$G$7:$G$366,'Climate Data'!$A$7:$A$366,'Estimator'!$B$4,'Climate Data'!$B$7:$B$366,C2099)</x:f>
        <x:v>0.4160919540229885</x:v>
      </x:c>
      <x:c r="I2099" s="382" t="n">
        <x:f>SUMIFS('Climate Data'!$H$7:$H$366,'Climate Data'!$A$7:$A$366,'Estimator'!$B$4,'Climate Data'!$B$7:$B$366,C2099)</x:f>
        <x:v>8.019060773480662</x:v>
      </x:c>
      <x:c r="J2099" s="381" t="n">
        <x:f>SUMIFS('Wind Proxy'!$H$8:$H$19,'Wind Proxy'!$A$8:$A$19,'Estimator'!$B$4,'Wind Proxy'!$B$8:$B$19,C2099)</x:f>
        <x:v>0.22222222222222224</x:v>
      </x:c>
    </x:row>
    <x:row r="2100">
      <x:c r="A2100" s="379" t="n">
        <x:v>47751</x:v>
      </x:c>
      <x:c r="B2100" s="380" t="n">
        <x:v>2030</x:v>
      </x:c>
      <x:c r="C2100" s="380" t="n">
        <x:v>9</x:v>
      </x:c>
      <x:c r="D2100" s="380" t="str">
        <x:v>Sep</x:v>
      </x:c>
      <x:c r="E2100" s="380" t="n">
        <x:v>25</x:v>
      </x:c>
      <x:c r="F2100" s="380" t="n">
        <x:v>3</x:v>
      </x:c>
      <x:c r="G2100" s="380" t="n">
        <x:f>--(F2100&lt;='Estimator'!$B$7)</x:f>
        <x:v>1</x:v>
      </x:c>
      <x:c r="H2100" s="381" t="n">
        <x:f>SUMIFS('Climate Data'!$G$7:$G$366,'Climate Data'!$A$7:$A$366,'Estimator'!$B$4,'Climate Data'!$B$7:$B$366,C2100)</x:f>
        <x:v>0.4160919540229885</x:v>
      </x:c>
      <x:c r="I2100" s="382" t="n">
        <x:f>SUMIFS('Climate Data'!$H$7:$H$366,'Climate Data'!$A$7:$A$366,'Estimator'!$B$4,'Climate Data'!$B$7:$B$366,C2100)</x:f>
        <x:v>8.019060773480662</x:v>
      </x:c>
      <x:c r="J2100" s="381" t="n">
        <x:f>SUMIFS('Wind Proxy'!$H$8:$H$19,'Wind Proxy'!$A$8:$A$19,'Estimator'!$B$4,'Wind Proxy'!$B$8:$B$19,C2100)</x:f>
        <x:v>0.22222222222222224</x:v>
      </x:c>
    </x:row>
    <x:row r="2101">
      <x:c r="A2101" s="379" t="n">
        <x:v>47752</x:v>
      </x:c>
      <x:c r="B2101" s="380" t="n">
        <x:v>2030</x:v>
      </x:c>
      <x:c r="C2101" s="380" t="n">
        <x:v>9</x:v>
      </x:c>
      <x:c r="D2101" s="380" t="str">
        <x:v>Sep</x:v>
      </x:c>
      <x:c r="E2101" s="380" t="n">
        <x:v>26</x:v>
      </x:c>
      <x:c r="F2101" s="380" t="n">
        <x:v>4</x:v>
      </x:c>
      <x:c r="G2101" s="380" t="n">
        <x:f>--(F2101&lt;='Estimator'!$B$7)</x:f>
        <x:v>1</x:v>
      </x:c>
      <x:c r="H2101" s="381" t="n">
        <x:f>SUMIFS('Climate Data'!$G$7:$G$366,'Climate Data'!$A$7:$A$366,'Estimator'!$B$4,'Climate Data'!$B$7:$B$366,C2101)</x:f>
        <x:v>0.4160919540229885</x:v>
      </x:c>
      <x:c r="I2101" s="382" t="n">
        <x:f>SUMIFS('Climate Data'!$H$7:$H$366,'Climate Data'!$A$7:$A$366,'Estimator'!$B$4,'Climate Data'!$B$7:$B$366,C2101)</x:f>
        <x:v>8.019060773480662</x:v>
      </x:c>
      <x:c r="J2101" s="381" t="n">
        <x:f>SUMIFS('Wind Proxy'!$H$8:$H$19,'Wind Proxy'!$A$8:$A$19,'Estimator'!$B$4,'Wind Proxy'!$B$8:$B$19,C2101)</x:f>
        <x:v>0.22222222222222224</x:v>
      </x:c>
    </x:row>
    <x:row r="2102">
      <x:c r="A2102" s="379" t="n">
        <x:v>47753</x:v>
      </x:c>
      <x:c r="B2102" s="380" t="n">
        <x:v>2030</x:v>
      </x:c>
      <x:c r="C2102" s="380" t="n">
        <x:v>9</x:v>
      </x:c>
      <x:c r="D2102" s="380" t="str">
        <x:v>Sep</x:v>
      </x:c>
      <x:c r="E2102" s="380" t="n">
        <x:v>27</x:v>
      </x:c>
      <x:c r="F2102" s="380" t="n">
        <x:v>5</x:v>
      </x:c>
      <x:c r="G2102" s="380" t="n">
        <x:f>--(F2102&lt;='Estimator'!$B$7)</x:f>
        <x:v>1</x:v>
      </x:c>
      <x:c r="H2102" s="381" t="n">
        <x:f>SUMIFS('Climate Data'!$G$7:$G$366,'Climate Data'!$A$7:$A$366,'Estimator'!$B$4,'Climate Data'!$B$7:$B$366,C2102)</x:f>
        <x:v>0.4160919540229885</x:v>
      </x:c>
      <x:c r="I2102" s="382" t="n">
        <x:f>SUMIFS('Climate Data'!$H$7:$H$366,'Climate Data'!$A$7:$A$366,'Estimator'!$B$4,'Climate Data'!$B$7:$B$366,C2102)</x:f>
        <x:v>8.019060773480662</x:v>
      </x:c>
      <x:c r="J2102" s="381" t="n">
        <x:f>SUMIFS('Wind Proxy'!$H$8:$H$19,'Wind Proxy'!$A$8:$A$19,'Estimator'!$B$4,'Wind Proxy'!$B$8:$B$19,C2102)</x:f>
        <x:v>0.22222222222222224</x:v>
      </x:c>
    </x:row>
    <x:row r="2103">
      <x:c r="A2103" s="379" t="n">
        <x:v>47754</x:v>
      </x:c>
      <x:c r="B2103" s="380" t="n">
        <x:v>2030</x:v>
      </x:c>
      <x:c r="C2103" s="380" t="n">
        <x:v>9</x:v>
      </x:c>
      <x:c r="D2103" s="380" t="str">
        <x:v>Sep</x:v>
      </x:c>
      <x:c r="E2103" s="380" t="n">
        <x:v>28</x:v>
      </x:c>
      <x:c r="F2103" s="380" t="n">
        <x:v>6</x:v>
      </x:c>
      <x:c r="G2103" s="380" t="n">
        <x:f>--(F2103&lt;='Estimator'!$B$7)</x:f>
        <x:v>0</x:v>
      </x:c>
      <x:c r="H2103" s="381" t="n">
        <x:f>SUMIFS('Climate Data'!$G$7:$G$366,'Climate Data'!$A$7:$A$366,'Estimator'!$B$4,'Climate Data'!$B$7:$B$366,C2103)</x:f>
        <x:v>0.4160919540229885</x:v>
      </x:c>
      <x:c r="I2103" s="382" t="n">
        <x:f>SUMIFS('Climate Data'!$H$7:$H$366,'Climate Data'!$A$7:$A$366,'Estimator'!$B$4,'Climate Data'!$B$7:$B$366,C2103)</x:f>
        <x:v>8.019060773480662</x:v>
      </x:c>
      <x:c r="J2103" s="381" t="n">
        <x:f>SUMIFS('Wind Proxy'!$H$8:$H$19,'Wind Proxy'!$A$8:$A$19,'Estimator'!$B$4,'Wind Proxy'!$B$8:$B$19,C2103)</x:f>
        <x:v>0.22222222222222224</x:v>
      </x:c>
    </x:row>
    <x:row r="2104">
      <x:c r="A2104" s="379" t="n">
        <x:v>47755</x:v>
      </x:c>
      <x:c r="B2104" s="380" t="n">
        <x:v>2030</x:v>
      </x:c>
      <x:c r="C2104" s="380" t="n">
        <x:v>9</x:v>
      </x:c>
      <x:c r="D2104" s="380" t="str">
        <x:v>Sep</x:v>
      </x:c>
      <x:c r="E2104" s="380" t="n">
        <x:v>29</x:v>
      </x:c>
      <x:c r="F2104" s="380" t="n">
        <x:v>7</x:v>
      </x:c>
      <x:c r="G2104" s="380" t="n">
        <x:f>--(F2104&lt;='Estimator'!$B$7)</x:f>
        <x:v>0</x:v>
      </x:c>
      <x:c r="H2104" s="381" t="n">
        <x:f>SUMIFS('Climate Data'!$G$7:$G$366,'Climate Data'!$A$7:$A$366,'Estimator'!$B$4,'Climate Data'!$B$7:$B$366,C2104)</x:f>
        <x:v>0.4160919540229885</x:v>
      </x:c>
      <x:c r="I2104" s="382" t="n">
        <x:f>SUMIFS('Climate Data'!$H$7:$H$366,'Climate Data'!$A$7:$A$366,'Estimator'!$B$4,'Climate Data'!$B$7:$B$366,C2104)</x:f>
        <x:v>8.019060773480662</x:v>
      </x:c>
      <x:c r="J2104" s="381" t="n">
        <x:f>SUMIFS('Wind Proxy'!$H$8:$H$19,'Wind Proxy'!$A$8:$A$19,'Estimator'!$B$4,'Wind Proxy'!$B$8:$B$19,C2104)</x:f>
        <x:v>0.22222222222222224</x:v>
      </x:c>
    </x:row>
    <x:row r="2105">
      <x:c r="A2105" s="379" t="n">
        <x:v>47756</x:v>
      </x:c>
      <x:c r="B2105" s="380" t="n">
        <x:v>2030</x:v>
      </x:c>
      <x:c r="C2105" s="380" t="n">
        <x:v>9</x:v>
      </x:c>
      <x:c r="D2105" s="380" t="str">
        <x:v>Sep</x:v>
      </x:c>
      <x:c r="E2105" s="380" t="n">
        <x:v>30</x:v>
      </x:c>
      <x:c r="F2105" s="380" t="n">
        <x:v>1</x:v>
      </x:c>
      <x:c r="G2105" s="380" t="n">
        <x:f>--(F2105&lt;='Estimator'!$B$7)</x:f>
        <x:v>1</x:v>
      </x:c>
      <x:c r="H2105" s="381" t="n">
        <x:f>SUMIFS('Climate Data'!$G$7:$G$366,'Climate Data'!$A$7:$A$366,'Estimator'!$B$4,'Climate Data'!$B$7:$B$366,C2105)</x:f>
        <x:v>0.4160919540229885</x:v>
      </x:c>
      <x:c r="I2105" s="382" t="n">
        <x:f>SUMIFS('Climate Data'!$H$7:$H$366,'Climate Data'!$A$7:$A$366,'Estimator'!$B$4,'Climate Data'!$B$7:$B$366,C2105)</x:f>
        <x:v>8.019060773480662</x:v>
      </x:c>
      <x:c r="J2105" s="381" t="n">
        <x:f>SUMIFS('Wind Proxy'!$H$8:$H$19,'Wind Proxy'!$A$8:$A$19,'Estimator'!$B$4,'Wind Proxy'!$B$8:$B$19,C2105)</x:f>
        <x:v>0.22222222222222224</x:v>
      </x:c>
    </x:row>
    <x:row r="2106">
      <x:c r="A2106" s="379" t="n">
        <x:v>47757</x:v>
      </x:c>
      <x:c r="B2106" s="380" t="n">
        <x:v>2030</x:v>
      </x:c>
      <x:c r="C2106" s="380" t="n">
        <x:v>10</x:v>
      </x:c>
      <x:c r="D2106" s="380" t="str">
        <x:v>Oct</x:v>
      </x:c>
      <x:c r="E2106" s="380" t="n">
        <x:v>1</x:v>
      </x:c>
      <x:c r="F2106" s="380" t="n">
        <x:v>2</x:v>
      </x:c>
      <x:c r="G2106" s="380" t="n">
        <x:f>--(F2106&lt;='Estimator'!$B$7)</x:f>
        <x:v>1</x:v>
      </x:c>
      <x:c r="H2106" s="381" t="n">
        <x:f>SUMIFS('Climate Data'!$G$7:$G$366,'Climate Data'!$A$7:$A$366,'Estimator'!$B$4,'Climate Data'!$B$7:$B$366,C2106)</x:f>
        <x:v>0.3721198156682028</x:v>
      </x:c>
      <x:c r="I2106" s="382" t="n">
        <x:f>SUMIFS('Climate Data'!$H$7:$H$366,'Climate Data'!$A$7:$A$366,'Estimator'!$B$4,'Climate Data'!$B$7:$B$366,C2106)</x:f>
        <x:v>7.940557275541795</x:v>
      </x:c>
      <x:c r="J2106" s="381" t="n">
        <x:f>SUMIFS('Wind Proxy'!$H$8:$H$19,'Wind Proxy'!$A$8:$A$19,'Estimator'!$B$4,'Wind Proxy'!$B$8:$B$19,C2106)</x:f>
        <x:v>0.21505376344086022</x:v>
      </x:c>
    </x:row>
    <x:row r="2107">
      <x:c r="A2107" s="379" t="n">
        <x:v>47758</x:v>
      </x:c>
      <x:c r="B2107" s="380" t="n">
        <x:v>2030</x:v>
      </x:c>
      <x:c r="C2107" s="380" t="n">
        <x:v>10</x:v>
      </x:c>
      <x:c r="D2107" s="380" t="str">
        <x:v>Oct</x:v>
      </x:c>
      <x:c r="E2107" s="380" t="n">
        <x:v>2</x:v>
      </x:c>
      <x:c r="F2107" s="380" t="n">
        <x:v>3</x:v>
      </x:c>
      <x:c r="G2107" s="380" t="n">
        <x:f>--(F2107&lt;='Estimator'!$B$7)</x:f>
        <x:v>1</x:v>
      </x:c>
      <x:c r="H2107" s="381" t="n">
        <x:f>SUMIFS('Climate Data'!$G$7:$G$366,'Climate Data'!$A$7:$A$366,'Estimator'!$B$4,'Climate Data'!$B$7:$B$366,C2107)</x:f>
        <x:v>0.3721198156682028</x:v>
      </x:c>
      <x:c r="I2107" s="382" t="n">
        <x:f>SUMIFS('Climate Data'!$H$7:$H$366,'Climate Data'!$A$7:$A$366,'Estimator'!$B$4,'Climate Data'!$B$7:$B$366,C2107)</x:f>
        <x:v>7.940557275541795</x:v>
      </x:c>
      <x:c r="J2107" s="381" t="n">
        <x:f>SUMIFS('Wind Proxy'!$H$8:$H$19,'Wind Proxy'!$A$8:$A$19,'Estimator'!$B$4,'Wind Proxy'!$B$8:$B$19,C2107)</x:f>
        <x:v>0.21505376344086022</x:v>
      </x:c>
    </x:row>
    <x:row r="2108">
      <x:c r="A2108" s="379" t="n">
        <x:v>47759</x:v>
      </x:c>
      <x:c r="B2108" s="380" t="n">
        <x:v>2030</x:v>
      </x:c>
      <x:c r="C2108" s="380" t="n">
        <x:v>10</x:v>
      </x:c>
      <x:c r="D2108" s="380" t="str">
        <x:v>Oct</x:v>
      </x:c>
      <x:c r="E2108" s="380" t="n">
        <x:v>3</x:v>
      </x:c>
      <x:c r="F2108" s="380" t="n">
        <x:v>4</x:v>
      </x:c>
      <x:c r="G2108" s="380" t="n">
        <x:f>--(F2108&lt;='Estimator'!$B$7)</x:f>
        <x:v>1</x:v>
      </x:c>
      <x:c r="H2108" s="381" t="n">
        <x:f>SUMIFS('Climate Data'!$G$7:$G$366,'Climate Data'!$A$7:$A$366,'Estimator'!$B$4,'Climate Data'!$B$7:$B$366,C2108)</x:f>
        <x:v>0.3721198156682028</x:v>
      </x:c>
      <x:c r="I2108" s="382" t="n">
        <x:f>SUMIFS('Climate Data'!$H$7:$H$366,'Climate Data'!$A$7:$A$366,'Estimator'!$B$4,'Climate Data'!$B$7:$B$366,C2108)</x:f>
        <x:v>7.940557275541795</x:v>
      </x:c>
      <x:c r="J2108" s="381" t="n">
        <x:f>SUMIFS('Wind Proxy'!$H$8:$H$19,'Wind Proxy'!$A$8:$A$19,'Estimator'!$B$4,'Wind Proxy'!$B$8:$B$19,C2108)</x:f>
        <x:v>0.21505376344086022</x:v>
      </x:c>
    </x:row>
    <x:row r="2109">
      <x:c r="A2109" s="379" t="n">
        <x:v>47760</x:v>
      </x:c>
      <x:c r="B2109" s="380" t="n">
        <x:v>2030</x:v>
      </x:c>
      <x:c r="C2109" s="380" t="n">
        <x:v>10</x:v>
      </x:c>
      <x:c r="D2109" s="380" t="str">
        <x:v>Oct</x:v>
      </x:c>
      <x:c r="E2109" s="380" t="n">
        <x:v>4</x:v>
      </x:c>
      <x:c r="F2109" s="380" t="n">
        <x:v>5</x:v>
      </x:c>
      <x:c r="G2109" s="380" t="n">
        <x:f>--(F2109&lt;='Estimator'!$B$7)</x:f>
        <x:v>1</x:v>
      </x:c>
      <x:c r="H2109" s="381" t="n">
        <x:f>SUMIFS('Climate Data'!$G$7:$G$366,'Climate Data'!$A$7:$A$366,'Estimator'!$B$4,'Climate Data'!$B$7:$B$366,C2109)</x:f>
        <x:v>0.3721198156682028</x:v>
      </x:c>
      <x:c r="I2109" s="382" t="n">
        <x:f>SUMIFS('Climate Data'!$H$7:$H$366,'Climate Data'!$A$7:$A$366,'Estimator'!$B$4,'Climate Data'!$B$7:$B$366,C2109)</x:f>
        <x:v>7.940557275541795</x:v>
      </x:c>
      <x:c r="J2109" s="381" t="n">
        <x:f>SUMIFS('Wind Proxy'!$H$8:$H$19,'Wind Proxy'!$A$8:$A$19,'Estimator'!$B$4,'Wind Proxy'!$B$8:$B$19,C2109)</x:f>
        <x:v>0.21505376344086022</x:v>
      </x:c>
    </x:row>
    <x:row r="2110">
      <x:c r="A2110" s="379" t="n">
        <x:v>47761</x:v>
      </x:c>
      <x:c r="B2110" s="380" t="n">
        <x:v>2030</x:v>
      </x:c>
      <x:c r="C2110" s="380" t="n">
        <x:v>10</x:v>
      </x:c>
      <x:c r="D2110" s="380" t="str">
        <x:v>Oct</x:v>
      </x:c>
      <x:c r="E2110" s="380" t="n">
        <x:v>5</x:v>
      </x:c>
      <x:c r="F2110" s="380" t="n">
        <x:v>6</x:v>
      </x:c>
      <x:c r="G2110" s="380" t="n">
        <x:f>--(F2110&lt;='Estimator'!$B$7)</x:f>
        <x:v>0</x:v>
      </x:c>
      <x:c r="H2110" s="381" t="n">
        <x:f>SUMIFS('Climate Data'!$G$7:$G$366,'Climate Data'!$A$7:$A$366,'Estimator'!$B$4,'Climate Data'!$B$7:$B$366,C2110)</x:f>
        <x:v>0.3721198156682028</x:v>
      </x:c>
      <x:c r="I2110" s="382" t="n">
        <x:f>SUMIFS('Climate Data'!$H$7:$H$366,'Climate Data'!$A$7:$A$366,'Estimator'!$B$4,'Climate Data'!$B$7:$B$366,C2110)</x:f>
        <x:v>7.940557275541795</x:v>
      </x:c>
      <x:c r="J2110" s="381" t="n">
        <x:f>SUMIFS('Wind Proxy'!$H$8:$H$19,'Wind Proxy'!$A$8:$A$19,'Estimator'!$B$4,'Wind Proxy'!$B$8:$B$19,C2110)</x:f>
        <x:v>0.21505376344086022</x:v>
      </x:c>
    </x:row>
    <x:row r="2111">
      <x:c r="A2111" s="379" t="n">
        <x:v>47762</x:v>
      </x:c>
      <x:c r="B2111" s="380" t="n">
        <x:v>2030</x:v>
      </x:c>
      <x:c r="C2111" s="380" t="n">
        <x:v>10</x:v>
      </x:c>
      <x:c r="D2111" s="380" t="str">
        <x:v>Oct</x:v>
      </x:c>
      <x:c r="E2111" s="380" t="n">
        <x:v>6</x:v>
      </x:c>
      <x:c r="F2111" s="380" t="n">
        <x:v>7</x:v>
      </x:c>
      <x:c r="G2111" s="380" t="n">
        <x:f>--(F2111&lt;='Estimator'!$B$7)</x:f>
        <x:v>0</x:v>
      </x:c>
      <x:c r="H2111" s="381" t="n">
        <x:f>SUMIFS('Climate Data'!$G$7:$G$366,'Climate Data'!$A$7:$A$366,'Estimator'!$B$4,'Climate Data'!$B$7:$B$366,C2111)</x:f>
        <x:v>0.3721198156682028</x:v>
      </x:c>
      <x:c r="I2111" s="382" t="n">
        <x:f>SUMIFS('Climate Data'!$H$7:$H$366,'Climate Data'!$A$7:$A$366,'Estimator'!$B$4,'Climate Data'!$B$7:$B$366,C2111)</x:f>
        <x:v>7.940557275541795</x:v>
      </x:c>
      <x:c r="J2111" s="381" t="n">
        <x:f>SUMIFS('Wind Proxy'!$H$8:$H$19,'Wind Proxy'!$A$8:$A$19,'Estimator'!$B$4,'Wind Proxy'!$B$8:$B$19,C2111)</x:f>
        <x:v>0.21505376344086022</x:v>
      </x:c>
    </x:row>
    <x:row r="2112">
      <x:c r="A2112" s="379" t="n">
        <x:v>47763</x:v>
      </x:c>
      <x:c r="B2112" s="380" t="n">
        <x:v>2030</x:v>
      </x:c>
      <x:c r="C2112" s="380" t="n">
        <x:v>10</x:v>
      </x:c>
      <x:c r="D2112" s="380" t="str">
        <x:v>Oct</x:v>
      </x:c>
      <x:c r="E2112" s="380" t="n">
        <x:v>7</x:v>
      </x:c>
      <x:c r="F2112" s="380" t="n">
        <x:v>1</x:v>
      </x:c>
      <x:c r="G2112" s="380" t="n">
        <x:f>--(F2112&lt;='Estimator'!$B$7)</x:f>
        <x:v>1</x:v>
      </x:c>
      <x:c r="H2112" s="381" t="n">
        <x:f>SUMIFS('Climate Data'!$G$7:$G$366,'Climate Data'!$A$7:$A$366,'Estimator'!$B$4,'Climate Data'!$B$7:$B$366,C2112)</x:f>
        <x:v>0.3721198156682028</x:v>
      </x:c>
      <x:c r="I2112" s="382" t="n">
        <x:f>SUMIFS('Climate Data'!$H$7:$H$366,'Climate Data'!$A$7:$A$366,'Estimator'!$B$4,'Climate Data'!$B$7:$B$366,C2112)</x:f>
        <x:v>7.940557275541795</x:v>
      </x:c>
      <x:c r="J2112" s="381" t="n">
        <x:f>SUMIFS('Wind Proxy'!$H$8:$H$19,'Wind Proxy'!$A$8:$A$19,'Estimator'!$B$4,'Wind Proxy'!$B$8:$B$19,C2112)</x:f>
        <x:v>0.21505376344086022</x:v>
      </x:c>
    </x:row>
    <x:row r="2113">
      <x:c r="A2113" s="379" t="n">
        <x:v>47764</x:v>
      </x:c>
      <x:c r="B2113" s="380" t="n">
        <x:v>2030</x:v>
      </x:c>
      <x:c r="C2113" s="380" t="n">
        <x:v>10</x:v>
      </x:c>
      <x:c r="D2113" s="380" t="str">
        <x:v>Oct</x:v>
      </x:c>
      <x:c r="E2113" s="380" t="n">
        <x:v>8</x:v>
      </x:c>
      <x:c r="F2113" s="380" t="n">
        <x:v>2</x:v>
      </x:c>
      <x:c r="G2113" s="380" t="n">
        <x:f>--(F2113&lt;='Estimator'!$B$7)</x:f>
        <x:v>1</x:v>
      </x:c>
      <x:c r="H2113" s="381" t="n">
        <x:f>SUMIFS('Climate Data'!$G$7:$G$366,'Climate Data'!$A$7:$A$366,'Estimator'!$B$4,'Climate Data'!$B$7:$B$366,C2113)</x:f>
        <x:v>0.3721198156682028</x:v>
      </x:c>
      <x:c r="I2113" s="382" t="n">
        <x:f>SUMIFS('Climate Data'!$H$7:$H$366,'Climate Data'!$A$7:$A$366,'Estimator'!$B$4,'Climate Data'!$B$7:$B$366,C2113)</x:f>
        <x:v>7.940557275541795</x:v>
      </x:c>
      <x:c r="J2113" s="381" t="n">
        <x:f>SUMIFS('Wind Proxy'!$H$8:$H$19,'Wind Proxy'!$A$8:$A$19,'Estimator'!$B$4,'Wind Proxy'!$B$8:$B$19,C2113)</x:f>
        <x:v>0.21505376344086022</x:v>
      </x:c>
    </x:row>
    <x:row r="2114">
      <x:c r="A2114" s="379" t="n">
        <x:v>47765</x:v>
      </x:c>
      <x:c r="B2114" s="380" t="n">
        <x:v>2030</x:v>
      </x:c>
      <x:c r="C2114" s="380" t="n">
        <x:v>10</x:v>
      </x:c>
      <x:c r="D2114" s="380" t="str">
        <x:v>Oct</x:v>
      </x:c>
      <x:c r="E2114" s="380" t="n">
        <x:v>9</x:v>
      </x:c>
      <x:c r="F2114" s="380" t="n">
        <x:v>3</x:v>
      </x:c>
      <x:c r="G2114" s="380" t="n">
        <x:f>--(F2114&lt;='Estimator'!$B$7)</x:f>
        <x:v>1</x:v>
      </x:c>
      <x:c r="H2114" s="381" t="n">
        <x:f>SUMIFS('Climate Data'!$G$7:$G$366,'Climate Data'!$A$7:$A$366,'Estimator'!$B$4,'Climate Data'!$B$7:$B$366,C2114)</x:f>
        <x:v>0.3721198156682028</x:v>
      </x:c>
      <x:c r="I2114" s="382" t="n">
        <x:f>SUMIFS('Climate Data'!$H$7:$H$366,'Climate Data'!$A$7:$A$366,'Estimator'!$B$4,'Climate Data'!$B$7:$B$366,C2114)</x:f>
        <x:v>7.940557275541795</x:v>
      </x:c>
      <x:c r="J2114" s="381" t="n">
        <x:f>SUMIFS('Wind Proxy'!$H$8:$H$19,'Wind Proxy'!$A$8:$A$19,'Estimator'!$B$4,'Wind Proxy'!$B$8:$B$19,C2114)</x:f>
        <x:v>0.21505376344086022</x:v>
      </x:c>
    </x:row>
    <x:row r="2115">
      <x:c r="A2115" s="379" t="n">
        <x:v>47766</x:v>
      </x:c>
      <x:c r="B2115" s="380" t="n">
        <x:v>2030</x:v>
      </x:c>
      <x:c r="C2115" s="380" t="n">
        <x:v>10</x:v>
      </x:c>
      <x:c r="D2115" s="380" t="str">
        <x:v>Oct</x:v>
      </x:c>
      <x:c r="E2115" s="380" t="n">
        <x:v>10</x:v>
      </x:c>
      <x:c r="F2115" s="380" t="n">
        <x:v>4</x:v>
      </x:c>
      <x:c r="G2115" s="380" t="n">
        <x:f>--(F2115&lt;='Estimator'!$B$7)</x:f>
        <x:v>1</x:v>
      </x:c>
      <x:c r="H2115" s="381" t="n">
        <x:f>SUMIFS('Climate Data'!$G$7:$G$366,'Climate Data'!$A$7:$A$366,'Estimator'!$B$4,'Climate Data'!$B$7:$B$366,C2115)</x:f>
        <x:v>0.3721198156682028</x:v>
      </x:c>
      <x:c r="I2115" s="382" t="n">
        <x:f>SUMIFS('Climate Data'!$H$7:$H$366,'Climate Data'!$A$7:$A$366,'Estimator'!$B$4,'Climate Data'!$B$7:$B$366,C2115)</x:f>
        <x:v>7.940557275541795</x:v>
      </x:c>
      <x:c r="J2115" s="381" t="n">
        <x:f>SUMIFS('Wind Proxy'!$H$8:$H$19,'Wind Proxy'!$A$8:$A$19,'Estimator'!$B$4,'Wind Proxy'!$B$8:$B$19,C2115)</x:f>
        <x:v>0.21505376344086022</x:v>
      </x:c>
    </x:row>
    <x:row r="2116">
      <x:c r="A2116" s="379" t="n">
        <x:v>47767</x:v>
      </x:c>
      <x:c r="B2116" s="380" t="n">
        <x:v>2030</x:v>
      </x:c>
      <x:c r="C2116" s="380" t="n">
        <x:v>10</x:v>
      </x:c>
      <x:c r="D2116" s="380" t="str">
        <x:v>Oct</x:v>
      </x:c>
      <x:c r="E2116" s="380" t="n">
        <x:v>11</x:v>
      </x:c>
      <x:c r="F2116" s="380" t="n">
        <x:v>5</x:v>
      </x:c>
      <x:c r="G2116" s="380" t="n">
        <x:f>--(F2116&lt;='Estimator'!$B$7)</x:f>
        <x:v>1</x:v>
      </x:c>
      <x:c r="H2116" s="381" t="n">
        <x:f>SUMIFS('Climate Data'!$G$7:$G$366,'Climate Data'!$A$7:$A$366,'Estimator'!$B$4,'Climate Data'!$B$7:$B$366,C2116)</x:f>
        <x:v>0.3721198156682028</x:v>
      </x:c>
      <x:c r="I2116" s="382" t="n">
        <x:f>SUMIFS('Climate Data'!$H$7:$H$366,'Climate Data'!$A$7:$A$366,'Estimator'!$B$4,'Climate Data'!$B$7:$B$366,C2116)</x:f>
        <x:v>7.940557275541795</x:v>
      </x:c>
      <x:c r="J2116" s="381" t="n">
        <x:f>SUMIFS('Wind Proxy'!$H$8:$H$19,'Wind Proxy'!$A$8:$A$19,'Estimator'!$B$4,'Wind Proxy'!$B$8:$B$19,C2116)</x:f>
        <x:v>0.21505376344086022</x:v>
      </x:c>
    </x:row>
    <x:row r="2117">
      <x:c r="A2117" s="379" t="n">
        <x:v>47768</x:v>
      </x:c>
      <x:c r="B2117" s="380" t="n">
        <x:v>2030</x:v>
      </x:c>
      <x:c r="C2117" s="380" t="n">
        <x:v>10</x:v>
      </x:c>
      <x:c r="D2117" s="380" t="str">
        <x:v>Oct</x:v>
      </x:c>
      <x:c r="E2117" s="380" t="n">
        <x:v>12</x:v>
      </x:c>
      <x:c r="F2117" s="380" t="n">
        <x:v>6</x:v>
      </x:c>
      <x:c r="G2117" s="380" t="n">
        <x:f>--(F2117&lt;='Estimator'!$B$7)</x:f>
        <x:v>0</x:v>
      </x:c>
      <x:c r="H2117" s="381" t="n">
        <x:f>SUMIFS('Climate Data'!$G$7:$G$366,'Climate Data'!$A$7:$A$366,'Estimator'!$B$4,'Climate Data'!$B$7:$B$366,C2117)</x:f>
        <x:v>0.3721198156682028</x:v>
      </x:c>
      <x:c r="I2117" s="382" t="n">
        <x:f>SUMIFS('Climate Data'!$H$7:$H$366,'Climate Data'!$A$7:$A$366,'Estimator'!$B$4,'Climate Data'!$B$7:$B$366,C2117)</x:f>
        <x:v>7.940557275541795</x:v>
      </x:c>
      <x:c r="J2117" s="381" t="n">
        <x:f>SUMIFS('Wind Proxy'!$H$8:$H$19,'Wind Proxy'!$A$8:$A$19,'Estimator'!$B$4,'Wind Proxy'!$B$8:$B$19,C2117)</x:f>
        <x:v>0.21505376344086022</x:v>
      </x:c>
    </x:row>
    <x:row r="2118">
      <x:c r="A2118" s="379" t="n">
        <x:v>47769</x:v>
      </x:c>
      <x:c r="B2118" s="380" t="n">
        <x:v>2030</x:v>
      </x:c>
      <x:c r="C2118" s="380" t="n">
        <x:v>10</x:v>
      </x:c>
      <x:c r="D2118" s="380" t="str">
        <x:v>Oct</x:v>
      </x:c>
      <x:c r="E2118" s="380" t="n">
        <x:v>13</x:v>
      </x:c>
      <x:c r="F2118" s="380" t="n">
        <x:v>7</x:v>
      </x:c>
      <x:c r="G2118" s="380" t="n">
        <x:f>--(F2118&lt;='Estimator'!$B$7)</x:f>
        <x:v>0</x:v>
      </x:c>
      <x:c r="H2118" s="381" t="n">
        <x:f>SUMIFS('Climate Data'!$G$7:$G$366,'Climate Data'!$A$7:$A$366,'Estimator'!$B$4,'Climate Data'!$B$7:$B$366,C2118)</x:f>
        <x:v>0.3721198156682028</x:v>
      </x:c>
      <x:c r="I2118" s="382" t="n">
        <x:f>SUMIFS('Climate Data'!$H$7:$H$366,'Climate Data'!$A$7:$A$366,'Estimator'!$B$4,'Climate Data'!$B$7:$B$366,C2118)</x:f>
        <x:v>7.940557275541795</x:v>
      </x:c>
      <x:c r="J2118" s="381" t="n">
        <x:f>SUMIFS('Wind Proxy'!$H$8:$H$19,'Wind Proxy'!$A$8:$A$19,'Estimator'!$B$4,'Wind Proxy'!$B$8:$B$19,C2118)</x:f>
        <x:v>0.21505376344086022</x:v>
      </x:c>
    </x:row>
    <x:row r="2119">
      <x:c r="A2119" s="379" t="n">
        <x:v>47770</x:v>
      </x:c>
      <x:c r="B2119" s="380" t="n">
        <x:v>2030</x:v>
      </x:c>
      <x:c r="C2119" s="380" t="n">
        <x:v>10</x:v>
      </x:c>
      <x:c r="D2119" s="380" t="str">
        <x:v>Oct</x:v>
      </x:c>
      <x:c r="E2119" s="380" t="n">
        <x:v>14</x:v>
      </x:c>
      <x:c r="F2119" s="380" t="n">
        <x:v>1</x:v>
      </x:c>
      <x:c r="G2119" s="380" t="n">
        <x:f>--(F2119&lt;='Estimator'!$B$7)</x:f>
        <x:v>1</x:v>
      </x:c>
      <x:c r="H2119" s="381" t="n">
        <x:f>SUMIFS('Climate Data'!$G$7:$G$366,'Climate Data'!$A$7:$A$366,'Estimator'!$B$4,'Climate Data'!$B$7:$B$366,C2119)</x:f>
        <x:v>0.3721198156682028</x:v>
      </x:c>
      <x:c r="I2119" s="382" t="n">
        <x:f>SUMIFS('Climate Data'!$H$7:$H$366,'Climate Data'!$A$7:$A$366,'Estimator'!$B$4,'Climate Data'!$B$7:$B$366,C2119)</x:f>
        <x:v>7.940557275541795</x:v>
      </x:c>
      <x:c r="J2119" s="381" t="n">
        <x:f>SUMIFS('Wind Proxy'!$H$8:$H$19,'Wind Proxy'!$A$8:$A$19,'Estimator'!$B$4,'Wind Proxy'!$B$8:$B$19,C2119)</x:f>
        <x:v>0.21505376344086022</x:v>
      </x:c>
    </x:row>
    <x:row r="2120">
      <x:c r="A2120" s="379" t="n">
        <x:v>47771</x:v>
      </x:c>
      <x:c r="B2120" s="380" t="n">
        <x:v>2030</x:v>
      </x:c>
      <x:c r="C2120" s="380" t="n">
        <x:v>10</x:v>
      </x:c>
      <x:c r="D2120" s="380" t="str">
        <x:v>Oct</x:v>
      </x:c>
      <x:c r="E2120" s="380" t="n">
        <x:v>15</x:v>
      </x:c>
      <x:c r="F2120" s="380" t="n">
        <x:v>2</x:v>
      </x:c>
      <x:c r="G2120" s="380" t="n">
        <x:f>--(F2120&lt;='Estimator'!$B$7)</x:f>
        <x:v>1</x:v>
      </x:c>
      <x:c r="H2120" s="381" t="n">
        <x:f>SUMIFS('Climate Data'!$G$7:$G$366,'Climate Data'!$A$7:$A$366,'Estimator'!$B$4,'Climate Data'!$B$7:$B$366,C2120)</x:f>
        <x:v>0.3721198156682028</x:v>
      </x:c>
      <x:c r="I2120" s="382" t="n">
        <x:f>SUMIFS('Climate Data'!$H$7:$H$366,'Climate Data'!$A$7:$A$366,'Estimator'!$B$4,'Climate Data'!$B$7:$B$366,C2120)</x:f>
        <x:v>7.940557275541795</x:v>
      </x:c>
      <x:c r="J2120" s="381" t="n">
        <x:f>SUMIFS('Wind Proxy'!$H$8:$H$19,'Wind Proxy'!$A$8:$A$19,'Estimator'!$B$4,'Wind Proxy'!$B$8:$B$19,C2120)</x:f>
        <x:v>0.21505376344086022</x:v>
      </x:c>
    </x:row>
    <x:row r="2121">
      <x:c r="A2121" s="379" t="n">
        <x:v>47772</x:v>
      </x:c>
      <x:c r="B2121" s="380" t="n">
        <x:v>2030</x:v>
      </x:c>
      <x:c r="C2121" s="380" t="n">
        <x:v>10</x:v>
      </x:c>
      <x:c r="D2121" s="380" t="str">
        <x:v>Oct</x:v>
      </x:c>
      <x:c r="E2121" s="380" t="n">
        <x:v>16</x:v>
      </x:c>
      <x:c r="F2121" s="380" t="n">
        <x:v>3</x:v>
      </x:c>
      <x:c r="G2121" s="380" t="n">
        <x:f>--(F2121&lt;='Estimator'!$B$7)</x:f>
        <x:v>1</x:v>
      </x:c>
      <x:c r="H2121" s="381" t="n">
        <x:f>SUMIFS('Climate Data'!$G$7:$G$366,'Climate Data'!$A$7:$A$366,'Estimator'!$B$4,'Climate Data'!$B$7:$B$366,C2121)</x:f>
        <x:v>0.3721198156682028</x:v>
      </x:c>
      <x:c r="I2121" s="382" t="n">
        <x:f>SUMIFS('Climate Data'!$H$7:$H$366,'Climate Data'!$A$7:$A$366,'Estimator'!$B$4,'Climate Data'!$B$7:$B$366,C2121)</x:f>
        <x:v>7.940557275541795</x:v>
      </x:c>
      <x:c r="J2121" s="381" t="n">
        <x:f>SUMIFS('Wind Proxy'!$H$8:$H$19,'Wind Proxy'!$A$8:$A$19,'Estimator'!$B$4,'Wind Proxy'!$B$8:$B$19,C2121)</x:f>
        <x:v>0.21505376344086022</x:v>
      </x:c>
    </x:row>
    <x:row r="2122">
      <x:c r="A2122" s="379" t="n">
        <x:v>47773</x:v>
      </x:c>
      <x:c r="B2122" s="380" t="n">
        <x:v>2030</x:v>
      </x:c>
      <x:c r="C2122" s="380" t="n">
        <x:v>10</x:v>
      </x:c>
      <x:c r="D2122" s="380" t="str">
        <x:v>Oct</x:v>
      </x:c>
      <x:c r="E2122" s="380" t="n">
        <x:v>17</x:v>
      </x:c>
      <x:c r="F2122" s="380" t="n">
        <x:v>4</x:v>
      </x:c>
      <x:c r="G2122" s="380" t="n">
        <x:f>--(F2122&lt;='Estimator'!$B$7)</x:f>
        <x:v>1</x:v>
      </x:c>
      <x:c r="H2122" s="381" t="n">
        <x:f>SUMIFS('Climate Data'!$G$7:$G$366,'Climate Data'!$A$7:$A$366,'Estimator'!$B$4,'Climate Data'!$B$7:$B$366,C2122)</x:f>
        <x:v>0.3721198156682028</x:v>
      </x:c>
      <x:c r="I2122" s="382" t="n">
        <x:f>SUMIFS('Climate Data'!$H$7:$H$366,'Climate Data'!$A$7:$A$366,'Estimator'!$B$4,'Climate Data'!$B$7:$B$366,C2122)</x:f>
        <x:v>7.940557275541795</x:v>
      </x:c>
      <x:c r="J2122" s="381" t="n">
        <x:f>SUMIFS('Wind Proxy'!$H$8:$H$19,'Wind Proxy'!$A$8:$A$19,'Estimator'!$B$4,'Wind Proxy'!$B$8:$B$19,C2122)</x:f>
        <x:v>0.21505376344086022</x:v>
      </x:c>
    </x:row>
    <x:row r="2123">
      <x:c r="A2123" s="379" t="n">
        <x:v>47774</x:v>
      </x:c>
      <x:c r="B2123" s="380" t="n">
        <x:v>2030</x:v>
      </x:c>
      <x:c r="C2123" s="380" t="n">
        <x:v>10</x:v>
      </x:c>
      <x:c r="D2123" s="380" t="str">
        <x:v>Oct</x:v>
      </x:c>
      <x:c r="E2123" s="380" t="n">
        <x:v>18</x:v>
      </x:c>
      <x:c r="F2123" s="380" t="n">
        <x:v>5</x:v>
      </x:c>
      <x:c r="G2123" s="380" t="n">
        <x:f>--(F2123&lt;='Estimator'!$B$7)</x:f>
        <x:v>1</x:v>
      </x:c>
      <x:c r="H2123" s="381" t="n">
        <x:f>SUMIFS('Climate Data'!$G$7:$G$366,'Climate Data'!$A$7:$A$366,'Estimator'!$B$4,'Climate Data'!$B$7:$B$366,C2123)</x:f>
        <x:v>0.3721198156682028</x:v>
      </x:c>
      <x:c r="I2123" s="382" t="n">
        <x:f>SUMIFS('Climate Data'!$H$7:$H$366,'Climate Data'!$A$7:$A$366,'Estimator'!$B$4,'Climate Data'!$B$7:$B$366,C2123)</x:f>
        <x:v>7.940557275541795</x:v>
      </x:c>
      <x:c r="J2123" s="381" t="n">
        <x:f>SUMIFS('Wind Proxy'!$H$8:$H$19,'Wind Proxy'!$A$8:$A$19,'Estimator'!$B$4,'Wind Proxy'!$B$8:$B$19,C2123)</x:f>
        <x:v>0.21505376344086022</x:v>
      </x:c>
    </x:row>
    <x:row r="2124">
      <x:c r="A2124" s="379" t="n">
        <x:v>47775</x:v>
      </x:c>
      <x:c r="B2124" s="380" t="n">
        <x:v>2030</x:v>
      </x:c>
      <x:c r="C2124" s="380" t="n">
        <x:v>10</x:v>
      </x:c>
      <x:c r="D2124" s="380" t="str">
        <x:v>Oct</x:v>
      </x:c>
      <x:c r="E2124" s="380" t="n">
        <x:v>19</x:v>
      </x:c>
      <x:c r="F2124" s="380" t="n">
        <x:v>6</x:v>
      </x:c>
      <x:c r="G2124" s="380" t="n">
        <x:f>--(F2124&lt;='Estimator'!$B$7)</x:f>
        <x:v>0</x:v>
      </x:c>
      <x:c r="H2124" s="381" t="n">
        <x:f>SUMIFS('Climate Data'!$G$7:$G$366,'Climate Data'!$A$7:$A$366,'Estimator'!$B$4,'Climate Data'!$B$7:$B$366,C2124)</x:f>
        <x:v>0.3721198156682028</x:v>
      </x:c>
      <x:c r="I2124" s="382" t="n">
        <x:f>SUMIFS('Climate Data'!$H$7:$H$366,'Climate Data'!$A$7:$A$366,'Estimator'!$B$4,'Climate Data'!$B$7:$B$366,C2124)</x:f>
        <x:v>7.940557275541795</x:v>
      </x:c>
      <x:c r="J2124" s="381" t="n">
        <x:f>SUMIFS('Wind Proxy'!$H$8:$H$19,'Wind Proxy'!$A$8:$A$19,'Estimator'!$B$4,'Wind Proxy'!$B$8:$B$19,C2124)</x:f>
        <x:v>0.21505376344086022</x:v>
      </x:c>
    </x:row>
    <x:row r="2125">
      <x:c r="A2125" s="379" t="n">
        <x:v>47776</x:v>
      </x:c>
      <x:c r="B2125" s="380" t="n">
        <x:v>2030</x:v>
      </x:c>
      <x:c r="C2125" s="380" t="n">
        <x:v>10</x:v>
      </x:c>
      <x:c r="D2125" s="380" t="str">
        <x:v>Oct</x:v>
      </x:c>
      <x:c r="E2125" s="380" t="n">
        <x:v>20</x:v>
      </x:c>
      <x:c r="F2125" s="380" t="n">
        <x:v>7</x:v>
      </x:c>
      <x:c r="G2125" s="380" t="n">
        <x:f>--(F2125&lt;='Estimator'!$B$7)</x:f>
        <x:v>0</x:v>
      </x:c>
      <x:c r="H2125" s="381" t="n">
        <x:f>SUMIFS('Climate Data'!$G$7:$G$366,'Climate Data'!$A$7:$A$366,'Estimator'!$B$4,'Climate Data'!$B$7:$B$366,C2125)</x:f>
        <x:v>0.3721198156682028</x:v>
      </x:c>
      <x:c r="I2125" s="382" t="n">
        <x:f>SUMIFS('Climate Data'!$H$7:$H$366,'Climate Data'!$A$7:$A$366,'Estimator'!$B$4,'Climate Data'!$B$7:$B$366,C2125)</x:f>
        <x:v>7.940557275541795</x:v>
      </x:c>
      <x:c r="J2125" s="381" t="n">
        <x:f>SUMIFS('Wind Proxy'!$H$8:$H$19,'Wind Proxy'!$A$8:$A$19,'Estimator'!$B$4,'Wind Proxy'!$B$8:$B$19,C2125)</x:f>
        <x:v>0.21505376344086022</x:v>
      </x:c>
    </x:row>
    <x:row r="2126">
      <x:c r="A2126" s="379" t="n">
        <x:v>47777</x:v>
      </x:c>
      <x:c r="B2126" s="380" t="n">
        <x:v>2030</x:v>
      </x:c>
      <x:c r="C2126" s="380" t="n">
        <x:v>10</x:v>
      </x:c>
      <x:c r="D2126" s="380" t="str">
        <x:v>Oct</x:v>
      </x:c>
      <x:c r="E2126" s="380" t="n">
        <x:v>21</x:v>
      </x:c>
      <x:c r="F2126" s="380" t="n">
        <x:v>1</x:v>
      </x:c>
      <x:c r="G2126" s="380" t="n">
        <x:f>--(F2126&lt;='Estimator'!$B$7)</x:f>
        <x:v>1</x:v>
      </x:c>
      <x:c r="H2126" s="381" t="n">
        <x:f>SUMIFS('Climate Data'!$G$7:$G$366,'Climate Data'!$A$7:$A$366,'Estimator'!$B$4,'Climate Data'!$B$7:$B$366,C2126)</x:f>
        <x:v>0.3721198156682028</x:v>
      </x:c>
      <x:c r="I2126" s="382" t="n">
        <x:f>SUMIFS('Climate Data'!$H$7:$H$366,'Climate Data'!$A$7:$A$366,'Estimator'!$B$4,'Climate Data'!$B$7:$B$366,C2126)</x:f>
        <x:v>7.940557275541795</x:v>
      </x:c>
      <x:c r="J2126" s="381" t="n">
        <x:f>SUMIFS('Wind Proxy'!$H$8:$H$19,'Wind Proxy'!$A$8:$A$19,'Estimator'!$B$4,'Wind Proxy'!$B$8:$B$19,C2126)</x:f>
        <x:v>0.21505376344086022</x:v>
      </x:c>
    </x:row>
    <x:row r="2127">
      <x:c r="A2127" s="379" t="n">
        <x:v>47778</x:v>
      </x:c>
      <x:c r="B2127" s="380" t="n">
        <x:v>2030</x:v>
      </x:c>
      <x:c r="C2127" s="380" t="n">
        <x:v>10</x:v>
      </x:c>
      <x:c r="D2127" s="380" t="str">
        <x:v>Oct</x:v>
      </x:c>
      <x:c r="E2127" s="380" t="n">
        <x:v>22</x:v>
      </x:c>
      <x:c r="F2127" s="380" t="n">
        <x:v>2</x:v>
      </x:c>
      <x:c r="G2127" s="380" t="n">
        <x:f>--(F2127&lt;='Estimator'!$B$7)</x:f>
        <x:v>1</x:v>
      </x:c>
      <x:c r="H2127" s="381" t="n">
        <x:f>SUMIFS('Climate Data'!$G$7:$G$366,'Climate Data'!$A$7:$A$366,'Estimator'!$B$4,'Climate Data'!$B$7:$B$366,C2127)</x:f>
        <x:v>0.3721198156682028</x:v>
      </x:c>
      <x:c r="I2127" s="382" t="n">
        <x:f>SUMIFS('Climate Data'!$H$7:$H$366,'Climate Data'!$A$7:$A$366,'Estimator'!$B$4,'Climate Data'!$B$7:$B$366,C2127)</x:f>
        <x:v>7.940557275541795</x:v>
      </x:c>
      <x:c r="J2127" s="381" t="n">
        <x:f>SUMIFS('Wind Proxy'!$H$8:$H$19,'Wind Proxy'!$A$8:$A$19,'Estimator'!$B$4,'Wind Proxy'!$B$8:$B$19,C2127)</x:f>
        <x:v>0.21505376344086022</x:v>
      </x:c>
    </x:row>
    <x:row r="2128">
      <x:c r="A2128" s="379" t="n">
        <x:v>47779</x:v>
      </x:c>
      <x:c r="B2128" s="380" t="n">
        <x:v>2030</x:v>
      </x:c>
      <x:c r="C2128" s="380" t="n">
        <x:v>10</x:v>
      </x:c>
      <x:c r="D2128" s="380" t="str">
        <x:v>Oct</x:v>
      </x:c>
      <x:c r="E2128" s="380" t="n">
        <x:v>23</x:v>
      </x:c>
      <x:c r="F2128" s="380" t="n">
        <x:v>3</x:v>
      </x:c>
      <x:c r="G2128" s="380" t="n">
        <x:f>--(F2128&lt;='Estimator'!$B$7)</x:f>
        <x:v>1</x:v>
      </x:c>
      <x:c r="H2128" s="381" t="n">
        <x:f>SUMIFS('Climate Data'!$G$7:$G$366,'Climate Data'!$A$7:$A$366,'Estimator'!$B$4,'Climate Data'!$B$7:$B$366,C2128)</x:f>
        <x:v>0.3721198156682028</x:v>
      </x:c>
      <x:c r="I2128" s="382" t="n">
        <x:f>SUMIFS('Climate Data'!$H$7:$H$366,'Climate Data'!$A$7:$A$366,'Estimator'!$B$4,'Climate Data'!$B$7:$B$366,C2128)</x:f>
        <x:v>7.940557275541795</x:v>
      </x:c>
      <x:c r="J2128" s="381" t="n">
        <x:f>SUMIFS('Wind Proxy'!$H$8:$H$19,'Wind Proxy'!$A$8:$A$19,'Estimator'!$B$4,'Wind Proxy'!$B$8:$B$19,C2128)</x:f>
        <x:v>0.21505376344086022</x:v>
      </x:c>
    </x:row>
    <x:row r="2129">
      <x:c r="A2129" s="379" t="n">
        <x:v>47780</x:v>
      </x:c>
      <x:c r="B2129" s="380" t="n">
        <x:v>2030</x:v>
      </x:c>
      <x:c r="C2129" s="380" t="n">
        <x:v>10</x:v>
      </x:c>
      <x:c r="D2129" s="380" t="str">
        <x:v>Oct</x:v>
      </x:c>
      <x:c r="E2129" s="380" t="n">
        <x:v>24</x:v>
      </x:c>
      <x:c r="F2129" s="380" t="n">
        <x:v>4</x:v>
      </x:c>
      <x:c r="G2129" s="380" t="n">
        <x:f>--(F2129&lt;='Estimator'!$B$7)</x:f>
        <x:v>1</x:v>
      </x:c>
      <x:c r="H2129" s="381" t="n">
        <x:f>SUMIFS('Climate Data'!$G$7:$G$366,'Climate Data'!$A$7:$A$366,'Estimator'!$B$4,'Climate Data'!$B$7:$B$366,C2129)</x:f>
        <x:v>0.3721198156682028</x:v>
      </x:c>
      <x:c r="I2129" s="382" t="n">
        <x:f>SUMIFS('Climate Data'!$H$7:$H$366,'Climate Data'!$A$7:$A$366,'Estimator'!$B$4,'Climate Data'!$B$7:$B$366,C2129)</x:f>
        <x:v>7.940557275541795</x:v>
      </x:c>
      <x:c r="J2129" s="381" t="n">
        <x:f>SUMIFS('Wind Proxy'!$H$8:$H$19,'Wind Proxy'!$A$8:$A$19,'Estimator'!$B$4,'Wind Proxy'!$B$8:$B$19,C2129)</x:f>
        <x:v>0.21505376344086022</x:v>
      </x:c>
    </x:row>
    <x:row r="2130">
      <x:c r="A2130" s="379" t="n">
        <x:v>47781</x:v>
      </x:c>
      <x:c r="B2130" s="380" t="n">
        <x:v>2030</x:v>
      </x:c>
      <x:c r="C2130" s="380" t="n">
        <x:v>10</x:v>
      </x:c>
      <x:c r="D2130" s="380" t="str">
        <x:v>Oct</x:v>
      </x:c>
      <x:c r="E2130" s="380" t="n">
        <x:v>25</x:v>
      </x:c>
      <x:c r="F2130" s="380" t="n">
        <x:v>5</x:v>
      </x:c>
      <x:c r="G2130" s="380" t="n">
        <x:f>--(F2130&lt;='Estimator'!$B$7)</x:f>
        <x:v>1</x:v>
      </x:c>
      <x:c r="H2130" s="381" t="n">
        <x:f>SUMIFS('Climate Data'!$G$7:$G$366,'Climate Data'!$A$7:$A$366,'Estimator'!$B$4,'Climate Data'!$B$7:$B$366,C2130)</x:f>
        <x:v>0.3721198156682028</x:v>
      </x:c>
      <x:c r="I2130" s="382" t="n">
        <x:f>SUMIFS('Climate Data'!$H$7:$H$366,'Climate Data'!$A$7:$A$366,'Estimator'!$B$4,'Climate Data'!$B$7:$B$366,C2130)</x:f>
        <x:v>7.940557275541795</x:v>
      </x:c>
      <x:c r="J2130" s="381" t="n">
        <x:f>SUMIFS('Wind Proxy'!$H$8:$H$19,'Wind Proxy'!$A$8:$A$19,'Estimator'!$B$4,'Wind Proxy'!$B$8:$B$19,C2130)</x:f>
        <x:v>0.21505376344086022</x:v>
      </x:c>
    </x:row>
    <x:row r="2131">
      <x:c r="A2131" s="379" t="n">
        <x:v>47782</x:v>
      </x:c>
      <x:c r="B2131" s="380" t="n">
        <x:v>2030</x:v>
      </x:c>
      <x:c r="C2131" s="380" t="n">
        <x:v>10</x:v>
      </x:c>
      <x:c r="D2131" s="380" t="str">
        <x:v>Oct</x:v>
      </x:c>
      <x:c r="E2131" s="380" t="n">
        <x:v>26</x:v>
      </x:c>
      <x:c r="F2131" s="380" t="n">
        <x:v>6</x:v>
      </x:c>
      <x:c r="G2131" s="380" t="n">
        <x:f>--(F2131&lt;='Estimator'!$B$7)</x:f>
        <x:v>0</x:v>
      </x:c>
      <x:c r="H2131" s="381" t="n">
        <x:f>SUMIFS('Climate Data'!$G$7:$G$366,'Climate Data'!$A$7:$A$366,'Estimator'!$B$4,'Climate Data'!$B$7:$B$366,C2131)</x:f>
        <x:v>0.3721198156682028</x:v>
      </x:c>
      <x:c r="I2131" s="382" t="n">
        <x:f>SUMIFS('Climate Data'!$H$7:$H$366,'Climate Data'!$A$7:$A$366,'Estimator'!$B$4,'Climate Data'!$B$7:$B$366,C2131)</x:f>
        <x:v>7.940557275541795</x:v>
      </x:c>
      <x:c r="J2131" s="381" t="n">
        <x:f>SUMIFS('Wind Proxy'!$H$8:$H$19,'Wind Proxy'!$A$8:$A$19,'Estimator'!$B$4,'Wind Proxy'!$B$8:$B$19,C2131)</x:f>
        <x:v>0.21505376344086022</x:v>
      </x:c>
    </x:row>
    <x:row r="2132">
      <x:c r="A2132" s="379" t="n">
        <x:v>47783</x:v>
      </x:c>
      <x:c r="B2132" s="380" t="n">
        <x:v>2030</x:v>
      </x:c>
      <x:c r="C2132" s="380" t="n">
        <x:v>10</x:v>
      </x:c>
      <x:c r="D2132" s="380" t="str">
        <x:v>Oct</x:v>
      </x:c>
      <x:c r="E2132" s="380" t="n">
        <x:v>27</x:v>
      </x:c>
      <x:c r="F2132" s="380" t="n">
        <x:v>7</x:v>
      </x:c>
      <x:c r="G2132" s="380" t="n">
        <x:f>--(F2132&lt;='Estimator'!$B$7)</x:f>
        <x:v>0</x:v>
      </x:c>
      <x:c r="H2132" s="381" t="n">
        <x:f>SUMIFS('Climate Data'!$G$7:$G$366,'Climate Data'!$A$7:$A$366,'Estimator'!$B$4,'Climate Data'!$B$7:$B$366,C2132)</x:f>
        <x:v>0.3721198156682028</x:v>
      </x:c>
      <x:c r="I2132" s="382" t="n">
        <x:f>SUMIFS('Climate Data'!$H$7:$H$366,'Climate Data'!$A$7:$A$366,'Estimator'!$B$4,'Climate Data'!$B$7:$B$366,C2132)</x:f>
        <x:v>7.940557275541795</x:v>
      </x:c>
      <x:c r="J2132" s="381" t="n">
        <x:f>SUMIFS('Wind Proxy'!$H$8:$H$19,'Wind Proxy'!$A$8:$A$19,'Estimator'!$B$4,'Wind Proxy'!$B$8:$B$19,C2132)</x:f>
        <x:v>0.21505376344086022</x:v>
      </x:c>
    </x:row>
    <x:row r="2133">
      <x:c r="A2133" s="379" t="n">
        <x:v>47784</x:v>
      </x:c>
      <x:c r="B2133" s="380" t="n">
        <x:v>2030</x:v>
      </x:c>
      <x:c r="C2133" s="380" t="n">
        <x:v>10</x:v>
      </x:c>
      <x:c r="D2133" s="380" t="str">
        <x:v>Oct</x:v>
      </x:c>
      <x:c r="E2133" s="380" t="n">
        <x:v>28</x:v>
      </x:c>
      <x:c r="F2133" s="380" t="n">
        <x:v>1</x:v>
      </x:c>
      <x:c r="G2133" s="380" t="n">
        <x:f>--(F2133&lt;='Estimator'!$B$7)</x:f>
        <x:v>1</x:v>
      </x:c>
      <x:c r="H2133" s="381" t="n">
        <x:f>SUMIFS('Climate Data'!$G$7:$G$366,'Climate Data'!$A$7:$A$366,'Estimator'!$B$4,'Climate Data'!$B$7:$B$366,C2133)</x:f>
        <x:v>0.3721198156682028</x:v>
      </x:c>
      <x:c r="I2133" s="382" t="n">
        <x:f>SUMIFS('Climate Data'!$H$7:$H$366,'Climate Data'!$A$7:$A$366,'Estimator'!$B$4,'Climate Data'!$B$7:$B$366,C2133)</x:f>
        <x:v>7.940557275541795</x:v>
      </x:c>
      <x:c r="J2133" s="381" t="n">
        <x:f>SUMIFS('Wind Proxy'!$H$8:$H$19,'Wind Proxy'!$A$8:$A$19,'Estimator'!$B$4,'Wind Proxy'!$B$8:$B$19,C2133)</x:f>
        <x:v>0.21505376344086022</x:v>
      </x:c>
    </x:row>
    <x:row r="2134">
      <x:c r="A2134" s="379" t="n">
        <x:v>47785</x:v>
      </x:c>
      <x:c r="B2134" s="380" t="n">
        <x:v>2030</x:v>
      </x:c>
      <x:c r="C2134" s="380" t="n">
        <x:v>10</x:v>
      </x:c>
      <x:c r="D2134" s="380" t="str">
        <x:v>Oct</x:v>
      </x:c>
      <x:c r="E2134" s="380" t="n">
        <x:v>29</x:v>
      </x:c>
      <x:c r="F2134" s="380" t="n">
        <x:v>2</x:v>
      </x:c>
      <x:c r="G2134" s="380" t="n">
        <x:f>--(F2134&lt;='Estimator'!$B$7)</x:f>
        <x:v>1</x:v>
      </x:c>
      <x:c r="H2134" s="381" t="n">
        <x:f>SUMIFS('Climate Data'!$G$7:$G$366,'Climate Data'!$A$7:$A$366,'Estimator'!$B$4,'Climate Data'!$B$7:$B$366,C2134)</x:f>
        <x:v>0.3721198156682028</x:v>
      </x:c>
      <x:c r="I2134" s="382" t="n">
        <x:f>SUMIFS('Climate Data'!$H$7:$H$366,'Climate Data'!$A$7:$A$366,'Estimator'!$B$4,'Climate Data'!$B$7:$B$366,C2134)</x:f>
        <x:v>7.940557275541795</x:v>
      </x:c>
      <x:c r="J2134" s="381" t="n">
        <x:f>SUMIFS('Wind Proxy'!$H$8:$H$19,'Wind Proxy'!$A$8:$A$19,'Estimator'!$B$4,'Wind Proxy'!$B$8:$B$19,C2134)</x:f>
        <x:v>0.21505376344086022</x:v>
      </x:c>
    </x:row>
    <x:row r="2135">
      <x:c r="A2135" s="379" t="n">
        <x:v>47786</x:v>
      </x:c>
      <x:c r="B2135" s="380" t="n">
        <x:v>2030</x:v>
      </x:c>
      <x:c r="C2135" s="380" t="n">
        <x:v>10</x:v>
      </x:c>
      <x:c r="D2135" s="380" t="str">
        <x:v>Oct</x:v>
      </x:c>
      <x:c r="E2135" s="380" t="n">
        <x:v>30</x:v>
      </x:c>
      <x:c r="F2135" s="380" t="n">
        <x:v>3</x:v>
      </x:c>
      <x:c r="G2135" s="380" t="n">
        <x:f>--(F2135&lt;='Estimator'!$B$7)</x:f>
        <x:v>1</x:v>
      </x:c>
      <x:c r="H2135" s="381" t="n">
        <x:f>SUMIFS('Climate Data'!$G$7:$G$366,'Climate Data'!$A$7:$A$366,'Estimator'!$B$4,'Climate Data'!$B$7:$B$366,C2135)</x:f>
        <x:v>0.3721198156682028</x:v>
      </x:c>
      <x:c r="I2135" s="382" t="n">
        <x:f>SUMIFS('Climate Data'!$H$7:$H$366,'Climate Data'!$A$7:$A$366,'Estimator'!$B$4,'Climate Data'!$B$7:$B$366,C2135)</x:f>
        <x:v>7.940557275541795</x:v>
      </x:c>
      <x:c r="J2135" s="381" t="n">
        <x:f>SUMIFS('Wind Proxy'!$H$8:$H$19,'Wind Proxy'!$A$8:$A$19,'Estimator'!$B$4,'Wind Proxy'!$B$8:$B$19,C2135)</x:f>
        <x:v>0.21505376344086022</x:v>
      </x:c>
    </x:row>
    <x:row r="2136">
      <x:c r="A2136" s="379" t="n">
        <x:v>47787</x:v>
      </x:c>
      <x:c r="B2136" s="380" t="n">
        <x:v>2030</x:v>
      </x:c>
      <x:c r="C2136" s="380" t="n">
        <x:v>10</x:v>
      </x:c>
      <x:c r="D2136" s="380" t="str">
        <x:v>Oct</x:v>
      </x:c>
      <x:c r="E2136" s="380" t="n">
        <x:v>31</x:v>
      </x:c>
      <x:c r="F2136" s="380" t="n">
        <x:v>4</x:v>
      </x:c>
      <x:c r="G2136" s="380" t="n">
        <x:f>--(F2136&lt;='Estimator'!$B$7)</x:f>
        <x:v>1</x:v>
      </x:c>
      <x:c r="H2136" s="381" t="n">
        <x:f>SUMIFS('Climate Data'!$G$7:$G$366,'Climate Data'!$A$7:$A$366,'Estimator'!$B$4,'Climate Data'!$B$7:$B$366,C2136)</x:f>
        <x:v>0.3721198156682028</x:v>
      </x:c>
      <x:c r="I2136" s="382" t="n">
        <x:f>SUMIFS('Climate Data'!$H$7:$H$366,'Climate Data'!$A$7:$A$366,'Estimator'!$B$4,'Climate Data'!$B$7:$B$366,C2136)</x:f>
        <x:v>7.940557275541795</x:v>
      </x:c>
      <x:c r="J2136" s="381" t="n">
        <x:f>SUMIFS('Wind Proxy'!$H$8:$H$19,'Wind Proxy'!$A$8:$A$19,'Estimator'!$B$4,'Wind Proxy'!$B$8:$B$19,C2136)</x:f>
        <x:v>0.21505376344086022</x:v>
      </x:c>
    </x:row>
    <x:row r="2137">
      <x:c r="A2137" s="379" t="n">
        <x:v>47788</x:v>
      </x:c>
      <x:c r="B2137" s="380" t="n">
        <x:v>2030</x:v>
      </x:c>
      <x:c r="C2137" s="380" t="n">
        <x:v>11</x:v>
      </x:c>
      <x:c r="D2137" s="380" t="str">
        <x:v>Nov</x:v>
      </x:c>
      <x:c r="E2137" s="380" t="n">
        <x:v>1</x:v>
      </x:c>
      <x:c r="F2137" s="380" t="n">
        <x:v>5</x:v>
      </x:c>
      <x:c r="G2137" s="380" t="n">
        <x:f>--(F2137&lt;='Estimator'!$B$7)</x:f>
        <x:v>1</x:v>
      </x:c>
      <x:c r="H2137" s="381" t="n">
        <x:f>SUMIFS('Climate Data'!$G$7:$G$366,'Climate Data'!$A$7:$A$366,'Estimator'!$B$4,'Climate Data'!$B$7:$B$366,C2137)</x:f>
        <x:v>0.3111111111111111</x:v>
      </x:c>
      <x:c r="I2137" s="382" t="n">
        <x:f>SUMIFS('Climate Data'!$H$7:$H$366,'Climate Data'!$A$7:$A$366,'Estimator'!$B$4,'Climate Data'!$B$7:$B$366,C2137)</x:f>
        <x:v>7.382142857142857</x:v>
      </x:c>
      <x:c r="J2137" s="381" t="n">
        <x:f>SUMIFS('Wind Proxy'!$H$8:$H$19,'Wind Proxy'!$A$8:$A$19,'Estimator'!$B$4,'Wind Proxy'!$B$8:$B$19,C2137)</x:f>
        <x:v>0.22222222222222224</x:v>
      </x:c>
    </x:row>
    <x:row r="2138">
      <x:c r="A2138" s="379" t="n">
        <x:v>47789</x:v>
      </x:c>
      <x:c r="B2138" s="380" t="n">
        <x:v>2030</x:v>
      </x:c>
      <x:c r="C2138" s="380" t="n">
        <x:v>11</x:v>
      </x:c>
      <x:c r="D2138" s="380" t="str">
        <x:v>Nov</x:v>
      </x:c>
      <x:c r="E2138" s="380" t="n">
        <x:v>2</x:v>
      </x:c>
      <x:c r="F2138" s="380" t="n">
        <x:v>6</x:v>
      </x:c>
      <x:c r="G2138" s="380" t="n">
        <x:f>--(F2138&lt;='Estimator'!$B$7)</x:f>
        <x:v>0</x:v>
      </x:c>
      <x:c r="H2138" s="381" t="n">
        <x:f>SUMIFS('Climate Data'!$G$7:$G$366,'Climate Data'!$A$7:$A$366,'Estimator'!$B$4,'Climate Data'!$B$7:$B$366,C2138)</x:f>
        <x:v>0.3111111111111111</x:v>
      </x:c>
      <x:c r="I2138" s="382" t="n">
        <x:f>SUMIFS('Climate Data'!$H$7:$H$366,'Climate Data'!$A$7:$A$366,'Estimator'!$B$4,'Climate Data'!$B$7:$B$366,C2138)</x:f>
        <x:v>7.382142857142857</x:v>
      </x:c>
      <x:c r="J2138" s="381" t="n">
        <x:f>SUMIFS('Wind Proxy'!$H$8:$H$19,'Wind Proxy'!$A$8:$A$19,'Estimator'!$B$4,'Wind Proxy'!$B$8:$B$19,C2138)</x:f>
        <x:v>0.22222222222222224</x:v>
      </x:c>
    </x:row>
    <x:row r="2139">
      <x:c r="A2139" s="379" t="n">
        <x:v>47790</x:v>
      </x:c>
      <x:c r="B2139" s="380" t="n">
        <x:v>2030</x:v>
      </x:c>
      <x:c r="C2139" s="380" t="n">
        <x:v>11</x:v>
      </x:c>
      <x:c r="D2139" s="380" t="str">
        <x:v>Nov</x:v>
      </x:c>
      <x:c r="E2139" s="380" t="n">
        <x:v>3</x:v>
      </x:c>
      <x:c r="F2139" s="380" t="n">
        <x:v>7</x:v>
      </x:c>
      <x:c r="G2139" s="380" t="n">
        <x:f>--(F2139&lt;='Estimator'!$B$7)</x:f>
        <x:v>0</x:v>
      </x:c>
      <x:c r="H2139" s="381" t="n">
        <x:f>SUMIFS('Climate Data'!$G$7:$G$366,'Climate Data'!$A$7:$A$366,'Estimator'!$B$4,'Climate Data'!$B$7:$B$366,C2139)</x:f>
        <x:v>0.3111111111111111</x:v>
      </x:c>
      <x:c r="I2139" s="382" t="n">
        <x:f>SUMIFS('Climate Data'!$H$7:$H$366,'Climate Data'!$A$7:$A$366,'Estimator'!$B$4,'Climate Data'!$B$7:$B$366,C2139)</x:f>
        <x:v>7.382142857142857</x:v>
      </x:c>
      <x:c r="J2139" s="381" t="n">
        <x:f>SUMIFS('Wind Proxy'!$H$8:$H$19,'Wind Proxy'!$A$8:$A$19,'Estimator'!$B$4,'Wind Proxy'!$B$8:$B$19,C2139)</x:f>
        <x:v>0.22222222222222224</x:v>
      </x:c>
    </x:row>
    <x:row r="2140">
      <x:c r="A2140" s="379" t="n">
        <x:v>47791</x:v>
      </x:c>
      <x:c r="B2140" s="380" t="n">
        <x:v>2030</x:v>
      </x:c>
      <x:c r="C2140" s="380" t="n">
        <x:v>11</x:v>
      </x:c>
      <x:c r="D2140" s="380" t="str">
        <x:v>Nov</x:v>
      </x:c>
      <x:c r="E2140" s="380" t="n">
        <x:v>4</x:v>
      </x:c>
      <x:c r="F2140" s="380" t="n">
        <x:v>1</x:v>
      </x:c>
      <x:c r="G2140" s="380" t="n">
        <x:f>--(F2140&lt;='Estimator'!$B$7)</x:f>
        <x:v>1</x:v>
      </x:c>
      <x:c r="H2140" s="381" t="n">
        <x:f>SUMIFS('Climate Data'!$G$7:$G$366,'Climate Data'!$A$7:$A$366,'Estimator'!$B$4,'Climate Data'!$B$7:$B$366,C2140)</x:f>
        <x:v>0.3111111111111111</x:v>
      </x:c>
      <x:c r="I2140" s="382" t="n">
        <x:f>SUMIFS('Climate Data'!$H$7:$H$366,'Climate Data'!$A$7:$A$366,'Estimator'!$B$4,'Climate Data'!$B$7:$B$366,C2140)</x:f>
        <x:v>7.382142857142857</x:v>
      </x:c>
      <x:c r="J2140" s="381" t="n">
        <x:f>SUMIFS('Wind Proxy'!$H$8:$H$19,'Wind Proxy'!$A$8:$A$19,'Estimator'!$B$4,'Wind Proxy'!$B$8:$B$19,C2140)</x:f>
        <x:v>0.22222222222222224</x:v>
      </x:c>
    </x:row>
    <x:row r="2141">
      <x:c r="A2141" s="379" t="n">
        <x:v>47792</x:v>
      </x:c>
      <x:c r="B2141" s="380" t="n">
        <x:v>2030</x:v>
      </x:c>
      <x:c r="C2141" s="380" t="n">
        <x:v>11</x:v>
      </x:c>
      <x:c r="D2141" s="380" t="str">
        <x:v>Nov</x:v>
      </x:c>
      <x:c r="E2141" s="380" t="n">
        <x:v>5</x:v>
      </x:c>
      <x:c r="F2141" s="380" t="n">
        <x:v>2</x:v>
      </x:c>
      <x:c r="G2141" s="380" t="n">
        <x:f>--(F2141&lt;='Estimator'!$B$7)</x:f>
        <x:v>1</x:v>
      </x:c>
      <x:c r="H2141" s="381" t="n">
        <x:f>SUMIFS('Climate Data'!$G$7:$G$366,'Climate Data'!$A$7:$A$366,'Estimator'!$B$4,'Climate Data'!$B$7:$B$366,C2141)</x:f>
        <x:v>0.3111111111111111</x:v>
      </x:c>
      <x:c r="I2141" s="382" t="n">
        <x:f>SUMIFS('Climate Data'!$H$7:$H$366,'Climate Data'!$A$7:$A$366,'Estimator'!$B$4,'Climate Data'!$B$7:$B$366,C2141)</x:f>
        <x:v>7.382142857142857</x:v>
      </x:c>
      <x:c r="J2141" s="381" t="n">
        <x:f>SUMIFS('Wind Proxy'!$H$8:$H$19,'Wind Proxy'!$A$8:$A$19,'Estimator'!$B$4,'Wind Proxy'!$B$8:$B$19,C2141)</x:f>
        <x:v>0.22222222222222224</x:v>
      </x:c>
    </x:row>
    <x:row r="2142">
      <x:c r="A2142" s="379" t="n">
        <x:v>47793</x:v>
      </x:c>
      <x:c r="B2142" s="380" t="n">
        <x:v>2030</x:v>
      </x:c>
      <x:c r="C2142" s="380" t="n">
        <x:v>11</x:v>
      </x:c>
      <x:c r="D2142" s="380" t="str">
        <x:v>Nov</x:v>
      </x:c>
      <x:c r="E2142" s="380" t="n">
        <x:v>6</x:v>
      </x:c>
      <x:c r="F2142" s="380" t="n">
        <x:v>3</x:v>
      </x:c>
      <x:c r="G2142" s="380" t="n">
        <x:f>--(F2142&lt;='Estimator'!$B$7)</x:f>
        <x:v>1</x:v>
      </x:c>
      <x:c r="H2142" s="381" t="n">
        <x:f>SUMIFS('Climate Data'!$G$7:$G$366,'Climate Data'!$A$7:$A$366,'Estimator'!$B$4,'Climate Data'!$B$7:$B$366,C2142)</x:f>
        <x:v>0.3111111111111111</x:v>
      </x:c>
      <x:c r="I2142" s="382" t="n">
        <x:f>SUMIFS('Climate Data'!$H$7:$H$366,'Climate Data'!$A$7:$A$366,'Estimator'!$B$4,'Climate Data'!$B$7:$B$366,C2142)</x:f>
        <x:v>7.382142857142857</x:v>
      </x:c>
      <x:c r="J2142" s="381" t="n">
        <x:f>SUMIFS('Wind Proxy'!$H$8:$H$19,'Wind Proxy'!$A$8:$A$19,'Estimator'!$B$4,'Wind Proxy'!$B$8:$B$19,C2142)</x:f>
        <x:v>0.22222222222222224</x:v>
      </x:c>
    </x:row>
    <x:row r="2143">
      <x:c r="A2143" s="379" t="n">
        <x:v>47794</x:v>
      </x:c>
      <x:c r="B2143" s="380" t="n">
        <x:v>2030</x:v>
      </x:c>
      <x:c r="C2143" s="380" t="n">
        <x:v>11</x:v>
      </x:c>
      <x:c r="D2143" s="380" t="str">
        <x:v>Nov</x:v>
      </x:c>
      <x:c r="E2143" s="380" t="n">
        <x:v>7</x:v>
      </x:c>
      <x:c r="F2143" s="380" t="n">
        <x:v>4</x:v>
      </x:c>
      <x:c r="G2143" s="380" t="n">
        <x:f>--(F2143&lt;='Estimator'!$B$7)</x:f>
        <x:v>1</x:v>
      </x:c>
      <x:c r="H2143" s="381" t="n">
        <x:f>SUMIFS('Climate Data'!$G$7:$G$366,'Climate Data'!$A$7:$A$366,'Estimator'!$B$4,'Climate Data'!$B$7:$B$366,C2143)</x:f>
        <x:v>0.3111111111111111</x:v>
      </x:c>
      <x:c r="I2143" s="382" t="n">
        <x:f>SUMIFS('Climate Data'!$H$7:$H$366,'Climate Data'!$A$7:$A$366,'Estimator'!$B$4,'Climate Data'!$B$7:$B$366,C2143)</x:f>
        <x:v>7.382142857142857</x:v>
      </x:c>
      <x:c r="J2143" s="381" t="n">
        <x:f>SUMIFS('Wind Proxy'!$H$8:$H$19,'Wind Proxy'!$A$8:$A$19,'Estimator'!$B$4,'Wind Proxy'!$B$8:$B$19,C2143)</x:f>
        <x:v>0.22222222222222224</x:v>
      </x:c>
    </x:row>
    <x:row r="2144">
      <x:c r="A2144" s="379" t="n">
        <x:v>47795</x:v>
      </x:c>
      <x:c r="B2144" s="380" t="n">
        <x:v>2030</x:v>
      </x:c>
      <x:c r="C2144" s="380" t="n">
        <x:v>11</x:v>
      </x:c>
      <x:c r="D2144" s="380" t="str">
        <x:v>Nov</x:v>
      </x:c>
      <x:c r="E2144" s="380" t="n">
        <x:v>8</x:v>
      </x:c>
      <x:c r="F2144" s="380" t="n">
        <x:v>5</x:v>
      </x:c>
      <x:c r="G2144" s="380" t="n">
        <x:f>--(F2144&lt;='Estimator'!$B$7)</x:f>
        <x:v>1</x:v>
      </x:c>
      <x:c r="H2144" s="381" t="n">
        <x:f>SUMIFS('Climate Data'!$G$7:$G$366,'Climate Data'!$A$7:$A$366,'Estimator'!$B$4,'Climate Data'!$B$7:$B$366,C2144)</x:f>
        <x:v>0.3111111111111111</x:v>
      </x:c>
      <x:c r="I2144" s="382" t="n">
        <x:f>SUMIFS('Climate Data'!$H$7:$H$366,'Climate Data'!$A$7:$A$366,'Estimator'!$B$4,'Climate Data'!$B$7:$B$366,C2144)</x:f>
        <x:v>7.382142857142857</x:v>
      </x:c>
      <x:c r="J2144" s="381" t="n">
        <x:f>SUMIFS('Wind Proxy'!$H$8:$H$19,'Wind Proxy'!$A$8:$A$19,'Estimator'!$B$4,'Wind Proxy'!$B$8:$B$19,C2144)</x:f>
        <x:v>0.22222222222222224</x:v>
      </x:c>
    </x:row>
    <x:row r="2145">
      <x:c r="A2145" s="379" t="n">
        <x:v>47796</x:v>
      </x:c>
      <x:c r="B2145" s="380" t="n">
        <x:v>2030</x:v>
      </x:c>
      <x:c r="C2145" s="380" t="n">
        <x:v>11</x:v>
      </x:c>
      <x:c r="D2145" s="380" t="str">
        <x:v>Nov</x:v>
      </x:c>
      <x:c r="E2145" s="380" t="n">
        <x:v>9</x:v>
      </x:c>
      <x:c r="F2145" s="380" t="n">
        <x:v>6</x:v>
      </x:c>
      <x:c r="G2145" s="380" t="n">
        <x:f>--(F2145&lt;='Estimator'!$B$7)</x:f>
        <x:v>0</x:v>
      </x:c>
      <x:c r="H2145" s="381" t="n">
        <x:f>SUMIFS('Climate Data'!$G$7:$G$366,'Climate Data'!$A$7:$A$366,'Estimator'!$B$4,'Climate Data'!$B$7:$B$366,C2145)</x:f>
        <x:v>0.3111111111111111</x:v>
      </x:c>
      <x:c r="I2145" s="382" t="n">
        <x:f>SUMIFS('Climate Data'!$H$7:$H$366,'Climate Data'!$A$7:$A$366,'Estimator'!$B$4,'Climate Data'!$B$7:$B$366,C2145)</x:f>
        <x:v>7.382142857142857</x:v>
      </x:c>
      <x:c r="J2145" s="381" t="n">
        <x:f>SUMIFS('Wind Proxy'!$H$8:$H$19,'Wind Proxy'!$A$8:$A$19,'Estimator'!$B$4,'Wind Proxy'!$B$8:$B$19,C2145)</x:f>
        <x:v>0.22222222222222224</x:v>
      </x:c>
    </x:row>
    <x:row r="2146">
      <x:c r="A2146" s="379" t="n">
        <x:v>47797</x:v>
      </x:c>
      <x:c r="B2146" s="380" t="n">
        <x:v>2030</x:v>
      </x:c>
      <x:c r="C2146" s="380" t="n">
        <x:v>11</x:v>
      </x:c>
      <x:c r="D2146" s="380" t="str">
        <x:v>Nov</x:v>
      </x:c>
      <x:c r="E2146" s="380" t="n">
        <x:v>10</x:v>
      </x:c>
      <x:c r="F2146" s="380" t="n">
        <x:v>7</x:v>
      </x:c>
      <x:c r="G2146" s="380" t="n">
        <x:f>--(F2146&lt;='Estimator'!$B$7)</x:f>
        <x:v>0</x:v>
      </x:c>
      <x:c r="H2146" s="381" t="n">
        <x:f>SUMIFS('Climate Data'!$G$7:$G$366,'Climate Data'!$A$7:$A$366,'Estimator'!$B$4,'Climate Data'!$B$7:$B$366,C2146)</x:f>
        <x:v>0.3111111111111111</x:v>
      </x:c>
      <x:c r="I2146" s="382" t="n">
        <x:f>SUMIFS('Climate Data'!$H$7:$H$366,'Climate Data'!$A$7:$A$366,'Estimator'!$B$4,'Climate Data'!$B$7:$B$366,C2146)</x:f>
        <x:v>7.382142857142857</x:v>
      </x:c>
      <x:c r="J2146" s="381" t="n">
        <x:f>SUMIFS('Wind Proxy'!$H$8:$H$19,'Wind Proxy'!$A$8:$A$19,'Estimator'!$B$4,'Wind Proxy'!$B$8:$B$19,C2146)</x:f>
        <x:v>0.22222222222222224</x:v>
      </x:c>
    </x:row>
    <x:row r="2147">
      <x:c r="A2147" s="379" t="n">
        <x:v>47798</x:v>
      </x:c>
      <x:c r="B2147" s="380" t="n">
        <x:v>2030</x:v>
      </x:c>
      <x:c r="C2147" s="380" t="n">
        <x:v>11</x:v>
      </x:c>
      <x:c r="D2147" s="380" t="str">
        <x:v>Nov</x:v>
      </x:c>
      <x:c r="E2147" s="380" t="n">
        <x:v>11</x:v>
      </x:c>
      <x:c r="F2147" s="380" t="n">
        <x:v>1</x:v>
      </x:c>
      <x:c r="G2147" s="380" t="n">
        <x:f>--(F2147&lt;='Estimator'!$B$7)</x:f>
        <x:v>1</x:v>
      </x:c>
      <x:c r="H2147" s="381" t="n">
        <x:f>SUMIFS('Climate Data'!$G$7:$G$366,'Climate Data'!$A$7:$A$366,'Estimator'!$B$4,'Climate Data'!$B$7:$B$366,C2147)</x:f>
        <x:v>0.3111111111111111</x:v>
      </x:c>
      <x:c r="I2147" s="382" t="n">
        <x:f>SUMIFS('Climate Data'!$H$7:$H$366,'Climate Data'!$A$7:$A$366,'Estimator'!$B$4,'Climate Data'!$B$7:$B$366,C2147)</x:f>
        <x:v>7.382142857142857</x:v>
      </x:c>
      <x:c r="J2147" s="381" t="n">
        <x:f>SUMIFS('Wind Proxy'!$H$8:$H$19,'Wind Proxy'!$A$8:$A$19,'Estimator'!$B$4,'Wind Proxy'!$B$8:$B$19,C2147)</x:f>
        <x:v>0.22222222222222224</x:v>
      </x:c>
    </x:row>
    <x:row r="2148">
      <x:c r="A2148" s="379" t="n">
        <x:v>47799</x:v>
      </x:c>
      <x:c r="B2148" s="380" t="n">
        <x:v>2030</x:v>
      </x:c>
      <x:c r="C2148" s="380" t="n">
        <x:v>11</x:v>
      </x:c>
      <x:c r="D2148" s="380" t="str">
        <x:v>Nov</x:v>
      </x:c>
      <x:c r="E2148" s="380" t="n">
        <x:v>12</x:v>
      </x:c>
      <x:c r="F2148" s="380" t="n">
        <x:v>2</x:v>
      </x:c>
      <x:c r="G2148" s="380" t="n">
        <x:f>--(F2148&lt;='Estimator'!$B$7)</x:f>
        <x:v>1</x:v>
      </x:c>
      <x:c r="H2148" s="381" t="n">
        <x:f>SUMIFS('Climate Data'!$G$7:$G$366,'Climate Data'!$A$7:$A$366,'Estimator'!$B$4,'Climate Data'!$B$7:$B$366,C2148)</x:f>
        <x:v>0.3111111111111111</x:v>
      </x:c>
      <x:c r="I2148" s="382" t="n">
        <x:f>SUMIFS('Climate Data'!$H$7:$H$366,'Climate Data'!$A$7:$A$366,'Estimator'!$B$4,'Climate Data'!$B$7:$B$366,C2148)</x:f>
        <x:v>7.382142857142857</x:v>
      </x:c>
      <x:c r="J2148" s="381" t="n">
        <x:f>SUMIFS('Wind Proxy'!$H$8:$H$19,'Wind Proxy'!$A$8:$A$19,'Estimator'!$B$4,'Wind Proxy'!$B$8:$B$19,C2148)</x:f>
        <x:v>0.22222222222222224</x:v>
      </x:c>
    </x:row>
    <x:row r="2149">
      <x:c r="A2149" s="379" t="n">
        <x:v>47800</x:v>
      </x:c>
      <x:c r="B2149" s="380" t="n">
        <x:v>2030</x:v>
      </x:c>
      <x:c r="C2149" s="380" t="n">
        <x:v>11</x:v>
      </x:c>
      <x:c r="D2149" s="380" t="str">
        <x:v>Nov</x:v>
      </x:c>
      <x:c r="E2149" s="380" t="n">
        <x:v>13</x:v>
      </x:c>
      <x:c r="F2149" s="380" t="n">
        <x:v>3</x:v>
      </x:c>
      <x:c r="G2149" s="380" t="n">
        <x:f>--(F2149&lt;='Estimator'!$B$7)</x:f>
        <x:v>1</x:v>
      </x:c>
      <x:c r="H2149" s="381" t="n">
        <x:f>SUMIFS('Climate Data'!$G$7:$G$366,'Climate Data'!$A$7:$A$366,'Estimator'!$B$4,'Climate Data'!$B$7:$B$366,C2149)</x:f>
        <x:v>0.3111111111111111</x:v>
      </x:c>
      <x:c r="I2149" s="382" t="n">
        <x:f>SUMIFS('Climate Data'!$H$7:$H$366,'Climate Data'!$A$7:$A$366,'Estimator'!$B$4,'Climate Data'!$B$7:$B$366,C2149)</x:f>
        <x:v>7.382142857142857</x:v>
      </x:c>
      <x:c r="J2149" s="381" t="n">
        <x:f>SUMIFS('Wind Proxy'!$H$8:$H$19,'Wind Proxy'!$A$8:$A$19,'Estimator'!$B$4,'Wind Proxy'!$B$8:$B$19,C2149)</x:f>
        <x:v>0.22222222222222224</x:v>
      </x:c>
    </x:row>
    <x:row r="2150">
      <x:c r="A2150" s="379" t="n">
        <x:v>47801</x:v>
      </x:c>
      <x:c r="B2150" s="380" t="n">
        <x:v>2030</x:v>
      </x:c>
      <x:c r="C2150" s="380" t="n">
        <x:v>11</x:v>
      </x:c>
      <x:c r="D2150" s="380" t="str">
        <x:v>Nov</x:v>
      </x:c>
      <x:c r="E2150" s="380" t="n">
        <x:v>14</x:v>
      </x:c>
      <x:c r="F2150" s="380" t="n">
        <x:v>4</x:v>
      </x:c>
      <x:c r="G2150" s="380" t="n">
        <x:f>--(F2150&lt;='Estimator'!$B$7)</x:f>
        <x:v>1</x:v>
      </x:c>
      <x:c r="H2150" s="381" t="n">
        <x:f>SUMIFS('Climate Data'!$G$7:$G$366,'Climate Data'!$A$7:$A$366,'Estimator'!$B$4,'Climate Data'!$B$7:$B$366,C2150)</x:f>
        <x:v>0.3111111111111111</x:v>
      </x:c>
      <x:c r="I2150" s="382" t="n">
        <x:f>SUMIFS('Climate Data'!$H$7:$H$366,'Climate Data'!$A$7:$A$366,'Estimator'!$B$4,'Climate Data'!$B$7:$B$366,C2150)</x:f>
        <x:v>7.382142857142857</x:v>
      </x:c>
      <x:c r="J2150" s="381" t="n">
        <x:f>SUMIFS('Wind Proxy'!$H$8:$H$19,'Wind Proxy'!$A$8:$A$19,'Estimator'!$B$4,'Wind Proxy'!$B$8:$B$19,C2150)</x:f>
        <x:v>0.22222222222222224</x:v>
      </x:c>
    </x:row>
    <x:row r="2151">
      <x:c r="A2151" s="379" t="n">
        <x:v>47802</x:v>
      </x:c>
      <x:c r="B2151" s="380" t="n">
        <x:v>2030</x:v>
      </x:c>
      <x:c r="C2151" s="380" t="n">
        <x:v>11</x:v>
      </x:c>
      <x:c r="D2151" s="380" t="str">
        <x:v>Nov</x:v>
      </x:c>
      <x:c r="E2151" s="380" t="n">
        <x:v>15</x:v>
      </x:c>
      <x:c r="F2151" s="380" t="n">
        <x:v>5</x:v>
      </x:c>
      <x:c r="G2151" s="380" t="n">
        <x:f>--(F2151&lt;='Estimator'!$B$7)</x:f>
        <x:v>1</x:v>
      </x:c>
      <x:c r="H2151" s="381" t="n">
        <x:f>SUMIFS('Climate Data'!$G$7:$G$366,'Climate Data'!$A$7:$A$366,'Estimator'!$B$4,'Climate Data'!$B$7:$B$366,C2151)</x:f>
        <x:v>0.3111111111111111</x:v>
      </x:c>
      <x:c r="I2151" s="382" t="n">
        <x:f>SUMIFS('Climate Data'!$H$7:$H$366,'Climate Data'!$A$7:$A$366,'Estimator'!$B$4,'Climate Data'!$B$7:$B$366,C2151)</x:f>
        <x:v>7.382142857142857</x:v>
      </x:c>
      <x:c r="J2151" s="381" t="n">
        <x:f>SUMIFS('Wind Proxy'!$H$8:$H$19,'Wind Proxy'!$A$8:$A$19,'Estimator'!$B$4,'Wind Proxy'!$B$8:$B$19,C2151)</x:f>
        <x:v>0.22222222222222224</x:v>
      </x:c>
    </x:row>
    <x:row r="2152">
      <x:c r="A2152" s="379" t="n">
        <x:v>47803</x:v>
      </x:c>
      <x:c r="B2152" s="380" t="n">
        <x:v>2030</x:v>
      </x:c>
      <x:c r="C2152" s="380" t="n">
        <x:v>11</x:v>
      </x:c>
      <x:c r="D2152" s="380" t="str">
        <x:v>Nov</x:v>
      </x:c>
      <x:c r="E2152" s="380" t="n">
        <x:v>16</x:v>
      </x:c>
      <x:c r="F2152" s="380" t="n">
        <x:v>6</x:v>
      </x:c>
      <x:c r="G2152" s="380" t="n">
        <x:f>--(F2152&lt;='Estimator'!$B$7)</x:f>
        <x:v>0</x:v>
      </x:c>
      <x:c r="H2152" s="381" t="n">
        <x:f>SUMIFS('Climate Data'!$G$7:$G$366,'Climate Data'!$A$7:$A$366,'Estimator'!$B$4,'Climate Data'!$B$7:$B$366,C2152)</x:f>
        <x:v>0.3111111111111111</x:v>
      </x:c>
      <x:c r="I2152" s="382" t="n">
        <x:f>SUMIFS('Climate Data'!$H$7:$H$366,'Climate Data'!$A$7:$A$366,'Estimator'!$B$4,'Climate Data'!$B$7:$B$366,C2152)</x:f>
        <x:v>7.382142857142857</x:v>
      </x:c>
      <x:c r="J2152" s="381" t="n">
        <x:f>SUMIFS('Wind Proxy'!$H$8:$H$19,'Wind Proxy'!$A$8:$A$19,'Estimator'!$B$4,'Wind Proxy'!$B$8:$B$19,C2152)</x:f>
        <x:v>0.22222222222222224</x:v>
      </x:c>
    </x:row>
    <x:row r="2153">
      <x:c r="A2153" s="379" t="n">
        <x:v>47804</x:v>
      </x:c>
      <x:c r="B2153" s="380" t="n">
        <x:v>2030</x:v>
      </x:c>
      <x:c r="C2153" s="380" t="n">
        <x:v>11</x:v>
      </x:c>
      <x:c r="D2153" s="380" t="str">
        <x:v>Nov</x:v>
      </x:c>
      <x:c r="E2153" s="380" t="n">
        <x:v>17</x:v>
      </x:c>
      <x:c r="F2153" s="380" t="n">
        <x:v>7</x:v>
      </x:c>
      <x:c r="G2153" s="380" t="n">
        <x:f>--(F2153&lt;='Estimator'!$B$7)</x:f>
        <x:v>0</x:v>
      </x:c>
      <x:c r="H2153" s="381" t="n">
        <x:f>SUMIFS('Climate Data'!$G$7:$G$366,'Climate Data'!$A$7:$A$366,'Estimator'!$B$4,'Climate Data'!$B$7:$B$366,C2153)</x:f>
        <x:v>0.3111111111111111</x:v>
      </x:c>
      <x:c r="I2153" s="382" t="n">
        <x:f>SUMIFS('Climate Data'!$H$7:$H$366,'Climate Data'!$A$7:$A$366,'Estimator'!$B$4,'Climate Data'!$B$7:$B$366,C2153)</x:f>
        <x:v>7.382142857142857</x:v>
      </x:c>
      <x:c r="J2153" s="381" t="n">
        <x:f>SUMIFS('Wind Proxy'!$H$8:$H$19,'Wind Proxy'!$A$8:$A$19,'Estimator'!$B$4,'Wind Proxy'!$B$8:$B$19,C2153)</x:f>
        <x:v>0.22222222222222224</x:v>
      </x:c>
    </x:row>
    <x:row r="2154">
      <x:c r="A2154" s="379" t="n">
        <x:v>47805</x:v>
      </x:c>
      <x:c r="B2154" s="380" t="n">
        <x:v>2030</x:v>
      </x:c>
      <x:c r="C2154" s="380" t="n">
        <x:v>11</x:v>
      </x:c>
      <x:c r="D2154" s="380" t="str">
        <x:v>Nov</x:v>
      </x:c>
      <x:c r="E2154" s="380" t="n">
        <x:v>18</x:v>
      </x:c>
      <x:c r="F2154" s="380" t="n">
        <x:v>1</x:v>
      </x:c>
      <x:c r="G2154" s="380" t="n">
        <x:f>--(F2154&lt;='Estimator'!$B$7)</x:f>
        <x:v>1</x:v>
      </x:c>
      <x:c r="H2154" s="381" t="n">
        <x:f>SUMIFS('Climate Data'!$G$7:$G$366,'Climate Data'!$A$7:$A$366,'Estimator'!$B$4,'Climate Data'!$B$7:$B$366,C2154)</x:f>
        <x:v>0.3111111111111111</x:v>
      </x:c>
      <x:c r="I2154" s="382" t="n">
        <x:f>SUMIFS('Climate Data'!$H$7:$H$366,'Climate Data'!$A$7:$A$366,'Estimator'!$B$4,'Climate Data'!$B$7:$B$366,C2154)</x:f>
        <x:v>7.382142857142857</x:v>
      </x:c>
      <x:c r="J2154" s="381" t="n">
        <x:f>SUMIFS('Wind Proxy'!$H$8:$H$19,'Wind Proxy'!$A$8:$A$19,'Estimator'!$B$4,'Wind Proxy'!$B$8:$B$19,C2154)</x:f>
        <x:v>0.22222222222222224</x:v>
      </x:c>
    </x:row>
    <x:row r="2155">
      <x:c r="A2155" s="379" t="n">
        <x:v>47806</x:v>
      </x:c>
      <x:c r="B2155" s="380" t="n">
        <x:v>2030</x:v>
      </x:c>
      <x:c r="C2155" s="380" t="n">
        <x:v>11</x:v>
      </x:c>
      <x:c r="D2155" s="380" t="str">
        <x:v>Nov</x:v>
      </x:c>
      <x:c r="E2155" s="380" t="n">
        <x:v>19</x:v>
      </x:c>
      <x:c r="F2155" s="380" t="n">
        <x:v>2</x:v>
      </x:c>
      <x:c r="G2155" s="380" t="n">
        <x:f>--(F2155&lt;='Estimator'!$B$7)</x:f>
        <x:v>1</x:v>
      </x:c>
      <x:c r="H2155" s="381" t="n">
        <x:f>SUMIFS('Climate Data'!$G$7:$G$366,'Climate Data'!$A$7:$A$366,'Estimator'!$B$4,'Climate Data'!$B$7:$B$366,C2155)</x:f>
        <x:v>0.3111111111111111</x:v>
      </x:c>
      <x:c r="I2155" s="382" t="n">
        <x:f>SUMIFS('Climate Data'!$H$7:$H$366,'Climate Data'!$A$7:$A$366,'Estimator'!$B$4,'Climate Data'!$B$7:$B$366,C2155)</x:f>
        <x:v>7.382142857142857</x:v>
      </x:c>
      <x:c r="J2155" s="381" t="n">
        <x:f>SUMIFS('Wind Proxy'!$H$8:$H$19,'Wind Proxy'!$A$8:$A$19,'Estimator'!$B$4,'Wind Proxy'!$B$8:$B$19,C2155)</x:f>
        <x:v>0.22222222222222224</x:v>
      </x:c>
    </x:row>
    <x:row r="2156">
      <x:c r="A2156" s="379" t="n">
        <x:v>47807</x:v>
      </x:c>
      <x:c r="B2156" s="380" t="n">
        <x:v>2030</x:v>
      </x:c>
      <x:c r="C2156" s="380" t="n">
        <x:v>11</x:v>
      </x:c>
      <x:c r="D2156" s="380" t="str">
        <x:v>Nov</x:v>
      </x:c>
      <x:c r="E2156" s="380" t="n">
        <x:v>20</x:v>
      </x:c>
      <x:c r="F2156" s="380" t="n">
        <x:v>3</x:v>
      </x:c>
      <x:c r="G2156" s="380" t="n">
        <x:f>--(F2156&lt;='Estimator'!$B$7)</x:f>
        <x:v>1</x:v>
      </x:c>
      <x:c r="H2156" s="381" t="n">
        <x:f>SUMIFS('Climate Data'!$G$7:$G$366,'Climate Data'!$A$7:$A$366,'Estimator'!$B$4,'Climate Data'!$B$7:$B$366,C2156)</x:f>
        <x:v>0.3111111111111111</x:v>
      </x:c>
      <x:c r="I2156" s="382" t="n">
        <x:f>SUMIFS('Climate Data'!$H$7:$H$366,'Climate Data'!$A$7:$A$366,'Estimator'!$B$4,'Climate Data'!$B$7:$B$366,C2156)</x:f>
        <x:v>7.382142857142857</x:v>
      </x:c>
      <x:c r="J2156" s="381" t="n">
        <x:f>SUMIFS('Wind Proxy'!$H$8:$H$19,'Wind Proxy'!$A$8:$A$19,'Estimator'!$B$4,'Wind Proxy'!$B$8:$B$19,C2156)</x:f>
        <x:v>0.22222222222222224</x:v>
      </x:c>
    </x:row>
    <x:row r="2157">
      <x:c r="A2157" s="379" t="n">
        <x:v>47808</x:v>
      </x:c>
      <x:c r="B2157" s="380" t="n">
        <x:v>2030</x:v>
      </x:c>
      <x:c r="C2157" s="380" t="n">
        <x:v>11</x:v>
      </x:c>
      <x:c r="D2157" s="380" t="str">
        <x:v>Nov</x:v>
      </x:c>
      <x:c r="E2157" s="380" t="n">
        <x:v>21</x:v>
      </x:c>
      <x:c r="F2157" s="380" t="n">
        <x:v>4</x:v>
      </x:c>
      <x:c r="G2157" s="380" t="n">
        <x:f>--(F2157&lt;='Estimator'!$B$7)</x:f>
        <x:v>1</x:v>
      </x:c>
      <x:c r="H2157" s="381" t="n">
        <x:f>SUMIFS('Climate Data'!$G$7:$G$366,'Climate Data'!$A$7:$A$366,'Estimator'!$B$4,'Climate Data'!$B$7:$B$366,C2157)</x:f>
        <x:v>0.3111111111111111</x:v>
      </x:c>
      <x:c r="I2157" s="382" t="n">
        <x:f>SUMIFS('Climate Data'!$H$7:$H$366,'Climate Data'!$A$7:$A$366,'Estimator'!$B$4,'Climate Data'!$B$7:$B$366,C2157)</x:f>
        <x:v>7.382142857142857</x:v>
      </x:c>
      <x:c r="J2157" s="381" t="n">
        <x:f>SUMIFS('Wind Proxy'!$H$8:$H$19,'Wind Proxy'!$A$8:$A$19,'Estimator'!$B$4,'Wind Proxy'!$B$8:$B$19,C2157)</x:f>
        <x:v>0.22222222222222224</x:v>
      </x:c>
    </x:row>
    <x:row r="2158">
      <x:c r="A2158" s="379" t="n">
        <x:v>47809</x:v>
      </x:c>
      <x:c r="B2158" s="380" t="n">
        <x:v>2030</x:v>
      </x:c>
      <x:c r="C2158" s="380" t="n">
        <x:v>11</x:v>
      </x:c>
      <x:c r="D2158" s="380" t="str">
        <x:v>Nov</x:v>
      </x:c>
      <x:c r="E2158" s="380" t="n">
        <x:v>22</x:v>
      </x:c>
      <x:c r="F2158" s="380" t="n">
        <x:v>5</x:v>
      </x:c>
      <x:c r="G2158" s="380" t="n">
        <x:f>--(F2158&lt;='Estimator'!$B$7)</x:f>
        <x:v>1</x:v>
      </x:c>
      <x:c r="H2158" s="381" t="n">
        <x:f>SUMIFS('Climate Data'!$G$7:$G$366,'Climate Data'!$A$7:$A$366,'Estimator'!$B$4,'Climate Data'!$B$7:$B$366,C2158)</x:f>
        <x:v>0.3111111111111111</x:v>
      </x:c>
      <x:c r="I2158" s="382" t="n">
        <x:f>SUMIFS('Climate Data'!$H$7:$H$366,'Climate Data'!$A$7:$A$366,'Estimator'!$B$4,'Climate Data'!$B$7:$B$366,C2158)</x:f>
        <x:v>7.382142857142857</x:v>
      </x:c>
      <x:c r="J2158" s="381" t="n">
        <x:f>SUMIFS('Wind Proxy'!$H$8:$H$19,'Wind Proxy'!$A$8:$A$19,'Estimator'!$B$4,'Wind Proxy'!$B$8:$B$19,C2158)</x:f>
        <x:v>0.22222222222222224</x:v>
      </x:c>
    </x:row>
    <x:row r="2159">
      <x:c r="A2159" s="379" t="n">
        <x:v>47810</x:v>
      </x:c>
      <x:c r="B2159" s="380" t="n">
        <x:v>2030</x:v>
      </x:c>
      <x:c r="C2159" s="380" t="n">
        <x:v>11</x:v>
      </x:c>
      <x:c r="D2159" s="380" t="str">
        <x:v>Nov</x:v>
      </x:c>
      <x:c r="E2159" s="380" t="n">
        <x:v>23</x:v>
      </x:c>
      <x:c r="F2159" s="380" t="n">
        <x:v>6</x:v>
      </x:c>
      <x:c r="G2159" s="380" t="n">
        <x:f>--(F2159&lt;='Estimator'!$B$7)</x:f>
        <x:v>0</x:v>
      </x:c>
      <x:c r="H2159" s="381" t="n">
        <x:f>SUMIFS('Climate Data'!$G$7:$G$366,'Climate Data'!$A$7:$A$366,'Estimator'!$B$4,'Climate Data'!$B$7:$B$366,C2159)</x:f>
        <x:v>0.3111111111111111</x:v>
      </x:c>
      <x:c r="I2159" s="382" t="n">
        <x:f>SUMIFS('Climate Data'!$H$7:$H$366,'Climate Data'!$A$7:$A$366,'Estimator'!$B$4,'Climate Data'!$B$7:$B$366,C2159)</x:f>
        <x:v>7.382142857142857</x:v>
      </x:c>
      <x:c r="J2159" s="381" t="n">
        <x:f>SUMIFS('Wind Proxy'!$H$8:$H$19,'Wind Proxy'!$A$8:$A$19,'Estimator'!$B$4,'Wind Proxy'!$B$8:$B$19,C2159)</x:f>
        <x:v>0.22222222222222224</x:v>
      </x:c>
    </x:row>
    <x:row r="2160">
      <x:c r="A2160" s="379" t="n">
        <x:v>47811</x:v>
      </x:c>
      <x:c r="B2160" s="380" t="n">
        <x:v>2030</x:v>
      </x:c>
      <x:c r="C2160" s="380" t="n">
        <x:v>11</x:v>
      </x:c>
      <x:c r="D2160" s="380" t="str">
        <x:v>Nov</x:v>
      </x:c>
      <x:c r="E2160" s="380" t="n">
        <x:v>24</x:v>
      </x:c>
      <x:c r="F2160" s="380" t="n">
        <x:v>7</x:v>
      </x:c>
      <x:c r="G2160" s="380" t="n">
        <x:f>--(F2160&lt;='Estimator'!$B$7)</x:f>
        <x:v>0</x:v>
      </x:c>
      <x:c r="H2160" s="381" t="n">
        <x:f>SUMIFS('Climate Data'!$G$7:$G$366,'Climate Data'!$A$7:$A$366,'Estimator'!$B$4,'Climate Data'!$B$7:$B$366,C2160)</x:f>
        <x:v>0.3111111111111111</x:v>
      </x:c>
      <x:c r="I2160" s="382" t="n">
        <x:f>SUMIFS('Climate Data'!$H$7:$H$366,'Climate Data'!$A$7:$A$366,'Estimator'!$B$4,'Climate Data'!$B$7:$B$366,C2160)</x:f>
        <x:v>7.382142857142857</x:v>
      </x:c>
      <x:c r="J2160" s="381" t="n">
        <x:f>SUMIFS('Wind Proxy'!$H$8:$H$19,'Wind Proxy'!$A$8:$A$19,'Estimator'!$B$4,'Wind Proxy'!$B$8:$B$19,C2160)</x:f>
        <x:v>0.22222222222222224</x:v>
      </x:c>
    </x:row>
    <x:row r="2161">
      <x:c r="A2161" s="379" t="n">
        <x:v>47812</x:v>
      </x:c>
      <x:c r="B2161" s="380" t="n">
        <x:v>2030</x:v>
      </x:c>
      <x:c r="C2161" s="380" t="n">
        <x:v>11</x:v>
      </x:c>
      <x:c r="D2161" s="380" t="str">
        <x:v>Nov</x:v>
      </x:c>
      <x:c r="E2161" s="380" t="n">
        <x:v>25</x:v>
      </x:c>
      <x:c r="F2161" s="380" t="n">
        <x:v>1</x:v>
      </x:c>
      <x:c r="G2161" s="380" t="n">
        <x:f>--(F2161&lt;='Estimator'!$B$7)</x:f>
        <x:v>1</x:v>
      </x:c>
      <x:c r="H2161" s="381" t="n">
        <x:f>SUMIFS('Climate Data'!$G$7:$G$366,'Climate Data'!$A$7:$A$366,'Estimator'!$B$4,'Climate Data'!$B$7:$B$366,C2161)</x:f>
        <x:v>0.3111111111111111</x:v>
      </x:c>
      <x:c r="I2161" s="382" t="n">
        <x:f>SUMIFS('Climate Data'!$H$7:$H$366,'Climate Data'!$A$7:$A$366,'Estimator'!$B$4,'Climate Data'!$B$7:$B$366,C2161)</x:f>
        <x:v>7.382142857142857</x:v>
      </x:c>
      <x:c r="J2161" s="381" t="n">
        <x:f>SUMIFS('Wind Proxy'!$H$8:$H$19,'Wind Proxy'!$A$8:$A$19,'Estimator'!$B$4,'Wind Proxy'!$B$8:$B$19,C2161)</x:f>
        <x:v>0.22222222222222224</x:v>
      </x:c>
    </x:row>
    <x:row r="2162">
      <x:c r="A2162" s="379" t="n">
        <x:v>47813</x:v>
      </x:c>
      <x:c r="B2162" s="380" t="n">
        <x:v>2030</x:v>
      </x:c>
      <x:c r="C2162" s="380" t="n">
        <x:v>11</x:v>
      </x:c>
      <x:c r="D2162" s="380" t="str">
        <x:v>Nov</x:v>
      </x:c>
      <x:c r="E2162" s="380" t="n">
        <x:v>26</x:v>
      </x:c>
      <x:c r="F2162" s="380" t="n">
        <x:v>2</x:v>
      </x:c>
      <x:c r="G2162" s="380" t="n">
        <x:f>--(F2162&lt;='Estimator'!$B$7)</x:f>
        <x:v>1</x:v>
      </x:c>
      <x:c r="H2162" s="381" t="n">
        <x:f>SUMIFS('Climate Data'!$G$7:$G$366,'Climate Data'!$A$7:$A$366,'Estimator'!$B$4,'Climate Data'!$B$7:$B$366,C2162)</x:f>
        <x:v>0.3111111111111111</x:v>
      </x:c>
      <x:c r="I2162" s="382" t="n">
        <x:f>SUMIFS('Climate Data'!$H$7:$H$366,'Climate Data'!$A$7:$A$366,'Estimator'!$B$4,'Climate Data'!$B$7:$B$366,C2162)</x:f>
        <x:v>7.382142857142857</x:v>
      </x:c>
      <x:c r="J2162" s="381" t="n">
        <x:f>SUMIFS('Wind Proxy'!$H$8:$H$19,'Wind Proxy'!$A$8:$A$19,'Estimator'!$B$4,'Wind Proxy'!$B$8:$B$19,C2162)</x:f>
        <x:v>0.22222222222222224</x:v>
      </x:c>
    </x:row>
    <x:row r="2163">
      <x:c r="A2163" s="379" t="n">
        <x:v>47814</x:v>
      </x:c>
      <x:c r="B2163" s="380" t="n">
        <x:v>2030</x:v>
      </x:c>
      <x:c r="C2163" s="380" t="n">
        <x:v>11</x:v>
      </x:c>
      <x:c r="D2163" s="380" t="str">
        <x:v>Nov</x:v>
      </x:c>
      <x:c r="E2163" s="380" t="n">
        <x:v>27</x:v>
      </x:c>
      <x:c r="F2163" s="380" t="n">
        <x:v>3</x:v>
      </x:c>
      <x:c r="G2163" s="380" t="n">
        <x:f>--(F2163&lt;='Estimator'!$B$7)</x:f>
        <x:v>1</x:v>
      </x:c>
      <x:c r="H2163" s="381" t="n">
        <x:f>SUMIFS('Climate Data'!$G$7:$G$366,'Climate Data'!$A$7:$A$366,'Estimator'!$B$4,'Climate Data'!$B$7:$B$366,C2163)</x:f>
        <x:v>0.3111111111111111</x:v>
      </x:c>
      <x:c r="I2163" s="382" t="n">
        <x:f>SUMIFS('Climate Data'!$H$7:$H$366,'Climate Data'!$A$7:$A$366,'Estimator'!$B$4,'Climate Data'!$B$7:$B$366,C2163)</x:f>
        <x:v>7.382142857142857</x:v>
      </x:c>
      <x:c r="J2163" s="381" t="n">
        <x:f>SUMIFS('Wind Proxy'!$H$8:$H$19,'Wind Proxy'!$A$8:$A$19,'Estimator'!$B$4,'Wind Proxy'!$B$8:$B$19,C2163)</x:f>
        <x:v>0.22222222222222224</x:v>
      </x:c>
    </x:row>
    <x:row r="2164">
      <x:c r="A2164" s="379" t="n">
        <x:v>47815</x:v>
      </x:c>
      <x:c r="B2164" s="380" t="n">
        <x:v>2030</x:v>
      </x:c>
      <x:c r="C2164" s="380" t="n">
        <x:v>11</x:v>
      </x:c>
      <x:c r="D2164" s="380" t="str">
        <x:v>Nov</x:v>
      </x:c>
      <x:c r="E2164" s="380" t="n">
        <x:v>28</x:v>
      </x:c>
      <x:c r="F2164" s="380" t="n">
        <x:v>4</x:v>
      </x:c>
      <x:c r="G2164" s="380" t="n">
        <x:f>--(F2164&lt;='Estimator'!$B$7)</x:f>
        <x:v>1</x:v>
      </x:c>
      <x:c r="H2164" s="381" t="n">
        <x:f>SUMIFS('Climate Data'!$G$7:$G$366,'Climate Data'!$A$7:$A$366,'Estimator'!$B$4,'Climate Data'!$B$7:$B$366,C2164)</x:f>
        <x:v>0.3111111111111111</x:v>
      </x:c>
      <x:c r="I2164" s="382" t="n">
        <x:f>SUMIFS('Climate Data'!$H$7:$H$366,'Climate Data'!$A$7:$A$366,'Estimator'!$B$4,'Climate Data'!$B$7:$B$366,C2164)</x:f>
        <x:v>7.382142857142857</x:v>
      </x:c>
      <x:c r="J2164" s="381" t="n">
        <x:f>SUMIFS('Wind Proxy'!$H$8:$H$19,'Wind Proxy'!$A$8:$A$19,'Estimator'!$B$4,'Wind Proxy'!$B$8:$B$19,C2164)</x:f>
        <x:v>0.22222222222222224</x:v>
      </x:c>
    </x:row>
    <x:row r="2165">
      <x:c r="A2165" s="379" t="n">
        <x:v>47816</x:v>
      </x:c>
      <x:c r="B2165" s="380" t="n">
        <x:v>2030</x:v>
      </x:c>
      <x:c r="C2165" s="380" t="n">
        <x:v>11</x:v>
      </x:c>
      <x:c r="D2165" s="380" t="str">
        <x:v>Nov</x:v>
      </x:c>
      <x:c r="E2165" s="380" t="n">
        <x:v>29</x:v>
      </x:c>
      <x:c r="F2165" s="380" t="n">
        <x:v>5</x:v>
      </x:c>
      <x:c r="G2165" s="380" t="n">
        <x:f>--(F2165&lt;='Estimator'!$B$7)</x:f>
        <x:v>1</x:v>
      </x:c>
      <x:c r="H2165" s="381" t="n">
        <x:f>SUMIFS('Climate Data'!$G$7:$G$366,'Climate Data'!$A$7:$A$366,'Estimator'!$B$4,'Climate Data'!$B$7:$B$366,C2165)</x:f>
        <x:v>0.3111111111111111</x:v>
      </x:c>
      <x:c r="I2165" s="382" t="n">
        <x:f>SUMIFS('Climate Data'!$H$7:$H$366,'Climate Data'!$A$7:$A$366,'Estimator'!$B$4,'Climate Data'!$B$7:$B$366,C2165)</x:f>
        <x:v>7.382142857142857</x:v>
      </x:c>
      <x:c r="J2165" s="381" t="n">
        <x:f>SUMIFS('Wind Proxy'!$H$8:$H$19,'Wind Proxy'!$A$8:$A$19,'Estimator'!$B$4,'Wind Proxy'!$B$8:$B$19,C2165)</x:f>
        <x:v>0.22222222222222224</x:v>
      </x:c>
    </x:row>
    <x:row r="2166">
      <x:c r="A2166" s="379" t="n">
        <x:v>47817</x:v>
      </x:c>
      <x:c r="B2166" s="380" t="n">
        <x:v>2030</x:v>
      </x:c>
      <x:c r="C2166" s="380" t="n">
        <x:v>11</x:v>
      </x:c>
      <x:c r="D2166" s="380" t="str">
        <x:v>Nov</x:v>
      </x:c>
      <x:c r="E2166" s="380" t="n">
        <x:v>30</x:v>
      </x:c>
      <x:c r="F2166" s="380" t="n">
        <x:v>6</x:v>
      </x:c>
      <x:c r="G2166" s="380" t="n">
        <x:f>--(F2166&lt;='Estimator'!$B$7)</x:f>
        <x:v>0</x:v>
      </x:c>
      <x:c r="H2166" s="381" t="n">
        <x:f>SUMIFS('Climate Data'!$G$7:$G$366,'Climate Data'!$A$7:$A$366,'Estimator'!$B$4,'Climate Data'!$B$7:$B$366,C2166)</x:f>
        <x:v>0.3111111111111111</x:v>
      </x:c>
      <x:c r="I2166" s="382" t="n">
        <x:f>SUMIFS('Climate Data'!$H$7:$H$366,'Climate Data'!$A$7:$A$366,'Estimator'!$B$4,'Climate Data'!$B$7:$B$366,C2166)</x:f>
        <x:v>7.382142857142857</x:v>
      </x:c>
      <x:c r="J2166" s="381" t="n">
        <x:f>SUMIFS('Wind Proxy'!$H$8:$H$19,'Wind Proxy'!$A$8:$A$19,'Estimator'!$B$4,'Wind Proxy'!$B$8:$B$19,C2166)</x:f>
        <x:v>0.22222222222222224</x:v>
      </x:c>
    </x:row>
    <x:row r="2167">
      <x:c r="A2167" s="379" t="n">
        <x:v>47818</x:v>
      </x:c>
      <x:c r="B2167" s="380" t="n">
        <x:v>2030</x:v>
      </x:c>
      <x:c r="C2167" s="380" t="n">
        <x:v>12</x:v>
      </x:c>
      <x:c r="D2167" s="380" t="str">
        <x:v>Dec</x:v>
      </x:c>
      <x:c r="E2167" s="380" t="n">
        <x:v>1</x:v>
      </x:c>
      <x:c r="F2167" s="380" t="n">
        <x:v>7</x:v>
      </x:c>
      <x:c r="G2167" s="380" t="n">
        <x:f>--(F2167&lt;='Estimator'!$B$7)</x:f>
        <x:v>0</x:v>
      </x:c>
      <x:c r="H2167" s="381" t="n">
        <x:f>SUMIFS('Climate Data'!$G$7:$G$366,'Climate Data'!$A$7:$A$366,'Estimator'!$B$4,'Climate Data'!$B$7:$B$366,C2167)</x:f>
        <x:v>0.2914349276974416</x:v>
      </x:c>
      <x:c r="I2167" s="382" t="n">
        <x:f>SUMIFS('Climate Data'!$H$7:$H$366,'Climate Data'!$A$7:$A$366,'Estimator'!$B$4,'Climate Data'!$B$7:$B$366,C2167)</x:f>
        <x:v>9.043129770992365</x:v>
      </x:c>
      <x:c r="J2167" s="381" t="n">
        <x:f>SUMIFS('Wind Proxy'!$H$8:$H$19,'Wind Proxy'!$A$8:$A$19,'Estimator'!$B$4,'Wind Proxy'!$B$8:$B$19,C2167)</x:f>
        <x:v>0.12544802867383514</x:v>
      </x:c>
    </x:row>
    <x:row r="2168">
      <x:c r="A2168" s="379" t="n">
        <x:v>47819</x:v>
      </x:c>
      <x:c r="B2168" s="380" t="n">
        <x:v>2030</x:v>
      </x:c>
      <x:c r="C2168" s="380" t="n">
        <x:v>12</x:v>
      </x:c>
      <x:c r="D2168" s="380" t="str">
        <x:v>Dec</x:v>
      </x:c>
      <x:c r="E2168" s="380" t="n">
        <x:v>2</x:v>
      </x:c>
      <x:c r="F2168" s="380" t="n">
        <x:v>1</x:v>
      </x:c>
      <x:c r="G2168" s="380" t="n">
        <x:f>--(F2168&lt;='Estimator'!$B$7)</x:f>
        <x:v>1</x:v>
      </x:c>
      <x:c r="H2168" s="381" t="n">
        <x:f>SUMIFS('Climate Data'!$G$7:$G$366,'Climate Data'!$A$7:$A$366,'Estimator'!$B$4,'Climate Data'!$B$7:$B$366,C2168)</x:f>
        <x:v>0.2914349276974416</x:v>
      </x:c>
      <x:c r="I2168" s="382" t="n">
        <x:f>SUMIFS('Climate Data'!$H$7:$H$366,'Climate Data'!$A$7:$A$366,'Estimator'!$B$4,'Climate Data'!$B$7:$B$366,C2168)</x:f>
        <x:v>9.043129770992365</x:v>
      </x:c>
      <x:c r="J2168" s="381" t="n">
        <x:f>SUMIFS('Wind Proxy'!$H$8:$H$19,'Wind Proxy'!$A$8:$A$19,'Estimator'!$B$4,'Wind Proxy'!$B$8:$B$19,C2168)</x:f>
        <x:v>0.12544802867383514</x:v>
      </x:c>
    </x:row>
    <x:row r="2169">
      <x:c r="A2169" s="379" t="n">
        <x:v>47820</x:v>
      </x:c>
      <x:c r="B2169" s="380" t="n">
        <x:v>2030</x:v>
      </x:c>
      <x:c r="C2169" s="380" t="n">
        <x:v>12</x:v>
      </x:c>
      <x:c r="D2169" s="380" t="str">
        <x:v>Dec</x:v>
      </x:c>
      <x:c r="E2169" s="380" t="n">
        <x:v>3</x:v>
      </x:c>
      <x:c r="F2169" s="380" t="n">
        <x:v>2</x:v>
      </x:c>
      <x:c r="G2169" s="380" t="n">
        <x:f>--(F2169&lt;='Estimator'!$B$7)</x:f>
        <x:v>1</x:v>
      </x:c>
      <x:c r="H2169" s="381" t="n">
        <x:f>SUMIFS('Climate Data'!$G$7:$G$366,'Climate Data'!$A$7:$A$366,'Estimator'!$B$4,'Climate Data'!$B$7:$B$366,C2169)</x:f>
        <x:v>0.2914349276974416</x:v>
      </x:c>
      <x:c r="I2169" s="382" t="n">
        <x:f>SUMIFS('Climate Data'!$H$7:$H$366,'Climate Data'!$A$7:$A$366,'Estimator'!$B$4,'Climate Data'!$B$7:$B$366,C2169)</x:f>
        <x:v>9.043129770992365</x:v>
      </x:c>
      <x:c r="J2169" s="381" t="n">
        <x:f>SUMIFS('Wind Proxy'!$H$8:$H$19,'Wind Proxy'!$A$8:$A$19,'Estimator'!$B$4,'Wind Proxy'!$B$8:$B$19,C2169)</x:f>
        <x:v>0.12544802867383514</x:v>
      </x:c>
    </x:row>
    <x:row r="2170">
      <x:c r="A2170" s="379" t="n">
        <x:v>47821</x:v>
      </x:c>
      <x:c r="B2170" s="380" t="n">
        <x:v>2030</x:v>
      </x:c>
      <x:c r="C2170" s="380" t="n">
        <x:v>12</x:v>
      </x:c>
      <x:c r="D2170" s="380" t="str">
        <x:v>Dec</x:v>
      </x:c>
      <x:c r="E2170" s="380" t="n">
        <x:v>4</x:v>
      </x:c>
      <x:c r="F2170" s="380" t="n">
        <x:v>3</x:v>
      </x:c>
      <x:c r="G2170" s="380" t="n">
        <x:f>--(F2170&lt;='Estimator'!$B$7)</x:f>
        <x:v>1</x:v>
      </x:c>
      <x:c r="H2170" s="381" t="n">
        <x:f>SUMIFS('Climate Data'!$G$7:$G$366,'Climate Data'!$A$7:$A$366,'Estimator'!$B$4,'Climate Data'!$B$7:$B$366,C2170)</x:f>
        <x:v>0.2914349276974416</x:v>
      </x:c>
      <x:c r="I2170" s="382" t="n">
        <x:f>SUMIFS('Climate Data'!$H$7:$H$366,'Climate Data'!$A$7:$A$366,'Estimator'!$B$4,'Climate Data'!$B$7:$B$366,C2170)</x:f>
        <x:v>9.043129770992365</x:v>
      </x:c>
      <x:c r="J2170" s="381" t="n">
        <x:f>SUMIFS('Wind Proxy'!$H$8:$H$19,'Wind Proxy'!$A$8:$A$19,'Estimator'!$B$4,'Wind Proxy'!$B$8:$B$19,C2170)</x:f>
        <x:v>0.12544802867383514</x:v>
      </x:c>
    </x:row>
    <x:row r="2171">
      <x:c r="A2171" s="379" t="n">
        <x:v>47822</x:v>
      </x:c>
      <x:c r="B2171" s="380" t="n">
        <x:v>2030</x:v>
      </x:c>
      <x:c r="C2171" s="380" t="n">
        <x:v>12</x:v>
      </x:c>
      <x:c r="D2171" s="380" t="str">
        <x:v>Dec</x:v>
      </x:c>
      <x:c r="E2171" s="380" t="n">
        <x:v>5</x:v>
      </x:c>
      <x:c r="F2171" s="380" t="n">
        <x:v>4</x:v>
      </x:c>
      <x:c r="G2171" s="380" t="n">
        <x:f>--(F2171&lt;='Estimator'!$B$7)</x:f>
        <x:v>1</x:v>
      </x:c>
      <x:c r="H2171" s="381" t="n">
        <x:f>SUMIFS('Climate Data'!$G$7:$G$366,'Climate Data'!$A$7:$A$366,'Estimator'!$B$4,'Climate Data'!$B$7:$B$366,C2171)</x:f>
        <x:v>0.2914349276974416</x:v>
      </x:c>
      <x:c r="I2171" s="382" t="n">
        <x:f>SUMIFS('Climate Data'!$H$7:$H$366,'Climate Data'!$A$7:$A$366,'Estimator'!$B$4,'Climate Data'!$B$7:$B$366,C2171)</x:f>
        <x:v>9.043129770992365</x:v>
      </x:c>
      <x:c r="J2171" s="381" t="n">
        <x:f>SUMIFS('Wind Proxy'!$H$8:$H$19,'Wind Proxy'!$A$8:$A$19,'Estimator'!$B$4,'Wind Proxy'!$B$8:$B$19,C2171)</x:f>
        <x:v>0.12544802867383514</x:v>
      </x:c>
    </x:row>
    <x:row r="2172">
      <x:c r="A2172" s="379" t="n">
        <x:v>47823</x:v>
      </x:c>
      <x:c r="B2172" s="380" t="n">
        <x:v>2030</x:v>
      </x:c>
      <x:c r="C2172" s="380" t="n">
        <x:v>12</x:v>
      </x:c>
      <x:c r="D2172" s="380" t="str">
        <x:v>Dec</x:v>
      </x:c>
      <x:c r="E2172" s="380" t="n">
        <x:v>6</x:v>
      </x:c>
      <x:c r="F2172" s="380" t="n">
        <x:v>5</x:v>
      </x:c>
      <x:c r="G2172" s="380" t="n">
        <x:f>--(F2172&lt;='Estimator'!$B$7)</x:f>
        <x:v>1</x:v>
      </x:c>
      <x:c r="H2172" s="381" t="n">
        <x:f>SUMIFS('Climate Data'!$G$7:$G$366,'Climate Data'!$A$7:$A$366,'Estimator'!$B$4,'Climate Data'!$B$7:$B$366,C2172)</x:f>
        <x:v>0.2914349276974416</x:v>
      </x:c>
      <x:c r="I2172" s="382" t="n">
        <x:f>SUMIFS('Climate Data'!$H$7:$H$366,'Climate Data'!$A$7:$A$366,'Estimator'!$B$4,'Climate Data'!$B$7:$B$366,C2172)</x:f>
        <x:v>9.043129770992365</x:v>
      </x:c>
      <x:c r="J2172" s="381" t="n">
        <x:f>SUMIFS('Wind Proxy'!$H$8:$H$19,'Wind Proxy'!$A$8:$A$19,'Estimator'!$B$4,'Wind Proxy'!$B$8:$B$19,C2172)</x:f>
        <x:v>0.12544802867383514</x:v>
      </x:c>
    </x:row>
    <x:row r="2173">
      <x:c r="A2173" s="379" t="n">
        <x:v>47824</x:v>
      </x:c>
      <x:c r="B2173" s="380" t="n">
        <x:v>2030</x:v>
      </x:c>
      <x:c r="C2173" s="380" t="n">
        <x:v>12</x:v>
      </x:c>
      <x:c r="D2173" s="380" t="str">
        <x:v>Dec</x:v>
      </x:c>
      <x:c r="E2173" s="380" t="n">
        <x:v>7</x:v>
      </x:c>
      <x:c r="F2173" s="380" t="n">
        <x:v>6</x:v>
      </x:c>
      <x:c r="G2173" s="380" t="n">
        <x:f>--(F2173&lt;='Estimator'!$B$7)</x:f>
        <x:v>0</x:v>
      </x:c>
      <x:c r="H2173" s="381" t="n">
        <x:f>SUMIFS('Climate Data'!$G$7:$G$366,'Climate Data'!$A$7:$A$366,'Estimator'!$B$4,'Climate Data'!$B$7:$B$366,C2173)</x:f>
        <x:v>0.2914349276974416</x:v>
      </x:c>
      <x:c r="I2173" s="382" t="n">
        <x:f>SUMIFS('Climate Data'!$H$7:$H$366,'Climate Data'!$A$7:$A$366,'Estimator'!$B$4,'Climate Data'!$B$7:$B$366,C2173)</x:f>
        <x:v>9.043129770992365</x:v>
      </x:c>
      <x:c r="J2173" s="381" t="n">
        <x:f>SUMIFS('Wind Proxy'!$H$8:$H$19,'Wind Proxy'!$A$8:$A$19,'Estimator'!$B$4,'Wind Proxy'!$B$8:$B$19,C2173)</x:f>
        <x:v>0.12544802867383514</x:v>
      </x:c>
    </x:row>
    <x:row r="2174">
      <x:c r="A2174" s="379" t="n">
        <x:v>47825</x:v>
      </x:c>
      <x:c r="B2174" s="380" t="n">
        <x:v>2030</x:v>
      </x:c>
      <x:c r="C2174" s="380" t="n">
        <x:v>12</x:v>
      </x:c>
      <x:c r="D2174" s="380" t="str">
        <x:v>Dec</x:v>
      </x:c>
      <x:c r="E2174" s="380" t="n">
        <x:v>8</x:v>
      </x:c>
      <x:c r="F2174" s="380" t="n">
        <x:v>7</x:v>
      </x:c>
      <x:c r="G2174" s="380" t="n">
        <x:f>--(F2174&lt;='Estimator'!$B$7)</x:f>
        <x:v>0</x:v>
      </x:c>
      <x:c r="H2174" s="381" t="n">
        <x:f>SUMIFS('Climate Data'!$G$7:$G$366,'Climate Data'!$A$7:$A$366,'Estimator'!$B$4,'Climate Data'!$B$7:$B$366,C2174)</x:f>
        <x:v>0.2914349276974416</x:v>
      </x:c>
      <x:c r="I2174" s="382" t="n">
        <x:f>SUMIFS('Climate Data'!$H$7:$H$366,'Climate Data'!$A$7:$A$366,'Estimator'!$B$4,'Climate Data'!$B$7:$B$366,C2174)</x:f>
        <x:v>9.043129770992365</x:v>
      </x:c>
      <x:c r="J2174" s="381" t="n">
        <x:f>SUMIFS('Wind Proxy'!$H$8:$H$19,'Wind Proxy'!$A$8:$A$19,'Estimator'!$B$4,'Wind Proxy'!$B$8:$B$19,C2174)</x:f>
        <x:v>0.12544802867383514</x:v>
      </x:c>
    </x:row>
    <x:row r="2175">
      <x:c r="A2175" s="379" t="n">
        <x:v>47826</x:v>
      </x:c>
      <x:c r="B2175" s="380" t="n">
        <x:v>2030</x:v>
      </x:c>
      <x:c r="C2175" s="380" t="n">
        <x:v>12</x:v>
      </x:c>
      <x:c r="D2175" s="380" t="str">
        <x:v>Dec</x:v>
      </x:c>
      <x:c r="E2175" s="380" t="n">
        <x:v>9</x:v>
      </x:c>
      <x:c r="F2175" s="380" t="n">
        <x:v>1</x:v>
      </x:c>
      <x:c r="G2175" s="380" t="n">
        <x:f>--(F2175&lt;='Estimator'!$B$7)</x:f>
        <x:v>1</x:v>
      </x:c>
      <x:c r="H2175" s="381" t="n">
        <x:f>SUMIFS('Climate Data'!$G$7:$G$366,'Climate Data'!$A$7:$A$366,'Estimator'!$B$4,'Climate Data'!$B$7:$B$366,C2175)</x:f>
        <x:v>0.2914349276974416</x:v>
      </x:c>
      <x:c r="I2175" s="382" t="n">
        <x:f>SUMIFS('Climate Data'!$H$7:$H$366,'Climate Data'!$A$7:$A$366,'Estimator'!$B$4,'Climate Data'!$B$7:$B$366,C2175)</x:f>
        <x:v>9.043129770992365</x:v>
      </x:c>
      <x:c r="J2175" s="381" t="n">
        <x:f>SUMIFS('Wind Proxy'!$H$8:$H$19,'Wind Proxy'!$A$8:$A$19,'Estimator'!$B$4,'Wind Proxy'!$B$8:$B$19,C2175)</x:f>
        <x:v>0.12544802867383514</x:v>
      </x:c>
    </x:row>
    <x:row r="2176">
      <x:c r="A2176" s="379" t="n">
        <x:v>47827</x:v>
      </x:c>
      <x:c r="B2176" s="380" t="n">
        <x:v>2030</x:v>
      </x:c>
      <x:c r="C2176" s="380" t="n">
        <x:v>12</x:v>
      </x:c>
      <x:c r="D2176" s="380" t="str">
        <x:v>Dec</x:v>
      </x:c>
      <x:c r="E2176" s="380" t="n">
        <x:v>10</x:v>
      </x:c>
      <x:c r="F2176" s="380" t="n">
        <x:v>2</x:v>
      </x:c>
      <x:c r="G2176" s="380" t="n">
        <x:f>--(F2176&lt;='Estimator'!$B$7)</x:f>
        <x:v>1</x:v>
      </x:c>
      <x:c r="H2176" s="381" t="n">
        <x:f>SUMIFS('Climate Data'!$G$7:$G$366,'Climate Data'!$A$7:$A$366,'Estimator'!$B$4,'Climate Data'!$B$7:$B$366,C2176)</x:f>
        <x:v>0.2914349276974416</x:v>
      </x:c>
      <x:c r="I2176" s="382" t="n">
        <x:f>SUMIFS('Climate Data'!$H$7:$H$366,'Climate Data'!$A$7:$A$366,'Estimator'!$B$4,'Climate Data'!$B$7:$B$366,C2176)</x:f>
        <x:v>9.043129770992365</x:v>
      </x:c>
      <x:c r="J2176" s="381" t="n">
        <x:f>SUMIFS('Wind Proxy'!$H$8:$H$19,'Wind Proxy'!$A$8:$A$19,'Estimator'!$B$4,'Wind Proxy'!$B$8:$B$19,C2176)</x:f>
        <x:v>0.12544802867383514</x:v>
      </x:c>
    </x:row>
    <x:row r="2177">
      <x:c r="A2177" s="379" t="n">
        <x:v>47828</x:v>
      </x:c>
      <x:c r="B2177" s="380" t="n">
        <x:v>2030</x:v>
      </x:c>
      <x:c r="C2177" s="380" t="n">
        <x:v>12</x:v>
      </x:c>
      <x:c r="D2177" s="380" t="str">
        <x:v>Dec</x:v>
      </x:c>
      <x:c r="E2177" s="380" t="n">
        <x:v>11</x:v>
      </x:c>
      <x:c r="F2177" s="380" t="n">
        <x:v>3</x:v>
      </x:c>
      <x:c r="G2177" s="380" t="n">
        <x:f>--(F2177&lt;='Estimator'!$B$7)</x:f>
        <x:v>1</x:v>
      </x:c>
      <x:c r="H2177" s="381" t="n">
        <x:f>SUMIFS('Climate Data'!$G$7:$G$366,'Climate Data'!$A$7:$A$366,'Estimator'!$B$4,'Climate Data'!$B$7:$B$366,C2177)</x:f>
        <x:v>0.2914349276974416</x:v>
      </x:c>
      <x:c r="I2177" s="382" t="n">
        <x:f>SUMIFS('Climate Data'!$H$7:$H$366,'Climate Data'!$A$7:$A$366,'Estimator'!$B$4,'Climate Data'!$B$7:$B$366,C2177)</x:f>
        <x:v>9.043129770992365</x:v>
      </x:c>
      <x:c r="J2177" s="381" t="n">
        <x:f>SUMIFS('Wind Proxy'!$H$8:$H$19,'Wind Proxy'!$A$8:$A$19,'Estimator'!$B$4,'Wind Proxy'!$B$8:$B$19,C2177)</x:f>
        <x:v>0.12544802867383514</x:v>
      </x:c>
    </x:row>
    <x:row r="2178">
      <x:c r="A2178" s="379" t="n">
        <x:v>47829</x:v>
      </x:c>
      <x:c r="B2178" s="380" t="n">
        <x:v>2030</x:v>
      </x:c>
      <x:c r="C2178" s="380" t="n">
        <x:v>12</x:v>
      </x:c>
      <x:c r="D2178" s="380" t="str">
        <x:v>Dec</x:v>
      </x:c>
      <x:c r="E2178" s="380" t="n">
        <x:v>12</x:v>
      </x:c>
      <x:c r="F2178" s="380" t="n">
        <x:v>4</x:v>
      </x:c>
      <x:c r="G2178" s="380" t="n">
        <x:f>--(F2178&lt;='Estimator'!$B$7)</x:f>
        <x:v>1</x:v>
      </x:c>
      <x:c r="H2178" s="381" t="n">
        <x:f>SUMIFS('Climate Data'!$G$7:$G$366,'Climate Data'!$A$7:$A$366,'Estimator'!$B$4,'Climate Data'!$B$7:$B$366,C2178)</x:f>
        <x:v>0.2914349276974416</x:v>
      </x:c>
      <x:c r="I2178" s="382" t="n">
        <x:f>SUMIFS('Climate Data'!$H$7:$H$366,'Climate Data'!$A$7:$A$366,'Estimator'!$B$4,'Climate Data'!$B$7:$B$366,C2178)</x:f>
        <x:v>9.043129770992365</x:v>
      </x:c>
      <x:c r="J2178" s="381" t="n">
        <x:f>SUMIFS('Wind Proxy'!$H$8:$H$19,'Wind Proxy'!$A$8:$A$19,'Estimator'!$B$4,'Wind Proxy'!$B$8:$B$19,C2178)</x:f>
        <x:v>0.12544802867383514</x:v>
      </x:c>
    </x:row>
    <x:row r="2179">
      <x:c r="A2179" s="379" t="n">
        <x:v>47830</x:v>
      </x:c>
      <x:c r="B2179" s="380" t="n">
        <x:v>2030</x:v>
      </x:c>
      <x:c r="C2179" s="380" t="n">
        <x:v>12</x:v>
      </x:c>
      <x:c r="D2179" s="380" t="str">
        <x:v>Dec</x:v>
      </x:c>
      <x:c r="E2179" s="380" t="n">
        <x:v>13</x:v>
      </x:c>
      <x:c r="F2179" s="380" t="n">
        <x:v>5</x:v>
      </x:c>
      <x:c r="G2179" s="380" t="n">
        <x:f>--(F2179&lt;='Estimator'!$B$7)</x:f>
        <x:v>1</x:v>
      </x:c>
      <x:c r="H2179" s="381" t="n">
        <x:f>SUMIFS('Climate Data'!$G$7:$G$366,'Climate Data'!$A$7:$A$366,'Estimator'!$B$4,'Climate Data'!$B$7:$B$366,C2179)</x:f>
        <x:v>0.2914349276974416</x:v>
      </x:c>
      <x:c r="I2179" s="382" t="n">
        <x:f>SUMIFS('Climate Data'!$H$7:$H$366,'Climate Data'!$A$7:$A$366,'Estimator'!$B$4,'Climate Data'!$B$7:$B$366,C2179)</x:f>
        <x:v>9.043129770992365</x:v>
      </x:c>
      <x:c r="J2179" s="381" t="n">
        <x:f>SUMIFS('Wind Proxy'!$H$8:$H$19,'Wind Proxy'!$A$8:$A$19,'Estimator'!$B$4,'Wind Proxy'!$B$8:$B$19,C2179)</x:f>
        <x:v>0.12544802867383514</x:v>
      </x:c>
    </x:row>
    <x:row r="2180">
      <x:c r="A2180" s="379" t="n">
        <x:v>47831</x:v>
      </x:c>
      <x:c r="B2180" s="380" t="n">
        <x:v>2030</x:v>
      </x:c>
      <x:c r="C2180" s="380" t="n">
        <x:v>12</x:v>
      </x:c>
      <x:c r="D2180" s="380" t="str">
        <x:v>Dec</x:v>
      </x:c>
      <x:c r="E2180" s="380" t="n">
        <x:v>14</x:v>
      </x:c>
      <x:c r="F2180" s="380" t="n">
        <x:v>6</x:v>
      </x:c>
      <x:c r="G2180" s="380" t="n">
        <x:f>--(F2180&lt;='Estimator'!$B$7)</x:f>
        <x:v>0</x:v>
      </x:c>
      <x:c r="H2180" s="381" t="n">
        <x:f>SUMIFS('Climate Data'!$G$7:$G$366,'Climate Data'!$A$7:$A$366,'Estimator'!$B$4,'Climate Data'!$B$7:$B$366,C2180)</x:f>
        <x:v>0.2914349276974416</x:v>
      </x:c>
      <x:c r="I2180" s="382" t="n">
        <x:f>SUMIFS('Climate Data'!$H$7:$H$366,'Climate Data'!$A$7:$A$366,'Estimator'!$B$4,'Climate Data'!$B$7:$B$366,C2180)</x:f>
        <x:v>9.043129770992365</x:v>
      </x:c>
      <x:c r="J2180" s="381" t="n">
        <x:f>SUMIFS('Wind Proxy'!$H$8:$H$19,'Wind Proxy'!$A$8:$A$19,'Estimator'!$B$4,'Wind Proxy'!$B$8:$B$19,C2180)</x:f>
        <x:v>0.12544802867383514</x:v>
      </x:c>
    </x:row>
    <x:row r="2181">
      <x:c r="A2181" s="379" t="n">
        <x:v>47832</x:v>
      </x:c>
      <x:c r="B2181" s="380" t="n">
        <x:v>2030</x:v>
      </x:c>
      <x:c r="C2181" s="380" t="n">
        <x:v>12</x:v>
      </x:c>
      <x:c r="D2181" s="380" t="str">
        <x:v>Dec</x:v>
      </x:c>
      <x:c r="E2181" s="380" t="n">
        <x:v>15</x:v>
      </x:c>
      <x:c r="F2181" s="380" t="n">
        <x:v>7</x:v>
      </x:c>
      <x:c r="G2181" s="380" t="n">
        <x:f>--(F2181&lt;='Estimator'!$B$7)</x:f>
        <x:v>0</x:v>
      </x:c>
      <x:c r="H2181" s="381" t="n">
        <x:f>SUMIFS('Climate Data'!$G$7:$G$366,'Climate Data'!$A$7:$A$366,'Estimator'!$B$4,'Climate Data'!$B$7:$B$366,C2181)</x:f>
        <x:v>0.2914349276974416</x:v>
      </x:c>
      <x:c r="I2181" s="382" t="n">
        <x:f>SUMIFS('Climate Data'!$H$7:$H$366,'Climate Data'!$A$7:$A$366,'Estimator'!$B$4,'Climate Data'!$B$7:$B$366,C2181)</x:f>
        <x:v>9.043129770992365</x:v>
      </x:c>
      <x:c r="J2181" s="381" t="n">
        <x:f>SUMIFS('Wind Proxy'!$H$8:$H$19,'Wind Proxy'!$A$8:$A$19,'Estimator'!$B$4,'Wind Proxy'!$B$8:$B$19,C2181)</x:f>
        <x:v>0.12544802867383514</x:v>
      </x:c>
    </x:row>
    <x:row r="2182">
      <x:c r="A2182" s="379" t="n">
        <x:v>47833</x:v>
      </x:c>
      <x:c r="B2182" s="380" t="n">
        <x:v>2030</x:v>
      </x:c>
      <x:c r="C2182" s="380" t="n">
        <x:v>12</x:v>
      </x:c>
      <x:c r="D2182" s="380" t="str">
        <x:v>Dec</x:v>
      </x:c>
      <x:c r="E2182" s="380" t="n">
        <x:v>16</x:v>
      </x:c>
      <x:c r="F2182" s="380" t="n">
        <x:v>1</x:v>
      </x:c>
      <x:c r="G2182" s="380" t="n">
        <x:f>--(F2182&lt;='Estimator'!$B$7)</x:f>
        <x:v>1</x:v>
      </x:c>
      <x:c r="H2182" s="381" t="n">
        <x:f>SUMIFS('Climate Data'!$G$7:$G$366,'Climate Data'!$A$7:$A$366,'Estimator'!$B$4,'Climate Data'!$B$7:$B$366,C2182)</x:f>
        <x:v>0.2914349276974416</x:v>
      </x:c>
      <x:c r="I2182" s="382" t="n">
        <x:f>SUMIFS('Climate Data'!$H$7:$H$366,'Climate Data'!$A$7:$A$366,'Estimator'!$B$4,'Climate Data'!$B$7:$B$366,C2182)</x:f>
        <x:v>9.043129770992365</x:v>
      </x:c>
      <x:c r="J2182" s="381" t="n">
        <x:f>SUMIFS('Wind Proxy'!$H$8:$H$19,'Wind Proxy'!$A$8:$A$19,'Estimator'!$B$4,'Wind Proxy'!$B$8:$B$19,C2182)</x:f>
        <x:v>0.12544802867383514</x:v>
      </x:c>
    </x:row>
    <x:row r="2183">
      <x:c r="A2183" s="379" t="n">
        <x:v>47834</x:v>
      </x:c>
      <x:c r="B2183" s="380" t="n">
        <x:v>2030</x:v>
      </x:c>
      <x:c r="C2183" s="380" t="n">
        <x:v>12</x:v>
      </x:c>
      <x:c r="D2183" s="380" t="str">
        <x:v>Dec</x:v>
      </x:c>
      <x:c r="E2183" s="380" t="n">
        <x:v>17</x:v>
      </x:c>
      <x:c r="F2183" s="380" t="n">
        <x:v>2</x:v>
      </x:c>
      <x:c r="G2183" s="380" t="n">
        <x:f>--(F2183&lt;='Estimator'!$B$7)</x:f>
        <x:v>1</x:v>
      </x:c>
      <x:c r="H2183" s="381" t="n">
        <x:f>SUMIFS('Climate Data'!$G$7:$G$366,'Climate Data'!$A$7:$A$366,'Estimator'!$B$4,'Climate Data'!$B$7:$B$366,C2183)</x:f>
        <x:v>0.2914349276974416</x:v>
      </x:c>
      <x:c r="I2183" s="382" t="n">
        <x:f>SUMIFS('Climate Data'!$H$7:$H$366,'Climate Data'!$A$7:$A$366,'Estimator'!$B$4,'Climate Data'!$B$7:$B$366,C2183)</x:f>
        <x:v>9.043129770992365</x:v>
      </x:c>
      <x:c r="J2183" s="381" t="n">
        <x:f>SUMIFS('Wind Proxy'!$H$8:$H$19,'Wind Proxy'!$A$8:$A$19,'Estimator'!$B$4,'Wind Proxy'!$B$8:$B$19,C2183)</x:f>
        <x:v>0.12544802867383514</x:v>
      </x:c>
    </x:row>
    <x:row r="2184">
      <x:c r="A2184" s="379" t="n">
        <x:v>47835</x:v>
      </x:c>
      <x:c r="B2184" s="380" t="n">
        <x:v>2030</x:v>
      </x:c>
      <x:c r="C2184" s="380" t="n">
        <x:v>12</x:v>
      </x:c>
      <x:c r="D2184" s="380" t="str">
        <x:v>Dec</x:v>
      </x:c>
      <x:c r="E2184" s="380" t="n">
        <x:v>18</x:v>
      </x:c>
      <x:c r="F2184" s="380" t="n">
        <x:v>3</x:v>
      </x:c>
      <x:c r="G2184" s="380" t="n">
        <x:f>--(F2184&lt;='Estimator'!$B$7)</x:f>
        <x:v>1</x:v>
      </x:c>
      <x:c r="H2184" s="381" t="n">
        <x:f>SUMIFS('Climate Data'!$G$7:$G$366,'Climate Data'!$A$7:$A$366,'Estimator'!$B$4,'Climate Data'!$B$7:$B$366,C2184)</x:f>
        <x:v>0.2914349276974416</x:v>
      </x:c>
      <x:c r="I2184" s="382" t="n">
        <x:f>SUMIFS('Climate Data'!$H$7:$H$366,'Climate Data'!$A$7:$A$366,'Estimator'!$B$4,'Climate Data'!$B$7:$B$366,C2184)</x:f>
        <x:v>9.043129770992365</x:v>
      </x:c>
      <x:c r="J2184" s="381" t="n">
        <x:f>SUMIFS('Wind Proxy'!$H$8:$H$19,'Wind Proxy'!$A$8:$A$19,'Estimator'!$B$4,'Wind Proxy'!$B$8:$B$19,C2184)</x:f>
        <x:v>0.12544802867383514</x:v>
      </x:c>
    </x:row>
    <x:row r="2185">
      <x:c r="A2185" s="379" t="n">
        <x:v>47836</x:v>
      </x:c>
      <x:c r="B2185" s="380" t="n">
        <x:v>2030</x:v>
      </x:c>
      <x:c r="C2185" s="380" t="n">
        <x:v>12</x:v>
      </x:c>
      <x:c r="D2185" s="380" t="str">
        <x:v>Dec</x:v>
      </x:c>
      <x:c r="E2185" s="380" t="n">
        <x:v>19</x:v>
      </x:c>
      <x:c r="F2185" s="380" t="n">
        <x:v>4</x:v>
      </x:c>
      <x:c r="G2185" s="380" t="n">
        <x:f>--(F2185&lt;='Estimator'!$B$7)</x:f>
        <x:v>1</x:v>
      </x:c>
      <x:c r="H2185" s="381" t="n">
        <x:f>SUMIFS('Climate Data'!$G$7:$G$366,'Climate Data'!$A$7:$A$366,'Estimator'!$B$4,'Climate Data'!$B$7:$B$366,C2185)</x:f>
        <x:v>0.2914349276974416</x:v>
      </x:c>
      <x:c r="I2185" s="382" t="n">
        <x:f>SUMIFS('Climate Data'!$H$7:$H$366,'Climate Data'!$A$7:$A$366,'Estimator'!$B$4,'Climate Data'!$B$7:$B$366,C2185)</x:f>
        <x:v>9.043129770992365</x:v>
      </x:c>
      <x:c r="J2185" s="381" t="n">
        <x:f>SUMIFS('Wind Proxy'!$H$8:$H$19,'Wind Proxy'!$A$8:$A$19,'Estimator'!$B$4,'Wind Proxy'!$B$8:$B$19,C2185)</x:f>
        <x:v>0.12544802867383514</x:v>
      </x:c>
    </x:row>
    <x:row r="2186">
      <x:c r="A2186" s="379" t="n">
        <x:v>47837</x:v>
      </x:c>
      <x:c r="B2186" s="380" t="n">
        <x:v>2030</x:v>
      </x:c>
      <x:c r="C2186" s="380" t="n">
        <x:v>12</x:v>
      </x:c>
      <x:c r="D2186" s="380" t="str">
        <x:v>Dec</x:v>
      </x:c>
      <x:c r="E2186" s="380" t="n">
        <x:v>20</x:v>
      </x:c>
      <x:c r="F2186" s="380" t="n">
        <x:v>5</x:v>
      </x:c>
      <x:c r="G2186" s="380" t="n">
        <x:f>--(F2186&lt;='Estimator'!$B$7)</x:f>
        <x:v>1</x:v>
      </x:c>
      <x:c r="H2186" s="381" t="n">
        <x:f>SUMIFS('Climate Data'!$G$7:$G$366,'Climate Data'!$A$7:$A$366,'Estimator'!$B$4,'Climate Data'!$B$7:$B$366,C2186)</x:f>
        <x:v>0.2914349276974416</x:v>
      </x:c>
      <x:c r="I2186" s="382" t="n">
        <x:f>SUMIFS('Climate Data'!$H$7:$H$366,'Climate Data'!$A$7:$A$366,'Estimator'!$B$4,'Climate Data'!$B$7:$B$366,C2186)</x:f>
        <x:v>9.043129770992365</x:v>
      </x:c>
      <x:c r="J2186" s="381" t="n">
        <x:f>SUMIFS('Wind Proxy'!$H$8:$H$19,'Wind Proxy'!$A$8:$A$19,'Estimator'!$B$4,'Wind Proxy'!$B$8:$B$19,C2186)</x:f>
        <x:v>0.12544802867383514</x:v>
      </x:c>
    </x:row>
    <x:row r="2187">
      <x:c r="A2187" s="379" t="n">
        <x:v>47838</x:v>
      </x:c>
      <x:c r="B2187" s="380" t="n">
        <x:v>2030</x:v>
      </x:c>
      <x:c r="C2187" s="380" t="n">
        <x:v>12</x:v>
      </x:c>
      <x:c r="D2187" s="380" t="str">
        <x:v>Dec</x:v>
      </x:c>
      <x:c r="E2187" s="380" t="n">
        <x:v>21</x:v>
      </x:c>
      <x:c r="F2187" s="380" t="n">
        <x:v>6</x:v>
      </x:c>
      <x:c r="G2187" s="380" t="n">
        <x:f>--(F2187&lt;='Estimator'!$B$7)</x:f>
        <x:v>0</x:v>
      </x:c>
      <x:c r="H2187" s="381" t="n">
        <x:f>SUMIFS('Climate Data'!$G$7:$G$366,'Climate Data'!$A$7:$A$366,'Estimator'!$B$4,'Climate Data'!$B$7:$B$366,C2187)</x:f>
        <x:v>0.2914349276974416</x:v>
      </x:c>
      <x:c r="I2187" s="382" t="n">
        <x:f>SUMIFS('Climate Data'!$H$7:$H$366,'Climate Data'!$A$7:$A$366,'Estimator'!$B$4,'Climate Data'!$B$7:$B$366,C2187)</x:f>
        <x:v>9.043129770992365</x:v>
      </x:c>
      <x:c r="J2187" s="381" t="n">
        <x:f>SUMIFS('Wind Proxy'!$H$8:$H$19,'Wind Proxy'!$A$8:$A$19,'Estimator'!$B$4,'Wind Proxy'!$B$8:$B$19,C2187)</x:f>
        <x:v>0.12544802867383514</x:v>
      </x:c>
    </x:row>
    <x:row r="2188">
      <x:c r="A2188" s="379" t="n">
        <x:v>47839</x:v>
      </x:c>
      <x:c r="B2188" s="380" t="n">
        <x:v>2030</x:v>
      </x:c>
      <x:c r="C2188" s="380" t="n">
        <x:v>12</x:v>
      </x:c>
      <x:c r="D2188" s="380" t="str">
        <x:v>Dec</x:v>
      </x:c>
      <x:c r="E2188" s="380" t="n">
        <x:v>22</x:v>
      </x:c>
      <x:c r="F2188" s="380" t="n">
        <x:v>7</x:v>
      </x:c>
      <x:c r="G2188" s="380" t="n">
        <x:f>--(F2188&lt;='Estimator'!$B$7)</x:f>
        <x:v>0</x:v>
      </x:c>
      <x:c r="H2188" s="381" t="n">
        <x:f>SUMIFS('Climate Data'!$G$7:$G$366,'Climate Data'!$A$7:$A$366,'Estimator'!$B$4,'Climate Data'!$B$7:$B$366,C2188)</x:f>
        <x:v>0.2914349276974416</x:v>
      </x:c>
      <x:c r="I2188" s="382" t="n">
        <x:f>SUMIFS('Climate Data'!$H$7:$H$366,'Climate Data'!$A$7:$A$366,'Estimator'!$B$4,'Climate Data'!$B$7:$B$366,C2188)</x:f>
        <x:v>9.043129770992365</x:v>
      </x:c>
      <x:c r="J2188" s="381" t="n">
        <x:f>SUMIFS('Wind Proxy'!$H$8:$H$19,'Wind Proxy'!$A$8:$A$19,'Estimator'!$B$4,'Wind Proxy'!$B$8:$B$19,C2188)</x:f>
        <x:v>0.12544802867383514</x:v>
      </x:c>
    </x:row>
    <x:row r="2189">
      <x:c r="A2189" s="379" t="n">
        <x:v>47840</x:v>
      </x:c>
      <x:c r="B2189" s="380" t="n">
        <x:v>2030</x:v>
      </x:c>
      <x:c r="C2189" s="380" t="n">
        <x:v>12</x:v>
      </x:c>
      <x:c r="D2189" s="380" t="str">
        <x:v>Dec</x:v>
      </x:c>
      <x:c r="E2189" s="380" t="n">
        <x:v>23</x:v>
      </x:c>
      <x:c r="F2189" s="380" t="n">
        <x:v>1</x:v>
      </x:c>
      <x:c r="G2189" s="380" t="n">
        <x:f>--(F2189&lt;='Estimator'!$B$7)</x:f>
        <x:v>1</x:v>
      </x:c>
      <x:c r="H2189" s="381" t="n">
        <x:f>SUMIFS('Climate Data'!$G$7:$G$366,'Climate Data'!$A$7:$A$366,'Estimator'!$B$4,'Climate Data'!$B$7:$B$366,C2189)</x:f>
        <x:v>0.2914349276974416</x:v>
      </x:c>
      <x:c r="I2189" s="382" t="n">
        <x:f>SUMIFS('Climate Data'!$H$7:$H$366,'Climate Data'!$A$7:$A$366,'Estimator'!$B$4,'Climate Data'!$B$7:$B$366,C2189)</x:f>
        <x:v>9.043129770992365</x:v>
      </x:c>
      <x:c r="J2189" s="381" t="n">
        <x:f>SUMIFS('Wind Proxy'!$H$8:$H$19,'Wind Proxy'!$A$8:$A$19,'Estimator'!$B$4,'Wind Proxy'!$B$8:$B$19,C2189)</x:f>
        <x:v>0.12544802867383514</x:v>
      </x:c>
    </x:row>
    <x:row r="2190">
      <x:c r="A2190" s="379" t="n">
        <x:v>47841</x:v>
      </x:c>
      <x:c r="B2190" s="380" t="n">
        <x:v>2030</x:v>
      </x:c>
      <x:c r="C2190" s="380" t="n">
        <x:v>12</x:v>
      </x:c>
      <x:c r="D2190" s="380" t="str">
        <x:v>Dec</x:v>
      </x:c>
      <x:c r="E2190" s="380" t="n">
        <x:v>24</x:v>
      </x:c>
      <x:c r="F2190" s="380" t="n">
        <x:v>2</x:v>
      </x:c>
      <x:c r="G2190" s="380" t="n">
        <x:f>--(F2190&lt;='Estimator'!$B$7)</x:f>
        <x:v>1</x:v>
      </x:c>
      <x:c r="H2190" s="381" t="n">
        <x:f>SUMIFS('Climate Data'!$G$7:$G$366,'Climate Data'!$A$7:$A$366,'Estimator'!$B$4,'Climate Data'!$B$7:$B$366,C2190)</x:f>
        <x:v>0.2914349276974416</x:v>
      </x:c>
      <x:c r="I2190" s="382" t="n">
        <x:f>SUMIFS('Climate Data'!$H$7:$H$366,'Climate Data'!$A$7:$A$366,'Estimator'!$B$4,'Climate Data'!$B$7:$B$366,C2190)</x:f>
        <x:v>9.043129770992365</x:v>
      </x:c>
      <x:c r="J2190" s="381" t="n">
        <x:f>SUMIFS('Wind Proxy'!$H$8:$H$19,'Wind Proxy'!$A$8:$A$19,'Estimator'!$B$4,'Wind Proxy'!$B$8:$B$19,C2190)</x:f>
        <x:v>0.12544802867383514</x:v>
      </x:c>
    </x:row>
    <x:row r="2191">
      <x:c r="A2191" s="379" t="n">
        <x:v>47842</x:v>
      </x:c>
      <x:c r="B2191" s="380" t="n">
        <x:v>2030</x:v>
      </x:c>
      <x:c r="C2191" s="380" t="n">
        <x:v>12</x:v>
      </x:c>
      <x:c r="D2191" s="380" t="str">
        <x:v>Dec</x:v>
      </x:c>
      <x:c r="E2191" s="380" t="n">
        <x:v>25</x:v>
      </x:c>
      <x:c r="F2191" s="380" t="n">
        <x:v>3</x:v>
      </x:c>
      <x:c r="G2191" s="380" t="n">
        <x:f>--(F2191&lt;='Estimator'!$B$7)</x:f>
        <x:v>1</x:v>
      </x:c>
      <x:c r="H2191" s="381" t="n">
        <x:f>SUMIFS('Climate Data'!$G$7:$G$366,'Climate Data'!$A$7:$A$366,'Estimator'!$B$4,'Climate Data'!$B$7:$B$366,C2191)</x:f>
        <x:v>0.2914349276974416</x:v>
      </x:c>
      <x:c r="I2191" s="382" t="n">
        <x:f>SUMIFS('Climate Data'!$H$7:$H$366,'Climate Data'!$A$7:$A$366,'Estimator'!$B$4,'Climate Data'!$B$7:$B$366,C2191)</x:f>
        <x:v>9.043129770992365</x:v>
      </x:c>
      <x:c r="J2191" s="381" t="n">
        <x:f>SUMIFS('Wind Proxy'!$H$8:$H$19,'Wind Proxy'!$A$8:$A$19,'Estimator'!$B$4,'Wind Proxy'!$B$8:$B$19,C2191)</x:f>
        <x:v>0.12544802867383514</x:v>
      </x:c>
    </x:row>
    <x:row r="2192">
      <x:c r="A2192" s="379" t="n">
        <x:v>47843</x:v>
      </x:c>
      <x:c r="B2192" s="380" t="n">
        <x:v>2030</x:v>
      </x:c>
      <x:c r="C2192" s="380" t="n">
        <x:v>12</x:v>
      </x:c>
      <x:c r="D2192" s="380" t="str">
        <x:v>Dec</x:v>
      </x:c>
      <x:c r="E2192" s="380" t="n">
        <x:v>26</x:v>
      </x:c>
      <x:c r="F2192" s="380" t="n">
        <x:v>4</x:v>
      </x:c>
      <x:c r="G2192" s="380" t="n">
        <x:f>--(F2192&lt;='Estimator'!$B$7)</x:f>
        <x:v>1</x:v>
      </x:c>
      <x:c r="H2192" s="381" t="n">
        <x:f>SUMIFS('Climate Data'!$G$7:$G$366,'Climate Data'!$A$7:$A$366,'Estimator'!$B$4,'Climate Data'!$B$7:$B$366,C2192)</x:f>
        <x:v>0.2914349276974416</x:v>
      </x:c>
      <x:c r="I2192" s="382" t="n">
        <x:f>SUMIFS('Climate Data'!$H$7:$H$366,'Climate Data'!$A$7:$A$366,'Estimator'!$B$4,'Climate Data'!$B$7:$B$366,C2192)</x:f>
        <x:v>9.043129770992365</x:v>
      </x:c>
      <x:c r="J2192" s="381" t="n">
        <x:f>SUMIFS('Wind Proxy'!$H$8:$H$19,'Wind Proxy'!$A$8:$A$19,'Estimator'!$B$4,'Wind Proxy'!$B$8:$B$19,C2192)</x:f>
        <x:v>0.12544802867383514</x:v>
      </x:c>
    </x:row>
    <x:row r="2193">
      <x:c r="A2193" s="379" t="n">
        <x:v>47844</x:v>
      </x:c>
      <x:c r="B2193" s="380" t="n">
        <x:v>2030</x:v>
      </x:c>
      <x:c r="C2193" s="380" t="n">
        <x:v>12</x:v>
      </x:c>
      <x:c r="D2193" s="380" t="str">
        <x:v>Dec</x:v>
      </x:c>
      <x:c r="E2193" s="380" t="n">
        <x:v>27</x:v>
      </x:c>
      <x:c r="F2193" s="380" t="n">
        <x:v>5</x:v>
      </x:c>
      <x:c r="G2193" s="380" t="n">
        <x:f>--(F2193&lt;='Estimator'!$B$7)</x:f>
        <x:v>1</x:v>
      </x:c>
      <x:c r="H2193" s="381" t="n">
        <x:f>SUMIFS('Climate Data'!$G$7:$G$366,'Climate Data'!$A$7:$A$366,'Estimator'!$B$4,'Climate Data'!$B$7:$B$366,C2193)</x:f>
        <x:v>0.2914349276974416</x:v>
      </x:c>
      <x:c r="I2193" s="382" t="n">
        <x:f>SUMIFS('Climate Data'!$H$7:$H$366,'Climate Data'!$A$7:$A$366,'Estimator'!$B$4,'Climate Data'!$B$7:$B$366,C2193)</x:f>
        <x:v>9.043129770992365</x:v>
      </x:c>
      <x:c r="J2193" s="381" t="n">
        <x:f>SUMIFS('Wind Proxy'!$H$8:$H$19,'Wind Proxy'!$A$8:$A$19,'Estimator'!$B$4,'Wind Proxy'!$B$8:$B$19,C2193)</x:f>
        <x:v>0.12544802867383514</x:v>
      </x:c>
    </x:row>
    <x:row r="2194">
      <x:c r="A2194" s="379" t="n">
        <x:v>47845</x:v>
      </x:c>
      <x:c r="B2194" s="380" t="n">
        <x:v>2030</x:v>
      </x:c>
      <x:c r="C2194" s="380" t="n">
        <x:v>12</x:v>
      </x:c>
      <x:c r="D2194" s="380" t="str">
        <x:v>Dec</x:v>
      </x:c>
      <x:c r="E2194" s="380" t="n">
        <x:v>28</x:v>
      </x:c>
      <x:c r="F2194" s="380" t="n">
        <x:v>6</x:v>
      </x:c>
      <x:c r="G2194" s="380" t="n">
        <x:f>--(F2194&lt;='Estimator'!$B$7)</x:f>
        <x:v>0</x:v>
      </x:c>
      <x:c r="H2194" s="381" t="n">
        <x:f>SUMIFS('Climate Data'!$G$7:$G$366,'Climate Data'!$A$7:$A$366,'Estimator'!$B$4,'Climate Data'!$B$7:$B$366,C2194)</x:f>
        <x:v>0.2914349276974416</x:v>
      </x:c>
      <x:c r="I2194" s="382" t="n">
        <x:f>SUMIFS('Climate Data'!$H$7:$H$366,'Climate Data'!$A$7:$A$366,'Estimator'!$B$4,'Climate Data'!$B$7:$B$366,C2194)</x:f>
        <x:v>9.043129770992365</x:v>
      </x:c>
      <x:c r="J2194" s="381" t="n">
        <x:f>SUMIFS('Wind Proxy'!$H$8:$H$19,'Wind Proxy'!$A$8:$A$19,'Estimator'!$B$4,'Wind Proxy'!$B$8:$B$19,C2194)</x:f>
        <x:v>0.12544802867383514</x:v>
      </x:c>
    </x:row>
    <x:row r="2195">
      <x:c r="A2195" s="379" t="n">
        <x:v>47846</x:v>
      </x:c>
      <x:c r="B2195" s="380" t="n">
        <x:v>2030</x:v>
      </x:c>
      <x:c r="C2195" s="380" t="n">
        <x:v>12</x:v>
      </x:c>
      <x:c r="D2195" s="380" t="str">
        <x:v>Dec</x:v>
      </x:c>
      <x:c r="E2195" s="380" t="n">
        <x:v>29</x:v>
      </x:c>
      <x:c r="F2195" s="380" t="n">
        <x:v>7</x:v>
      </x:c>
      <x:c r="G2195" s="380" t="n">
        <x:f>--(F2195&lt;='Estimator'!$B$7)</x:f>
        <x:v>0</x:v>
      </x:c>
      <x:c r="H2195" s="381" t="n">
        <x:f>SUMIFS('Climate Data'!$G$7:$G$366,'Climate Data'!$A$7:$A$366,'Estimator'!$B$4,'Climate Data'!$B$7:$B$366,C2195)</x:f>
        <x:v>0.2914349276974416</x:v>
      </x:c>
      <x:c r="I2195" s="382" t="n">
        <x:f>SUMIFS('Climate Data'!$H$7:$H$366,'Climate Data'!$A$7:$A$366,'Estimator'!$B$4,'Climate Data'!$B$7:$B$366,C2195)</x:f>
        <x:v>9.043129770992365</x:v>
      </x:c>
      <x:c r="J2195" s="381" t="n">
        <x:f>SUMIFS('Wind Proxy'!$H$8:$H$19,'Wind Proxy'!$A$8:$A$19,'Estimator'!$B$4,'Wind Proxy'!$B$8:$B$19,C2195)</x:f>
        <x:v>0.12544802867383514</x:v>
      </x:c>
    </x:row>
    <x:row r="2196">
      <x:c r="A2196" s="379" t="n">
        <x:v>47847</x:v>
      </x:c>
      <x:c r="B2196" s="380" t="n">
        <x:v>2030</x:v>
      </x:c>
      <x:c r="C2196" s="380" t="n">
        <x:v>12</x:v>
      </x:c>
      <x:c r="D2196" s="380" t="str">
        <x:v>Dec</x:v>
      </x:c>
      <x:c r="E2196" s="380" t="n">
        <x:v>30</x:v>
      </x:c>
      <x:c r="F2196" s="380" t="n">
        <x:v>1</x:v>
      </x:c>
      <x:c r="G2196" s="380" t="n">
        <x:f>--(F2196&lt;='Estimator'!$B$7)</x:f>
        <x:v>1</x:v>
      </x:c>
      <x:c r="H2196" s="381" t="n">
        <x:f>SUMIFS('Climate Data'!$G$7:$G$366,'Climate Data'!$A$7:$A$366,'Estimator'!$B$4,'Climate Data'!$B$7:$B$366,C2196)</x:f>
        <x:v>0.2914349276974416</x:v>
      </x:c>
      <x:c r="I2196" s="382" t="n">
        <x:f>SUMIFS('Climate Data'!$H$7:$H$366,'Climate Data'!$A$7:$A$366,'Estimator'!$B$4,'Climate Data'!$B$7:$B$366,C2196)</x:f>
        <x:v>9.043129770992365</x:v>
      </x:c>
      <x:c r="J2196" s="381" t="n">
        <x:f>SUMIFS('Wind Proxy'!$H$8:$H$19,'Wind Proxy'!$A$8:$A$19,'Estimator'!$B$4,'Wind Proxy'!$B$8:$B$19,C2196)</x:f>
        <x:v>0.12544802867383514</x:v>
      </x:c>
    </x:row>
    <x:row r="2197">
      <x:c r="A2197" s="379" t="n">
        <x:v>47848</x:v>
      </x:c>
      <x:c r="B2197" s="380" t="n">
        <x:v>2030</x:v>
      </x:c>
      <x:c r="C2197" s="380" t="n">
        <x:v>12</x:v>
      </x:c>
      <x:c r="D2197" s="380" t="str">
        <x:v>Dec</x:v>
      </x:c>
      <x:c r="E2197" s="380" t="n">
        <x:v>31</x:v>
      </x:c>
      <x:c r="F2197" s="380" t="n">
        <x:v>2</x:v>
      </x:c>
      <x:c r="G2197" s="380" t="n">
        <x:f>--(F2197&lt;='Estimator'!$B$7)</x:f>
        <x:v>1</x:v>
      </x:c>
      <x:c r="H2197" s="381" t="n">
        <x:f>SUMIFS('Climate Data'!$G$7:$G$366,'Climate Data'!$A$7:$A$366,'Estimator'!$B$4,'Climate Data'!$B$7:$B$366,C2197)</x:f>
        <x:v>0.2914349276974416</x:v>
      </x:c>
      <x:c r="I2197" s="382" t="n">
        <x:f>SUMIFS('Climate Data'!$H$7:$H$366,'Climate Data'!$A$7:$A$366,'Estimator'!$B$4,'Climate Data'!$B$7:$B$366,C2197)</x:f>
        <x:v>9.043129770992365</x:v>
      </x:c>
      <x:c r="J2197" s="381" t="n">
        <x:f>SUMIFS('Wind Proxy'!$H$8:$H$19,'Wind Proxy'!$A$8:$A$19,'Estimator'!$B$4,'Wind Proxy'!$B$8:$B$19,C2197)</x:f>
        <x:v>0.12544802867383514</x:v>
      </x:c>
    </x:row>
    <x:row r="2198">
      <x:c r="A2198" s="379" t="n">
        <x:v>47849</x:v>
      </x:c>
      <x:c r="B2198" s="380" t="n">
        <x:v>2031</x:v>
      </x:c>
      <x:c r="C2198" s="380" t="n">
        <x:v>1</x:v>
      </x:c>
      <x:c r="D2198" s="380" t="str">
        <x:v>Jan</x:v>
      </x:c>
      <x:c r="E2198" s="380" t="n">
        <x:v>1</x:v>
      </x:c>
      <x:c r="F2198" s="380" t="n">
        <x:v>3</x:v>
      </x:c>
      <x:c r="G2198" s="380" t="n">
        <x:f>--(F2198&lt;='Estimator'!$B$7)</x:f>
        <x:v>1</x:v>
      </x:c>
      <x:c r="H2198" s="381" t="n">
        <x:f>SUMIFS('Climate Data'!$G$7:$G$366,'Climate Data'!$A$7:$A$366,'Estimator'!$B$4,'Climate Data'!$B$7:$B$366,C2198)</x:f>
        <x:v>0.21802002224694106</x:v>
      </x:c>
      <x:c r="I2198" s="382" t="n">
        <x:f>SUMIFS('Climate Data'!$H$7:$H$366,'Climate Data'!$A$7:$A$366,'Estimator'!$B$4,'Climate Data'!$B$7:$B$366,C2198)</x:f>
        <x:v>8.596428571428572</x:v>
      </x:c>
      <x:c r="J2198" s="381" t="n">
        <x:f>SUMIFS('Wind Proxy'!$H$8:$H$19,'Wind Proxy'!$A$8:$A$19,'Estimator'!$B$4,'Wind Proxy'!$B$8:$B$19,C2198)</x:f>
        <x:v>0.12544802867383514</x:v>
      </x:c>
    </x:row>
    <x:row r="2199">
      <x:c r="A2199" s="379" t="n">
        <x:v>47850</x:v>
      </x:c>
      <x:c r="B2199" s="380" t="n">
        <x:v>2031</x:v>
      </x:c>
      <x:c r="C2199" s="380" t="n">
        <x:v>1</x:v>
      </x:c>
      <x:c r="D2199" s="380" t="str">
        <x:v>Jan</x:v>
      </x:c>
      <x:c r="E2199" s="380" t="n">
        <x:v>2</x:v>
      </x:c>
      <x:c r="F2199" s="380" t="n">
        <x:v>4</x:v>
      </x:c>
      <x:c r="G2199" s="380" t="n">
        <x:f>--(F2199&lt;='Estimator'!$B$7)</x:f>
        <x:v>1</x:v>
      </x:c>
      <x:c r="H2199" s="381" t="n">
        <x:f>SUMIFS('Climate Data'!$G$7:$G$366,'Climate Data'!$A$7:$A$366,'Estimator'!$B$4,'Climate Data'!$B$7:$B$366,C2199)</x:f>
        <x:v>0.21802002224694106</x:v>
      </x:c>
      <x:c r="I2199" s="382" t="n">
        <x:f>SUMIFS('Climate Data'!$H$7:$H$366,'Climate Data'!$A$7:$A$366,'Estimator'!$B$4,'Climate Data'!$B$7:$B$366,C2199)</x:f>
        <x:v>8.596428571428572</x:v>
      </x:c>
      <x:c r="J2199" s="381" t="n">
        <x:f>SUMIFS('Wind Proxy'!$H$8:$H$19,'Wind Proxy'!$A$8:$A$19,'Estimator'!$B$4,'Wind Proxy'!$B$8:$B$19,C2199)</x:f>
        <x:v>0.12544802867383514</x:v>
      </x:c>
    </x:row>
    <x:row r="2200">
      <x:c r="A2200" s="379" t="n">
        <x:v>47851</x:v>
      </x:c>
      <x:c r="B2200" s="380" t="n">
        <x:v>2031</x:v>
      </x:c>
      <x:c r="C2200" s="380" t="n">
        <x:v>1</x:v>
      </x:c>
      <x:c r="D2200" s="380" t="str">
        <x:v>Jan</x:v>
      </x:c>
      <x:c r="E2200" s="380" t="n">
        <x:v>3</x:v>
      </x:c>
      <x:c r="F2200" s="380" t="n">
        <x:v>5</x:v>
      </x:c>
      <x:c r="G2200" s="380" t="n">
        <x:f>--(F2200&lt;='Estimator'!$B$7)</x:f>
        <x:v>1</x:v>
      </x:c>
      <x:c r="H2200" s="381" t="n">
        <x:f>SUMIFS('Climate Data'!$G$7:$G$366,'Climate Data'!$A$7:$A$366,'Estimator'!$B$4,'Climate Data'!$B$7:$B$366,C2200)</x:f>
        <x:v>0.21802002224694106</x:v>
      </x:c>
      <x:c r="I2200" s="382" t="n">
        <x:f>SUMIFS('Climate Data'!$H$7:$H$366,'Climate Data'!$A$7:$A$366,'Estimator'!$B$4,'Climate Data'!$B$7:$B$366,C2200)</x:f>
        <x:v>8.596428571428572</x:v>
      </x:c>
      <x:c r="J2200" s="381" t="n">
        <x:f>SUMIFS('Wind Proxy'!$H$8:$H$19,'Wind Proxy'!$A$8:$A$19,'Estimator'!$B$4,'Wind Proxy'!$B$8:$B$19,C2200)</x:f>
        <x:v>0.12544802867383514</x:v>
      </x:c>
    </x:row>
    <x:row r="2201">
      <x:c r="A2201" s="379" t="n">
        <x:v>47852</x:v>
      </x:c>
      <x:c r="B2201" s="380" t="n">
        <x:v>2031</x:v>
      </x:c>
      <x:c r="C2201" s="380" t="n">
        <x:v>1</x:v>
      </x:c>
      <x:c r="D2201" s="380" t="str">
        <x:v>Jan</x:v>
      </x:c>
      <x:c r="E2201" s="380" t="n">
        <x:v>4</x:v>
      </x:c>
      <x:c r="F2201" s="380" t="n">
        <x:v>6</x:v>
      </x:c>
      <x:c r="G2201" s="380" t="n">
        <x:f>--(F2201&lt;='Estimator'!$B$7)</x:f>
        <x:v>0</x:v>
      </x:c>
      <x:c r="H2201" s="381" t="n">
        <x:f>SUMIFS('Climate Data'!$G$7:$G$366,'Climate Data'!$A$7:$A$366,'Estimator'!$B$4,'Climate Data'!$B$7:$B$366,C2201)</x:f>
        <x:v>0.21802002224694106</x:v>
      </x:c>
      <x:c r="I2201" s="382" t="n">
        <x:f>SUMIFS('Climate Data'!$H$7:$H$366,'Climate Data'!$A$7:$A$366,'Estimator'!$B$4,'Climate Data'!$B$7:$B$366,C2201)</x:f>
        <x:v>8.596428571428572</x:v>
      </x:c>
      <x:c r="J2201" s="381" t="n">
        <x:f>SUMIFS('Wind Proxy'!$H$8:$H$19,'Wind Proxy'!$A$8:$A$19,'Estimator'!$B$4,'Wind Proxy'!$B$8:$B$19,C2201)</x:f>
        <x:v>0.12544802867383514</x:v>
      </x:c>
    </x:row>
    <x:row r="2202">
      <x:c r="A2202" s="379" t="n">
        <x:v>47853</x:v>
      </x:c>
      <x:c r="B2202" s="380" t="n">
        <x:v>2031</x:v>
      </x:c>
      <x:c r="C2202" s="380" t="n">
        <x:v>1</x:v>
      </x:c>
      <x:c r="D2202" s="380" t="str">
        <x:v>Jan</x:v>
      </x:c>
      <x:c r="E2202" s="380" t="n">
        <x:v>5</x:v>
      </x:c>
      <x:c r="F2202" s="380" t="n">
        <x:v>7</x:v>
      </x:c>
      <x:c r="G2202" s="380" t="n">
        <x:f>--(F2202&lt;='Estimator'!$B$7)</x:f>
        <x:v>0</x:v>
      </x:c>
      <x:c r="H2202" s="381" t="n">
        <x:f>SUMIFS('Climate Data'!$G$7:$G$366,'Climate Data'!$A$7:$A$366,'Estimator'!$B$4,'Climate Data'!$B$7:$B$366,C2202)</x:f>
        <x:v>0.21802002224694106</x:v>
      </x:c>
      <x:c r="I2202" s="382" t="n">
        <x:f>SUMIFS('Climate Data'!$H$7:$H$366,'Climate Data'!$A$7:$A$366,'Estimator'!$B$4,'Climate Data'!$B$7:$B$366,C2202)</x:f>
        <x:v>8.596428571428572</x:v>
      </x:c>
      <x:c r="J2202" s="381" t="n">
        <x:f>SUMIFS('Wind Proxy'!$H$8:$H$19,'Wind Proxy'!$A$8:$A$19,'Estimator'!$B$4,'Wind Proxy'!$B$8:$B$19,C2202)</x:f>
        <x:v>0.12544802867383514</x:v>
      </x:c>
    </x:row>
    <x:row r="2203">
      <x:c r="A2203" s="379" t="n">
        <x:v>47854</x:v>
      </x:c>
      <x:c r="B2203" s="380" t="n">
        <x:v>2031</x:v>
      </x:c>
      <x:c r="C2203" s="380" t="n">
        <x:v>1</x:v>
      </x:c>
      <x:c r="D2203" s="380" t="str">
        <x:v>Jan</x:v>
      </x:c>
      <x:c r="E2203" s="380" t="n">
        <x:v>6</x:v>
      </x:c>
      <x:c r="F2203" s="380" t="n">
        <x:v>1</x:v>
      </x:c>
      <x:c r="G2203" s="380" t="n">
        <x:f>--(F2203&lt;='Estimator'!$B$7)</x:f>
        <x:v>1</x:v>
      </x:c>
      <x:c r="H2203" s="381" t="n">
        <x:f>SUMIFS('Climate Data'!$G$7:$G$366,'Climate Data'!$A$7:$A$366,'Estimator'!$B$4,'Climate Data'!$B$7:$B$366,C2203)</x:f>
        <x:v>0.21802002224694106</x:v>
      </x:c>
      <x:c r="I2203" s="382" t="n">
        <x:f>SUMIFS('Climate Data'!$H$7:$H$366,'Climate Data'!$A$7:$A$366,'Estimator'!$B$4,'Climate Data'!$B$7:$B$366,C2203)</x:f>
        <x:v>8.596428571428572</x:v>
      </x:c>
      <x:c r="J2203" s="381" t="n">
        <x:f>SUMIFS('Wind Proxy'!$H$8:$H$19,'Wind Proxy'!$A$8:$A$19,'Estimator'!$B$4,'Wind Proxy'!$B$8:$B$19,C2203)</x:f>
        <x:v>0.12544802867383514</x:v>
      </x:c>
    </x:row>
    <x:row r="2204">
      <x:c r="A2204" s="379" t="n">
        <x:v>47855</x:v>
      </x:c>
      <x:c r="B2204" s="380" t="n">
        <x:v>2031</x:v>
      </x:c>
      <x:c r="C2204" s="380" t="n">
        <x:v>1</x:v>
      </x:c>
      <x:c r="D2204" s="380" t="str">
        <x:v>Jan</x:v>
      </x:c>
      <x:c r="E2204" s="380" t="n">
        <x:v>7</x:v>
      </x:c>
      <x:c r="F2204" s="380" t="n">
        <x:v>2</x:v>
      </x:c>
      <x:c r="G2204" s="380" t="n">
        <x:f>--(F2204&lt;='Estimator'!$B$7)</x:f>
        <x:v>1</x:v>
      </x:c>
      <x:c r="H2204" s="381" t="n">
        <x:f>SUMIFS('Climate Data'!$G$7:$G$366,'Climate Data'!$A$7:$A$366,'Estimator'!$B$4,'Climate Data'!$B$7:$B$366,C2204)</x:f>
        <x:v>0.21802002224694106</x:v>
      </x:c>
      <x:c r="I2204" s="382" t="n">
        <x:f>SUMIFS('Climate Data'!$H$7:$H$366,'Climate Data'!$A$7:$A$366,'Estimator'!$B$4,'Climate Data'!$B$7:$B$366,C2204)</x:f>
        <x:v>8.596428571428572</x:v>
      </x:c>
      <x:c r="J2204" s="381" t="n">
        <x:f>SUMIFS('Wind Proxy'!$H$8:$H$19,'Wind Proxy'!$A$8:$A$19,'Estimator'!$B$4,'Wind Proxy'!$B$8:$B$19,C2204)</x:f>
        <x:v>0.12544802867383514</x:v>
      </x:c>
    </x:row>
    <x:row r="2205">
      <x:c r="A2205" s="379" t="n">
        <x:v>47856</x:v>
      </x:c>
      <x:c r="B2205" s="380" t="n">
        <x:v>2031</x:v>
      </x:c>
      <x:c r="C2205" s="380" t="n">
        <x:v>1</x:v>
      </x:c>
      <x:c r="D2205" s="380" t="str">
        <x:v>Jan</x:v>
      </x:c>
      <x:c r="E2205" s="380" t="n">
        <x:v>8</x:v>
      </x:c>
      <x:c r="F2205" s="380" t="n">
        <x:v>3</x:v>
      </x:c>
      <x:c r="G2205" s="380" t="n">
        <x:f>--(F2205&lt;='Estimator'!$B$7)</x:f>
        <x:v>1</x:v>
      </x:c>
      <x:c r="H2205" s="381" t="n">
        <x:f>SUMIFS('Climate Data'!$G$7:$G$366,'Climate Data'!$A$7:$A$366,'Estimator'!$B$4,'Climate Data'!$B$7:$B$366,C2205)</x:f>
        <x:v>0.21802002224694106</x:v>
      </x:c>
      <x:c r="I2205" s="382" t="n">
        <x:f>SUMIFS('Climate Data'!$H$7:$H$366,'Climate Data'!$A$7:$A$366,'Estimator'!$B$4,'Climate Data'!$B$7:$B$366,C2205)</x:f>
        <x:v>8.596428571428572</x:v>
      </x:c>
      <x:c r="J2205" s="381" t="n">
        <x:f>SUMIFS('Wind Proxy'!$H$8:$H$19,'Wind Proxy'!$A$8:$A$19,'Estimator'!$B$4,'Wind Proxy'!$B$8:$B$19,C2205)</x:f>
        <x:v>0.12544802867383514</x:v>
      </x:c>
    </x:row>
    <x:row r="2206">
      <x:c r="A2206" s="379" t="n">
        <x:v>47857</x:v>
      </x:c>
      <x:c r="B2206" s="380" t="n">
        <x:v>2031</x:v>
      </x:c>
      <x:c r="C2206" s="380" t="n">
        <x:v>1</x:v>
      </x:c>
      <x:c r="D2206" s="380" t="str">
        <x:v>Jan</x:v>
      </x:c>
      <x:c r="E2206" s="380" t="n">
        <x:v>9</x:v>
      </x:c>
      <x:c r="F2206" s="380" t="n">
        <x:v>4</x:v>
      </x:c>
      <x:c r="G2206" s="380" t="n">
        <x:f>--(F2206&lt;='Estimator'!$B$7)</x:f>
        <x:v>1</x:v>
      </x:c>
      <x:c r="H2206" s="381" t="n">
        <x:f>SUMIFS('Climate Data'!$G$7:$G$366,'Climate Data'!$A$7:$A$366,'Estimator'!$B$4,'Climate Data'!$B$7:$B$366,C2206)</x:f>
        <x:v>0.21802002224694106</x:v>
      </x:c>
      <x:c r="I2206" s="382" t="n">
        <x:f>SUMIFS('Climate Data'!$H$7:$H$366,'Climate Data'!$A$7:$A$366,'Estimator'!$B$4,'Climate Data'!$B$7:$B$366,C2206)</x:f>
        <x:v>8.596428571428572</x:v>
      </x:c>
      <x:c r="J2206" s="381" t="n">
        <x:f>SUMIFS('Wind Proxy'!$H$8:$H$19,'Wind Proxy'!$A$8:$A$19,'Estimator'!$B$4,'Wind Proxy'!$B$8:$B$19,C2206)</x:f>
        <x:v>0.12544802867383514</x:v>
      </x:c>
    </x:row>
    <x:row r="2207">
      <x:c r="A2207" s="379" t="n">
        <x:v>47858</x:v>
      </x:c>
      <x:c r="B2207" s="380" t="n">
        <x:v>2031</x:v>
      </x:c>
      <x:c r="C2207" s="380" t="n">
        <x:v>1</x:v>
      </x:c>
      <x:c r="D2207" s="380" t="str">
        <x:v>Jan</x:v>
      </x:c>
      <x:c r="E2207" s="380" t="n">
        <x:v>10</x:v>
      </x:c>
      <x:c r="F2207" s="380" t="n">
        <x:v>5</x:v>
      </x:c>
      <x:c r="G2207" s="380" t="n">
        <x:f>--(F2207&lt;='Estimator'!$B$7)</x:f>
        <x:v>1</x:v>
      </x:c>
      <x:c r="H2207" s="381" t="n">
        <x:f>SUMIFS('Climate Data'!$G$7:$G$366,'Climate Data'!$A$7:$A$366,'Estimator'!$B$4,'Climate Data'!$B$7:$B$366,C2207)</x:f>
        <x:v>0.21802002224694106</x:v>
      </x:c>
      <x:c r="I2207" s="382" t="n">
        <x:f>SUMIFS('Climate Data'!$H$7:$H$366,'Climate Data'!$A$7:$A$366,'Estimator'!$B$4,'Climate Data'!$B$7:$B$366,C2207)</x:f>
        <x:v>8.596428571428572</x:v>
      </x:c>
      <x:c r="J2207" s="381" t="n">
        <x:f>SUMIFS('Wind Proxy'!$H$8:$H$19,'Wind Proxy'!$A$8:$A$19,'Estimator'!$B$4,'Wind Proxy'!$B$8:$B$19,C2207)</x:f>
        <x:v>0.12544802867383514</x:v>
      </x:c>
    </x:row>
    <x:row r="2208">
      <x:c r="A2208" s="379" t="n">
        <x:v>47859</x:v>
      </x:c>
      <x:c r="B2208" s="380" t="n">
        <x:v>2031</x:v>
      </x:c>
      <x:c r="C2208" s="380" t="n">
        <x:v>1</x:v>
      </x:c>
      <x:c r="D2208" s="380" t="str">
        <x:v>Jan</x:v>
      </x:c>
      <x:c r="E2208" s="380" t="n">
        <x:v>11</x:v>
      </x:c>
      <x:c r="F2208" s="380" t="n">
        <x:v>6</x:v>
      </x:c>
      <x:c r="G2208" s="380" t="n">
        <x:f>--(F2208&lt;='Estimator'!$B$7)</x:f>
        <x:v>0</x:v>
      </x:c>
      <x:c r="H2208" s="381" t="n">
        <x:f>SUMIFS('Climate Data'!$G$7:$G$366,'Climate Data'!$A$7:$A$366,'Estimator'!$B$4,'Climate Data'!$B$7:$B$366,C2208)</x:f>
        <x:v>0.21802002224694106</x:v>
      </x:c>
      <x:c r="I2208" s="382" t="n">
        <x:f>SUMIFS('Climate Data'!$H$7:$H$366,'Climate Data'!$A$7:$A$366,'Estimator'!$B$4,'Climate Data'!$B$7:$B$366,C2208)</x:f>
        <x:v>8.596428571428572</x:v>
      </x:c>
      <x:c r="J2208" s="381" t="n">
        <x:f>SUMIFS('Wind Proxy'!$H$8:$H$19,'Wind Proxy'!$A$8:$A$19,'Estimator'!$B$4,'Wind Proxy'!$B$8:$B$19,C2208)</x:f>
        <x:v>0.12544802867383514</x:v>
      </x:c>
    </x:row>
    <x:row r="2209">
      <x:c r="A2209" s="379" t="n">
        <x:v>47860</x:v>
      </x:c>
      <x:c r="B2209" s="380" t="n">
        <x:v>2031</x:v>
      </x:c>
      <x:c r="C2209" s="380" t="n">
        <x:v>1</x:v>
      </x:c>
      <x:c r="D2209" s="380" t="str">
        <x:v>Jan</x:v>
      </x:c>
      <x:c r="E2209" s="380" t="n">
        <x:v>12</x:v>
      </x:c>
      <x:c r="F2209" s="380" t="n">
        <x:v>7</x:v>
      </x:c>
      <x:c r="G2209" s="380" t="n">
        <x:f>--(F2209&lt;='Estimator'!$B$7)</x:f>
        <x:v>0</x:v>
      </x:c>
      <x:c r="H2209" s="381" t="n">
        <x:f>SUMIFS('Climate Data'!$G$7:$G$366,'Climate Data'!$A$7:$A$366,'Estimator'!$B$4,'Climate Data'!$B$7:$B$366,C2209)</x:f>
        <x:v>0.21802002224694106</x:v>
      </x:c>
      <x:c r="I2209" s="382" t="n">
        <x:f>SUMIFS('Climate Data'!$H$7:$H$366,'Climate Data'!$A$7:$A$366,'Estimator'!$B$4,'Climate Data'!$B$7:$B$366,C2209)</x:f>
        <x:v>8.596428571428572</x:v>
      </x:c>
      <x:c r="J2209" s="381" t="n">
        <x:f>SUMIFS('Wind Proxy'!$H$8:$H$19,'Wind Proxy'!$A$8:$A$19,'Estimator'!$B$4,'Wind Proxy'!$B$8:$B$19,C2209)</x:f>
        <x:v>0.12544802867383514</x:v>
      </x:c>
    </x:row>
    <x:row r="2210">
      <x:c r="A2210" s="379" t="n">
        <x:v>47861</x:v>
      </x:c>
      <x:c r="B2210" s="380" t="n">
        <x:v>2031</x:v>
      </x:c>
      <x:c r="C2210" s="380" t="n">
        <x:v>1</x:v>
      </x:c>
      <x:c r="D2210" s="380" t="str">
        <x:v>Jan</x:v>
      </x:c>
      <x:c r="E2210" s="380" t="n">
        <x:v>13</x:v>
      </x:c>
      <x:c r="F2210" s="380" t="n">
        <x:v>1</x:v>
      </x:c>
      <x:c r="G2210" s="380" t="n">
        <x:f>--(F2210&lt;='Estimator'!$B$7)</x:f>
        <x:v>1</x:v>
      </x:c>
      <x:c r="H2210" s="381" t="n">
        <x:f>SUMIFS('Climate Data'!$G$7:$G$366,'Climate Data'!$A$7:$A$366,'Estimator'!$B$4,'Climate Data'!$B$7:$B$366,C2210)</x:f>
        <x:v>0.21802002224694106</x:v>
      </x:c>
      <x:c r="I2210" s="382" t="n">
        <x:f>SUMIFS('Climate Data'!$H$7:$H$366,'Climate Data'!$A$7:$A$366,'Estimator'!$B$4,'Climate Data'!$B$7:$B$366,C2210)</x:f>
        <x:v>8.596428571428572</x:v>
      </x:c>
      <x:c r="J2210" s="381" t="n">
        <x:f>SUMIFS('Wind Proxy'!$H$8:$H$19,'Wind Proxy'!$A$8:$A$19,'Estimator'!$B$4,'Wind Proxy'!$B$8:$B$19,C2210)</x:f>
        <x:v>0.12544802867383514</x:v>
      </x:c>
    </x:row>
    <x:row r="2211">
      <x:c r="A2211" s="379" t="n">
        <x:v>47862</x:v>
      </x:c>
      <x:c r="B2211" s="380" t="n">
        <x:v>2031</x:v>
      </x:c>
      <x:c r="C2211" s="380" t="n">
        <x:v>1</x:v>
      </x:c>
      <x:c r="D2211" s="380" t="str">
        <x:v>Jan</x:v>
      </x:c>
      <x:c r="E2211" s="380" t="n">
        <x:v>14</x:v>
      </x:c>
      <x:c r="F2211" s="380" t="n">
        <x:v>2</x:v>
      </x:c>
      <x:c r="G2211" s="380" t="n">
        <x:f>--(F2211&lt;='Estimator'!$B$7)</x:f>
        <x:v>1</x:v>
      </x:c>
      <x:c r="H2211" s="381" t="n">
        <x:f>SUMIFS('Climate Data'!$G$7:$G$366,'Climate Data'!$A$7:$A$366,'Estimator'!$B$4,'Climate Data'!$B$7:$B$366,C2211)</x:f>
        <x:v>0.21802002224694106</x:v>
      </x:c>
      <x:c r="I2211" s="382" t="n">
        <x:f>SUMIFS('Climate Data'!$H$7:$H$366,'Climate Data'!$A$7:$A$366,'Estimator'!$B$4,'Climate Data'!$B$7:$B$366,C2211)</x:f>
        <x:v>8.596428571428572</x:v>
      </x:c>
      <x:c r="J2211" s="381" t="n">
        <x:f>SUMIFS('Wind Proxy'!$H$8:$H$19,'Wind Proxy'!$A$8:$A$19,'Estimator'!$B$4,'Wind Proxy'!$B$8:$B$19,C2211)</x:f>
        <x:v>0.12544802867383514</x:v>
      </x:c>
    </x:row>
    <x:row r="2212">
      <x:c r="A2212" s="379" t="n">
        <x:v>47863</x:v>
      </x:c>
      <x:c r="B2212" s="380" t="n">
        <x:v>2031</x:v>
      </x:c>
      <x:c r="C2212" s="380" t="n">
        <x:v>1</x:v>
      </x:c>
      <x:c r="D2212" s="380" t="str">
        <x:v>Jan</x:v>
      </x:c>
      <x:c r="E2212" s="380" t="n">
        <x:v>15</x:v>
      </x:c>
      <x:c r="F2212" s="380" t="n">
        <x:v>3</x:v>
      </x:c>
      <x:c r="G2212" s="380" t="n">
        <x:f>--(F2212&lt;='Estimator'!$B$7)</x:f>
        <x:v>1</x:v>
      </x:c>
      <x:c r="H2212" s="381" t="n">
        <x:f>SUMIFS('Climate Data'!$G$7:$G$366,'Climate Data'!$A$7:$A$366,'Estimator'!$B$4,'Climate Data'!$B$7:$B$366,C2212)</x:f>
        <x:v>0.21802002224694106</x:v>
      </x:c>
      <x:c r="I2212" s="382" t="n">
        <x:f>SUMIFS('Climate Data'!$H$7:$H$366,'Climate Data'!$A$7:$A$366,'Estimator'!$B$4,'Climate Data'!$B$7:$B$366,C2212)</x:f>
        <x:v>8.596428571428572</x:v>
      </x:c>
      <x:c r="J2212" s="381" t="n">
        <x:f>SUMIFS('Wind Proxy'!$H$8:$H$19,'Wind Proxy'!$A$8:$A$19,'Estimator'!$B$4,'Wind Proxy'!$B$8:$B$19,C2212)</x:f>
        <x:v>0.12544802867383514</x:v>
      </x:c>
    </x:row>
    <x:row r="2213">
      <x:c r="A2213" s="379" t="n">
        <x:v>47864</x:v>
      </x:c>
      <x:c r="B2213" s="380" t="n">
        <x:v>2031</x:v>
      </x:c>
      <x:c r="C2213" s="380" t="n">
        <x:v>1</x:v>
      </x:c>
      <x:c r="D2213" s="380" t="str">
        <x:v>Jan</x:v>
      </x:c>
      <x:c r="E2213" s="380" t="n">
        <x:v>16</x:v>
      </x:c>
      <x:c r="F2213" s="380" t="n">
        <x:v>4</x:v>
      </x:c>
      <x:c r="G2213" s="380" t="n">
        <x:f>--(F2213&lt;='Estimator'!$B$7)</x:f>
        <x:v>1</x:v>
      </x:c>
      <x:c r="H2213" s="381" t="n">
        <x:f>SUMIFS('Climate Data'!$G$7:$G$366,'Climate Data'!$A$7:$A$366,'Estimator'!$B$4,'Climate Data'!$B$7:$B$366,C2213)</x:f>
        <x:v>0.21802002224694106</x:v>
      </x:c>
      <x:c r="I2213" s="382" t="n">
        <x:f>SUMIFS('Climate Data'!$H$7:$H$366,'Climate Data'!$A$7:$A$366,'Estimator'!$B$4,'Climate Data'!$B$7:$B$366,C2213)</x:f>
        <x:v>8.596428571428572</x:v>
      </x:c>
      <x:c r="J2213" s="381" t="n">
        <x:f>SUMIFS('Wind Proxy'!$H$8:$H$19,'Wind Proxy'!$A$8:$A$19,'Estimator'!$B$4,'Wind Proxy'!$B$8:$B$19,C2213)</x:f>
        <x:v>0.12544802867383514</x:v>
      </x:c>
    </x:row>
    <x:row r="2214">
      <x:c r="A2214" s="379" t="n">
        <x:v>47865</x:v>
      </x:c>
      <x:c r="B2214" s="380" t="n">
        <x:v>2031</x:v>
      </x:c>
      <x:c r="C2214" s="380" t="n">
        <x:v>1</x:v>
      </x:c>
      <x:c r="D2214" s="380" t="str">
        <x:v>Jan</x:v>
      </x:c>
      <x:c r="E2214" s="380" t="n">
        <x:v>17</x:v>
      </x:c>
      <x:c r="F2214" s="380" t="n">
        <x:v>5</x:v>
      </x:c>
      <x:c r="G2214" s="380" t="n">
        <x:f>--(F2214&lt;='Estimator'!$B$7)</x:f>
        <x:v>1</x:v>
      </x:c>
      <x:c r="H2214" s="381" t="n">
        <x:f>SUMIFS('Climate Data'!$G$7:$G$366,'Climate Data'!$A$7:$A$366,'Estimator'!$B$4,'Climate Data'!$B$7:$B$366,C2214)</x:f>
        <x:v>0.21802002224694106</x:v>
      </x:c>
      <x:c r="I2214" s="382" t="n">
        <x:f>SUMIFS('Climate Data'!$H$7:$H$366,'Climate Data'!$A$7:$A$366,'Estimator'!$B$4,'Climate Data'!$B$7:$B$366,C2214)</x:f>
        <x:v>8.596428571428572</x:v>
      </x:c>
      <x:c r="J2214" s="381" t="n">
        <x:f>SUMIFS('Wind Proxy'!$H$8:$H$19,'Wind Proxy'!$A$8:$A$19,'Estimator'!$B$4,'Wind Proxy'!$B$8:$B$19,C2214)</x:f>
        <x:v>0.12544802867383514</x:v>
      </x:c>
    </x:row>
    <x:row r="2215">
      <x:c r="A2215" s="379" t="n">
        <x:v>47866</x:v>
      </x:c>
      <x:c r="B2215" s="380" t="n">
        <x:v>2031</x:v>
      </x:c>
      <x:c r="C2215" s="380" t="n">
        <x:v>1</x:v>
      </x:c>
      <x:c r="D2215" s="380" t="str">
        <x:v>Jan</x:v>
      </x:c>
      <x:c r="E2215" s="380" t="n">
        <x:v>18</x:v>
      </x:c>
      <x:c r="F2215" s="380" t="n">
        <x:v>6</x:v>
      </x:c>
      <x:c r="G2215" s="380" t="n">
        <x:f>--(F2215&lt;='Estimator'!$B$7)</x:f>
        <x:v>0</x:v>
      </x:c>
      <x:c r="H2215" s="381" t="n">
        <x:f>SUMIFS('Climate Data'!$G$7:$G$366,'Climate Data'!$A$7:$A$366,'Estimator'!$B$4,'Climate Data'!$B$7:$B$366,C2215)</x:f>
        <x:v>0.21802002224694106</x:v>
      </x:c>
      <x:c r="I2215" s="382" t="n">
        <x:f>SUMIFS('Climate Data'!$H$7:$H$366,'Climate Data'!$A$7:$A$366,'Estimator'!$B$4,'Climate Data'!$B$7:$B$366,C2215)</x:f>
        <x:v>8.596428571428572</x:v>
      </x:c>
      <x:c r="J2215" s="381" t="n">
        <x:f>SUMIFS('Wind Proxy'!$H$8:$H$19,'Wind Proxy'!$A$8:$A$19,'Estimator'!$B$4,'Wind Proxy'!$B$8:$B$19,C2215)</x:f>
        <x:v>0.12544802867383514</x:v>
      </x:c>
    </x:row>
    <x:row r="2216">
      <x:c r="A2216" s="379" t="n">
        <x:v>47867</x:v>
      </x:c>
      <x:c r="B2216" s="380" t="n">
        <x:v>2031</x:v>
      </x:c>
      <x:c r="C2216" s="380" t="n">
        <x:v>1</x:v>
      </x:c>
      <x:c r="D2216" s="380" t="str">
        <x:v>Jan</x:v>
      </x:c>
      <x:c r="E2216" s="380" t="n">
        <x:v>19</x:v>
      </x:c>
      <x:c r="F2216" s="380" t="n">
        <x:v>7</x:v>
      </x:c>
      <x:c r="G2216" s="380" t="n">
        <x:f>--(F2216&lt;='Estimator'!$B$7)</x:f>
        <x:v>0</x:v>
      </x:c>
      <x:c r="H2216" s="381" t="n">
        <x:f>SUMIFS('Climate Data'!$G$7:$G$366,'Climate Data'!$A$7:$A$366,'Estimator'!$B$4,'Climate Data'!$B$7:$B$366,C2216)</x:f>
        <x:v>0.21802002224694106</x:v>
      </x:c>
      <x:c r="I2216" s="382" t="n">
        <x:f>SUMIFS('Climate Data'!$H$7:$H$366,'Climate Data'!$A$7:$A$366,'Estimator'!$B$4,'Climate Data'!$B$7:$B$366,C2216)</x:f>
        <x:v>8.596428571428572</x:v>
      </x:c>
      <x:c r="J2216" s="381" t="n">
        <x:f>SUMIFS('Wind Proxy'!$H$8:$H$19,'Wind Proxy'!$A$8:$A$19,'Estimator'!$B$4,'Wind Proxy'!$B$8:$B$19,C2216)</x:f>
        <x:v>0.12544802867383514</x:v>
      </x:c>
    </x:row>
    <x:row r="2217">
      <x:c r="A2217" s="379" t="n">
        <x:v>47868</x:v>
      </x:c>
      <x:c r="B2217" s="380" t="n">
        <x:v>2031</x:v>
      </x:c>
      <x:c r="C2217" s="380" t="n">
        <x:v>1</x:v>
      </x:c>
      <x:c r="D2217" s="380" t="str">
        <x:v>Jan</x:v>
      </x:c>
      <x:c r="E2217" s="380" t="n">
        <x:v>20</x:v>
      </x:c>
      <x:c r="F2217" s="380" t="n">
        <x:v>1</x:v>
      </x:c>
      <x:c r="G2217" s="380" t="n">
        <x:f>--(F2217&lt;='Estimator'!$B$7)</x:f>
        <x:v>1</x:v>
      </x:c>
      <x:c r="H2217" s="381" t="n">
        <x:f>SUMIFS('Climate Data'!$G$7:$G$366,'Climate Data'!$A$7:$A$366,'Estimator'!$B$4,'Climate Data'!$B$7:$B$366,C2217)</x:f>
        <x:v>0.21802002224694106</x:v>
      </x:c>
      <x:c r="I2217" s="382" t="n">
        <x:f>SUMIFS('Climate Data'!$H$7:$H$366,'Climate Data'!$A$7:$A$366,'Estimator'!$B$4,'Climate Data'!$B$7:$B$366,C2217)</x:f>
        <x:v>8.596428571428572</x:v>
      </x:c>
      <x:c r="J2217" s="381" t="n">
        <x:f>SUMIFS('Wind Proxy'!$H$8:$H$19,'Wind Proxy'!$A$8:$A$19,'Estimator'!$B$4,'Wind Proxy'!$B$8:$B$19,C2217)</x:f>
        <x:v>0.12544802867383514</x:v>
      </x:c>
    </x:row>
    <x:row r="2218">
      <x:c r="A2218" s="379" t="n">
        <x:v>47869</x:v>
      </x:c>
      <x:c r="B2218" s="380" t="n">
        <x:v>2031</x:v>
      </x:c>
      <x:c r="C2218" s="380" t="n">
        <x:v>1</x:v>
      </x:c>
      <x:c r="D2218" s="380" t="str">
        <x:v>Jan</x:v>
      </x:c>
      <x:c r="E2218" s="380" t="n">
        <x:v>21</x:v>
      </x:c>
      <x:c r="F2218" s="380" t="n">
        <x:v>2</x:v>
      </x:c>
      <x:c r="G2218" s="380" t="n">
        <x:f>--(F2218&lt;='Estimator'!$B$7)</x:f>
        <x:v>1</x:v>
      </x:c>
      <x:c r="H2218" s="381" t="n">
        <x:f>SUMIFS('Climate Data'!$G$7:$G$366,'Climate Data'!$A$7:$A$366,'Estimator'!$B$4,'Climate Data'!$B$7:$B$366,C2218)</x:f>
        <x:v>0.21802002224694106</x:v>
      </x:c>
      <x:c r="I2218" s="382" t="n">
        <x:f>SUMIFS('Climate Data'!$H$7:$H$366,'Climate Data'!$A$7:$A$366,'Estimator'!$B$4,'Climate Data'!$B$7:$B$366,C2218)</x:f>
        <x:v>8.596428571428572</x:v>
      </x:c>
      <x:c r="J2218" s="381" t="n">
        <x:f>SUMIFS('Wind Proxy'!$H$8:$H$19,'Wind Proxy'!$A$8:$A$19,'Estimator'!$B$4,'Wind Proxy'!$B$8:$B$19,C2218)</x:f>
        <x:v>0.12544802867383514</x:v>
      </x:c>
    </x:row>
    <x:row r="2219">
      <x:c r="A2219" s="379" t="n">
        <x:v>47870</x:v>
      </x:c>
      <x:c r="B2219" s="380" t="n">
        <x:v>2031</x:v>
      </x:c>
      <x:c r="C2219" s="380" t="n">
        <x:v>1</x:v>
      </x:c>
      <x:c r="D2219" s="380" t="str">
        <x:v>Jan</x:v>
      </x:c>
      <x:c r="E2219" s="380" t="n">
        <x:v>22</x:v>
      </x:c>
      <x:c r="F2219" s="380" t="n">
        <x:v>3</x:v>
      </x:c>
      <x:c r="G2219" s="380" t="n">
        <x:f>--(F2219&lt;='Estimator'!$B$7)</x:f>
        <x:v>1</x:v>
      </x:c>
      <x:c r="H2219" s="381" t="n">
        <x:f>SUMIFS('Climate Data'!$G$7:$G$366,'Climate Data'!$A$7:$A$366,'Estimator'!$B$4,'Climate Data'!$B$7:$B$366,C2219)</x:f>
        <x:v>0.21802002224694106</x:v>
      </x:c>
      <x:c r="I2219" s="382" t="n">
        <x:f>SUMIFS('Climate Data'!$H$7:$H$366,'Climate Data'!$A$7:$A$366,'Estimator'!$B$4,'Climate Data'!$B$7:$B$366,C2219)</x:f>
        <x:v>8.596428571428572</x:v>
      </x:c>
      <x:c r="J2219" s="381" t="n">
        <x:f>SUMIFS('Wind Proxy'!$H$8:$H$19,'Wind Proxy'!$A$8:$A$19,'Estimator'!$B$4,'Wind Proxy'!$B$8:$B$19,C2219)</x:f>
        <x:v>0.12544802867383514</x:v>
      </x:c>
    </x:row>
    <x:row r="2220">
      <x:c r="A2220" s="379" t="n">
        <x:v>47871</x:v>
      </x:c>
      <x:c r="B2220" s="380" t="n">
        <x:v>2031</x:v>
      </x:c>
      <x:c r="C2220" s="380" t="n">
        <x:v>1</x:v>
      </x:c>
      <x:c r="D2220" s="380" t="str">
        <x:v>Jan</x:v>
      </x:c>
      <x:c r="E2220" s="380" t="n">
        <x:v>23</x:v>
      </x:c>
      <x:c r="F2220" s="380" t="n">
        <x:v>4</x:v>
      </x:c>
      <x:c r="G2220" s="380" t="n">
        <x:f>--(F2220&lt;='Estimator'!$B$7)</x:f>
        <x:v>1</x:v>
      </x:c>
      <x:c r="H2220" s="381" t="n">
        <x:f>SUMIFS('Climate Data'!$G$7:$G$366,'Climate Data'!$A$7:$A$366,'Estimator'!$B$4,'Climate Data'!$B$7:$B$366,C2220)</x:f>
        <x:v>0.21802002224694106</x:v>
      </x:c>
      <x:c r="I2220" s="382" t="n">
        <x:f>SUMIFS('Climate Data'!$H$7:$H$366,'Climate Data'!$A$7:$A$366,'Estimator'!$B$4,'Climate Data'!$B$7:$B$366,C2220)</x:f>
        <x:v>8.596428571428572</x:v>
      </x:c>
      <x:c r="J2220" s="381" t="n">
        <x:f>SUMIFS('Wind Proxy'!$H$8:$H$19,'Wind Proxy'!$A$8:$A$19,'Estimator'!$B$4,'Wind Proxy'!$B$8:$B$19,C2220)</x:f>
        <x:v>0.12544802867383514</x:v>
      </x:c>
    </x:row>
    <x:row r="2221">
      <x:c r="A2221" s="379" t="n">
        <x:v>47872</x:v>
      </x:c>
      <x:c r="B2221" s="380" t="n">
        <x:v>2031</x:v>
      </x:c>
      <x:c r="C2221" s="380" t="n">
        <x:v>1</x:v>
      </x:c>
      <x:c r="D2221" s="380" t="str">
        <x:v>Jan</x:v>
      </x:c>
      <x:c r="E2221" s="380" t="n">
        <x:v>24</x:v>
      </x:c>
      <x:c r="F2221" s="380" t="n">
        <x:v>5</x:v>
      </x:c>
      <x:c r="G2221" s="380" t="n">
        <x:f>--(F2221&lt;='Estimator'!$B$7)</x:f>
        <x:v>1</x:v>
      </x:c>
      <x:c r="H2221" s="381" t="n">
        <x:f>SUMIFS('Climate Data'!$G$7:$G$366,'Climate Data'!$A$7:$A$366,'Estimator'!$B$4,'Climate Data'!$B$7:$B$366,C2221)</x:f>
        <x:v>0.21802002224694106</x:v>
      </x:c>
      <x:c r="I2221" s="382" t="n">
        <x:f>SUMIFS('Climate Data'!$H$7:$H$366,'Climate Data'!$A$7:$A$366,'Estimator'!$B$4,'Climate Data'!$B$7:$B$366,C2221)</x:f>
        <x:v>8.596428571428572</x:v>
      </x:c>
      <x:c r="J2221" s="381" t="n">
        <x:f>SUMIFS('Wind Proxy'!$H$8:$H$19,'Wind Proxy'!$A$8:$A$19,'Estimator'!$B$4,'Wind Proxy'!$B$8:$B$19,C2221)</x:f>
        <x:v>0.12544802867383514</x:v>
      </x:c>
    </x:row>
    <x:row r="2222">
      <x:c r="A2222" s="379" t="n">
        <x:v>47873</x:v>
      </x:c>
      <x:c r="B2222" s="380" t="n">
        <x:v>2031</x:v>
      </x:c>
      <x:c r="C2222" s="380" t="n">
        <x:v>1</x:v>
      </x:c>
      <x:c r="D2222" s="380" t="str">
        <x:v>Jan</x:v>
      </x:c>
      <x:c r="E2222" s="380" t="n">
        <x:v>25</x:v>
      </x:c>
      <x:c r="F2222" s="380" t="n">
        <x:v>6</x:v>
      </x:c>
      <x:c r="G2222" s="380" t="n">
        <x:f>--(F2222&lt;='Estimator'!$B$7)</x:f>
        <x:v>0</x:v>
      </x:c>
      <x:c r="H2222" s="381" t="n">
        <x:f>SUMIFS('Climate Data'!$G$7:$G$366,'Climate Data'!$A$7:$A$366,'Estimator'!$B$4,'Climate Data'!$B$7:$B$366,C2222)</x:f>
        <x:v>0.21802002224694106</x:v>
      </x:c>
      <x:c r="I2222" s="382" t="n">
        <x:f>SUMIFS('Climate Data'!$H$7:$H$366,'Climate Data'!$A$7:$A$366,'Estimator'!$B$4,'Climate Data'!$B$7:$B$366,C2222)</x:f>
        <x:v>8.596428571428572</x:v>
      </x:c>
      <x:c r="J2222" s="381" t="n">
        <x:f>SUMIFS('Wind Proxy'!$H$8:$H$19,'Wind Proxy'!$A$8:$A$19,'Estimator'!$B$4,'Wind Proxy'!$B$8:$B$19,C2222)</x:f>
        <x:v>0.12544802867383514</x:v>
      </x:c>
    </x:row>
    <x:row r="2223">
      <x:c r="A2223" s="379" t="n">
        <x:v>47874</x:v>
      </x:c>
      <x:c r="B2223" s="380" t="n">
        <x:v>2031</x:v>
      </x:c>
      <x:c r="C2223" s="380" t="n">
        <x:v>1</x:v>
      </x:c>
      <x:c r="D2223" s="380" t="str">
        <x:v>Jan</x:v>
      </x:c>
      <x:c r="E2223" s="380" t="n">
        <x:v>26</x:v>
      </x:c>
      <x:c r="F2223" s="380" t="n">
        <x:v>7</x:v>
      </x:c>
      <x:c r="G2223" s="380" t="n">
        <x:f>--(F2223&lt;='Estimator'!$B$7)</x:f>
        <x:v>0</x:v>
      </x:c>
      <x:c r="H2223" s="381" t="n">
        <x:f>SUMIFS('Climate Data'!$G$7:$G$366,'Climate Data'!$A$7:$A$366,'Estimator'!$B$4,'Climate Data'!$B$7:$B$366,C2223)</x:f>
        <x:v>0.21802002224694106</x:v>
      </x:c>
      <x:c r="I2223" s="382" t="n">
        <x:f>SUMIFS('Climate Data'!$H$7:$H$366,'Climate Data'!$A$7:$A$366,'Estimator'!$B$4,'Climate Data'!$B$7:$B$366,C2223)</x:f>
        <x:v>8.596428571428572</x:v>
      </x:c>
      <x:c r="J2223" s="381" t="n">
        <x:f>SUMIFS('Wind Proxy'!$H$8:$H$19,'Wind Proxy'!$A$8:$A$19,'Estimator'!$B$4,'Wind Proxy'!$B$8:$B$19,C2223)</x:f>
        <x:v>0.12544802867383514</x:v>
      </x:c>
    </x:row>
    <x:row r="2224">
      <x:c r="A2224" s="379" t="n">
        <x:v>47875</x:v>
      </x:c>
      <x:c r="B2224" s="380" t="n">
        <x:v>2031</x:v>
      </x:c>
      <x:c r="C2224" s="380" t="n">
        <x:v>1</x:v>
      </x:c>
      <x:c r="D2224" s="380" t="str">
        <x:v>Jan</x:v>
      </x:c>
      <x:c r="E2224" s="380" t="n">
        <x:v>27</x:v>
      </x:c>
      <x:c r="F2224" s="380" t="n">
        <x:v>1</x:v>
      </x:c>
      <x:c r="G2224" s="380" t="n">
        <x:f>--(F2224&lt;='Estimator'!$B$7)</x:f>
        <x:v>1</x:v>
      </x:c>
      <x:c r="H2224" s="381" t="n">
        <x:f>SUMIFS('Climate Data'!$G$7:$G$366,'Climate Data'!$A$7:$A$366,'Estimator'!$B$4,'Climate Data'!$B$7:$B$366,C2224)</x:f>
        <x:v>0.21802002224694106</x:v>
      </x:c>
      <x:c r="I2224" s="382" t="n">
        <x:f>SUMIFS('Climate Data'!$H$7:$H$366,'Climate Data'!$A$7:$A$366,'Estimator'!$B$4,'Climate Data'!$B$7:$B$366,C2224)</x:f>
        <x:v>8.596428571428572</x:v>
      </x:c>
      <x:c r="J2224" s="381" t="n">
        <x:f>SUMIFS('Wind Proxy'!$H$8:$H$19,'Wind Proxy'!$A$8:$A$19,'Estimator'!$B$4,'Wind Proxy'!$B$8:$B$19,C2224)</x:f>
        <x:v>0.12544802867383514</x:v>
      </x:c>
    </x:row>
    <x:row r="2225">
      <x:c r="A2225" s="379" t="n">
        <x:v>47876</x:v>
      </x:c>
      <x:c r="B2225" s="380" t="n">
        <x:v>2031</x:v>
      </x:c>
      <x:c r="C2225" s="380" t="n">
        <x:v>1</x:v>
      </x:c>
      <x:c r="D2225" s="380" t="str">
        <x:v>Jan</x:v>
      </x:c>
      <x:c r="E2225" s="380" t="n">
        <x:v>28</x:v>
      </x:c>
      <x:c r="F2225" s="380" t="n">
        <x:v>2</x:v>
      </x:c>
      <x:c r="G2225" s="380" t="n">
        <x:f>--(F2225&lt;='Estimator'!$B$7)</x:f>
        <x:v>1</x:v>
      </x:c>
      <x:c r="H2225" s="381" t="n">
        <x:f>SUMIFS('Climate Data'!$G$7:$G$366,'Climate Data'!$A$7:$A$366,'Estimator'!$B$4,'Climate Data'!$B$7:$B$366,C2225)</x:f>
        <x:v>0.21802002224694106</x:v>
      </x:c>
      <x:c r="I2225" s="382" t="n">
        <x:f>SUMIFS('Climate Data'!$H$7:$H$366,'Climate Data'!$A$7:$A$366,'Estimator'!$B$4,'Climate Data'!$B$7:$B$366,C2225)</x:f>
        <x:v>8.596428571428572</x:v>
      </x:c>
      <x:c r="J2225" s="381" t="n">
        <x:f>SUMIFS('Wind Proxy'!$H$8:$H$19,'Wind Proxy'!$A$8:$A$19,'Estimator'!$B$4,'Wind Proxy'!$B$8:$B$19,C2225)</x:f>
        <x:v>0.12544802867383514</x:v>
      </x:c>
    </x:row>
    <x:row r="2226">
      <x:c r="A2226" s="379" t="n">
        <x:v>47877</x:v>
      </x:c>
      <x:c r="B2226" s="380" t="n">
        <x:v>2031</x:v>
      </x:c>
      <x:c r="C2226" s="380" t="n">
        <x:v>1</x:v>
      </x:c>
      <x:c r="D2226" s="380" t="str">
        <x:v>Jan</x:v>
      </x:c>
      <x:c r="E2226" s="380" t="n">
        <x:v>29</x:v>
      </x:c>
      <x:c r="F2226" s="380" t="n">
        <x:v>3</x:v>
      </x:c>
      <x:c r="G2226" s="380" t="n">
        <x:f>--(F2226&lt;='Estimator'!$B$7)</x:f>
        <x:v>1</x:v>
      </x:c>
      <x:c r="H2226" s="381" t="n">
        <x:f>SUMIFS('Climate Data'!$G$7:$G$366,'Climate Data'!$A$7:$A$366,'Estimator'!$B$4,'Climate Data'!$B$7:$B$366,C2226)</x:f>
        <x:v>0.21802002224694106</x:v>
      </x:c>
      <x:c r="I2226" s="382" t="n">
        <x:f>SUMIFS('Climate Data'!$H$7:$H$366,'Climate Data'!$A$7:$A$366,'Estimator'!$B$4,'Climate Data'!$B$7:$B$366,C2226)</x:f>
        <x:v>8.596428571428572</x:v>
      </x:c>
      <x:c r="J2226" s="381" t="n">
        <x:f>SUMIFS('Wind Proxy'!$H$8:$H$19,'Wind Proxy'!$A$8:$A$19,'Estimator'!$B$4,'Wind Proxy'!$B$8:$B$19,C2226)</x:f>
        <x:v>0.12544802867383514</x:v>
      </x:c>
    </x:row>
    <x:row r="2227">
      <x:c r="A2227" s="379" t="n">
        <x:v>47878</x:v>
      </x:c>
      <x:c r="B2227" s="380" t="n">
        <x:v>2031</x:v>
      </x:c>
      <x:c r="C2227" s="380" t="n">
        <x:v>1</x:v>
      </x:c>
      <x:c r="D2227" s="380" t="str">
        <x:v>Jan</x:v>
      </x:c>
      <x:c r="E2227" s="380" t="n">
        <x:v>30</x:v>
      </x:c>
      <x:c r="F2227" s="380" t="n">
        <x:v>4</x:v>
      </x:c>
      <x:c r="G2227" s="380" t="n">
        <x:f>--(F2227&lt;='Estimator'!$B$7)</x:f>
        <x:v>1</x:v>
      </x:c>
      <x:c r="H2227" s="381" t="n">
        <x:f>SUMIFS('Climate Data'!$G$7:$G$366,'Climate Data'!$A$7:$A$366,'Estimator'!$B$4,'Climate Data'!$B$7:$B$366,C2227)</x:f>
        <x:v>0.21802002224694106</x:v>
      </x:c>
      <x:c r="I2227" s="382" t="n">
        <x:f>SUMIFS('Climate Data'!$H$7:$H$366,'Climate Data'!$A$7:$A$366,'Estimator'!$B$4,'Climate Data'!$B$7:$B$366,C2227)</x:f>
        <x:v>8.596428571428572</x:v>
      </x:c>
      <x:c r="J2227" s="381" t="n">
        <x:f>SUMIFS('Wind Proxy'!$H$8:$H$19,'Wind Proxy'!$A$8:$A$19,'Estimator'!$B$4,'Wind Proxy'!$B$8:$B$19,C2227)</x:f>
        <x:v>0.12544802867383514</x:v>
      </x:c>
    </x:row>
    <x:row r="2228">
      <x:c r="A2228" s="379" t="n">
        <x:v>47879</x:v>
      </x:c>
      <x:c r="B2228" s="380" t="n">
        <x:v>2031</x:v>
      </x:c>
      <x:c r="C2228" s="380" t="n">
        <x:v>1</x:v>
      </x:c>
      <x:c r="D2228" s="380" t="str">
        <x:v>Jan</x:v>
      </x:c>
      <x:c r="E2228" s="380" t="n">
        <x:v>31</x:v>
      </x:c>
      <x:c r="F2228" s="380" t="n">
        <x:v>5</x:v>
      </x:c>
      <x:c r="G2228" s="380" t="n">
        <x:f>--(F2228&lt;='Estimator'!$B$7)</x:f>
        <x:v>1</x:v>
      </x:c>
      <x:c r="H2228" s="381" t="n">
        <x:f>SUMIFS('Climate Data'!$G$7:$G$366,'Climate Data'!$A$7:$A$366,'Estimator'!$B$4,'Climate Data'!$B$7:$B$366,C2228)</x:f>
        <x:v>0.21802002224694106</x:v>
      </x:c>
      <x:c r="I2228" s="382" t="n">
        <x:f>SUMIFS('Climate Data'!$H$7:$H$366,'Climate Data'!$A$7:$A$366,'Estimator'!$B$4,'Climate Data'!$B$7:$B$366,C2228)</x:f>
        <x:v>8.596428571428572</x:v>
      </x:c>
      <x:c r="J2228" s="381" t="n">
        <x:f>SUMIFS('Wind Proxy'!$H$8:$H$19,'Wind Proxy'!$A$8:$A$19,'Estimator'!$B$4,'Wind Proxy'!$B$8:$B$19,C2228)</x:f>
        <x:v>0.12544802867383514</x:v>
      </x:c>
    </x:row>
    <x:row r="2229">
      <x:c r="A2229" s="379" t="n">
        <x:v>47880</x:v>
      </x:c>
      <x:c r="B2229" s="380" t="n">
        <x:v>2031</x:v>
      </x:c>
      <x:c r="C2229" s="380" t="n">
        <x:v>2</x:v>
      </x:c>
      <x:c r="D2229" s="380" t="str">
        <x:v>Feb</x:v>
      </x:c>
      <x:c r="E2229" s="380" t="n">
        <x:v>1</x:v>
      </x:c>
      <x:c r="F2229" s="380" t="n">
        <x:v>6</x:v>
      </x:c>
      <x:c r="G2229" s="380" t="n">
        <x:f>--(F2229&lt;='Estimator'!$B$7)</x:f>
        <x:v>0</x:v>
      </x:c>
      <x:c r="H2229" s="381" t="n">
        <x:f>SUMIFS('Climate Data'!$G$7:$G$366,'Climate Data'!$A$7:$A$366,'Estimator'!$B$4,'Climate Data'!$B$7:$B$366,C2229)</x:f>
        <x:v>0.23056278464541316</x:v>
      </x:c>
      <x:c r="I2229" s="382" t="n">
        <x:f>SUMIFS('Climate Data'!$H$7:$H$366,'Climate Data'!$A$7:$A$366,'Estimator'!$B$4,'Climate Data'!$B$7:$B$366,C2229)</x:f>
        <x:v>9.682010582010582</x:v>
      </x:c>
      <x:c r="J2229" s="381" t="n">
        <x:f>SUMIFS('Wind Proxy'!$H$8:$H$19,'Wind Proxy'!$A$8:$A$19,'Estimator'!$B$4,'Wind Proxy'!$B$8:$B$19,C2229)</x:f>
        <x:v>0.13757861635220128</x:v>
      </x:c>
    </x:row>
    <x:row r="2230">
      <x:c r="A2230" s="379" t="n">
        <x:v>47881</x:v>
      </x:c>
      <x:c r="B2230" s="380" t="n">
        <x:v>2031</x:v>
      </x:c>
      <x:c r="C2230" s="380" t="n">
        <x:v>2</x:v>
      </x:c>
      <x:c r="D2230" s="380" t="str">
        <x:v>Feb</x:v>
      </x:c>
      <x:c r="E2230" s="380" t="n">
        <x:v>2</x:v>
      </x:c>
      <x:c r="F2230" s="380" t="n">
        <x:v>7</x:v>
      </x:c>
      <x:c r="G2230" s="380" t="n">
        <x:f>--(F2230&lt;='Estimator'!$B$7)</x:f>
        <x:v>0</x:v>
      </x:c>
      <x:c r="H2230" s="381" t="n">
        <x:f>SUMIFS('Climate Data'!$G$7:$G$366,'Climate Data'!$A$7:$A$366,'Estimator'!$B$4,'Climate Data'!$B$7:$B$366,C2230)</x:f>
        <x:v>0.23056278464541316</x:v>
      </x:c>
      <x:c r="I2230" s="382" t="n">
        <x:f>SUMIFS('Climate Data'!$H$7:$H$366,'Climate Data'!$A$7:$A$366,'Estimator'!$B$4,'Climate Data'!$B$7:$B$366,C2230)</x:f>
        <x:v>9.682010582010582</x:v>
      </x:c>
      <x:c r="J2230" s="381" t="n">
        <x:f>SUMIFS('Wind Proxy'!$H$8:$H$19,'Wind Proxy'!$A$8:$A$19,'Estimator'!$B$4,'Wind Proxy'!$B$8:$B$19,C2230)</x:f>
        <x:v>0.13757861635220128</x:v>
      </x:c>
    </x:row>
    <x:row r="2231">
      <x:c r="A2231" s="379" t="n">
        <x:v>47882</x:v>
      </x:c>
      <x:c r="B2231" s="380" t="n">
        <x:v>2031</x:v>
      </x:c>
      <x:c r="C2231" s="380" t="n">
        <x:v>2</x:v>
      </x:c>
      <x:c r="D2231" s="380" t="str">
        <x:v>Feb</x:v>
      </x:c>
      <x:c r="E2231" s="380" t="n">
        <x:v>3</x:v>
      </x:c>
      <x:c r="F2231" s="380" t="n">
        <x:v>1</x:v>
      </x:c>
      <x:c r="G2231" s="380" t="n">
        <x:f>--(F2231&lt;='Estimator'!$B$7)</x:f>
        <x:v>1</x:v>
      </x:c>
      <x:c r="H2231" s="381" t="n">
        <x:f>SUMIFS('Climate Data'!$G$7:$G$366,'Climate Data'!$A$7:$A$366,'Estimator'!$B$4,'Climate Data'!$B$7:$B$366,C2231)</x:f>
        <x:v>0.23056278464541316</x:v>
      </x:c>
      <x:c r="I2231" s="382" t="n">
        <x:f>SUMIFS('Climate Data'!$H$7:$H$366,'Climate Data'!$A$7:$A$366,'Estimator'!$B$4,'Climate Data'!$B$7:$B$366,C2231)</x:f>
        <x:v>9.682010582010582</x:v>
      </x:c>
      <x:c r="J2231" s="381" t="n">
        <x:f>SUMIFS('Wind Proxy'!$H$8:$H$19,'Wind Proxy'!$A$8:$A$19,'Estimator'!$B$4,'Wind Proxy'!$B$8:$B$19,C2231)</x:f>
        <x:v>0.13757861635220128</x:v>
      </x:c>
    </x:row>
    <x:row r="2232">
      <x:c r="A2232" s="379" t="n">
        <x:v>47883</x:v>
      </x:c>
      <x:c r="B2232" s="380" t="n">
        <x:v>2031</x:v>
      </x:c>
      <x:c r="C2232" s="380" t="n">
        <x:v>2</x:v>
      </x:c>
      <x:c r="D2232" s="380" t="str">
        <x:v>Feb</x:v>
      </x:c>
      <x:c r="E2232" s="380" t="n">
        <x:v>4</x:v>
      </x:c>
      <x:c r="F2232" s="380" t="n">
        <x:v>2</x:v>
      </x:c>
      <x:c r="G2232" s="380" t="n">
        <x:f>--(F2232&lt;='Estimator'!$B$7)</x:f>
        <x:v>1</x:v>
      </x:c>
      <x:c r="H2232" s="381" t="n">
        <x:f>SUMIFS('Climate Data'!$G$7:$G$366,'Climate Data'!$A$7:$A$366,'Estimator'!$B$4,'Climate Data'!$B$7:$B$366,C2232)</x:f>
        <x:v>0.23056278464541316</x:v>
      </x:c>
      <x:c r="I2232" s="382" t="n">
        <x:f>SUMIFS('Climate Data'!$H$7:$H$366,'Climate Data'!$A$7:$A$366,'Estimator'!$B$4,'Climate Data'!$B$7:$B$366,C2232)</x:f>
        <x:v>9.682010582010582</x:v>
      </x:c>
      <x:c r="J2232" s="381" t="n">
        <x:f>SUMIFS('Wind Proxy'!$H$8:$H$19,'Wind Proxy'!$A$8:$A$19,'Estimator'!$B$4,'Wind Proxy'!$B$8:$B$19,C2232)</x:f>
        <x:v>0.13757861635220128</x:v>
      </x:c>
    </x:row>
    <x:row r="2233">
      <x:c r="A2233" s="379" t="n">
        <x:v>47884</x:v>
      </x:c>
      <x:c r="B2233" s="380" t="n">
        <x:v>2031</x:v>
      </x:c>
      <x:c r="C2233" s="380" t="n">
        <x:v>2</x:v>
      </x:c>
      <x:c r="D2233" s="380" t="str">
        <x:v>Feb</x:v>
      </x:c>
      <x:c r="E2233" s="380" t="n">
        <x:v>5</x:v>
      </x:c>
      <x:c r="F2233" s="380" t="n">
        <x:v>3</x:v>
      </x:c>
      <x:c r="G2233" s="380" t="n">
        <x:f>--(F2233&lt;='Estimator'!$B$7)</x:f>
        <x:v>1</x:v>
      </x:c>
      <x:c r="H2233" s="381" t="n">
        <x:f>SUMIFS('Climate Data'!$G$7:$G$366,'Climate Data'!$A$7:$A$366,'Estimator'!$B$4,'Climate Data'!$B$7:$B$366,C2233)</x:f>
        <x:v>0.23056278464541316</x:v>
      </x:c>
      <x:c r="I2233" s="382" t="n">
        <x:f>SUMIFS('Climate Data'!$H$7:$H$366,'Climate Data'!$A$7:$A$366,'Estimator'!$B$4,'Climate Data'!$B$7:$B$366,C2233)</x:f>
        <x:v>9.682010582010582</x:v>
      </x:c>
      <x:c r="J2233" s="381" t="n">
        <x:f>SUMIFS('Wind Proxy'!$H$8:$H$19,'Wind Proxy'!$A$8:$A$19,'Estimator'!$B$4,'Wind Proxy'!$B$8:$B$19,C2233)</x:f>
        <x:v>0.13757861635220128</x:v>
      </x:c>
    </x:row>
    <x:row r="2234">
      <x:c r="A2234" s="379" t="n">
        <x:v>47885</x:v>
      </x:c>
      <x:c r="B2234" s="380" t="n">
        <x:v>2031</x:v>
      </x:c>
      <x:c r="C2234" s="380" t="n">
        <x:v>2</x:v>
      </x:c>
      <x:c r="D2234" s="380" t="str">
        <x:v>Feb</x:v>
      </x:c>
      <x:c r="E2234" s="380" t="n">
        <x:v>6</x:v>
      </x:c>
      <x:c r="F2234" s="380" t="n">
        <x:v>4</x:v>
      </x:c>
      <x:c r="G2234" s="380" t="n">
        <x:f>--(F2234&lt;='Estimator'!$B$7)</x:f>
        <x:v>1</x:v>
      </x:c>
      <x:c r="H2234" s="381" t="n">
        <x:f>SUMIFS('Climate Data'!$G$7:$G$366,'Climate Data'!$A$7:$A$366,'Estimator'!$B$4,'Climate Data'!$B$7:$B$366,C2234)</x:f>
        <x:v>0.23056278464541316</x:v>
      </x:c>
      <x:c r="I2234" s="382" t="n">
        <x:f>SUMIFS('Climate Data'!$H$7:$H$366,'Climate Data'!$A$7:$A$366,'Estimator'!$B$4,'Climate Data'!$B$7:$B$366,C2234)</x:f>
        <x:v>9.682010582010582</x:v>
      </x:c>
      <x:c r="J2234" s="381" t="n">
        <x:f>SUMIFS('Wind Proxy'!$H$8:$H$19,'Wind Proxy'!$A$8:$A$19,'Estimator'!$B$4,'Wind Proxy'!$B$8:$B$19,C2234)</x:f>
        <x:v>0.13757861635220128</x:v>
      </x:c>
    </x:row>
    <x:row r="2235">
      <x:c r="A2235" s="379" t="n">
        <x:v>47886</x:v>
      </x:c>
      <x:c r="B2235" s="380" t="n">
        <x:v>2031</x:v>
      </x:c>
      <x:c r="C2235" s="380" t="n">
        <x:v>2</x:v>
      </x:c>
      <x:c r="D2235" s="380" t="str">
        <x:v>Feb</x:v>
      </x:c>
      <x:c r="E2235" s="380" t="n">
        <x:v>7</x:v>
      </x:c>
      <x:c r="F2235" s="380" t="n">
        <x:v>5</x:v>
      </x:c>
      <x:c r="G2235" s="380" t="n">
        <x:f>--(F2235&lt;='Estimator'!$B$7)</x:f>
        <x:v>1</x:v>
      </x:c>
      <x:c r="H2235" s="381" t="n">
        <x:f>SUMIFS('Climate Data'!$G$7:$G$366,'Climate Data'!$A$7:$A$366,'Estimator'!$B$4,'Climate Data'!$B$7:$B$366,C2235)</x:f>
        <x:v>0.23056278464541316</x:v>
      </x:c>
      <x:c r="I2235" s="382" t="n">
        <x:f>SUMIFS('Climate Data'!$H$7:$H$366,'Climate Data'!$A$7:$A$366,'Estimator'!$B$4,'Climate Data'!$B$7:$B$366,C2235)</x:f>
        <x:v>9.682010582010582</x:v>
      </x:c>
      <x:c r="J2235" s="381" t="n">
        <x:f>SUMIFS('Wind Proxy'!$H$8:$H$19,'Wind Proxy'!$A$8:$A$19,'Estimator'!$B$4,'Wind Proxy'!$B$8:$B$19,C2235)</x:f>
        <x:v>0.13757861635220128</x:v>
      </x:c>
    </x:row>
    <x:row r="2236">
      <x:c r="A2236" s="379" t="n">
        <x:v>47887</x:v>
      </x:c>
      <x:c r="B2236" s="380" t="n">
        <x:v>2031</x:v>
      </x:c>
      <x:c r="C2236" s="380" t="n">
        <x:v>2</x:v>
      </x:c>
      <x:c r="D2236" s="380" t="str">
        <x:v>Feb</x:v>
      </x:c>
      <x:c r="E2236" s="380" t="n">
        <x:v>8</x:v>
      </x:c>
      <x:c r="F2236" s="380" t="n">
        <x:v>6</x:v>
      </x:c>
      <x:c r="G2236" s="380" t="n">
        <x:f>--(F2236&lt;='Estimator'!$B$7)</x:f>
        <x:v>0</x:v>
      </x:c>
      <x:c r="H2236" s="381" t="n">
        <x:f>SUMIFS('Climate Data'!$G$7:$G$366,'Climate Data'!$A$7:$A$366,'Estimator'!$B$4,'Climate Data'!$B$7:$B$366,C2236)</x:f>
        <x:v>0.23056278464541316</x:v>
      </x:c>
      <x:c r="I2236" s="382" t="n">
        <x:f>SUMIFS('Climate Data'!$H$7:$H$366,'Climate Data'!$A$7:$A$366,'Estimator'!$B$4,'Climate Data'!$B$7:$B$366,C2236)</x:f>
        <x:v>9.682010582010582</x:v>
      </x:c>
      <x:c r="J2236" s="381" t="n">
        <x:f>SUMIFS('Wind Proxy'!$H$8:$H$19,'Wind Proxy'!$A$8:$A$19,'Estimator'!$B$4,'Wind Proxy'!$B$8:$B$19,C2236)</x:f>
        <x:v>0.13757861635220128</x:v>
      </x:c>
    </x:row>
    <x:row r="2237">
      <x:c r="A2237" s="379" t="n">
        <x:v>47888</x:v>
      </x:c>
      <x:c r="B2237" s="380" t="n">
        <x:v>2031</x:v>
      </x:c>
      <x:c r="C2237" s="380" t="n">
        <x:v>2</x:v>
      </x:c>
      <x:c r="D2237" s="380" t="str">
        <x:v>Feb</x:v>
      </x:c>
      <x:c r="E2237" s="380" t="n">
        <x:v>9</x:v>
      </x:c>
      <x:c r="F2237" s="380" t="n">
        <x:v>7</x:v>
      </x:c>
      <x:c r="G2237" s="380" t="n">
        <x:f>--(F2237&lt;='Estimator'!$B$7)</x:f>
        <x:v>0</x:v>
      </x:c>
      <x:c r="H2237" s="381" t="n">
        <x:f>SUMIFS('Climate Data'!$G$7:$G$366,'Climate Data'!$A$7:$A$366,'Estimator'!$B$4,'Climate Data'!$B$7:$B$366,C2237)</x:f>
        <x:v>0.23056278464541316</x:v>
      </x:c>
      <x:c r="I2237" s="382" t="n">
        <x:f>SUMIFS('Climate Data'!$H$7:$H$366,'Climate Data'!$A$7:$A$366,'Estimator'!$B$4,'Climate Data'!$B$7:$B$366,C2237)</x:f>
        <x:v>9.682010582010582</x:v>
      </x:c>
      <x:c r="J2237" s="381" t="n">
        <x:f>SUMIFS('Wind Proxy'!$H$8:$H$19,'Wind Proxy'!$A$8:$A$19,'Estimator'!$B$4,'Wind Proxy'!$B$8:$B$19,C2237)</x:f>
        <x:v>0.13757861635220128</x:v>
      </x:c>
    </x:row>
    <x:row r="2238">
      <x:c r="A2238" s="379" t="n">
        <x:v>47889</x:v>
      </x:c>
      <x:c r="B2238" s="380" t="n">
        <x:v>2031</x:v>
      </x:c>
      <x:c r="C2238" s="380" t="n">
        <x:v>2</x:v>
      </x:c>
      <x:c r="D2238" s="380" t="str">
        <x:v>Feb</x:v>
      </x:c>
      <x:c r="E2238" s="380" t="n">
        <x:v>10</x:v>
      </x:c>
      <x:c r="F2238" s="380" t="n">
        <x:v>1</x:v>
      </x:c>
      <x:c r="G2238" s="380" t="n">
        <x:f>--(F2238&lt;='Estimator'!$B$7)</x:f>
        <x:v>1</x:v>
      </x:c>
      <x:c r="H2238" s="381" t="n">
        <x:f>SUMIFS('Climate Data'!$G$7:$G$366,'Climate Data'!$A$7:$A$366,'Estimator'!$B$4,'Climate Data'!$B$7:$B$366,C2238)</x:f>
        <x:v>0.23056278464541316</x:v>
      </x:c>
      <x:c r="I2238" s="382" t="n">
        <x:f>SUMIFS('Climate Data'!$H$7:$H$366,'Climate Data'!$A$7:$A$366,'Estimator'!$B$4,'Climate Data'!$B$7:$B$366,C2238)</x:f>
        <x:v>9.682010582010582</x:v>
      </x:c>
      <x:c r="J2238" s="381" t="n">
        <x:f>SUMIFS('Wind Proxy'!$H$8:$H$19,'Wind Proxy'!$A$8:$A$19,'Estimator'!$B$4,'Wind Proxy'!$B$8:$B$19,C2238)</x:f>
        <x:v>0.13757861635220128</x:v>
      </x:c>
    </x:row>
    <x:row r="2239">
      <x:c r="A2239" s="379" t="n">
        <x:v>47890</x:v>
      </x:c>
      <x:c r="B2239" s="380" t="n">
        <x:v>2031</x:v>
      </x:c>
      <x:c r="C2239" s="380" t="n">
        <x:v>2</x:v>
      </x:c>
      <x:c r="D2239" s="380" t="str">
        <x:v>Feb</x:v>
      </x:c>
      <x:c r="E2239" s="380" t="n">
        <x:v>11</x:v>
      </x:c>
      <x:c r="F2239" s="380" t="n">
        <x:v>2</x:v>
      </x:c>
      <x:c r="G2239" s="380" t="n">
        <x:f>--(F2239&lt;='Estimator'!$B$7)</x:f>
        <x:v>1</x:v>
      </x:c>
      <x:c r="H2239" s="381" t="n">
        <x:f>SUMIFS('Climate Data'!$G$7:$G$366,'Climate Data'!$A$7:$A$366,'Estimator'!$B$4,'Climate Data'!$B$7:$B$366,C2239)</x:f>
        <x:v>0.23056278464541316</x:v>
      </x:c>
      <x:c r="I2239" s="382" t="n">
        <x:f>SUMIFS('Climate Data'!$H$7:$H$366,'Climate Data'!$A$7:$A$366,'Estimator'!$B$4,'Climate Data'!$B$7:$B$366,C2239)</x:f>
        <x:v>9.682010582010582</x:v>
      </x:c>
      <x:c r="J2239" s="381" t="n">
        <x:f>SUMIFS('Wind Proxy'!$H$8:$H$19,'Wind Proxy'!$A$8:$A$19,'Estimator'!$B$4,'Wind Proxy'!$B$8:$B$19,C2239)</x:f>
        <x:v>0.13757861635220128</x:v>
      </x:c>
    </x:row>
    <x:row r="2240">
      <x:c r="A2240" s="379" t="n">
        <x:v>47891</x:v>
      </x:c>
      <x:c r="B2240" s="380" t="n">
        <x:v>2031</x:v>
      </x:c>
      <x:c r="C2240" s="380" t="n">
        <x:v>2</x:v>
      </x:c>
      <x:c r="D2240" s="380" t="str">
        <x:v>Feb</x:v>
      </x:c>
      <x:c r="E2240" s="380" t="n">
        <x:v>12</x:v>
      </x:c>
      <x:c r="F2240" s="380" t="n">
        <x:v>3</x:v>
      </x:c>
      <x:c r="G2240" s="380" t="n">
        <x:f>--(F2240&lt;='Estimator'!$B$7)</x:f>
        <x:v>1</x:v>
      </x:c>
      <x:c r="H2240" s="381" t="n">
        <x:f>SUMIFS('Climate Data'!$G$7:$G$366,'Climate Data'!$A$7:$A$366,'Estimator'!$B$4,'Climate Data'!$B$7:$B$366,C2240)</x:f>
        <x:v>0.23056278464541316</x:v>
      </x:c>
      <x:c r="I2240" s="382" t="n">
        <x:f>SUMIFS('Climate Data'!$H$7:$H$366,'Climate Data'!$A$7:$A$366,'Estimator'!$B$4,'Climate Data'!$B$7:$B$366,C2240)</x:f>
        <x:v>9.682010582010582</x:v>
      </x:c>
      <x:c r="J2240" s="381" t="n">
        <x:f>SUMIFS('Wind Proxy'!$H$8:$H$19,'Wind Proxy'!$A$8:$A$19,'Estimator'!$B$4,'Wind Proxy'!$B$8:$B$19,C2240)</x:f>
        <x:v>0.13757861635220128</x:v>
      </x:c>
    </x:row>
    <x:row r="2241">
      <x:c r="A2241" s="379" t="n">
        <x:v>47892</x:v>
      </x:c>
      <x:c r="B2241" s="380" t="n">
        <x:v>2031</x:v>
      </x:c>
      <x:c r="C2241" s="380" t="n">
        <x:v>2</x:v>
      </x:c>
      <x:c r="D2241" s="380" t="str">
        <x:v>Feb</x:v>
      </x:c>
      <x:c r="E2241" s="380" t="n">
        <x:v>13</x:v>
      </x:c>
      <x:c r="F2241" s="380" t="n">
        <x:v>4</x:v>
      </x:c>
      <x:c r="G2241" s="380" t="n">
        <x:f>--(F2241&lt;='Estimator'!$B$7)</x:f>
        <x:v>1</x:v>
      </x:c>
      <x:c r="H2241" s="381" t="n">
        <x:f>SUMIFS('Climate Data'!$G$7:$G$366,'Climate Data'!$A$7:$A$366,'Estimator'!$B$4,'Climate Data'!$B$7:$B$366,C2241)</x:f>
        <x:v>0.23056278464541316</x:v>
      </x:c>
      <x:c r="I2241" s="382" t="n">
        <x:f>SUMIFS('Climate Data'!$H$7:$H$366,'Climate Data'!$A$7:$A$366,'Estimator'!$B$4,'Climate Data'!$B$7:$B$366,C2241)</x:f>
        <x:v>9.682010582010582</x:v>
      </x:c>
      <x:c r="J2241" s="381" t="n">
        <x:f>SUMIFS('Wind Proxy'!$H$8:$H$19,'Wind Proxy'!$A$8:$A$19,'Estimator'!$B$4,'Wind Proxy'!$B$8:$B$19,C2241)</x:f>
        <x:v>0.13757861635220128</x:v>
      </x:c>
    </x:row>
    <x:row r="2242">
      <x:c r="A2242" s="379" t="n">
        <x:v>47893</x:v>
      </x:c>
      <x:c r="B2242" s="380" t="n">
        <x:v>2031</x:v>
      </x:c>
      <x:c r="C2242" s="380" t="n">
        <x:v>2</x:v>
      </x:c>
      <x:c r="D2242" s="380" t="str">
        <x:v>Feb</x:v>
      </x:c>
      <x:c r="E2242" s="380" t="n">
        <x:v>14</x:v>
      </x:c>
      <x:c r="F2242" s="380" t="n">
        <x:v>5</x:v>
      </x:c>
      <x:c r="G2242" s="380" t="n">
        <x:f>--(F2242&lt;='Estimator'!$B$7)</x:f>
        <x:v>1</x:v>
      </x:c>
      <x:c r="H2242" s="381" t="n">
        <x:f>SUMIFS('Climate Data'!$G$7:$G$366,'Climate Data'!$A$7:$A$366,'Estimator'!$B$4,'Climate Data'!$B$7:$B$366,C2242)</x:f>
        <x:v>0.23056278464541316</x:v>
      </x:c>
      <x:c r="I2242" s="382" t="n">
        <x:f>SUMIFS('Climate Data'!$H$7:$H$366,'Climate Data'!$A$7:$A$366,'Estimator'!$B$4,'Climate Data'!$B$7:$B$366,C2242)</x:f>
        <x:v>9.682010582010582</x:v>
      </x:c>
      <x:c r="J2242" s="381" t="n">
        <x:f>SUMIFS('Wind Proxy'!$H$8:$H$19,'Wind Proxy'!$A$8:$A$19,'Estimator'!$B$4,'Wind Proxy'!$B$8:$B$19,C2242)</x:f>
        <x:v>0.13757861635220128</x:v>
      </x:c>
    </x:row>
    <x:row r="2243">
      <x:c r="A2243" s="379" t="n">
        <x:v>47894</x:v>
      </x:c>
      <x:c r="B2243" s="380" t="n">
        <x:v>2031</x:v>
      </x:c>
      <x:c r="C2243" s="380" t="n">
        <x:v>2</x:v>
      </x:c>
      <x:c r="D2243" s="380" t="str">
        <x:v>Feb</x:v>
      </x:c>
      <x:c r="E2243" s="380" t="n">
        <x:v>15</x:v>
      </x:c>
      <x:c r="F2243" s="380" t="n">
        <x:v>6</x:v>
      </x:c>
      <x:c r="G2243" s="380" t="n">
        <x:f>--(F2243&lt;='Estimator'!$B$7)</x:f>
        <x:v>0</x:v>
      </x:c>
      <x:c r="H2243" s="381" t="n">
        <x:f>SUMIFS('Climate Data'!$G$7:$G$366,'Climate Data'!$A$7:$A$366,'Estimator'!$B$4,'Climate Data'!$B$7:$B$366,C2243)</x:f>
        <x:v>0.23056278464541316</x:v>
      </x:c>
      <x:c r="I2243" s="382" t="n">
        <x:f>SUMIFS('Climate Data'!$H$7:$H$366,'Climate Data'!$A$7:$A$366,'Estimator'!$B$4,'Climate Data'!$B$7:$B$366,C2243)</x:f>
        <x:v>9.682010582010582</x:v>
      </x:c>
      <x:c r="J2243" s="381" t="n">
        <x:f>SUMIFS('Wind Proxy'!$H$8:$H$19,'Wind Proxy'!$A$8:$A$19,'Estimator'!$B$4,'Wind Proxy'!$B$8:$B$19,C2243)</x:f>
        <x:v>0.13757861635220128</x:v>
      </x:c>
    </x:row>
    <x:row r="2244">
      <x:c r="A2244" s="379" t="n">
        <x:v>47895</x:v>
      </x:c>
      <x:c r="B2244" s="380" t="n">
        <x:v>2031</x:v>
      </x:c>
      <x:c r="C2244" s="380" t="n">
        <x:v>2</x:v>
      </x:c>
      <x:c r="D2244" s="380" t="str">
        <x:v>Feb</x:v>
      </x:c>
      <x:c r="E2244" s="380" t="n">
        <x:v>16</x:v>
      </x:c>
      <x:c r="F2244" s="380" t="n">
        <x:v>7</x:v>
      </x:c>
      <x:c r="G2244" s="380" t="n">
        <x:f>--(F2244&lt;='Estimator'!$B$7)</x:f>
        <x:v>0</x:v>
      </x:c>
      <x:c r="H2244" s="381" t="n">
        <x:f>SUMIFS('Climate Data'!$G$7:$G$366,'Climate Data'!$A$7:$A$366,'Estimator'!$B$4,'Climate Data'!$B$7:$B$366,C2244)</x:f>
        <x:v>0.23056278464541316</x:v>
      </x:c>
      <x:c r="I2244" s="382" t="n">
        <x:f>SUMIFS('Climate Data'!$H$7:$H$366,'Climate Data'!$A$7:$A$366,'Estimator'!$B$4,'Climate Data'!$B$7:$B$366,C2244)</x:f>
        <x:v>9.682010582010582</x:v>
      </x:c>
      <x:c r="J2244" s="381" t="n">
        <x:f>SUMIFS('Wind Proxy'!$H$8:$H$19,'Wind Proxy'!$A$8:$A$19,'Estimator'!$B$4,'Wind Proxy'!$B$8:$B$19,C2244)</x:f>
        <x:v>0.13757861635220128</x:v>
      </x:c>
    </x:row>
    <x:row r="2245">
      <x:c r="A2245" s="379" t="n">
        <x:v>47896</x:v>
      </x:c>
      <x:c r="B2245" s="380" t="n">
        <x:v>2031</x:v>
      </x:c>
      <x:c r="C2245" s="380" t="n">
        <x:v>2</x:v>
      </x:c>
      <x:c r="D2245" s="380" t="str">
        <x:v>Feb</x:v>
      </x:c>
      <x:c r="E2245" s="380" t="n">
        <x:v>17</x:v>
      </x:c>
      <x:c r="F2245" s="380" t="n">
        <x:v>1</x:v>
      </x:c>
      <x:c r="G2245" s="380" t="n">
        <x:f>--(F2245&lt;='Estimator'!$B$7)</x:f>
        <x:v>1</x:v>
      </x:c>
      <x:c r="H2245" s="381" t="n">
        <x:f>SUMIFS('Climate Data'!$G$7:$G$366,'Climate Data'!$A$7:$A$366,'Estimator'!$B$4,'Climate Data'!$B$7:$B$366,C2245)</x:f>
        <x:v>0.23056278464541316</x:v>
      </x:c>
      <x:c r="I2245" s="382" t="n">
        <x:f>SUMIFS('Climate Data'!$H$7:$H$366,'Climate Data'!$A$7:$A$366,'Estimator'!$B$4,'Climate Data'!$B$7:$B$366,C2245)</x:f>
        <x:v>9.682010582010582</x:v>
      </x:c>
      <x:c r="J2245" s="381" t="n">
        <x:f>SUMIFS('Wind Proxy'!$H$8:$H$19,'Wind Proxy'!$A$8:$A$19,'Estimator'!$B$4,'Wind Proxy'!$B$8:$B$19,C2245)</x:f>
        <x:v>0.13757861635220128</x:v>
      </x:c>
    </x:row>
    <x:row r="2246">
      <x:c r="A2246" s="379" t="n">
        <x:v>47897</x:v>
      </x:c>
      <x:c r="B2246" s="380" t="n">
        <x:v>2031</x:v>
      </x:c>
      <x:c r="C2246" s="380" t="n">
        <x:v>2</x:v>
      </x:c>
      <x:c r="D2246" s="380" t="str">
        <x:v>Feb</x:v>
      </x:c>
      <x:c r="E2246" s="380" t="n">
        <x:v>18</x:v>
      </x:c>
      <x:c r="F2246" s="380" t="n">
        <x:v>2</x:v>
      </x:c>
      <x:c r="G2246" s="380" t="n">
        <x:f>--(F2246&lt;='Estimator'!$B$7)</x:f>
        <x:v>1</x:v>
      </x:c>
      <x:c r="H2246" s="381" t="n">
        <x:f>SUMIFS('Climate Data'!$G$7:$G$366,'Climate Data'!$A$7:$A$366,'Estimator'!$B$4,'Climate Data'!$B$7:$B$366,C2246)</x:f>
        <x:v>0.23056278464541316</x:v>
      </x:c>
      <x:c r="I2246" s="382" t="n">
        <x:f>SUMIFS('Climate Data'!$H$7:$H$366,'Climate Data'!$A$7:$A$366,'Estimator'!$B$4,'Climate Data'!$B$7:$B$366,C2246)</x:f>
        <x:v>9.682010582010582</x:v>
      </x:c>
      <x:c r="J2246" s="381" t="n">
        <x:f>SUMIFS('Wind Proxy'!$H$8:$H$19,'Wind Proxy'!$A$8:$A$19,'Estimator'!$B$4,'Wind Proxy'!$B$8:$B$19,C2246)</x:f>
        <x:v>0.13757861635220128</x:v>
      </x:c>
    </x:row>
    <x:row r="2247">
      <x:c r="A2247" s="379" t="n">
        <x:v>47898</x:v>
      </x:c>
      <x:c r="B2247" s="380" t="n">
        <x:v>2031</x:v>
      </x:c>
      <x:c r="C2247" s="380" t="n">
        <x:v>2</x:v>
      </x:c>
      <x:c r="D2247" s="380" t="str">
        <x:v>Feb</x:v>
      </x:c>
      <x:c r="E2247" s="380" t="n">
        <x:v>19</x:v>
      </x:c>
      <x:c r="F2247" s="380" t="n">
        <x:v>3</x:v>
      </x:c>
      <x:c r="G2247" s="380" t="n">
        <x:f>--(F2247&lt;='Estimator'!$B$7)</x:f>
        <x:v>1</x:v>
      </x:c>
      <x:c r="H2247" s="381" t="n">
        <x:f>SUMIFS('Climate Data'!$G$7:$G$366,'Climate Data'!$A$7:$A$366,'Estimator'!$B$4,'Climate Data'!$B$7:$B$366,C2247)</x:f>
        <x:v>0.23056278464541316</x:v>
      </x:c>
      <x:c r="I2247" s="382" t="n">
        <x:f>SUMIFS('Climate Data'!$H$7:$H$366,'Climate Data'!$A$7:$A$366,'Estimator'!$B$4,'Climate Data'!$B$7:$B$366,C2247)</x:f>
        <x:v>9.682010582010582</x:v>
      </x:c>
      <x:c r="J2247" s="381" t="n">
        <x:f>SUMIFS('Wind Proxy'!$H$8:$H$19,'Wind Proxy'!$A$8:$A$19,'Estimator'!$B$4,'Wind Proxy'!$B$8:$B$19,C2247)</x:f>
        <x:v>0.13757861635220128</x:v>
      </x:c>
    </x:row>
    <x:row r="2248">
      <x:c r="A2248" s="379" t="n">
        <x:v>47899</x:v>
      </x:c>
      <x:c r="B2248" s="380" t="n">
        <x:v>2031</x:v>
      </x:c>
      <x:c r="C2248" s="380" t="n">
        <x:v>2</x:v>
      </x:c>
      <x:c r="D2248" s="380" t="str">
        <x:v>Feb</x:v>
      </x:c>
      <x:c r="E2248" s="380" t="n">
        <x:v>20</x:v>
      </x:c>
      <x:c r="F2248" s="380" t="n">
        <x:v>4</x:v>
      </x:c>
      <x:c r="G2248" s="380" t="n">
        <x:f>--(F2248&lt;='Estimator'!$B$7)</x:f>
        <x:v>1</x:v>
      </x:c>
      <x:c r="H2248" s="381" t="n">
        <x:f>SUMIFS('Climate Data'!$G$7:$G$366,'Climate Data'!$A$7:$A$366,'Estimator'!$B$4,'Climate Data'!$B$7:$B$366,C2248)</x:f>
        <x:v>0.23056278464541316</x:v>
      </x:c>
      <x:c r="I2248" s="382" t="n">
        <x:f>SUMIFS('Climate Data'!$H$7:$H$366,'Climate Data'!$A$7:$A$366,'Estimator'!$B$4,'Climate Data'!$B$7:$B$366,C2248)</x:f>
        <x:v>9.682010582010582</x:v>
      </x:c>
      <x:c r="J2248" s="381" t="n">
        <x:f>SUMIFS('Wind Proxy'!$H$8:$H$19,'Wind Proxy'!$A$8:$A$19,'Estimator'!$B$4,'Wind Proxy'!$B$8:$B$19,C2248)</x:f>
        <x:v>0.13757861635220128</x:v>
      </x:c>
    </x:row>
    <x:row r="2249">
      <x:c r="A2249" s="379" t="n">
        <x:v>47900</x:v>
      </x:c>
      <x:c r="B2249" s="380" t="n">
        <x:v>2031</x:v>
      </x:c>
      <x:c r="C2249" s="380" t="n">
        <x:v>2</x:v>
      </x:c>
      <x:c r="D2249" s="380" t="str">
        <x:v>Feb</x:v>
      </x:c>
      <x:c r="E2249" s="380" t="n">
        <x:v>21</x:v>
      </x:c>
      <x:c r="F2249" s="380" t="n">
        <x:v>5</x:v>
      </x:c>
      <x:c r="G2249" s="380" t="n">
        <x:f>--(F2249&lt;='Estimator'!$B$7)</x:f>
        <x:v>1</x:v>
      </x:c>
      <x:c r="H2249" s="381" t="n">
        <x:f>SUMIFS('Climate Data'!$G$7:$G$366,'Climate Data'!$A$7:$A$366,'Estimator'!$B$4,'Climate Data'!$B$7:$B$366,C2249)</x:f>
        <x:v>0.23056278464541316</x:v>
      </x:c>
      <x:c r="I2249" s="382" t="n">
        <x:f>SUMIFS('Climate Data'!$H$7:$H$366,'Climate Data'!$A$7:$A$366,'Estimator'!$B$4,'Climate Data'!$B$7:$B$366,C2249)</x:f>
        <x:v>9.682010582010582</x:v>
      </x:c>
      <x:c r="J2249" s="381" t="n">
        <x:f>SUMIFS('Wind Proxy'!$H$8:$H$19,'Wind Proxy'!$A$8:$A$19,'Estimator'!$B$4,'Wind Proxy'!$B$8:$B$19,C2249)</x:f>
        <x:v>0.13757861635220128</x:v>
      </x:c>
    </x:row>
    <x:row r="2250">
      <x:c r="A2250" s="379" t="n">
        <x:v>47901</x:v>
      </x:c>
      <x:c r="B2250" s="380" t="n">
        <x:v>2031</x:v>
      </x:c>
      <x:c r="C2250" s="380" t="n">
        <x:v>2</x:v>
      </x:c>
      <x:c r="D2250" s="380" t="str">
        <x:v>Feb</x:v>
      </x:c>
      <x:c r="E2250" s="380" t="n">
        <x:v>22</x:v>
      </x:c>
      <x:c r="F2250" s="380" t="n">
        <x:v>6</x:v>
      </x:c>
      <x:c r="G2250" s="380" t="n">
        <x:f>--(F2250&lt;='Estimator'!$B$7)</x:f>
        <x:v>0</x:v>
      </x:c>
      <x:c r="H2250" s="381" t="n">
        <x:f>SUMIFS('Climate Data'!$G$7:$G$366,'Climate Data'!$A$7:$A$366,'Estimator'!$B$4,'Climate Data'!$B$7:$B$366,C2250)</x:f>
        <x:v>0.23056278464541316</x:v>
      </x:c>
      <x:c r="I2250" s="382" t="n">
        <x:f>SUMIFS('Climate Data'!$H$7:$H$366,'Climate Data'!$A$7:$A$366,'Estimator'!$B$4,'Climate Data'!$B$7:$B$366,C2250)</x:f>
        <x:v>9.682010582010582</x:v>
      </x:c>
      <x:c r="J2250" s="381" t="n">
        <x:f>SUMIFS('Wind Proxy'!$H$8:$H$19,'Wind Proxy'!$A$8:$A$19,'Estimator'!$B$4,'Wind Proxy'!$B$8:$B$19,C2250)</x:f>
        <x:v>0.13757861635220128</x:v>
      </x:c>
    </x:row>
    <x:row r="2251">
      <x:c r="A2251" s="379" t="n">
        <x:v>47902</x:v>
      </x:c>
      <x:c r="B2251" s="380" t="n">
        <x:v>2031</x:v>
      </x:c>
      <x:c r="C2251" s="380" t="n">
        <x:v>2</x:v>
      </x:c>
      <x:c r="D2251" s="380" t="str">
        <x:v>Feb</x:v>
      </x:c>
      <x:c r="E2251" s="380" t="n">
        <x:v>23</x:v>
      </x:c>
      <x:c r="F2251" s="380" t="n">
        <x:v>7</x:v>
      </x:c>
      <x:c r="G2251" s="380" t="n">
        <x:f>--(F2251&lt;='Estimator'!$B$7)</x:f>
        <x:v>0</x:v>
      </x:c>
      <x:c r="H2251" s="381" t="n">
        <x:f>SUMIFS('Climate Data'!$G$7:$G$366,'Climate Data'!$A$7:$A$366,'Estimator'!$B$4,'Climate Data'!$B$7:$B$366,C2251)</x:f>
        <x:v>0.23056278464541316</x:v>
      </x:c>
      <x:c r="I2251" s="382" t="n">
        <x:f>SUMIFS('Climate Data'!$H$7:$H$366,'Climate Data'!$A$7:$A$366,'Estimator'!$B$4,'Climate Data'!$B$7:$B$366,C2251)</x:f>
        <x:v>9.682010582010582</x:v>
      </x:c>
      <x:c r="J2251" s="381" t="n">
        <x:f>SUMIFS('Wind Proxy'!$H$8:$H$19,'Wind Proxy'!$A$8:$A$19,'Estimator'!$B$4,'Wind Proxy'!$B$8:$B$19,C2251)</x:f>
        <x:v>0.13757861635220128</x:v>
      </x:c>
    </x:row>
    <x:row r="2252">
      <x:c r="A2252" s="379" t="n">
        <x:v>47903</x:v>
      </x:c>
      <x:c r="B2252" s="380" t="n">
        <x:v>2031</x:v>
      </x:c>
      <x:c r="C2252" s="380" t="n">
        <x:v>2</x:v>
      </x:c>
      <x:c r="D2252" s="380" t="str">
        <x:v>Feb</x:v>
      </x:c>
      <x:c r="E2252" s="380" t="n">
        <x:v>24</x:v>
      </x:c>
      <x:c r="F2252" s="380" t="n">
        <x:v>1</x:v>
      </x:c>
      <x:c r="G2252" s="380" t="n">
        <x:f>--(F2252&lt;='Estimator'!$B$7)</x:f>
        <x:v>1</x:v>
      </x:c>
      <x:c r="H2252" s="381" t="n">
        <x:f>SUMIFS('Climate Data'!$G$7:$G$366,'Climate Data'!$A$7:$A$366,'Estimator'!$B$4,'Climate Data'!$B$7:$B$366,C2252)</x:f>
        <x:v>0.23056278464541316</x:v>
      </x:c>
      <x:c r="I2252" s="382" t="n">
        <x:f>SUMIFS('Climate Data'!$H$7:$H$366,'Climate Data'!$A$7:$A$366,'Estimator'!$B$4,'Climate Data'!$B$7:$B$366,C2252)</x:f>
        <x:v>9.682010582010582</x:v>
      </x:c>
      <x:c r="J2252" s="381" t="n">
        <x:f>SUMIFS('Wind Proxy'!$H$8:$H$19,'Wind Proxy'!$A$8:$A$19,'Estimator'!$B$4,'Wind Proxy'!$B$8:$B$19,C2252)</x:f>
        <x:v>0.13757861635220128</x:v>
      </x:c>
    </x:row>
    <x:row r="2253">
      <x:c r="A2253" s="379" t="n">
        <x:v>47904</x:v>
      </x:c>
      <x:c r="B2253" s="380" t="n">
        <x:v>2031</x:v>
      </x:c>
      <x:c r="C2253" s="380" t="n">
        <x:v>2</x:v>
      </x:c>
      <x:c r="D2253" s="380" t="str">
        <x:v>Feb</x:v>
      </x:c>
      <x:c r="E2253" s="380" t="n">
        <x:v>25</x:v>
      </x:c>
      <x:c r="F2253" s="380" t="n">
        <x:v>2</x:v>
      </x:c>
      <x:c r="G2253" s="380" t="n">
        <x:f>--(F2253&lt;='Estimator'!$B$7)</x:f>
        <x:v>1</x:v>
      </x:c>
      <x:c r="H2253" s="381" t="n">
        <x:f>SUMIFS('Climate Data'!$G$7:$G$366,'Climate Data'!$A$7:$A$366,'Estimator'!$B$4,'Climate Data'!$B$7:$B$366,C2253)</x:f>
        <x:v>0.23056278464541316</x:v>
      </x:c>
      <x:c r="I2253" s="382" t="n">
        <x:f>SUMIFS('Climate Data'!$H$7:$H$366,'Climate Data'!$A$7:$A$366,'Estimator'!$B$4,'Climate Data'!$B$7:$B$366,C2253)</x:f>
        <x:v>9.682010582010582</x:v>
      </x:c>
      <x:c r="J2253" s="381" t="n">
        <x:f>SUMIFS('Wind Proxy'!$H$8:$H$19,'Wind Proxy'!$A$8:$A$19,'Estimator'!$B$4,'Wind Proxy'!$B$8:$B$19,C2253)</x:f>
        <x:v>0.13757861635220128</x:v>
      </x:c>
    </x:row>
    <x:row r="2254">
      <x:c r="A2254" s="379" t="n">
        <x:v>47905</x:v>
      </x:c>
      <x:c r="B2254" s="380" t="n">
        <x:v>2031</x:v>
      </x:c>
      <x:c r="C2254" s="380" t="n">
        <x:v>2</x:v>
      </x:c>
      <x:c r="D2254" s="380" t="str">
        <x:v>Feb</x:v>
      </x:c>
      <x:c r="E2254" s="380" t="n">
        <x:v>26</x:v>
      </x:c>
      <x:c r="F2254" s="380" t="n">
        <x:v>3</x:v>
      </x:c>
      <x:c r="G2254" s="380" t="n">
        <x:f>--(F2254&lt;='Estimator'!$B$7)</x:f>
        <x:v>1</x:v>
      </x:c>
      <x:c r="H2254" s="381" t="n">
        <x:f>SUMIFS('Climate Data'!$G$7:$G$366,'Climate Data'!$A$7:$A$366,'Estimator'!$B$4,'Climate Data'!$B$7:$B$366,C2254)</x:f>
        <x:v>0.23056278464541316</x:v>
      </x:c>
      <x:c r="I2254" s="382" t="n">
        <x:f>SUMIFS('Climate Data'!$H$7:$H$366,'Climate Data'!$A$7:$A$366,'Estimator'!$B$4,'Climate Data'!$B$7:$B$366,C2254)</x:f>
        <x:v>9.682010582010582</x:v>
      </x:c>
      <x:c r="J2254" s="381" t="n">
        <x:f>SUMIFS('Wind Proxy'!$H$8:$H$19,'Wind Proxy'!$A$8:$A$19,'Estimator'!$B$4,'Wind Proxy'!$B$8:$B$19,C2254)</x:f>
        <x:v>0.13757861635220128</x:v>
      </x:c>
    </x:row>
    <x:row r="2255">
      <x:c r="A2255" s="379" t="n">
        <x:v>47906</x:v>
      </x:c>
      <x:c r="B2255" s="380" t="n">
        <x:v>2031</x:v>
      </x:c>
      <x:c r="C2255" s="380" t="n">
        <x:v>2</x:v>
      </x:c>
      <x:c r="D2255" s="380" t="str">
        <x:v>Feb</x:v>
      </x:c>
      <x:c r="E2255" s="380" t="n">
        <x:v>27</x:v>
      </x:c>
      <x:c r="F2255" s="380" t="n">
        <x:v>4</x:v>
      </x:c>
      <x:c r="G2255" s="380" t="n">
        <x:f>--(F2255&lt;='Estimator'!$B$7)</x:f>
        <x:v>1</x:v>
      </x:c>
      <x:c r="H2255" s="381" t="n">
        <x:f>SUMIFS('Climate Data'!$G$7:$G$366,'Climate Data'!$A$7:$A$366,'Estimator'!$B$4,'Climate Data'!$B$7:$B$366,C2255)</x:f>
        <x:v>0.23056278464541316</x:v>
      </x:c>
      <x:c r="I2255" s="382" t="n">
        <x:f>SUMIFS('Climate Data'!$H$7:$H$366,'Climate Data'!$A$7:$A$366,'Estimator'!$B$4,'Climate Data'!$B$7:$B$366,C2255)</x:f>
        <x:v>9.682010582010582</x:v>
      </x:c>
      <x:c r="J2255" s="381" t="n">
        <x:f>SUMIFS('Wind Proxy'!$H$8:$H$19,'Wind Proxy'!$A$8:$A$19,'Estimator'!$B$4,'Wind Proxy'!$B$8:$B$19,C2255)</x:f>
        <x:v>0.13757861635220128</x:v>
      </x:c>
    </x:row>
    <x:row r="2256">
      <x:c r="A2256" s="379" t="n">
        <x:v>47907</x:v>
      </x:c>
      <x:c r="B2256" s="380" t="n">
        <x:v>2031</x:v>
      </x:c>
      <x:c r="C2256" s="380" t="n">
        <x:v>2</x:v>
      </x:c>
      <x:c r="D2256" s="380" t="str">
        <x:v>Feb</x:v>
      </x:c>
      <x:c r="E2256" s="380" t="n">
        <x:v>28</x:v>
      </x:c>
      <x:c r="F2256" s="380" t="n">
        <x:v>5</x:v>
      </x:c>
      <x:c r="G2256" s="380" t="n">
        <x:f>--(F2256&lt;='Estimator'!$B$7)</x:f>
        <x:v>1</x:v>
      </x:c>
      <x:c r="H2256" s="381" t="n">
        <x:f>SUMIFS('Climate Data'!$G$7:$G$366,'Climate Data'!$A$7:$A$366,'Estimator'!$B$4,'Climate Data'!$B$7:$B$366,C2256)</x:f>
        <x:v>0.23056278464541316</x:v>
      </x:c>
      <x:c r="I2256" s="382" t="n">
        <x:f>SUMIFS('Climate Data'!$H$7:$H$366,'Climate Data'!$A$7:$A$366,'Estimator'!$B$4,'Climate Data'!$B$7:$B$366,C2256)</x:f>
        <x:v>9.682010582010582</x:v>
      </x:c>
      <x:c r="J2256" s="381" t="n">
        <x:f>SUMIFS('Wind Proxy'!$H$8:$H$19,'Wind Proxy'!$A$8:$A$19,'Estimator'!$B$4,'Wind Proxy'!$B$8:$B$19,C2256)</x:f>
        <x:v>0.13757861635220128</x:v>
      </x:c>
    </x:row>
    <x:row r="2257">
      <x:c r="A2257" s="379" t="n">
        <x:v>47908</x:v>
      </x:c>
      <x:c r="B2257" s="380" t="n">
        <x:v>2031</x:v>
      </x:c>
      <x:c r="C2257" s="380" t="n">
        <x:v>3</x:v>
      </x:c>
      <x:c r="D2257" s="380" t="str">
        <x:v>Mar</x:v>
      </x:c>
      <x:c r="E2257" s="380" t="n">
        <x:v>1</x:v>
      </x:c>
      <x:c r="F2257" s="380" t="n">
        <x:v>6</x:v>
      </x:c>
      <x:c r="G2257" s="380" t="n">
        <x:f>--(F2257&lt;='Estimator'!$B$7)</x:f>
        <x:v>0</x:v>
      </x:c>
      <x:c r="H2257" s="381" t="n">
        <x:f>SUMIFS('Climate Data'!$G$7:$G$366,'Climate Data'!$A$7:$A$366,'Estimator'!$B$4,'Climate Data'!$B$7:$B$366,C2257)</x:f>
        <x:v>0.24916573971078979</x:v>
      </x:c>
      <x:c r="I2257" s="382" t="n">
        <x:f>SUMIFS('Climate Data'!$H$7:$H$366,'Climate Data'!$A$7:$A$366,'Estimator'!$B$4,'Climate Data'!$B$7:$B$366,C2257)</x:f>
        <x:v>9.709821428571429</x:v>
      </x:c>
      <x:c r="J2257" s="381" t="n">
        <x:f>SUMIFS('Wind Proxy'!$H$8:$H$19,'Wind Proxy'!$A$8:$A$19,'Estimator'!$B$4,'Wind Proxy'!$B$8:$B$19,C2257)</x:f>
        <x:v>0.11350059737156513</x:v>
      </x:c>
    </x:row>
    <x:row r="2258">
      <x:c r="A2258" s="379" t="n">
        <x:v>47909</x:v>
      </x:c>
      <x:c r="B2258" s="380" t="n">
        <x:v>2031</x:v>
      </x:c>
      <x:c r="C2258" s="380" t="n">
        <x:v>3</x:v>
      </x:c>
      <x:c r="D2258" s="380" t="str">
        <x:v>Mar</x:v>
      </x:c>
      <x:c r="E2258" s="380" t="n">
        <x:v>2</x:v>
      </x:c>
      <x:c r="F2258" s="380" t="n">
        <x:v>7</x:v>
      </x:c>
      <x:c r="G2258" s="380" t="n">
        <x:f>--(F2258&lt;='Estimator'!$B$7)</x:f>
        <x:v>0</x:v>
      </x:c>
      <x:c r="H2258" s="381" t="n">
        <x:f>SUMIFS('Climate Data'!$G$7:$G$366,'Climate Data'!$A$7:$A$366,'Estimator'!$B$4,'Climate Data'!$B$7:$B$366,C2258)</x:f>
        <x:v>0.24916573971078979</x:v>
      </x:c>
      <x:c r="I2258" s="382" t="n">
        <x:f>SUMIFS('Climate Data'!$H$7:$H$366,'Climate Data'!$A$7:$A$366,'Estimator'!$B$4,'Climate Data'!$B$7:$B$366,C2258)</x:f>
        <x:v>9.709821428571429</x:v>
      </x:c>
      <x:c r="J2258" s="381" t="n">
        <x:f>SUMIFS('Wind Proxy'!$H$8:$H$19,'Wind Proxy'!$A$8:$A$19,'Estimator'!$B$4,'Wind Proxy'!$B$8:$B$19,C2258)</x:f>
        <x:v>0.11350059737156513</x:v>
      </x:c>
    </x:row>
    <x:row r="2259">
      <x:c r="A2259" s="379" t="n">
        <x:v>47910</x:v>
      </x:c>
      <x:c r="B2259" s="380" t="n">
        <x:v>2031</x:v>
      </x:c>
      <x:c r="C2259" s="380" t="n">
        <x:v>3</x:v>
      </x:c>
      <x:c r="D2259" s="380" t="str">
        <x:v>Mar</x:v>
      </x:c>
      <x:c r="E2259" s="380" t="n">
        <x:v>3</x:v>
      </x:c>
      <x:c r="F2259" s="380" t="n">
        <x:v>1</x:v>
      </x:c>
      <x:c r="G2259" s="380" t="n">
        <x:f>--(F2259&lt;='Estimator'!$B$7)</x:f>
        <x:v>1</x:v>
      </x:c>
      <x:c r="H2259" s="381" t="n">
        <x:f>SUMIFS('Climate Data'!$G$7:$G$366,'Climate Data'!$A$7:$A$366,'Estimator'!$B$4,'Climate Data'!$B$7:$B$366,C2259)</x:f>
        <x:v>0.24916573971078979</x:v>
      </x:c>
      <x:c r="I2259" s="382" t="n">
        <x:f>SUMIFS('Climate Data'!$H$7:$H$366,'Climate Data'!$A$7:$A$366,'Estimator'!$B$4,'Climate Data'!$B$7:$B$366,C2259)</x:f>
        <x:v>9.709821428571429</x:v>
      </x:c>
      <x:c r="J2259" s="381" t="n">
        <x:f>SUMIFS('Wind Proxy'!$H$8:$H$19,'Wind Proxy'!$A$8:$A$19,'Estimator'!$B$4,'Wind Proxy'!$B$8:$B$19,C2259)</x:f>
        <x:v>0.11350059737156513</x:v>
      </x:c>
    </x:row>
    <x:row r="2260">
      <x:c r="A2260" s="379" t="n">
        <x:v>47911</x:v>
      </x:c>
      <x:c r="B2260" s="380" t="n">
        <x:v>2031</x:v>
      </x:c>
      <x:c r="C2260" s="380" t="n">
        <x:v>3</x:v>
      </x:c>
      <x:c r="D2260" s="380" t="str">
        <x:v>Mar</x:v>
      </x:c>
      <x:c r="E2260" s="380" t="n">
        <x:v>4</x:v>
      </x:c>
      <x:c r="F2260" s="380" t="n">
        <x:v>2</x:v>
      </x:c>
      <x:c r="G2260" s="380" t="n">
        <x:f>--(F2260&lt;='Estimator'!$B$7)</x:f>
        <x:v>1</x:v>
      </x:c>
      <x:c r="H2260" s="381" t="n">
        <x:f>SUMIFS('Climate Data'!$G$7:$G$366,'Climate Data'!$A$7:$A$366,'Estimator'!$B$4,'Climate Data'!$B$7:$B$366,C2260)</x:f>
        <x:v>0.24916573971078979</x:v>
      </x:c>
      <x:c r="I2260" s="382" t="n">
        <x:f>SUMIFS('Climate Data'!$H$7:$H$366,'Climate Data'!$A$7:$A$366,'Estimator'!$B$4,'Climate Data'!$B$7:$B$366,C2260)</x:f>
        <x:v>9.709821428571429</x:v>
      </x:c>
      <x:c r="J2260" s="381" t="n">
        <x:f>SUMIFS('Wind Proxy'!$H$8:$H$19,'Wind Proxy'!$A$8:$A$19,'Estimator'!$B$4,'Wind Proxy'!$B$8:$B$19,C2260)</x:f>
        <x:v>0.11350059737156513</x:v>
      </x:c>
    </x:row>
    <x:row r="2261">
      <x:c r="A2261" s="379" t="n">
        <x:v>47912</x:v>
      </x:c>
      <x:c r="B2261" s="380" t="n">
        <x:v>2031</x:v>
      </x:c>
      <x:c r="C2261" s="380" t="n">
        <x:v>3</x:v>
      </x:c>
      <x:c r="D2261" s="380" t="str">
        <x:v>Mar</x:v>
      </x:c>
      <x:c r="E2261" s="380" t="n">
        <x:v>5</x:v>
      </x:c>
      <x:c r="F2261" s="380" t="n">
        <x:v>3</x:v>
      </x:c>
      <x:c r="G2261" s="380" t="n">
        <x:f>--(F2261&lt;='Estimator'!$B$7)</x:f>
        <x:v>1</x:v>
      </x:c>
      <x:c r="H2261" s="381" t="n">
        <x:f>SUMIFS('Climate Data'!$G$7:$G$366,'Climate Data'!$A$7:$A$366,'Estimator'!$B$4,'Climate Data'!$B$7:$B$366,C2261)</x:f>
        <x:v>0.24916573971078979</x:v>
      </x:c>
      <x:c r="I2261" s="382" t="n">
        <x:f>SUMIFS('Climate Data'!$H$7:$H$366,'Climate Data'!$A$7:$A$366,'Estimator'!$B$4,'Climate Data'!$B$7:$B$366,C2261)</x:f>
        <x:v>9.709821428571429</x:v>
      </x:c>
      <x:c r="J2261" s="381" t="n">
        <x:f>SUMIFS('Wind Proxy'!$H$8:$H$19,'Wind Proxy'!$A$8:$A$19,'Estimator'!$B$4,'Wind Proxy'!$B$8:$B$19,C2261)</x:f>
        <x:v>0.11350059737156513</x:v>
      </x:c>
    </x:row>
    <x:row r="2262">
      <x:c r="A2262" s="379" t="n">
        <x:v>47913</x:v>
      </x:c>
      <x:c r="B2262" s="380" t="n">
        <x:v>2031</x:v>
      </x:c>
      <x:c r="C2262" s="380" t="n">
        <x:v>3</x:v>
      </x:c>
      <x:c r="D2262" s="380" t="str">
        <x:v>Mar</x:v>
      </x:c>
      <x:c r="E2262" s="380" t="n">
        <x:v>6</x:v>
      </x:c>
      <x:c r="F2262" s="380" t="n">
        <x:v>4</x:v>
      </x:c>
      <x:c r="G2262" s="380" t="n">
        <x:f>--(F2262&lt;='Estimator'!$B$7)</x:f>
        <x:v>1</x:v>
      </x:c>
      <x:c r="H2262" s="381" t="n">
        <x:f>SUMIFS('Climate Data'!$G$7:$G$366,'Climate Data'!$A$7:$A$366,'Estimator'!$B$4,'Climate Data'!$B$7:$B$366,C2262)</x:f>
        <x:v>0.24916573971078979</x:v>
      </x:c>
      <x:c r="I2262" s="382" t="n">
        <x:f>SUMIFS('Climate Data'!$H$7:$H$366,'Climate Data'!$A$7:$A$366,'Estimator'!$B$4,'Climate Data'!$B$7:$B$366,C2262)</x:f>
        <x:v>9.709821428571429</x:v>
      </x:c>
      <x:c r="J2262" s="381" t="n">
        <x:f>SUMIFS('Wind Proxy'!$H$8:$H$19,'Wind Proxy'!$A$8:$A$19,'Estimator'!$B$4,'Wind Proxy'!$B$8:$B$19,C2262)</x:f>
        <x:v>0.11350059737156513</x:v>
      </x:c>
    </x:row>
    <x:row r="2263">
      <x:c r="A2263" s="379" t="n">
        <x:v>47914</x:v>
      </x:c>
      <x:c r="B2263" s="380" t="n">
        <x:v>2031</x:v>
      </x:c>
      <x:c r="C2263" s="380" t="n">
        <x:v>3</x:v>
      </x:c>
      <x:c r="D2263" s="380" t="str">
        <x:v>Mar</x:v>
      </x:c>
      <x:c r="E2263" s="380" t="n">
        <x:v>7</x:v>
      </x:c>
      <x:c r="F2263" s="380" t="n">
        <x:v>5</x:v>
      </x:c>
      <x:c r="G2263" s="380" t="n">
        <x:f>--(F2263&lt;='Estimator'!$B$7)</x:f>
        <x:v>1</x:v>
      </x:c>
      <x:c r="H2263" s="381" t="n">
        <x:f>SUMIFS('Climate Data'!$G$7:$G$366,'Climate Data'!$A$7:$A$366,'Estimator'!$B$4,'Climate Data'!$B$7:$B$366,C2263)</x:f>
        <x:v>0.24916573971078979</x:v>
      </x:c>
      <x:c r="I2263" s="382" t="n">
        <x:f>SUMIFS('Climate Data'!$H$7:$H$366,'Climate Data'!$A$7:$A$366,'Estimator'!$B$4,'Climate Data'!$B$7:$B$366,C2263)</x:f>
        <x:v>9.709821428571429</x:v>
      </x:c>
      <x:c r="J2263" s="381" t="n">
        <x:f>SUMIFS('Wind Proxy'!$H$8:$H$19,'Wind Proxy'!$A$8:$A$19,'Estimator'!$B$4,'Wind Proxy'!$B$8:$B$19,C2263)</x:f>
        <x:v>0.11350059737156513</x:v>
      </x:c>
    </x:row>
    <x:row r="2264">
      <x:c r="A2264" s="379" t="n">
        <x:v>47915</x:v>
      </x:c>
      <x:c r="B2264" s="380" t="n">
        <x:v>2031</x:v>
      </x:c>
      <x:c r="C2264" s="380" t="n">
        <x:v>3</x:v>
      </x:c>
      <x:c r="D2264" s="380" t="str">
        <x:v>Mar</x:v>
      </x:c>
      <x:c r="E2264" s="380" t="n">
        <x:v>8</x:v>
      </x:c>
      <x:c r="F2264" s="380" t="n">
        <x:v>6</x:v>
      </x:c>
      <x:c r="G2264" s="380" t="n">
        <x:f>--(F2264&lt;='Estimator'!$B$7)</x:f>
        <x:v>0</x:v>
      </x:c>
      <x:c r="H2264" s="381" t="n">
        <x:f>SUMIFS('Climate Data'!$G$7:$G$366,'Climate Data'!$A$7:$A$366,'Estimator'!$B$4,'Climate Data'!$B$7:$B$366,C2264)</x:f>
        <x:v>0.24916573971078979</x:v>
      </x:c>
      <x:c r="I2264" s="382" t="n">
        <x:f>SUMIFS('Climate Data'!$H$7:$H$366,'Climate Data'!$A$7:$A$366,'Estimator'!$B$4,'Climate Data'!$B$7:$B$366,C2264)</x:f>
        <x:v>9.709821428571429</x:v>
      </x:c>
      <x:c r="J2264" s="381" t="n">
        <x:f>SUMIFS('Wind Proxy'!$H$8:$H$19,'Wind Proxy'!$A$8:$A$19,'Estimator'!$B$4,'Wind Proxy'!$B$8:$B$19,C2264)</x:f>
        <x:v>0.11350059737156513</x:v>
      </x:c>
    </x:row>
    <x:row r="2265">
      <x:c r="A2265" s="379" t="n">
        <x:v>47916</x:v>
      </x:c>
      <x:c r="B2265" s="380" t="n">
        <x:v>2031</x:v>
      </x:c>
      <x:c r="C2265" s="380" t="n">
        <x:v>3</x:v>
      </x:c>
      <x:c r="D2265" s="380" t="str">
        <x:v>Mar</x:v>
      </x:c>
      <x:c r="E2265" s="380" t="n">
        <x:v>9</x:v>
      </x:c>
      <x:c r="F2265" s="380" t="n">
        <x:v>7</x:v>
      </x:c>
      <x:c r="G2265" s="380" t="n">
        <x:f>--(F2265&lt;='Estimator'!$B$7)</x:f>
        <x:v>0</x:v>
      </x:c>
      <x:c r="H2265" s="381" t="n">
        <x:f>SUMIFS('Climate Data'!$G$7:$G$366,'Climate Data'!$A$7:$A$366,'Estimator'!$B$4,'Climate Data'!$B$7:$B$366,C2265)</x:f>
        <x:v>0.24916573971078979</x:v>
      </x:c>
      <x:c r="I2265" s="382" t="n">
        <x:f>SUMIFS('Climate Data'!$H$7:$H$366,'Climate Data'!$A$7:$A$366,'Estimator'!$B$4,'Climate Data'!$B$7:$B$366,C2265)</x:f>
        <x:v>9.709821428571429</x:v>
      </x:c>
      <x:c r="J2265" s="381" t="n">
        <x:f>SUMIFS('Wind Proxy'!$H$8:$H$19,'Wind Proxy'!$A$8:$A$19,'Estimator'!$B$4,'Wind Proxy'!$B$8:$B$19,C2265)</x:f>
        <x:v>0.11350059737156513</x:v>
      </x:c>
    </x:row>
    <x:row r="2266">
      <x:c r="A2266" s="379" t="n">
        <x:v>47917</x:v>
      </x:c>
      <x:c r="B2266" s="380" t="n">
        <x:v>2031</x:v>
      </x:c>
      <x:c r="C2266" s="380" t="n">
        <x:v>3</x:v>
      </x:c>
      <x:c r="D2266" s="380" t="str">
        <x:v>Mar</x:v>
      </x:c>
      <x:c r="E2266" s="380" t="n">
        <x:v>10</x:v>
      </x:c>
      <x:c r="F2266" s="380" t="n">
        <x:v>1</x:v>
      </x:c>
      <x:c r="G2266" s="380" t="n">
        <x:f>--(F2266&lt;='Estimator'!$B$7)</x:f>
        <x:v>1</x:v>
      </x:c>
      <x:c r="H2266" s="381" t="n">
        <x:f>SUMIFS('Climate Data'!$G$7:$G$366,'Climate Data'!$A$7:$A$366,'Estimator'!$B$4,'Climate Data'!$B$7:$B$366,C2266)</x:f>
        <x:v>0.24916573971078979</x:v>
      </x:c>
      <x:c r="I2266" s="382" t="n">
        <x:f>SUMIFS('Climate Data'!$H$7:$H$366,'Climate Data'!$A$7:$A$366,'Estimator'!$B$4,'Climate Data'!$B$7:$B$366,C2266)</x:f>
        <x:v>9.709821428571429</x:v>
      </x:c>
      <x:c r="J2266" s="381" t="n">
        <x:f>SUMIFS('Wind Proxy'!$H$8:$H$19,'Wind Proxy'!$A$8:$A$19,'Estimator'!$B$4,'Wind Proxy'!$B$8:$B$19,C2266)</x:f>
        <x:v>0.11350059737156513</x:v>
      </x:c>
    </x:row>
    <x:row r="2267">
      <x:c r="A2267" s="379" t="n">
        <x:v>47918</x:v>
      </x:c>
      <x:c r="B2267" s="380" t="n">
        <x:v>2031</x:v>
      </x:c>
      <x:c r="C2267" s="380" t="n">
        <x:v>3</x:v>
      </x:c>
      <x:c r="D2267" s="380" t="str">
        <x:v>Mar</x:v>
      </x:c>
      <x:c r="E2267" s="380" t="n">
        <x:v>11</x:v>
      </x:c>
      <x:c r="F2267" s="380" t="n">
        <x:v>2</x:v>
      </x:c>
      <x:c r="G2267" s="380" t="n">
        <x:f>--(F2267&lt;='Estimator'!$B$7)</x:f>
        <x:v>1</x:v>
      </x:c>
      <x:c r="H2267" s="381" t="n">
        <x:f>SUMIFS('Climate Data'!$G$7:$G$366,'Climate Data'!$A$7:$A$366,'Estimator'!$B$4,'Climate Data'!$B$7:$B$366,C2267)</x:f>
        <x:v>0.24916573971078979</x:v>
      </x:c>
      <x:c r="I2267" s="382" t="n">
        <x:f>SUMIFS('Climate Data'!$H$7:$H$366,'Climate Data'!$A$7:$A$366,'Estimator'!$B$4,'Climate Data'!$B$7:$B$366,C2267)</x:f>
        <x:v>9.709821428571429</x:v>
      </x:c>
      <x:c r="J2267" s="381" t="n">
        <x:f>SUMIFS('Wind Proxy'!$H$8:$H$19,'Wind Proxy'!$A$8:$A$19,'Estimator'!$B$4,'Wind Proxy'!$B$8:$B$19,C2267)</x:f>
        <x:v>0.11350059737156513</x:v>
      </x:c>
    </x:row>
    <x:row r="2268">
      <x:c r="A2268" s="379" t="n">
        <x:v>47919</x:v>
      </x:c>
      <x:c r="B2268" s="380" t="n">
        <x:v>2031</x:v>
      </x:c>
      <x:c r="C2268" s="380" t="n">
        <x:v>3</x:v>
      </x:c>
      <x:c r="D2268" s="380" t="str">
        <x:v>Mar</x:v>
      </x:c>
      <x:c r="E2268" s="380" t="n">
        <x:v>12</x:v>
      </x:c>
      <x:c r="F2268" s="380" t="n">
        <x:v>3</x:v>
      </x:c>
      <x:c r="G2268" s="380" t="n">
        <x:f>--(F2268&lt;='Estimator'!$B$7)</x:f>
        <x:v>1</x:v>
      </x:c>
      <x:c r="H2268" s="381" t="n">
        <x:f>SUMIFS('Climate Data'!$G$7:$G$366,'Climate Data'!$A$7:$A$366,'Estimator'!$B$4,'Climate Data'!$B$7:$B$366,C2268)</x:f>
        <x:v>0.24916573971078979</x:v>
      </x:c>
      <x:c r="I2268" s="382" t="n">
        <x:f>SUMIFS('Climate Data'!$H$7:$H$366,'Climate Data'!$A$7:$A$366,'Estimator'!$B$4,'Climate Data'!$B$7:$B$366,C2268)</x:f>
        <x:v>9.709821428571429</x:v>
      </x:c>
      <x:c r="J2268" s="381" t="n">
        <x:f>SUMIFS('Wind Proxy'!$H$8:$H$19,'Wind Proxy'!$A$8:$A$19,'Estimator'!$B$4,'Wind Proxy'!$B$8:$B$19,C2268)</x:f>
        <x:v>0.11350059737156513</x:v>
      </x:c>
    </x:row>
    <x:row r="2269">
      <x:c r="A2269" s="379" t="n">
        <x:v>47920</x:v>
      </x:c>
      <x:c r="B2269" s="380" t="n">
        <x:v>2031</x:v>
      </x:c>
      <x:c r="C2269" s="380" t="n">
        <x:v>3</x:v>
      </x:c>
      <x:c r="D2269" s="380" t="str">
        <x:v>Mar</x:v>
      </x:c>
      <x:c r="E2269" s="380" t="n">
        <x:v>13</x:v>
      </x:c>
      <x:c r="F2269" s="380" t="n">
        <x:v>4</x:v>
      </x:c>
      <x:c r="G2269" s="380" t="n">
        <x:f>--(F2269&lt;='Estimator'!$B$7)</x:f>
        <x:v>1</x:v>
      </x:c>
      <x:c r="H2269" s="381" t="n">
        <x:f>SUMIFS('Climate Data'!$G$7:$G$366,'Climate Data'!$A$7:$A$366,'Estimator'!$B$4,'Climate Data'!$B$7:$B$366,C2269)</x:f>
        <x:v>0.24916573971078979</x:v>
      </x:c>
      <x:c r="I2269" s="382" t="n">
        <x:f>SUMIFS('Climate Data'!$H$7:$H$366,'Climate Data'!$A$7:$A$366,'Estimator'!$B$4,'Climate Data'!$B$7:$B$366,C2269)</x:f>
        <x:v>9.709821428571429</x:v>
      </x:c>
      <x:c r="J2269" s="381" t="n">
        <x:f>SUMIFS('Wind Proxy'!$H$8:$H$19,'Wind Proxy'!$A$8:$A$19,'Estimator'!$B$4,'Wind Proxy'!$B$8:$B$19,C2269)</x:f>
        <x:v>0.11350059737156513</x:v>
      </x:c>
    </x:row>
    <x:row r="2270">
      <x:c r="A2270" s="379" t="n">
        <x:v>47921</x:v>
      </x:c>
      <x:c r="B2270" s="380" t="n">
        <x:v>2031</x:v>
      </x:c>
      <x:c r="C2270" s="380" t="n">
        <x:v>3</x:v>
      </x:c>
      <x:c r="D2270" s="380" t="str">
        <x:v>Mar</x:v>
      </x:c>
      <x:c r="E2270" s="380" t="n">
        <x:v>14</x:v>
      </x:c>
      <x:c r="F2270" s="380" t="n">
        <x:v>5</x:v>
      </x:c>
      <x:c r="G2270" s="380" t="n">
        <x:f>--(F2270&lt;='Estimator'!$B$7)</x:f>
        <x:v>1</x:v>
      </x:c>
      <x:c r="H2270" s="381" t="n">
        <x:f>SUMIFS('Climate Data'!$G$7:$G$366,'Climate Data'!$A$7:$A$366,'Estimator'!$B$4,'Climate Data'!$B$7:$B$366,C2270)</x:f>
        <x:v>0.24916573971078979</x:v>
      </x:c>
      <x:c r="I2270" s="382" t="n">
        <x:f>SUMIFS('Climate Data'!$H$7:$H$366,'Climate Data'!$A$7:$A$366,'Estimator'!$B$4,'Climate Data'!$B$7:$B$366,C2270)</x:f>
        <x:v>9.709821428571429</x:v>
      </x:c>
      <x:c r="J2270" s="381" t="n">
        <x:f>SUMIFS('Wind Proxy'!$H$8:$H$19,'Wind Proxy'!$A$8:$A$19,'Estimator'!$B$4,'Wind Proxy'!$B$8:$B$19,C2270)</x:f>
        <x:v>0.11350059737156513</x:v>
      </x:c>
    </x:row>
    <x:row r="2271">
      <x:c r="A2271" s="379" t="n">
        <x:v>47922</x:v>
      </x:c>
      <x:c r="B2271" s="380" t="n">
        <x:v>2031</x:v>
      </x:c>
      <x:c r="C2271" s="380" t="n">
        <x:v>3</x:v>
      </x:c>
      <x:c r="D2271" s="380" t="str">
        <x:v>Mar</x:v>
      </x:c>
      <x:c r="E2271" s="380" t="n">
        <x:v>15</x:v>
      </x:c>
      <x:c r="F2271" s="380" t="n">
        <x:v>6</x:v>
      </x:c>
      <x:c r="G2271" s="380" t="n">
        <x:f>--(F2271&lt;='Estimator'!$B$7)</x:f>
        <x:v>0</x:v>
      </x:c>
      <x:c r="H2271" s="381" t="n">
        <x:f>SUMIFS('Climate Data'!$G$7:$G$366,'Climate Data'!$A$7:$A$366,'Estimator'!$B$4,'Climate Data'!$B$7:$B$366,C2271)</x:f>
        <x:v>0.24916573971078979</x:v>
      </x:c>
      <x:c r="I2271" s="382" t="n">
        <x:f>SUMIFS('Climate Data'!$H$7:$H$366,'Climate Data'!$A$7:$A$366,'Estimator'!$B$4,'Climate Data'!$B$7:$B$366,C2271)</x:f>
        <x:v>9.709821428571429</x:v>
      </x:c>
      <x:c r="J2271" s="381" t="n">
        <x:f>SUMIFS('Wind Proxy'!$H$8:$H$19,'Wind Proxy'!$A$8:$A$19,'Estimator'!$B$4,'Wind Proxy'!$B$8:$B$19,C2271)</x:f>
        <x:v>0.11350059737156513</x:v>
      </x:c>
    </x:row>
    <x:row r="2272">
      <x:c r="A2272" s="379" t="n">
        <x:v>47923</x:v>
      </x:c>
      <x:c r="B2272" s="380" t="n">
        <x:v>2031</x:v>
      </x:c>
      <x:c r="C2272" s="380" t="n">
        <x:v>3</x:v>
      </x:c>
      <x:c r="D2272" s="380" t="str">
        <x:v>Mar</x:v>
      </x:c>
      <x:c r="E2272" s="380" t="n">
        <x:v>16</x:v>
      </x:c>
      <x:c r="F2272" s="380" t="n">
        <x:v>7</x:v>
      </x:c>
      <x:c r="G2272" s="380" t="n">
        <x:f>--(F2272&lt;='Estimator'!$B$7)</x:f>
        <x:v>0</x:v>
      </x:c>
      <x:c r="H2272" s="381" t="n">
        <x:f>SUMIFS('Climate Data'!$G$7:$G$366,'Climate Data'!$A$7:$A$366,'Estimator'!$B$4,'Climate Data'!$B$7:$B$366,C2272)</x:f>
        <x:v>0.24916573971078979</x:v>
      </x:c>
      <x:c r="I2272" s="382" t="n">
        <x:f>SUMIFS('Climate Data'!$H$7:$H$366,'Climate Data'!$A$7:$A$366,'Estimator'!$B$4,'Climate Data'!$B$7:$B$366,C2272)</x:f>
        <x:v>9.709821428571429</x:v>
      </x:c>
      <x:c r="J2272" s="381" t="n">
        <x:f>SUMIFS('Wind Proxy'!$H$8:$H$19,'Wind Proxy'!$A$8:$A$19,'Estimator'!$B$4,'Wind Proxy'!$B$8:$B$19,C2272)</x:f>
        <x:v>0.11350059737156513</x:v>
      </x:c>
    </x:row>
    <x:row r="2273">
      <x:c r="A2273" s="379" t="n">
        <x:v>47924</x:v>
      </x:c>
      <x:c r="B2273" s="380" t="n">
        <x:v>2031</x:v>
      </x:c>
      <x:c r="C2273" s="380" t="n">
        <x:v>3</x:v>
      </x:c>
      <x:c r="D2273" s="380" t="str">
        <x:v>Mar</x:v>
      </x:c>
      <x:c r="E2273" s="380" t="n">
        <x:v>17</x:v>
      </x:c>
      <x:c r="F2273" s="380" t="n">
        <x:v>1</x:v>
      </x:c>
      <x:c r="G2273" s="380" t="n">
        <x:f>--(F2273&lt;='Estimator'!$B$7)</x:f>
        <x:v>1</x:v>
      </x:c>
      <x:c r="H2273" s="381" t="n">
        <x:f>SUMIFS('Climate Data'!$G$7:$G$366,'Climate Data'!$A$7:$A$366,'Estimator'!$B$4,'Climate Data'!$B$7:$B$366,C2273)</x:f>
        <x:v>0.24916573971078979</x:v>
      </x:c>
      <x:c r="I2273" s="382" t="n">
        <x:f>SUMIFS('Climate Data'!$H$7:$H$366,'Climate Data'!$A$7:$A$366,'Estimator'!$B$4,'Climate Data'!$B$7:$B$366,C2273)</x:f>
        <x:v>9.709821428571429</x:v>
      </x:c>
      <x:c r="J2273" s="381" t="n">
        <x:f>SUMIFS('Wind Proxy'!$H$8:$H$19,'Wind Proxy'!$A$8:$A$19,'Estimator'!$B$4,'Wind Proxy'!$B$8:$B$19,C2273)</x:f>
        <x:v>0.11350059737156513</x:v>
      </x:c>
    </x:row>
    <x:row r="2274">
      <x:c r="A2274" s="379" t="n">
        <x:v>47925</x:v>
      </x:c>
      <x:c r="B2274" s="380" t="n">
        <x:v>2031</x:v>
      </x:c>
      <x:c r="C2274" s="380" t="n">
        <x:v>3</x:v>
      </x:c>
      <x:c r="D2274" s="380" t="str">
        <x:v>Mar</x:v>
      </x:c>
      <x:c r="E2274" s="380" t="n">
        <x:v>18</x:v>
      </x:c>
      <x:c r="F2274" s="380" t="n">
        <x:v>2</x:v>
      </x:c>
      <x:c r="G2274" s="380" t="n">
        <x:f>--(F2274&lt;='Estimator'!$B$7)</x:f>
        <x:v>1</x:v>
      </x:c>
      <x:c r="H2274" s="381" t="n">
        <x:f>SUMIFS('Climate Data'!$G$7:$G$366,'Climate Data'!$A$7:$A$366,'Estimator'!$B$4,'Climate Data'!$B$7:$B$366,C2274)</x:f>
        <x:v>0.24916573971078979</x:v>
      </x:c>
      <x:c r="I2274" s="382" t="n">
        <x:f>SUMIFS('Climate Data'!$H$7:$H$366,'Climate Data'!$A$7:$A$366,'Estimator'!$B$4,'Climate Data'!$B$7:$B$366,C2274)</x:f>
        <x:v>9.709821428571429</x:v>
      </x:c>
      <x:c r="J2274" s="381" t="n">
        <x:f>SUMIFS('Wind Proxy'!$H$8:$H$19,'Wind Proxy'!$A$8:$A$19,'Estimator'!$B$4,'Wind Proxy'!$B$8:$B$19,C2274)</x:f>
        <x:v>0.11350059737156513</x:v>
      </x:c>
    </x:row>
    <x:row r="2275">
      <x:c r="A2275" s="379" t="n">
        <x:v>47926</x:v>
      </x:c>
      <x:c r="B2275" s="380" t="n">
        <x:v>2031</x:v>
      </x:c>
      <x:c r="C2275" s="380" t="n">
        <x:v>3</x:v>
      </x:c>
      <x:c r="D2275" s="380" t="str">
        <x:v>Mar</x:v>
      </x:c>
      <x:c r="E2275" s="380" t="n">
        <x:v>19</x:v>
      </x:c>
      <x:c r="F2275" s="380" t="n">
        <x:v>3</x:v>
      </x:c>
      <x:c r="G2275" s="380" t="n">
        <x:f>--(F2275&lt;='Estimator'!$B$7)</x:f>
        <x:v>1</x:v>
      </x:c>
      <x:c r="H2275" s="381" t="n">
        <x:f>SUMIFS('Climate Data'!$G$7:$G$366,'Climate Data'!$A$7:$A$366,'Estimator'!$B$4,'Climate Data'!$B$7:$B$366,C2275)</x:f>
        <x:v>0.24916573971078979</x:v>
      </x:c>
      <x:c r="I2275" s="382" t="n">
        <x:f>SUMIFS('Climate Data'!$H$7:$H$366,'Climate Data'!$A$7:$A$366,'Estimator'!$B$4,'Climate Data'!$B$7:$B$366,C2275)</x:f>
        <x:v>9.709821428571429</x:v>
      </x:c>
      <x:c r="J2275" s="381" t="n">
        <x:f>SUMIFS('Wind Proxy'!$H$8:$H$19,'Wind Proxy'!$A$8:$A$19,'Estimator'!$B$4,'Wind Proxy'!$B$8:$B$19,C2275)</x:f>
        <x:v>0.11350059737156513</x:v>
      </x:c>
    </x:row>
    <x:row r="2276">
      <x:c r="A2276" s="379" t="n">
        <x:v>47927</x:v>
      </x:c>
      <x:c r="B2276" s="380" t="n">
        <x:v>2031</x:v>
      </x:c>
      <x:c r="C2276" s="380" t="n">
        <x:v>3</x:v>
      </x:c>
      <x:c r="D2276" s="380" t="str">
        <x:v>Mar</x:v>
      </x:c>
      <x:c r="E2276" s="380" t="n">
        <x:v>20</x:v>
      </x:c>
      <x:c r="F2276" s="380" t="n">
        <x:v>4</x:v>
      </x:c>
      <x:c r="G2276" s="380" t="n">
        <x:f>--(F2276&lt;='Estimator'!$B$7)</x:f>
        <x:v>1</x:v>
      </x:c>
      <x:c r="H2276" s="381" t="n">
        <x:f>SUMIFS('Climate Data'!$G$7:$G$366,'Climate Data'!$A$7:$A$366,'Estimator'!$B$4,'Climate Data'!$B$7:$B$366,C2276)</x:f>
        <x:v>0.24916573971078979</x:v>
      </x:c>
      <x:c r="I2276" s="382" t="n">
        <x:f>SUMIFS('Climate Data'!$H$7:$H$366,'Climate Data'!$A$7:$A$366,'Estimator'!$B$4,'Climate Data'!$B$7:$B$366,C2276)</x:f>
        <x:v>9.709821428571429</x:v>
      </x:c>
      <x:c r="J2276" s="381" t="n">
        <x:f>SUMIFS('Wind Proxy'!$H$8:$H$19,'Wind Proxy'!$A$8:$A$19,'Estimator'!$B$4,'Wind Proxy'!$B$8:$B$19,C2276)</x:f>
        <x:v>0.11350059737156513</x:v>
      </x:c>
    </x:row>
    <x:row r="2277">
      <x:c r="A2277" s="379" t="n">
        <x:v>47928</x:v>
      </x:c>
      <x:c r="B2277" s="380" t="n">
        <x:v>2031</x:v>
      </x:c>
      <x:c r="C2277" s="380" t="n">
        <x:v>3</x:v>
      </x:c>
      <x:c r="D2277" s="380" t="str">
        <x:v>Mar</x:v>
      </x:c>
      <x:c r="E2277" s="380" t="n">
        <x:v>21</x:v>
      </x:c>
      <x:c r="F2277" s="380" t="n">
        <x:v>5</x:v>
      </x:c>
      <x:c r="G2277" s="380" t="n">
        <x:f>--(F2277&lt;='Estimator'!$B$7)</x:f>
        <x:v>1</x:v>
      </x:c>
      <x:c r="H2277" s="381" t="n">
        <x:f>SUMIFS('Climate Data'!$G$7:$G$366,'Climate Data'!$A$7:$A$366,'Estimator'!$B$4,'Climate Data'!$B$7:$B$366,C2277)</x:f>
        <x:v>0.24916573971078979</x:v>
      </x:c>
      <x:c r="I2277" s="382" t="n">
        <x:f>SUMIFS('Climate Data'!$H$7:$H$366,'Climate Data'!$A$7:$A$366,'Estimator'!$B$4,'Climate Data'!$B$7:$B$366,C2277)</x:f>
        <x:v>9.709821428571429</x:v>
      </x:c>
      <x:c r="J2277" s="381" t="n">
        <x:f>SUMIFS('Wind Proxy'!$H$8:$H$19,'Wind Proxy'!$A$8:$A$19,'Estimator'!$B$4,'Wind Proxy'!$B$8:$B$19,C2277)</x:f>
        <x:v>0.11350059737156513</x:v>
      </x:c>
    </x:row>
    <x:row r="2278">
      <x:c r="A2278" s="379" t="n">
        <x:v>47929</x:v>
      </x:c>
      <x:c r="B2278" s="380" t="n">
        <x:v>2031</x:v>
      </x:c>
      <x:c r="C2278" s="380" t="n">
        <x:v>3</x:v>
      </x:c>
      <x:c r="D2278" s="380" t="str">
        <x:v>Mar</x:v>
      </x:c>
      <x:c r="E2278" s="380" t="n">
        <x:v>22</x:v>
      </x:c>
      <x:c r="F2278" s="380" t="n">
        <x:v>6</x:v>
      </x:c>
      <x:c r="G2278" s="380" t="n">
        <x:f>--(F2278&lt;='Estimator'!$B$7)</x:f>
        <x:v>0</x:v>
      </x:c>
      <x:c r="H2278" s="381" t="n">
        <x:f>SUMIFS('Climate Data'!$G$7:$G$366,'Climate Data'!$A$7:$A$366,'Estimator'!$B$4,'Climate Data'!$B$7:$B$366,C2278)</x:f>
        <x:v>0.24916573971078979</x:v>
      </x:c>
      <x:c r="I2278" s="382" t="n">
        <x:f>SUMIFS('Climate Data'!$H$7:$H$366,'Climate Data'!$A$7:$A$366,'Estimator'!$B$4,'Climate Data'!$B$7:$B$366,C2278)</x:f>
        <x:v>9.709821428571429</x:v>
      </x:c>
      <x:c r="J2278" s="381" t="n">
        <x:f>SUMIFS('Wind Proxy'!$H$8:$H$19,'Wind Proxy'!$A$8:$A$19,'Estimator'!$B$4,'Wind Proxy'!$B$8:$B$19,C2278)</x:f>
        <x:v>0.11350059737156513</x:v>
      </x:c>
    </x:row>
    <x:row r="2279">
      <x:c r="A2279" s="379" t="n">
        <x:v>47930</x:v>
      </x:c>
      <x:c r="B2279" s="380" t="n">
        <x:v>2031</x:v>
      </x:c>
      <x:c r="C2279" s="380" t="n">
        <x:v>3</x:v>
      </x:c>
      <x:c r="D2279" s="380" t="str">
        <x:v>Mar</x:v>
      </x:c>
      <x:c r="E2279" s="380" t="n">
        <x:v>23</x:v>
      </x:c>
      <x:c r="F2279" s="380" t="n">
        <x:v>7</x:v>
      </x:c>
      <x:c r="G2279" s="380" t="n">
        <x:f>--(F2279&lt;='Estimator'!$B$7)</x:f>
        <x:v>0</x:v>
      </x:c>
      <x:c r="H2279" s="381" t="n">
        <x:f>SUMIFS('Climate Data'!$G$7:$G$366,'Climate Data'!$A$7:$A$366,'Estimator'!$B$4,'Climate Data'!$B$7:$B$366,C2279)</x:f>
        <x:v>0.24916573971078979</x:v>
      </x:c>
      <x:c r="I2279" s="382" t="n">
        <x:f>SUMIFS('Climate Data'!$H$7:$H$366,'Climate Data'!$A$7:$A$366,'Estimator'!$B$4,'Climate Data'!$B$7:$B$366,C2279)</x:f>
        <x:v>9.709821428571429</x:v>
      </x:c>
      <x:c r="J2279" s="381" t="n">
        <x:f>SUMIFS('Wind Proxy'!$H$8:$H$19,'Wind Proxy'!$A$8:$A$19,'Estimator'!$B$4,'Wind Proxy'!$B$8:$B$19,C2279)</x:f>
        <x:v>0.11350059737156513</x:v>
      </x:c>
    </x:row>
    <x:row r="2280">
      <x:c r="A2280" s="379" t="n">
        <x:v>47931</x:v>
      </x:c>
      <x:c r="B2280" s="380" t="n">
        <x:v>2031</x:v>
      </x:c>
      <x:c r="C2280" s="380" t="n">
        <x:v>3</x:v>
      </x:c>
      <x:c r="D2280" s="380" t="str">
        <x:v>Mar</x:v>
      </x:c>
      <x:c r="E2280" s="380" t="n">
        <x:v>24</x:v>
      </x:c>
      <x:c r="F2280" s="380" t="n">
        <x:v>1</x:v>
      </x:c>
      <x:c r="G2280" s="380" t="n">
        <x:f>--(F2280&lt;='Estimator'!$B$7)</x:f>
        <x:v>1</x:v>
      </x:c>
      <x:c r="H2280" s="381" t="n">
        <x:f>SUMIFS('Climate Data'!$G$7:$G$366,'Climate Data'!$A$7:$A$366,'Estimator'!$B$4,'Climate Data'!$B$7:$B$366,C2280)</x:f>
        <x:v>0.24916573971078979</x:v>
      </x:c>
      <x:c r="I2280" s="382" t="n">
        <x:f>SUMIFS('Climate Data'!$H$7:$H$366,'Climate Data'!$A$7:$A$366,'Estimator'!$B$4,'Climate Data'!$B$7:$B$366,C2280)</x:f>
        <x:v>9.709821428571429</x:v>
      </x:c>
      <x:c r="J2280" s="381" t="n">
        <x:f>SUMIFS('Wind Proxy'!$H$8:$H$19,'Wind Proxy'!$A$8:$A$19,'Estimator'!$B$4,'Wind Proxy'!$B$8:$B$19,C2280)</x:f>
        <x:v>0.11350059737156513</x:v>
      </x:c>
    </x:row>
    <x:row r="2281">
      <x:c r="A2281" s="379" t="n">
        <x:v>47932</x:v>
      </x:c>
      <x:c r="B2281" s="380" t="n">
        <x:v>2031</x:v>
      </x:c>
      <x:c r="C2281" s="380" t="n">
        <x:v>3</x:v>
      </x:c>
      <x:c r="D2281" s="380" t="str">
        <x:v>Mar</x:v>
      </x:c>
      <x:c r="E2281" s="380" t="n">
        <x:v>25</x:v>
      </x:c>
      <x:c r="F2281" s="380" t="n">
        <x:v>2</x:v>
      </x:c>
      <x:c r="G2281" s="380" t="n">
        <x:f>--(F2281&lt;='Estimator'!$B$7)</x:f>
        <x:v>1</x:v>
      </x:c>
      <x:c r="H2281" s="381" t="n">
        <x:f>SUMIFS('Climate Data'!$G$7:$G$366,'Climate Data'!$A$7:$A$366,'Estimator'!$B$4,'Climate Data'!$B$7:$B$366,C2281)</x:f>
        <x:v>0.24916573971078979</x:v>
      </x:c>
      <x:c r="I2281" s="382" t="n">
        <x:f>SUMIFS('Climate Data'!$H$7:$H$366,'Climate Data'!$A$7:$A$366,'Estimator'!$B$4,'Climate Data'!$B$7:$B$366,C2281)</x:f>
        <x:v>9.709821428571429</x:v>
      </x:c>
      <x:c r="J2281" s="381" t="n">
        <x:f>SUMIFS('Wind Proxy'!$H$8:$H$19,'Wind Proxy'!$A$8:$A$19,'Estimator'!$B$4,'Wind Proxy'!$B$8:$B$19,C2281)</x:f>
        <x:v>0.11350059737156513</x:v>
      </x:c>
    </x:row>
    <x:row r="2282">
      <x:c r="A2282" s="379" t="n">
        <x:v>47933</x:v>
      </x:c>
      <x:c r="B2282" s="380" t="n">
        <x:v>2031</x:v>
      </x:c>
      <x:c r="C2282" s="380" t="n">
        <x:v>3</x:v>
      </x:c>
      <x:c r="D2282" s="380" t="str">
        <x:v>Mar</x:v>
      </x:c>
      <x:c r="E2282" s="380" t="n">
        <x:v>26</x:v>
      </x:c>
      <x:c r="F2282" s="380" t="n">
        <x:v>3</x:v>
      </x:c>
      <x:c r="G2282" s="380" t="n">
        <x:f>--(F2282&lt;='Estimator'!$B$7)</x:f>
        <x:v>1</x:v>
      </x:c>
      <x:c r="H2282" s="381" t="n">
        <x:f>SUMIFS('Climate Data'!$G$7:$G$366,'Climate Data'!$A$7:$A$366,'Estimator'!$B$4,'Climate Data'!$B$7:$B$366,C2282)</x:f>
        <x:v>0.24916573971078979</x:v>
      </x:c>
      <x:c r="I2282" s="382" t="n">
        <x:f>SUMIFS('Climate Data'!$H$7:$H$366,'Climate Data'!$A$7:$A$366,'Estimator'!$B$4,'Climate Data'!$B$7:$B$366,C2282)</x:f>
        <x:v>9.709821428571429</x:v>
      </x:c>
      <x:c r="J2282" s="381" t="n">
        <x:f>SUMIFS('Wind Proxy'!$H$8:$H$19,'Wind Proxy'!$A$8:$A$19,'Estimator'!$B$4,'Wind Proxy'!$B$8:$B$19,C2282)</x:f>
        <x:v>0.11350059737156513</x:v>
      </x:c>
    </x:row>
    <x:row r="2283">
      <x:c r="A2283" s="379" t="n">
        <x:v>47934</x:v>
      </x:c>
      <x:c r="B2283" s="380" t="n">
        <x:v>2031</x:v>
      </x:c>
      <x:c r="C2283" s="380" t="n">
        <x:v>3</x:v>
      </x:c>
      <x:c r="D2283" s="380" t="str">
        <x:v>Mar</x:v>
      </x:c>
      <x:c r="E2283" s="380" t="n">
        <x:v>27</x:v>
      </x:c>
      <x:c r="F2283" s="380" t="n">
        <x:v>4</x:v>
      </x:c>
      <x:c r="G2283" s="380" t="n">
        <x:f>--(F2283&lt;='Estimator'!$B$7)</x:f>
        <x:v>1</x:v>
      </x:c>
      <x:c r="H2283" s="381" t="n">
        <x:f>SUMIFS('Climate Data'!$G$7:$G$366,'Climate Data'!$A$7:$A$366,'Estimator'!$B$4,'Climate Data'!$B$7:$B$366,C2283)</x:f>
        <x:v>0.24916573971078979</x:v>
      </x:c>
      <x:c r="I2283" s="382" t="n">
        <x:f>SUMIFS('Climate Data'!$H$7:$H$366,'Climate Data'!$A$7:$A$366,'Estimator'!$B$4,'Climate Data'!$B$7:$B$366,C2283)</x:f>
        <x:v>9.709821428571429</x:v>
      </x:c>
      <x:c r="J2283" s="381" t="n">
        <x:f>SUMIFS('Wind Proxy'!$H$8:$H$19,'Wind Proxy'!$A$8:$A$19,'Estimator'!$B$4,'Wind Proxy'!$B$8:$B$19,C2283)</x:f>
        <x:v>0.11350059737156513</x:v>
      </x:c>
    </x:row>
    <x:row r="2284">
      <x:c r="A2284" s="379" t="n">
        <x:v>47935</x:v>
      </x:c>
      <x:c r="B2284" s="380" t="n">
        <x:v>2031</x:v>
      </x:c>
      <x:c r="C2284" s="380" t="n">
        <x:v>3</x:v>
      </x:c>
      <x:c r="D2284" s="380" t="str">
        <x:v>Mar</x:v>
      </x:c>
      <x:c r="E2284" s="380" t="n">
        <x:v>28</x:v>
      </x:c>
      <x:c r="F2284" s="380" t="n">
        <x:v>5</x:v>
      </x:c>
      <x:c r="G2284" s="380" t="n">
        <x:f>--(F2284&lt;='Estimator'!$B$7)</x:f>
        <x:v>1</x:v>
      </x:c>
      <x:c r="H2284" s="381" t="n">
        <x:f>SUMIFS('Climate Data'!$G$7:$G$366,'Climate Data'!$A$7:$A$366,'Estimator'!$B$4,'Climate Data'!$B$7:$B$366,C2284)</x:f>
        <x:v>0.24916573971078979</x:v>
      </x:c>
      <x:c r="I2284" s="382" t="n">
        <x:f>SUMIFS('Climate Data'!$H$7:$H$366,'Climate Data'!$A$7:$A$366,'Estimator'!$B$4,'Climate Data'!$B$7:$B$366,C2284)</x:f>
        <x:v>9.709821428571429</x:v>
      </x:c>
      <x:c r="J2284" s="381" t="n">
        <x:f>SUMIFS('Wind Proxy'!$H$8:$H$19,'Wind Proxy'!$A$8:$A$19,'Estimator'!$B$4,'Wind Proxy'!$B$8:$B$19,C2284)</x:f>
        <x:v>0.11350059737156513</x:v>
      </x:c>
    </x:row>
    <x:row r="2285">
      <x:c r="A2285" s="379" t="n">
        <x:v>47936</x:v>
      </x:c>
      <x:c r="B2285" s="380" t="n">
        <x:v>2031</x:v>
      </x:c>
      <x:c r="C2285" s="380" t="n">
        <x:v>3</x:v>
      </x:c>
      <x:c r="D2285" s="380" t="str">
        <x:v>Mar</x:v>
      </x:c>
      <x:c r="E2285" s="380" t="n">
        <x:v>29</x:v>
      </x:c>
      <x:c r="F2285" s="380" t="n">
        <x:v>6</x:v>
      </x:c>
      <x:c r="G2285" s="380" t="n">
        <x:f>--(F2285&lt;='Estimator'!$B$7)</x:f>
        <x:v>0</x:v>
      </x:c>
      <x:c r="H2285" s="381" t="n">
        <x:f>SUMIFS('Climate Data'!$G$7:$G$366,'Climate Data'!$A$7:$A$366,'Estimator'!$B$4,'Climate Data'!$B$7:$B$366,C2285)</x:f>
        <x:v>0.24916573971078979</x:v>
      </x:c>
      <x:c r="I2285" s="382" t="n">
        <x:f>SUMIFS('Climate Data'!$H$7:$H$366,'Climate Data'!$A$7:$A$366,'Estimator'!$B$4,'Climate Data'!$B$7:$B$366,C2285)</x:f>
        <x:v>9.709821428571429</x:v>
      </x:c>
      <x:c r="J2285" s="381" t="n">
        <x:f>SUMIFS('Wind Proxy'!$H$8:$H$19,'Wind Proxy'!$A$8:$A$19,'Estimator'!$B$4,'Wind Proxy'!$B$8:$B$19,C2285)</x:f>
        <x:v>0.11350059737156513</x:v>
      </x:c>
    </x:row>
    <x:row r="2286">
      <x:c r="A2286" s="379" t="n">
        <x:v>47937</x:v>
      </x:c>
      <x:c r="B2286" s="380" t="n">
        <x:v>2031</x:v>
      </x:c>
      <x:c r="C2286" s="380" t="n">
        <x:v>3</x:v>
      </x:c>
      <x:c r="D2286" s="380" t="str">
        <x:v>Mar</x:v>
      </x:c>
      <x:c r="E2286" s="380" t="n">
        <x:v>30</x:v>
      </x:c>
      <x:c r="F2286" s="380" t="n">
        <x:v>7</x:v>
      </x:c>
      <x:c r="G2286" s="380" t="n">
        <x:f>--(F2286&lt;='Estimator'!$B$7)</x:f>
        <x:v>0</x:v>
      </x:c>
      <x:c r="H2286" s="381" t="n">
        <x:f>SUMIFS('Climate Data'!$G$7:$G$366,'Climate Data'!$A$7:$A$366,'Estimator'!$B$4,'Climate Data'!$B$7:$B$366,C2286)</x:f>
        <x:v>0.24916573971078979</x:v>
      </x:c>
      <x:c r="I2286" s="382" t="n">
        <x:f>SUMIFS('Climate Data'!$H$7:$H$366,'Climate Data'!$A$7:$A$366,'Estimator'!$B$4,'Climate Data'!$B$7:$B$366,C2286)</x:f>
        <x:v>9.709821428571429</x:v>
      </x:c>
      <x:c r="J2286" s="381" t="n">
        <x:f>SUMIFS('Wind Proxy'!$H$8:$H$19,'Wind Proxy'!$A$8:$A$19,'Estimator'!$B$4,'Wind Proxy'!$B$8:$B$19,C2286)</x:f>
        <x:v>0.11350059737156513</x:v>
      </x:c>
    </x:row>
    <x:row r="2287">
      <x:c r="A2287" s="379" t="n">
        <x:v>47938</x:v>
      </x:c>
      <x:c r="B2287" s="380" t="n">
        <x:v>2031</x:v>
      </x:c>
      <x:c r="C2287" s="380" t="n">
        <x:v>3</x:v>
      </x:c>
      <x:c r="D2287" s="380" t="str">
        <x:v>Mar</x:v>
      </x:c>
      <x:c r="E2287" s="380" t="n">
        <x:v>31</x:v>
      </x:c>
      <x:c r="F2287" s="380" t="n">
        <x:v>1</x:v>
      </x:c>
      <x:c r="G2287" s="380" t="n">
        <x:f>--(F2287&lt;='Estimator'!$B$7)</x:f>
        <x:v>1</x:v>
      </x:c>
      <x:c r="H2287" s="381" t="n">
        <x:f>SUMIFS('Climate Data'!$G$7:$G$366,'Climate Data'!$A$7:$A$366,'Estimator'!$B$4,'Climate Data'!$B$7:$B$366,C2287)</x:f>
        <x:v>0.24916573971078979</x:v>
      </x:c>
      <x:c r="I2287" s="382" t="n">
        <x:f>SUMIFS('Climate Data'!$H$7:$H$366,'Climate Data'!$A$7:$A$366,'Estimator'!$B$4,'Climate Data'!$B$7:$B$366,C2287)</x:f>
        <x:v>9.709821428571429</x:v>
      </x:c>
      <x:c r="J2287" s="381" t="n">
        <x:f>SUMIFS('Wind Proxy'!$H$8:$H$19,'Wind Proxy'!$A$8:$A$19,'Estimator'!$B$4,'Wind Proxy'!$B$8:$B$19,C2287)</x:f>
        <x:v>0.11350059737156513</x:v>
      </x:c>
    </x:row>
    <x:row r="2288">
      <x:c r="A2288" s="379" t="n">
        <x:v>47939</x:v>
      </x:c>
      <x:c r="B2288" s="380" t="n">
        <x:v>2031</x:v>
      </x:c>
      <x:c r="C2288" s="380" t="n">
        <x:v>4</x:v>
      </x:c>
      <x:c r="D2288" s="380" t="str">
        <x:v>Apr</x:v>
      </x:c>
      <x:c r="E2288" s="380" t="n">
        <x:v>1</x:v>
      </x:c>
      <x:c r="F2288" s="380" t="n">
        <x:v>2</x:v>
      </x:c>
      <x:c r="G2288" s="380" t="n">
        <x:f>--(F2288&lt;='Estimator'!$B$7)</x:f>
        <x:v>1</x:v>
      </x:c>
      <x:c r="H2288" s="381" t="n">
        <x:f>SUMIFS('Climate Data'!$G$7:$G$366,'Climate Data'!$A$7:$A$366,'Estimator'!$B$4,'Climate Data'!$B$7:$B$366,C2288)</x:f>
        <x:v>0.32023809523809527</x:v>
      </x:c>
      <x:c r="I2288" s="382" t="n">
        <x:f>SUMIFS('Climate Data'!$H$7:$H$366,'Climate Data'!$A$7:$A$366,'Estimator'!$B$4,'Climate Data'!$B$7:$B$366,C2288)</x:f>
        <x:v>9.066171003717471</x:v>
      </x:c>
      <x:c r="J2288" s="381" t="n">
        <x:f>SUMIFS('Wind Proxy'!$H$8:$H$19,'Wind Proxy'!$A$8:$A$19,'Estimator'!$B$4,'Wind Proxy'!$B$8:$B$19,C2288)</x:f>
        <x:v>0.11728395061728397</x:v>
      </x:c>
    </x:row>
    <x:row r="2289">
      <x:c r="A2289" s="379" t="n">
        <x:v>47940</x:v>
      </x:c>
      <x:c r="B2289" s="380" t="n">
        <x:v>2031</x:v>
      </x:c>
      <x:c r="C2289" s="380" t="n">
        <x:v>4</x:v>
      </x:c>
      <x:c r="D2289" s="380" t="str">
        <x:v>Apr</x:v>
      </x:c>
      <x:c r="E2289" s="380" t="n">
        <x:v>2</x:v>
      </x:c>
      <x:c r="F2289" s="380" t="n">
        <x:v>3</x:v>
      </x:c>
      <x:c r="G2289" s="380" t="n">
        <x:f>--(F2289&lt;='Estimator'!$B$7)</x:f>
        <x:v>1</x:v>
      </x:c>
      <x:c r="H2289" s="381" t="n">
        <x:f>SUMIFS('Climate Data'!$G$7:$G$366,'Climate Data'!$A$7:$A$366,'Estimator'!$B$4,'Climate Data'!$B$7:$B$366,C2289)</x:f>
        <x:v>0.32023809523809527</x:v>
      </x:c>
      <x:c r="I2289" s="382" t="n">
        <x:f>SUMIFS('Climate Data'!$H$7:$H$366,'Climate Data'!$A$7:$A$366,'Estimator'!$B$4,'Climate Data'!$B$7:$B$366,C2289)</x:f>
        <x:v>9.066171003717471</x:v>
      </x:c>
      <x:c r="J2289" s="381" t="n">
        <x:f>SUMIFS('Wind Proxy'!$H$8:$H$19,'Wind Proxy'!$A$8:$A$19,'Estimator'!$B$4,'Wind Proxy'!$B$8:$B$19,C2289)</x:f>
        <x:v>0.11728395061728397</x:v>
      </x:c>
    </x:row>
    <x:row r="2290">
      <x:c r="A2290" s="379" t="n">
        <x:v>47941</x:v>
      </x:c>
      <x:c r="B2290" s="380" t="n">
        <x:v>2031</x:v>
      </x:c>
      <x:c r="C2290" s="380" t="n">
        <x:v>4</x:v>
      </x:c>
      <x:c r="D2290" s="380" t="str">
        <x:v>Apr</x:v>
      </x:c>
      <x:c r="E2290" s="380" t="n">
        <x:v>3</x:v>
      </x:c>
      <x:c r="F2290" s="380" t="n">
        <x:v>4</x:v>
      </x:c>
      <x:c r="G2290" s="380" t="n">
        <x:f>--(F2290&lt;='Estimator'!$B$7)</x:f>
        <x:v>1</x:v>
      </x:c>
      <x:c r="H2290" s="381" t="n">
        <x:f>SUMIFS('Climate Data'!$G$7:$G$366,'Climate Data'!$A$7:$A$366,'Estimator'!$B$4,'Climate Data'!$B$7:$B$366,C2290)</x:f>
        <x:v>0.32023809523809527</x:v>
      </x:c>
      <x:c r="I2290" s="382" t="n">
        <x:f>SUMIFS('Climate Data'!$H$7:$H$366,'Climate Data'!$A$7:$A$366,'Estimator'!$B$4,'Climate Data'!$B$7:$B$366,C2290)</x:f>
        <x:v>9.066171003717471</x:v>
      </x:c>
      <x:c r="J2290" s="381" t="n">
        <x:f>SUMIFS('Wind Proxy'!$H$8:$H$19,'Wind Proxy'!$A$8:$A$19,'Estimator'!$B$4,'Wind Proxy'!$B$8:$B$19,C2290)</x:f>
        <x:v>0.11728395061728397</x:v>
      </x:c>
    </x:row>
    <x:row r="2291">
      <x:c r="A2291" s="379" t="n">
        <x:v>47942</x:v>
      </x:c>
      <x:c r="B2291" s="380" t="n">
        <x:v>2031</x:v>
      </x:c>
      <x:c r="C2291" s="380" t="n">
        <x:v>4</x:v>
      </x:c>
      <x:c r="D2291" s="380" t="str">
        <x:v>Apr</x:v>
      </x:c>
      <x:c r="E2291" s="380" t="n">
        <x:v>4</x:v>
      </x:c>
      <x:c r="F2291" s="380" t="n">
        <x:v>5</x:v>
      </x:c>
      <x:c r="G2291" s="380" t="n">
        <x:f>--(F2291&lt;='Estimator'!$B$7)</x:f>
        <x:v>1</x:v>
      </x:c>
      <x:c r="H2291" s="381" t="n">
        <x:f>SUMIFS('Climate Data'!$G$7:$G$366,'Climate Data'!$A$7:$A$366,'Estimator'!$B$4,'Climate Data'!$B$7:$B$366,C2291)</x:f>
        <x:v>0.32023809523809527</x:v>
      </x:c>
      <x:c r="I2291" s="382" t="n">
        <x:f>SUMIFS('Climate Data'!$H$7:$H$366,'Climate Data'!$A$7:$A$366,'Estimator'!$B$4,'Climate Data'!$B$7:$B$366,C2291)</x:f>
        <x:v>9.066171003717471</x:v>
      </x:c>
      <x:c r="J2291" s="381" t="n">
        <x:f>SUMIFS('Wind Proxy'!$H$8:$H$19,'Wind Proxy'!$A$8:$A$19,'Estimator'!$B$4,'Wind Proxy'!$B$8:$B$19,C2291)</x:f>
        <x:v>0.11728395061728397</x:v>
      </x:c>
    </x:row>
    <x:row r="2292">
      <x:c r="A2292" s="379" t="n">
        <x:v>47943</x:v>
      </x:c>
      <x:c r="B2292" s="380" t="n">
        <x:v>2031</x:v>
      </x:c>
      <x:c r="C2292" s="380" t="n">
        <x:v>4</x:v>
      </x:c>
      <x:c r="D2292" s="380" t="str">
        <x:v>Apr</x:v>
      </x:c>
      <x:c r="E2292" s="380" t="n">
        <x:v>5</x:v>
      </x:c>
      <x:c r="F2292" s="380" t="n">
        <x:v>6</x:v>
      </x:c>
      <x:c r="G2292" s="380" t="n">
        <x:f>--(F2292&lt;='Estimator'!$B$7)</x:f>
        <x:v>0</x:v>
      </x:c>
      <x:c r="H2292" s="381" t="n">
        <x:f>SUMIFS('Climate Data'!$G$7:$G$366,'Climate Data'!$A$7:$A$366,'Estimator'!$B$4,'Climate Data'!$B$7:$B$366,C2292)</x:f>
        <x:v>0.32023809523809527</x:v>
      </x:c>
      <x:c r="I2292" s="382" t="n">
        <x:f>SUMIFS('Climate Data'!$H$7:$H$366,'Climate Data'!$A$7:$A$366,'Estimator'!$B$4,'Climate Data'!$B$7:$B$366,C2292)</x:f>
        <x:v>9.066171003717471</x:v>
      </x:c>
      <x:c r="J2292" s="381" t="n">
        <x:f>SUMIFS('Wind Proxy'!$H$8:$H$19,'Wind Proxy'!$A$8:$A$19,'Estimator'!$B$4,'Wind Proxy'!$B$8:$B$19,C2292)</x:f>
        <x:v>0.11728395061728397</x:v>
      </x:c>
    </x:row>
    <x:row r="2293">
      <x:c r="A2293" s="379" t="n">
        <x:v>47944</x:v>
      </x:c>
      <x:c r="B2293" s="380" t="n">
        <x:v>2031</x:v>
      </x:c>
      <x:c r="C2293" s="380" t="n">
        <x:v>4</x:v>
      </x:c>
      <x:c r="D2293" s="380" t="str">
        <x:v>Apr</x:v>
      </x:c>
      <x:c r="E2293" s="380" t="n">
        <x:v>6</x:v>
      </x:c>
      <x:c r="F2293" s="380" t="n">
        <x:v>7</x:v>
      </x:c>
      <x:c r="G2293" s="380" t="n">
        <x:f>--(F2293&lt;='Estimator'!$B$7)</x:f>
        <x:v>0</x:v>
      </x:c>
      <x:c r="H2293" s="381" t="n">
        <x:f>SUMIFS('Climate Data'!$G$7:$G$366,'Climate Data'!$A$7:$A$366,'Estimator'!$B$4,'Climate Data'!$B$7:$B$366,C2293)</x:f>
        <x:v>0.32023809523809527</x:v>
      </x:c>
      <x:c r="I2293" s="382" t="n">
        <x:f>SUMIFS('Climate Data'!$H$7:$H$366,'Climate Data'!$A$7:$A$366,'Estimator'!$B$4,'Climate Data'!$B$7:$B$366,C2293)</x:f>
        <x:v>9.066171003717471</x:v>
      </x:c>
      <x:c r="J2293" s="381" t="n">
        <x:f>SUMIFS('Wind Proxy'!$H$8:$H$19,'Wind Proxy'!$A$8:$A$19,'Estimator'!$B$4,'Wind Proxy'!$B$8:$B$19,C2293)</x:f>
        <x:v>0.11728395061728397</x:v>
      </x:c>
    </x:row>
    <x:row r="2294">
      <x:c r="A2294" s="379" t="n">
        <x:v>47945</x:v>
      </x:c>
      <x:c r="B2294" s="380" t="n">
        <x:v>2031</x:v>
      </x:c>
      <x:c r="C2294" s="380" t="n">
        <x:v>4</x:v>
      </x:c>
      <x:c r="D2294" s="380" t="str">
        <x:v>Apr</x:v>
      </x:c>
      <x:c r="E2294" s="380" t="n">
        <x:v>7</x:v>
      </x:c>
      <x:c r="F2294" s="380" t="n">
        <x:v>1</x:v>
      </x:c>
      <x:c r="G2294" s="380" t="n">
        <x:f>--(F2294&lt;='Estimator'!$B$7)</x:f>
        <x:v>1</x:v>
      </x:c>
      <x:c r="H2294" s="381" t="n">
        <x:f>SUMIFS('Climate Data'!$G$7:$G$366,'Climate Data'!$A$7:$A$366,'Estimator'!$B$4,'Climate Data'!$B$7:$B$366,C2294)</x:f>
        <x:v>0.32023809523809527</x:v>
      </x:c>
      <x:c r="I2294" s="382" t="n">
        <x:f>SUMIFS('Climate Data'!$H$7:$H$366,'Climate Data'!$A$7:$A$366,'Estimator'!$B$4,'Climate Data'!$B$7:$B$366,C2294)</x:f>
        <x:v>9.066171003717471</x:v>
      </x:c>
      <x:c r="J2294" s="381" t="n">
        <x:f>SUMIFS('Wind Proxy'!$H$8:$H$19,'Wind Proxy'!$A$8:$A$19,'Estimator'!$B$4,'Wind Proxy'!$B$8:$B$19,C2294)</x:f>
        <x:v>0.11728395061728397</x:v>
      </x:c>
    </x:row>
    <x:row r="2295">
      <x:c r="A2295" s="379" t="n">
        <x:v>47946</x:v>
      </x:c>
      <x:c r="B2295" s="380" t="n">
        <x:v>2031</x:v>
      </x:c>
      <x:c r="C2295" s="380" t="n">
        <x:v>4</x:v>
      </x:c>
      <x:c r="D2295" s="380" t="str">
        <x:v>Apr</x:v>
      </x:c>
      <x:c r="E2295" s="380" t="n">
        <x:v>8</x:v>
      </x:c>
      <x:c r="F2295" s="380" t="n">
        <x:v>2</x:v>
      </x:c>
      <x:c r="G2295" s="380" t="n">
        <x:f>--(F2295&lt;='Estimator'!$B$7)</x:f>
        <x:v>1</x:v>
      </x:c>
      <x:c r="H2295" s="381" t="n">
        <x:f>SUMIFS('Climate Data'!$G$7:$G$366,'Climate Data'!$A$7:$A$366,'Estimator'!$B$4,'Climate Data'!$B$7:$B$366,C2295)</x:f>
        <x:v>0.32023809523809527</x:v>
      </x:c>
      <x:c r="I2295" s="382" t="n">
        <x:f>SUMIFS('Climate Data'!$H$7:$H$366,'Climate Data'!$A$7:$A$366,'Estimator'!$B$4,'Climate Data'!$B$7:$B$366,C2295)</x:f>
        <x:v>9.066171003717471</x:v>
      </x:c>
      <x:c r="J2295" s="381" t="n">
        <x:f>SUMIFS('Wind Proxy'!$H$8:$H$19,'Wind Proxy'!$A$8:$A$19,'Estimator'!$B$4,'Wind Proxy'!$B$8:$B$19,C2295)</x:f>
        <x:v>0.11728395061728397</x:v>
      </x:c>
    </x:row>
    <x:row r="2296">
      <x:c r="A2296" s="379" t="n">
        <x:v>47947</x:v>
      </x:c>
      <x:c r="B2296" s="380" t="n">
        <x:v>2031</x:v>
      </x:c>
      <x:c r="C2296" s="380" t="n">
        <x:v>4</x:v>
      </x:c>
      <x:c r="D2296" s="380" t="str">
        <x:v>Apr</x:v>
      </x:c>
      <x:c r="E2296" s="380" t="n">
        <x:v>9</x:v>
      </x:c>
      <x:c r="F2296" s="380" t="n">
        <x:v>3</x:v>
      </x:c>
      <x:c r="G2296" s="380" t="n">
        <x:f>--(F2296&lt;='Estimator'!$B$7)</x:f>
        <x:v>1</x:v>
      </x:c>
      <x:c r="H2296" s="381" t="n">
        <x:f>SUMIFS('Climate Data'!$G$7:$G$366,'Climate Data'!$A$7:$A$366,'Estimator'!$B$4,'Climate Data'!$B$7:$B$366,C2296)</x:f>
        <x:v>0.32023809523809527</x:v>
      </x:c>
      <x:c r="I2296" s="382" t="n">
        <x:f>SUMIFS('Climate Data'!$H$7:$H$366,'Climate Data'!$A$7:$A$366,'Estimator'!$B$4,'Climate Data'!$B$7:$B$366,C2296)</x:f>
        <x:v>9.066171003717471</x:v>
      </x:c>
      <x:c r="J2296" s="381" t="n">
        <x:f>SUMIFS('Wind Proxy'!$H$8:$H$19,'Wind Proxy'!$A$8:$A$19,'Estimator'!$B$4,'Wind Proxy'!$B$8:$B$19,C2296)</x:f>
        <x:v>0.11728395061728397</x:v>
      </x:c>
    </x:row>
    <x:row r="2297">
      <x:c r="A2297" s="379" t="n">
        <x:v>47948</x:v>
      </x:c>
      <x:c r="B2297" s="380" t="n">
        <x:v>2031</x:v>
      </x:c>
      <x:c r="C2297" s="380" t="n">
        <x:v>4</x:v>
      </x:c>
      <x:c r="D2297" s="380" t="str">
        <x:v>Apr</x:v>
      </x:c>
      <x:c r="E2297" s="380" t="n">
        <x:v>10</x:v>
      </x:c>
      <x:c r="F2297" s="380" t="n">
        <x:v>4</x:v>
      </x:c>
      <x:c r="G2297" s="380" t="n">
        <x:f>--(F2297&lt;='Estimator'!$B$7)</x:f>
        <x:v>1</x:v>
      </x:c>
      <x:c r="H2297" s="381" t="n">
        <x:f>SUMIFS('Climate Data'!$G$7:$G$366,'Climate Data'!$A$7:$A$366,'Estimator'!$B$4,'Climate Data'!$B$7:$B$366,C2297)</x:f>
        <x:v>0.32023809523809527</x:v>
      </x:c>
      <x:c r="I2297" s="382" t="n">
        <x:f>SUMIFS('Climate Data'!$H$7:$H$366,'Climate Data'!$A$7:$A$366,'Estimator'!$B$4,'Climate Data'!$B$7:$B$366,C2297)</x:f>
        <x:v>9.066171003717471</x:v>
      </x:c>
      <x:c r="J2297" s="381" t="n">
        <x:f>SUMIFS('Wind Proxy'!$H$8:$H$19,'Wind Proxy'!$A$8:$A$19,'Estimator'!$B$4,'Wind Proxy'!$B$8:$B$19,C2297)</x:f>
        <x:v>0.11728395061728397</x:v>
      </x:c>
    </x:row>
    <x:row r="2298">
      <x:c r="A2298" s="379" t="n">
        <x:v>47949</x:v>
      </x:c>
      <x:c r="B2298" s="380" t="n">
        <x:v>2031</x:v>
      </x:c>
      <x:c r="C2298" s="380" t="n">
        <x:v>4</x:v>
      </x:c>
      <x:c r="D2298" s="380" t="str">
        <x:v>Apr</x:v>
      </x:c>
      <x:c r="E2298" s="380" t="n">
        <x:v>11</x:v>
      </x:c>
      <x:c r="F2298" s="380" t="n">
        <x:v>5</x:v>
      </x:c>
      <x:c r="G2298" s="380" t="n">
        <x:f>--(F2298&lt;='Estimator'!$B$7)</x:f>
        <x:v>1</x:v>
      </x:c>
      <x:c r="H2298" s="381" t="n">
        <x:f>SUMIFS('Climate Data'!$G$7:$G$366,'Climate Data'!$A$7:$A$366,'Estimator'!$B$4,'Climate Data'!$B$7:$B$366,C2298)</x:f>
        <x:v>0.32023809523809527</x:v>
      </x:c>
      <x:c r="I2298" s="382" t="n">
        <x:f>SUMIFS('Climate Data'!$H$7:$H$366,'Climate Data'!$A$7:$A$366,'Estimator'!$B$4,'Climate Data'!$B$7:$B$366,C2298)</x:f>
        <x:v>9.066171003717471</x:v>
      </x:c>
      <x:c r="J2298" s="381" t="n">
        <x:f>SUMIFS('Wind Proxy'!$H$8:$H$19,'Wind Proxy'!$A$8:$A$19,'Estimator'!$B$4,'Wind Proxy'!$B$8:$B$19,C2298)</x:f>
        <x:v>0.11728395061728397</x:v>
      </x:c>
    </x:row>
    <x:row r="2299">
      <x:c r="A2299" s="379" t="n">
        <x:v>47950</x:v>
      </x:c>
      <x:c r="B2299" s="380" t="n">
        <x:v>2031</x:v>
      </x:c>
      <x:c r="C2299" s="380" t="n">
        <x:v>4</x:v>
      </x:c>
      <x:c r="D2299" s="380" t="str">
        <x:v>Apr</x:v>
      </x:c>
      <x:c r="E2299" s="380" t="n">
        <x:v>12</x:v>
      </x:c>
      <x:c r="F2299" s="380" t="n">
        <x:v>6</x:v>
      </x:c>
      <x:c r="G2299" s="380" t="n">
        <x:f>--(F2299&lt;='Estimator'!$B$7)</x:f>
        <x:v>0</x:v>
      </x:c>
      <x:c r="H2299" s="381" t="n">
        <x:f>SUMIFS('Climate Data'!$G$7:$G$366,'Climate Data'!$A$7:$A$366,'Estimator'!$B$4,'Climate Data'!$B$7:$B$366,C2299)</x:f>
        <x:v>0.32023809523809527</x:v>
      </x:c>
      <x:c r="I2299" s="382" t="n">
        <x:f>SUMIFS('Climate Data'!$H$7:$H$366,'Climate Data'!$A$7:$A$366,'Estimator'!$B$4,'Climate Data'!$B$7:$B$366,C2299)</x:f>
        <x:v>9.066171003717471</x:v>
      </x:c>
      <x:c r="J2299" s="381" t="n">
        <x:f>SUMIFS('Wind Proxy'!$H$8:$H$19,'Wind Proxy'!$A$8:$A$19,'Estimator'!$B$4,'Wind Proxy'!$B$8:$B$19,C2299)</x:f>
        <x:v>0.11728395061728397</x:v>
      </x:c>
    </x:row>
    <x:row r="2300">
      <x:c r="A2300" s="379" t="n">
        <x:v>47951</x:v>
      </x:c>
      <x:c r="B2300" s="380" t="n">
        <x:v>2031</x:v>
      </x:c>
      <x:c r="C2300" s="380" t="n">
        <x:v>4</x:v>
      </x:c>
      <x:c r="D2300" s="380" t="str">
        <x:v>Apr</x:v>
      </x:c>
      <x:c r="E2300" s="380" t="n">
        <x:v>13</x:v>
      </x:c>
      <x:c r="F2300" s="380" t="n">
        <x:v>7</x:v>
      </x:c>
      <x:c r="G2300" s="380" t="n">
        <x:f>--(F2300&lt;='Estimator'!$B$7)</x:f>
        <x:v>0</x:v>
      </x:c>
      <x:c r="H2300" s="381" t="n">
        <x:f>SUMIFS('Climate Data'!$G$7:$G$366,'Climate Data'!$A$7:$A$366,'Estimator'!$B$4,'Climate Data'!$B$7:$B$366,C2300)</x:f>
        <x:v>0.32023809523809527</x:v>
      </x:c>
      <x:c r="I2300" s="382" t="n">
        <x:f>SUMIFS('Climate Data'!$H$7:$H$366,'Climate Data'!$A$7:$A$366,'Estimator'!$B$4,'Climate Data'!$B$7:$B$366,C2300)</x:f>
        <x:v>9.066171003717471</x:v>
      </x:c>
      <x:c r="J2300" s="381" t="n">
        <x:f>SUMIFS('Wind Proxy'!$H$8:$H$19,'Wind Proxy'!$A$8:$A$19,'Estimator'!$B$4,'Wind Proxy'!$B$8:$B$19,C2300)</x:f>
        <x:v>0.11728395061728397</x:v>
      </x:c>
    </x:row>
    <x:row r="2301">
      <x:c r="A2301" s="379" t="n">
        <x:v>47952</x:v>
      </x:c>
      <x:c r="B2301" s="380" t="n">
        <x:v>2031</x:v>
      </x:c>
      <x:c r="C2301" s="380" t="n">
        <x:v>4</x:v>
      </x:c>
      <x:c r="D2301" s="380" t="str">
        <x:v>Apr</x:v>
      </x:c>
      <x:c r="E2301" s="380" t="n">
        <x:v>14</x:v>
      </x:c>
      <x:c r="F2301" s="380" t="n">
        <x:v>1</x:v>
      </x:c>
      <x:c r="G2301" s="380" t="n">
        <x:f>--(F2301&lt;='Estimator'!$B$7)</x:f>
        <x:v>1</x:v>
      </x:c>
      <x:c r="H2301" s="381" t="n">
        <x:f>SUMIFS('Climate Data'!$G$7:$G$366,'Climate Data'!$A$7:$A$366,'Estimator'!$B$4,'Climate Data'!$B$7:$B$366,C2301)</x:f>
        <x:v>0.32023809523809527</x:v>
      </x:c>
      <x:c r="I2301" s="382" t="n">
        <x:f>SUMIFS('Climate Data'!$H$7:$H$366,'Climate Data'!$A$7:$A$366,'Estimator'!$B$4,'Climate Data'!$B$7:$B$366,C2301)</x:f>
        <x:v>9.066171003717471</x:v>
      </x:c>
      <x:c r="J2301" s="381" t="n">
        <x:f>SUMIFS('Wind Proxy'!$H$8:$H$19,'Wind Proxy'!$A$8:$A$19,'Estimator'!$B$4,'Wind Proxy'!$B$8:$B$19,C2301)</x:f>
        <x:v>0.11728395061728397</x:v>
      </x:c>
    </x:row>
    <x:row r="2302">
      <x:c r="A2302" s="379" t="n">
        <x:v>47953</x:v>
      </x:c>
      <x:c r="B2302" s="380" t="n">
        <x:v>2031</x:v>
      </x:c>
      <x:c r="C2302" s="380" t="n">
        <x:v>4</x:v>
      </x:c>
      <x:c r="D2302" s="380" t="str">
        <x:v>Apr</x:v>
      </x:c>
      <x:c r="E2302" s="380" t="n">
        <x:v>15</x:v>
      </x:c>
      <x:c r="F2302" s="380" t="n">
        <x:v>2</x:v>
      </x:c>
      <x:c r="G2302" s="380" t="n">
        <x:f>--(F2302&lt;='Estimator'!$B$7)</x:f>
        <x:v>1</x:v>
      </x:c>
      <x:c r="H2302" s="381" t="n">
        <x:f>SUMIFS('Climate Data'!$G$7:$G$366,'Climate Data'!$A$7:$A$366,'Estimator'!$B$4,'Climate Data'!$B$7:$B$366,C2302)</x:f>
        <x:v>0.32023809523809527</x:v>
      </x:c>
      <x:c r="I2302" s="382" t="n">
        <x:f>SUMIFS('Climate Data'!$H$7:$H$366,'Climate Data'!$A$7:$A$366,'Estimator'!$B$4,'Climate Data'!$B$7:$B$366,C2302)</x:f>
        <x:v>9.066171003717471</x:v>
      </x:c>
      <x:c r="J2302" s="381" t="n">
        <x:f>SUMIFS('Wind Proxy'!$H$8:$H$19,'Wind Proxy'!$A$8:$A$19,'Estimator'!$B$4,'Wind Proxy'!$B$8:$B$19,C2302)</x:f>
        <x:v>0.11728395061728397</x:v>
      </x:c>
    </x:row>
    <x:row r="2303">
      <x:c r="A2303" s="379" t="n">
        <x:v>47954</x:v>
      </x:c>
      <x:c r="B2303" s="380" t="n">
        <x:v>2031</x:v>
      </x:c>
      <x:c r="C2303" s="380" t="n">
        <x:v>4</x:v>
      </x:c>
      <x:c r="D2303" s="380" t="str">
        <x:v>Apr</x:v>
      </x:c>
      <x:c r="E2303" s="380" t="n">
        <x:v>16</x:v>
      </x:c>
      <x:c r="F2303" s="380" t="n">
        <x:v>3</x:v>
      </x:c>
      <x:c r="G2303" s="380" t="n">
        <x:f>--(F2303&lt;='Estimator'!$B$7)</x:f>
        <x:v>1</x:v>
      </x:c>
      <x:c r="H2303" s="381" t="n">
        <x:f>SUMIFS('Climate Data'!$G$7:$G$366,'Climate Data'!$A$7:$A$366,'Estimator'!$B$4,'Climate Data'!$B$7:$B$366,C2303)</x:f>
        <x:v>0.32023809523809527</x:v>
      </x:c>
      <x:c r="I2303" s="382" t="n">
        <x:f>SUMIFS('Climate Data'!$H$7:$H$366,'Climate Data'!$A$7:$A$366,'Estimator'!$B$4,'Climate Data'!$B$7:$B$366,C2303)</x:f>
        <x:v>9.066171003717471</x:v>
      </x:c>
      <x:c r="J2303" s="381" t="n">
        <x:f>SUMIFS('Wind Proxy'!$H$8:$H$19,'Wind Proxy'!$A$8:$A$19,'Estimator'!$B$4,'Wind Proxy'!$B$8:$B$19,C2303)</x:f>
        <x:v>0.11728395061728397</x:v>
      </x:c>
    </x:row>
    <x:row r="2304">
      <x:c r="A2304" s="379" t="n">
        <x:v>47955</x:v>
      </x:c>
      <x:c r="B2304" s="380" t="n">
        <x:v>2031</x:v>
      </x:c>
      <x:c r="C2304" s="380" t="n">
        <x:v>4</x:v>
      </x:c>
      <x:c r="D2304" s="380" t="str">
        <x:v>Apr</x:v>
      </x:c>
      <x:c r="E2304" s="380" t="n">
        <x:v>17</x:v>
      </x:c>
      <x:c r="F2304" s="380" t="n">
        <x:v>4</x:v>
      </x:c>
      <x:c r="G2304" s="380" t="n">
        <x:f>--(F2304&lt;='Estimator'!$B$7)</x:f>
        <x:v>1</x:v>
      </x:c>
      <x:c r="H2304" s="381" t="n">
        <x:f>SUMIFS('Climate Data'!$G$7:$G$366,'Climate Data'!$A$7:$A$366,'Estimator'!$B$4,'Climate Data'!$B$7:$B$366,C2304)</x:f>
        <x:v>0.32023809523809527</x:v>
      </x:c>
      <x:c r="I2304" s="382" t="n">
        <x:f>SUMIFS('Climate Data'!$H$7:$H$366,'Climate Data'!$A$7:$A$366,'Estimator'!$B$4,'Climate Data'!$B$7:$B$366,C2304)</x:f>
        <x:v>9.066171003717471</x:v>
      </x:c>
      <x:c r="J2304" s="381" t="n">
        <x:f>SUMIFS('Wind Proxy'!$H$8:$H$19,'Wind Proxy'!$A$8:$A$19,'Estimator'!$B$4,'Wind Proxy'!$B$8:$B$19,C2304)</x:f>
        <x:v>0.11728395061728397</x:v>
      </x:c>
    </x:row>
    <x:row r="2305">
      <x:c r="A2305" s="379" t="n">
        <x:v>47956</x:v>
      </x:c>
      <x:c r="B2305" s="380" t="n">
        <x:v>2031</x:v>
      </x:c>
      <x:c r="C2305" s="380" t="n">
        <x:v>4</x:v>
      </x:c>
      <x:c r="D2305" s="380" t="str">
        <x:v>Apr</x:v>
      </x:c>
      <x:c r="E2305" s="380" t="n">
        <x:v>18</x:v>
      </x:c>
      <x:c r="F2305" s="380" t="n">
        <x:v>5</x:v>
      </x:c>
      <x:c r="G2305" s="380" t="n">
        <x:f>--(F2305&lt;='Estimator'!$B$7)</x:f>
        <x:v>1</x:v>
      </x:c>
      <x:c r="H2305" s="381" t="n">
        <x:f>SUMIFS('Climate Data'!$G$7:$G$366,'Climate Data'!$A$7:$A$366,'Estimator'!$B$4,'Climate Data'!$B$7:$B$366,C2305)</x:f>
        <x:v>0.32023809523809527</x:v>
      </x:c>
      <x:c r="I2305" s="382" t="n">
        <x:f>SUMIFS('Climate Data'!$H$7:$H$366,'Climate Data'!$A$7:$A$366,'Estimator'!$B$4,'Climate Data'!$B$7:$B$366,C2305)</x:f>
        <x:v>9.066171003717471</x:v>
      </x:c>
      <x:c r="J2305" s="381" t="n">
        <x:f>SUMIFS('Wind Proxy'!$H$8:$H$19,'Wind Proxy'!$A$8:$A$19,'Estimator'!$B$4,'Wind Proxy'!$B$8:$B$19,C2305)</x:f>
        <x:v>0.11728395061728397</x:v>
      </x:c>
    </x:row>
    <x:row r="2306">
      <x:c r="A2306" s="379" t="n">
        <x:v>47957</x:v>
      </x:c>
      <x:c r="B2306" s="380" t="n">
        <x:v>2031</x:v>
      </x:c>
      <x:c r="C2306" s="380" t="n">
        <x:v>4</x:v>
      </x:c>
      <x:c r="D2306" s="380" t="str">
        <x:v>Apr</x:v>
      </x:c>
      <x:c r="E2306" s="380" t="n">
        <x:v>19</x:v>
      </x:c>
      <x:c r="F2306" s="380" t="n">
        <x:v>6</x:v>
      </x:c>
      <x:c r="G2306" s="380" t="n">
        <x:f>--(F2306&lt;='Estimator'!$B$7)</x:f>
        <x:v>0</x:v>
      </x:c>
      <x:c r="H2306" s="381" t="n">
        <x:f>SUMIFS('Climate Data'!$G$7:$G$366,'Climate Data'!$A$7:$A$366,'Estimator'!$B$4,'Climate Data'!$B$7:$B$366,C2306)</x:f>
        <x:v>0.32023809523809527</x:v>
      </x:c>
      <x:c r="I2306" s="382" t="n">
        <x:f>SUMIFS('Climate Data'!$H$7:$H$366,'Climate Data'!$A$7:$A$366,'Estimator'!$B$4,'Climate Data'!$B$7:$B$366,C2306)</x:f>
        <x:v>9.066171003717471</x:v>
      </x:c>
      <x:c r="J2306" s="381" t="n">
        <x:f>SUMIFS('Wind Proxy'!$H$8:$H$19,'Wind Proxy'!$A$8:$A$19,'Estimator'!$B$4,'Wind Proxy'!$B$8:$B$19,C2306)</x:f>
        <x:v>0.11728395061728397</x:v>
      </x:c>
    </x:row>
    <x:row r="2307">
      <x:c r="A2307" s="379" t="n">
        <x:v>47958</x:v>
      </x:c>
      <x:c r="B2307" s="380" t="n">
        <x:v>2031</x:v>
      </x:c>
      <x:c r="C2307" s="380" t="n">
        <x:v>4</x:v>
      </x:c>
      <x:c r="D2307" s="380" t="str">
        <x:v>Apr</x:v>
      </x:c>
      <x:c r="E2307" s="380" t="n">
        <x:v>20</x:v>
      </x:c>
      <x:c r="F2307" s="380" t="n">
        <x:v>7</x:v>
      </x:c>
      <x:c r="G2307" s="380" t="n">
        <x:f>--(F2307&lt;='Estimator'!$B$7)</x:f>
        <x:v>0</x:v>
      </x:c>
      <x:c r="H2307" s="381" t="n">
        <x:f>SUMIFS('Climate Data'!$G$7:$G$366,'Climate Data'!$A$7:$A$366,'Estimator'!$B$4,'Climate Data'!$B$7:$B$366,C2307)</x:f>
        <x:v>0.32023809523809527</x:v>
      </x:c>
      <x:c r="I2307" s="382" t="n">
        <x:f>SUMIFS('Climate Data'!$H$7:$H$366,'Climate Data'!$A$7:$A$366,'Estimator'!$B$4,'Climate Data'!$B$7:$B$366,C2307)</x:f>
        <x:v>9.066171003717471</x:v>
      </x:c>
      <x:c r="J2307" s="381" t="n">
        <x:f>SUMIFS('Wind Proxy'!$H$8:$H$19,'Wind Proxy'!$A$8:$A$19,'Estimator'!$B$4,'Wind Proxy'!$B$8:$B$19,C2307)</x:f>
        <x:v>0.11728395061728397</x:v>
      </x:c>
    </x:row>
    <x:row r="2308">
      <x:c r="A2308" s="379" t="n">
        <x:v>47959</x:v>
      </x:c>
      <x:c r="B2308" s="380" t="n">
        <x:v>2031</x:v>
      </x:c>
      <x:c r="C2308" s="380" t="n">
        <x:v>4</x:v>
      </x:c>
      <x:c r="D2308" s="380" t="str">
        <x:v>Apr</x:v>
      </x:c>
      <x:c r="E2308" s="380" t="n">
        <x:v>21</x:v>
      </x:c>
      <x:c r="F2308" s="380" t="n">
        <x:v>1</x:v>
      </x:c>
      <x:c r="G2308" s="380" t="n">
        <x:f>--(F2308&lt;='Estimator'!$B$7)</x:f>
        <x:v>1</x:v>
      </x:c>
      <x:c r="H2308" s="381" t="n">
        <x:f>SUMIFS('Climate Data'!$G$7:$G$366,'Climate Data'!$A$7:$A$366,'Estimator'!$B$4,'Climate Data'!$B$7:$B$366,C2308)</x:f>
        <x:v>0.32023809523809527</x:v>
      </x:c>
      <x:c r="I2308" s="382" t="n">
        <x:f>SUMIFS('Climate Data'!$H$7:$H$366,'Climate Data'!$A$7:$A$366,'Estimator'!$B$4,'Climate Data'!$B$7:$B$366,C2308)</x:f>
        <x:v>9.066171003717471</x:v>
      </x:c>
      <x:c r="J2308" s="381" t="n">
        <x:f>SUMIFS('Wind Proxy'!$H$8:$H$19,'Wind Proxy'!$A$8:$A$19,'Estimator'!$B$4,'Wind Proxy'!$B$8:$B$19,C2308)</x:f>
        <x:v>0.11728395061728397</x:v>
      </x:c>
    </x:row>
    <x:row r="2309">
      <x:c r="A2309" s="379" t="n">
        <x:v>47960</x:v>
      </x:c>
      <x:c r="B2309" s="380" t="n">
        <x:v>2031</x:v>
      </x:c>
      <x:c r="C2309" s="380" t="n">
        <x:v>4</x:v>
      </x:c>
      <x:c r="D2309" s="380" t="str">
        <x:v>Apr</x:v>
      </x:c>
      <x:c r="E2309" s="380" t="n">
        <x:v>22</x:v>
      </x:c>
      <x:c r="F2309" s="380" t="n">
        <x:v>2</x:v>
      </x:c>
      <x:c r="G2309" s="380" t="n">
        <x:f>--(F2309&lt;='Estimator'!$B$7)</x:f>
        <x:v>1</x:v>
      </x:c>
      <x:c r="H2309" s="381" t="n">
        <x:f>SUMIFS('Climate Data'!$G$7:$G$366,'Climate Data'!$A$7:$A$366,'Estimator'!$B$4,'Climate Data'!$B$7:$B$366,C2309)</x:f>
        <x:v>0.32023809523809527</x:v>
      </x:c>
      <x:c r="I2309" s="382" t="n">
        <x:f>SUMIFS('Climate Data'!$H$7:$H$366,'Climate Data'!$A$7:$A$366,'Estimator'!$B$4,'Climate Data'!$B$7:$B$366,C2309)</x:f>
        <x:v>9.066171003717471</x:v>
      </x:c>
      <x:c r="J2309" s="381" t="n">
        <x:f>SUMIFS('Wind Proxy'!$H$8:$H$19,'Wind Proxy'!$A$8:$A$19,'Estimator'!$B$4,'Wind Proxy'!$B$8:$B$19,C2309)</x:f>
        <x:v>0.11728395061728397</x:v>
      </x:c>
    </x:row>
    <x:row r="2310">
      <x:c r="A2310" s="379" t="n">
        <x:v>47961</x:v>
      </x:c>
      <x:c r="B2310" s="380" t="n">
        <x:v>2031</x:v>
      </x:c>
      <x:c r="C2310" s="380" t="n">
        <x:v>4</x:v>
      </x:c>
      <x:c r="D2310" s="380" t="str">
        <x:v>Apr</x:v>
      </x:c>
      <x:c r="E2310" s="380" t="n">
        <x:v>23</x:v>
      </x:c>
      <x:c r="F2310" s="380" t="n">
        <x:v>3</x:v>
      </x:c>
      <x:c r="G2310" s="380" t="n">
        <x:f>--(F2310&lt;='Estimator'!$B$7)</x:f>
        <x:v>1</x:v>
      </x:c>
      <x:c r="H2310" s="381" t="n">
        <x:f>SUMIFS('Climate Data'!$G$7:$G$366,'Climate Data'!$A$7:$A$366,'Estimator'!$B$4,'Climate Data'!$B$7:$B$366,C2310)</x:f>
        <x:v>0.32023809523809527</x:v>
      </x:c>
      <x:c r="I2310" s="382" t="n">
        <x:f>SUMIFS('Climate Data'!$H$7:$H$366,'Climate Data'!$A$7:$A$366,'Estimator'!$B$4,'Climate Data'!$B$7:$B$366,C2310)</x:f>
        <x:v>9.066171003717471</x:v>
      </x:c>
      <x:c r="J2310" s="381" t="n">
        <x:f>SUMIFS('Wind Proxy'!$H$8:$H$19,'Wind Proxy'!$A$8:$A$19,'Estimator'!$B$4,'Wind Proxy'!$B$8:$B$19,C2310)</x:f>
        <x:v>0.11728395061728397</x:v>
      </x:c>
    </x:row>
    <x:row r="2311">
      <x:c r="A2311" s="379" t="n">
        <x:v>47962</x:v>
      </x:c>
      <x:c r="B2311" s="380" t="n">
        <x:v>2031</x:v>
      </x:c>
      <x:c r="C2311" s="380" t="n">
        <x:v>4</x:v>
      </x:c>
      <x:c r="D2311" s="380" t="str">
        <x:v>Apr</x:v>
      </x:c>
      <x:c r="E2311" s="380" t="n">
        <x:v>24</x:v>
      </x:c>
      <x:c r="F2311" s="380" t="n">
        <x:v>4</x:v>
      </x:c>
      <x:c r="G2311" s="380" t="n">
        <x:f>--(F2311&lt;='Estimator'!$B$7)</x:f>
        <x:v>1</x:v>
      </x:c>
      <x:c r="H2311" s="381" t="n">
        <x:f>SUMIFS('Climate Data'!$G$7:$G$366,'Climate Data'!$A$7:$A$366,'Estimator'!$B$4,'Climate Data'!$B$7:$B$366,C2311)</x:f>
        <x:v>0.32023809523809527</x:v>
      </x:c>
      <x:c r="I2311" s="382" t="n">
        <x:f>SUMIFS('Climate Data'!$H$7:$H$366,'Climate Data'!$A$7:$A$366,'Estimator'!$B$4,'Climate Data'!$B$7:$B$366,C2311)</x:f>
        <x:v>9.066171003717471</x:v>
      </x:c>
      <x:c r="J2311" s="381" t="n">
        <x:f>SUMIFS('Wind Proxy'!$H$8:$H$19,'Wind Proxy'!$A$8:$A$19,'Estimator'!$B$4,'Wind Proxy'!$B$8:$B$19,C2311)</x:f>
        <x:v>0.11728395061728397</x:v>
      </x:c>
    </x:row>
    <x:row r="2312">
      <x:c r="A2312" s="379" t="n">
        <x:v>47963</x:v>
      </x:c>
      <x:c r="B2312" s="380" t="n">
        <x:v>2031</x:v>
      </x:c>
      <x:c r="C2312" s="380" t="n">
        <x:v>4</x:v>
      </x:c>
      <x:c r="D2312" s="380" t="str">
        <x:v>Apr</x:v>
      </x:c>
      <x:c r="E2312" s="380" t="n">
        <x:v>25</x:v>
      </x:c>
      <x:c r="F2312" s="380" t="n">
        <x:v>5</x:v>
      </x:c>
      <x:c r="G2312" s="380" t="n">
        <x:f>--(F2312&lt;='Estimator'!$B$7)</x:f>
        <x:v>1</x:v>
      </x:c>
      <x:c r="H2312" s="381" t="n">
        <x:f>SUMIFS('Climate Data'!$G$7:$G$366,'Climate Data'!$A$7:$A$366,'Estimator'!$B$4,'Climate Data'!$B$7:$B$366,C2312)</x:f>
        <x:v>0.32023809523809527</x:v>
      </x:c>
      <x:c r="I2312" s="382" t="n">
        <x:f>SUMIFS('Climate Data'!$H$7:$H$366,'Climate Data'!$A$7:$A$366,'Estimator'!$B$4,'Climate Data'!$B$7:$B$366,C2312)</x:f>
        <x:v>9.066171003717471</x:v>
      </x:c>
      <x:c r="J2312" s="381" t="n">
        <x:f>SUMIFS('Wind Proxy'!$H$8:$H$19,'Wind Proxy'!$A$8:$A$19,'Estimator'!$B$4,'Wind Proxy'!$B$8:$B$19,C2312)</x:f>
        <x:v>0.11728395061728397</x:v>
      </x:c>
    </x:row>
    <x:row r="2313">
      <x:c r="A2313" s="379" t="n">
        <x:v>47964</x:v>
      </x:c>
      <x:c r="B2313" s="380" t="n">
        <x:v>2031</x:v>
      </x:c>
      <x:c r="C2313" s="380" t="n">
        <x:v>4</x:v>
      </x:c>
      <x:c r="D2313" s="380" t="str">
        <x:v>Apr</x:v>
      </x:c>
      <x:c r="E2313" s="380" t="n">
        <x:v>26</x:v>
      </x:c>
      <x:c r="F2313" s="380" t="n">
        <x:v>6</x:v>
      </x:c>
      <x:c r="G2313" s="380" t="n">
        <x:f>--(F2313&lt;='Estimator'!$B$7)</x:f>
        <x:v>0</x:v>
      </x:c>
      <x:c r="H2313" s="381" t="n">
        <x:f>SUMIFS('Climate Data'!$G$7:$G$366,'Climate Data'!$A$7:$A$366,'Estimator'!$B$4,'Climate Data'!$B$7:$B$366,C2313)</x:f>
        <x:v>0.32023809523809527</x:v>
      </x:c>
      <x:c r="I2313" s="382" t="n">
        <x:f>SUMIFS('Climate Data'!$H$7:$H$366,'Climate Data'!$A$7:$A$366,'Estimator'!$B$4,'Climate Data'!$B$7:$B$366,C2313)</x:f>
        <x:v>9.066171003717471</x:v>
      </x:c>
      <x:c r="J2313" s="381" t="n">
        <x:f>SUMIFS('Wind Proxy'!$H$8:$H$19,'Wind Proxy'!$A$8:$A$19,'Estimator'!$B$4,'Wind Proxy'!$B$8:$B$19,C2313)</x:f>
        <x:v>0.11728395061728397</x:v>
      </x:c>
    </x:row>
    <x:row r="2314">
      <x:c r="A2314" s="379" t="n">
        <x:v>47965</x:v>
      </x:c>
      <x:c r="B2314" s="380" t="n">
        <x:v>2031</x:v>
      </x:c>
      <x:c r="C2314" s="380" t="n">
        <x:v>4</x:v>
      </x:c>
      <x:c r="D2314" s="380" t="str">
        <x:v>Apr</x:v>
      </x:c>
      <x:c r="E2314" s="380" t="n">
        <x:v>27</x:v>
      </x:c>
      <x:c r="F2314" s="380" t="n">
        <x:v>7</x:v>
      </x:c>
      <x:c r="G2314" s="380" t="n">
        <x:f>--(F2314&lt;='Estimator'!$B$7)</x:f>
        <x:v>0</x:v>
      </x:c>
      <x:c r="H2314" s="381" t="n">
        <x:f>SUMIFS('Climate Data'!$G$7:$G$366,'Climate Data'!$A$7:$A$366,'Estimator'!$B$4,'Climate Data'!$B$7:$B$366,C2314)</x:f>
        <x:v>0.32023809523809527</x:v>
      </x:c>
      <x:c r="I2314" s="382" t="n">
        <x:f>SUMIFS('Climate Data'!$H$7:$H$366,'Climate Data'!$A$7:$A$366,'Estimator'!$B$4,'Climate Data'!$B$7:$B$366,C2314)</x:f>
        <x:v>9.066171003717471</x:v>
      </x:c>
      <x:c r="J2314" s="381" t="n">
        <x:f>SUMIFS('Wind Proxy'!$H$8:$H$19,'Wind Proxy'!$A$8:$A$19,'Estimator'!$B$4,'Wind Proxy'!$B$8:$B$19,C2314)</x:f>
        <x:v>0.11728395061728397</x:v>
      </x:c>
    </x:row>
    <x:row r="2315">
      <x:c r="A2315" s="379" t="n">
        <x:v>47966</x:v>
      </x:c>
      <x:c r="B2315" s="380" t="n">
        <x:v>2031</x:v>
      </x:c>
      <x:c r="C2315" s="380" t="n">
        <x:v>4</x:v>
      </x:c>
      <x:c r="D2315" s="380" t="str">
        <x:v>Apr</x:v>
      </x:c>
      <x:c r="E2315" s="380" t="n">
        <x:v>28</x:v>
      </x:c>
      <x:c r="F2315" s="380" t="n">
        <x:v>1</x:v>
      </x:c>
      <x:c r="G2315" s="380" t="n">
        <x:f>--(F2315&lt;='Estimator'!$B$7)</x:f>
        <x:v>1</x:v>
      </x:c>
      <x:c r="H2315" s="381" t="n">
        <x:f>SUMIFS('Climate Data'!$G$7:$G$366,'Climate Data'!$A$7:$A$366,'Estimator'!$B$4,'Climate Data'!$B$7:$B$366,C2315)</x:f>
        <x:v>0.32023809523809527</x:v>
      </x:c>
      <x:c r="I2315" s="382" t="n">
        <x:f>SUMIFS('Climate Data'!$H$7:$H$366,'Climate Data'!$A$7:$A$366,'Estimator'!$B$4,'Climate Data'!$B$7:$B$366,C2315)</x:f>
        <x:v>9.066171003717471</x:v>
      </x:c>
      <x:c r="J2315" s="381" t="n">
        <x:f>SUMIFS('Wind Proxy'!$H$8:$H$19,'Wind Proxy'!$A$8:$A$19,'Estimator'!$B$4,'Wind Proxy'!$B$8:$B$19,C2315)</x:f>
        <x:v>0.11728395061728397</x:v>
      </x:c>
    </x:row>
    <x:row r="2316">
      <x:c r="A2316" s="379" t="n">
        <x:v>47967</x:v>
      </x:c>
      <x:c r="B2316" s="380" t="n">
        <x:v>2031</x:v>
      </x:c>
      <x:c r="C2316" s="380" t="n">
        <x:v>4</x:v>
      </x:c>
      <x:c r="D2316" s="380" t="str">
        <x:v>Apr</x:v>
      </x:c>
      <x:c r="E2316" s="380" t="n">
        <x:v>29</x:v>
      </x:c>
      <x:c r="F2316" s="380" t="n">
        <x:v>2</x:v>
      </x:c>
      <x:c r="G2316" s="380" t="n">
        <x:f>--(F2316&lt;='Estimator'!$B$7)</x:f>
        <x:v>1</x:v>
      </x:c>
      <x:c r="H2316" s="381" t="n">
        <x:f>SUMIFS('Climate Data'!$G$7:$G$366,'Climate Data'!$A$7:$A$366,'Estimator'!$B$4,'Climate Data'!$B$7:$B$366,C2316)</x:f>
        <x:v>0.32023809523809527</x:v>
      </x:c>
      <x:c r="I2316" s="382" t="n">
        <x:f>SUMIFS('Climate Data'!$H$7:$H$366,'Climate Data'!$A$7:$A$366,'Estimator'!$B$4,'Climate Data'!$B$7:$B$366,C2316)</x:f>
        <x:v>9.066171003717471</x:v>
      </x:c>
      <x:c r="J2316" s="381" t="n">
        <x:f>SUMIFS('Wind Proxy'!$H$8:$H$19,'Wind Proxy'!$A$8:$A$19,'Estimator'!$B$4,'Wind Proxy'!$B$8:$B$19,C2316)</x:f>
        <x:v>0.11728395061728397</x:v>
      </x:c>
    </x:row>
    <x:row r="2317">
      <x:c r="A2317" s="379" t="n">
        <x:v>47968</x:v>
      </x:c>
      <x:c r="B2317" s="380" t="n">
        <x:v>2031</x:v>
      </x:c>
      <x:c r="C2317" s="380" t="n">
        <x:v>4</x:v>
      </x:c>
      <x:c r="D2317" s="380" t="str">
        <x:v>Apr</x:v>
      </x:c>
      <x:c r="E2317" s="380" t="n">
        <x:v>30</x:v>
      </x:c>
      <x:c r="F2317" s="380" t="n">
        <x:v>3</x:v>
      </x:c>
      <x:c r="G2317" s="380" t="n">
        <x:f>--(F2317&lt;='Estimator'!$B$7)</x:f>
        <x:v>1</x:v>
      </x:c>
      <x:c r="H2317" s="381" t="n">
        <x:f>SUMIFS('Climate Data'!$G$7:$G$366,'Climate Data'!$A$7:$A$366,'Estimator'!$B$4,'Climate Data'!$B$7:$B$366,C2317)</x:f>
        <x:v>0.32023809523809527</x:v>
      </x:c>
      <x:c r="I2317" s="382" t="n">
        <x:f>SUMIFS('Climate Data'!$H$7:$H$366,'Climate Data'!$A$7:$A$366,'Estimator'!$B$4,'Climate Data'!$B$7:$B$366,C2317)</x:f>
        <x:v>9.066171003717471</x:v>
      </x:c>
      <x:c r="J2317" s="381" t="n">
        <x:f>SUMIFS('Wind Proxy'!$H$8:$H$19,'Wind Proxy'!$A$8:$A$19,'Estimator'!$B$4,'Wind Proxy'!$B$8:$B$19,C2317)</x:f>
        <x:v>0.11728395061728397</x:v>
      </x:c>
    </x:row>
    <x:row r="2318">
      <x:c r="A2318" s="379" t="n">
        <x:v>47969</x:v>
      </x:c>
      <x:c r="B2318" s="380" t="n">
        <x:v>2031</x:v>
      </x:c>
      <x:c r="C2318" s="380" t="n">
        <x:v>5</x:v>
      </x:c>
      <x:c r="D2318" s="380" t="str">
        <x:v>May</x:v>
      </x:c>
      <x:c r="E2318" s="380" t="n">
        <x:v>1</x:v>
      </x:c>
      <x:c r="F2318" s="380" t="n">
        <x:v>4</x:v>
      </x:c>
      <x:c r="G2318" s="380" t="n">
        <x:f>--(F2318&lt;='Estimator'!$B$7)</x:f>
        <x:v>1</x:v>
      </x:c>
      <x:c r="H2318" s="381" t="n">
        <x:f>SUMIFS('Climate Data'!$G$7:$G$366,'Climate Data'!$A$7:$A$366,'Estimator'!$B$4,'Climate Data'!$B$7:$B$366,C2318)</x:f>
        <x:v>0.41935483870967744</x:v>
      </x:c>
      <x:c r="I2318" s="382" t="n">
        <x:f>SUMIFS('Climate Data'!$H$7:$H$366,'Climate Data'!$A$7:$A$366,'Estimator'!$B$4,'Climate Data'!$B$7:$B$366,C2318)</x:f>
        <x:v>9.215384615384615</x:v>
      </x:c>
      <x:c r="J2318" s="381" t="n">
        <x:f>SUMIFS('Wind Proxy'!$H$8:$H$19,'Wind Proxy'!$A$8:$A$19,'Estimator'!$B$4,'Wind Proxy'!$B$8:$B$19,C2318)</x:f>
        <x:v>0.11350059737156513</x:v>
      </x:c>
    </x:row>
    <x:row r="2319">
      <x:c r="A2319" s="379" t="n">
        <x:v>47970</x:v>
      </x:c>
      <x:c r="B2319" s="380" t="n">
        <x:v>2031</x:v>
      </x:c>
      <x:c r="C2319" s="380" t="n">
        <x:v>5</x:v>
      </x:c>
      <x:c r="D2319" s="380" t="str">
        <x:v>May</x:v>
      </x:c>
      <x:c r="E2319" s="380" t="n">
        <x:v>2</x:v>
      </x:c>
      <x:c r="F2319" s="380" t="n">
        <x:v>5</x:v>
      </x:c>
      <x:c r="G2319" s="380" t="n">
        <x:f>--(F2319&lt;='Estimator'!$B$7)</x:f>
        <x:v>1</x:v>
      </x:c>
      <x:c r="H2319" s="381" t="n">
        <x:f>SUMIFS('Climate Data'!$G$7:$G$366,'Climate Data'!$A$7:$A$366,'Estimator'!$B$4,'Climate Data'!$B$7:$B$366,C2319)</x:f>
        <x:v>0.41935483870967744</x:v>
      </x:c>
      <x:c r="I2319" s="382" t="n">
        <x:f>SUMIFS('Climate Data'!$H$7:$H$366,'Climate Data'!$A$7:$A$366,'Estimator'!$B$4,'Climate Data'!$B$7:$B$366,C2319)</x:f>
        <x:v>9.215384615384615</x:v>
      </x:c>
      <x:c r="J2319" s="381" t="n">
        <x:f>SUMIFS('Wind Proxy'!$H$8:$H$19,'Wind Proxy'!$A$8:$A$19,'Estimator'!$B$4,'Wind Proxy'!$B$8:$B$19,C2319)</x:f>
        <x:v>0.11350059737156513</x:v>
      </x:c>
    </x:row>
    <x:row r="2320">
      <x:c r="A2320" s="379" t="n">
        <x:v>47971</x:v>
      </x:c>
      <x:c r="B2320" s="380" t="n">
        <x:v>2031</x:v>
      </x:c>
      <x:c r="C2320" s="380" t="n">
        <x:v>5</x:v>
      </x:c>
      <x:c r="D2320" s="380" t="str">
        <x:v>May</x:v>
      </x:c>
      <x:c r="E2320" s="380" t="n">
        <x:v>3</x:v>
      </x:c>
      <x:c r="F2320" s="380" t="n">
        <x:v>6</x:v>
      </x:c>
      <x:c r="G2320" s="380" t="n">
        <x:f>--(F2320&lt;='Estimator'!$B$7)</x:f>
        <x:v>0</x:v>
      </x:c>
      <x:c r="H2320" s="381" t="n">
        <x:f>SUMIFS('Climate Data'!$G$7:$G$366,'Climate Data'!$A$7:$A$366,'Estimator'!$B$4,'Climate Data'!$B$7:$B$366,C2320)</x:f>
        <x:v>0.41935483870967744</x:v>
      </x:c>
      <x:c r="I2320" s="382" t="n">
        <x:f>SUMIFS('Climate Data'!$H$7:$H$366,'Climate Data'!$A$7:$A$366,'Estimator'!$B$4,'Climate Data'!$B$7:$B$366,C2320)</x:f>
        <x:v>9.215384615384615</x:v>
      </x:c>
      <x:c r="J2320" s="381" t="n">
        <x:f>SUMIFS('Wind Proxy'!$H$8:$H$19,'Wind Proxy'!$A$8:$A$19,'Estimator'!$B$4,'Wind Proxy'!$B$8:$B$19,C2320)</x:f>
        <x:v>0.11350059737156513</x:v>
      </x:c>
    </x:row>
    <x:row r="2321">
      <x:c r="A2321" s="379" t="n">
        <x:v>47972</x:v>
      </x:c>
      <x:c r="B2321" s="380" t="n">
        <x:v>2031</x:v>
      </x:c>
      <x:c r="C2321" s="380" t="n">
        <x:v>5</x:v>
      </x:c>
      <x:c r="D2321" s="380" t="str">
        <x:v>May</x:v>
      </x:c>
      <x:c r="E2321" s="380" t="n">
        <x:v>4</x:v>
      </x:c>
      <x:c r="F2321" s="380" t="n">
        <x:v>7</x:v>
      </x:c>
      <x:c r="G2321" s="380" t="n">
        <x:f>--(F2321&lt;='Estimator'!$B$7)</x:f>
        <x:v>0</x:v>
      </x:c>
      <x:c r="H2321" s="381" t="n">
        <x:f>SUMIFS('Climate Data'!$G$7:$G$366,'Climate Data'!$A$7:$A$366,'Estimator'!$B$4,'Climate Data'!$B$7:$B$366,C2321)</x:f>
        <x:v>0.41935483870967744</x:v>
      </x:c>
      <x:c r="I2321" s="382" t="n">
        <x:f>SUMIFS('Climate Data'!$H$7:$H$366,'Climate Data'!$A$7:$A$366,'Estimator'!$B$4,'Climate Data'!$B$7:$B$366,C2321)</x:f>
        <x:v>9.215384615384615</x:v>
      </x:c>
      <x:c r="J2321" s="381" t="n">
        <x:f>SUMIFS('Wind Proxy'!$H$8:$H$19,'Wind Proxy'!$A$8:$A$19,'Estimator'!$B$4,'Wind Proxy'!$B$8:$B$19,C2321)</x:f>
        <x:v>0.11350059737156513</x:v>
      </x:c>
    </x:row>
    <x:row r="2322">
      <x:c r="A2322" s="379" t="n">
        <x:v>47973</x:v>
      </x:c>
      <x:c r="B2322" s="380" t="n">
        <x:v>2031</x:v>
      </x:c>
      <x:c r="C2322" s="380" t="n">
        <x:v>5</x:v>
      </x:c>
      <x:c r="D2322" s="380" t="str">
        <x:v>May</x:v>
      </x:c>
      <x:c r="E2322" s="380" t="n">
        <x:v>5</x:v>
      </x:c>
      <x:c r="F2322" s="380" t="n">
        <x:v>1</x:v>
      </x:c>
      <x:c r="G2322" s="380" t="n">
        <x:f>--(F2322&lt;='Estimator'!$B$7)</x:f>
        <x:v>1</x:v>
      </x:c>
      <x:c r="H2322" s="381" t="n">
        <x:f>SUMIFS('Climate Data'!$G$7:$G$366,'Climate Data'!$A$7:$A$366,'Estimator'!$B$4,'Climate Data'!$B$7:$B$366,C2322)</x:f>
        <x:v>0.41935483870967744</x:v>
      </x:c>
      <x:c r="I2322" s="382" t="n">
        <x:f>SUMIFS('Climate Data'!$H$7:$H$366,'Climate Data'!$A$7:$A$366,'Estimator'!$B$4,'Climate Data'!$B$7:$B$366,C2322)</x:f>
        <x:v>9.215384615384615</x:v>
      </x:c>
      <x:c r="J2322" s="381" t="n">
        <x:f>SUMIFS('Wind Proxy'!$H$8:$H$19,'Wind Proxy'!$A$8:$A$19,'Estimator'!$B$4,'Wind Proxy'!$B$8:$B$19,C2322)</x:f>
        <x:v>0.11350059737156513</x:v>
      </x:c>
    </x:row>
    <x:row r="2323">
      <x:c r="A2323" s="379" t="n">
        <x:v>47974</x:v>
      </x:c>
      <x:c r="B2323" s="380" t="n">
        <x:v>2031</x:v>
      </x:c>
      <x:c r="C2323" s="380" t="n">
        <x:v>5</x:v>
      </x:c>
      <x:c r="D2323" s="380" t="str">
        <x:v>May</x:v>
      </x:c>
      <x:c r="E2323" s="380" t="n">
        <x:v>6</x:v>
      </x:c>
      <x:c r="F2323" s="380" t="n">
        <x:v>2</x:v>
      </x:c>
      <x:c r="G2323" s="380" t="n">
        <x:f>--(F2323&lt;='Estimator'!$B$7)</x:f>
        <x:v>1</x:v>
      </x:c>
      <x:c r="H2323" s="381" t="n">
        <x:f>SUMIFS('Climate Data'!$G$7:$G$366,'Climate Data'!$A$7:$A$366,'Estimator'!$B$4,'Climate Data'!$B$7:$B$366,C2323)</x:f>
        <x:v>0.41935483870967744</x:v>
      </x:c>
      <x:c r="I2323" s="382" t="n">
        <x:f>SUMIFS('Climate Data'!$H$7:$H$366,'Climate Data'!$A$7:$A$366,'Estimator'!$B$4,'Climate Data'!$B$7:$B$366,C2323)</x:f>
        <x:v>9.215384615384615</x:v>
      </x:c>
      <x:c r="J2323" s="381" t="n">
        <x:f>SUMIFS('Wind Proxy'!$H$8:$H$19,'Wind Proxy'!$A$8:$A$19,'Estimator'!$B$4,'Wind Proxy'!$B$8:$B$19,C2323)</x:f>
        <x:v>0.11350059737156513</x:v>
      </x:c>
    </x:row>
    <x:row r="2324">
      <x:c r="A2324" s="379" t="n">
        <x:v>47975</x:v>
      </x:c>
      <x:c r="B2324" s="380" t="n">
        <x:v>2031</x:v>
      </x:c>
      <x:c r="C2324" s="380" t="n">
        <x:v>5</x:v>
      </x:c>
      <x:c r="D2324" s="380" t="str">
        <x:v>May</x:v>
      </x:c>
      <x:c r="E2324" s="380" t="n">
        <x:v>7</x:v>
      </x:c>
      <x:c r="F2324" s="380" t="n">
        <x:v>3</x:v>
      </x:c>
      <x:c r="G2324" s="380" t="n">
        <x:f>--(F2324&lt;='Estimator'!$B$7)</x:f>
        <x:v>1</x:v>
      </x:c>
      <x:c r="H2324" s="381" t="n">
        <x:f>SUMIFS('Climate Data'!$G$7:$G$366,'Climate Data'!$A$7:$A$366,'Estimator'!$B$4,'Climate Data'!$B$7:$B$366,C2324)</x:f>
        <x:v>0.41935483870967744</x:v>
      </x:c>
      <x:c r="I2324" s="382" t="n">
        <x:f>SUMIFS('Climate Data'!$H$7:$H$366,'Climate Data'!$A$7:$A$366,'Estimator'!$B$4,'Climate Data'!$B$7:$B$366,C2324)</x:f>
        <x:v>9.215384615384615</x:v>
      </x:c>
      <x:c r="J2324" s="381" t="n">
        <x:f>SUMIFS('Wind Proxy'!$H$8:$H$19,'Wind Proxy'!$A$8:$A$19,'Estimator'!$B$4,'Wind Proxy'!$B$8:$B$19,C2324)</x:f>
        <x:v>0.11350059737156513</x:v>
      </x:c>
    </x:row>
    <x:row r="2325">
      <x:c r="A2325" s="379" t="n">
        <x:v>47976</x:v>
      </x:c>
      <x:c r="B2325" s="380" t="n">
        <x:v>2031</x:v>
      </x:c>
      <x:c r="C2325" s="380" t="n">
        <x:v>5</x:v>
      </x:c>
      <x:c r="D2325" s="380" t="str">
        <x:v>May</x:v>
      </x:c>
      <x:c r="E2325" s="380" t="n">
        <x:v>8</x:v>
      </x:c>
      <x:c r="F2325" s="380" t="n">
        <x:v>4</x:v>
      </x:c>
      <x:c r="G2325" s="380" t="n">
        <x:f>--(F2325&lt;='Estimator'!$B$7)</x:f>
        <x:v>1</x:v>
      </x:c>
      <x:c r="H2325" s="381" t="n">
        <x:f>SUMIFS('Climate Data'!$G$7:$G$366,'Climate Data'!$A$7:$A$366,'Estimator'!$B$4,'Climate Data'!$B$7:$B$366,C2325)</x:f>
        <x:v>0.41935483870967744</x:v>
      </x:c>
      <x:c r="I2325" s="382" t="n">
        <x:f>SUMIFS('Climate Data'!$H$7:$H$366,'Climate Data'!$A$7:$A$366,'Estimator'!$B$4,'Climate Data'!$B$7:$B$366,C2325)</x:f>
        <x:v>9.215384615384615</x:v>
      </x:c>
      <x:c r="J2325" s="381" t="n">
        <x:f>SUMIFS('Wind Proxy'!$H$8:$H$19,'Wind Proxy'!$A$8:$A$19,'Estimator'!$B$4,'Wind Proxy'!$B$8:$B$19,C2325)</x:f>
        <x:v>0.11350059737156513</x:v>
      </x:c>
    </x:row>
    <x:row r="2326">
      <x:c r="A2326" s="379" t="n">
        <x:v>47977</x:v>
      </x:c>
      <x:c r="B2326" s="380" t="n">
        <x:v>2031</x:v>
      </x:c>
      <x:c r="C2326" s="380" t="n">
        <x:v>5</x:v>
      </x:c>
      <x:c r="D2326" s="380" t="str">
        <x:v>May</x:v>
      </x:c>
      <x:c r="E2326" s="380" t="n">
        <x:v>9</x:v>
      </x:c>
      <x:c r="F2326" s="380" t="n">
        <x:v>5</x:v>
      </x:c>
      <x:c r="G2326" s="380" t="n">
        <x:f>--(F2326&lt;='Estimator'!$B$7)</x:f>
        <x:v>1</x:v>
      </x:c>
      <x:c r="H2326" s="381" t="n">
        <x:f>SUMIFS('Climate Data'!$G$7:$G$366,'Climate Data'!$A$7:$A$366,'Estimator'!$B$4,'Climate Data'!$B$7:$B$366,C2326)</x:f>
        <x:v>0.41935483870967744</x:v>
      </x:c>
      <x:c r="I2326" s="382" t="n">
        <x:f>SUMIFS('Climate Data'!$H$7:$H$366,'Climate Data'!$A$7:$A$366,'Estimator'!$B$4,'Climate Data'!$B$7:$B$366,C2326)</x:f>
        <x:v>9.215384615384615</x:v>
      </x:c>
      <x:c r="J2326" s="381" t="n">
        <x:f>SUMIFS('Wind Proxy'!$H$8:$H$19,'Wind Proxy'!$A$8:$A$19,'Estimator'!$B$4,'Wind Proxy'!$B$8:$B$19,C2326)</x:f>
        <x:v>0.11350059737156513</x:v>
      </x:c>
    </x:row>
    <x:row r="2327">
      <x:c r="A2327" s="379" t="n">
        <x:v>47978</x:v>
      </x:c>
      <x:c r="B2327" s="380" t="n">
        <x:v>2031</x:v>
      </x:c>
      <x:c r="C2327" s="380" t="n">
        <x:v>5</x:v>
      </x:c>
      <x:c r="D2327" s="380" t="str">
        <x:v>May</x:v>
      </x:c>
      <x:c r="E2327" s="380" t="n">
        <x:v>10</x:v>
      </x:c>
      <x:c r="F2327" s="380" t="n">
        <x:v>6</x:v>
      </x:c>
      <x:c r="G2327" s="380" t="n">
        <x:f>--(F2327&lt;='Estimator'!$B$7)</x:f>
        <x:v>0</x:v>
      </x:c>
      <x:c r="H2327" s="381" t="n">
        <x:f>SUMIFS('Climate Data'!$G$7:$G$366,'Climate Data'!$A$7:$A$366,'Estimator'!$B$4,'Climate Data'!$B$7:$B$366,C2327)</x:f>
        <x:v>0.41935483870967744</x:v>
      </x:c>
      <x:c r="I2327" s="382" t="n">
        <x:f>SUMIFS('Climate Data'!$H$7:$H$366,'Climate Data'!$A$7:$A$366,'Estimator'!$B$4,'Climate Data'!$B$7:$B$366,C2327)</x:f>
        <x:v>9.215384615384615</x:v>
      </x:c>
      <x:c r="J2327" s="381" t="n">
        <x:f>SUMIFS('Wind Proxy'!$H$8:$H$19,'Wind Proxy'!$A$8:$A$19,'Estimator'!$B$4,'Wind Proxy'!$B$8:$B$19,C2327)</x:f>
        <x:v>0.11350059737156513</x:v>
      </x:c>
    </x:row>
    <x:row r="2328">
      <x:c r="A2328" s="379" t="n">
        <x:v>47979</x:v>
      </x:c>
      <x:c r="B2328" s="380" t="n">
        <x:v>2031</x:v>
      </x:c>
      <x:c r="C2328" s="380" t="n">
        <x:v>5</x:v>
      </x:c>
      <x:c r="D2328" s="380" t="str">
        <x:v>May</x:v>
      </x:c>
      <x:c r="E2328" s="380" t="n">
        <x:v>11</x:v>
      </x:c>
      <x:c r="F2328" s="380" t="n">
        <x:v>7</x:v>
      </x:c>
      <x:c r="G2328" s="380" t="n">
        <x:f>--(F2328&lt;='Estimator'!$B$7)</x:f>
        <x:v>0</x:v>
      </x:c>
      <x:c r="H2328" s="381" t="n">
        <x:f>SUMIFS('Climate Data'!$G$7:$G$366,'Climate Data'!$A$7:$A$366,'Estimator'!$B$4,'Climate Data'!$B$7:$B$366,C2328)</x:f>
        <x:v>0.41935483870967744</x:v>
      </x:c>
      <x:c r="I2328" s="382" t="n">
        <x:f>SUMIFS('Climate Data'!$H$7:$H$366,'Climate Data'!$A$7:$A$366,'Estimator'!$B$4,'Climate Data'!$B$7:$B$366,C2328)</x:f>
        <x:v>9.215384615384615</x:v>
      </x:c>
      <x:c r="J2328" s="381" t="n">
        <x:f>SUMIFS('Wind Proxy'!$H$8:$H$19,'Wind Proxy'!$A$8:$A$19,'Estimator'!$B$4,'Wind Proxy'!$B$8:$B$19,C2328)</x:f>
        <x:v>0.11350059737156513</x:v>
      </x:c>
    </x:row>
    <x:row r="2329">
      <x:c r="A2329" s="379" t="n">
        <x:v>47980</x:v>
      </x:c>
      <x:c r="B2329" s="380" t="n">
        <x:v>2031</x:v>
      </x:c>
      <x:c r="C2329" s="380" t="n">
        <x:v>5</x:v>
      </x:c>
      <x:c r="D2329" s="380" t="str">
        <x:v>May</x:v>
      </x:c>
      <x:c r="E2329" s="380" t="n">
        <x:v>12</x:v>
      </x:c>
      <x:c r="F2329" s="380" t="n">
        <x:v>1</x:v>
      </x:c>
      <x:c r="G2329" s="380" t="n">
        <x:f>--(F2329&lt;='Estimator'!$B$7)</x:f>
        <x:v>1</x:v>
      </x:c>
      <x:c r="H2329" s="381" t="n">
        <x:f>SUMIFS('Climate Data'!$G$7:$G$366,'Climate Data'!$A$7:$A$366,'Estimator'!$B$4,'Climate Data'!$B$7:$B$366,C2329)</x:f>
        <x:v>0.41935483870967744</x:v>
      </x:c>
      <x:c r="I2329" s="382" t="n">
        <x:f>SUMIFS('Climate Data'!$H$7:$H$366,'Climate Data'!$A$7:$A$366,'Estimator'!$B$4,'Climate Data'!$B$7:$B$366,C2329)</x:f>
        <x:v>9.215384615384615</x:v>
      </x:c>
      <x:c r="J2329" s="381" t="n">
        <x:f>SUMIFS('Wind Proxy'!$H$8:$H$19,'Wind Proxy'!$A$8:$A$19,'Estimator'!$B$4,'Wind Proxy'!$B$8:$B$19,C2329)</x:f>
        <x:v>0.11350059737156513</x:v>
      </x:c>
    </x:row>
    <x:row r="2330">
      <x:c r="A2330" s="379" t="n">
        <x:v>47981</x:v>
      </x:c>
      <x:c r="B2330" s="380" t="n">
        <x:v>2031</x:v>
      </x:c>
      <x:c r="C2330" s="380" t="n">
        <x:v>5</x:v>
      </x:c>
      <x:c r="D2330" s="380" t="str">
        <x:v>May</x:v>
      </x:c>
      <x:c r="E2330" s="380" t="n">
        <x:v>13</x:v>
      </x:c>
      <x:c r="F2330" s="380" t="n">
        <x:v>2</x:v>
      </x:c>
      <x:c r="G2330" s="380" t="n">
        <x:f>--(F2330&lt;='Estimator'!$B$7)</x:f>
        <x:v>1</x:v>
      </x:c>
      <x:c r="H2330" s="381" t="n">
        <x:f>SUMIFS('Climate Data'!$G$7:$G$366,'Climate Data'!$A$7:$A$366,'Estimator'!$B$4,'Climate Data'!$B$7:$B$366,C2330)</x:f>
        <x:v>0.41935483870967744</x:v>
      </x:c>
      <x:c r="I2330" s="382" t="n">
        <x:f>SUMIFS('Climate Data'!$H$7:$H$366,'Climate Data'!$A$7:$A$366,'Estimator'!$B$4,'Climate Data'!$B$7:$B$366,C2330)</x:f>
        <x:v>9.215384615384615</x:v>
      </x:c>
      <x:c r="J2330" s="381" t="n">
        <x:f>SUMIFS('Wind Proxy'!$H$8:$H$19,'Wind Proxy'!$A$8:$A$19,'Estimator'!$B$4,'Wind Proxy'!$B$8:$B$19,C2330)</x:f>
        <x:v>0.11350059737156513</x:v>
      </x:c>
    </x:row>
    <x:row r="2331">
      <x:c r="A2331" s="379" t="n">
        <x:v>47982</x:v>
      </x:c>
      <x:c r="B2331" s="380" t="n">
        <x:v>2031</x:v>
      </x:c>
      <x:c r="C2331" s="380" t="n">
        <x:v>5</x:v>
      </x:c>
      <x:c r="D2331" s="380" t="str">
        <x:v>May</x:v>
      </x:c>
      <x:c r="E2331" s="380" t="n">
        <x:v>14</x:v>
      </x:c>
      <x:c r="F2331" s="380" t="n">
        <x:v>3</x:v>
      </x:c>
      <x:c r="G2331" s="380" t="n">
        <x:f>--(F2331&lt;='Estimator'!$B$7)</x:f>
        <x:v>1</x:v>
      </x:c>
      <x:c r="H2331" s="381" t="n">
        <x:f>SUMIFS('Climate Data'!$G$7:$G$366,'Climate Data'!$A$7:$A$366,'Estimator'!$B$4,'Climate Data'!$B$7:$B$366,C2331)</x:f>
        <x:v>0.41935483870967744</x:v>
      </x:c>
      <x:c r="I2331" s="382" t="n">
        <x:f>SUMIFS('Climate Data'!$H$7:$H$366,'Climate Data'!$A$7:$A$366,'Estimator'!$B$4,'Climate Data'!$B$7:$B$366,C2331)</x:f>
        <x:v>9.215384615384615</x:v>
      </x:c>
      <x:c r="J2331" s="381" t="n">
        <x:f>SUMIFS('Wind Proxy'!$H$8:$H$19,'Wind Proxy'!$A$8:$A$19,'Estimator'!$B$4,'Wind Proxy'!$B$8:$B$19,C2331)</x:f>
        <x:v>0.11350059737156513</x:v>
      </x:c>
    </x:row>
    <x:row r="2332">
      <x:c r="A2332" s="379" t="n">
        <x:v>47983</x:v>
      </x:c>
      <x:c r="B2332" s="380" t="n">
        <x:v>2031</x:v>
      </x:c>
      <x:c r="C2332" s="380" t="n">
        <x:v>5</x:v>
      </x:c>
      <x:c r="D2332" s="380" t="str">
        <x:v>May</x:v>
      </x:c>
      <x:c r="E2332" s="380" t="n">
        <x:v>15</x:v>
      </x:c>
      <x:c r="F2332" s="380" t="n">
        <x:v>4</x:v>
      </x:c>
      <x:c r="G2332" s="380" t="n">
        <x:f>--(F2332&lt;='Estimator'!$B$7)</x:f>
        <x:v>1</x:v>
      </x:c>
      <x:c r="H2332" s="381" t="n">
        <x:f>SUMIFS('Climate Data'!$G$7:$G$366,'Climate Data'!$A$7:$A$366,'Estimator'!$B$4,'Climate Data'!$B$7:$B$366,C2332)</x:f>
        <x:v>0.41935483870967744</x:v>
      </x:c>
      <x:c r="I2332" s="382" t="n">
        <x:f>SUMIFS('Climate Data'!$H$7:$H$366,'Climate Data'!$A$7:$A$366,'Estimator'!$B$4,'Climate Data'!$B$7:$B$366,C2332)</x:f>
        <x:v>9.215384615384615</x:v>
      </x:c>
      <x:c r="J2332" s="381" t="n">
        <x:f>SUMIFS('Wind Proxy'!$H$8:$H$19,'Wind Proxy'!$A$8:$A$19,'Estimator'!$B$4,'Wind Proxy'!$B$8:$B$19,C2332)</x:f>
        <x:v>0.11350059737156513</x:v>
      </x:c>
    </x:row>
    <x:row r="2333">
      <x:c r="A2333" s="379" t="n">
        <x:v>47984</x:v>
      </x:c>
      <x:c r="B2333" s="380" t="n">
        <x:v>2031</x:v>
      </x:c>
      <x:c r="C2333" s="380" t="n">
        <x:v>5</x:v>
      </x:c>
      <x:c r="D2333" s="380" t="str">
        <x:v>May</x:v>
      </x:c>
      <x:c r="E2333" s="380" t="n">
        <x:v>16</x:v>
      </x:c>
      <x:c r="F2333" s="380" t="n">
        <x:v>5</x:v>
      </x:c>
      <x:c r="G2333" s="380" t="n">
        <x:f>--(F2333&lt;='Estimator'!$B$7)</x:f>
        <x:v>1</x:v>
      </x:c>
      <x:c r="H2333" s="381" t="n">
        <x:f>SUMIFS('Climate Data'!$G$7:$G$366,'Climate Data'!$A$7:$A$366,'Estimator'!$B$4,'Climate Data'!$B$7:$B$366,C2333)</x:f>
        <x:v>0.41935483870967744</x:v>
      </x:c>
      <x:c r="I2333" s="382" t="n">
        <x:f>SUMIFS('Climate Data'!$H$7:$H$366,'Climate Data'!$A$7:$A$366,'Estimator'!$B$4,'Climate Data'!$B$7:$B$366,C2333)</x:f>
        <x:v>9.215384615384615</x:v>
      </x:c>
      <x:c r="J2333" s="381" t="n">
        <x:f>SUMIFS('Wind Proxy'!$H$8:$H$19,'Wind Proxy'!$A$8:$A$19,'Estimator'!$B$4,'Wind Proxy'!$B$8:$B$19,C2333)</x:f>
        <x:v>0.11350059737156513</x:v>
      </x:c>
    </x:row>
    <x:row r="2334">
      <x:c r="A2334" s="379" t="n">
        <x:v>47985</x:v>
      </x:c>
      <x:c r="B2334" s="380" t="n">
        <x:v>2031</x:v>
      </x:c>
      <x:c r="C2334" s="380" t="n">
        <x:v>5</x:v>
      </x:c>
      <x:c r="D2334" s="380" t="str">
        <x:v>May</x:v>
      </x:c>
      <x:c r="E2334" s="380" t="n">
        <x:v>17</x:v>
      </x:c>
      <x:c r="F2334" s="380" t="n">
        <x:v>6</x:v>
      </x:c>
      <x:c r="G2334" s="380" t="n">
        <x:f>--(F2334&lt;='Estimator'!$B$7)</x:f>
        <x:v>0</x:v>
      </x:c>
      <x:c r="H2334" s="381" t="n">
        <x:f>SUMIFS('Climate Data'!$G$7:$G$366,'Climate Data'!$A$7:$A$366,'Estimator'!$B$4,'Climate Data'!$B$7:$B$366,C2334)</x:f>
        <x:v>0.41935483870967744</x:v>
      </x:c>
      <x:c r="I2334" s="382" t="n">
        <x:f>SUMIFS('Climate Data'!$H$7:$H$366,'Climate Data'!$A$7:$A$366,'Estimator'!$B$4,'Climate Data'!$B$7:$B$366,C2334)</x:f>
        <x:v>9.215384615384615</x:v>
      </x:c>
      <x:c r="J2334" s="381" t="n">
        <x:f>SUMIFS('Wind Proxy'!$H$8:$H$19,'Wind Proxy'!$A$8:$A$19,'Estimator'!$B$4,'Wind Proxy'!$B$8:$B$19,C2334)</x:f>
        <x:v>0.11350059737156513</x:v>
      </x:c>
    </x:row>
    <x:row r="2335">
      <x:c r="A2335" s="379" t="n">
        <x:v>47986</x:v>
      </x:c>
      <x:c r="B2335" s="380" t="n">
        <x:v>2031</x:v>
      </x:c>
      <x:c r="C2335" s="380" t="n">
        <x:v>5</x:v>
      </x:c>
      <x:c r="D2335" s="380" t="str">
        <x:v>May</x:v>
      </x:c>
      <x:c r="E2335" s="380" t="n">
        <x:v>18</x:v>
      </x:c>
      <x:c r="F2335" s="380" t="n">
        <x:v>7</x:v>
      </x:c>
      <x:c r="G2335" s="380" t="n">
        <x:f>--(F2335&lt;='Estimator'!$B$7)</x:f>
        <x:v>0</x:v>
      </x:c>
      <x:c r="H2335" s="381" t="n">
        <x:f>SUMIFS('Climate Data'!$G$7:$G$366,'Climate Data'!$A$7:$A$366,'Estimator'!$B$4,'Climate Data'!$B$7:$B$366,C2335)</x:f>
        <x:v>0.41935483870967744</x:v>
      </x:c>
      <x:c r="I2335" s="382" t="n">
        <x:f>SUMIFS('Climate Data'!$H$7:$H$366,'Climate Data'!$A$7:$A$366,'Estimator'!$B$4,'Climate Data'!$B$7:$B$366,C2335)</x:f>
        <x:v>9.215384615384615</x:v>
      </x:c>
      <x:c r="J2335" s="381" t="n">
        <x:f>SUMIFS('Wind Proxy'!$H$8:$H$19,'Wind Proxy'!$A$8:$A$19,'Estimator'!$B$4,'Wind Proxy'!$B$8:$B$19,C2335)</x:f>
        <x:v>0.11350059737156513</x:v>
      </x:c>
    </x:row>
    <x:row r="2336">
      <x:c r="A2336" s="379" t="n">
        <x:v>47987</x:v>
      </x:c>
      <x:c r="B2336" s="380" t="n">
        <x:v>2031</x:v>
      </x:c>
      <x:c r="C2336" s="380" t="n">
        <x:v>5</x:v>
      </x:c>
      <x:c r="D2336" s="380" t="str">
        <x:v>May</x:v>
      </x:c>
      <x:c r="E2336" s="380" t="n">
        <x:v>19</x:v>
      </x:c>
      <x:c r="F2336" s="380" t="n">
        <x:v>1</x:v>
      </x:c>
      <x:c r="G2336" s="380" t="n">
        <x:f>--(F2336&lt;='Estimator'!$B$7)</x:f>
        <x:v>1</x:v>
      </x:c>
      <x:c r="H2336" s="381" t="n">
        <x:f>SUMIFS('Climate Data'!$G$7:$G$366,'Climate Data'!$A$7:$A$366,'Estimator'!$B$4,'Climate Data'!$B$7:$B$366,C2336)</x:f>
        <x:v>0.41935483870967744</x:v>
      </x:c>
      <x:c r="I2336" s="382" t="n">
        <x:f>SUMIFS('Climate Data'!$H$7:$H$366,'Climate Data'!$A$7:$A$366,'Estimator'!$B$4,'Climate Data'!$B$7:$B$366,C2336)</x:f>
        <x:v>9.215384615384615</x:v>
      </x:c>
      <x:c r="J2336" s="381" t="n">
        <x:f>SUMIFS('Wind Proxy'!$H$8:$H$19,'Wind Proxy'!$A$8:$A$19,'Estimator'!$B$4,'Wind Proxy'!$B$8:$B$19,C2336)</x:f>
        <x:v>0.11350059737156513</x:v>
      </x:c>
    </x:row>
    <x:row r="2337">
      <x:c r="A2337" s="379" t="n">
        <x:v>47988</x:v>
      </x:c>
      <x:c r="B2337" s="380" t="n">
        <x:v>2031</x:v>
      </x:c>
      <x:c r="C2337" s="380" t="n">
        <x:v>5</x:v>
      </x:c>
      <x:c r="D2337" s="380" t="str">
        <x:v>May</x:v>
      </x:c>
      <x:c r="E2337" s="380" t="n">
        <x:v>20</x:v>
      </x:c>
      <x:c r="F2337" s="380" t="n">
        <x:v>2</x:v>
      </x:c>
      <x:c r="G2337" s="380" t="n">
        <x:f>--(F2337&lt;='Estimator'!$B$7)</x:f>
        <x:v>1</x:v>
      </x:c>
      <x:c r="H2337" s="381" t="n">
        <x:f>SUMIFS('Climate Data'!$G$7:$G$366,'Climate Data'!$A$7:$A$366,'Estimator'!$B$4,'Climate Data'!$B$7:$B$366,C2337)</x:f>
        <x:v>0.41935483870967744</x:v>
      </x:c>
      <x:c r="I2337" s="382" t="n">
        <x:f>SUMIFS('Climate Data'!$H$7:$H$366,'Climate Data'!$A$7:$A$366,'Estimator'!$B$4,'Climate Data'!$B$7:$B$366,C2337)</x:f>
        <x:v>9.215384615384615</x:v>
      </x:c>
      <x:c r="J2337" s="381" t="n">
        <x:f>SUMIFS('Wind Proxy'!$H$8:$H$19,'Wind Proxy'!$A$8:$A$19,'Estimator'!$B$4,'Wind Proxy'!$B$8:$B$19,C2337)</x:f>
        <x:v>0.11350059737156513</x:v>
      </x:c>
    </x:row>
    <x:row r="2338">
      <x:c r="A2338" s="379" t="n">
        <x:v>47989</x:v>
      </x:c>
      <x:c r="B2338" s="380" t="n">
        <x:v>2031</x:v>
      </x:c>
      <x:c r="C2338" s="380" t="n">
        <x:v>5</x:v>
      </x:c>
      <x:c r="D2338" s="380" t="str">
        <x:v>May</x:v>
      </x:c>
      <x:c r="E2338" s="380" t="n">
        <x:v>21</x:v>
      </x:c>
      <x:c r="F2338" s="380" t="n">
        <x:v>3</x:v>
      </x:c>
      <x:c r="G2338" s="380" t="n">
        <x:f>--(F2338&lt;='Estimator'!$B$7)</x:f>
        <x:v>1</x:v>
      </x:c>
      <x:c r="H2338" s="381" t="n">
        <x:f>SUMIFS('Climate Data'!$G$7:$G$366,'Climate Data'!$A$7:$A$366,'Estimator'!$B$4,'Climate Data'!$B$7:$B$366,C2338)</x:f>
        <x:v>0.41935483870967744</x:v>
      </x:c>
      <x:c r="I2338" s="382" t="n">
        <x:f>SUMIFS('Climate Data'!$H$7:$H$366,'Climate Data'!$A$7:$A$366,'Estimator'!$B$4,'Climate Data'!$B$7:$B$366,C2338)</x:f>
        <x:v>9.215384615384615</x:v>
      </x:c>
      <x:c r="J2338" s="381" t="n">
        <x:f>SUMIFS('Wind Proxy'!$H$8:$H$19,'Wind Proxy'!$A$8:$A$19,'Estimator'!$B$4,'Wind Proxy'!$B$8:$B$19,C2338)</x:f>
        <x:v>0.11350059737156513</x:v>
      </x:c>
    </x:row>
    <x:row r="2339">
      <x:c r="A2339" s="379" t="n">
        <x:v>47990</x:v>
      </x:c>
      <x:c r="B2339" s="380" t="n">
        <x:v>2031</x:v>
      </x:c>
      <x:c r="C2339" s="380" t="n">
        <x:v>5</x:v>
      </x:c>
      <x:c r="D2339" s="380" t="str">
        <x:v>May</x:v>
      </x:c>
      <x:c r="E2339" s="380" t="n">
        <x:v>22</x:v>
      </x:c>
      <x:c r="F2339" s="380" t="n">
        <x:v>4</x:v>
      </x:c>
      <x:c r="G2339" s="380" t="n">
        <x:f>--(F2339&lt;='Estimator'!$B$7)</x:f>
        <x:v>1</x:v>
      </x:c>
      <x:c r="H2339" s="381" t="n">
        <x:f>SUMIFS('Climate Data'!$G$7:$G$366,'Climate Data'!$A$7:$A$366,'Estimator'!$B$4,'Climate Data'!$B$7:$B$366,C2339)</x:f>
        <x:v>0.41935483870967744</x:v>
      </x:c>
      <x:c r="I2339" s="382" t="n">
        <x:f>SUMIFS('Climate Data'!$H$7:$H$366,'Climate Data'!$A$7:$A$366,'Estimator'!$B$4,'Climate Data'!$B$7:$B$366,C2339)</x:f>
        <x:v>9.215384615384615</x:v>
      </x:c>
      <x:c r="J2339" s="381" t="n">
        <x:f>SUMIFS('Wind Proxy'!$H$8:$H$19,'Wind Proxy'!$A$8:$A$19,'Estimator'!$B$4,'Wind Proxy'!$B$8:$B$19,C2339)</x:f>
        <x:v>0.11350059737156513</x:v>
      </x:c>
    </x:row>
    <x:row r="2340">
      <x:c r="A2340" s="379" t="n">
        <x:v>47991</x:v>
      </x:c>
      <x:c r="B2340" s="380" t="n">
        <x:v>2031</x:v>
      </x:c>
      <x:c r="C2340" s="380" t="n">
        <x:v>5</x:v>
      </x:c>
      <x:c r="D2340" s="380" t="str">
        <x:v>May</x:v>
      </x:c>
      <x:c r="E2340" s="380" t="n">
        <x:v>23</x:v>
      </x:c>
      <x:c r="F2340" s="380" t="n">
        <x:v>5</x:v>
      </x:c>
      <x:c r="G2340" s="380" t="n">
        <x:f>--(F2340&lt;='Estimator'!$B$7)</x:f>
        <x:v>1</x:v>
      </x:c>
      <x:c r="H2340" s="381" t="n">
        <x:f>SUMIFS('Climate Data'!$G$7:$G$366,'Climate Data'!$A$7:$A$366,'Estimator'!$B$4,'Climate Data'!$B$7:$B$366,C2340)</x:f>
        <x:v>0.41935483870967744</x:v>
      </x:c>
      <x:c r="I2340" s="382" t="n">
        <x:f>SUMIFS('Climate Data'!$H$7:$H$366,'Climate Data'!$A$7:$A$366,'Estimator'!$B$4,'Climate Data'!$B$7:$B$366,C2340)</x:f>
        <x:v>9.215384615384615</x:v>
      </x:c>
      <x:c r="J2340" s="381" t="n">
        <x:f>SUMIFS('Wind Proxy'!$H$8:$H$19,'Wind Proxy'!$A$8:$A$19,'Estimator'!$B$4,'Wind Proxy'!$B$8:$B$19,C2340)</x:f>
        <x:v>0.11350059737156513</x:v>
      </x:c>
    </x:row>
    <x:row r="2341">
      <x:c r="A2341" s="379" t="n">
        <x:v>47992</x:v>
      </x:c>
      <x:c r="B2341" s="380" t="n">
        <x:v>2031</x:v>
      </x:c>
      <x:c r="C2341" s="380" t="n">
        <x:v>5</x:v>
      </x:c>
      <x:c r="D2341" s="380" t="str">
        <x:v>May</x:v>
      </x:c>
      <x:c r="E2341" s="380" t="n">
        <x:v>24</x:v>
      </x:c>
      <x:c r="F2341" s="380" t="n">
        <x:v>6</x:v>
      </x:c>
      <x:c r="G2341" s="380" t="n">
        <x:f>--(F2341&lt;='Estimator'!$B$7)</x:f>
        <x:v>0</x:v>
      </x:c>
      <x:c r="H2341" s="381" t="n">
        <x:f>SUMIFS('Climate Data'!$G$7:$G$366,'Climate Data'!$A$7:$A$366,'Estimator'!$B$4,'Climate Data'!$B$7:$B$366,C2341)</x:f>
        <x:v>0.41935483870967744</x:v>
      </x:c>
      <x:c r="I2341" s="382" t="n">
        <x:f>SUMIFS('Climate Data'!$H$7:$H$366,'Climate Data'!$A$7:$A$366,'Estimator'!$B$4,'Climate Data'!$B$7:$B$366,C2341)</x:f>
        <x:v>9.215384615384615</x:v>
      </x:c>
      <x:c r="J2341" s="381" t="n">
        <x:f>SUMIFS('Wind Proxy'!$H$8:$H$19,'Wind Proxy'!$A$8:$A$19,'Estimator'!$B$4,'Wind Proxy'!$B$8:$B$19,C2341)</x:f>
        <x:v>0.11350059737156513</x:v>
      </x:c>
    </x:row>
    <x:row r="2342">
      <x:c r="A2342" s="379" t="n">
        <x:v>47993</x:v>
      </x:c>
      <x:c r="B2342" s="380" t="n">
        <x:v>2031</x:v>
      </x:c>
      <x:c r="C2342" s="380" t="n">
        <x:v>5</x:v>
      </x:c>
      <x:c r="D2342" s="380" t="str">
        <x:v>May</x:v>
      </x:c>
      <x:c r="E2342" s="380" t="n">
        <x:v>25</x:v>
      </x:c>
      <x:c r="F2342" s="380" t="n">
        <x:v>7</x:v>
      </x:c>
      <x:c r="G2342" s="380" t="n">
        <x:f>--(F2342&lt;='Estimator'!$B$7)</x:f>
        <x:v>0</x:v>
      </x:c>
      <x:c r="H2342" s="381" t="n">
        <x:f>SUMIFS('Climate Data'!$G$7:$G$366,'Climate Data'!$A$7:$A$366,'Estimator'!$B$4,'Climate Data'!$B$7:$B$366,C2342)</x:f>
        <x:v>0.41935483870967744</x:v>
      </x:c>
      <x:c r="I2342" s="382" t="n">
        <x:f>SUMIFS('Climate Data'!$H$7:$H$366,'Climate Data'!$A$7:$A$366,'Estimator'!$B$4,'Climate Data'!$B$7:$B$366,C2342)</x:f>
        <x:v>9.215384615384615</x:v>
      </x:c>
      <x:c r="J2342" s="381" t="n">
        <x:f>SUMIFS('Wind Proxy'!$H$8:$H$19,'Wind Proxy'!$A$8:$A$19,'Estimator'!$B$4,'Wind Proxy'!$B$8:$B$19,C2342)</x:f>
        <x:v>0.11350059737156513</x:v>
      </x:c>
    </x:row>
    <x:row r="2343">
      <x:c r="A2343" s="379" t="n">
        <x:v>47994</x:v>
      </x:c>
      <x:c r="B2343" s="380" t="n">
        <x:v>2031</x:v>
      </x:c>
      <x:c r="C2343" s="380" t="n">
        <x:v>5</x:v>
      </x:c>
      <x:c r="D2343" s="380" t="str">
        <x:v>May</x:v>
      </x:c>
      <x:c r="E2343" s="380" t="n">
        <x:v>26</x:v>
      </x:c>
      <x:c r="F2343" s="380" t="n">
        <x:v>1</x:v>
      </x:c>
      <x:c r="G2343" s="380" t="n">
        <x:f>--(F2343&lt;='Estimator'!$B$7)</x:f>
        <x:v>1</x:v>
      </x:c>
      <x:c r="H2343" s="381" t="n">
        <x:f>SUMIFS('Climate Data'!$G$7:$G$366,'Climate Data'!$A$7:$A$366,'Estimator'!$B$4,'Climate Data'!$B$7:$B$366,C2343)</x:f>
        <x:v>0.41935483870967744</x:v>
      </x:c>
      <x:c r="I2343" s="382" t="n">
        <x:f>SUMIFS('Climate Data'!$H$7:$H$366,'Climate Data'!$A$7:$A$366,'Estimator'!$B$4,'Climate Data'!$B$7:$B$366,C2343)</x:f>
        <x:v>9.215384615384615</x:v>
      </x:c>
      <x:c r="J2343" s="381" t="n">
        <x:f>SUMIFS('Wind Proxy'!$H$8:$H$19,'Wind Proxy'!$A$8:$A$19,'Estimator'!$B$4,'Wind Proxy'!$B$8:$B$19,C2343)</x:f>
        <x:v>0.11350059737156513</x:v>
      </x:c>
    </x:row>
    <x:row r="2344">
      <x:c r="A2344" s="379" t="n">
        <x:v>47995</x:v>
      </x:c>
      <x:c r="B2344" s="380" t="n">
        <x:v>2031</x:v>
      </x:c>
      <x:c r="C2344" s="380" t="n">
        <x:v>5</x:v>
      </x:c>
      <x:c r="D2344" s="380" t="str">
        <x:v>May</x:v>
      </x:c>
      <x:c r="E2344" s="380" t="n">
        <x:v>27</x:v>
      </x:c>
      <x:c r="F2344" s="380" t="n">
        <x:v>2</x:v>
      </x:c>
      <x:c r="G2344" s="380" t="n">
        <x:f>--(F2344&lt;='Estimator'!$B$7)</x:f>
        <x:v>1</x:v>
      </x:c>
      <x:c r="H2344" s="381" t="n">
        <x:f>SUMIFS('Climate Data'!$G$7:$G$366,'Climate Data'!$A$7:$A$366,'Estimator'!$B$4,'Climate Data'!$B$7:$B$366,C2344)</x:f>
        <x:v>0.41935483870967744</x:v>
      </x:c>
      <x:c r="I2344" s="382" t="n">
        <x:f>SUMIFS('Climate Data'!$H$7:$H$366,'Climate Data'!$A$7:$A$366,'Estimator'!$B$4,'Climate Data'!$B$7:$B$366,C2344)</x:f>
        <x:v>9.215384615384615</x:v>
      </x:c>
      <x:c r="J2344" s="381" t="n">
        <x:f>SUMIFS('Wind Proxy'!$H$8:$H$19,'Wind Proxy'!$A$8:$A$19,'Estimator'!$B$4,'Wind Proxy'!$B$8:$B$19,C2344)</x:f>
        <x:v>0.11350059737156513</x:v>
      </x:c>
    </x:row>
    <x:row r="2345">
      <x:c r="A2345" s="379" t="n">
        <x:v>47996</x:v>
      </x:c>
      <x:c r="B2345" s="380" t="n">
        <x:v>2031</x:v>
      </x:c>
      <x:c r="C2345" s="380" t="n">
        <x:v>5</x:v>
      </x:c>
      <x:c r="D2345" s="380" t="str">
        <x:v>May</x:v>
      </x:c>
      <x:c r="E2345" s="380" t="n">
        <x:v>28</x:v>
      </x:c>
      <x:c r="F2345" s="380" t="n">
        <x:v>3</x:v>
      </x:c>
      <x:c r="G2345" s="380" t="n">
        <x:f>--(F2345&lt;='Estimator'!$B$7)</x:f>
        <x:v>1</x:v>
      </x:c>
      <x:c r="H2345" s="381" t="n">
        <x:f>SUMIFS('Climate Data'!$G$7:$G$366,'Climate Data'!$A$7:$A$366,'Estimator'!$B$4,'Climate Data'!$B$7:$B$366,C2345)</x:f>
        <x:v>0.41935483870967744</x:v>
      </x:c>
      <x:c r="I2345" s="382" t="n">
        <x:f>SUMIFS('Climate Data'!$H$7:$H$366,'Climate Data'!$A$7:$A$366,'Estimator'!$B$4,'Climate Data'!$B$7:$B$366,C2345)</x:f>
        <x:v>9.215384615384615</x:v>
      </x:c>
      <x:c r="J2345" s="381" t="n">
        <x:f>SUMIFS('Wind Proxy'!$H$8:$H$19,'Wind Proxy'!$A$8:$A$19,'Estimator'!$B$4,'Wind Proxy'!$B$8:$B$19,C2345)</x:f>
        <x:v>0.11350059737156513</x:v>
      </x:c>
    </x:row>
    <x:row r="2346">
      <x:c r="A2346" s="379" t="n">
        <x:v>47997</x:v>
      </x:c>
      <x:c r="B2346" s="380" t="n">
        <x:v>2031</x:v>
      </x:c>
      <x:c r="C2346" s="380" t="n">
        <x:v>5</x:v>
      </x:c>
      <x:c r="D2346" s="380" t="str">
        <x:v>May</x:v>
      </x:c>
      <x:c r="E2346" s="380" t="n">
        <x:v>29</x:v>
      </x:c>
      <x:c r="F2346" s="380" t="n">
        <x:v>4</x:v>
      </x:c>
      <x:c r="G2346" s="380" t="n">
        <x:f>--(F2346&lt;='Estimator'!$B$7)</x:f>
        <x:v>1</x:v>
      </x:c>
      <x:c r="H2346" s="381" t="n">
        <x:f>SUMIFS('Climate Data'!$G$7:$G$366,'Climate Data'!$A$7:$A$366,'Estimator'!$B$4,'Climate Data'!$B$7:$B$366,C2346)</x:f>
        <x:v>0.41935483870967744</x:v>
      </x:c>
      <x:c r="I2346" s="382" t="n">
        <x:f>SUMIFS('Climate Data'!$H$7:$H$366,'Climate Data'!$A$7:$A$366,'Estimator'!$B$4,'Climate Data'!$B$7:$B$366,C2346)</x:f>
        <x:v>9.215384615384615</x:v>
      </x:c>
      <x:c r="J2346" s="381" t="n">
        <x:f>SUMIFS('Wind Proxy'!$H$8:$H$19,'Wind Proxy'!$A$8:$A$19,'Estimator'!$B$4,'Wind Proxy'!$B$8:$B$19,C2346)</x:f>
        <x:v>0.11350059737156513</x:v>
      </x:c>
    </x:row>
    <x:row r="2347">
      <x:c r="A2347" s="379" t="n">
        <x:v>47998</x:v>
      </x:c>
      <x:c r="B2347" s="380" t="n">
        <x:v>2031</x:v>
      </x:c>
      <x:c r="C2347" s="380" t="n">
        <x:v>5</x:v>
      </x:c>
      <x:c r="D2347" s="380" t="str">
        <x:v>May</x:v>
      </x:c>
      <x:c r="E2347" s="380" t="n">
        <x:v>30</x:v>
      </x:c>
      <x:c r="F2347" s="380" t="n">
        <x:v>5</x:v>
      </x:c>
      <x:c r="G2347" s="380" t="n">
        <x:f>--(F2347&lt;='Estimator'!$B$7)</x:f>
        <x:v>1</x:v>
      </x:c>
      <x:c r="H2347" s="381" t="n">
        <x:f>SUMIFS('Climate Data'!$G$7:$G$366,'Climate Data'!$A$7:$A$366,'Estimator'!$B$4,'Climate Data'!$B$7:$B$366,C2347)</x:f>
        <x:v>0.41935483870967744</x:v>
      </x:c>
      <x:c r="I2347" s="382" t="n">
        <x:f>SUMIFS('Climate Data'!$H$7:$H$366,'Climate Data'!$A$7:$A$366,'Estimator'!$B$4,'Climate Data'!$B$7:$B$366,C2347)</x:f>
        <x:v>9.215384615384615</x:v>
      </x:c>
      <x:c r="J2347" s="381" t="n">
        <x:f>SUMIFS('Wind Proxy'!$H$8:$H$19,'Wind Proxy'!$A$8:$A$19,'Estimator'!$B$4,'Wind Proxy'!$B$8:$B$19,C2347)</x:f>
        <x:v>0.11350059737156513</x:v>
      </x:c>
    </x:row>
    <x:row r="2348">
      <x:c r="A2348" s="379" t="n">
        <x:v>47999</x:v>
      </x:c>
      <x:c r="B2348" s="380" t="n">
        <x:v>2031</x:v>
      </x:c>
      <x:c r="C2348" s="380" t="n">
        <x:v>5</x:v>
      </x:c>
      <x:c r="D2348" s="380" t="str">
        <x:v>May</x:v>
      </x:c>
      <x:c r="E2348" s="380" t="n">
        <x:v>31</x:v>
      </x:c>
      <x:c r="F2348" s="380" t="n">
        <x:v>6</x:v>
      </x:c>
      <x:c r="G2348" s="380" t="n">
        <x:f>--(F2348&lt;='Estimator'!$B$7)</x:f>
        <x:v>0</x:v>
      </x:c>
      <x:c r="H2348" s="381" t="n">
        <x:f>SUMIFS('Climate Data'!$G$7:$G$366,'Climate Data'!$A$7:$A$366,'Estimator'!$B$4,'Climate Data'!$B$7:$B$366,C2348)</x:f>
        <x:v>0.41935483870967744</x:v>
      </x:c>
      <x:c r="I2348" s="382" t="n">
        <x:f>SUMIFS('Climate Data'!$H$7:$H$366,'Climate Data'!$A$7:$A$366,'Estimator'!$B$4,'Climate Data'!$B$7:$B$366,C2348)</x:f>
        <x:v>9.215384615384615</x:v>
      </x:c>
      <x:c r="J2348" s="381" t="n">
        <x:f>SUMIFS('Wind Proxy'!$H$8:$H$19,'Wind Proxy'!$A$8:$A$19,'Estimator'!$B$4,'Wind Proxy'!$B$8:$B$19,C2348)</x:f>
        <x:v>0.11350059737156513</x:v>
      </x:c>
    </x:row>
    <x:row r="2349">
      <x:c r="A2349" s="379" t="n">
        <x:v>48000</x:v>
      </x:c>
      <x:c r="B2349" s="380" t="n">
        <x:v>2031</x:v>
      </x:c>
      <x:c r="C2349" s="380" t="n">
        <x:v>6</x:v>
      </x:c>
      <x:c r="D2349" s="380" t="str">
        <x:v>Jun</x:v>
      </x:c>
      <x:c r="E2349" s="380" t="n">
        <x:v>1</x:v>
      </x:c>
      <x:c r="F2349" s="380" t="n">
        <x:v>7</x:v>
      </x:c>
      <x:c r="G2349" s="380" t="n">
        <x:f>--(F2349&lt;='Estimator'!$B$7)</x:f>
        <x:v>0</x:v>
      </x:c>
      <x:c r="H2349" s="381" t="n">
        <x:f>SUMIFS('Climate Data'!$G$7:$G$366,'Climate Data'!$A$7:$A$366,'Estimator'!$B$4,'Climate Data'!$B$7:$B$366,C2349)</x:f>
        <x:v>0.475</x:v>
      </x:c>
      <x:c r="I2349" s="382" t="n">
        <x:f>SUMIFS('Climate Data'!$H$7:$H$366,'Climate Data'!$A$7:$A$366,'Estimator'!$B$4,'Climate Data'!$B$7:$B$366,C2349)</x:f>
        <x:v>8.378947368421054</x:v>
      </x:c>
      <x:c r="J2349" s="381" t="n">
        <x:f>SUMIFS('Wind Proxy'!$H$8:$H$19,'Wind Proxy'!$A$8:$A$19,'Estimator'!$B$4,'Wind Proxy'!$B$8:$B$19,C2349)</x:f>
        <x:v>0.14197530864197533</x:v>
      </x:c>
    </x:row>
    <x:row r="2350">
      <x:c r="A2350" s="379" t="n">
        <x:v>48001</x:v>
      </x:c>
      <x:c r="B2350" s="380" t="n">
        <x:v>2031</x:v>
      </x:c>
      <x:c r="C2350" s="380" t="n">
        <x:v>6</x:v>
      </x:c>
      <x:c r="D2350" s="380" t="str">
        <x:v>Jun</x:v>
      </x:c>
      <x:c r="E2350" s="380" t="n">
        <x:v>2</x:v>
      </x:c>
      <x:c r="F2350" s="380" t="n">
        <x:v>1</x:v>
      </x:c>
      <x:c r="G2350" s="380" t="n">
        <x:f>--(F2350&lt;='Estimator'!$B$7)</x:f>
        <x:v>1</x:v>
      </x:c>
      <x:c r="H2350" s="381" t="n">
        <x:f>SUMIFS('Climate Data'!$G$7:$G$366,'Climate Data'!$A$7:$A$366,'Estimator'!$B$4,'Climate Data'!$B$7:$B$366,C2350)</x:f>
        <x:v>0.475</x:v>
      </x:c>
      <x:c r="I2350" s="382" t="n">
        <x:f>SUMIFS('Climate Data'!$H$7:$H$366,'Climate Data'!$A$7:$A$366,'Estimator'!$B$4,'Climate Data'!$B$7:$B$366,C2350)</x:f>
        <x:v>8.378947368421054</x:v>
      </x:c>
      <x:c r="J2350" s="381" t="n">
        <x:f>SUMIFS('Wind Proxy'!$H$8:$H$19,'Wind Proxy'!$A$8:$A$19,'Estimator'!$B$4,'Wind Proxy'!$B$8:$B$19,C2350)</x:f>
        <x:v>0.14197530864197533</x:v>
      </x:c>
    </x:row>
    <x:row r="2351">
      <x:c r="A2351" s="379" t="n">
        <x:v>48002</x:v>
      </x:c>
      <x:c r="B2351" s="380" t="n">
        <x:v>2031</x:v>
      </x:c>
      <x:c r="C2351" s="380" t="n">
        <x:v>6</x:v>
      </x:c>
      <x:c r="D2351" s="380" t="str">
        <x:v>Jun</x:v>
      </x:c>
      <x:c r="E2351" s="380" t="n">
        <x:v>3</x:v>
      </x:c>
      <x:c r="F2351" s="380" t="n">
        <x:v>2</x:v>
      </x:c>
      <x:c r="G2351" s="380" t="n">
        <x:f>--(F2351&lt;='Estimator'!$B$7)</x:f>
        <x:v>1</x:v>
      </x:c>
      <x:c r="H2351" s="381" t="n">
        <x:f>SUMIFS('Climate Data'!$G$7:$G$366,'Climate Data'!$A$7:$A$366,'Estimator'!$B$4,'Climate Data'!$B$7:$B$366,C2351)</x:f>
        <x:v>0.475</x:v>
      </x:c>
      <x:c r="I2351" s="382" t="n">
        <x:f>SUMIFS('Climate Data'!$H$7:$H$366,'Climate Data'!$A$7:$A$366,'Estimator'!$B$4,'Climate Data'!$B$7:$B$366,C2351)</x:f>
        <x:v>8.378947368421054</x:v>
      </x:c>
      <x:c r="J2351" s="381" t="n">
        <x:f>SUMIFS('Wind Proxy'!$H$8:$H$19,'Wind Proxy'!$A$8:$A$19,'Estimator'!$B$4,'Wind Proxy'!$B$8:$B$19,C2351)</x:f>
        <x:v>0.14197530864197533</x:v>
      </x:c>
    </x:row>
    <x:row r="2352">
      <x:c r="A2352" s="379" t="n">
        <x:v>48003</x:v>
      </x:c>
      <x:c r="B2352" s="380" t="n">
        <x:v>2031</x:v>
      </x:c>
      <x:c r="C2352" s="380" t="n">
        <x:v>6</x:v>
      </x:c>
      <x:c r="D2352" s="380" t="str">
        <x:v>Jun</x:v>
      </x:c>
      <x:c r="E2352" s="380" t="n">
        <x:v>4</x:v>
      </x:c>
      <x:c r="F2352" s="380" t="n">
        <x:v>3</x:v>
      </x:c>
      <x:c r="G2352" s="380" t="n">
        <x:f>--(F2352&lt;='Estimator'!$B$7)</x:f>
        <x:v>1</x:v>
      </x:c>
      <x:c r="H2352" s="381" t="n">
        <x:f>SUMIFS('Climate Data'!$G$7:$G$366,'Climate Data'!$A$7:$A$366,'Estimator'!$B$4,'Climate Data'!$B$7:$B$366,C2352)</x:f>
        <x:v>0.475</x:v>
      </x:c>
      <x:c r="I2352" s="382" t="n">
        <x:f>SUMIFS('Climate Data'!$H$7:$H$366,'Climate Data'!$A$7:$A$366,'Estimator'!$B$4,'Climate Data'!$B$7:$B$366,C2352)</x:f>
        <x:v>8.378947368421054</x:v>
      </x:c>
      <x:c r="J2352" s="381" t="n">
        <x:f>SUMIFS('Wind Proxy'!$H$8:$H$19,'Wind Proxy'!$A$8:$A$19,'Estimator'!$B$4,'Wind Proxy'!$B$8:$B$19,C2352)</x:f>
        <x:v>0.14197530864197533</x:v>
      </x:c>
    </x:row>
    <x:row r="2353">
      <x:c r="A2353" s="379" t="n">
        <x:v>48004</x:v>
      </x:c>
      <x:c r="B2353" s="380" t="n">
        <x:v>2031</x:v>
      </x:c>
      <x:c r="C2353" s="380" t="n">
        <x:v>6</x:v>
      </x:c>
      <x:c r="D2353" s="380" t="str">
        <x:v>Jun</x:v>
      </x:c>
      <x:c r="E2353" s="380" t="n">
        <x:v>5</x:v>
      </x:c>
      <x:c r="F2353" s="380" t="n">
        <x:v>4</x:v>
      </x:c>
      <x:c r="G2353" s="380" t="n">
        <x:f>--(F2353&lt;='Estimator'!$B$7)</x:f>
        <x:v>1</x:v>
      </x:c>
      <x:c r="H2353" s="381" t="n">
        <x:f>SUMIFS('Climate Data'!$G$7:$G$366,'Climate Data'!$A$7:$A$366,'Estimator'!$B$4,'Climate Data'!$B$7:$B$366,C2353)</x:f>
        <x:v>0.475</x:v>
      </x:c>
      <x:c r="I2353" s="382" t="n">
        <x:f>SUMIFS('Climate Data'!$H$7:$H$366,'Climate Data'!$A$7:$A$366,'Estimator'!$B$4,'Climate Data'!$B$7:$B$366,C2353)</x:f>
        <x:v>8.378947368421054</x:v>
      </x:c>
      <x:c r="J2353" s="381" t="n">
        <x:f>SUMIFS('Wind Proxy'!$H$8:$H$19,'Wind Proxy'!$A$8:$A$19,'Estimator'!$B$4,'Wind Proxy'!$B$8:$B$19,C2353)</x:f>
        <x:v>0.14197530864197533</x:v>
      </x:c>
    </x:row>
    <x:row r="2354">
      <x:c r="A2354" s="379" t="n">
        <x:v>48005</x:v>
      </x:c>
      <x:c r="B2354" s="380" t="n">
        <x:v>2031</x:v>
      </x:c>
      <x:c r="C2354" s="380" t="n">
        <x:v>6</x:v>
      </x:c>
      <x:c r="D2354" s="380" t="str">
        <x:v>Jun</x:v>
      </x:c>
      <x:c r="E2354" s="380" t="n">
        <x:v>6</x:v>
      </x:c>
      <x:c r="F2354" s="380" t="n">
        <x:v>5</x:v>
      </x:c>
      <x:c r="G2354" s="380" t="n">
        <x:f>--(F2354&lt;='Estimator'!$B$7)</x:f>
        <x:v>1</x:v>
      </x:c>
      <x:c r="H2354" s="381" t="n">
        <x:f>SUMIFS('Climate Data'!$G$7:$G$366,'Climate Data'!$A$7:$A$366,'Estimator'!$B$4,'Climate Data'!$B$7:$B$366,C2354)</x:f>
        <x:v>0.475</x:v>
      </x:c>
      <x:c r="I2354" s="382" t="n">
        <x:f>SUMIFS('Climate Data'!$H$7:$H$366,'Climate Data'!$A$7:$A$366,'Estimator'!$B$4,'Climate Data'!$B$7:$B$366,C2354)</x:f>
        <x:v>8.378947368421054</x:v>
      </x:c>
      <x:c r="J2354" s="381" t="n">
        <x:f>SUMIFS('Wind Proxy'!$H$8:$H$19,'Wind Proxy'!$A$8:$A$19,'Estimator'!$B$4,'Wind Proxy'!$B$8:$B$19,C2354)</x:f>
        <x:v>0.14197530864197533</x:v>
      </x:c>
    </x:row>
    <x:row r="2355">
      <x:c r="A2355" s="379" t="n">
        <x:v>48006</x:v>
      </x:c>
      <x:c r="B2355" s="380" t="n">
        <x:v>2031</x:v>
      </x:c>
      <x:c r="C2355" s="380" t="n">
        <x:v>6</x:v>
      </x:c>
      <x:c r="D2355" s="380" t="str">
        <x:v>Jun</x:v>
      </x:c>
      <x:c r="E2355" s="380" t="n">
        <x:v>7</x:v>
      </x:c>
      <x:c r="F2355" s="380" t="n">
        <x:v>6</x:v>
      </x:c>
      <x:c r="G2355" s="380" t="n">
        <x:f>--(F2355&lt;='Estimator'!$B$7)</x:f>
        <x:v>0</x:v>
      </x:c>
      <x:c r="H2355" s="381" t="n">
        <x:f>SUMIFS('Climate Data'!$G$7:$G$366,'Climate Data'!$A$7:$A$366,'Estimator'!$B$4,'Climate Data'!$B$7:$B$366,C2355)</x:f>
        <x:v>0.475</x:v>
      </x:c>
      <x:c r="I2355" s="382" t="n">
        <x:f>SUMIFS('Climate Data'!$H$7:$H$366,'Climate Data'!$A$7:$A$366,'Estimator'!$B$4,'Climate Data'!$B$7:$B$366,C2355)</x:f>
        <x:v>8.378947368421054</x:v>
      </x:c>
      <x:c r="J2355" s="381" t="n">
        <x:f>SUMIFS('Wind Proxy'!$H$8:$H$19,'Wind Proxy'!$A$8:$A$19,'Estimator'!$B$4,'Wind Proxy'!$B$8:$B$19,C2355)</x:f>
        <x:v>0.14197530864197533</x:v>
      </x:c>
    </x:row>
    <x:row r="2356">
      <x:c r="A2356" s="379" t="n">
        <x:v>48007</x:v>
      </x:c>
      <x:c r="B2356" s="380" t="n">
        <x:v>2031</x:v>
      </x:c>
      <x:c r="C2356" s="380" t="n">
        <x:v>6</x:v>
      </x:c>
      <x:c r="D2356" s="380" t="str">
        <x:v>Jun</x:v>
      </x:c>
      <x:c r="E2356" s="380" t="n">
        <x:v>8</x:v>
      </x:c>
      <x:c r="F2356" s="380" t="n">
        <x:v>7</x:v>
      </x:c>
      <x:c r="G2356" s="380" t="n">
        <x:f>--(F2356&lt;='Estimator'!$B$7)</x:f>
        <x:v>0</x:v>
      </x:c>
      <x:c r="H2356" s="381" t="n">
        <x:f>SUMIFS('Climate Data'!$G$7:$G$366,'Climate Data'!$A$7:$A$366,'Estimator'!$B$4,'Climate Data'!$B$7:$B$366,C2356)</x:f>
        <x:v>0.475</x:v>
      </x:c>
      <x:c r="I2356" s="382" t="n">
        <x:f>SUMIFS('Climate Data'!$H$7:$H$366,'Climate Data'!$A$7:$A$366,'Estimator'!$B$4,'Climate Data'!$B$7:$B$366,C2356)</x:f>
        <x:v>8.378947368421054</x:v>
      </x:c>
      <x:c r="J2356" s="381" t="n">
        <x:f>SUMIFS('Wind Proxy'!$H$8:$H$19,'Wind Proxy'!$A$8:$A$19,'Estimator'!$B$4,'Wind Proxy'!$B$8:$B$19,C2356)</x:f>
        <x:v>0.14197530864197533</x:v>
      </x:c>
    </x:row>
    <x:row r="2357">
      <x:c r="A2357" s="379" t="n">
        <x:v>48008</x:v>
      </x:c>
      <x:c r="B2357" s="380" t="n">
        <x:v>2031</x:v>
      </x:c>
      <x:c r="C2357" s="380" t="n">
        <x:v>6</x:v>
      </x:c>
      <x:c r="D2357" s="380" t="str">
        <x:v>Jun</x:v>
      </x:c>
      <x:c r="E2357" s="380" t="n">
        <x:v>9</x:v>
      </x:c>
      <x:c r="F2357" s="380" t="n">
        <x:v>1</x:v>
      </x:c>
      <x:c r="G2357" s="380" t="n">
        <x:f>--(F2357&lt;='Estimator'!$B$7)</x:f>
        <x:v>1</x:v>
      </x:c>
      <x:c r="H2357" s="381" t="n">
        <x:f>SUMIFS('Climate Data'!$G$7:$G$366,'Climate Data'!$A$7:$A$366,'Estimator'!$B$4,'Climate Data'!$B$7:$B$366,C2357)</x:f>
        <x:v>0.475</x:v>
      </x:c>
      <x:c r="I2357" s="382" t="n">
        <x:f>SUMIFS('Climate Data'!$H$7:$H$366,'Climate Data'!$A$7:$A$366,'Estimator'!$B$4,'Climate Data'!$B$7:$B$366,C2357)</x:f>
        <x:v>8.378947368421054</x:v>
      </x:c>
      <x:c r="J2357" s="381" t="n">
        <x:f>SUMIFS('Wind Proxy'!$H$8:$H$19,'Wind Proxy'!$A$8:$A$19,'Estimator'!$B$4,'Wind Proxy'!$B$8:$B$19,C2357)</x:f>
        <x:v>0.14197530864197533</x:v>
      </x:c>
    </x:row>
    <x:row r="2358">
      <x:c r="A2358" s="379" t="n">
        <x:v>48009</x:v>
      </x:c>
      <x:c r="B2358" s="380" t="n">
        <x:v>2031</x:v>
      </x:c>
      <x:c r="C2358" s="380" t="n">
        <x:v>6</x:v>
      </x:c>
      <x:c r="D2358" s="380" t="str">
        <x:v>Jun</x:v>
      </x:c>
      <x:c r="E2358" s="380" t="n">
        <x:v>10</x:v>
      </x:c>
      <x:c r="F2358" s="380" t="n">
        <x:v>2</x:v>
      </x:c>
      <x:c r="G2358" s="380" t="n">
        <x:f>--(F2358&lt;='Estimator'!$B$7)</x:f>
        <x:v>1</x:v>
      </x:c>
      <x:c r="H2358" s="381" t="n">
        <x:f>SUMIFS('Climate Data'!$G$7:$G$366,'Climate Data'!$A$7:$A$366,'Estimator'!$B$4,'Climate Data'!$B$7:$B$366,C2358)</x:f>
        <x:v>0.475</x:v>
      </x:c>
      <x:c r="I2358" s="382" t="n">
        <x:f>SUMIFS('Climate Data'!$H$7:$H$366,'Climate Data'!$A$7:$A$366,'Estimator'!$B$4,'Climate Data'!$B$7:$B$366,C2358)</x:f>
        <x:v>8.378947368421054</x:v>
      </x:c>
      <x:c r="J2358" s="381" t="n">
        <x:f>SUMIFS('Wind Proxy'!$H$8:$H$19,'Wind Proxy'!$A$8:$A$19,'Estimator'!$B$4,'Wind Proxy'!$B$8:$B$19,C2358)</x:f>
        <x:v>0.14197530864197533</x:v>
      </x:c>
    </x:row>
    <x:row r="2359">
      <x:c r="A2359" s="379" t="n">
        <x:v>48010</x:v>
      </x:c>
      <x:c r="B2359" s="380" t="n">
        <x:v>2031</x:v>
      </x:c>
      <x:c r="C2359" s="380" t="n">
        <x:v>6</x:v>
      </x:c>
      <x:c r="D2359" s="380" t="str">
        <x:v>Jun</x:v>
      </x:c>
      <x:c r="E2359" s="380" t="n">
        <x:v>11</x:v>
      </x:c>
      <x:c r="F2359" s="380" t="n">
        <x:v>3</x:v>
      </x:c>
      <x:c r="G2359" s="380" t="n">
        <x:f>--(F2359&lt;='Estimator'!$B$7)</x:f>
        <x:v>1</x:v>
      </x:c>
      <x:c r="H2359" s="381" t="n">
        <x:f>SUMIFS('Climate Data'!$G$7:$G$366,'Climate Data'!$A$7:$A$366,'Estimator'!$B$4,'Climate Data'!$B$7:$B$366,C2359)</x:f>
        <x:v>0.475</x:v>
      </x:c>
      <x:c r="I2359" s="382" t="n">
        <x:f>SUMIFS('Climate Data'!$H$7:$H$366,'Climate Data'!$A$7:$A$366,'Estimator'!$B$4,'Climate Data'!$B$7:$B$366,C2359)</x:f>
        <x:v>8.378947368421054</x:v>
      </x:c>
      <x:c r="J2359" s="381" t="n">
        <x:f>SUMIFS('Wind Proxy'!$H$8:$H$19,'Wind Proxy'!$A$8:$A$19,'Estimator'!$B$4,'Wind Proxy'!$B$8:$B$19,C2359)</x:f>
        <x:v>0.14197530864197533</x:v>
      </x:c>
    </x:row>
    <x:row r="2360">
      <x:c r="A2360" s="379" t="n">
        <x:v>48011</x:v>
      </x:c>
      <x:c r="B2360" s="380" t="n">
        <x:v>2031</x:v>
      </x:c>
      <x:c r="C2360" s="380" t="n">
        <x:v>6</x:v>
      </x:c>
      <x:c r="D2360" s="380" t="str">
        <x:v>Jun</x:v>
      </x:c>
      <x:c r="E2360" s="380" t="n">
        <x:v>12</x:v>
      </x:c>
      <x:c r="F2360" s="380" t="n">
        <x:v>4</x:v>
      </x:c>
      <x:c r="G2360" s="380" t="n">
        <x:f>--(F2360&lt;='Estimator'!$B$7)</x:f>
        <x:v>1</x:v>
      </x:c>
      <x:c r="H2360" s="381" t="n">
        <x:f>SUMIFS('Climate Data'!$G$7:$G$366,'Climate Data'!$A$7:$A$366,'Estimator'!$B$4,'Climate Data'!$B$7:$B$366,C2360)</x:f>
        <x:v>0.475</x:v>
      </x:c>
      <x:c r="I2360" s="382" t="n">
        <x:f>SUMIFS('Climate Data'!$H$7:$H$366,'Climate Data'!$A$7:$A$366,'Estimator'!$B$4,'Climate Data'!$B$7:$B$366,C2360)</x:f>
        <x:v>8.378947368421054</x:v>
      </x:c>
      <x:c r="J2360" s="381" t="n">
        <x:f>SUMIFS('Wind Proxy'!$H$8:$H$19,'Wind Proxy'!$A$8:$A$19,'Estimator'!$B$4,'Wind Proxy'!$B$8:$B$19,C2360)</x:f>
        <x:v>0.14197530864197533</x:v>
      </x:c>
    </x:row>
    <x:row r="2361">
      <x:c r="A2361" s="379" t="n">
        <x:v>48012</x:v>
      </x:c>
      <x:c r="B2361" s="380" t="n">
        <x:v>2031</x:v>
      </x:c>
      <x:c r="C2361" s="380" t="n">
        <x:v>6</x:v>
      </x:c>
      <x:c r="D2361" s="380" t="str">
        <x:v>Jun</x:v>
      </x:c>
      <x:c r="E2361" s="380" t="n">
        <x:v>13</x:v>
      </x:c>
      <x:c r="F2361" s="380" t="n">
        <x:v>5</x:v>
      </x:c>
      <x:c r="G2361" s="380" t="n">
        <x:f>--(F2361&lt;='Estimator'!$B$7)</x:f>
        <x:v>1</x:v>
      </x:c>
      <x:c r="H2361" s="381" t="n">
        <x:f>SUMIFS('Climate Data'!$G$7:$G$366,'Climate Data'!$A$7:$A$366,'Estimator'!$B$4,'Climate Data'!$B$7:$B$366,C2361)</x:f>
        <x:v>0.475</x:v>
      </x:c>
      <x:c r="I2361" s="382" t="n">
        <x:f>SUMIFS('Climate Data'!$H$7:$H$366,'Climate Data'!$A$7:$A$366,'Estimator'!$B$4,'Climate Data'!$B$7:$B$366,C2361)</x:f>
        <x:v>8.378947368421054</x:v>
      </x:c>
      <x:c r="J2361" s="381" t="n">
        <x:f>SUMIFS('Wind Proxy'!$H$8:$H$19,'Wind Proxy'!$A$8:$A$19,'Estimator'!$B$4,'Wind Proxy'!$B$8:$B$19,C2361)</x:f>
        <x:v>0.14197530864197533</x:v>
      </x:c>
    </x:row>
    <x:row r="2362">
      <x:c r="A2362" s="379" t="n">
        <x:v>48013</x:v>
      </x:c>
      <x:c r="B2362" s="380" t="n">
        <x:v>2031</x:v>
      </x:c>
      <x:c r="C2362" s="380" t="n">
        <x:v>6</x:v>
      </x:c>
      <x:c r="D2362" s="380" t="str">
        <x:v>Jun</x:v>
      </x:c>
      <x:c r="E2362" s="380" t="n">
        <x:v>14</x:v>
      </x:c>
      <x:c r="F2362" s="380" t="n">
        <x:v>6</x:v>
      </x:c>
      <x:c r="G2362" s="380" t="n">
        <x:f>--(F2362&lt;='Estimator'!$B$7)</x:f>
        <x:v>0</x:v>
      </x:c>
      <x:c r="H2362" s="381" t="n">
        <x:f>SUMIFS('Climate Data'!$G$7:$G$366,'Climate Data'!$A$7:$A$366,'Estimator'!$B$4,'Climate Data'!$B$7:$B$366,C2362)</x:f>
        <x:v>0.475</x:v>
      </x:c>
      <x:c r="I2362" s="382" t="n">
        <x:f>SUMIFS('Climate Data'!$H$7:$H$366,'Climate Data'!$A$7:$A$366,'Estimator'!$B$4,'Climate Data'!$B$7:$B$366,C2362)</x:f>
        <x:v>8.378947368421054</x:v>
      </x:c>
      <x:c r="J2362" s="381" t="n">
        <x:f>SUMIFS('Wind Proxy'!$H$8:$H$19,'Wind Proxy'!$A$8:$A$19,'Estimator'!$B$4,'Wind Proxy'!$B$8:$B$19,C2362)</x:f>
        <x:v>0.14197530864197533</x:v>
      </x:c>
    </x:row>
    <x:row r="2363">
      <x:c r="A2363" s="379" t="n">
        <x:v>48014</x:v>
      </x:c>
      <x:c r="B2363" s="380" t="n">
        <x:v>2031</x:v>
      </x:c>
      <x:c r="C2363" s="380" t="n">
        <x:v>6</x:v>
      </x:c>
      <x:c r="D2363" s="380" t="str">
        <x:v>Jun</x:v>
      </x:c>
      <x:c r="E2363" s="380" t="n">
        <x:v>15</x:v>
      </x:c>
      <x:c r="F2363" s="380" t="n">
        <x:v>7</x:v>
      </x:c>
      <x:c r="G2363" s="380" t="n">
        <x:f>--(F2363&lt;='Estimator'!$B$7)</x:f>
        <x:v>0</x:v>
      </x:c>
      <x:c r="H2363" s="381" t="n">
        <x:f>SUMIFS('Climate Data'!$G$7:$G$366,'Climate Data'!$A$7:$A$366,'Estimator'!$B$4,'Climate Data'!$B$7:$B$366,C2363)</x:f>
        <x:v>0.475</x:v>
      </x:c>
      <x:c r="I2363" s="382" t="n">
        <x:f>SUMIFS('Climate Data'!$H$7:$H$366,'Climate Data'!$A$7:$A$366,'Estimator'!$B$4,'Climate Data'!$B$7:$B$366,C2363)</x:f>
        <x:v>8.378947368421054</x:v>
      </x:c>
      <x:c r="J2363" s="381" t="n">
        <x:f>SUMIFS('Wind Proxy'!$H$8:$H$19,'Wind Proxy'!$A$8:$A$19,'Estimator'!$B$4,'Wind Proxy'!$B$8:$B$19,C2363)</x:f>
        <x:v>0.14197530864197533</x:v>
      </x:c>
    </x:row>
    <x:row r="2364">
      <x:c r="A2364" s="379" t="n">
        <x:v>48015</x:v>
      </x:c>
      <x:c r="B2364" s="380" t="n">
        <x:v>2031</x:v>
      </x:c>
      <x:c r="C2364" s="380" t="n">
        <x:v>6</x:v>
      </x:c>
      <x:c r="D2364" s="380" t="str">
        <x:v>Jun</x:v>
      </x:c>
      <x:c r="E2364" s="380" t="n">
        <x:v>16</x:v>
      </x:c>
      <x:c r="F2364" s="380" t="n">
        <x:v>1</x:v>
      </x:c>
      <x:c r="G2364" s="380" t="n">
        <x:f>--(F2364&lt;='Estimator'!$B$7)</x:f>
        <x:v>1</x:v>
      </x:c>
      <x:c r="H2364" s="381" t="n">
        <x:f>SUMIFS('Climate Data'!$G$7:$G$366,'Climate Data'!$A$7:$A$366,'Estimator'!$B$4,'Climate Data'!$B$7:$B$366,C2364)</x:f>
        <x:v>0.475</x:v>
      </x:c>
      <x:c r="I2364" s="382" t="n">
        <x:f>SUMIFS('Climate Data'!$H$7:$H$366,'Climate Data'!$A$7:$A$366,'Estimator'!$B$4,'Climate Data'!$B$7:$B$366,C2364)</x:f>
        <x:v>8.378947368421054</x:v>
      </x:c>
      <x:c r="J2364" s="381" t="n">
        <x:f>SUMIFS('Wind Proxy'!$H$8:$H$19,'Wind Proxy'!$A$8:$A$19,'Estimator'!$B$4,'Wind Proxy'!$B$8:$B$19,C2364)</x:f>
        <x:v>0.14197530864197533</x:v>
      </x:c>
    </x:row>
    <x:row r="2365">
      <x:c r="A2365" s="379" t="n">
        <x:v>48016</x:v>
      </x:c>
      <x:c r="B2365" s="380" t="n">
        <x:v>2031</x:v>
      </x:c>
      <x:c r="C2365" s="380" t="n">
        <x:v>6</x:v>
      </x:c>
      <x:c r="D2365" s="380" t="str">
        <x:v>Jun</x:v>
      </x:c>
      <x:c r="E2365" s="380" t="n">
        <x:v>17</x:v>
      </x:c>
      <x:c r="F2365" s="380" t="n">
        <x:v>2</x:v>
      </x:c>
      <x:c r="G2365" s="380" t="n">
        <x:f>--(F2365&lt;='Estimator'!$B$7)</x:f>
        <x:v>1</x:v>
      </x:c>
      <x:c r="H2365" s="381" t="n">
        <x:f>SUMIFS('Climate Data'!$G$7:$G$366,'Climate Data'!$A$7:$A$366,'Estimator'!$B$4,'Climate Data'!$B$7:$B$366,C2365)</x:f>
        <x:v>0.475</x:v>
      </x:c>
      <x:c r="I2365" s="382" t="n">
        <x:f>SUMIFS('Climate Data'!$H$7:$H$366,'Climate Data'!$A$7:$A$366,'Estimator'!$B$4,'Climate Data'!$B$7:$B$366,C2365)</x:f>
        <x:v>8.378947368421054</x:v>
      </x:c>
      <x:c r="J2365" s="381" t="n">
        <x:f>SUMIFS('Wind Proxy'!$H$8:$H$19,'Wind Proxy'!$A$8:$A$19,'Estimator'!$B$4,'Wind Proxy'!$B$8:$B$19,C2365)</x:f>
        <x:v>0.14197530864197533</x:v>
      </x:c>
    </x:row>
    <x:row r="2366">
      <x:c r="A2366" s="379" t="n">
        <x:v>48017</x:v>
      </x:c>
      <x:c r="B2366" s="380" t="n">
        <x:v>2031</x:v>
      </x:c>
      <x:c r="C2366" s="380" t="n">
        <x:v>6</x:v>
      </x:c>
      <x:c r="D2366" s="380" t="str">
        <x:v>Jun</x:v>
      </x:c>
      <x:c r="E2366" s="380" t="n">
        <x:v>18</x:v>
      </x:c>
      <x:c r="F2366" s="380" t="n">
        <x:v>3</x:v>
      </x:c>
      <x:c r="G2366" s="380" t="n">
        <x:f>--(F2366&lt;='Estimator'!$B$7)</x:f>
        <x:v>1</x:v>
      </x:c>
      <x:c r="H2366" s="381" t="n">
        <x:f>SUMIFS('Climate Data'!$G$7:$G$366,'Climate Data'!$A$7:$A$366,'Estimator'!$B$4,'Climate Data'!$B$7:$B$366,C2366)</x:f>
        <x:v>0.475</x:v>
      </x:c>
      <x:c r="I2366" s="382" t="n">
        <x:f>SUMIFS('Climate Data'!$H$7:$H$366,'Climate Data'!$A$7:$A$366,'Estimator'!$B$4,'Climate Data'!$B$7:$B$366,C2366)</x:f>
        <x:v>8.378947368421054</x:v>
      </x:c>
      <x:c r="J2366" s="381" t="n">
        <x:f>SUMIFS('Wind Proxy'!$H$8:$H$19,'Wind Proxy'!$A$8:$A$19,'Estimator'!$B$4,'Wind Proxy'!$B$8:$B$19,C2366)</x:f>
        <x:v>0.14197530864197533</x:v>
      </x:c>
    </x:row>
    <x:row r="2367">
      <x:c r="A2367" s="379" t="n">
        <x:v>48018</x:v>
      </x:c>
      <x:c r="B2367" s="380" t="n">
        <x:v>2031</x:v>
      </x:c>
      <x:c r="C2367" s="380" t="n">
        <x:v>6</x:v>
      </x:c>
      <x:c r="D2367" s="380" t="str">
        <x:v>Jun</x:v>
      </x:c>
      <x:c r="E2367" s="380" t="n">
        <x:v>19</x:v>
      </x:c>
      <x:c r="F2367" s="380" t="n">
        <x:v>4</x:v>
      </x:c>
      <x:c r="G2367" s="380" t="n">
        <x:f>--(F2367&lt;='Estimator'!$B$7)</x:f>
        <x:v>1</x:v>
      </x:c>
      <x:c r="H2367" s="381" t="n">
        <x:f>SUMIFS('Climate Data'!$G$7:$G$366,'Climate Data'!$A$7:$A$366,'Estimator'!$B$4,'Climate Data'!$B$7:$B$366,C2367)</x:f>
        <x:v>0.475</x:v>
      </x:c>
      <x:c r="I2367" s="382" t="n">
        <x:f>SUMIFS('Climate Data'!$H$7:$H$366,'Climate Data'!$A$7:$A$366,'Estimator'!$B$4,'Climate Data'!$B$7:$B$366,C2367)</x:f>
        <x:v>8.378947368421054</x:v>
      </x:c>
      <x:c r="J2367" s="381" t="n">
        <x:f>SUMIFS('Wind Proxy'!$H$8:$H$19,'Wind Proxy'!$A$8:$A$19,'Estimator'!$B$4,'Wind Proxy'!$B$8:$B$19,C2367)</x:f>
        <x:v>0.14197530864197533</x:v>
      </x:c>
    </x:row>
    <x:row r="2368">
      <x:c r="A2368" s="379" t="n">
        <x:v>48019</x:v>
      </x:c>
      <x:c r="B2368" s="380" t="n">
        <x:v>2031</x:v>
      </x:c>
      <x:c r="C2368" s="380" t="n">
        <x:v>6</x:v>
      </x:c>
      <x:c r="D2368" s="380" t="str">
        <x:v>Jun</x:v>
      </x:c>
      <x:c r="E2368" s="380" t="n">
        <x:v>20</x:v>
      </x:c>
      <x:c r="F2368" s="380" t="n">
        <x:v>5</x:v>
      </x:c>
      <x:c r="G2368" s="380" t="n">
        <x:f>--(F2368&lt;='Estimator'!$B$7)</x:f>
        <x:v>1</x:v>
      </x:c>
      <x:c r="H2368" s="381" t="n">
        <x:f>SUMIFS('Climate Data'!$G$7:$G$366,'Climate Data'!$A$7:$A$366,'Estimator'!$B$4,'Climate Data'!$B$7:$B$366,C2368)</x:f>
        <x:v>0.475</x:v>
      </x:c>
      <x:c r="I2368" s="382" t="n">
        <x:f>SUMIFS('Climate Data'!$H$7:$H$366,'Climate Data'!$A$7:$A$366,'Estimator'!$B$4,'Climate Data'!$B$7:$B$366,C2368)</x:f>
        <x:v>8.378947368421054</x:v>
      </x:c>
      <x:c r="J2368" s="381" t="n">
        <x:f>SUMIFS('Wind Proxy'!$H$8:$H$19,'Wind Proxy'!$A$8:$A$19,'Estimator'!$B$4,'Wind Proxy'!$B$8:$B$19,C2368)</x:f>
        <x:v>0.14197530864197533</x:v>
      </x:c>
    </x:row>
    <x:row r="2369">
      <x:c r="A2369" s="379" t="n">
        <x:v>48020</x:v>
      </x:c>
      <x:c r="B2369" s="380" t="n">
        <x:v>2031</x:v>
      </x:c>
      <x:c r="C2369" s="380" t="n">
        <x:v>6</x:v>
      </x:c>
      <x:c r="D2369" s="380" t="str">
        <x:v>Jun</x:v>
      </x:c>
      <x:c r="E2369" s="380" t="n">
        <x:v>21</x:v>
      </x:c>
      <x:c r="F2369" s="380" t="n">
        <x:v>6</x:v>
      </x:c>
      <x:c r="G2369" s="380" t="n">
        <x:f>--(F2369&lt;='Estimator'!$B$7)</x:f>
        <x:v>0</x:v>
      </x:c>
      <x:c r="H2369" s="381" t="n">
        <x:f>SUMIFS('Climate Data'!$G$7:$G$366,'Climate Data'!$A$7:$A$366,'Estimator'!$B$4,'Climate Data'!$B$7:$B$366,C2369)</x:f>
        <x:v>0.475</x:v>
      </x:c>
      <x:c r="I2369" s="382" t="n">
        <x:f>SUMIFS('Climate Data'!$H$7:$H$366,'Climate Data'!$A$7:$A$366,'Estimator'!$B$4,'Climate Data'!$B$7:$B$366,C2369)</x:f>
        <x:v>8.378947368421054</x:v>
      </x:c>
      <x:c r="J2369" s="381" t="n">
        <x:f>SUMIFS('Wind Proxy'!$H$8:$H$19,'Wind Proxy'!$A$8:$A$19,'Estimator'!$B$4,'Wind Proxy'!$B$8:$B$19,C2369)</x:f>
        <x:v>0.14197530864197533</x:v>
      </x:c>
    </x:row>
    <x:row r="2370">
      <x:c r="A2370" s="379" t="n">
        <x:v>48021</x:v>
      </x:c>
      <x:c r="B2370" s="380" t="n">
        <x:v>2031</x:v>
      </x:c>
      <x:c r="C2370" s="380" t="n">
        <x:v>6</x:v>
      </x:c>
      <x:c r="D2370" s="380" t="str">
        <x:v>Jun</x:v>
      </x:c>
      <x:c r="E2370" s="380" t="n">
        <x:v>22</x:v>
      </x:c>
      <x:c r="F2370" s="380" t="n">
        <x:v>7</x:v>
      </x:c>
      <x:c r="G2370" s="380" t="n">
        <x:f>--(F2370&lt;='Estimator'!$B$7)</x:f>
        <x:v>0</x:v>
      </x:c>
      <x:c r="H2370" s="381" t="n">
        <x:f>SUMIFS('Climate Data'!$G$7:$G$366,'Climate Data'!$A$7:$A$366,'Estimator'!$B$4,'Climate Data'!$B$7:$B$366,C2370)</x:f>
        <x:v>0.475</x:v>
      </x:c>
      <x:c r="I2370" s="382" t="n">
        <x:f>SUMIFS('Climate Data'!$H$7:$H$366,'Climate Data'!$A$7:$A$366,'Estimator'!$B$4,'Climate Data'!$B$7:$B$366,C2370)</x:f>
        <x:v>8.378947368421054</x:v>
      </x:c>
      <x:c r="J2370" s="381" t="n">
        <x:f>SUMIFS('Wind Proxy'!$H$8:$H$19,'Wind Proxy'!$A$8:$A$19,'Estimator'!$B$4,'Wind Proxy'!$B$8:$B$19,C2370)</x:f>
        <x:v>0.14197530864197533</x:v>
      </x:c>
    </x:row>
    <x:row r="2371">
      <x:c r="A2371" s="379" t="n">
        <x:v>48022</x:v>
      </x:c>
      <x:c r="B2371" s="380" t="n">
        <x:v>2031</x:v>
      </x:c>
      <x:c r="C2371" s="380" t="n">
        <x:v>6</x:v>
      </x:c>
      <x:c r="D2371" s="380" t="str">
        <x:v>Jun</x:v>
      </x:c>
      <x:c r="E2371" s="380" t="n">
        <x:v>23</x:v>
      </x:c>
      <x:c r="F2371" s="380" t="n">
        <x:v>1</x:v>
      </x:c>
      <x:c r="G2371" s="380" t="n">
        <x:f>--(F2371&lt;='Estimator'!$B$7)</x:f>
        <x:v>1</x:v>
      </x:c>
      <x:c r="H2371" s="381" t="n">
        <x:f>SUMIFS('Climate Data'!$G$7:$G$366,'Climate Data'!$A$7:$A$366,'Estimator'!$B$4,'Climate Data'!$B$7:$B$366,C2371)</x:f>
        <x:v>0.475</x:v>
      </x:c>
      <x:c r="I2371" s="382" t="n">
        <x:f>SUMIFS('Climate Data'!$H$7:$H$366,'Climate Data'!$A$7:$A$366,'Estimator'!$B$4,'Climate Data'!$B$7:$B$366,C2371)</x:f>
        <x:v>8.378947368421054</x:v>
      </x:c>
      <x:c r="J2371" s="381" t="n">
        <x:f>SUMIFS('Wind Proxy'!$H$8:$H$19,'Wind Proxy'!$A$8:$A$19,'Estimator'!$B$4,'Wind Proxy'!$B$8:$B$19,C2371)</x:f>
        <x:v>0.14197530864197533</x:v>
      </x:c>
    </x:row>
    <x:row r="2372">
      <x:c r="A2372" s="379" t="n">
        <x:v>48023</x:v>
      </x:c>
      <x:c r="B2372" s="380" t="n">
        <x:v>2031</x:v>
      </x:c>
      <x:c r="C2372" s="380" t="n">
        <x:v>6</x:v>
      </x:c>
      <x:c r="D2372" s="380" t="str">
        <x:v>Jun</x:v>
      </x:c>
      <x:c r="E2372" s="380" t="n">
        <x:v>24</x:v>
      </x:c>
      <x:c r="F2372" s="380" t="n">
        <x:v>2</x:v>
      </x:c>
      <x:c r="G2372" s="380" t="n">
        <x:f>--(F2372&lt;='Estimator'!$B$7)</x:f>
        <x:v>1</x:v>
      </x:c>
      <x:c r="H2372" s="381" t="n">
        <x:f>SUMIFS('Climate Data'!$G$7:$G$366,'Climate Data'!$A$7:$A$366,'Estimator'!$B$4,'Climate Data'!$B$7:$B$366,C2372)</x:f>
        <x:v>0.475</x:v>
      </x:c>
      <x:c r="I2372" s="382" t="n">
        <x:f>SUMIFS('Climate Data'!$H$7:$H$366,'Climate Data'!$A$7:$A$366,'Estimator'!$B$4,'Climate Data'!$B$7:$B$366,C2372)</x:f>
        <x:v>8.378947368421054</x:v>
      </x:c>
      <x:c r="J2372" s="381" t="n">
        <x:f>SUMIFS('Wind Proxy'!$H$8:$H$19,'Wind Proxy'!$A$8:$A$19,'Estimator'!$B$4,'Wind Proxy'!$B$8:$B$19,C2372)</x:f>
        <x:v>0.14197530864197533</x:v>
      </x:c>
    </x:row>
    <x:row r="2373">
      <x:c r="A2373" s="379" t="n">
        <x:v>48024</x:v>
      </x:c>
      <x:c r="B2373" s="380" t="n">
        <x:v>2031</x:v>
      </x:c>
      <x:c r="C2373" s="380" t="n">
        <x:v>6</x:v>
      </x:c>
      <x:c r="D2373" s="380" t="str">
        <x:v>Jun</x:v>
      </x:c>
      <x:c r="E2373" s="380" t="n">
        <x:v>25</x:v>
      </x:c>
      <x:c r="F2373" s="380" t="n">
        <x:v>3</x:v>
      </x:c>
      <x:c r="G2373" s="380" t="n">
        <x:f>--(F2373&lt;='Estimator'!$B$7)</x:f>
        <x:v>1</x:v>
      </x:c>
      <x:c r="H2373" s="381" t="n">
        <x:f>SUMIFS('Climate Data'!$G$7:$G$366,'Climate Data'!$A$7:$A$366,'Estimator'!$B$4,'Climate Data'!$B$7:$B$366,C2373)</x:f>
        <x:v>0.475</x:v>
      </x:c>
      <x:c r="I2373" s="382" t="n">
        <x:f>SUMIFS('Climate Data'!$H$7:$H$366,'Climate Data'!$A$7:$A$366,'Estimator'!$B$4,'Climate Data'!$B$7:$B$366,C2373)</x:f>
        <x:v>8.378947368421054</x:v>
      </x:c>
      <x:c r="J2373" s="381" t="n">
        <x:f>SUMIFS('Wind Proxy'!$H$8:$H$19,'Wind Proxy'!$A$8:$A$19,'Estimator'!$B$4,'Wind Proxy'!$B$8:$B$19,C2373)</x:f>
        <x:v>0.14197530864197533</x:v>
      </x:c>
    </x:row>
    <x:row r="2374">
      <x:c r="A2374" s="379" t="n">
        <x:v>48025</x:v>
      </x:c>
      <x:c r="B2374" s="380" t="n">
        <x:v>2031</x:v>
      </x:c>
      <x:c r="C2374" s="380" t="n">
        <x:v>6</x:v>
      </x:c>
      <x:c r="D2374" s="380" t="str">
        <x:v>Jun</x:v>
      </x:c>
      <x:c r="E2374" s="380" t="n">
        <x:v>26</x:v>
      </x:c>
      <x:c r="F2374" s="380" t="n">
        <x:v>4</x:v>
      </x:c>
      <x:c r="G2374" s="380" t="n">
        <x:f>--(F2374&lt;='Estimator'!$B$7)</x:f>
        <x:v>1</x:v>
      </x:c>
      <x:c r="H2374" s="381" t="n">
        <x:f>SUMIFS('Climate Data'!$G$7:$G$366,'Climate Data'!$A$7:$A$366,'Estimator'!$B$4,'Climate Data'!$B$7:$B$366,C2374)</x:f>
        <x:v>0.475</x:v>
      </x:c>
      <x:c r="I2374" s="382" t="n">
        <x:f>SUMIFS('Climate Data'!$H$7:$H$366,'Climate Data'!$A$7:$A$366,'Estimator'!$B$4,'Climate Data'!$B$7:$B$366,C2374)</x:f>
        <x:v>8.378947368421054</x:v>
      </x:c>
      <x:c r="J2374" s="381" t="n">
        <x:f>SUMIFS('Wind Proxy'!$H$8:$H$19,'Wind Proxy'!$A$8:$A$19,'Estimator'!$B$4,'Wind Proxy'!$B$8:$B$19,C2374)</x:f>
        <x:v>0.14197530864197533</x:v>
      </x:c>
    </x:row>
    <x:row r="2375">
      <x:c r="A2375" s="379" t="n">
        <x:v>48026</x:v>
      </x:c>
      <x:c r="B2375" s="380" t="n">
        <x:v>2031</x:v>
      </x:c>
      <x:c r="C2375" s="380" t="n">
        <x:v>6</x:v>
      </x:c>
      <x:c r="D2375" s="380" t="str">
        <x:v>Jun</x:v>
      </x:c>
      <x:c r="E2375" s="380" t="n">
        <x:v>27</x:v>
      </x:c>
      <x:c r="F2375" s="380" t="n">
        <x:v>5</x:v>
      </x:c>
      <x:c r="G2375" s="380" t="n">
        <x:f>--(F2375&lt;='Estimator'!$B$7)</x:f>
        <x:v>1</x:v>
      </x:c>
      <x:c r="H2375" s="381" t="n">
        <x:f>SUMIFS('Climate Data'!$G$7:$G$366,'Climate Data'!$A$7:$A$366,'Estimator'!$B$4,'Climate Data'!$B$7:$B$366,C2375)</x:f>
        <x:v>0.475</x:v>
      </x:c>
      <x:c r="I2375" s="382" t="n">
        <x:f>SUMIFS('Climate Data'!$H$7:$H$366,'Climate Data'!$A$7:$A$366,'Estimator'!$B$4,'Climate Data'!$B$7:$B$366,C2375)</x:f>
        <x:v>8.378947368421054</x:v>
      </x:c>
      <x:c r="J2375" s="381" t="n">
        <x:f>SUMIFS('Wind Proxy'!$H$8:$H$19,'Wind Proxy'!$A$8:$A$19,'Estimator'!$B$4,'Wind Proxy'!$B$8:$B$19,C2375)</x:f>
        <x:v>0.14197530864197533</x:v>
      </x:c>
    </x:row>
    <x:row r="2376">
      <x:c r="A2376" s="379" t="n">
        <x:v>48027</x:v>
      </x:c>
      <x:c r="B2376" s="380" t="n">
        <x:v>2031</x:v>
      </x:c>
      <x:c r="C2376" s="380" t="n">
        <x:v>6</x:v>
      </x:c>
      <x:c r="D2376" s="380" t="str">
        <x:v>Jun</x:v>
      </x:c>
      <x:c r="E2376" s="380" t="n">
        <x:v>28</x:v>
      </x:c>
      <x:c r="F2376" s="380" t="n">
        <x:v>6</x:v>
      </x:c>
      <x:c r="G2376" s="380" t="n">
        <x:f>--(F2376&lt;='Estimator'!$B$7)</x:f>
        <x:v>0</x:v>
      </x:c>
      <x:c r="H2376" s="381" t="n">
        <x:f>SUMIFS('Climate Data'!$G$7:$G$366,'Climate Data'!$A$7:$A$366,'Estimator'!$B$4,'Climate Data'!$B$7:$B$366,C2376)</x:f>
        <x:v>0.475</x:v>
      </x:c>
      <x:c r="I2376" s="382" t="n">
        <x:f>SUMIFS('Climate Data'!$H$7:$H$366,'Climate Data'!$A$7:$A$366,'Estimator'!$B$4,'Climate Data'!$B$7:$B$366,C2376)</x:f>
        <x:v>8.378947368421054</x:v>
      </x:c>
      <x:c r="J2376" s="381" t="n">
        <x:f>SUMIFS('Wind Proxy'!$H$8:$H$19,'Wind Proxy'!$A$8:$A$19,'Estimator'!$B$4,'Wind Proxy'!$B$8:$B$19,C2376)</x:f>
        <x:v>0.14197530864197533</x:v>
      </x:c>
    </x:row>
    <x:row r="2377">
      <x:c r="A2377" s="379" t="n">
        <x:v>48028</x:v>
      </x:c>
      <x:c r="B2377" s="380" t="n">
        <x:v>2031</x:v>
      </x:c>
      <x:c r="C2377" s="380" t="n">
        <x:v>6</x:v>
      </x:c>
      <x:c r="D2377" s="380" t="str">
        <x:v>Jun</x:v>
      </x:c>
      <x:c r="E2377" s="380" t="n">
        <x:v>29</x:v>
      </x:c>
      <x:c r="F2377" s="380" t="n">
        <x:v>7</x:v>
      </x:c>
      <x:c r="G2377" s="380" t="n">
        <x:f>--(F2377&lt;='Estimator'!$B$7)</x:f>
        <x:v>0</x:v>
      </x:c>
      <x:c r="H2377" s="381" t="n">
        <x:f>SUMIFS('Climate Data'!$G$7:$G$366,'Climate Data'!$A$7:$A$366,'Estimator'!$B$4,'Climate Data'!$B$7:$B$366,C2377)</x:f>
        <x:v>0.475</x:v>
      </x:c>
      <x:c r="I2377" s="382" t="n">
        <x:f>SUMIFS('Climate Data'!$H$7:$H$366,'Climate Data'!$A$7:$A$366,'Estimator'!$B$4,'Climate Data'!$B$7:$B$366,C2377)</x:f>
        <x:v>8.378947368421054</x:v>
      </x:c>
      <x:c r="J2377" s="381" t="n">
        <x:f>SUMIFS('Wind Proxy'!$H$8:$H$19,'Wind Proxy'!$A$8:$A$19,'Estimator'!$B$4,'Wind Proxy'!$B$8:$B$19,C2377)</x:f>
        <x:v>0.14197530864197533</x:v>
      </x:c>
    </x:row>
    <x:row r="2378">
      <x:c r="A2378" s="379" t="n">
        <x:v>48029</x:v>
      </x:c>
      <x:c r="B2378" s="380" t="n">
        <x:v>2031</x:v>
      </x:c>
      <x:c r="C2378" s="380" t="n">
        <x:v>6</x:v>
      </x:c>
      <x:c r="D2378" s="380" t="str">
        <x:v>Jun</x:v>
      </x:c>
      <x:c r="E2378" s="380" t="n">
        <x:v>30</x:v>
      </x:c>
      <x:c r="F2378" s="380" t="n">
        <x:v>1</x:v>
      </x:c>
      <x:c r="G2378" s="380" t="n">
        <x:f>--(F2378&lt;='Estimator'!$B$7)</x:f>
        <x:v>1</x:v>
      </x:c>
      <x:c r="H2378" s="381" t="n">
        <x:f>SUMIFS('Climate Data'!$G$7:$G$366,'Climate Data'!$A$7:$A$366,'Estimator'!$B$4,'Climate Data'!$B$7:$B$366,C2378)</x:f>
        <x:v>0.475</x:v>
      </x:c>
      <x:c r="I2378" s="382" t="n">
        <x:f>SUMIFS('Climate Data'!$H$7:$H$366,'Climate Data'!$A$7:$A$366,'Estimator'!$B$4,'Climate Data'!$B$7:$B$366,C2378)</x:f>
        <x:v>8.378947368421054</x:v>
      </x:c>
      <x:c r="J2378" s="381" t="n">
        <x:f>SUMIFS('Wind Proxy'!$H$8:$H$19,'Wind Proxy'!$A$8:$A$19,'Estimator'!$B$4,'Wind Proxy'!$B$8:$B$19,C2378)</x:f>
        <x:v>0.14197530864197533</x:v>
      </x:c>
    </x:row>
    <x:row r="2379">
      <x:c r="A2379" s="379" t="n">
        <x:v>48030</x:v>
      </x:c>
      <x:c r="B2379" s="380" t="n">
        <x:v>2031</x:v>
      </x:c>
      <x:c r="C2379" s="380" t="n">
        <x:v>7</x:v>
      </x:c>
      <x:c r="D2379" s="380" t="str">
        <x:v>Jul</x:v>
      </x:c>
      <x:c r="E2379" s="380" t="n">
        <x:v>1</x:v>
      </x:c>
      <x:c r="F2379" s="380" t="n">
        <x:v>2</x:v>
      </x:c>
      <x:c r="G2379" s="380" t="n">
        <x:f>--(F2379&lt;='Estimator'!$B$7)</x:f>
        <x:v>1</x:v>
      </x:c>
      <x:c r="H2379" s="381" t="n">
        <x:f>SUMIFS('Climate Data'!$G$7:$G$366,'Climate Data'!$A$7:$A$366,'Estimator'!$B$4,'Climate Data'!$B$7:$B$366,C2379)</x:f>
        <x:v>0.49078341013824883</x:v>
      </x:c>
      <x:c r="I2379" s="382" t="n">
        <x:f>SUMIFS('Climate Data'!$H$7:$H$366,'Climate Data'!$A$7:$A$366,'Estimator'!$B$4,'Climate Data'!$B$7:$B$366,C2379)</x:f>
        <x:v>8.998122065727701</x:v>
      </x:c>
      <x:c r="J2379" s="381" t="n">
        <x:f>SUMIFS('Wind Proxy'!$H$8:$H$19,'Wind Proxy'!$A$8:$A$19,'Estimator'!$B$4,'Wind Proxy'!$B$8:$B$19,C2379)</x:f>
        <x:v>0.13739545997610514</x:v>
      </x:c>
    </x:row>
    <x:row r="2380">
      <x:c r="A2380" s="379" t="n">
        <x:v>48031</x:v>
      </x:c>
      <x:c r="B2380" s="380" t="n">
        <x:v>2031</x:v>
      </x:c>
      <x:c r="C2380" s="380" t="n">
        <x:v>7</x:v>
      </x:c>
      <x:c r="D2380" s="380" t="str">
        <x:v>Jul</x:v>
      </x:c>
      <x:c r="E2380" s="380" t="n">
        <x:v>2</x:v>
      </x:c>
      <x:c r="F2380" s="380" t="n">
        <x:v>3</x:v>
      </x:c>
      <x:c r="G2380" s="380" t="n">
        <x:f>--(F2380&lt;='Estimator'!$B$7)</x:f>
        <x:v>1</x:v>
      </x:c>
      <x:c r="H2380" s="381" t="n">
        <x:f>SUMIFS('Climate Data'!$G$7:$G$366,'Climate Data'!$A$7:$A$366,'Estimator'!$B$4,'Climate Data'!$B$7:$B$366,C2380)</x:f>
        <x:v>0.49078341013824883</x:v>
      </x:c>
      <x:c r="I2380" s="382" t="n">
        <x:f>SUMIFS('Climate Data'!$H$7:$H$366,'Climate Data'!$A$7:$A$366,'Estimator'!$B$4,'Climate Data'!$B$7:$B$366,C2380)</x:f>
        <x:v>8.998122065727701</x:v>
      </x:c>
      <x:c r="J2380" s="381" t="n">
        <x:f>SUMIFS('Wind Proxy'!$H$8:$H$19,'Wind Proxy'!$A$8:$A$19,'Estimator'!$B$4,'Wind Proxy'!$B$8:$B$19,C2380)</x:f>
        <x:v>0.13739545997610514</x:v>
      </x:c>
    </x:row>
    <x:row r="2381">
      <x:c r="A2381" s="379" t="n">
        <x:v>48032</x:v>
      </x:c>
      <x:c r="B2381" s="380" t="n">
        <x:v>2031</x:v>
      </x:c>
      <x:c r="C2381" s="380" t="n">
        <x:v>7</x:v>
      </x:c>
      <x:c r="D2381" s="380" t="str">
        <x:v>Jul</x:v>
      </x:c>
      <x:c r="E2381" s="380" t="n">
        <x:v>3</x:v>
      </x:c>
      <x:c r="F2381" s="380" t="n">
        <x:v>4</x:v>
      </x:c>
      <x:c r="G2381" s="380" t="n">
        <x:f>--(F2381&lt;='Estimator'!$B$7)</x:f>
        <x:v>1</x:v>
      </x:c>
      <x:c r="H2381" s="381" t="n">
        <x:f>SUMIFS('Climate Data'!$G$7:$G$366,'Climate Data'!$A$7:$A$366,'Estimator'!$B$4,'Climate Data'!$B$7:$B$366,C2381)</x:f>
        <x:v>0.49078341013824883</x:v>
      </x:c>
      <x:c r="I2381" s="382" t="n">
        <x:f>SUMIFS('Climate Data'!$H$7:$H$366,'Climate Data'!$A$7:$A$366,'Estimator'!$B$4,'Climate Data'!$B$7:$B$366,C2381)</x:f>
        <x:v>8.998122065727701</x:v>
      </x:c>
      <x:c r="J2381" s="381" t="n">
        <x:f>SUMIFS('Wind Proxy'!$H$8:$H$19,'Wind Proxy'!$A$8:$A$19,'Estimator'!$B$4,'Wind Proxy'!$B$8:$B$19,C2381)</x:f>
        <x:v>0.13739545997610514</x:v>
      </x:c>
    </x:row>
    <x:row r="2382">
      <x:c r="A2382" s="379" t="n">
        <x:v>48033</x:v>
      </x:c>
      <x:c r="B2382" s="380" t="n">
        <x:v>2031</x:v>
      </x:c>
      <x:c r="C2382" s="380" t="n">
        <x:v>7</x:v>
      </x:c>
      <x:c r="D2382" s="380" t="str">
        <x:v>Jul</x:v>
      </x:c>
      <x:c r="E2382" s="380" t="n">
        <x:v>4</x:v>
      </x:c>
      <x:c r="F2382" s="380" t="n">
        <x:v>5</x:v>
      </x:c>
      <x:c r="G2382" s="380" t="n">
        <x:f>--(F2382&lt;='Estimator'!$B$7)</x:f>
        <x:v>1</x:v>
      </x:c>
      <x:c r="H2382" s="381" t="n">
        <x:f>SUMIFS('Climate Data'!$G$7:$G$366,'Climate Data'!$A$7:$A$366,'Estimator'!$B$4,'Climate Data'!$B$7:$B$366,C2382)</x:f>
        <x:v>0.49078341013824883</x:v>
      </x:c>
      <x:c r="I2382" s="382" t="n">
        <x:f>SUMIFS('Climate Data'!$H$7:$H$366,'Climate Data'!$A$7:$A$366,'Estimator'!$B$4,'Climate Data'!$B$7:$B$366,C2382)</x:f>
        <x:v>8.998122065727701</x:v>
      </x:c>
      <x:c r="J2382" s="381" t="n">
        <x:f>SUMIFS('Wind Proxy'!$H$8:$H$19,'Wind Proxy'!$A$8:$A$19,'Estimator'!$B$4,'Wind Proxy'!$B$8:$B$19,C2382)</x:f>
        <x:v>0.13739545997610514</x:v>
      </x:c>
    </x:row>
    <x:row r="2383">
      <x:c r="A2383" s="379" t="n">
        <x:v>48034</x:v>
      </x:c>
      <x:c r="B2383" s="380" t="n">
        <x:v>2031</x:v>
      </x:c>
      <x:c r="C2383" s="380" t="n">
        <x:v>7</x:v>
      </x:c>
      <x:c r="D2383" s="380" t="str">
        <x:v>Jul</x:v>
      </x:c>
      <x:c r="E2383" s="380" t="n">
        <x:v>5</x:v>
      </x:c>
      <x:c r="F2383" s="380" t="n">
        <x:v>6</x:v>
      </x:c>
      <x:c r="G2383" s="380" t="n">
        <x:f>--(F2383&lt;='Estimator'!$B$7)</x:f>
        <x:v>0</x:v>
      </x:c>
      <x:c r="H2383" s="381" t="n">
        <x:f>SUMIFS('Climate Data'!$G$7:$G$366,'Climate Data'!$A$7:$A$366,'Estimator'!$B$4,'Climate Data'!$B$7:$B$366,C2383)</x:f>
        <x:v>0.49078341013824883</x:v>
      </x:c>
      <x:c r="I2383" s="382" t="n">
        <x:f>SUMIFS('Climate Data'!$H$7:$H$366,'Climate Data'!$A$7:$A$366,'Estimator'!$B$4,'Climate Data'!$B$7:$B$366,C2383)</x:f>
        <x:v>8.998122065727701</x:v>
      </x:c>
      <x:c r="J2383" s="381" t="n">
        <x:f>SUMIFS('Wind Proxy'!$H$8:$H$19,'Wind Proxy'!$A$8:$A$19,'Estimator'!$B$4,'Wind Proxy'!$B$8:$B$19,C2383)</x:f>
        <x:v>0.13739545997610514</x:v>
      </x:c>
    </x:row>
    <x:row r="2384">
      <x:c r="A2384" s="379" t="n">
        <x:v>48035</x:v>
      </x:c>
      <x:c r="B2384" s="380" t="n">
        <x:v>2031</x:v>
      </x:c>
      <x:c r="C2384" s="380" t="n">
        <x:v>7</x:v>
      </x:c>
      <x:c r="D2384" s="380" t="str">
        <x:v>Jul</x:v>
      </x:c>
      <x:c r="E2384" s="380" t="n">
        <x:v>6</x:v>
      </x:c>
      <x:c r="F2384" s="380" t="n">
        <x:v>7</x:v>
      </x:c>
      <x:c r="G2384" s="380" t="n">
        <x:f>--(F2384&lt;='Estimator'!$B$7)</x:f>
        <x:v>0</x:v>
      </x:c>
      <x:c r="H2384" s="381" t="n">
        <x:f>SUMIFS('Climate Data'!$G$7:$G$366,'Climate Data'!$A$7:$A$366,'Estimator'!$B$4,'Climate Data'!$B$7:$B$366,C2384)</x:f>
        <x:v>0.49078341013824883</x:v>
      </x:c>
      <x:c r="I2384" s="382" t="n">
        <x:f>SUMIFS('Climate Data'!$H$7:$H$366,'Climate Data'!$A$7:$A$366,'Estimator'!$B$4,'Climate Data'!$B$7:$B$366,C2384)</x:f>
        <x:v>8.998122065727701</x:v>
      </x:c>
      <x:c r="J2384" s="381" t="n">
        <x:f>SUMIFS('Wind Proxy'!$H$8:$H$19,'Wind Proxy'!$A$8:$A$19,'Estimator'!$B$4,'Wind Proxy'!$B$8:$B$19,C2384)</x:f>
        <x:v>0.13739545997610514</x:v>
      </x:c>
    </x:row>
    <x:row r="2385">
      <x:c r="A2385" s="379" t="n">
        <x:v>48036</x:v>
      </x:c>
      <x:c r="B2385" s="380" t="n">
        <x:v>2031</x:v>
      </x:c>
      <x:c r="C2385" s="380" t="n">
        <x:v>7</x:v>
      </x:c>
      <x:c r="D2385" s="380" t="str">
        <x:v>Jul</x:v>
      </x:c>
      <x:c r="E2385" s="380" t="n">
        <x:v>7</x:v>
      </x:c>
      <x:c r="F2385" s="380" t="n">
        <x:v>1</x:v>
      </x:c>
      <x:c r="G2385" s="380" t="n">
        <x:f>--(F2385&lt;='Estimator'!$B$7)</x:f>
        <x:v>1</x:v>
      </x:c>
      <x:c r="H2385" s="381" t="n">
        <x:f>SUMIFS('Climate Data'!$G$7:$G$366,'Climate Data'!$A$7:$A$366,'Estimator'!$B$4,'Climate Data'!$B$7:$B$366,C2385)</x:f>
        <x:v>0.49078341013824883</x:v>
      </x:c>
      <x:c r="I2385" s="382" t="n">
        <x:f>SUMIFS('Climate Data'!$H$7:$H$366,'Climate Data'!$A$7:$A$366,'Estimator'!$B$4,'Climate Data'!$B$7:$B$366,C2385)</x:f>
        <x:v>8.998122065727701</x:v>
      </x:c>
      <x:c r="J2385" s="381" t="n">
        <x:f>SUMIFS('Wind Proxy'!$H$8:$H$19,'Wind Proxy'!$A$8:$A$19,'Estimator'!$B$4,'Wind Proxy'!$B$8:$B$19,C2385)</x:f>
        <x:v>0.13739545997610514</x:v>
      </x:c>
    </x:row>
    <x:row r="2386">
      <x:c r="A2386" s="379" t="n">
        <x:v>48037</x:v>
      </x:c>
      <x:c r="B2386" s="380" t="n">
        <x:v>2031</x:v>
      </x:c>
      <x:c r="C2386" s="380" t="n">
        <x:v>7</x:v>
      </x:c>
      <x:c r="D2386" s="380" t="str">
        <x:v>Jul</x:v>
      </x:c>
      <x:c r="E2386" s="380" t="n">
        <x:v>8</x:v>
      </x:c>
      <x:c r="F2386" s="380" t="n">
        <x:v>2</x:v>
      </x:c>
      <x:c r="G2386" s="380" t="n">
        <x:f>--(F2386&lt;='Estimator'!$B$7)</x:f>
        <x:v>1</x:v>
      </x:c>
      <x:c r="H2386" s="381" t="n">
        <x:f>SUMIFS('Climate Data'!$G$7:$G$366,'Climate Data'!$A$7:$A$366,'Estimator'!$B$4,'Climate Data'!$B$7:$B$366,C2386)</x:f>
        <x:v>0.49078341013824883</x:v>
      </x:c>
      <x:c r="I2386" s="382" t="n">
        <x:f>SUMIFS('Climate Data'!$H$7:$H$366,'Climate Data'!$A$7:$A$366,'Estimator'!$B$4,'Climate Data'!$B$7:$B$366,C2386)</x:f>
        <x:v>8.998122065727701</x:v>
      </x:c>
      <x:c r="J2386" s="381" t="n">
        <x:f>SUMIFS('Wind Proxy'!$H$8:$H$19,'Wind Proxy'!$A$8:$A$19,'Estimator'!$B$4,'Wind Proxy'!$B$8:$B$19,C2386)</x:f>
        <x:v>0.13739545997610514</x:v>
      </x:c>
    </x:row>
    <x:row r="2387">
      <x:c r="A2387" s="379" t="n">
        <x:v>48038</x:v>
      </x:c>
      <x:c r="B2387" s="380" t="n">
        <x:v>2031</x:v>
      </x:c>
      <x:c r="C2387" s="380" t="n">
        <x:v>7</x:v>
      </x:c>
      <x:c r="D2387" s="380" t="str">
        <x:v>Jul</x:v>
      </x:c>
      <x:c r="E2387" s="380" t="n">
        <x:v>9</x:v>
      </x:c>
      <x:c r="F2387" s="380" t="n">
        <x:v>3</x:v>
      </x:c>
      <x:c r="G2387" s="380" t="n">
        <x:f>--(F2387&lt;='Estimator'!$B$7)</x:f>
        <x:v>1</x:v>
      </x:c>
      <x:c r="H2387" s="381" t="n">
        <x:f>SUMIFS('Climate Data'!$G$7:$G$366,'Climate Data'!$A$7:$A$366,'Estimator'!$B$4,'Climate Data'!$B$7:$B$366,C2387)</x:f>
        <x:v>0.49078341013824883</x:v>
      </x:c>
      <x:c r="I2387" s="382" t="n">
        <x:f>SUMIFS('Climate Data'!$H$7:$H$366,'Climate Data'!$A$7:$A$366,'Estimator'!$B$4,'Climate Data'!$B$7:$B$366,C2387)</x:f>
        <x:v>8.998122065727701</x:v>
      </x:c>
      <x:c r="J2387" s="381" t="n">
        <x:f>SUMIFS('Wind Proxy'!$H$8:$H$19,'Wind Proxy'!$A$8:$A$19,'Estimator'!$B$4,'Wind Proxy'!$B$8:$B$19,C2387)</x:f>
        <x:v>0.13739545997610514</x:v>
      </x:c>
    </x:row>
    <x:row r="2388">
      <x:c r="A2388" s="379" t="n">
        <x:v>48039</x:v>
      </x:c>
      <x:c r="B2388" s="380" t="n">
        <x:v>2031</x:v>
      </x:c>
      <x:c r="C2388" s="380" t="n">
        <x:v>7</x:v>
      </x:c>
      <x:c r="D2388" s="380" t="str">
        <x:v>Jul</x:v>
      </x:c>
      <x:c r="E2388" s="380" t="n">
        <x:v>10</x:v>
      </x:c>
      <x:c r="F2388" s="380" t="n">
        <x:v>4</x:v>
      </x:c>
      <x:c r="G2388" s="380" t="n">
        <x:f>--(F2388&lt;='Estimator'!$B$7)</x:f>
        <x:v>1</x:v>
      </x:c>
      <x:c r="H2388" s="381" t="n">
        <x:f>SUMIFS('Climate Data'!$G$7:$G$366,'Climate Data'!$A$7:$A$366,'Estimator'!$B$4,'Climate Data'!$B$7:$B$366,C2388)</x:f>
        <x:v>0.49078341013824883</x:v>
      </x:c>
      <x:c r="I2388" s="382" t="n">
        <x:f>SUMIFS('Climate Data'!$H$7:$H$366,'Climate Data'!$A$7:$A$366,'Estimator'!$B$4,'Climate Data'!$B$7:$B$366,C2388)</x:f>
        <x:v>8.998122065727701</x:v>
      </x:c>
      <x:c r="J2388" s="381" t="n">
        <x:f>SUMIFS('Wind Proxy'!$H$8:$H$19,'Wind Proxy'!$A$8:$A$19,'Estimator'!$B$4,'Wind Proxy'!$B$8:$B$19,C2388)</x:f>
        <x:v>0.13739545997610514</x:v>
      </x:c>
    </x:row>
    <x:row r="2389">
      <x:c r="A2389" s="379" t="n">
        <x:v>48040</x:v>
      </x:c>
      <x:c r="B2389" s="380" t="n">
        <x:v>2031</x:v>
      </x:c>
      <x:c r="C2389" s="380" t="n">
        <x:v>7</x:v>
      </x:c>
      <x:c r="D2389" s="380" t="str">
        <x:v>Jul</x:v>
      </x:c>
      <x:c r="E2389" s="380" t="n">
        <x:v>11</x:v>
      </x:c>
      <x:c r="F2389" s="380" t="n">
        <x:v>5</x:v>
      </x:c>
      <x:c r="G2389" s="380" t="n">
        <x:f>--(F2389&lt;='Estimator'!$B$7)</x:f>
        <x:v>1</x:v>
      </x:c>
      <x:c r="H2389" s="381" t="n">
        <x:f>SUMIFS('Climate Data'!$G$7:$G$366,'Climate Data'!$A$7:$A$366,'Estimator'!$B$4,'Climate Data'!$B$7:$B$366,C2389)</x:f>
        <x:v>0.49078341013824883</x:v>
      </x:c>
      <x:c r="I2389" s="382" t="n">
        <x:f>SUMIFS('Climate Data'!$H$7:$H$366,'Climate Data'!$A$7:$A$366,'Estimator'!$B$4,'Climate Data'!$B$7:$B$366,C2389)</x:f>
        <x:v>8.998122065727701</x:v>
      </x:c>
      <x:c r="J2389" s="381" t="n">
        <x:f>SUMIFS('Wind Proxy'!$H$8:$H$19,'Wind Proxy'!$A$8:$A$19,'Estimator'!$B$4,'Wind Proxy'!$B$8:$B$19,C2389)</x:f>
        <x:v>0.13739545997610514</x:v>
      </x:c>
    </x:row>
    <x:row r="2390">
      <x:c r="A2390" s="379" t="n">
        <x:v>48041</x:v>
      </x:c>
      <x:c r="B2390" s="380" t="n">
        <x:v>2031</x:v>
      </x:c>
      <x:c r="C2390" s="380" t="n">
        <x:v>7</x:v>
      </x:c>
      <x:c r="D2390" s="380" t="str">
        <x:v>Jul</x:v>
      </x:c>
      <x:c r="E2390" s="380" t="n">
        <x:v>12</x:v>
      </x:c>
      <x:c r="F2390" s="380" t="n">
        <x:v>6</x:v>
      </x:c>
      <x:c r="G2390" s="380" t="n">
        <x:f>--(F2390&lt;='Estimator'!$B$7)</x:f>
        <x:v>0</x:v>
      </x:c>
      <x:c r="H2390" s="381" t="n">
        <x:f>SUMIFS('Climate Data'!$G$7:$G$366,'Climate Data'!$A$7:$A$366,'Estimator'!$B$4,'Climate Data'!$B$7:$B$366,C2390)</x:f>
        <x:v>0.49078341013824883</x:v>
      </x:c>
      <x:c r="I2390" s="382" t="n">
        <x:f>SUMIFS('Climate Data'!$H$7:$H$366,'Climate Data'!$A$7:$A$366,'Estimator'!$B$4,'Climate Data'!$B$7:$B$366,C2390)</x:f>
        <x:v>8.998122065727701</x:v>
      </x:c>
      <x:c r="J2390" s="381" t="n">
        <x:f>SUMIFS('Wind Proxy'!$H$8:$H$19,'Wind Proxy'!$A$8:$A$19,'Estimator'!$B$4,'Wind Proxy'!$B$8:$B$19,C2390)</x:f>
        <x:v>0.13739545997610514</x:v>
      </x:c>
    </x:row>
    <x:row r="2391">
      <x:c r="A2391" s="379" t="n">
        <x:v>48042</x:v>
      </x:c>
      <x:c r="B2391" s="380" t="n">
        <x:v>2031</x:v>
      </x:c>
      <x:c r="C2391" s="380" t="n">
        <x:v>7</x:v>
      </x:c>
      <x:c r="D2391" s="380" t="str">
        <x:v>Jul</x:v>
      </x:c>
      <x:c r="E2391" s="380" t="n">
        <x:v>13</x:v>
      </x:c>
      <x:c r="F2391" s="380" t="n">
        <x:v>7</x:v>
      </x:c>
      <x:c r="G2391" s="380" t="n">
        <x:f>--(F2391&lt;='Estimator'!$B$7)</x:f>
        <x:v>0</x:v>
      </x:c>
      <x:c r="H2391" s="381" t="n">
        <x:f>SUMIFS('Climate Data'!$G$7:$G$366,'Climate Data'!$A$7:$A$366,'Estimator'!$B$4,'Climate Data'!$B$7:$B$366,C2391)</x:f>
        <x:v>0.49078341013824883</x:v>
      </x:c>
      <x:c r="I2391" s="382" t="n">
        <x:f>SUMIFS('Climate Data'!$H$7:$H$366,'Climate Data'!$A$7:$A$366,'Estimator'!$B$4,'Climate Data'!$B$7:$B$366,C2391)</x:f>
        <x:v>8.998122065727701</x:v>
      </x:c>
      <x:c r="J2391" s="381" t="n">
        <x:f>SUMIFS('Wind Proxy'!$H$8:$H$19,'Wind Proxy'!$A$8:$A$19,'Estimator'!$B$4,'Wind Proxy'!$B$8:$B$19,C2391)</x:f>
        <x:v>0.13739545997610514</x:v>
      </x:c>
    </x:row>
    <x:row r="2392">
      <x:c r="A2392" s="379" t="n">
        <x:v>48043</x:v>
      </x:c>
      <x:c r="B2392" s="380" t="n">
        <x:v>2031</x:v>
      </x:c>
      <x:c r="C2392" s="380" t="n">
        <x:v>7</x:v>
      </x:c>
      <x:c r="D2392" s="380" t="str">
        <x:v>Jul</x:v>
      </x:c>
      <x:c r="E2392" s="380" t="n">
        <x:v>14</x:v>
      </x:c>
      <x:c r="F2392" s="380" t="n">
        <x:v>1</x:v>
      </x:c>
      <x:c r="G2392" s="380" t="n">
        <x:f>--(F2392&lt;='Estimator'!$B$7)</x:f>
        <x:v>1</x:v>
      </x:c>
      <x:c r="H2392" s="381" t="n">
        <x:f>SUMIFS('Climate Data'!$G$7:$G$366,'Climate Data'!$A$7:$A$366,'Estimator'!$B$4,'Climate Data'!$B$7:$B$366,C2392)</x:f>
        <x:v>0.49078341013824883</x:v>
      </x:c>
      <x:c r="I2392" s="382" t="n">
        <x:f>SUMIFS('Climate Data'!$H$7:$H$366,'Climate Data'!$A$7:$A$366,'Estimator'!$B$4,'Climate Data'!$B$7:$B$366,C2392)</x:f>
        <x:v>8.998122065727701</x:v>
      </x:c>
      <x:c r="J2392" s="381" t="n">
        <x:f>SUMIFS('Wind Proxy'!$H$8:$H$19,'Wind Proxy'!$A$8:$A$19,'Estimator'!$B$4,'Wind Proxy'!$B$8:$B$19,C2392)</x:f>
        <x:v>0.13739545997610514</x:v>
      </x:c>
    </x:row>
    <x:row r="2393">
      <x:c r="A2393" s="379" t="n">
        <x:v>48044</x:v>
      </x:c>
      <x:c r="B2393" s="380" t="n">
        <x:v>2031</x:v>
      </x:c>
      <x:c r="C2393" s="380" t="n">
        <x:v>7</x:v>
      </x:c>
      <x:c r="D2393" s="380" t="str">
        <x:v>Jul</x:v>
      </x:c>
      <x:c r="E2393" s="380" t="n">
        <x:v>15</x:v>
      </x:c>
      <x:c r="F2393" s="380" t="n">
        <x:v>2</x:v>
      </x:c>
      <x:c r="G2393" s="380" t="n">
        <x:f>--(F2393&lt;='Estimator'!$B$7)</x:f>
        <x:v>1</x:v>
      </x:c>
      <x:c r="H2393" s="381" t="n">
        <x:f>SUMIFS('Climate Data'!$G$7:$G$366,'Climate Data'!$A$7:$A$366,'Estimator'!$B$4,'Climate Data'!$B$7:$B$366,C2393)</x:f>
        <x:v>0.49078341013824883</x:v>
      </x:c>
      <x:c r="I2393" s="382" t="n">
        <x:f>SUMIFS('Climate Data'!$H$7:$H$366,'Climate Data'!$A$7:$A$366,'Estimator'!$B$4,'Climate Data'!$B$7:$B$366,C2393)</x:f>
        <x:v>8.998122065727701</x:v>
      </x:c>
      <x:c r="J2393" s="381" t="n">
        <x:f>SUMIFS('Wind Proxy'!$H$8:$H$19,'Wind Proxy'!$A$8:$A$19,'Estimator'!$B$4,'Wind Proxy'!$B$8:$B$19,C2393)</x:f>
        <x:v>0.13739545997610514</x:v>
      </x:c>
    </x:row>
    <x:row r="2394">
      <x:c r="A2394" s="379" t="n">
        <x:v>48045</x:v>
      </x:c>
      <x:c r="B2394" s="380" t="n">
        <x:v>2031</x:v>
      </x:c>
      <x:c r="C2394" s="380" t="n">
        <x:v>7</x:v>
      </x:c>
      <x:c r="D2394" s="380" t="str">
        <x:v>Jul</x:v>
      </x:c>
      <x:c r="E2394" s="380" t="n">
        <x:v>16</x:v>
      </x:c>
      <x:c r="F2394" s="380" t="n">
        <x:v>3</x:v>
      </x:c>
      <x:c r="G2394" s="380" t="n">
        <x:f>--(F2394&lt;='Estimator'!$B$7)</x:f>
        <x:v>1</x:v>
      </x:c>
      <x:c r="H2394" s="381" t="n">
        <x:f>SUMIFS('Climate Data'!$G$7:$G$366,'Climate Data'!$A$7:$A$366,'Estimator'!$B$4,'Climate Data'!$B$7:$B$366,C2394)</x:f>
        <x:v>0.49078341013824883</x:v>
      </x:c>
      <x:c r="I2394" s="382" t="n">
        <x:f>SUMIFS('Climate Data'!$H$7:$H$366,'Climate Data'!$A$7:$A$366,'Estimator'!$B$4,'Climate Data'!$B$7:$B$366,C2394)</x:f>
        <x:v>8.998122065727701</x:v>
      </x:c>
      <x:c r="J2394" s="381" t="n">
        <x:f>SUMIFS('Wind Proxy'!$H$8:$H$19,'Wind Proxy'!$A$8:$A$19,'Estimator'!$B$4,'Wind Proxy'!$B$8:$B$19,C2394)</x:f>
        <x:v>0.13739545997610514</x:v>
      </x:c>
    </x:row>
    <x:row r="2395">
      <x:c r="A2395" s="379" t="n">
        <x:v>48046</x:v>
      </x:c>
      <x:c r="B2395" s="380" t="n">
        <x:v>2031</x:v>
      </x:c>
      <x:c r="C2395" s="380" t="n">
        <x:v>7</x:v>
      </x:c>
      <x:c r="D2395" s="380" t="str">
        <x:v>Jul</x:v>
      </x:c>
      <x:c r="E2395" s="380" t="n">
        <x:v>17</x:v>
      </x:c>
      <x:c r="F2395" s="380" t="n">
        <x:v>4</x:v>
      </x:c>
      <x:c r="G2395" s="380" t="n">
        <x:f>--(F2395&lt;='Estimator'!$B$7)</x:f>
        <x:v>1</x:v>
      </x:c>
      <x:c r="H2395" s="381" t="n">
        <x:f>SUMIFS('Climate Data'!$G$7:$G$366,'Climate Data'!$A$7:$A$366,'Estimator'!$B$4,'Climate Data'!$B$7:$B$366,C2395)</x:f>
        <x:v>0.49078341013824883</x:v>
      </x:c>
      <x:c r="I2395" s="382" t="n">
        <x:f>SUMIFS('Climate Data'!$H$7:$H$366,'Climate Data'!$A$7:$A$366,'Estimator'!$B$4,'Climate Data'!$B$7:$B$366,C2395)</x:f>
        <x:v>8.998122065727701</x:v>
      </x:c>
      <x:c r="J2395" s="381" t="n">
        <x:f>SUMIFS('Wind Proxy'!$H$8:$H$19,'Wind Proxy'!$A$8:$A$19,'Estimator'!$B$4,'Wind Proxy'!$B$8:$B$19,C2395)</x:f>
        <x:v>0.13739545997610514</x:v>
      </x:c>
    </x:row>
    <x:row r="2396">
      <x:c r="A2396" s="379" t="n">
        <x:v>48047</x:v>
      </x:c>
      <x:c r="B2396" s="380" t="n">
        <x:v>2031</x:v>
      </x:c>
      <x:c r="C2396" s="380" t="n">
        <x:v>7</x:v>
      </x:c>
      <x:c r="D2396" s="380" t="str">
        <x:v>Jul</x:v>
      </x:c>
      <x:c r="E2396" s="380" t="n">
        <x:v>18</x:v>
      </x:c>
      <x:c r="F2396" s="380" t="n">
        <x:v>5</x:v>
      </x:c>
      <x:c r="G2396" s="380" t="n">
        <x:f>--(F2396&lt;='Estimator'!$B$7)</x:f>
        <x:v>1</x:v>
      </x:c>
      <x:c r="H2396" s="381" t="n">
        <x:f>SUMIFS('Climate Data'!$G$7:$G$366,'Climate Data'!$A$7:$A$366,'Estimator'!$B$4,'Climate Data'!$B$7:$B$366,C2396)</x:f>
        <x:v>0.49078341013824883</x:v>
      </x:c>
      <x:c r="I2396" s="382" t="n">
        <x:f>SUMIFS('Climate Data'!$H$7:$H$366,'Climate Data'!$A$7:$A$366,'Estimator'!$B$4,'Climate Data'!$B$7:$B$366,C2396)</x:f>
        <x:v>8.998122065727701</x:v>
      </x:c>
      <x:c r="J2396" s="381" t="n">
        <x:f>SUMIFS('Wind Proxy'!$H$8:$H$19,'Wind Proxy'!$A$8:$A$19,'Estimator'!$B$4,'Wind Proxy'!$B$8:$B$19,C2396)</x:f>
        <x:v>0.13739545997610514</x:v>
      </x:c>
    </x:row>
    <x:row r="2397">
      <x:c r="A2397" s="379" t="n">
        <x:v>48048</x:v>
      </x:c>
      <x:c r="B2397" s="380" t="n">
        <x:v>2031</x:v>
      </x:c>
      <x:c r="C2397" s="380" t="n">
        <x:v>7</x:v>
      </x:c>
      <x:c r="D2397" s="380" t="str">
        <x:v>Jul</x:v>
      </x:c>
      <x:c r="E2397" s="380" t="n">
        <x:v>19</x:v>
      </x:c>
      <x:c r="F2397" s="380" t="n">
        <x:v>6</x:v>
      </x:c>
      <x:c r="G2397" s="380" t="n">
        <x:f>--(F2397&lt;='Estimator'!$B$7)</x:f>
        <x:v>0</x:v>
      </x:c>
      <x:c r="H2397" s="381" t="n">
        <x:f>SUMIFS('Climate Data'!$G$7:$G$366,'Climate Data'!$A$7:$A$366,'Estimator'!$B$4,'Climate Data'!$B$7:$B$366,C2397)</x:f>
        <x:v>0.49078341013824883</x:v>
      </x:c>
      <x:c r="I2397" s="382" t="n">
        <x:f>SUMIFS('Climate Data'!$H$7:$H$366,'Climate Data'!$A$7:$A$366,'Estimator'!$B$4,'Climate Data'!$B$7:$B$366,C2397)</x:f>
        <x:v>8.998122065727701</x:v>
      </x:c>
      <x:c r="J2397" s="381" t="n">
        <x:f>SUMIFS('Wind Proxy'!$H$8:$H$19,'Wind Proxy'!$A$8:$A$19,'Estimator'!$B$4,'Wind Proxy'!$B$8:$B$19,C2397)</x:f>
        <x:v>0.13739545997610514</x:v>
      </x:c>
    </x:row>
    <x:row r="2398">
      <x:c r="A2398" s="379" t="n">
        <x:v>48049</x:v>
      </x:c>
      <x:c r="B2398" s="380" t="n">
        <x:v>2031</x:v>
      </x:c>
      <x:c r="C2398" s="380" t="n">
        <x:v>7</x:v>
      </x:c>
      <x:c r="D2398" s="380" t="str">
        <x:v>Jul</x:v>
      </x:c>
      <x:c r="E2398" s="380" t="n">
        <x:v>20</x:v>
      </x:c>
      <x:c r="F2398" s="380" t="n">
        <x:v>7</x:v>
      </x:c>
      <x:c r="G2398" s="380" t="n">
        <x:f>--(F2398&lt;='Estimator'!$B$7)</x:f>
        <x:v>0</x:v>
      </x:c>
      <x:c r="H2398" s="381" t="n">
        <x:f>SUMIFS('Climate Data'!$G$7:$G$366,'Climate Data'!$A$7:$A$366,'Estimator'!$B$4,'Climate Data'!$B$7:$B$366,C2398)</x:f>
        <x:v>0.49078341013824883</x:v>
      </x:c>
      <x:c r="I2398" s="382" t="n">
        <x:f>SUMIFS('Climate Data'!$H$7:$H$366,'Climate Data'!$A$7:$A$366,'Estimator'!$B$4,'Climate Data'!$B$7:$B$366,C2398)</x:f>
        <x:v>8.998122065727701</x:v>
      </x:c>
      <x:c r="J2398" s="381" t="n">
        <x:f>SUMIFS('Wind Proxy'!$H$8:$H$19,'Wind Proxy'!$A$8:$A$19,'Estimator'!$B$4,'Wind Proxy'!$B$8:$B$19,C2398)</x:f>
        <x:v>0.13739545997610514</x:v>
      </x:c>
    </x:row>
    <x:row r="2399">
      <x:c r="A2399" s="379" t="n">
        <x:v>48050</x:v>
      </x:c>
      <x:c r="B2399" s="380" t="n">
        <x:v>2031</x:v>
      </x:c>
      <x:c r="C2399" s="380" t="n">
        <x:v>7</x:v>
      </x:c>
      <x:c r="D2399" s="380" t="str">
        <x:v>Jul</x:v>
      </x:c>
      <x:c r="E2399" s="380" t="n">
        <x:v>21</x:v>
      </x:c>
      <x:c r="F2399" s="380" t="n">
        <x:v>1</x:v>
      </x:c>
      <x:c r="G2399" s="380" t="n">
        <x:f>--(F2399&lt;='Estimator'!$B$7)</x:f>
        <x:v>1</x:v>
      </x:c>
      <x:c r="H2399" s="381" t="n">
        <x:f>SUMIFS('Climate Data'!$G$7:$G$366,'Climate Data'!$A$7:$A$366,'Estimator'!$B$4,'Climate Data'!$B$7:$B$366,C2399)</x:f>
        <x:v>0.49078341013824883</x:v>
      </x:c>
      <x:c r="I2399" s="382" t="n">
        <x:f>SUMIFS('Climate Data'!$H$7:$H$366,'Climate Data'!$A$7:$A$366,'Estimator'!$B$4,'Climate Data'!$B$7:$B$366,C2399)</x:f>
        <x:v>8.998122065727701</x:v>
      </x:c>
      <x:c r="J2399" s="381" t="n">
        <x:f>SUMIFS('Wind Proxy'!$H$8:$H$19,'Wind Proxy'!$A$8:$A$19,'Estimator'!$B$4,'Wind Proxy'!$B$8:$B$19,C2399)</x:f>
        <x:v>0.13739545997610514</x:v>
      </x:c>
    </x:row>
    <x:row r="2400">
      <x:c r="A2400" s="379" t="n">
        <x:v>48051</x:v>
      </x:c>
      <x:c r="B2400" s="380" t="n">
        <x:v>2031</x:v>
      </x:c>
      <x:c r="C2400" s="380" t="n">
        <x:v>7</x:v>
      </x:c>
      <x:c r="D2400" s="380" t="str">
        <x:v>Jul</x:v>
      </x:c>
      <x:c r="E2400" s="380" t="n">
        <x:v>22</x:v>
      </x:c>
      <x:c r="F2400" s="380" t="n">
        <x:v>2</x:v>
      </x:c>
      <x:c r="G2400" s="380" t="n">
        <x:f>--(F2400&lt;='Estimator'!$B$7)</x:f>
        <x:v>1</x:v>
      </x:c>
      <x:c r="H2400" s="381" t="n">
        <x:f>SUMIFS('Climate Data'!$G$7:$G$366,'Climate Data'!$A$7:$A$366,'Estimator'!$B$4,'Climate Data'!$B$7:$B$366,C2400)</x:f>
        <x:v>0.49078341013824883</x:v>
      </x:c>
      <x:c r="I2400" s="382" t="n">
        <x:f>SUMIFS('Climate Data'!$H$7:$H$366,'Climate Data'!$A$7:$A$366,'Estimator'!$B$4,'Climate Data'!$B$7:$B$366,C2400)</x:f>
        <x:v>8.998122065727701</x:v>
      </x:c>
      <x:c r="J2400" s="381" t="n">
        <x:f>SUMIFS('Wind Proxy'!$H$8:$H$19,'Wind Proxy'!$A$8:$A$19,'Estimator'!$B$4,'Wind Proxy'!$B$8:$B$19,C2400)</x:f>
        <x:v>0.13739545997610514</x:v>
      </x:c>
    </x:row>
    <x:row r="2401">
      <x:c r="A2401" s="379" t="n">
        <x:v>48052</x:v>
      </x:c>
      <x:c r="B2401" s="380" t="n">
        <x:v>2031</x:v>
      </x:c>
      <x:c r="C2401" s="380" t="n">
        <x:v>7</x:v>
      </x:c>
      <x:c r="D2401" s="380" t="str">
        <x:v>Jul</x:v>
      </x:c>
      <x:c r="E2401" s="380" t="n">
        <x:v>23</x:v>
      </x:c>
      <x:c r="F2401" s="380" t="n">
        <x:v>3</x:v>
      </x:c>
      <x:c r="G2401" s="380" t="n">
        <x:f>--(F2401&lt;='Estimator'!$B$7)</x:f>
        <x:v>1</x:v>
      </x:c>
      <x:c r="H2401" s="381" t="n">
        <x:f>SUMIFS('Climate Data'!$G$7:$G$366,'Climate Data'!$A$7:$A$366,'Estimator'!$B$4,'Climate Data'!$B$7:$B$366,C2401)</x:f>
        <x:v>0.49078341013824883</x:v>
      </x:c>
      <x:c r="I2401" s="382" t="n">
        <x:f>SUMIFS('Climate Data'!$H$7:$H$366,'Climate Data'!$A$7:$A$366,'Estimator'!$B$4,'Climate Data'!$B$7:$B$366,C2401)</x:f>
        <x:v>8.998122065727701</x:v>
      </x:c>
      <x:c r="J2401" s="381" t="n">
        <x:f>SUMIFS('Wind Proxy'!$H$8:$H$19,'Wind Proxy'!$A$8:$A$19,'Estimator'!$B$4,'Wind Proxy'!$B$8:$B$19,C2401)</x:f>
        <x:v>0.13739545997610514</x:v>
      </x:c>
    </x:row>
    <x:row r="2402">
      <x:c r="A2402" s="379" t="n">
        <x:v>48053</x:v>
      </x:c>
      <x:c r="B2402" s="380" t="n">
        <x:v>2031</x:v>
      </x:c>
      <x:c r="C2402" s="380" t="n">
        <x:v>7</x:v>
      </x:c>
      <x:c r="D2402" s="380" t="str">
        <x:v>Jul</x:v>
      </x:c>
      <x:c r="E2402" s="380" t="n">
        <x:v>24</x:v>
      </x:c>
      <x:c r="F2402" s="380" t="n">
        <x:v>4</x:v>
      </x:c>
      <x:c r="G2402" s="380" t="n">
        <x:f>--(F2402&lt;='Estimator'!$B$7)</x:f>
        <x:v>1</x:v>
      </x:c>
      <x:c r="H2402" s="381" t="n">
        <x:f>SUMIFS('Climate Data'!$G$7:$G$366,'Climate Data'!$A$7:$A$366,'Estimator'!$B$4,'Climate Data'!$B$7:$B$366,C2402)</x:f>
        <x:v>0.49078341013824883</x:v>
      </x:c>
      <x:c r="I2402" s="382" t="n">
        <x:f>SUMIFS('Climate Data'!$H$7:$H$366,'Climate Data'!$A$7:$A$366,'Estimator'!$B$4,'Climate Data'!$B$7:$B$366,C2402)</x:f>
        <x:v>8.998122065727701</x:v>
      </x:c>
      <x:c r="J2402" s="381" t="n">
        <x:f>SUMIFS('Wind Proxy'!$H$8:$H$19,'Wind Proxy'!$A$8:$A$19,'Estimator'!$B$4,'Wind Proxy'!$B$8:$B$19,C2402)</x:f>
        <x:v>0.13739545997610514</x:v>
      </x:c>
    </x:row>
    <x:row r="2403">
      <x:c r="A2403" s="379" t="n">
        <x:v>48054</x:v>
      </x:c>
      <x:c r="B2403" s="380" t="n">
        <x:v>2031</x:v>
      </x:c>
      <x:c r="C2403" s="380" t="n">
        <x:v>7</x:v>
      </x:c>
      <x:c r="D2403" s="380" t="str">
        <x:v>Jul</x:v>
      </x:c>
      <x:c r="E2403" s="380" t="n">
        <x:v>25</x:v>
      </x:c>
      <x:c r="F2403" s="380" t="n">
        <x:v>5</x:v>
      </x:c>
      <x:c r="G2403" s="380" t="n">
        <x:f>--(F2403&lt;='Estimator'!$B$7)</x:f>
        <x:v>1</x:v>
      </x:c>
      <x:c r="H2403" s="381" t="n">
        <x:f>SUMIFS('Climate Data'!$G$7:$G$366,'Climate Data'!$A$7:$A$366,'Estimator'!$B$4,'Climate Data'!$B$7:$B$366,C2403)</x:f>
        <x:v>0.49078341013824883</x:v>
      </x:c>
      <x:c r="I2403" s="382" t="n">
        <x:f>SUMIFS('Climate Data'!$H$7:$H$366,'Climate Data'!$A$7:$A$366,'Estimator'!$B$4,'Climate Data'!$B$7:$B$366,C2403)</x:f>
        <x:v>8.998122065727701</x:v>
      </x:c>
      <x:c r="J2403" s="381" t="n">
        <x:f>SUMIFS('Wind Proxy'!$H$8:$H$19,'Wind Proxy'!$A$8:$A$19,'Estimator'!$B$4,'Wind Proxy'!$B$8:$B$19,C2403)</x:f>
        <x:v>0.13739545997610514</x:v>
      </x:c>
    </x:row>
    <x:row r="2404">
      <x:c r="A2404" s="379" t="n">
        <x:v>48055</x:v>
      </x:c>
      <x:c r="B2404" s="380" t="n">
        <x:v>2031</x:v>
      </x:c>
      <x:c r="C2404" s="380" t="n">
        <x:v>7</x:v>
      </x:c>
      <x:c r="D2404" s="380" t="str">
        <x:v>Jul</x:v>
      </x:c>
      <x:c r="E2404" s="380" t="n">
        <x:v>26</x:v>
      </x:c>
      <x:c r="F2404" s="380" t="n">
        <x:v>6</x:v>
      </x:c>
      <x:c r="G2404" s="380" t="n">
        <x:f>--(F2404&lt;='Estimator'!$B$7)</x:f>
        <x:v>0</x:v>
      </x:c>
      <x:c r="H2404" s="381" t="n">
        <x:f>SUMIFS('Climate Data'!$G$7:$G$366,'Climate Data'!$A$7:$A$366,'Estimator'!$B$4,'Climate Data'!$B$7:$B$366,C2404)</x:f>
        <x:v>0.49078341013824883</x:v>
      </x:c>
      <x:c r="I2404" s="382" t="n">
        <x:f>SUMIFS('Climate Data'!$H$7:$H$366,'Climate Data'!$A$7:$A$366,'Estimator'!$B$4,'Climate Data'!$B$7:$B$366,C2404)</x:f>
        <x:v>8.998122065727701</x:v>
      </x:c>
      <x:c r="J2404" s="381" t="n">
        <x:f>SUMIFS('Wind Proxy'!$H$8:$H$19,'Wind Proxy'!$A$8:$A$19,'Estimator'!$B$4,'Wind Proxy'!$B$8:$B$19,C2404)</x:f>
        <x:v>0.13739545997610514</x:v>
      </x:c>
    </x:row>
    <x:row r="2405">
      <x:c r="A2405" s="379" t="n">
        <x:v>48056</x:v>
      </x:c>
      <x:c r="B2405" s="380" t="n">
        <x:v>2031</x:v>
      </x:c>
      <x:c r="C2405" s="380" t="n">
        <x:v>7</x:v>
      </x:c>
      <x:c r="D2405" s="380" t="str">
        <x:v>Jul</x:v>
      </x:c>
      <x:c r="E2405" s="380" t="n">
        <x:v>27</x:v>
      </x:c>
      <x:c r="F2405" s="380" t="n">
        <x:v>7</x:v>
      </x:c>
      <x:c r="G2405" s="380" t="n">
        <x:f>--(F2405&lt;='Estimator'!$B$7)</x:f>
        <x:v>0</x:v>
      </x:c>
      <x:c r="H2405" s="381" t="n">
        <x:f>SUMIFS('Climate Data'!$G$7:$G$366,'Climate Data'!$A$7:$A$366,'Estimator'!$B$4,'Climate Data'!$B$7:$B$366,C2405)</x:f>
        <x:v>0.49078341013824883</x:v>
      </x:c>
      <x:c r="I2405" s="382" t="n">
        <x:f>SUMIFS('Climate Data'!$H$7:$H$366,'Climate Data'!$A$7:$A$366,'Estimator'!$B$4,'Climate Data'!$B$7:$B$366,C2405)</x:f>
        <x:v>8.998122065727701</x:v>
      </x:c>
      <x:c r="J2405" s="381" t="n">
        <x:f>SUMIFS('Wind Proxy'!$H$8:$H$19,'Wind Proxy'!$A$8:$A$19,'Estimator'!$B$4,'Wind Proxy'!$B$8:$B$19,C2405)</x:f>
        <x:v>0.13739545997610514</x:v>
      </x:c>
    </x:row>
    <x:row r="2406">
      <x:c r="A2406" s="379" t="n">
        <x:v>48057</x:v>
      </x:c>
      <x:c r="B2406" s="380" t="n">
        <x:v>2031</x:v>
      </x:c>
      <x:c r="C2406" s="380" t="n">
        <x:v>7</x:v>
      </x:c>
      <x:c r="D2406" s="380" t="str">
        <x:v>Jul</x:v>
      </x:c>
      <x:c r="E2406" s="380" t="n">
        <x:v>28</x:v>
      </x:c>
      <x:c r="F2406" s="380" t="n">
        <x:v>1</x:v>
      </x:c>
      <x:c r="G2406" s="380" t="n">
        <x:f>--(F2406&lt;='Estimator'!$B$7)</x:f>
        <x:v>1</x:v>
      </x:c>
      <x:c r="H2406" s="381" t="n">
        <x:f>SUMIFS('Climate Data'!$G$7:$G$366,'Climate Data'!$A$7:$A$366,'Estimator'!$B$4,'Climate Data'!$B$7:$B$366,C2406)</x:f>
        <x:v>0.49078341013824883</x:v>
      </x:c>
      <x:c r="I2406" s="382" t="n">
        <x:f>SUMIFS('Climate Data'!$H$7:$H$366,'Climate Data'!$A$7:$A$366,'Estimator'!$B$4,'Climate Data'!$B$7:$B$366,C2406)</x:f>
        <x:v>8.998122065727701</x:v>
      </x:c>
      <x:c r="J2406" s="381" t="n">
        <x:f>SUMIFS('Wind Proxy'!$H$8:$H$19,'Wind Proxy'!$A$8:$A$19,'Estimator'!$B$4,'Wind Proxy'!$B$8:$B$19,C2406)</x:f>
        <x:v>0.13739545997610514</x:v>
      </x:c>
    </x:row>
    <x:row r="2407">
      <x:c r="A2407" s="379" t="n">
        <x:v>48058</x:v>
      </x:c>
      <x:c r="B2407" s="380" t="n">
        <x:v>2031</x:v>
      </x:c>
      <x:c r="C2407" s="380" t="n">
        <x:v>7</x:v>
      </x:c>
      <x:c r="D2407" s="380" t="str">
        <x:v>Jul</x:v>
      </x:c>
      <x:c r="E2407" s="380" t="n">
        <x:v>29</x:v>
      </x:c>
      <x:c r="F2407" s="380" t="n">
        <x:v>2</x:v>
      </x:c>
      <x:c r="G2407" s="380" t="n">
        <x:f>--(F2407&lt;='Estimator'!$B$7)</x:f>
        <x:v>1</x:v>
      </x:c>
      <x:c r="H2407" s="381" t="n">
        <x:f>SUMIFS('Climate Data'!$G$7:$G$366,'Climate Data'!$A$7:$A$366,'Estimator'!$B$4,'Climate Data'!$B$7:$B$366,C2407)</x:f>
        <x:v>0.49078341013824883</x:v>
      </x:c>
      <x:c r="I2407" s="382" t="n">
        <x:f>SUMIFS('Climate Data'!$H$7:$H$366,'Climate Data'!$A$7:$A$366,'Estimator'!$B$4,'Climate Data'!$B$7:$B$366,C2407)</x:f>
        <x:v>8.998122065727701</x:v>
      </x:c>
      <x:c r="J2407" s="381" t="n">
        <x:f>SUMIFS('Wind Proxy'!$H$8:$H$19,'Wind Proxy'!$A$8:$A$19,'Estimator'!$B$4,'Wind Proxy'!$B$8:$B$19,C2407)</x:f>
        <x:v>0.13739545997610514</x:v>
      </x:c>
    </x:row>
    <x:row r="2408">
      <x:c r="A2408" s="379" t="n">
        <x:v>48059</x:v>
      </x:c>
      <x:c r="B2408" s="380" t="n">
        <x:v>2031</x:v>
      </x:c>
      <x:c r="C2408" s="380" t="n">
        <x:v>7</x:v>
      </x:c>
      <x:c r="D2408" s="380" t="str">
        <x:v>Jul</x:v>
      </x:c>
      <x:c r="E2408" s="380" t="n">
        <x:v>30</x:v>
      </x:c>
      <x:c r="F2408" s="380" t="n">
        <x:v>3</x:v>
      </x:c>
      <x:c r="G2408" s="380" t="n">
        <x:f>--(F2408&lt;='Estimator'!$B$7)</x:f>
        <x:v>1</x:v>
      </x:c>
      <x:c r="H2408" s="381" t="n">
        <x:f>SUMIFS('Climate Data'!$G$7:$G$366,'Climate Data'!$A$7:$A$366,'Estimator'!$B$4,'Climate Data'!$B$7:$B$366,C2408)</x:f>
        <x:v>0.49078341013824883</x:v>
      </x:c>
      <x:c r="I2408" s="382" t="n">
        <x:f>SUMIFS('Climate Data'!$H$7:$H$366,'Climate Data'!$A$7:$A$366,'Estimator'!$B$4,'Climate Data'!$B$7:$B$366,C2408)</x:f>
        <x:v>8.998122065727701</x:v>
      </x:c>
      <x:c r="J2408" s="381" t="n">
        <x:f>SUMIFS('Wind Proxy'!$H$8:$H$19,'Wind Proxy'!$A$8:$A$19,'Estimator'!$B$4,'Wind Proxy'!$B$8:$B$19,C2408)</x:f>
        <x:v>0.13739545997610514</x:v>
      </x:c>
    </x:row>
    <x:row r="2409">
      <x:c r="A2409" s="379" t="n">
        <x:v>48060</x:v>
      </x:c>
      <x:c r="B2409" s="380" t="n">
        <x:v>2031</x:v>
      </x:c>
      <x:c r="C2409" s="380" t="n">
        <x:v>7</x:v>
      </x:c>
      <x:c r="D2409" s="380" t="str">
        <x:v>Jul</x:v>
      </x:c>
      <x:c r="E2409" s="380" t="n">
        <x:v>31</x:v>
      </x:c>
      <x:c r="F2409" s="380" t="n">
        <x:v>4</x:v>
      </x:c>
      <x:c r="G2409" s="380" t="n">
        <x:f>--(F2409&lt;='Estimator'!$B$7)</x:f>
        <x:v>1</x:v>
      </x:c>
      <x:c r="H2409" s="381" t="n">
        <x:f>SUMIFS('Climate Data'!$G$7:$G$366,'Climate Data'!$A$7:$A$366,'Estimator'!$B$4,'Climate Data'!$B$7:$B$366,C2409)</x:f>
        <x:v>0.49078341013824883</x:v>
      </x:c>
      <x:c r="I2409" s="382" t="n">
        <x:f>SUMIFS('Climate Data'!$H$7:$H$366,'Climate Data'!$A$7:$A$366,'Estimator'!$B$4,'Climate Data'!$B$7:$B$366,C2409)</x:f>
        <x:v>8.998122065727701</x:v>
      </x:c>
      <x:c r="J2409" s="381" t="n">
        <x:f>SUMIFS('Wind Proxy'!$H$8:$H$19,'Wind Proxy'!$A$8:$A$19,'Estimator'!$B$4,'Wind Proxy'!$B$8:$B$19,C2409)</x:f>
        <x:v>0.13739545997610514</x:v>
      </x:c>
    </x:row>
    <x:row r="2410">
      <x:c r="A2410" s="379" t="n">
        <x:v>48061</x:v>
      </x:c>
      <x:c r="B2410" s="380" t="n">
        <x:v>2031</x:v>
      </x:c>
      <x:c r="C2410" s="380" t="n">
        <x:v>8</x:v>
      </x:c>
      <x:c r="D2410" s="380" t="str">
        <x:v>Aug</x:v>
      </x:c>
      <x:c r="E2410" s="380" t="n">
        <x:v>1</x:v>
      </x:c>
      <x:c r="F2410" s="380" t="n">
        <x:v>5</x:v>
      </x:c>
      <x:c r="G2410" s="380" t="n">
        <x:f>--(F2410&lt;='Estimator'!$B$7)</x:f>
        <x:v>1</x:v>
      </x:c>
      <x:c r="H2410" s="381" t="n">
        <x:f>SUMIFS('Climate Data'!$G$7:$G$366,'Climate Data'!$A$7:$A$366,'Estimator'!$B$4,'Climate Data'!$B$7:$B$366,C2410)</x:f>
        <x:v>0.47274749721913234</x:v>
      </x:c>
      <x:c r="I2410" s="382" t="n">
        <x:f>SUMIFS('Climate Data'!$H$7:$H$366,'Climate Data'!$A$7:$A$366,'Estimator'!$B$4,'Climate Data'!$B$7:$B$366,C2410)</x:f>
        <x:v>7.9971764705882356</x:v>
      </x:c>
      <x:c r="J2410" s="381" t="n">
        <x:f>SUMIFS('Wind Proxy'!$H$8:$H$19,'Wind Proxy'!$A$8:$A$19,'Estimator'!$B$4,'Wind Proxy'!$B$8:$B$19,C2410)</x:f>
        <x:v>0.13739545997610514</x:v>
      </x:c>
    </x:row>
    <x:row r="2411">
      <x:c r="A2411" s="379" t="n">
        <x:v>48062</x:v>
      </x:c>
      <x:c r="B2411" s="380" t="n">
        <x:v>2031</x:v>
      </x:c>
      <x:c r="C2411" s="380" t="n">
        <x:v>8</x:v>
      </x:c>
      <x:c r="D2411" s="380" t="str">
        <x:v>Aug</x:v>
      </x:c>
      <x:c r="E2411" s="380" t="n">
        <x:v>2</x:v>
      </x:c>
      <x:c r="F2411" s="380" t="n">
        <x:v>6</x:v>
      </x:c>
      <x:c r="G2411" s="380" t="n">
        <x:f>--(F2411&lt;='Estimator'!$B$7)</x:f>
        <x:v>0</x:v>
      </x:c>
      <x:c r="H2411" s="381" t="n">
        <x:f>SUMIFS('Climate Data'!$G$7:$G$366,'Climate Data'!$A$7:$A$366,'Estimator'!$B$4,'Climate Data'!$B$7:$B$366,C2411)</x:f>
        <x:v>0.47274749721913234</x:v>
      </x:c>
      <x:c r="I2411" s="382" t="n">
        <x:f>SUMIFS('Climate Data'!$H$7:$H$366,'Climate Data'!$A$7:$A$366,'Estimator'!$B$4,'Climate Data'!$B$7:$B$366,C2411)</x:f>
        <x:v>7.9971764705882356</x:v>
      </x:c>
      <x:c r="J2411" s="381" t="n">
        <x:f>SUMIFS('Wind Proxy'!$H$8:$H$19,'Wind Proxy'!$A$8:$A$19,'Estimator'!$B$4,'Wind Proxy'!$B$8:$B$19,C2411)</x:f>
        <x:v>0.13739545997610514</x:v>
      </x:c>
    </x:row>
    <x:row r="2412">
      <x:c r="A2412" s="379" t="n">
        <x:v>48063</x:v>
      </x:c>
      <x:c r="B2412" s="380" t="n">
        <x:v>2031</x:v>
      </x:c>
      <x:c r="C2412" s="380" t="n">
        <x:v>8</x:v>
      </x:c>
      <x:c r="D2412" s="380" t="str">
        <x:v>Aug</x:v>
      </x:c>
      <x:c r="E2412" s="380" t="n">
        <x:v>3</x:v>
      </x:c>
      <x:c r="F2412" s="380" t="n">
        <x:v>7</x:v>
      </x:c>
      <x:c r="G2412" s="380" t="n">
        <x:f>--(F2412&lt;='Estimator'!$B$7)</x:f>
        <x:v>0</x:v>
      </x:c>
      <x:c r="H2412" s="381" t="n">
        <x:f>SUMIFS('Climate Data'!$G$7:$G$366,'Climate Data'!$A$7:$A$366,'Estimator'!$B$4,'Climate Data'!$B$7:$B$366,C2412)</x:f>
        <x:v>0.47274749721913234</x:v>
      </x:c>
      <x:c r="I2412" s="382" t="n">
        <x:f>SUMIFS('Climate Data'!$H$7:$H$366,'Climate Data'!$A$7:$A$366,'Estimator'!$B$4,'Climate Data'!$B$7:$B$366,C2412)</x:f>
        <x:v>7.9971764705882356</x:v>
      </x:c>
      <x:c r="J2412" s="381" t="n">
        <x:f>SUMIFS('Wind Proxy'!$H$8:$H$19,'Wind Proxy'!$A$8:$A$19,'Estimator'!$B$4,'Wind Proxy'!$B$8:$B$19,C2412)</x:f>
        <x:v>0.13739545997610514</x:v>
      </x:c>
    </x:row>
    <x:row r="2413">
      <x:c r="A2413" s="379" t="n">
        <x:v>48064</x:v>
      </x:c>
      <x:c r="B2413" s="380" t="n">
        <x:v>2031</x:v>
      </x:c>
      <x:c r="C2413" s="380" t="n">
        <x:v>8</x:v>
      </x:c>
      <x:c r="D2413" s="380" t="str">
        <x:v>Aug</x:v>
      </x:c>
      <x:c r="E2413" s="380" t="n">
        <x:v>4</x:v>
      </x:c>
      <x:c r="F2413" s="380" t="n">
        <x:v>1</x:v>
      </x:c>
      <x:c r="G2413" s="380" t="n">
        <x:f>--(F2413&lt;='Estimator'!$B$7)</x:f>
        <x:v>1</x:v>
      </x:c>
      <x:c r="H2413" s="381" t="n">
        <x:f>SUMIFS('Climate Data'!$G$7:$G$366,'Climate Data'!$A$7:$A$366,'Estimator'!$B$4,'Climate Data'!$B$7:$B$366,C2413)</x:f>
        <x:v>0.47274749721913234</x:v>
      </x:c>
      <x:c r="I2413" s="382" t="n">
        <x:f>SUMIFS('Climate Data'!$H$7:$H$366,'Climate Data'!$A$7:$A$366,'Estimator'!$B$4,'Climate Data'!$B$7:$B$366,C2413)</x:f>
        <x:v>7.9971764705882356</x:v>
      </x:c>
      <x:c r="J2413" s="381" t="n">
        <x:f>SUMIFS('Wind Proxy'!$H$8:$H$19,'Wind Proxy'!$A$8:$A$19,'Estimator'!$B$4,'Wind Proxy'!$B$8:$B$19,C2413)</x:f>
        <x:v>0.13739545997610514</x:v>
      </x:c>
    </x:row>
    <x:row r="2414">
      <x:c r="A2414" s="379" t="n">
        <x:v>48065</x:v>
      </x:c>
      <x:c r="B2414" s="380" t="n">
        <x:v>2031</x:v>
      </x:c>
      <x:c r="C2414" s="380" t="n">
        <x:v>8</x:v>
      </x:c>
      <x:c r="D2414" s="380" t="str">
        <x:v>Aug</x:v>
      </x:c>
      <x:c r="E2414" s="380" t="n">
        <x:v>5</x:v>
      </x:c>
      <x:c r="F2414" s="380" t="n">
        <x:v>2</x:v>
      </x:c>
      <x:c r="G2414" s="380" t="n">
        <x:f>--(F2414&lt;='Estimator'!$B$7)</x:f>
        <x:v>1</x:v>
      </x:c>
      <x:c r="H2414" s="381" t="n">
        <x:f>SUMIFS('Climate Data'!$G$7:$G$366,'Climate Data'!$A$7:$A$366,'Estimator'!$B$4,'Climate Data'!$B$7:$B$366,C2414)</x:f>
        <x:v>0.47274749721913234</x:v>
      </x:c>
      <x:c r="I2414" s="382" t="n">
        <x:f>SUMIFS('Climate Data'!$H$7:$H$366,'Climate Data'!$A$7:$A$366,'Estimator'!$B$4,'Climate Data'!$B$7:$B$366,C2414)</x:f>
        <x:v>7.9971764705882356</x:v>
      </x:c>
      <x:c r="J2414" s="381" t="n">
        <x:f>SUMIFS('Wind Proxy'!$H$8:$H$19,'Wind Proxy'!$A$8:$A$19,'Estimator'!$B$4,'Wind Proxy'!$B$8:$B$19,C2414)</x:f>
        <x:v>0.13739545997610514</x:v>
      </x:c>
    </x:row>
    <x:row r="2415">
      <x:c r="A2415" s="379" t="n">
        <x:v>48066</x:v>
      </x:c>
      <x:c r="B2415" s="380" t="n">
        <x:v>2031</x:v>
      </x:c>
      <x:c r="C2415" s="380" t="n">
        <x:v>8</x:v>
      </x:c>
      <x:c r="D2415" s="380" t="str">
        <x:v>Aug</x:v>
      </x:c>
      <x:c r="E2415" s="380" t="n">
        <x:v>6</x:v>
      </x:c>
      <x:c r="F2415" s="380" t="n">
        <x:v>3</x:v>
      </x:c>
      <x:c r="G2415" s="380" t="n">
        <x:f>--(F2415&lt;='Estimator'!$B$7)</x:f>
        <x:v>1</x:v>
      </x:c>
      <x:c r="H2415" s="381" t="n">
        <x:f>SUMIFS('Climate Data'!$G$7:$G$366,'Climate Data'!$A$7:$A$366,'Estimator'!$B$4,'Climate Data'!$B$7:$B$366,C2415)</x:f>
        <x:v>0.47274749721913234</x:v>
      </x:c>
      <x:c r="I2415" s="382" t="n">
        <x:f>SUMIFS('Climate Data'!$H$7:$H$366,'Climate Data'!$A$7:$A$366,'Estimator'!$B$4,'Climate Data'!$B$7:$B$366,C2415)</x:f>
        <x:v>7.9971764705882356</x:v>
      </x:c>
      <x:c r="J2415" s="381" t="n">
        <x:f>SUMIFS('Wind Proxy'!$H$8:$H$19,'Wind Proxy'!$A$8:$A$19,'Estimator'!$B$4,'Wind Proxy'!$B$8:$B$19,C2415)</x:f>
        <x:v>0.13739545997610514</x:v>
      </x:c>
    </x:row>
    <x:row r="2416">
      <x:c r="A2416" s="379" t="n">
        <x:v>48067</x:v>
      </x:c>
      <x:c r="B2416" s="380" t="n">
        <x:v>2031</x:v>
      </x:c>
      <x:c r="C2416" s="380" t="n">
        <x:v>8</x:v>
      </x:c>
      <x:c r="D2416" s="380" t="str">
        <x:v>Aug</x:v>
      </x:c>
      <x:c r="E2416" s="380" t="n">
        <x:v>7</x:v>
      </x:c>
      <x:c r="F2416" s="380" t="n">
        <x:v>4</x:v>
      </x:c>
      <x:c r="G2416" s="380" t="n">
        <x:f>--(F2416&lt;='Estimator'!$B$7)</x:f>
        <x:v>1</x:v>
      </x:c>
      <x:c r="H2416" s="381" t="n">
        <x:f>SUMIFS('Climate Data'!$G$7:$G$366,'Climate Data'!$A$7:$A$366,'Estimator'!$B$4,'Climate Data'!$B$7:$B$366,C2416)</x:f>
        <x:v>0.47274749721913234</x:v>
      </x:c>
      <x:c r="I2416" s="382" t="n">
        <x:f>SUMIFS('Climate Data'!$H$7:$H$366,'Climate Data'!$A$7:$A$366,'Estimator'!$B$4,'Climate Data'!$B$7:$B$366,C2416)</x:f>
        <x:v>7.9971764705882356</x:v>
      </x:c>
      <x:c r="J2416" s="381" t="n">
        <x:f>SUMIFS('Wind Proxy'!$H$8:$H$19,'Wind Proxy'!$A$8:$A$19,'Estimator'!$B$4,'Wind Proxy'!$B$8:$B$19,C2416)</x:f>
        <x:v>0.13739545997610514</x:v>
      </x:c>
    </x:row>
    <x:row r="2417">
      <x:c r="A2417" s="379" t="n">
        <x:v>48068</x:v>
      </x:c>
      <x:c r="B2417" s="380" t="n">
        <x:v>2031</x:v>
      </x:c>
      <x:c r="C2417" s="380" t="n">
        <x:v>8</x:v>
      </x:c>
      <x:c r="D2417" s="380" t="str">
        <x:v>Aug</x:v>
      </x:c>
      <x:c r="E2417" s="380" t="n">
        <x:v>8</x:v>
      </x:c>
      <x:c r="F2417" s="380" t="n">
        <x:v>5</x:v>
      </x:c>
      <x:c r="G2417" s="380" t="n">
        <x:f>--(F2417&lt;='Estimator'!$B$7)</x:f>
        <x:v>1</x:v>
      </x:c>
      <x:c r="H2417" s="381" t="n">
        <x:f>SUMIFS('Climate Data'!$G$7:$G$366,'Climate Data'!$A$7:$A$366,'Estimator'!$B$4,'Climate Data'!$B$7:$B$366,C2417)</x:f>
        <x:v>0.47274749721913234</x:v>
      </x:c>
      <x:c r="I2417" s="382" t="n">
        <x:f>SUMIFS('Climate Data'!$H$7:$H$366,'Climate Data'!$A$7:$A$366,'Estimator'!$B$4,'Climate Data'!$B$7:$B$366,C2417)</x:f>
        <x:v>7.9971764705882356</x:v>
      </x:c>
      <x:c r="J2417" s="381" t="n">
        <x:f>SUMIFS('Wind Proxy'!$H$8:$H$19,'Wind Proxy'!$A$8:$A$19,'Estimator'!$B$4,'Wind Proxy'!$B$8:$B$19,C2417)</x:f>
        <x:v>0.13739545997610514</x:v>
      </x:c>
    </x:row>
    <x:row r="2418">
      <x:c r="A2418" s="379" t="n">
        <x:v>48069</x:v>
      </x:c>
      <x:c r="B2418" s="380" t="n">
        <x:v>2031</x:v>
      </x:c>
      <x:c r="C2418" s="380" t="n">
        <x:v>8</x:v>
      </x:c>
      <x:c r="D2418" s="380" t="str">
        <x:v>Aug</x:v>
      </x:c>
      <x:c r="E2418" s="380" t="n">
        <x:v>9</x:v>
      </x:c>
      <x:c r="F2418" s="380" t="n">
        <x:v>6</x:v>
      </x:c>
      <x:c r="G2418" s="380" t="n">
        <x:f>--(F2418&lt;='Estimator'!$B$7)</x:f>
        <x:v>0</x:v>
      </x:c>
      <x:c r="H2418" s="381" t="n">
        <x:f>SUMIFS('Climate Data'!$G$7:$G$366,'Climate Data'!$A$7:$A$366,'Estimator'!$B$4,'Climate Data'!$B$7:$B$366,C2418)</x:f>
        <x:v>0.47274749721913234</x:v>
      </x:c>
      <x:c r="I2418" s="382" t="n">
        <x:f>SUMIFS('Climate Data'!$H$7:$H$366,'Climate Data'!$A$7:$A$366,'Estimator'!$B$4,'Climate Data'!$B$7:$B$366,C2418)</x:f>
        <x:v>7.9971764705882356</x:v>
      </x:c>
      <x:c r="J2418" s="381" t="n">
        <x:f>SUMIFS('Wind Proxy'!$H$8:$H$19,'Wind Proxy'!$A$8:$A$19,'Estimator'!$B$4,'Wind Proxy'!$B$8:$B$19,C2418)</x:f>
        <x:v>0.13739545997610514</x:v>
      </x:c>
    </x:row>
    <x:row r="2419">
      <x:c r="A2419" s="379" t="n">
        <x:v>48070</x:v>
      </x:c>
      <x:c r="B2419" s="380" t="n">
        <x:v>2031</x:v>
      </x:c>
      <x:c r="C2419" s="380" t="n">
        <x:v>8</x:v>
      </x:c>
      <x:c r="D2419" s="380" t="str">
        <x:v>Aug</x:v>
      </x:c>
      <x:c r="E2419" s="380" t="n">
        <x:v>10</x:v>
      </x:c>
      <x:c r="F2419" s="380" t="n">
        <x:v>7</x:v>
      </x:c>
      <x:c r="G2419" s="380" t="n">
        <x:f>--(F2419&lt;='Estimator'!$B$7)</x:f>
        <x:v>0</x:v>
      </x:c>
      <x:c r="H2419" s="381" t="n">
        <x:f>SUMIFS('Climate Data'!$G$7:$G$366,'Climate Data'!$A$7:$A$366,'Estimator'!$B$4,'Climate Data'!$B$7:$B$366,C2419)</x:f>
        <x:v>0.47274749721913234</x:v>
      </x:c>
      <x:c r="I2419" s="382" t="n">
        <x:f>SUMIFS('Climate Data'!$H$7:$H$366,'Climate Data'!$A$7:$A$366,'Estimator'!$B$4,'Climate Data'!$B$7:$B$366,C2419)</x:f>
        <x:v>7.9971764705882356</x:v>
      </x:c>
      <x:c r="J2419" s="381" t="n">
        <x:f>SUMIFS('Wind Proxy'!$H$8:$H$19,'Wind Proxy'!$A$8:$A$19,'Estimator'!$B$4,'Wind Proxy'!$B$8:$B$19,C2419)</x:f>
        <x:v>0.13739545997610514</x:v>
      </x:c>
    </x:row>
    <x:row r="2420">
      <x:c r="A2420" s="379" t="n">
        <x:v>48071</x:v>
      </x:c>
      <x:c r="B2420" s="380" t="n">
        <x:v>2031</x:v>
      </x:c>
      <x:c r="C2420" s="380" t="n">
        <x:v>8</x:v>
      </x:c>
      <x:c r="D2420" s="380" t="str">
        <x:v>Aug</x:v>
      </x:c>
      <x:c r="E2420" s="380" t="n">
        <x:v>11</x:v>
      </x:c>
      <x:c r="F2420" s="380" t="n">
        <x:v>1</x:v>
      </x:c>
      <x:c r="G2420" s="380" t="n">
        <x:f>--(F2420&lt;='Estimator'!$B$7)</x:f>
        <x:v>1</x:v>
      </x:c>
      <x:c r="H2420" s="381" t="n">
        <x:f>SUMIFS('Climate Data'!$G$7:$G$366,'Climate Data'!$A$7:$A$366,'Estimator'!$B$4,'Climate Data'!$B$7:$B$366,C2420)</x:f>
        <x:v>0.47274749721913234</x:v>
      </x:c>
      <x:c r="I2420" s="382" t="n">
        <x:f>SUMIFS('Climate Data'!$H$7:$H$366,'Climate Data'!$A$7:$A$366,'Estimator'!$B$4,'Climate Data'!$B$7:$B$366,C2420)</x:f>
        <x:v>7.9971764705882356</x:v>
      </x:c>
      <x:c r="J2420" s="381" t="n">
        <x:f>SUMIFS('Wind Proxy'!$H$8:$H$19,'Wind Proxy'!$A$8:$A$19,'Estimator'!$B$4,'Wind Proxy'!$B$8:$B$19,C2420)</x:f>
        <x:v>0.13739545997610514</x:v>
      </x:c>
    </x:row>
    <x:row r="2421">
      <x:c r="A2421" s="379" t="n">
        <x:v>48072</x:v>
      </x:c>
      <x:c r="B2421" s="380" t="n">
        <x:v>2031</x:v>
      </x:c>
      <x:c r="C2421" s="380" t="n">
        <x:v>8</x:v>
      </x:c>
      <x:c r="D2421" s="380" t="str">
        <x:v>Aug</x:v>
      </x:c>
      <x:c r="E2421" s="380" t="n">
        <x:v>12</x:v>
      </x:c>
      <x:c r="F2421" s="380" t="n">
        <x:v>2</x:v>
      </x:c>
      <x:c r="G2421" s="380" t="n">
        <x:f>--(F2421&lt;='Estimator'!$B$7)</x:f>
        <x:v>1</x:v>
      </x:c>
      <x:c r="H2421" s="381" t="n">
        <x:f>SUMIFS('Climate Data'!$G$7:$G$366,'Climate Data'!$A$7:$A$366,'Estimator'!$B$4,'Climate Data'!$B$7:$B$366,C2421)</x:f>
        <x:v>0.47274749721913234</x:v>
      </x:c>
      <x:c r="I2421" s="382" t="n">
        <x:f>SUMIFS('Climate Data'!$H$7:$H$366,'Climate Data'!$A$7:$A$366,'Estimator'!$B$4,'Climate Data'!$B$7:$B$366,C2421)</x:f>
        <x:v>7.9971764705882356</x:v>
      </x:c>
      <x:c r="J2421" s="381" t="n">
        <x:f>SUMIFS('Wind Proxy'!$H$8:$H$19,'Wind Proxy'!$A$8:$A$19,'Estimator'!$B$4,'Wind Proxy'!$B$8:$B$19,C2421)</x:f>
        <x:v>0.13739545997610514</x:v>
      </x:c>
    </x:row>
    <x:row r="2422">
      <x:c r="A2422" s="379" t="n">
        <x:v>48073</x:v>
      </x:c>
      <x:c r="B2422" s="380" t="n">
        <x:v>2031</x:v>
      </x:c>
      <x:c r="C2422" s="380" t="n">
        <x:v>8</x:v>
      </x:c>
      <x:c r="D2422" s="380" t="str">
        <x:v>Aug</x:v>
      </x:c>
      <x:c r="E2422" s="380" t="n">
        <x:v>13</x:v>
      </x:c>
      <x:c r="F2422" s="380" t="n">
        <x:v>3</x:v>
      </x:c>
      <x:c r="G2422" s="380" t="n">
        <x:f>--(F2422&lt;='Estimator'!$B$7)</x:f>
        <x:v>1</x:v>
      </x:c>
      <x:c r="H2422" s="381" t="n">
        <x:f>SUMIFS('Climate Data'!$G$7:$G$366,'Climate Data'!$A$7:$A$366,'Estimator'!$B$4,'Climate Data'!$B$7:$B$366,C2422)</x:f>
        <x:v>0.47274749721913234</x:v>
      </x:c>
      <x:c r="I2422" s="382" t="n">
        <x:f>SUMIFS('Climate Data'!$H$7:$H$366,'Climate Data'!$A$7:$A$366,'Estimator'!$B$4,'Climate Data'!$B$7:$B$366,C2422)</x:f>
        <x:v>7.9971764705882356</x:v>
      </x:c>
      <x:c r="J2422" s="381" t="n">
        <x:f>SUMIFS('Wind Proxy'!$H$8:$H$19,'Wind Proxy'!$A$8:$A$19,'Estimator'!$B$4,'Wind Proxy'!$B$8:$B$19,C2422)</x:f>
        <x:v>0.13739545997610514</x:v>
      </x:c>
    </x:row>
    <x:row r="2423">
      <x:c r="A2423" s="379" t="n">
        <x:v>48074</x:v>
      </x:c>
      <x:c r="B2423" s="380" t="n">
        <x:v>2031</x:v>
      </x:c>
      <x:c r="C2423" s="380" t="n">
        <x:v>8</x:v>
      </x:c>
      <x:c r="D2423" s="380" t="str">
        <x:v>Aug</x:v>
      </x:c>
      <x:c r="E2423" s="380" t="n">
        <x:v>14</x:v>
      </x:c>
      <x:c r="F2423" s="380" t="n">
        <x:v>4</x:v>
      </x:c>
      <x:c r="G2423" s="380" t="n">
        <x:f>--(F2423&lt;='Estimator'!$B$7)</x:f>
        <x:v>1</x:v>
      </x:c>
      <x:c r="H2423" s="381" t="n">
        <x:f>SUMIFS('Climate Data'!$G$7:$G$366,'Climate Data'!$A$7:$A$366,'Estimator'!$B$4,'Climate Data'!$B$7:$B$366,C2423)</x:f>
        <x:v>0.47274749721913234</x:v>
      </x:c>
      <x:c r="I2423" s="382" t="n">
        <x:f>SUMIFS('Climate Data'!$H$7:$H$366,'Climate Data'!$A$7:$A$366,'Estimator'!$B$4,'Climate Data'!$B$7:$B$366,C2423)</x:f>
        <x:v>7.9971764705882356</x:v>
      </x:c>
      <x:c r="J2423" s="381" t="n">
        <x:f>SUMIFS('Wind Proxy'!$H$8:$H$19,'Wind Proxy'!$A$8:$A$19,'Estimator'!$B$4,'Wind Proxy'!$B$8:$B$19,C2423)</x:f>
        <x:v>0.13739545997610514</x:v>
      </x:c>
    </x:row>
    <x:row r="2424">
      <x:c r="A2424" s="379" t="n">
        <x:v>48075</x:v>
      </x:c>
      <x:c r="B2424" s="380" t="n">
        <x:v>2031</x:v>
      </x:c>
      <x:c r="C2424" s="380" t="n">
        <x:v>8</x:v>
      </x:c>
      <x:c r="D2424" s="380" t="str">
        <x:v>Aug</x:v>
      </x:c>
      <x:c r="E2424" s="380" t="n">
        <x:v>15</x:v>
      </x:c>
      <x:c r="F2424" s="380" t="n">
        <x:v>5</x:v>
      </x:c>
      <x:c r="G2424" s="380" t="n">
        <x:f>--(F2424&lt;='Estimator'!$B$7)</x:f>
        <x:v>1</x:v>
      </x:c>
      <x:c r="H2424" s="381" t="n">
        <x:f>SUMIFS('Climate Data'!$G$7:$G$366,'Climate Data'!$A$7:$A$366,'Estimator'!$B$4,'Climate Data'!$B$7:$B$366,C2424)</x:f>
        <x:v>0.47274749721913234</x:v>
      </x:c>
      <x:c r="I2424" s="382" t="n">
        <x:f>SUMIFS('Climate Data'!$H$7:$H$366,'Climate Data'!$A$7:$A$366,'Estimator'!$B$4,'Climate Data'!$B$7:$B$366,C2424)</x:f>
        <x:v>7.9971764705882356</x:v>
      </x:c>
      <x:c r="J2424" s="381" t="n">
        <x:f>SUMIFS('Wind Proxy'!$H$8:$H$19,'Wind Proxy'!$A$8:$A$19,'Estimator'!$B$4,'Wind Proxy'!$B$8:$B$19,C2424)</x:f>
        <x:v>0.13739545997610514</x:v>
      </x:c>
    </x:row>
    <x:row r="2425">
      <x:c r="A2425" s="379" t="n">
        <x:v>48076</x:v>
      </x:c>
      <x:c r="B2425" s="380" t="n">
        <x:v>2031</x:v>
      </x:c>
      <x:c r="C2425" s="380" t="n">
        <x:v>8</x:v>
      </x:c>
      <x:c r="D2425" s="380" t="str">
        <x:v>Aug</x:v>
      </x:c>
      <x:c r="E2425" s="380" t="n">
        <x:v>16</x:v>
      </x:c>
      <x:c r="F2425" s="380" t="n">
        <x:v>6</x:v>
      </x:c>
      <x:c r="G2425" s="380" t="n">
        <x:f>--(F2425&lt;='Estimator'!$B$7)</x:f>
        <x:v>0</x:v>
      </x:c>
      <x:c r="H2425" s="381" t="n">
        <x:f>SUMIFS('Climate Data'!$G$7:$G$366,'Climate Data'!$A$7:$A$366,'Estimator'!$B$4,'Climate Data'!$B$7:$B$366,C2425)</x:f>
        <x:v>0.47274749721913234</x:v>
      </x:c>
      <x:c r="I2425" s="382" t="n">
        <x:f>SUMIFS('Climate Data'!$H$7:$H$366,'Climate Data'!$A$7:$A$366,'Estimator'!$B$4,'Climate Data'!$B$7:$B$366,C2425)</x:f>
        <x:v>7.9971764705882356</x:v>
      </x:c>
      <x:c r="J2425" s="381" t="n">
        <x:f>SUMIFS('Wind Proxy'!$H$8:$H$19,'Wind Proxy'!$A$8:$A$19,'Estimator'!$B$4,'Wind Proxy'!$B$8:$B$19,C2425)</x:f>
        <x:v>0.13739545997610514</x:v>
      </x:c>
    </x:row>
    <x:row r="2426">
      <x:c r="A2426" s="379" t="n">
        <x:v>48077</x:v>
      </x:c>
      <x:c r="B2426" s="380" t="n">
        <x:v>2031</x:v>
      </x:c>
      <x:c r="C2426" s="380" t="n">
        <x:v>8</x:v>
      </x:c>
      <x:c r="D2426" s="380" t="str">
        <x:v>Aug</x:v>
      </x:c>
      <x:c r="E2426" s="380" t="n">
        <x:v>17</x:v>
      </x:c>
      <x:c r="F2426" s="380" t="n">
        <x:v>7</x:v>
      </x:c>
      <x:c r="G2426" s="380" t="n">
        <x:f>--(F2426&lt;='Estimator'!$B$7)</x:f>
        <x:v>0</x:v>
      </x:c>
      <x:c r="H2426" s="381" t="n">
        <x:f>SUMIFS('Climate Data'!$G$7:$G$366,'Climate Data'!$A$7:$A$366,'Estimator'!$B$4,'Climate Data'!$B$7:$B$366,C2426)</x:f>
        <x:v>0.47274749721913234</x:v>
      </x:c>
      <x:c r="I2426" s="382" t="n">
        <x:f>SUMIFS('Climate Data'!$H$7:$H$366,'Climate Data'!$A$7:$A$366,'Estimator'!$B$4,'Climate Data'!$B$7:$B$366,C2426)</x:f>
        <x:v>7.9971764705882356</x:v>
      </x:c>
      <x:c r="J2426" s="381" t="n">
        <x:f>SUMIFS('Wind Proxy'!$H$8:$H$19,'Wind Proxy'!$A$8:$A$19,'Estimator'!$B$4,'Wind Proxy'!$B$8:$B$19,C2426)</x:f>
        <x:v>0.13739545997610514</x:v>
      </x:c>
    </x:row>
    <x:row r="2427">
      <x:c r="A2427" s="379" t="n">
        <x:v>48078</x:v>
      </x:c>
      <x:c r="B2427" s="380" t="n">
        <x:v>2031</x:v>
      </x:c>
      <x:c r="C2427" s="380" t="n">
        <x:v>8</x:v>
      </x:c>
      <x:c r="D2427" s="380" t="str">
        <x:v>Aug</x:v>
      </x:c>
      <x:c r="E2427" s="380" t="n">
        <x:v>18</x:v>
      </x:c>
      <x:c r="F2427" s="380" t="n">
        <x:v>1</x:v>
      </x:c>
      <x:c r="G2427" s="380" t="n">
        <x:f>--(F2427&lt;='Estimator'!$B$7)</x:f>
        <x:v>1</x:v>
      </x:c>
      <x:c r="H2427" s="381" t="n">
        <x:f>SUMIFS('Climate Data'!$G$7:$G$366,'Climate Data'!$A$7:$A$366,'Estimator'!$B$4,'Climate Data'!$B$7:$B$366,C2427)</x:f>
        <x:v>0.47274749721913234</x:v>
      </x:c>
      <x:c r="I2427" s="382" t="n">
        <x:f>SUMIFS('Climate Data'!$H$7:$H$366,'Climate Data'!$A$7:$A$366,'Estimator'!$B$4,'Climate Data'!$B$7:$B$366,C2427)</x:f>
        <x:v>7.9971764705882356</x:v>
      </x:c>
      <x:c r="J2427" s="381" t="n">
        <x:f>SUMIFS('Wind Proxy'!$H$8:$H$19,'Wind Proxy'!$A$8:$A$19,'Estimator'!$B$4,'Wind Proxy'!$B$8:$B$19,C2427)</x:f>
        <x:v>0.13739545997610514</x:v>
      </x:c>
    </x:row>
    <x:row r="2428">
      <x:c r="A2428" s="379" t="n">
        <x:v>48079</x:v>
      </x:c>
      <x:c r="B2428" s="380" t="n">
        <x:v>2031</x:v>
      </x:c>
      <x:c r="C2428" s="380" t="n">
        <x:v>8</x:v>
      </x:c>
      <x:c r="D2428" s="380" t="str">
        <x:v>Aug</x:v>
      </x:c>
      <x:c r="E2428" s="380" t="n">
        <x:v>19</x:v>
      </x:c>
      <x:c r="F2428" s="380" t="n">
        <x:v>2</x:v>
      </x:c>
      <x:c r="G2428" s="380" t="n">
        <x:f>--(F2428&lt;='Estimator'!$B$7)</x:f>
        <x:v>1</x:v>
      </x:c>
      <x:c r="H2428" s="381" t="n">
        <x:f>SUMIFS('Climate Data'!$G$7:$G$366,'Climate Data'!$A$7:$A$366,'Estimator'!$B$4,'Climate Data'!$B$7:$B$366,C2428)</x:f>
        <x:v>0.47274749721913234</x:v>
      </x:c>
      <x:c r="I2428" s="382" t="n">
        <x:f>SUMIFS('Climate Data'!$H$7:$H$366,'Climate Data'!$A$7:$A$366,'Estimator'!$B$4,'Climate Data'!$B$7:$B$366,C2428)</x:f>
        <x:v>7.9971764705882356</x:v>
      </x:c>
      <x:c r="J2428" s="381" t="n">
        <x:f>SUMIFS('Wind Proxy'!$H$8:$H$19,'Wind Proxy'!$A$8:$A$19,'Estimator'!$B$4,'Wind Proxy'!$B$8:$B$19,C2428)</x:f>
        <x:v>0.13739545997610514</x:v>
      </x:c>
    </x:row>
    <x:row r="2429">
      <x:c r="A2429" s="379" t="n">
        <x:v>48080</x:v>
      </x:c>
      <x:c r="B2429" s="380" t="n">
        <x:v>2031</x:v>
      </x:c>
      <x:c r="C2429" s="380" t="n">
        <x:v>8</x:v>
      </x:c>
      <x:c r="D2429" s="380" t="str">
        <x:v>Aug</x:v>
      </x:c>
      <x:c r="E2429" s="380" t="n">
        <x:v>20</x:v>
      </x:c>
      <x:c r="F2429" s="380" t="n">
        <x:v>3</x:v>
      </x:c>
      <x:c r="G2429" s="380" t="n">
        <x:f>--(F2429&lt;='Estimator'!$B$7)</x:f>
        <x:v>1</x:v>
      </x:c>
      <x:c r="H2429" s="381" t="n">
        <x:f>SUMIFS('Climate Data'!$G$7:$G$366,'Climate Data'!$A$7:$A$366,'Estimator'!$B$4,'Climate Data'!$B$7:$B$366,C2429)</x:f>
        <x:v>0.47274749721913234</x:v>
      </x:c>
      <x:c r="I2429" s="382" t="n">
        <x:f>SUMIFS('Climate Data'!$H$7:$H$366,'Climate Data'!$A$7:$A$366,'Estimator'!$B$4,'Climate Data'!$B$7:$B$366,C2429)</x:f>
        <x:v>7.9971764705882356</x:v>
      </x:c>
      <x:c r="J2429" s="381" t="n">
        <x:f>SUMIFS('Wind Proxy'!$H$8:$H$19,'Wind Proxy'!$A$8:$A$19,'Estimator'!$B$4,'Wind Proxy'!$B$8:$B$19,C2429)</x:f>
        <x:v>0.13739545997610514</x:v>
      </x:c>
    </x:row>
    <x:row r="2430">
      <x:c r="A2430" s="379" t="n">
        <x:v>48081</x:v>
      </x:c>
      <x:c r="B2430" s="380" t="n">
        <x:v>2031</x:v>
      </x:c>
      <x:c r="C2430" s="380" t="n">
        <x:v>8</x:v>
      </x:c>
      <x:c r="D2430" s="380" t="str">
        <x:v>Aug</x:v>
      </x:c>
      <x:c r="E2430" s="380" t="n">
        <x:v>21</x:v>
      </x:c>
      <x:c r="F2430" s="380" t="n">
        <x:v>4</x:v>
      </x:c>
      <x:c r="G2430" s="380" t="n">
        <x:f>--(F2430&lt;='Estimator'!$B$7)</x:f>
        <x:v>1</x:v>
      </x:c>
      <x:c r="H2430" s="381" t="n">
        <x:f>SUMIFS('Climate Data'!$G$7:$G$366,'Climate Data'!$A$7:$A$366,'Estimator'!$B$4,'Climate Data'!$B$7:$B$366,C2430)</x:f>
        <x:v>0.47274749721913234</x:v>
      </x:c>
      <x:c r="I2430" s="382" t="n">
        <x:f>SUMIFS('Climate Data'!$H$7:$H$366,'Climate Data'!$A$7:$A$366,'Estimator'!$B$4,'Climate Data'!$B$7:$B$366,C2430)</x:f>
        <x:v>7.9971764705882356</x:v>
      </x:c>
      <x:c r="J2430" s="381" t="n">
        <x:f>SUMIFS('Wind Proxy'!$H$8:$H$19,'Wind Proxy'!$A$8:$A$19,'Estimator'!$B$4,'Wind Proxy'!$B$8:$B$19,C2430)</x:f>
        <x:v>0.13739545997610514</x:v>
      </x:c>
    </x:row>
    <x:row r="2431">
      <x:c r="A2431" s="379" t="n">
        <x:v>48082</x:v>
      </x:c>
      <x:c r="B2431" s="380" t="n">
        <x:v>2031</x:v>
      </x:c>
      <x:c r="C2431" s="380" t="n">
        <x:v>8</x:v>
      </x:c>
      <x:c r="D2431" s="380" t="str">
        <x:v>Aug</x:v>
      </x:c>
      <x:c r="E2431" s="380" t="n">
        <x:v>22</x:v>
      </x:c>
      <x:c r="F2431" s="380" t="n">
        <x:v>5</x:v>
      </x:c>
      <x:c r="G2431" s="380" t="n">
        <x:f>--(F2431&lt;='Estimator'!$B$7)</x:f>
        <x:v>1</x:v>
      </x:c>
      <x:c r="H2431" s="381" t="n">
        <x:f>SUMIFS('Climate Data'!$G$7:$G$366,'Climate Data'!$A$7:$A$366,'Estimator'!$B$4,'Climate Data'!$B$7:$B$366,C2431)</x:f>
        <x:v>0.47274749721913234</x:v>
      </x:c>
      <x:c r="I2431" s="382" t="n">
        <x:f>SUMIFS('Climate Data'!$H$7:$H$366,'Climate Data'!$A$7:$A$366,'Estimator'!$B$4,'Climate Data'!$B$7:$B$366,C2431)</x:f>
        <x:v>7.9971764705882356</x:v>
      </x:c>
      <x:c r="J2431" s="381" t="n">
        <x:f>SUMIFS('Wind Proxy'!$H$8:$H$19,'Wind Proxy'!$A$8:$A$19,'Estimator'!$B$4,'Wind Proxy'!$B$8:$B$19,C2431)</x:f>
        <x:v>0.13739545997610514</x:v>
      </x:c>
    </x:row>
    <x:row r="2432">
      <x:c r="A2432" s="379" t="n">
        <x:v>48083</x:v>
      </x:c>
      <x:c r="B2432" s="380" t="n">
        <x:v>2031</x:v>
      </x:c>
      <x:c r="C2432" s="380" t="n">
        <x:v>8</x:v>
      </x:c>
      <x:c r="D2432" s="380" t="str">
        <x:v>Aug</x:v>
      </x:c>
      <x:c r="E2432" s="380" t="n">
        <x:v>23</x:v>
      </x:c>
      <x:c r="F2432" s="380" t="n">
        <x:v>6</x:v>
      </x:c>
      <x:c r="G2432" s="380" t="n">
        <x:f>--(F2432&lt;='Estimator'!$B$7)</x:f>
        <x:v>0</x:v>
      </x:c>
      <x:c r="H2432" s="381" t="n">
        <x:f>SUMIFS('Climate Data'!$G$7:$G$366,'Climate Data'!$A$7:$A$366,'Estimator'!$B$4,'Climate Data'!$B$7:$B$366,C2432)</x:f>
        <x:v>0.47274749721913234</x:v>
      </x:c>
      <x:c r="I2432" s="382" t="n">
        <x:f>SUMIFS('Climate Data'!$H$7:$H$366,'Climate Data'!$A$7:$A$366,'Estimator'!$B$4,'Climate Data'!$B$7:$B$366,C2432)</x:f>
        <x:v>7.9971764705882356</x:v>
      </x:c>
      <x:c r="J2432" s="381" t="n">
        <x:f>SUMIFS('Wind Proxy'!$H$8:$H$19,'Wind Proxy'!$A$8:$A$19,'Estimator'!$B$4,'Wind Proxy'!$B$8:$B$19,C2432)</x:f>
        <x:v>0.13739545997610514</x:v>
      </x:c>
    </x:row>
    <x:row r="2433">
      <x:c r="A2433" s="379" t="n">
        <x:v>48084</x:v>
      </x:c>
      <x:c r="B2433" s="380" t="n">
        <x:v>2031</x:v>
      </x:c>
      <x:c r="C2433" s="380" t="n">
        <x:v>8</x:v>
      </x:c>
      <x:c r="D2433" s="380" t="str">
        <x:v>Aug</x:v>
      </x:c>
      <x:c r="E2433" s="380" t="n">
        <x:v>24</x:v>
      </x:c>
      <x:c r="F2433" s="380" t="n">
        <x:v>7</x:v>
      </x:c>
      <x:c r="G2433" s="380" t="n">
        <x:f>--(F2433&lt;='Estimator'!$B$7)</x:f>
        <x:v>0</x:v>
      </x:c>
      <x:c r="H2433" s="381" t="n">
        <x:f>SUMIFS('Climate Data'!$G$7:$G$366,'Climate Data'!$A$7:$A$366,'Estimator'!$B$4,'Climate Data'!$B$7:$B$366,C2433)</x:f>
        <x:v>0.47274749721913234</x:v>
      </x:c>
      <x:c r="I2433" s="382" t="n">
        <x:f>SUMIFS('Climate Data'!$H$7:$H$366,'Climate Data'!$A$7:$A$366,'Estimator'!$B$4,'Climate Data'!$B$7:$B$366,C2433)</x:f>
        <x:v>7.9971764705882356</x:v>
      </x:c>
      <x:c r="J2433" s="381" t="n">
        <x:f>SUMIFS('Wind Proxy'!$H$8:$H$19,'Wind Proxy'!$A$8:$A$19,'Estimator'!$B$4,'Wind Proxy'!$B$8:$B$19,C2433)</x:f>
        <x:v>0.13739545997610514</x:v>
      </x:c>
    </x:row>
    <x:row r="2434">
      <x:c r="A2434" s="379" t="n">
        <x:v>48085</x:v>
      </x:c>
      <x:c r="B2434" s="380" t="n">
        <x:v>2031</x:v>
      </x:c>
      <x:c r="C2434" s="380" t="n">
        <x:v>8</x:v>
      </x:c>
      <x:c r="D2434" s="380" t="str">
        <x:v>Aug</x:v>
      </x:c>
      <x:c r="E2434" s="380" t="n">
        <x:v>25</x:v>
      </x:c>
      <x:c r="F2434" s="380" t="n">
        <x:v>1</x:v>
      </x:c>
      <x:c r="G2434" s="380" t="n">
        <x:f>--(F2434&lt;='Estimator'!$B$7)</x:f>
        <x:v>1</x:v>
      </x:c>
      <x:c r="H2434" s="381" t="n">
        <x:f>SUMIFS('Climate Data'!$G$7:$G$366,'Climate Data'!$A$7:$A$366,'Estimator'!$B$4,'Climate Data'!$B$7:$B$366,C2434)</x:f>
        <x:v>0.47274749721913234</x:v>
      </x:c>
      <x:c r="I2434" s="382" t="n">
        <x:f>SUMIFS('Climate Data'!$H$7:$H$366,'Climate Data'!$A$7:$A$366,'Estimator'!$B$4,'Climate Data'!$B$7:$B$366,C2434)</x:f>
        <x:v>7.9971764705882356</x:v>
      </x:c>
      <x:c r="J2434" s="381" t="n">
        <x:f>SUMIFS('Wind Proxy'!$H$8:$H$19,'Wind Proxy'!$A$8:$A$19,'Estimator'!$B$4,'Wind Proxy'!$B$8:$B$19,C2434)</x:f>
        <x:v>0.13739545997610514</x:v>
      </x:c>
    </x:row>
    <x:row r="2435">
      <x:c r="A2435" s="379" t="n">
        <x:v>48086</x:v>
      </x:c>
      <x:c r="B2435" s="380" t="n">
        <x:v>2031</x:v>
      </x:c>
      <x:c r="C2435" s="380" t="n">
        <x:v>8</x:v>
      </x:c>
      <x:c r="D2435" s="380" t="str">
        <x:v>Aug</x:v>
      </x:c>
      <x:c r="E2435" s="380" t="n">
        <x:v>26</x:v>
      </x:c>
      <x:c r="F2435" s="380" t="n">
        <x:v>2</x:v>
      </x:c>
      <x:c r="G2435" s="380" t="n">
        <x:f>--(F2435&lt;='Estimator'!$B$7)</x:f>
        <x:v>1</x:v>
      </x:c>
      <x:c r="H2435" s="381" t="n">
        <x:f>SUMIFS('Climate Data'!$G$7:$G$366,'Climate Data'!$A$7:$A$366,'Estimator'!$B$4,'Climate Data'!$B$7:$B$366,C2435)</x:f>
        <x:v>0.47274749721913234</x:v>
      </x:c>
      <x:c r="I2435" s="382" t="n">
        <x:f>SUMIFS('Climate Data'!$H$7:$H$366,'Climate Data'!$A$7:$A$366,'Estimator'!$B$4,'Climate Data'!$B$7:$B$366,C2435)</x:f>
        <x:v>7.9971764705882356</x:v>
      </x:c>
      <x:c r="J2435" s="381" t="n">
        <x:f>SUMIFS('Wind Proxy'!$H$8:$H$19,'Wind Proxy'!$A$8:$A$19,'Estimator'!$B$4,'Wind Proxy'!$B$8:$B$19,C2435)</x:f>
        <x:v>0.13739545997610514</x:v>
      </x:c>
    </x:row>
    <x:row r="2436">
      <x:c r="A2436" s="379" t="n">
        <x:v>48087</x:v>
      </x:c>
      <x:c r="B2436" s="380" t="n">
        <x:v>2031</x:v>
      </x:c>
      <x:c r="C2436" s="380" t="n">
        <x:v>8</x:v>
      </x:c>
      <x:c r="D2436" s="380" t="str">
        <x:v>Aug</x:v>
      </x:c>
      <x:c r="E2436" s="380" t="n">
        <x:v>27</x:v>
      </x:c>
      <x:c r="F2436" s="380" t="n">
        <x:v>3</x:v>
      </x:c>
      <x:c r="G2436" s="380" t="n">
        <x:f>--(F2436&lt;='Estimator'!$B$7)</x:f>
        <x:v>1</x:v>
      </x:c>
      <x:c r="H2436" s="381" t="n">
        <x:f>SUMIFS('Climate Data'!$G$7:$G$366,'Climate Data'!$A$7:$A$366,'Estimator'!$B$4,'Climate Data'!$B$7:$B$366,C2436)</x:f>
        <x:v>0.47274749721913234</x:v>
      </x:c>
      <x:c r="I2436" s="382" t="n">
        <x:f>SUMIFS('Climate Data'!$H$7:$H$366,'Climate Data'!$A$7:$A$366,'Estimator'!$B$4,'Climate Data'!$B$7:$B$366,C2436)</x:f>
        <x:v>7.9971764705882356</x:v>
      </x:c>
      <x:c r="J2436" s="381" t="n">
        <x:f>SUMIFS('Wind Proxy'!$H$8:$H$19,'Wind Proxy'!$A$8:$A$19,'Estimator'!$B$4,'Wind Proxy'!$B$8:$B$19,C2436)</x:f>
        <x:v>0.13739545997610514</x:v>
      </x:c>
    </x:row>
    <x:row r="2437">
      <x:c r="A2437" s="379" t="n">
        <x:v>48088</x:v>
      </x:c>
      <x:c r="B2437" s="380" t="n">
        <x:v>2031</x:v>
      </x:c>
      <x:c r="C2437" s="380" t="n">
        <x:v>8</x:v>
      </x:c>
      <x:c r="D2437" s="380" t="str">
        <x:v>Aug</x:v>
      </x:c>
      <x:c r="E2437" s="380" t="n">
        <x:v>28</x:v>
      </x:c>
      <x:c r="F2437" s="380" t="n">
        <x:v>4</x:v>
      </x:c>
      <x:c r="G2437" s="380" t="n">
        <x:f>--(F2437&lt;='Estimator'!$B$7)</x:f>
        <x:v>1</x:v>
      </x:c>
      <x:c r="H2437" s="381" t="n">
        <x:f>SUMIFS('Climate Data'!$G$7:$G$366,'Climate Data'!$A$7:$A$366,'Estimator'!$B$4,'Climate Data'!$B$7:$B$366,C2437)</x:f>
        <x:v>0.47274749721913234</x:v>
      </x:c>
      <x:c r="I2437" s="382" t="n">
        <x:f>SUMIFS('Climate Data'!$H$7:$H$366,'Climate Data'!$A$7:$A$366,'Estimator'!$B$4,'Climate Data'!$B$7:$B$366,C2437)</x:f>
        <x:v>7.9971764705882356</x:v>
      </x:c>
      <x:c r="J2437" s="381" t="n">
        <x:f>SUMIFS('Wind Proxy'!$H$8:$H$19,'Wind Proxy'!$A$8:$A$19,'Estimator'!$B$4,'Wind Proxy'!$B$8:$B$19,C2437)</x:f>
        <x:v>0.13739545997610514</x:v>
      </x:c>
    </x:row>
    <x:row r="2438">
      <x:c r="A2438" s="379" t="n">
        <x:v>48089</x:v>
      </x:c>
      <x:c r="B2438" s="380" t="n">
        <x:v>2031</x:v>
      </x:c>
      <x:c r="C2438" s="380" t="n">
        <x:v>8</x:v>
      </x:c>
      <x:c r="D2438" s="380" t="str">
        <x:v>Aug</x:v>
      </x:c>
      <x:c r="E2438" s="380" t="n">
        <x:v>29</x:v>
      </x:c>
      <x:c r="F2438" s="380" t="n">
        <x:v>5</x:v>
      </x:c>
      <x:c r="G2438" s="380" t="n">
        <x:f>--(F2438&lt;='Estimator'!$B$7)</x:f>
        <x:v>1</x:v>
      </x:c>
      <x:c r="H2438" s="381" t="n">
        <x:f>SUMIFS('Climate Data'!$G$7:$G$366,'Climate Data'!$A$7:$A$366,'Estimator'!$B$4,'Climate Data'!$B$7:$B$366,C2438)</x:f>
        <x:v>0.47274749721913234</x:v>
      </x:c>
      <x:c r="I2438" s="382" t="n">
        <x:f>SUMIFS('Climate Data'!$H$7:$H$366,'Climate Data'!$A$7:$A$366,'Estimator'!$B$4,'Climate Data'!$B$7:$B$366,C2438)</x:f>
        <x:v>7.9971764705882356</x:v>
      </x:c>
      <x:c r="J2438" s="381" t="n">
        <x:f>SUMIFS('Wind Proxy'!$H$8:$H$19,'Wind Proxy'!$A$8:$A$19,'Estimator'!$B$4,'Wind Proxy'!$B$8:$B$19,C2438)</x:f>
        <x:v>0.13739545997610514</x:v>
      </x:c>
    </x:row>
    <x:row r="2439">
      <x:c r="A2439" s="379" t="n">
        <x:v>48090</x:v>
      </x:c>
      <x:c r="B2439" s="380" t="n">
        <x:v>2031</x:v>
      </x:c>
      <x:c r="C2439" s="380" t="n">
        <x:v>8</x:v>
      </x:c>
      <x:c r="D2439" s="380" t="str">
        <x:v>Aug</x:v>
      </x:c>
      <x:c r="E2439" s="380" t="n">
        <x:v>30</x:v>
      </x:c>
      <x:c r="F2439" s="380" t="n">
        <x:v>6</x:v>
      </x:c>
      <x:c r="G2439" s="380" t="n">
        <x:f>--(F2439&lt;='Estimator'!$B$7)</x:f>
        <x:v>0</x:v>
      </x:c>
      <x:c r="H2439" s="381" t="n">
        <x:f>SUMIFS('Climate Data'!$G$7:$G$366,'Climate Data'!$A$7:$A$366,'Estimator'!$B$4,'Climate Data'!$B$7:$B$366,C2439)</x:f>
        <x:v>0.47274749721913234</x:v>
      </x:c>
      <x:c r="I2439" s="382" t="n">
        <x:f>SUMIFS('Climate Data'!$H$7:$H$366,'Climate Data'!$A$7:$A$366,'Estimator'!$B$4,'Climate Data'!$B$7:$B$366,C2439)</x:f>
        <x:v>7.9971764705882356</x:v>
      </x:c>
      <x:c r="J2439" s="381" t="n">
        <x:f>SUMIFS('Wind Proxy'!$H$8:$H$19,'Wind Proxy'!$A$8:$A$19,'Estimator'!$B$4,'Wind Proxy'!$B$8:$B$19,C2439)</x:f>
        <x:v>0.13739545997610514</x:v>
      </x:c>
    </x:row>
    <x:row r="2440">
      <x:c r="A2440" s="379" t="n">
        <x:v>48091</x:v>
      </x:c>
      <x:c r="B2440" s="380" t="n">
        <x:v>2031</x:v>
      </x:c>
      <x:c r="C2440" s="380" t="n">
        <x:v>8</x:v>
      </x:c>
      <x:c r="D2440" s="380" t="str">
        <x:v>Aug</x:v>
      </x:c>
      <x:c r="E2440" s="380" t="n">
        <x:v>31</x:v>
      </x:c>
      <x:c r="F2440" s="380" t="n">
        <x:v>7</x:v>
      </x:c>
      <x:c r="G2440" s="380" t="n">
        <x:f>--(F2440&lt;='Estimator'!$B$7)</x:f>
        <x:v>0</x:v>
      </x:c>
      <x:c r="H2440" s="381" t="n">
        <x:f>SUMIFS('Climate Data'!$G$7:$G$366,'Climate Data'!$A$7:$A$366,'Estimator'!$B$4,'Climate Data'!$B$7:$B$366,C2440)</x:f>
        <x:v>0.47274749721913234</x:v>
      </x:c>
      <x:c r="I2440" s="382" t="n">
        <x:f>SUMIFS('Climate Data'!$H$7:$H$366,'Climate Data'!$A$7:$A$366,'Estimator'!$B$4,'Climate Data'!$B$7:$B$366,C2440)</x:f>
        <x:v>7.9971764705882356</x:v>
      </x:c>
      <x:c r="J2440" s="381" t="n">
        <x:f>SUMIFS('Wind Proxy'!$H$8:$H$19,'Wind Proxy'!$A$8:$A$19,'Estimator'!$B$4,'Wind Proxy'!$B$8:$B$19,C2440)</x:f>
        <x:v>0.13739545997610514</x:v>
      </x:c>
    </x:row>
    <x:row r="2441">
      <x:c r="A2441" s="379" t="n">
        <x:v>48092</x:v>
      </x:c>
      <x:c r="B2441" s="380" t="n">
        <x:v>2031</x:v>
      </x:c>
      <x:c r="C2441" s="380" t="n">
        <x:v>9</x:v>
      </x:c>
      <x:c r="D2441" s="380" t="str">
        <x:v>Sep</x:v>
      </x:c>
      <x:c r="E2441" s="380" t="n">
        <x:v>1</x:v>
      </x:c>
      <x:c r="F2441" s="380" t="n">
        <x:v>1</x:v>
      </x:c>
      <x:c r="G2441" s="380" t="n">
        <x:f>--(F2441&lt;='Estimator'!$B$7)</x:f>
        <x:v>1</x:v>
      </x:c>
      <x:c r="H2441" s="381" t="n">
        <x:f>SUMIFS('Climate Data'!$G$7:$G$366,'Climate Data'!$A$7:$A$366,'Estimator'!$B$4,'Climate Data'!$B$7:$B$366,C2441)</x:f>
        <x:v>0.4160919540229885</x:v>
      </x:c>
      <x:c r="I2441" s="382" t="n">
        <x:f>SUMIFS('Climate Data'!$H$7:$H$366,'Climate Data'!$A$7:$A$366,'Estimator'!$B$4,'Climate Data'!$B$7:$B$366,C2441)</x:f>
        <x:v>8.019060773480662</x:v>
      </x:c>
      <x:c r="J2441" s="381" t="n">
        <x:f>SUMIFS('Wind Proxy'!$H$8:$H$19,'Wind Proxy'!$A$8:$A$19,'Estimator'!$B$4,'Wind Proxy'!$B$8:$B$19,C2441)</x:f>
        <x:v>0.22222222222222224</x:v>
      </x:c>
    </x:row>
    <x:row r="2442">
      <x:c r="A2442" s="379" t="n">
        <x:v>48093</x:v>
      </x:c>
      <x:c r="B2442" s="380" t="n">
        <x:v>2031</x:v>
      </x:c>
      <x:c r="C2442" s="380" t="n">
        <x:v>9</x:v>
      </x:c>
      <x:c r="D2442" s="380" t="str">
        <x:v>Sep</x:v>
      </x:c>
      <x:c r="E2442" s="380" t="n">
        <x:v>2</x:v>
      </x:c>
      <x:c r="F2442" s="380" t="n">
        <x:v>2</x:v>
      </x:c>
      <x:c r="G2442" s="380" t="n">
        <x:f>--(F2442&lt;='Estimator'!$B$7)</x:f>
        <x:v>1</x:v>
      </x:c>
      <x:c r="H2442" s="381" t="n">
        <x:f>SUMIFS('Climate Data'!$G$7:$G$366,'Climate Data'!$A$7:$A$366,'Estimator'!$B$4,'Climate Data'!$B$7:$B$366,C2442)</x:f>
        <x:v>0.4160919540229885</x:v>
      </x:c>
      <x:c r="I2442" s="382" t="n">
        <x:f>SUMIFS('Climate Data'!$H$7:$H$366,'Climate Data'!$A$7:$A$366,'Estimator'!$B$4,'Climate Data'!$B$7:$B$366,C2442)</x:f>
        <x:v>8.019060773480662</x:v>
      </x:c>
      <x:c r="J2442" s="381" t="n">
        <x:f>SUMIFS('Wind Proxy'!$H$8:$H$19,'Wind Proxy'!$A$8:$A$19,'Estimator'!$B$4,'Wind Proxy'!$B$8:$B$19,C2442)</x:f>
        <x:v>0.22222222222222224</x:v>
      </x:c>
    </x:row>
    <x:row r="2443">
      <x:c r="A2443" s="379" t="n">
        <x:v>48094</x:v>
      </x:c>
      <x:c r="B2443" s="380" t="n">
        <x:v>2031</x:v>
      </x:c>
      <x:c r="C2443" s="380" t="n">
        <x:v>9</x:v>
      </x:c>
      <x:c r="D2443" s="380" t="str">
        <x:v>Sep</x:v>
      </x:c>
      <x:c r="E2443" s="380" t="n">
        <x:v>3</x:v>
      </x:c>
      <x:c r="F2443" s="380" t="n">
        <x:v>3</x:v>
      </x:c>
      <x:c r="G2443" s="380" t="n">
        <x:f>--(F2443&lt;='Estimator'!$B$7)</x:f>
        <x:v>1</x:v>
      </x:c>
      <x:c r="H2443" s="381" t="n">
        <x:f>SUMIFS('Climate Data'!$G$7:$G$366,'Climate Data'!$A$7:$A$366,'Estimator'!$B$4,'Climate Data'!$B$7:$B$366,C2443)</x:f>
        <x:v>0.4160919540229885</x:v>
      </x:c>
      <x:c r="I2443" s="382" t="n">
        <x:f>SUMIFS('Climate Data'!$H$7:$H$366,'Climate Data'!$A$7:$A$366,'Estimator'!$B$4,'Climate Data'!$B$7:$B$366,C2443)</x:f>
        <x:v>8.019060773480662</x:v>
      </x:c>
      <x:c r="J2443" s="381" t="n">
        <x:f>SUMIFS('Wind Proxy'!$H$8:$H$19,'Wind Proxy'!$A$8:$A$19,'Estimator'!$B$4,'Wind Proxy'!$B$8:$B$19,C2443)</x:f>
        <x:v>0.22222222222222224</x:v>
      </x:c>
    </x:row>
    <x:row r="2444">
      <x:c r="A2444" s="379" t="n">
        <x:v>48095</x:v>
      </x:c>
      <x:c r="B2444" s="380" t="n">
        <x:v>2031</x:v>
      </x:c>
      <x:c r="C2444" s="380" t="n">
        <x:v>9</x:v>
      </x:c>
      <x:c r="D2444" s="380" t="str">
        <x:v>Sep</x:v>
      </x:c>
      <x:c r="E2444" s="380" t="n">
        <x:v>4</x:v>
      </x:c>
      <x:c r="F2444" s="380" t="n">
        <x:v>4</x:v>
      </x:c>
      <x:c r="G2444" s="380" t="n">
        <x:f>--(F2444&lt;='Estimator'!$B$7)</x:f>
        <x:v>1</x:v>
      </x:c>
      <x:c r="H2444" s="381" t="n">
        <x:f>SUMIFS('Climate Data'!$G$7:$G$366,'Climate Data'!$A$7:$A$366,'Estimator'!$B$4,'Climate Data'!$B$7:$B$366,C2444)</x:f>
        <x:v>0.4160919540229885</x:v>
      </x:c>
      <x:c r="I2444" s="382" t="n">
        <x:f>SUMIFS('Climate Data'!$H$7:$H$366,'Climate Data'!$A$7:$A$366,'Estimator'!$B$4,'Climate Data'!$B$7:$B$366,C2444)</x:f>
        <x:v>8.019060773480662</x:v>
      </x:c>
      <x:c r="J2444" s="381" t="n">
        <x:f>SUMIFS('Wind Proxy'!$H$8:$H$19,'Wind Proxy'!$A$8:$A$19,'Estimator'!$B$4,'Wind Proxy'!$B$8:$B$19,C2444)</x:f>
        <x:v>0.22222222222222224</x:v>
      </x:c>
    </x:row>
    <x:row r="2445">
      <x:c r="A2445" s="379" t="n">
        <x:v>48096</x:v>
      </x:c>
      <x:c r="B2445" s="380" t="n">
        <x:v>2031</x:v>
      </x:c>
      <x:c r="C2445" s="380" t="n">
        <x:v>9</x:v>
      </x:c>
      <x:c r="D2445" s="380" t="str">
        <x:v>Sep</x:v>
      </x:c>
      <x:c r="E2445" s="380" t="n">
        <x:v>5</x:v>
      </x:c>
      <x:c r="F2445" s="380" t="n">
        <x:v>5</x:v>
      </x:c>
      <x:c r="G2445" s="380" t="n">
        <x:f>--(F2445&lt;='Estimator'!$B$7)</x:f>
        <x:v>1</x:v>
      </x:c>
      <x:c r="H2445" s="381" t="n">
        <x:f>SUMIFS('Climate Data'!$G$7:$G$366,'Climate Data'!$A$7:$A$366,'Estimator'!$B$4,'Climate Data'!$B$7:$B$366,C2445)</x:f>
        <x:v>0.4160919540229885</x:v>
      </x:c>
      <x:c r="I2445" s="382" t="n">
        <x:f>SUMIFS('Climate Data'!$H$7:$H$366,'Climate Data'!$A$7:$A$366,'Estimator'!$B$4,'Climate Data'!$B$7:$B$366,C2445)</x:f>
        <x:v>8.019060773480662</x:v>
      </x:c>
      <x:c r="J2445" s="381" t="n">
        <x:f>SUMIFS('Wind Proxy'!$H$8:$H$19,'Wind Proxy'!$A$8:$A$19,'Estimator'!$B$4,'Wind Proxy'!$B$8:$B$19,C2445)</x:f>
        <x:v>0.22222222222222224</x:v>
      </x:c>
    </x:row>
    <x:row r="2446">
      <x:c r="A2446" s="379" t="n">
        <x:v>48097</x:v>
      </x:c>
      <x:c r="B2446" s="380" t="n">
        <x:v>2031</x:v>
      </x:c>
      <x:c r="C2446" s="380" t="n">
        <x:v>9</x:v>
      </x:c>
      <x:c r="D2446" s="380" t="str">
        <x:v>Sep</x:v>
      </x:c>
      <x:c r="E2446" s="380" t="n">
        <x:v>6</x:v>
      </x:c>
      <x:c r="F2446" s="380" t="n">
        <x:v>6</x:v>
      </x:c>
      <x:c r="G2446" s="380" t="n">
        <x:f>--(F2446&lt;='Estimator'!$B$7)</x:f>
        <x:v>0</x:v>
      </x:c>
      <x:c r="H2446" s="381" t="n">
        <x:f>SUMIFS('Climate Data'!$G$7:$G$366,'Climate Data'!$A$7:$A$366,'Estimator'!$B$4,'Climate Data'!$B$7:$B$366,C2446)</x:f>
        <x:v>0.4160919540229885</x:v>
      </x:c>
      <x:c r="I2446" s="382" t="n">
        <x:f>SUMIFS('Climate Data'!$H$7:$H$366,'Climate Data'!$A$7:$A$366,'Estimator'!$B$4,'Climate Data'!$B$7:$B$366,C2446)</x:f>
        <x:v>8.019060773480662</x:v>
      </x:c>
      <x:c r="J2446" s="381" t="n">
        <x:f>SUMIFS('Wind Proxy'!$H$8:$H$19,'Wind Proxy'!$A$8:$A$19,'Estimator'!$B$4,'Wind Proxy'!$B$8:$B$19,C2446)</x:f>
        <x:v>0.22222222222222224</x:v>
      </x:c>
    </x:row>
    <x:row r="2447">
      <x:c r="A2447" s="379" t="n">
        <x:v>48098</x:v>
      </x:c>
      <x:c r="B2447" s="380" t="n">
        <x:v>2031</x:v>
      </x:c>
      <x:c r="C2447" s="380" t="n">
        <x:v>9</x:v>
      </x:c>
      <x:c r="D2447" s="380" t="str">
        <x:v>Sep</x:v>
      </x:c>
      <x:c r="E2447" s="380" t="n">
        <x:v>7</x:v>
      </x:c>
      <x:c r="F2447" s="380" t="n">
        <x:v>7</x:v>
      </x:c>
      <x:c r="G2447" s="380" t="n">
        <x:f>--(F2447&lt;='Estimator'!$B$7)</x:f>
        <x:v>0</x:v>
      </x:c>
      <x:c r="H2447" s="381" t="n">
        <x:f>SUMIFS('Climate Data'!$G$7:$G$366,'Climate Data'!$A$7:$A$366,'Estimator'!$B$4,'Climate Data'!$B$7:$B$366,C2447)</x:f>
        <x:v>0.4160919540229885</x:v>
      </x:c>
      <x:c r="I2447" s="382" t="n">
        <x:f>SUMIFS('Climate Data'!$H$7:$H$366,'Climate Data'!$A$7:$A$366,'Estimator'!$B$4,'Climate Data'!$B$7:$B$366,C2447)</x:f>
        <x:v>8.019060773480662</x:v>
      </x:c>
      <x:c r="J2447" s="381" t="n">
        <x:f>SUMIFS('Wind Proxy'!$H$8:$H$19,'Wind Proxy'!$A$8:$A$19,'Estimator'!$B$4,'Wind Proxy'!$B$8:$B$19,C2447)</x:f>
        <x:v>0.22222222222222224</x:v>
      </x:c>
    </x:row>
    <x:row r="2448">
      <x:c r="A2448" s="379" t="n">
        <x:v>48099</x:v>
      </x:c>
      <x:c r="B2448" s="380" t="n">
        <x:v>2031</x:v>
      </x:c>
      <x:c r="C2448" s="380" t="n">
        <x:v>9</x:v>
      </x:c>
      <x:c r="D2448" s="380" t="str">
        <x:v>Sep</x:v>
      </x:c>
      <x:c r="E2448" s="380" t="n">
        <x:v>8</x:v>
      </x:c>
      <x:c r="F2448" s="380" t="n">
        <x:v>1</x:v>
      </x:c>
      <x:c r="G2448" s="380" t="n">
        <x:f>--(F2448&lt;='Estimator'!$B$7)</x:f>
        <x:v>1</x:v>
      </x:c>
      <x:c r="H2448" s="381" t="n">
        <x:f>SUMIFS('Climate Data'!$G$7:$G$366,'Climate Data'!$A$7:$A$366,'Estimator'!$B$4,'Climate Data'!$B$7:$B$366,C2448)</x:f>
        <x:v>0.4160919540229885</x:v>
      </x:c>
      <x:c r="I2448" s="382" t="n">
        <x:f>SUMIFS('Climate Data'!$H$7:$H$366,'Climate Data'!$A$7:$A$366,'Estimator'!$B$4,'Climate Data'!$B$7:$B$366,C2448)</x:f>
        <x:v>8.019060773480662</x:v>
      </x:c>
      <x:c r="J2448" s="381" t="n">
        <x:f>SUMIFS('Wind Proxy'!$H$8:$H$19,'Wind Proxy'!$A$8:$A$19,'Estimator'!$B$4,'Wind Proxy'!$B$8:$B$19,C2448)</x:f>
        <x:v>0.22222222222222224</x:v>
      </x:c>
    </x:row>
    <x:row r="2449">
      <x:c r="A2449" s="379" t="n">
        <x:v>48100</x:v>
      </x:c>
      <x:c r="B2449" s="380" t="n">
        <x:v>2031</x:v>
      </x:c>
      <x:c r="C2449" s="380" t="n">
        <x:v>9</x:v>
      </x:c>
      <x:c r="D2449" s="380" t="str">
        <x:v>Sep</x:v>
      </x:c>
      <x:c r="E2449" s="380" t="n">
        <x:v>9</x:v>
      </x:c>
      <x:c r="F2449" s="380" t="n">
        <x:v>2</x:v>
      </x:c>
      <x:c r="G2449" s="380" t="n">
        <x:f>--(F2449&lt;='Estimator'!$B$7)</x:f>
        <x:v>1</x:v>
      </x:c>
      <x:c r="H2449" s="381" t="n">
        <x:f>SUMIFS('Climate Data'!$G$7:$G$366,'Climate Data'!$A$7:$A$366,'Estimator'!$B$4,'Climate Data'!$B$7:$B$366,C2449)</x:f>
        <x:v>0.4160919540229885</x:v>
      </x:c>
      <x:c r="I2449" s="382" t="n">
        <x:f>SUMIFS('Climate Data'!$H$7:$H$366,'Climate Data'!$A$7:$A$366,'Estimator'!$B$4,'Climate Data'!$B$7:$B$366,C2449)</x:f>
        <x:v>8.019060773480662</x:v>
      </x:c>
      <x:c r="J2449" s="381" t="n">
        <x:f>SUMIFS('Wind Proxy'!$H$8:$H$19,'Wind Proxy'!$A$8:$A$19,'Estimator'!$B$4,'Wind Proxy'!$B$8:$B$19,C2449)</x:f>
        <x:v>0.22222222222222224</x:v>
      </x:c>
    </x:row>
    <x:row r="2450">
      <x:c r="A2450" s="379" t="n">
        <x:v>48101</x:v>
      </x:c>
      <x:c r="B2450" s="380" t="n">
        <x:v>2031</x:v>
      </x:c>
      <x:c r="C2450" s="380" t="n">
        <x:v>9</x:v>
      </x:c>
      <x:c r="D2450" s="380" t="str">
        <x:v>Sep</x:v>
      </x:c>
      <x:c r="E2450" s="380" t="n">
        <x:v>10</x:v>
      </x:c>
      <x:c r="F2450" s="380" t="n">
        <x:v>3</x:v>
      </x:c>
      <x:c r="G2450" s="380" t="n">
        <x:f>--(F2450&lt;='Estimator'!$B$7)</x:f>
        <x:v>1</x:v>
      </x:c>
      <x:c r="H2450" s="381" t="n">
        <x:f>SUMIFS('Climate Data'!$G$7:$G$366,'Climate Data'!$A$7:$A$366,'Estimator'!$B$4,'Climate Data'!$B$7:$B$366,C2450)</x:f>
        <x:v>0.4160919540229885</x:v>
      </x:c>
      <x:c r="I2450" s="382" t="n">
        <x:f>SUMIFS('Climate Data'!$H$7:$H$366,'Climate Data'!$A$7:$A$366,'Estimator'!$B$4,'Climate Data'!$B$7:$B$366,C2450)</x:f>
        <x:v>8.019060773480662</x:v>
      </x:c>
      <x:c r="J2450" s="381" t="n">
        <x:f>SUMIFS('Wind Proxy'!$H$8:$H$19,'Wind Proxy'!$A$8:$A$19,'Estimator'!$B$4,'Wind Proxy'!$B$8:$B$19,C2450)</x:f>
        <x:v>0.22222222222222224</x:v>
      </x:c>
    </x:row>
    <x:row r="2451">
      <x:c r="A2451" s="379" t="n">
        <x:v>48102</x:v>
      </x:c>
      <x:c r="B2451" s="380" t="n">
        <x:v>2031</x:v>
      </x:c>
      <x:c r="C2451" s="380" t="n">
        <x:v>9</x:v>
      </x:c>
      <x:c r="D2451" s="380" t="str">
        <x:v>Sep</x:v>
      </x:c>
      <x:c r="E2451" s="380" t="n">
        <x:v>11</x:v>
      </x:c>
      <x:c r="F2451" s="380" t="n">
        <x:v>4</x:v>
      </x:c>
      <x:c r="G2451" s="380" t="n">
        <x:f>--(F2451&lt;='Estimator'!$B$7)</x:f>
        <x:v>1</x:v>
      </x:c>
      <x:c r="H2451" s="381" t="n">
        <x:f>SUMIFS('Climate Data'!$G$7:$G$366,'Climate Data'!$A$7:$A$366,'Estimator'!$B$4,'Climate Data'!$B$7:$B$366,C2451)</x:f>
        <x:v>0.4160919540229885</x:v>
      </x:c>
      <x:c r="I2451" s="382" t="n">
        <x:f>SUMIFS('Climate Data'!$H$7:$H$366,'Climate Data'!$A$7:$A$366,'Estimator'!$B$4,'Climate Data'!$B$7:$B$366,C2451)</x:f>
        <x:v>8.019060773480662</x:v>
      </x:c>
      <x:c r="J2451" s="381" t="n">
        <x:f>SUMIFS('Wind Proxy'!$H$8:$H$19,'Wind Proxy'!$A$8:$A$19,'Estimator'!$B$4,'Wind Proxy'!$B$8:$B$19,C2451)</x:f>
        <x:v>0.22222222222222224</x:v>
      </x:c>
    </x:row>
    <x:row r="2452">
      <x:c r="A2452" s="379" t="n">
        <x:v>48103</x:v>
      </x:c>
      <x:c r="B2452" s="380" t="n">
        <x:v>2031</x:v>
      </x:c>
      <x:c r="C2452" s="380" t="n">
        <x:v>9</x:v>
      </x:c>
      <x:c r="D2452" s="380" t="str">
        <x:v>Sep</x:v>
      </x:c>
      <x:c r="E2452" s="380" t="n">
        <x:v>12</x:v>
      </x:c>
      <x:c r="F2452" s="380" t="n">
        <x:v>5</x:v>
      </x:c>
      <x:c r="G2452" s="380" t="n">
        <x:f>--(F2452&lt;='Estimator'!$B$7)</x:f>
        <x:v>1</x:v>
      </x:c>
      <x:c r="H2452" s="381" t="n">
        <x:f>SUMIFS('Climate Data'!$G$7:$G$366,'Climate Data'!$A$7:$A$366,'Estimator'!$B$4,'Climate Data'!$B$7:$B$366,C2452)</x:f>
        <x:v>0.4160919540229885</x:v>
      </x:c>
      <x:c r="I2452" s="382" t="n">
        <x:f>SUMIFS('Climate Data'!$H$7:$H$366,'Climate Data'!$A$7:$A$366,'Estimator'!$B$4,'Climate Data'!$B$7:$B$366,C2452)</x:f>
        <x:v>8.019060773480662</x:v>
      </x:c>
      <x:c r="J2452" s="381" t="n">
        <x:f>SUMIFS('Wind Proxy'!$H$8:$H$19,'Wind Proxy'!$A$8:$A$19,'Estimator'!$B$4,'Wind Proxy'!$B$8:$B$19,C2452)</x:f>
        <x:v>0.22222222222222224</x:v>
      </x:c>
    </x:row>
    <x:row r="2453">
      <x:c r="A2453" s="379" t="n">
        <x:v>48104</x:v>
      </x:c>
      <x:c r="B2453" s="380" t="n">
        <x:v>2031</x:v>
      </x:c>
      <x:c r="C2453" s="380" t="n">
        <x:v>9</x:v>
      </x:c>
      <x:c r="D2453" s="380" t="str">
        <x:v>Sep</x:v>
      </x:c>
      <x:c r="E2453" s="380" t="n">
        <x:v>13</x:v>
      </x:c>
      <x:c r="F2453" s="380" t="n">
        <x:v>6</x:v>
      </x:c>
      <x:c r="G2453" s="380" t="n">
        <x:f>--(F2453&lt;='Estimator'!$B$7)</x:f>
        <x:v>0</x:v>
      </x:c>
      <x:c r="H2453" s="381" t="n">
        <x:f>SUMIFS('Climate Data'!$G$7:$G$366,'Climate Data'!$A$7:$A$366,'Estimator'!$B$4,'Climate Data'!$B$7:$B$366,C2453)</x:f>
        <x:v>0.4160919540229885</x:v>
      </x:c>
      <x:c r="I2453" s="382" t="n">
        <x:f>SUMIFS('Climate Data'!$H$7:$H$366,'Climate Data'!$A$7:$A$366,'Estimator'!$B$4,'Climate Data'!$B$7:$B$366,C2453)</x:f>
        <x:v>8.019060773480662</x:v>
      </x:c>
      <x:c r="J2453" s="381" t="n">
        <x:f>SUMIFS('Wind Proxy'!$H$8:$H$19,'Wind Proxy'!$A$8:$A$19,'Estimator'!$B$4,'Wind Proxy'!$B$8:$B$19,C2453)</x:f>
        <x:v>0.22222222222222224</x:v>
      </x:c>
    </x:row>
    <x:row r="2454">
      <x:c r="A2454" s="379" t="n">
        <x:v>48105</x:v>
      </x:c>
      <x:c r="B2454" s="380" t="n">
        <x:v>2031</x:v>
      </x:c>
      <x:c r="C2454" s="380" t="n">
        <x:v>9</x:v>
      </x:c>
      <x:c r="D2454" s="380" t="str">
        <x:v>Sep</x:v>
      </x:c>
      <x:c r="E2454" s="380" t="n">
        <x:v>14</x:v>
      </x:c>
      <x:c r="F2454" s="380" t="n">
        <x:v>7</x:v>
      </x:c>
      <x:c r="G2454" s="380" t="n">
        <x:f>--(F2454&lt;='Estimator'!$B$7)</x:f>
        <x:v>0</x:v>
      </x:c>
      <x:c r="H2454" s="381" t="n">
        <x:f>SUMIFS('Climate Data'!$G$7:$G$366,'Climate Data'!$A$7:$A$366,'Estimator'!$B$4,'Climate Data'!$B$7:$B$366,C2454)</x:f>
        <x:v>0.4160919540229885</x:v>
      </x:c>
      <x:c r="I2454" s="382" t="n">
        <x:f>SUMIFS('Climate Data'!$H$7:$H$366,'Climate Data'!$A$7:$A$366,'Estimator'!$B$4,'Climate Data'!$B$7:$B$366,C2454)</x:f>
        <x:v>8.019060773480662</x:v>
      </x:c>
      <x:c r="J2454" s="381" t="n">
        <x:f>SUMIFS('Wind Proxy'!$H$8:$H$19,'Wind Proxy'!$A$8:$A$19,'Estimator'!$B$4,'Wind Proxy'!$B$8:$B$19,C2454)</x:f>
        <x:v>0.22222222222222224</x:v>
      </x:c>
    </x:row>
    <x:row r="2455">
      <x:c r="A2455" s="379" t="n">
        <x:v>48106</x:v>
      </x:c>
      <x:c r="B2455" s="380" t="n">
        <x:v>2031</x:v>
      </x:c>
      <x:c r="C2455" s="380" t="n">
        <x:v>9</x:v>
      </x:c>
      <x:c r="D2455" s="380" t="str">
        <x:v>Sep</x:v>
      </x:c>
      <x:c r="E2455" s="380" t="n">
        <x:v>15</x:v>
      </x:c>
      <x:c r="F2455" s="380" t="n">
        <x:v>1</x:v>
      </x:c>
      <x:c r="G2455" s="380" t="n">
        <x:f>--(F2455&lt;='Estimator'!$B$7)</x:f>
        <x:v>1</x:v>
      </x:c>
      <x:c r="H2455" s="381" t="n">
        <x:f>SUMIFS('Climate Data'!$G$7:$G$366,'Climate Data'!$A$7:$A$366,'Estimator'!$B$4,'Climate Data'!$B$7:$B$366,C2455)</x:f>
        <x:v>0.4160919540229885</x:v>
      </x:c>
      <x:c r="I2455" s="382" t="n">
        <x:f>SUMIFS('Climate Data'!$H$7:$H$366,'Climate Data'!$A$7:$A$366,'Estimator'!$B$4,'Climate Data'!$B$7:$B$366,C2455)</x:f>
        <x:v>8.019060773480662</x:v>
      </x:c>
      <x:c r="J2455" s="381" t="n">
        <x:f>SUMIFS('Wind Proxy'!$H$8:$H$19,'Wind Proxy'!$A$8:$A$19,'Estimator'!$B$4,'Wind Proxy'!$B$8:$B$19,C2455)</x:f>
        <x:v>0.22222222222222224</x:v>
      </x:c>
    </x:row>
    <x:row r="2456">
      <x:c r="A2456" s="379" t="n">
        <x:v>48107</x:v>
      </x:c>
      <x:c r="B2456" s="380" t="n">
        <x:v>2031</x:v>
      </x:c>
      <x:c r="C2456" s="380" t="n">
        <x:v>9</x:v>
      </x:c>
      <x:c r="D2456" s="380" t="str">
        <x:v>Sep</x:v>
      </x:c>
      <x:c r="E2456" s="380" t="n">
        <x:v>16</x:v>
      </x:c>
      <x:c r="F2456" s="380" t="n">
        <x:v>2</x:v>
      </x:c>
      <x:c r="G2456" s="380" t="n">
        <x:f>--(F2456&lt;='Estimator'!$B$7)</x:f>
        <x:v>1</x:v>
      </x:c>
      <x:c r="H2456" s="381" t="n">
        <x:f>SUMIFS('Climate Data'!$G$7:$G$366,'Climate Data'!$A$7:$A$366,'Estimator'!$B$4,'Climate Data'!$B$7:$B$366,C2456)</x:f>
        <x:v>0.4160919540229885</x:v>
      </x:c>
      <x:c r="I2456" s="382" t="n">
        <x:f>SUMIFS('Climate Data'!$H$7:$H$366,'Climate Data'!$A$7:$A$366,'Estimator'!$B$4,'Climate Data'!$B$7:$B$366,C2456)</x:f>
        <x:v>8.019060773480662</x:v>
      </x:c>
      <x:c r="J2456" s="381" t="n">
        <x:f>SUMIFS('Wind Proxy'!$H$8:$H$19,'Wind Proxy'!$A$8:$A$19,'Estimator'!$B$4,'Wind Proxy'!$B$8:$B$19,C2456)</x:f>
        <x:v>0.22222222222222224</x:v>
      </x:c>
    </x:row>
    <x:row r="2457">
      <x:c r="A2457" s="379" t="n">
        <x:v>48108</x:v>
      </x:c>
      <x:c r="B2457" s="380" t="n">
        <x:v>2031</x:v>
      </x:c>
      <x:c r="C2457" s="380" t="n">
        <x:v>9</x:v>
      </x:c>
      <x:c r="D2457" s="380" t="str">
        <x:v>Sep</x:v>
      </x:c>
      <x:c r="E2457" s="380" t="n">
        <x:v>17</x:v>
      </x:c>
      <x:c r="F2457" s="380" t="n">
        <x:v>3</x:v>
      </x:c>
      <x:c r="G2457" s="380" t="n">
        <x:f>--(F2457&lt;='Estimator'!$B$7)</x:f>
        <x:v>1</x:v>
      </x:c>
      <x:c r="H2457" s="381" t="n">
        <x:f>SUMIFS('Climate Data'!$G$7:$G$366,'Climate Data'!$A$7:$A$366,'Estimator'!$B$4,'Climate Data'!$B$7:$B$366,C2457)</x:f>
        <x:v>0.4160919540229885</x:v>
      </x:c>
      <x:c r="I2457" s="382" t="n">
        <x:f>SUMIFS('Climate Data'!$H$7:$H$366,'Climate Data'!$A$7:$A$366,'Estimator'!$B$4,'Climate Data'!$B$7:$B$366,C2457)</x:f>
        <x:v>8.019060773480662</x:v>
      </x:c>
      <x:c r="J2457" s="381" t="n">
        <x:f>SUMIFS('Wind Proxy'!$H$8:$H$19,'Wind Proxy'!$A$8:$A$19,'Estimator'!$B$4,'Wind Proxy'!$B$8:$B$19,C2457)</x:f>
        <x:v>0.22222222222222224</x:v>
      </x:c>
    </x:row>
    <x:row r="2458">
      <x:c r="A2458" s="379" t="n">
        <x:v>48109</x:v>
      </x:c>
      <x:c r="B2458" s="380" t="n">
        <x:v>2031</x:v>
      </x:c>
      <x:c r="C2458" s="380" t="n">
        <x:v>9</x:v>
      </x:c>
      <x:c r="D2458" s="380" t="str">
        <x:v>Sep</x:v>
      </x:c>
      <x:c r="E2458" s="380" t="n">
        <x:v>18</x:v>
      </x:c>
      <x:c r="F2458" s="380" t="n">
        <x:v>4</x:v>
      </x:c>
      <x:c r="G2458" s="380" t="n">
        <x:f>--(F2458&lt;='Estimator'!$B$7)</x:f>
        <x:v>1</x:v>
      </x:c>
      <x:c r="H2458" s="381" t="n">
        <x:f>SUMIFS('Climate Data'!$G$7:$G$366,'Climate Data'!$A$7:$A$366,'Estimator'!$B$4,'Climate Data'!$B$7:$B$366,C2458)</x:f>
        <x:v>0.4160919540229885</x:v>
      </x:c>
      <x:c r="I2458" s="382" t="n">
        <x:f>SUMIFS('Climate Data'!$H$7:$H$366,'Climate Data'!$A$7:$A$366,'Estimator'!$B$4,'Climate Data'!$B$7:$B$366,C2458)</x:f>
        <x:v>8.019060773480662</x:v>
      </x:c>
      <x:c r="J2458" s="381" t="n">
        <x:f>SUMIFS('Wind Proxy'!$H$8:$H$19,'Wind Proxy'!$A$8:$A$19,'Estimator'!$B$4,'Wind Proxy'!$B$8:$B$19,C2458)</x:f>
        <x:v>0.22222222222222224</x:v>
      </x:c>
    </x:row>
    <x:row r="2459">
      <x:c r="A2459" s="379" t="n">
        <x:v>48110</x:v>
      </x:c>
      <x:c r="B2459" s="380" t="n">
        <x:v>2031</x:v>
      </x:c>
      <x:c r="C2459" s="380" t="n">
        <x:v>9</x:v>
      </x:c>
      <x:c r="D2459" s="380" t="str">
        <x:v>Sep</x:v>
      </x:c>
      <x:c r="E2459" s="380" t="n">
        <x:v>19</x:v>
      </x:c>
      <x:c r="F2459" s="380" t="n">
        <x:v>5</x:v>
      </x:c>
      <x:c r="G2459" s="380" t="n">
        <x:f>--(F2459&lt;='Estimator'!$B$7)</x:f>
        <x:v>1</x:v>
      </x:c>
      <x:c r="H2459" s="381" t="n">
        <x:f>SUMIFS('Climate Data'!$G$7:$G$366,'Climate Data'!$A$7:$A$366,'Estimator'!$B$4,'Climate Data'!$B$7:$B$366,C2459)</x:f>
        <x:v>0.4160919540229885</x:v>
      </x:c>
      <x:c r="I2459" s="382" t="n">
        <x:f>SUMIFS('Climate Data'!$H$7:$H$366,'Climate Data'!$A$7:$A$366,'Estimator'!$B$4,'Climate Data'!$B$7:$B$366,C2459)</x:f>
        <x:v>8.019060773480662</x:v>
      </x:c>
      <x:c r="J2459" s="381" t="n">
        <x:f>SUMIFS('Wind Proxy'!$H$8:$H$19,'Wind Proxy'!$A$8:$A$19,'Estimator'!$B$4,'Wind Proxy'!$B$8:$B$19,C2459)</x:f>
        <x:v>0.22222222222222224</x:v>
      </x:c>
    </x:row>
    <x:row r="2460">
      <x:c r="A2460" s="379" t="n">
        <x:v>48111</x:v>
      </x:c>
      <x:c r="B2460" s="380" t="n">
        <x:v>2031</x:v>
      </x:c>
      <x:c r="C2460" s="380" t="n">
        <x:v>9</x:v>
      </x:c>
      <x:c r="D2460" s="380" t="str">
        <x:v>Sep</x:v>
      </x:c>
      <x:c r="E2460" s="380" t="n">
        <x:v>20</x:v>
      </x:c>
      <x:c r="F2460" s="380" t="n">
        <x:v>6</x:v>
      </x:c>
      <x:c r="G2460" s="380" t="n">
        <x:f>--(F2460&lt;='Estimator'!$B$7)</x:f>
        <x:v>0</x:v>
      </x:c>
      <x:c r="H2460" s="381" t="n">
        <x:f>SUMIFS('Climate Data'!$G$7:$G$366,'Climate Data'!$A$7:$A$366,'Estimator'!$B$4,'Climate Data'!$B$7:$B$366,C2460)</x:f>
        <x:v>0.4160919540229885</x:v>
      </x:c>
      <x:c r="I2460" s="382" t="n">
        <x:f>SUMIFS('Climate Data'!$H$7:$H$366,'Climate Data'!$A$7:$A$366,'Estimator'!$B$4,'Climate Data'!$B$7:$B$366,C2460)</x:f>
        <x:v>8.019060773480662</x:v>
      </x:c>
      <x:c r="J2460" s="381" t="n">
        <x:f>SUMIFS('Wind Proxy'!$H$8:$H$19,'Wind Proxy'!$A$8:$A$19,'Estimator'!$B$4,'Wind Proxy'!$B$8:$B$19,C2460)</x:f>
        <x:v>0.22222222222222224</x:v>
      </x:c>
    </x:row>
    <x:row r="2461">
      <x:c r="A2461" s="379" t="n">
        <x:v>48112</x:v>
      </x:c>
      <x:c r="B2461" s="380" t="n">
        <x:v>2031</x:v>
      </x:c>
      <x:c r="C2461" s="380" t="n">
        <x:v>9</x:v>
      </x:c>
      <x:c r="D2461" s="380" t="str">
        <x:v>Sep</x:v>
      </x:c>
      <x:c r="E2461" s="380" t="n">
        <x:v>21</x:v>
      </x:c>
      <x:c r="F2461" s="380" t="n">
        <x:v>7</x:v>
      </x:c>
      <x:c r="G2461" s="380" t="n">
        <x:f>--(F2461&lt;='Estimator'!$B$7)</x:f>
        <x:v>0</x:v>
      </x:c>
      <x:c r="H2461" s="381" t="n">
        <x:f>SUMIFS('Climate Data'!$G$7:$G$366,'Climate Data'!$A$7:$A$366,'Estimator'!$B$4,'Climate Data'!$B$7:$B$366,C2461)</x:f>
        <x:v>0.4160919540229885</x:v>
      </x:c>
      <x:c r="I2461" s="382" t="n">
        <x:f>SUMIFS('Climate Data'!$H$7:$H$366,'Climate Data'!$A$7:$A$366,'Estimator'!$B$4,'Climate Data'!$B$7:$B$366,C2461)</x:f>
        <x:v>8.019060773480662</x:v>
      </x:c>
      <x:c r="J2461" s="381" t="n">
        <x:f>SUMIFS('Wind Proxy'!$H$8:$H$19,'Wind Proxy'!$A$8:$A$19,'Estimator'!$B$4,'Wind Proxy'!$B$8:$B$19,C2461)</x:f>
        <x:v>0.22222222222222224</x:v>
      </x:c>
    </x:row>
    <x:row r="2462">
      <x:c r="A2462" s="379" t="n">
        <x:v>48113</x:v>
      </x:c>
      <x:c r="B2462" s="380" t="n">
        <x:v>2031</x:v>
      </x:c>
      <x:c r="C2462" s="380" t="n">
        <x:v>9</x:v>
      </x:c>
      <x:c r="D2462" s="380" t="str">
        <x:v>Sep</x:v>
      </x:c>
      <x:c r="E2462" s="380" t="n">
        <x:v>22</x:v>
      </x:c>
      <x:c r="F2462" s="380" t="n">
        <x:v>1</x:v>
      </x:c>
      <x:c r="G2462" s="380" t="n">
        <x:f>--(F2462&lt;='Estimator'!$B$7)</x:f>
        <x:v>1</x:v>
      </x:c>
      <x:c r="H2462" s="381" t="n">
        <x:f>SUMIFS('Climate Data'!$G$7:$G$366,'Climate Data'!$A$7:$A$366,'Estimator'!$B$4,'Climate Data'!$B$7:$B$366,C2462)</x:f>
        <x:v>0.4160919540229885</x:v>
      </x:c>
      <x:c r="I2462" s="382" t="n">
        <x:f>SUMIFS('Climate Data'!$H$7:$H$366,'Climate Data'!$A$7:$A$366,'Estimator'!$B$4,'Climate Data'!$B$7:$B$366,C2462)</x:f>
        <x:v>8.019060773480662</x:v>
      </x:c>
      <x:c r="J2462" s="381" t="n">
        <x:f>SUMIFS('Wind Proxy'!$H$8:$H$19,'Wind Proxy'!$A$8:$A$19,'Estimator'!$B$4,'Wind Proxy'!$B$8:$B$19,C2462)</x:f>
        <x:v>0.22222222222222224</x:v>
      </x:c>
    </x:row>
    <x:row r="2463">
      <x:c r="A2463" s="379" t="n">
        <x:v>48114</x:v>
      </x:c>
      <x:c r="B2463" s="380" t="n">
        <x:v>2031</x:v>
      </x:c>
      <x:c r="C2463" s="380" t="n">
        <x:v>9</x:v>
      </x:c>
      <x:c r="D2463" s="380" t="str">
        <x:v>Sep</x:v>
      </x:c>
      <x:c r="E2463" s="380" t="n">
        <x:v>23</x:v>
      </x:c>
      <x:c r="F2463" s="380" t="n">
        <x:v>2</x:v>
      </x:c>
      <x:c r="G2463" s="380" t="n">
        <x:f>--(F2463&lt;='Estimator'!$B$7)</x:f>
        <x:v>1</x:v>
      </x:c>
      <x:c r="H2463" s="381" t="n">
        <x:f>SUMIFS('Climate Data'!$G$7:$G$366,'Climate Data'!$A$7:$A$366,'Estimator'!$B$4,'Climate Data'!$B$7:$B$366,C2463)</x:f>
        <x:v>0.4160919540229885</x:v>
      </x:c>
      <x:c r="I2463" s="382" t="n">
        <x:f>SUMIFS('Climate Data'!$H$7:$H$366,'Climate Data'!$A$7:$A$366,'Estimator'!$B$4,'Climate Data'!$B$7:$B$366,C2463)</x:f>
        <x:v>8.019060773480662</x:v>
      </x:c>
      <x:c r="J2463" s="381" t="n">
        <x:f>SUMIFS('Wind Proxy'!$H$8:$H$19,'Wind Proxy'!$A$8:$A$19,'Estimator'!$B$4,'Wind Proxy'!$B$8:$B$19,C2463)</x:f>
        <x:v>0.22222222222222224</x:v>
      </x:c>
    </x:row>
    <x:row r="2464">
      <x:c r="A2464" s="379" t="n">
        <x:v>48115</x:v>
      </x:c>
      <x:c r="B2464" s="380" t="n">
        <x:v>2031</x:v>
      </x:c>
      <x:c r="C2464" s="380" t="n">
        <x:v>9</x:v>
      </x:c>
      <x:c r="D2464" s="380" t="str">
        <x:v>Sep</x:v>
      </x:c>
      <x:c r="E2464" s="380" t="n">
        <x:v>24</x:v>
      </x:c>
      <x:c r="F2464" s="380" t="n">
        <x:v>3</x:v>
      </x:c>
      <x:c r="G2464" s="380" t="n">
        <x:f>--(F2464&lt;='Estimator'!$B$7)</x:f>
        <x:v>1</x:v>
      </x:c>
      <x:c r="H2464" s="381" t="n">
        <x:f>SUMIFS('Climate Data'!$G$7:$G$366,'Climate Data'!$A$7:$A$366,'Estimator'!$B$4,'Climate Data'!$B$7:$B$366,C2464)</x:f>
        <x:v>0.4160919540229885</x:v>
      </x:c>
      <x:c r="I2464" s="382" t="n">
        <x:f>SUMIFS('Climate Data'!$H$7:$H$366,'Climate Data'!$A$7:$A$366,'Estimator'!$B$4,'Climate Data'!$B$7:$B$366,C2464)</x:f>
        <x:v>8.019060773480662</x:v>
      </x:c>
      <x:c r="J2464" s="381" t="n">
        <x:f>SUMIFS('Wind Proxy'!$H$8:$H$19,'Wind Proxy'!$A$8:$A$19,'Estimator'!$B$4,'Wind Proxy'!$B$8:$B$19,C2464)</x:f>
        <x:v>0.22222222222222224</x:v>
      </x:c>
    </x:row>
    <x:row r="2465">
      <x:c r="A2465" s="379" t="n">
        <x:v>48116</x:v>
      </x:c>
      <x:c r="B2465" s="380" t="n">
        <x:v>2031</x:v>
      </x:c>
      <x:c r="C2465" s="380" t="n">
        <x:v>9</x:v>
      </x:c>
      <x:c r="D2465" s="380" t="str">
        <x:v>Sep</x:v>
      </x:c>
      <x:c r="E2465" s="380" t="n">
        <x:v>25</x:v>
      </x:c>
      <x:c r="F2465" s="380" t="n">
        <x:v>4</x:v>
      </x:c>
      <x:c r="G2465" s="380" t="n">
        <x:f>--(F2465&lt;='Estimator'!$B$7)</x:f>
        <x:v>1</x:v>
      </x:c>
      <x:c r="H2465" s="381" t="n">
        <x:f>SUMIFS('Climate Data'!$G$7:$G$366,'Climate Data'!$A$7:$A$366,'Estimator'!$B$4,'Climate Data'!$B$7:$B$366,C2465)</x:f>
        <x:v>0.4160919540229885</x:v>
      </x:c>
      <x:c r="I2465" s="382" t="n">
        <x:f>SUMIFS('Climate Data'!$H$7:$H$366,'Climate Data'!$A$7:$A$366,'Estimator'!$B$4,'Climate Data'!$B$7:$B$366,C2465)</x:f>
        <x:v>8.019060773480662</x:v>
      </x:c>
      <x:c r="J2465" s="381" t="n">
        <x:f>SUMIFS('Wind Proxy'!$H$8:$H$19,'Wind Proxy'!$A$8:$A$19,'Estimator'!$B$4,'Wind Proxy'!$B$8:$B$19,C2465)</x:f>
        <x:v>0.22222222222222224</x:v>
      </x:c>
    </x:row>
    <x:row r="2466">
      <x:c r="A2466" s="379" t="n">
        <x:v>48117</x:v>
      </x:c>
      <x:c r="B2466" s="380" t="n">
        <x:v>2031</x:v>
      </x:c>
      <x:c r="C2466" s="380" t="n">
        <x:v>9</x:v>
      </x:c>
      <x:c r="D2466" s="380" t="str">
        <x:v>Sep</x:v>
      </x:c>
      <x:c r="E2466" s="380" t="n">
        <x:v>26</x:v>
      </x:c>
      <x:c r="F2466" s="380" t="n">
        <x:v>5</x:v>
      </x:c>
      <x:c r="G2466" s="380" t="n">
        <x:f>--(F2466&lt;='Estimator'!$B$7)</x:f>
        <x:v>1</x:v>
      </x:c>
      <x:c r="H2466" s="381" t="n">
        <x:f>SUMIFS('Climate Data'!$G$7:$G$366,'Climate Data'!$A$7:$A$366,'Estimator'!$B$4,'Climate Data'!$B$7:$B$366,C2466)</x:f>
        <x:v>0.4160919540229885</x:v>
      </x:c>
      <x:c r="I2466" s="382" t="n">
        <x:f>SUMIFS('Climate Data'!$H$7:$H$366,'Climate Data'!$A$7:$A$366,'Estimator'!$B$4,'Climate Data'!$B$7:$B$366,C2466)</x:f>
        <x:v>8.019060773480662</x:v>
      </x:c>
      <x:c r="J2466" s="381" t="n">
        <x:f>SUMIFS('Wind Proxy'!$H$8:$H$19,'Wind Proxy'!$A$8:$A$19,'Estimator'!$B$4,'Wind Proxy'!$B$8:$B$19,C2466)</x:f>
        <x:v>0.22222222222222224</x:v>
      </x:c>
    </x:row>
    <x:row r="2467">
      <x:c r="A2467" s="379" t="n">
        <x:v>48118</x:v>
      </x:c>
      <x:c r="B2467" s="380" t="n">
        <x:v>2031</x:v>
      </x:c>
      <x:c r="C2467" s="380" t="n">
        <x:v>9</x:v>
      </x:c>
      <x:c r="D2467" s="380" t="str">
        <x:v>Sep</x:v>
      </x:c>
      <x:c r="E2467" s="380" t="n">
        <x:v>27</x:v>
      </x:c>
      <x:c r="F2467" s="380" t="n">
        <x:v>6</x:v>
      </x:c>
      <x:c r="G2467" s="380" t="n">
        <x:f>--(F2467&lt;='Estimator'!$B$7)</x:f>
        <x:v>0</x:v>
      </x:c>
      <x:c r="H2467" s="381" t="n">
        <x:f>SUMIFS('Climate Data'!$G$7:$G$366,'Climate Data'!$A$7:$A$366,'Estimator'!$B$4,'Climate Data'!$B$7:$B$366,C2467)</x:f>
        <x:v>0.4160919540229885</x:v>
      </x:c>
      <x:c r="I2467" s="382" t="n">
        <x:f>SUMIFS('Climate Data'!$H$7:$H$366,'Climate Data'!$A$7:$A$366,'Estimator'!$B$4,'Climate Data'!$B$7:$B$366,C2467)</x:f>
        <x:v>8.019060773480662</x:v>
      </x:c>
      <x:c r="J2467" s="381" t="n">
        <x:f>SUMIFS('Wind Proxy'!$H$8:$H$19,'Wind Proxy'!$A$8:$A$19,'Estimator'!$B$4,'Wind Proxy'!$B$8:$B$19,C2467)</x:f>
        <x:v>0.22222222222222224</x:v>
      </x:c>
    </x:row>
    <x:row r="2468">
      <x:c r="A2468" s="379" t="n">
        <x:v>48119</x:v>
      </x:c>
      <x:c r="B2468" s="380" t="n">
        <x:v>2031</x:v>
      </x:c>
      <x:c r="C2468" s="380" t="n">
        <x:v>9</x:v>
      </x:c>
      <x:c r="D2468" s="380" t="str">
        <x:v>Sep</x:v>
      </x:c>
      <x:c r="E2468" s="380" t="n">
        <x:v>28</x:v>
      </x:c>
      <x:c r="F2468" s="380" t="n">
        <x:v>7</x:v>
      </x:c>
      <x:c r="G2468" s="380" t="n">
        <x:f>--(F2468&lt;='Estimator'!$B$7)</x:f>
        <x:v>0</x:v>
      </x:c>
      <x:c r="H2468" s="381" t="n">
        <x:f>SUMIFS('Climate Data'!$G$7:$G$366,'Climate Data'!$A$7:$A$366,'Estimator'!$B$4,'Climate Data'!$B$7:$B$366,C2468)</x:f>
        <x:v>0.4160919540229885</x:v>
      </x:c>
      <x:c r="I2468" s="382" t="n">
        <x:f>SUMIFS('Climate Data'!$H$7:$H$366,'Climate Data'!$A$7:$A$366,'Estimator'!$B$4,'Climate Data'!$B$7:$B$366,C2468)</x:f>
        <x:v>8.019060773480662</x:v>
      </x:c>
      <x:c r="J2468" s="381" t="n">
        <x:f>SUMIFS('Wind Proxy'!$H$8:$H$19,'Wind Proxy'!$A$8:$A$19,'Estimator'!$B$4,'Wind Proxy'!$B$8:$B$19,C2468)</x:f>
        <x:v>0.22222222222222224</x:v>
      </x:c>
    </x:row>
    <x:row r="2469">
      <x:c r="A2469" s="379" t="n">
        <x:v>48120</x:v>
      </x:c>
      <x:c r="B2469" s="380" t="n">
        <x:v>2031</x:v>
      </x:c>
      <x:c r="C2469" s="380" t="n">
        <x:v>9</x:v>
      </x:c>
      <x:c r="D2469" s="380" t="str">
        <x:v>Sep</x:v>
      </x:c>
      <x:c r="E2469" s="380" t="n">
        <x:v>29</x:v>
      </x:c>
      <x:c r="F2469" s="380" t="n">
        <x:v>1</x:v>
      </x:c>
      <x:c r="G2469" s="380" t="n">
        <x:f>--(F2469&lt;='Estimator'!$B$7)</x:f>
        <x:v>1</x:v>
      </x:c>
      <x:c r="H2469" s="381" t="n">
        <x:f>SUMIFS('Climate Data'!$G$7:$G$366,'Climate Data'!$A$7:$A$366,'Estimator'!$B$4,'Climate Data'!$B$7:$B$366,C2469)</x:f>
        <x:v>0.4160919540229885</x:v>
      </x:c>
      <x:c r="I2469" s="382" t="n">
        <x:f>SUMIFS('Climate Data'!$H$7:$H$366,'Climate Data'!$A$7:$A$366,'Estimator'!$B$4,'Climate Data'!$B$7:$B$366,C2469)</x:f>
        <x:v>8.019060773480662</x:v>
      </x:c>
      <x:c r="J2469" s="381" t="n">
        <x:f>SUMIFS('Wind Proxy'!$H$8:$H$19,'Wind Proxy'!$A$8:$A$19,'Estimator'!$B$4,'Wind Proxy'!$B$8:$B$19,C2469)</x:f>
        <x:v>0.22222222222222224</x:v>
      </x:c>
    </x:row>
    <x:row r="2470">
      <x:c r="A2470" s="379" t="n">
        <x:v>48121</x:v>
      </x:c>
      <x:c r="B2470" s="380" t="n">
        <x:v>2031</x:v>
      </x:c>
      <x:c r="C2470" s="380" t="n">
        <x:v>9</x:v>
      </x:c>
      <x:c r="D2470" s="380" t="str">
        <x:v>Sep</x:v>
      </x:c>
      <x:c r="E2470" s="380" t="n">
        <x:v>30</x:v>
      </x:c>
      <x:c r="F2470" s="380" t="n">
        <x:v>2</x:v>
      </x:c>
      <x:c r="G2470" s="380" t="n">
        <x:f>--(F2470&lt;='Estimator'!$B$7)</x:f>
        <x:v>1</x:v>
      </x:c>
      <x:c r="H2470" s="381" t="n">
        <x:f>SUMIFS('Climate Data'!$G$7:$G$366,'Climate Data'!$A$7:$A$366,'Estimator'!$B$4,'Climate Data'!$B$7:$B$366,C2470)</x:f>
        <x:v>0.4160919540229885</x:v>
      </x:c>
      <x:c r="I2470" s="382" t="n">
        <x:f>SUMIFS('Climate Data'!$H$7:$H$366,'Climate Data'!$A$7:$A$366,'Estimator'!$B$4,'Climate Data'!$B$7:$B$366,C2470)</x:f>
        <x:v>8.019060773480662</x:v>
      </x:c>
      <x:c r="J2470" s="381" t="n">
        <x:f>SUMIFS('Wind Proxy'!$H$8:$H$19,'Wind Proxy'!$A$8:$A$19,'Estimator'!$B$4,'Wind Proxy'!$B$8:$B$19,C2470)</x:f>
        <x:v>0.22222222222222224</x:v>
      </x:c>
    </x:row>
    <x:row r="2471">
      <x:c r="A2471" s="379" t="n">
        <x:v>48122</x:v>
      </x:c>
      <x:c r="B2471" s="380" t="n">
        <x:v>2031</x:v>
      </x:c>
      <x:c r="C2471" s="380" t="n">
        <x:v>10</x:v>
      </x:c>
      <x:c r="D2471" s="380" t="str">
        <x:v>Oct</x:v>
      </x:c>
      <x:c r="E2471" s="380" t="n">
        <x:v>1</x:v>
      </x:c>
      <x:c r="F2471" s="380" t="n">
        <x:v>3</x:v>
      </x:c>
      <x:c r="G2471" s="380" t="n">
        <x:f>--(F2471&lt;='Estimator'!$B$7)</x:f>
        <x:v>1</x:v>
      </x:c>
      <x:c r="H2471" s="381" t="n">
        <x:f>SUMIFS('Climate Data'!$G$7:$G$366,'Climate Data'!$A$7:$A$366,'Estimator'!$B$4,'Climate Data'!$B$7:$B$366,C2471)</x:f>
        <x:v>0.3721198156682028</x:v>
      </x:c>
      <x:c r="I2471" s="382" t="n">
        <x:f>SUMIFS('Climate Data'!$H$7:$H$366,'Climate Data'!$A$7:$A$366,'Estimator'!$B$4,'Climate Data'!$B$7:$B$366,C2471)</x:f>
        <x:v>7.940557275541795</x:v>
      </x:c>
      <x:c r="J2471" s="381" t="n">
        <x:f>SUMIFS('Wind Proxy'!$H$8:$H$19,'Wind Proxy'!$A$8:$A$19,'Estimator'!$B$4,'Wind Proxy'!$B$8:$B$19,C2471)</x:f>
        <x:v>0.21505376344086022</x:v>
      </x:c>
    </x:row>
    <x:row r="2472">
      <x:c r="A2472" s="379" t="n">
        <x:v>48123</x:v>
      </x:c>
      <x:c r="B2472" s="380" t="n">
        <x:v>2031</x:v>
      </x:c>
      <x:c r="C2472" s="380" t="n">
        <x:v>10</x:v>
      </x:c>
      <x:c r="D2472" s="380" t="str">
        <x:v>Oct</x:v>
      </x:c>
      <x:c r="E2472" s="380" t="n">
        <x:v>2</x:v>
      </x:c>
      <x:c r="F2472" s="380" t="n">
        <x:v>4</x:v>
      </x:c>
      <x:c r="G2472" s="380" t="n">
        <x:f>--(F2472&lt;='Estimator'!$B$7)</x:f>
        <x:v>1</x:v>
      </x:c>
      <x:c r="H2472" s="381" t="n">
        <x:f>SUMIFS('Climate Data'!$G$7:$G$366,'Climate Data'!$A$7:$A$366,'Estimator'!$B$4,'Climate Data'!$B$7:$B$366,C2472)</x:f>
        <x:v>0.3721198156682028</x:v>
      </x:c>
      <x:c r="I2472" s="382" t="n">
        <x:f>SUMIFS('Climate Data'!$H$7:$H$366,'Climate Data'!$A$7:$A$366,'Estimator'!$B$4,'Climate Data'!$B$7:$B$366,C2472)</x:f>
        <x:v>7.940557275541795</x:v>
      </x:c>
      <x:c r="J2472" s="381" t="n">
        <x:f>SUMIFS('Wind Proxy'!$H$8:$H$19,'Wind Proxy'!$A$8:$A$19,'Estimator'!$B$4,'Wind Proxy'!$B$8:$B$19,C2472)</x:f>
        <x:v>0.21505376344086022</x:v>
      </x:c>
    </x:row>
    <x:row r="2473">
      <x:c r="A2473" s="379" t="n">
        <x:v>48124</x:v>
      </x:c>
      <x:c r="B2473" s="380" t="n">
        <x:v>2031</x:v>
      </x:c>
      <x:c r="C2473" s="380" t="n">
        <x:v>10</x:v>
      </x:c>
      <x:c r="D2473" s="380" t="str">
        <x:v>Oct</x:v>
      </x:c>
      <x:c r="E2473" s="380" t="n">
        <x:v>3</x:v>
      </x:c>
      <x:c r="F2473" s="380" t="n">
        <x:v>5</x:v>
      </x:c>
      <x:c r="G2473" s="380" t="n">
        <x:f>--(F2473&lt;='Estimator'!$B$7)</x:f>
        <x:v>1</x:v>
      </x:c>
      <x:c r="H2473" s="381" t="n">
        <x:f>SUMIFS('Climate Data'!$G$7:$G$366,'Climate Data'!$A$7:$A$366,'Estimator'!$B$4,'Climate Data'!$B$7:$B$366,C2473)</x:f>
        <x:v>0.3721198156682028</x:v>
      </x:c>
      <x:c r="I2473" s="382" t="n">
        <x:f>SUMIFS('Climate Data'!$H$7:$H$366,'Climate Data'!$A$7:$A$366,'Estimator'!$B$4,'Climate Data'!$B$7:$B$366,C2473)</x:f>
        <x:v>7.940557275541795</x:v>
      </x:c>
      <x:c r="J2473" s="381" t="n">
        <x:f>SUMIFS('Wind Proxy'!$H$8:$H$19,'Wind Proxy'!$A$8:$A$19,'Estimator'!$B$4,'Wind Proxy'!$B$8:$B$19,C2473)</x:f>
        <x:v>0.21505376344086022</x:v>
      </x:c>
    </x:row>
    <x:row r="2474">
      <x:c r="A2474" s="379" t="n">
        <x:v>48125</x:v>
      </x:c>
      <x:c r="B2474" s="380" t="n">
        <x:v>2031</x:v>
      </x:c>
      <x:c r="C2474" s="380" t="n">
        <x:v>10</x:v>
      </x:c>
      <x:c r="D2474" s="380" t="str">
        <x:v>Oct</x:v>
      </x:c>
      <x:c r="E2474" s="380" t="n">
        <x:v>4</x:v>
      </x:c>
      <x:c r="F2474" s="380" t="n">
        <x:v>6</x:v>
      </x:c>
      <x:c r="G2474" s="380" t="n">
        <x:f>--(F2474&lt;='Estimator'!$B$7)</x:f>
        <x:v>0</x:v>
      </x:c>
      <x:c r="H2474" s="381" t="n">
        <x:f>SUMIFS('Climate Data'!$G$7:$G$366,'Climate Data'!$A$7:$A$366,'Estimator'!$B$4,'Climate Data'!$B$7:$B$366,C2474)</x:f>
        <x:v>0.3721198156682028</x:v>
      </x:c>
      <x:c r="I2474" s="382" t="n">
        <x:f>SUMIFS('Climate Data'!$H$7:$H$366,'Climate Data'!$A$7:$A$366,'Estimator'!$B$4,'Climate Data'!$B$7:$B$366,C2474)</x:f>
        <x:v>7.940557275541795</x:v>
      </x:c>
      <x:c r="J2474" s="381" t="n">
        <x:f>SUMIFS('Wind Proxy'!$H$8:$H$19,'Wind Proxy'!$A$8:$A$19,'Estimator'!$B$4,'Wind Proxy'!$B$8:$B$19,C2474)</x:f>
        <x:v>0.21505376344086022</x:v>
      </x:c>
    </x:row>
    <x:row r="2475">
      <x:c r="A2475" s="379" t="n">
        <x:v>48126</x:v>
      </x:c>
      <x:c r="B2475" s="380" t="n">
        <x:v>2031</x:v>
      </x:c>
      <x:c r="C2475" s="380" t="n">
        <x:v>10</x:v>
      </x:c>
      <x:c r="D2475" s="380" t="str">
        <x:v>Oct</x:v>
      </x:c>
      <x:c r="E2475" s="380" t="n">
        <x:v>5</x:v>
      </x:c>
      <x:c r="F2475" s="380" t="n">
        <x:v>7</x:v>
      </x:c>
      <x:c r="G2475" s="380" t="n">
        <x:f>--(F2475&lt;='Estimator'!$B$7)</x:f>
        <x:v>0</x:v>
      </x:c>
      <x:c r="H2475" s="381" t="n">
        <x:f>SUMIFS('Climate Data'!$G$7:$G$366,'Climate Data'!$A$7:$A$366,'Estimator'!$B$4,'Climate Data'!$B$7:$B$366,C2475)</x:f>
        <x:v>0.3721198156682028</x:v>
      </x:c>
      <x:c r="I2475" s="382" t="n">
        <x:f>SUMIFS('Climate Data'!$H$7:$H$366,'Climate Data'!$A$7:$A$366,'Estimator'!$B$4,'Climate Data'!$B$7:$B$366,C2475)</x:f>
        <x:v>7.940557275541795</x:v>
      </x:c>
      <x:c r="J2475" s="381" t="n">
        <x:f>SUMIFS('Wind Proxy'!$H$8:$H$19,'Wind Proxy'!$A$8:$A$19,'Estimator'!$B$4,'Wind Proxy'!$B$8:$B$19,C2475)</x:f>
        <x:v>0.21505376344086022</x:v>
      </x:c>
    </x:row>
    <x:row r="2476">
      <x:c r="A2476" s="379" t="n">
        <x:v>48127</x:v>
      </x:c>
      <x:c r="B2476" s="380" t="n">
        <x:v>2031</x:v>
      </x:c>
      <x:c r="C2476" s="380" t="n">
        <x:v>10</x:v>
      </x:c>
      <x:c r="D2476" s="380" t="str">
        <x:v>Oct</x:v>
      </x:c>
      <x:c r="E2476" s="380" t="n">
        <x:v>6</x:v>
      </x:c>
      <x:c r="F2476" s="380" t="n">
        <x:v>1</x:v>
      </x:c>
      <x:c r="G2476" s="380" t="n">
        <x:f>--(F2476&lt;='Estimator'!$B$7)</x:f>
        <x:v>1</x:v>
      </x:c>
      <x:c r="H2476" s="381" t="n">
        <x:f>SUMIFS('Climate Data'!$G$7:$G$366,'Climate Data'!$A$7:$A$366,'Estimator'!$B$4,'Climate Data'!$B$7:$B$366,C2476)</x:f>
        <x:v>0.3721198156682028</x:v>
      </x:c>
      <x:c r="I2476" s="382" t="n">
        <x:f>SUMIFS('Climate Data'!$H$7:$H$366,'Climate Data'!$A$7:$A$366,'Estimator'!$B$4,'Climate Data'!$B$7:$B$366,C2476)</x:f>
        <x:v>7.940557275541795</x:v>
      </x:c>
      <x:c r="J2476" s="381" t="n">
        <x:f>SUMIFS('Wind Proxy'!$H$8:$H$19,'Wind Proxy'!$A$8:$A$19,'Estimator'!$B$4,'Wind Proxy'!$B$8:$B$19,C2476)</x:f>
        <x:v>0.21505376344086022</x:v>
      </x:c>
    </x:row>
    <x:row r="2477">
      <x:c r="A2477" s="379" t="n">
        <x:v>48128</x:v>
      </x:c>
      <x:c r="B2477" s="380" t="n">
        <x:v>2031</x:v>
      </x:c>
      <x:c r="C2477" s="380" t="n">
        <x:v>10</x:v>
      </x:c>
      <x:c r="D2477" s="380" t="str">
        <x:v>Oct</x:v>
      </x:c>
      <x:c r="E2477" s="380" t="n">
        <x:v>7</x:v>
      </x:c>
      <x:c r="F2477" s="380" t="n">
        <x:v>2</x:v>
      </x:c>
      <x:c r="G2477" s="380" t="n">
        <x:f>--(F2477&lt;='Estimator'!$B$7)</x:f>
        <x:v>1</x:v>
      </x:c>
      <x:c r="H2477" s="381" t="n">
        <x:f>SUMIFS('Climate Data'!$G$7:$G$366,'Climate Data'!$A$7:$A$366,'Estimator'!$B$4,'Climate Data'!$B$7:$B$366,C2477)</x:f>
        <x:v>0.3721198156682028</x:v>
      </x:c>
      <x:c r="I2477" s="382" t="n">
        <x:f>SUMIFS('Climate Data'!$H$7:$H$366,'Climate Data'!$A$7:$A$366,'Estimator'!$B$4,'Climate Data'!$B$7:$B$366,C2477)</x:f>
        <x:v>7.940557275541795</x:v>
      </x:c>
      <x:c r="J2477" s="381" t="n">
        <x:f>SUMIFS('Wind Proxy'!$H$8:$H$19,'Wind Proxy'!$A$8:$A$19,'Estimator'!$B$4,'Wind Proxy'!$B$8:$B$19,C2477)</x:f>
        <x:v>0.21505376344086022</x:v>
      </x:c>
    </x:row>
    <x:row r="2478">
      <x:c r="A2478" s="379" t="n">
        <x:v>48129</x:v>
      </x:c>
      <x:c r="B2478" s="380" t="n">
        <x:v>2031</x:v>
      </x:c>
      <x:c r="C2478" s="380" t="n">
        <x:v>10</x:v>
      </x:c>
      <x:c r="D2478" s="380" t="str">
        <x:v>Oct</x:v>
      </x:c>
      <x:c r="E2478" s="380" t="n">
        <x:v>8</x:v>
      </x:c>
      <x:c r="F2478" s="380" t="n">
        <x:v>3</x:v>
      </x:c>
      <x:c r="G2478" s="380" t="n">
        <x:f>--(F2478&lt;='Estimator'!$B$7)</x:f>
        <x:v>1</x:v>
      </x:c>
      <x:c r="H2478" s="381" t="n">
        <x:f>SUMIFS('Climate Data'!$G$7:$G$366,'Climate Data'!$A$7:$A$366,'Estimator'!$B$4,'Climate Data'!$B$7:$B$366,C2478)</x:f>
        <x:v>0.3721198156682028</x:v>
      </x:c>
      <x:c r="I2478" s="382" t="n">
        <x:f>SUMIFS('Climate Data'!$H$7:$H$366,'Climate Data'!$A$7:$A$366,'Estimator'!$B$4,'Climate Data'!$B$7:$B$366,C2478)</x:f>
        <x:v>7.940557275541795</x:v>
      </x:c>
      <x:c r="J2478" s="381" t="n">
        <x:f>SUMIFS('Wind Proxy'!$H$8:$H$19,'Wind Proxy'!$A$8:$A$19,'Estimator'!$B$4,'Wind Proxy'!$B$8:$B$19,C2478)</x:f>
        <x:v>0.21505376344086022</x:v>
      </x:c>
    </x:row>
    <x:row r="2479">
      <x:c r="A2479" s="379" t="n">
        <x:v>48130</x:v>
      </x:c>
      <x:c r="B2479" s="380" t="n">
        <x:v>2031</x:v>
      </x:c>
      <x:c r="C2479" s="380" t="n">
        <x:v>10</x:v>
      </x:c>
      <x:c r="D2479" s="380" t="str">
        <x:v>Oct</x:v>
      </x:c>
      <x:c r="E2479" s="380" t="n">
        <x:v>9</x:v>
      </x:c>
      <x:c r="F2479" s="380" t="n">
        <x:v>4</x:v>
      </x:c>
      <x:c r="G2479" s="380" t="n">
        <x:f>--(F2479&lt;='Estimator'!$B$7)</x:f>
        <x:v>1</x:v>
      </x:c>
      <x:c r="H2479" s="381" t="n">
        <x:f>SUMIFS('Climate Data'!$G$7:$G$366,'Climate Data'!$A$7:$A$366,'Estimator'!$B$4,'Climate Data'!$B$7:$B$366,C2479)</x:f>
        <x:v>0.3721198156682028</x:v>
      </x:c>
      <x:c r="I2479" s="382" t="n">
        <x:f>SUMIFS('Climate Data'!$H$7:$H$366,'Climate Data'!$A$7:$A$366,'Estimator'!$B$4,'Climate Data'!$B$7:$B$366,C2479)</x:f>
        <x:v>7.940557275541795</x:v>
      </x:c>
      <x:c r="J2479" s="381" t="n">
        <x:f>SUMIFS('Wind Proxy'!$H$8:$H$19,'Wind Proxy'!$A$8:$A$19,'Estimator'!$B$4,'Wind Proxy'!$B$8:$B$19,C2479)</x:f>
        <x:v>0.21505376344086022</x:v>
      </x:c>
    </x:row>
    <x:row r="2480">
      <x:c r="A2480" s="379" t="n">
        <x:v>48131</x:v>
      </x:c>
      <x:c r="B2480" s="380" t="n">
        <x:v>2031</x:v>
      </x:c>
      <x:c r="C2480" s="380" t="n">
        <x:v>10</x:v>
      </x:c>
      <x:c r="D2480" s="380" t="str">
        <x:v>Oct</x:v>
      </x:c>
      <x:c r="E2480" s="380" t="n">
        <x:v>10</x:v>
      </x:c>
      <x:c r="F2480" s="380" t="n">
        <x:v>5</x:v>
      </x:c>
      <x:c r="G2480" s="380" t="n">
        <x:f>--(F2480&lt;='Estimator'!$B$7)</x:f>
        <x:v>1</x:v>
      </x:c>
      <x:c r="H2480" s="381" t="n">
        <x:f>SUMIFS('Climate Data'!$G$7:$G$366,'Climate Data'!$A$7:$A$366,'Estimator'!$B$4,'Climate Data'!$B$7:$B$366,C2480)</x:f>
        <x:v>0.3721198156682028</x:v>
      </x:c>
      <x:c r="I2480" s="382" t="n">
        <x:f>SUMIFS('Climate Data'!$H$7:$H$366,'Climate Data'!$A$7:$A$366,'Estimator'!$B$4,'Climate Data'!$B$7:$B$366,C2480)</x:f>
        <x:v>7.940557275541795</x:v>
      </x:c>
      <x:c r="J2480" s="381" t="n">
        <x:f>SUMIFS('Wind Proxy'!$H$8:$H$19,'Wind Proxy'!$A$8:$A$19,'Estimator'!$B$4,'Wind Proxy'!$B$8:$B$19,C2480)</x:f>
        <x:v>0.21505376344086022</x:v>
      </x:c>
    </x:row>
    <x:row r="2481">
      <x:c r="A2481" s="379" t="n">
        <x:v>48132</x:v>
      </x:c>
      <x:c r="B2481" s="380" t="n">
        <x:v>2031</x:v>
      </x:c>
      <x:c r="C2481" s="380" t="n">
        <x:v>10</x:v>
      </x:c>
      <x:c r="D2481" s="380" t="str">
        <x:v>Oct</x:v>
      </x:c>
      <x:c r="E2481" s="380" t="n">
        <x:v>11</x:v>
      </x:c>
      <x:c r="F2481" s="380" t="n">
        <x:v>6</x:v>
      </x:c>
      <x:c r="G2481" s="380" t="n">
        <x:f>--(F2481&lt;='Estimator'!$B$7)</x:f>
        <x:v>0</x:v>
      </x:c>
      <x:c r="H2481" s="381" t="n">
        <x:f>SUMIFS('Climate Data'!$G$7:$G$366,'Climate Data'!$A$7:$A$366,'Estimator'!$B$4,'Climate Data'!$B$7:$B$366,C2481)</x:f>
        <x:v>0.3721198156682028</x:v>
      </x:c>
      <x:c r="I2481" s="382" t="n">
        <x:f>SUMIFS('Climate Data'!$H$7:$H$366,'Climate Data'!$A$7:$A$366,'Estimator'!$B$4,'Climate Data'!$B$7:$B$366,C2481)</x:f>
        <x:v>7.940557275541795</x:v>
      </x:c>
      <x:c r="J2481" s="381" t="n">
        <x:f>SUMIFS('Wind Proxy'!$H$8:$H$19,'Wind Proxy'!$A$8:$A$19,'Estimator'!$B$4,'Wind Proxy'!$B$8:$B$19,C2481)</x:f>
        <x:v>0.21505376344086022</x:v>
      </x:c>
    </x:row>
    <x:row r="2482">
      <x:c r="A2482" s="379" t="n">
        <x:v>48133</x:v>
      </x:c>
      <x:c r="B2482" s="380" t="n">
        <x:v>2031</x:v>
      </x:c>
      <x:c r="C2482" s="380" t="n">
        <x:v>10</x:v>
      </x:c>
      <x:c r="D2482" s="380" t="str">
        <x:v>Oct</x:v>
      </x:c>
      <x:c r="E2482" s="380" t="n">
        <x:v>12</x:v>
      </x:c>
      <x:c r="F2482" s="380" t="n">
        <x:v>7</x:v>
      </x:c>
      <x:c r="G2482" s="380" t="n">
        <x:f>--(F2482&lt;='Estimator'!$B$7)</x:f>
        <x:v>0</x:v>
      </x:c>
      <x:c r="H2482" s="381" t="n">
        <x:f>SUMIFS('Climate Data'!$G$7:$G$366,'Climate Data'!$A$7:$A$366,'Estimator'!$B$4,'Climate Data'!$B$7:$B$366,C2482)</x:f>
        <x:v>0.3721198156682028</x:v>
      </x:c>
      <x:c r="I2482" s="382" t="n">
        <x:f>SUMIFS('Climate Data'!$H$7:$H$366,'Climate Data'!$A$7:$A$366,'Estimator'!$B$4,'Climate Data'!$B$7:$B$366,C2482)</x:f>
        <x:v>7.940557275541795</x:v>
      </x:c>
      <x:c r="J2482" s="381" t="n">
        <x:f>SUMIFS('Wind Proxy'!$H$8:$H$19,'Wind Proxy'!$A$8:$A$19,'Estimator'!$B$4,'Wind Proxy'!$B$8:$B$19,C2482)</x:f>
        <x:v>0.21505376344086022</x:v>
      </x:c>
    </x:row>
    <x:row r="2483">
      <x:c r="A2483" s="379" t="n">
        <x:v>48134</x:v>
      </x:c>
      <x:c r="B2483" s="380" t="n">
        <x:v>2031</x:v>
      </x:c>
      <x:c r="C2483" s="380" t="n">
        <x:v>10</x:v>
      </x:c>
      <x:c r="D2483" s="380" t="str">
        <x:v>Oct</x:v>
      </x:c>
      <x:c r="E2483" s="380" t="n">
        <x:v>13</x:v>
      </x:c>
      <x:c r="F2483" s="380" t="n">
        <x:v>1</x:v>
      </x:c>
      <x:c r="G2483" s="380" t="n">
        <x:f>--(F2483&lt;='Estimator'!$B$7)</x:f>
        <x:v>1</x:v>
      </x:c>
      <x:c r="H2483" s="381" t="n">
        <x:f>SUMIFS('Climate Data'!$G$7:$G$366,'Climate Data'!$A$7:$A$366,'Estimator'!$B$4,'Climate Data'!$B$7:$B$366,C2483)</x:f>
        <x:v>0.3721198156682028</x:v>
      </x:c>
      <x:c r="I2483" s="382" t="n">
        <x:f>SUMIFS('Climate Data'!$H$7:$H$366,'Climate Data'!$A$7:$A$366,'Estimator'!$B$4,'Climate Data'!$B$7:$B$366,C2483)</x:f>
        <x:v>7.940557275541795</x:v>
      </x:c>
      <x:c r="J2483" s="381" t="n">
        <x:f>SUMIFS('Wind Proxy'!$H$8:$H$19,'Wind Proxy'!$A$8:$A$19,'Estimator'!$B$4,'Wind Proxy'!$B$8:$B$19,C2483)</x:f>
        <x:v>0.21505376344086022</x:v>
      </x:c>
    </x:row>
    <x:row r="2484">
      <x:c r="A2484" s="379" t="n">
        <x:v>48135</x:v>
      </x:c>
      <x:c r="B2484" s="380" t="n">
        <x:v>2031</x:v>
      </x:c>
      <x:c r="C2484" s="380" t="n">
        <x:v>10</x:v>
      </x:c>
      <x:c r="D2484" s="380" t="str">
        <x:v>Oct</x:v>
      </x:c>
      <x:c r="E2484" s="380" t="n">
        <x:v>14</x:v>
      </x:c>
      <x:c r="F2484" s="380" t="n">
        <x:v>2</x:v>
      </x:c>
      <x:c r="G2484" s="380" t="n">
        <x:f>--(F2484&lt;='Estimator'!$B$7)</x:f>
        <x:v>1</x:v>
      </x:c>
      <x:c r="H2484" s="381" t="n">
        <x:f>SUMIFS('Climate Data'!$G$7:$G$366,'Climate Data'!$A$7:$A$366,'Estimator'!$B$4,'Climate Data'!$B$7:$B$366,C2484)</x:f>
        <x:v>0.3721198156682028</x:v>
      </x:c>
      <x:c r="I2484" s="382" t="n">
        <x:f>SUMIFS('Climate Data'!$H$7:$H$366,'Climate Data'!$A$7:$A$366,'Estimator'!$B$4,'Climate Data'!$B$7:$B$366,C2484)</x:f>
        <x:v>7.940557275541795</x:v>
      </x:c>
      <x:c r="J2484" s="381" t="n">
        <x:f>SUMIFS('Wind Proxy'!$H$8:$H$19,'Wind Proxy'!$A$8:$A$19,'Estimator'!$B$4,'Wind Proxy'!$B$8:$B$19,C2484)</x:f>
        <x:v>0.21505376344086022</x:v>
      </x:c>
    </x:row>
    <x:row r="2485">
      <x:c r="A2485" s="379" t="n">
        <x:v>48136</x:v>
      </x:c>
      <x:c r="B2485" s="380" t="n">
        <x:v>2031</x:v>
      </x:c>
      <x:c r="C2485" s="380" t="n">
        <x:v>10</x:v>
      </x:c>
      <x:c r="D2485" s="380" t="str">
        <x:v>Oct</x:v>
      </x:c>
      <x:c r="E2485" s="380" t="n">
        <x:v>15</x:v>
      </x:c>
      <x:c r="F2485" s="380" t="n">
        <x:v>3</x:v>
      </x:c>
      <x:c r="G2485" s="380" t="n">
        <x:f>--(F2485&lt;='Estimator'!$B$7)</x:f>
        <x:v>1</x:v>
      </x:c>
      <x:c r="H2485" s="381" t="n">
        <x:f>SUMIFS('Climate Data'!$G$7:$G$366,'Climate Data'!$A$7:$A$366,'Estimator'!$B$4,'Climate Data'!$B$7:$B$366,C2485)</x:f>
        <x:v>0.3721198156682028</x:v>
      </x:c>
      <x:c r="I2485" s="382" t="n">
        <x:f>SUMIFS('Climate Data'!$H$7:$H$366,'Climate Data'!$A$7:$A$366,'Estimator'!$B$4,'Climate Data'!$B$7:$B$366,C2485)</x:f>
        <x:v>7.940557275541795</x:v>
      </x:c>
      <x:c r="J2485" s="381" t="n">
        <x:f>SUMIFS('Wind Proxy'!$H$8:$H$19,'Wind Proxy'!$A$8:$A$19,'Estimator'!$B$4,'Wind Proxy'!$B$8:$B$19,C2485)</x:f>
        <x:v>0.21505376344086022</x:v>
      </x:c>
    </x:row>
    <x:row r="2486">
      <x:c r="A2486" s="379" t="n">
        <x:v>48137</x:v>
      </x:c>
      <x:c r="B2486" s="380" t="n">
        <x:v>2031</x:v>
      </x:c>
      <x:c r="C2486" s="380" t="n">
        <x:v>10</x:v>
      </x:c>
      <x:c r="D2486" s="380" t="str">
        <x:v>Oct</x:v>
      </x:c>
      <x:c r="E2486" s="380" t="n">
        <x:v>16</x:v>
      </x:c>
      <x:c r="F2486" s="380" t="n">
        <x:v>4</x:v>
      </x:c>
      <x:c r="G2486" s="380" t="n">
        <x:f>--(F2486&lt;='Estimator'!$B$7)</x:f>
        <x:v>1</x:v>
      </x:c>
      <x:c r="H2486" s="381" t="n">
        <x:f>SUMIFS('Climate Data'!$G$7:$G$366,'Climate Data'!$A$7:$A$366,'Estimator'!$B$4,'Climate Data'!$B$7:$B$366,C2486)</x:f>
        <x:v>0.3721198156682028</x:v>
      </x:c>
      <x:c r="I2486" s="382" t="n">
        <x:f>SUMIFS('Climate Data'!$H$7:$H$366,'Climate Data'!$A$7:$A$366,'Estimator'!$B$4,'Climate Data'!$B$7:$B$366,C2486)</x:f>
        <x:v>7.940557275541795</x:v>
      </x:c>
      <x:c r="J2486" s="381" t="n">
        <x:f>SUMIFS('Wind Proxy'!$H$8:$H$19,'Wind Proxy'!$A$8:$A$19,'Estimator'!$B$4,'Wind Proxy'!$B$8:$B$19,C2486)</x:f>
        <x:v>0.21505376344086022</x:v>
      </x:c>
    </x:row>
    <x:row r="2487">
      <x:c r="A2487" s="379" t="n">
        <x:v>48138</x:v>
      </x:c>
      <x:c r="B2487" s="380" t="n">
        <x:v>2031</x:v>
      </x:c>
      <x:c r="C2487" s="380" t="n">
        <x:v>10</x:v>
      </x:c>
      <x:c r="D2487" s="380" t="str">
        <x:v>Oct</x:v>
      </x:c>
      <x:c r="E2487" s="380" t="n">
        <x:v>17</x:v>
      </x:c>
      <x:c r="F2487" s="380" t="n">
        <x:v>5</x:v>
      </x:c>
      <x:c r="G2487" s="380" t="n">
        <x:f>--(F2487&lt;='Estimator'!$B$7)</x:f>
        <x:v>1</x:v>
      </x:c>
      <x:c r="H2487" s="381" t="n">
        <x:f>SUMIFS('Climate Data'!$G$7:$G$366,'Climate Data'!$A$7:$A$366,'Estimator'!$B$4,'Climate Data'!$B$7:$B$366,C2487)</x:f>
        <x:v>0.3721198156682028</x:v>
      </x:c>
      <x:c r="I2487" s="382" t="n">
        <x:f>SUMIFS('Climate Data'!$H$7:$H$366,'Climate Data'!$A$7:$A$366,'Estimator'!$B$4,'Climate Data'!$B$7:$B$366,C2487)</x:f>
        <x:v>7.940557275541795</x:v>
      </x:c>
      <x:c r="J2487" s="381" t="n">
        <x:f>SUMIFS('Wind Proxy'!$H$8:$H$19,'Wind Proxy'!$A$8:$A$19,'Estimator'!$B$4,'Wind Proxy'!$B$8:$B$19,C2487)</x:f>
        <x:v>0.21505376344086022</x:v>
      </x:c>
    </x:row>
    <x:row r="2488">
      <x:c r="A2488" s="379" t="n">
        <x:v>48139</x:v>
      </x:c>
      <x:c r="B2488" s="380" t="n">
        <x:v>2031</x:v>
      </x:c>
      <x:c r="C2488" s="380" t="n">
        <x:v>10</x:v>
      </x:c>
      <x:c r="D2488" s="380" t="str">
        <x:v>Oct</x:v>
      </x:c>
      <x:c r="E2488" s="380" t="n">
        <x:v>18</x:v>
      </x:c>
      <x:c r="F2488" s="380" t="n">
        <x:v>6</x:v>
      </x:c>
      <x:c r="G2488" s="380" t="n">
        <x:f>--(F2488&lt;='Estimator'!$B$7)</x:f>
        <x:v>0</x:v>
      </x:c>
      <x:c r="H2488" s="381" t="n">
        <x:f>SUMIFS('Climate Data'!$G$7:$G$366,'Climate Data'!$A$7:$A$366,'Estimator'!$B$4,'Climate Data'!$B$7:$B$366,C2488)</x:f>
        <x:v>0.3721198156682028</x:v>
      </x:c>
      <x:c r="I2488" s="382" t="n">
        <x:f>SUMIFS('Climate Data'!$H$7:$H$366,'Climate Data'!$A$7:$A$366,'Estimator'!$B$4,'Climate Data'!$B$7:$B$366,C2488)</x:f>
        <x:v>7.940557275541795</x:v>
      </x:c>
      <x:c r="J2488" s="381" t="n">
        <x:f>SUMIFS('Wind Proxy'!$H$8:$H$19,'Wind Proxy'!$A$8:$A$19,'Estimator'!$B$4,'Wind Proxy'!$B$8:$B$19,C2488)</x:f>
        <x:v>0.21505376344086022</x:v>
      </x:c>
    </x:row>
    <x:row r="2489">
      <x:c r="A2489" s="379" t="n">
        <x:v>48140</x:v>
      </x:c>
      <x:c r="B2489" s="380" t="n">
        <x:v>2031</x:v>
      </x:c>
      <x:c r="C2489" s="380" t="n">
        <x:v>10</x:v>
      </x:c>
      <x:c r="D2489" s="380" t="str">
        <x:v>Oct</x:v>
      </x:c>
      <x:c r="E2489" s="380" t="n">
        <x:v>19</x:v>
      </x:c>
      <x:c r="F2489" s="380" t="n">
        <x:v>7</x:v>
      </x:c>
      <x:c r="G2489" s="380" t="n">
        <x:f>--(F2489&lt;='Estimator'!$B$7)</x:f>
        <x:v>0</x:v>
      </x:c>
      <x:c r="H2489" s="381" t="n">
        <x:f>SUMIFS('Climate Data'!$G$7:$G$366,'Climate Data'!$A$7:$A$366,'Estimator'!$B$4,'Climate Data'!$B$7:$B$366,C2489)</x:f>
        <x:v>0.3721198156682028</x:v>
      </x:c>
      <x:c r="I2489" s="382" t="n">
        <x:f>SUMIFS('Climate Data'!$H$7:$H$366,'Climate Data'!$A$7:$A$366,'Estimator'!$B$4,'Climate Data'!$B$7:$B$366,C2489)</x:f>
        <x:v>7.940557275541795</x:v>
      </x:c>
      <x:c r="J2489" s="381" t="n">
        <x:f>SUMIFS('Wind Proxy'!$H$8:$H$19,'Wind Proxy'!$A$8:$A$19,'Estimator'!$B$4,'Wind Proxy'!$B$8:$B$19,C2489)</x:f>
        <x:v>0.21505376344086022</x:v>
      </x:c>
    </x:row>
    <x:row r="2490">
      <x:c r="A2490" s="379" t="n">
        <x:v>48141</x:v>
      </x:c>
      <x:c r="B2490" s="380" t="n">
        <x:v>2031</x:v>
      </x:c>
      <x:c r="C2490" s="380" t="n">
        <x:v>10</x:v>
      </x:c>
      <x:c r="D2490" s="380" t="str">
        <x:v>Oct</x:v>
      </x:c>
      <x:c r="E2490" s="380" t="n">
        <x:v>20</x:v>
      </x:c>
      <x:c r="F2490" s="380" t="n">
        <x:v>1</x:v>
      </x:c>
      <x:c r="G2490" s="380" t="n">
        <x:f>--(F2490&lt;='Estimator'!$B$7)</x:f>
        <x:v>1</x:v>
      </x:c>
      <x:c r="H2490" s="381" t="n">
        <x:f>SUMIFS('Climate Data'!$G$7:$G$366,'Climate Data'!$A$7:$A$366,'Estimator'!$B$4,'Climate Data'!$B$7:$B$366,C2490)</x:f>
        <x:v>0.3721198156682028</x:v>
      </x:c>
      <x:c r="I2490" s="382" t="n">
        <x:f>SUMIFS('Climate Data'!$H$7:$H$366,'Climate Data'!$A$7:$A$366,'Estimator'!$B$4,'Climate Data'!$B$7:$B$366,C2490)</x:f>
        <x:v>7.940557275541795</x:v>
      </x:c>
      <x:c r="J2490" s="381" t="n">
        <x:f>SUMIFS('Wind Proxy'!$H$8:$H$19,'Wind Proxy'!$A$8:$A$19,'Estimator'!$B$4,'Wind Proxy'!$B$8:$B$19,C2490)</x:f>
        <x:v>0.21505376344086022</x:v>
      </x:c>
    </x:row>
    <x:row r="2491">
      <x:c r="A2491" s="379" t="n">
        <x:v>48142</x:v>
      </x:c>
      <x:c r="B2491" s="380" t="n">
        <x:v>2031</x:v>
      </x:c>
      <x:c r="C2491" s="380" t="n">
        <x:v>10</x:v>
      </x:c>
      <x:c r="D2491" s="380" t="str">
        <x:v>Oct</x:v>
      </x:c>
      <x:c r="E2491" s="380" t="n">
        <x:v>21</x:v>
      </x:c>
      <x:c r="F2491" s="380" t="n">
        <x:v>2</x:v>
      </x:c>
      <x:c r="G2491" s="380" t="n">
        <x:f>--(F2491&lt;='Estimator'!$B$7)</x:f>
        <x:v>1</x:v>
      </x:c>
      <x:c r="H2491" s="381" t="n">
        <x:f>SUMIFS('Climate Data'!$G$7:$G$366,'Climate Data'!$A$7:$A$366,'Estimator'!$B$4,'Climate Data'!$B$7:$B$366,C2491)</x:f>
        <x:v>0.3721198156682028</x:v>
      </x:c>
      <x:c r="I2491" s="382" t="n">
        <x:f>SUMIFS('Climate Data'!$H$7:$H$366,'Climate Data'!$A$7:$A$366,'Estimator'!$B$4,'Climate Data'!$B$7:$B$366,C2491)</x:f>
        <x:v>7.940557275541795</x:v>
      </x:c>
      <x:c r="J2491" s="381" t="n">
        <x:f>SUMIFS('Wind Proxy'!$H$8:$H$19,'Wind Proxy'!$A$8:$A$19,'Estimator'!$B$4,'Wind Proxy'!$B$8:$B$19,C2491)</x:f>
        <x:v>0.21505376344086022</x:v>
      </x:c>
    </x:row>
    <x:row r="2492">
      <x:c r="A2492" s="379" t="n">
        <x:v>48143</x:v>
      </x:c>
      <x:c r="B2492" s="380" t="n">
        <x:v>2031</x:v>
      </x:c>
      <x:c r="C2492" s="380" t="n">
        <x:v>10</x:v>
      </x:c>
      <x:c r="D2492" s="380" t="str">
        <x:v>Oct</x:v>
      </x:c>
      <x:c r="E2492" s="380" t="n">
        <x:v>22</x:v>
      </x:c>
      <x:c r="F2492" s="380" t="n">
        <x:v>3</x:v>
      </x:c>
      <x:c r="G2492" s="380" t="n">
        <x:f>--(F2492&lt;='Estimator'!$B$7)</x:f>
        <x:v>1</x:v>
      </x:c>
      <x:c r="H2492" s="381" t="n">
        <x:f>SUMIFS('Climate Data'!$G$7:$G$366,'Climate Data'!$A$7:$A$366,'Estimator'!$B$4,'Climate Data'!$B$7:$B$366,C2492)</x:f>
        <x:v>0.3721198156682028</x:v>
      </x:c>
      <x:c r="I2492" s="382" t="n">
        <x:f>SUMIFS('Climate Data'!$H$7:$H$366,'Climate Data'!$A$7:$A$366,'Estimator'!$B$4,'Climate Data'!$B$7:$B$366,C2492)</x:f>
        <x:v>7.940557275541795</x:v>
      </x:c>
      <x:c r="J2492" s="381" t="n">
        <x:f>SUMIFS('Wind Proxy'!$H$8:$H$19,'Wind Proxy'!$A$8:$A$19,'Estimator'!$B$4,'Wind Proxy'!$B$8:$B$19,C2492)</x:f>
        <x:v>0.21505376344086022</x:v>
      </x:c>
    </x:row>
    <x:row r="2493">
      <x:c r="A2493" s="379" t="n">
        <x:v>48144</x:v>
      </x:c>
      <x:c r="B2493" s="380" t="n">
        <x:v>2031</x:v>
      </x:c>
      <x:c r="C2493" s="380" t="n">
        <x:v>10</x:v>
      </x:c>
      <x:c r="D2493" s="380" t="str">
        <x:v>Oct</x:v>
      </x:c>
      <x:c r="E2493" s="380" t="n">
        <x:v>23</x:v>
      </x:c>
      <x:c r="F2493" s="380" t="n">
        <x:v>4</x:v>
      </x:c>
      <x:c r="G2493" s="380" t="n">
        <x:f>--(F2493&lt;='Estimator'!$B$7)</x:f>
        <x:v>1</x:v>
      </x:c>
      <x:c r="H2493" s="381" t="n">
        <x:f>SUMIFS('Climate Data'!$G$7:$G$366,'Climate Data'!$A$7:$A$366,'Estimator'!$B$4,'Climate Data'!$B$7:$B$366,C2493)</x:f>
        <x:v>0.3721198156682028</x:v>
      </x:c>
      <x:c r="I2493" s="382" t="n">
        <x:f>SUMIFS('Climate Data'!$H$7:$H$366,'Climate Data'!$A$7:$A$366,'Estimator'!$B$4,'Climate Data'!$B$7:$B$366,C2493)</x:f>
        <x:v>7.940557275541795</x:v>
      </x:c>
      <x:c r="J2493" s="381" t="n">
        <x:f>SUMIFS('Wind Proxy'!$H$8:$H$19,'Wind Proxy'!$A$8:$A$19,'Estimator'!$B$4,'Wind Proxy'!$B$8:$B$19,C2493)</x:f>
        <x:v>0.21505376344086022</x:v>
      </x:c>
    </x:row>
    <x:row r="2494">
      <x:c r="A2494" s="379" t="n">
        <x:v>48145</x:v>
      </x:c>
      <x:c r="B2494" s="380" t="n">
        <x:v>2031</x:v>
      </x:c>
      <x:c r="C2494" s="380" t="n">
        <x:v>10</x:v>
      </x:c>
      <x:c r="D2494" s="380" t="str">
        <x:v>Oct</x:v>
      </x:c>
      <x:c r="E2494" s="380" t="n">
        <x:v>24</x:v>
      </x:c>
      <x:c r="F2494" s="380" t="n">
        <x:v>5</x:v>
      </x:c>
      <x:c r="G2494" s="380" t="n">
        <x:f>--(F2494&lt;='Estimator'!$B$7)</x:f>
        <x:v>1</x:v>
      </x:c>
      <x:c r="H2494" s="381" t="n">
        <x:f>SUMIFS('Climate Data'!$G$7:$G$366,'Climate Data'!$A$7:$A$366,'Estimator'!$B$4,'Climate Data'!$B$7:$B$366,C2494)</x:f>
        <x:v>0.3721198156682028</x:v>
      </x:c>
      <x:c r="I2494" s="382" t="n">
        <x:f>SUMIFS('Climate Data'!$H$7:$H$366,'Climate Data'!$A$7:$A$366,'Estimator'!$B$4,'Climate Data'!$B$7:$B$366,C2494)</x:f>
        <x:v>7.940557275541795</x:v>
      </x:c>
      <x:c r="J2494" s="381" t="n">
        <x:f>SUMIFS('Wind Proxy'!$H$8:$H$19,'Wind Proxy'!$A$8:$A$19,'Estimator'!$B$4,'Wind Proxy'!$B$8:$B$19,C2494)</x:f>
        <x:v>0.21505376344086022</x:v>
      </x:c>
    </x:row>
    <x:row r="2495">
      <x:c r="A2495" s="379" t="n">
        <x:v>48146</x:v>
      </x:c>
      <x:c r="B2495" s="380" t="n">
        <x:v>2031</x:v>
      </x:c>
      <x:c r="C2495" s="380" t="n">
        <x:v>10</x:v>
      </x:c>
      <x:c r="D2495" s="380" t="str">
        <x:v>Oct</x:v>
      </x:c>
      <x:c r="E2495" s="380" t="n">
        <x:v>25</x:v>
      </x:c>
      <x:c r="F2495" s="380" t="n">
        <x:v>6</x:v>
      </x:c>
      <x:c r="G2495" s="380" t="n">
        <x:f>--(F2495&lt;='Estimator'!$B$7)</x:f>
        <x:v>0</x:v>
      </x:c>
      <x:c r="H2495" s="381" t="n">
        <x:f>SUMIFS('Climate Data'!$G$7:$G$366,'Climate Data'!$A$7:$A$366,'Estimator'!$B$4,'Climate Data'!$B$7:$B$366,C2495)</x:f>
        <x:v>0.3721198156682028</x:v>
      </x:c>
      <x:c r="I2495" s="382" t="n">
        <x:f>SUMIFS('Climate Data'!$H$7:$H$366,'Climate Data'!$A$7:$A$366,'Estimator'!$B$4,'Climate Data'!$B$7:$B$366,C2495)</x:f>
        <x:v>7.940557275541795</x:v>
      </x:c>
      <x:c r="J2495" s="381" t="n">
        <x:f>SUMIFS('Wind Proxy'!$H$8:$H$19,'Wind Proxy'!$A$8:$A$19,'Estimator'!$B$4,'Wind Proxy'!$B$8:$B$19,C2495)</x:f>
        <x:v>0.21505376344086022</x:v>
      </x:c>
    </x:row>
    <x:row r="2496">
      <x:c r="A2496" s="379" t="n">
        <x:v>48147</x:v>
      </x:c>
      <x:c r="B2496" s="380" t="n">
        <x:v>2031</x:v>
      </x:c>
      <x:c r="C2496" s="380" t="n">
        <x:v>10</x:v>
      </x:c>
      <x:c r="D2496" s="380" t="str">
        <x:v>Oct</x:v>
      </x:c>
      <x:c r="E2496" s="380" t="n">
        <x:v>26</x:v>
      </x:c>
      <x:c r="F2496" s="380" t="n">
        <x:v>7</x:v>
      </x:c>
      <x:c r="G2496" s="380" t="n">
        <x:f>--(F2496&lt;='Estimator'!$B$7)</x:f>
        <x:v>0</x:v>
      </x:c>
      <x:c r="H2496" s="381" t="n">
        <x:f>SUMIFS('Climate Data'!$G$7:$G$366,'Climate Data'!$A$7:$A$366,'Estimator'!$B$4,'Climate Data'!$B$7:$B$366,C2496)</x:f>
        <x:v>0.3721198156682028</x:v>
      </x:c>
      <x:c r="I2496" s="382" t="n">
        <x:f>SUMIFS('Climate Data'!$H$7:$H$366,'Climate Data'!$A$7:$A$366,'Estimator'!$B$4,'Climate Data'!$B$7:$B$366,C2496)</x:f>
        <x:v>7.940557275541795</x:v>
      </x:c>
      <x:c r="J2496" s="381" t="n">
        <x:f>SUMIFS('Wind Proxy'!$H$8:$H$19,'Wind Proxy'!$A$8:$A$19,'Estimator'!$B$4,'Wind Proxy'!$B$8:$B$19,C2496)</x:f>
        <x:v>0.21505376344086022</x:v>
      </x:c>
    </x:row>
    <x:row r="2497">
      <x:c r="A2497" s="379" t="n">
        <x:v>48148</x:v>
      </x:c>
      <x:c r="B2497" s="380" t="n">
        <x:v>2031</x:v>
      </x:c>
      <x:c r="C2497" s="380" t="n">
        <x:v>10</x:v>
      </x:c>
      <x:c r="D2497" s="380" t="str">
        <x:v>Oct</x:v>
      </x:c>
      <x:c r="E2497" s="380" t="n">
        <x:v>27</x:v>
      </x:c>
      <x:c r="F2497" s="380" t="n">
        <x:v>1</x:v>
      </x:c>
      <x:c r="G2497" s="380" t="n">
        <x:f>--(F2497&lt;='Estimator'!$B$7)</x:f>
        <x:v>1</x:v>
      </x:c>
      <x:c r="H2497" s="381" t="n">
        <x:f>SUMIFS('Climate Data'!$G$7:$G$366,'Climate Data'!$A$7:$A$366,'Estimator'!$B$4,'Climate Data'!$B$7:$B$366,C2497)</x:f>
        <x:v>0.3721198156682028</x:v>
      </x:c>
      <x:c r="I2497" s="382" t="n">
        <x:f>SUMIFS('Climate Data'!$H$7:$H$366,'Climate Data'!$A$7:$A$366,'Estimator'!$B$4,'Climate Data'!$B$7:$B$366,C2497)</x:f>
        <x:v>7.940557275541795</x:v>
      </x:c>
      <x:c r="J2497" s="381" t="n">
        <x:f>SUMIFS('Wind Proxy'!$H$8:$H$19,'Wind Proxy'!$A$8:$A$19,'Estimator'!$B$4,'Wind Proxy'!$B$8:$B$19,C2497)</x:f>
        <x:v>0.21505376344086022</x:v>
      </x:c>
    </x:row>
    <x:row r="2498">
      <x:c r="A2498" s="379" t="n">
        <x:v>48149</x:v>
      </x:c>
      <x:c r="B2498" s="380" t="n">
        <x:v>2031</x:v>
      </x:c>
      <x:c r="C2498" s="380" t="n">
        <x:v>10</x:v>
      </x:c>
      <x:c r="D2498" s="380" t="str">
        <x:v>Oct</x:v>
      </x:c>
      <x:c r="E2498" s="380" t="n">
        <x:v>28</x:v>
      </x:c>
      <x:c r="F2498" s="380" t="n">
        <x:v>2</x:v>
      </x:c>
      <x:c r="G2498" s="380" t="n">
        <x:f>--(F2498&lt;='Estimator'!$B$7)</x:f>
        <x:v>1</x:v>
      </x:c>
      <x:c r="H2498" s="381" t="n">
        <x:f>SUMIFS('Climate Data'!$G$7:$G$366,'Climate Data'!$A$7:$A$366,'Estimator'!$B$4,'Climate Data'!$B$7:$B$366,C2498)</x:f>
        <x:v>0.3721198156682028</x:v>
      </x:c>
      <x:c r="I2498" s="382" t="n">
        <x:f>SUMIFS('Climate Data'!$H$7:$H$366,'Climate Data'!$A$7:$A$366,'Estimator'!$B$4,'Climate Data'!$B$7:$B$366,C2498)</x:f>
        <x:v>7.940557275541795</x:v>
      </x:c>
      <x:c r="J2498" s="381" t="n">
        <x:f>SUMIFS('Wind Proxy'!$H$8:$H$19,'Wind Proxy'!$A$8:$A$19,'Estimator'!$B$4,'Wind Proxy'!$B$8:$B$19,C2498)</x:f>
        <x:v>0.21505376344086022</x:v>
      </x:c>
    </x:row>
    <x:row r="2499">
      <x:c r="A2499" s="379" t="n">
        <x:v>48150</x:v>
      </x:c>
      <x:c r="B2499" s="380" t="n">
        <x:v>2031</x:v>
      </x:c>
      <x:c r="C2499" s="380" t="n">
        <x:v>10</x:v>
      </x:c>
      <x:c r="D2499" s="380" t="str">
        <x:v>Oct</x:v>
      </x:c>
      <x:c r="E2499" s="380" t="n">
        <x:v>29</x:v>
      </x:c>
      <x:c r="F2499" s="380" t="n">
        <x:v>3</x:v>
      </x:c>
      <x:c r="G2499" s="380" t="n">
        <x:f>--(F2499&lt;='Estimator'!$B$7)</x:f>
        <x:v>1</x:v>
      </x:c>
      <x:c r="H2499" s="381" t="n">
        <x:f>SUMIFS('Climate Data'!$G$7:$G$366,'Climate Data'!$A$7:$A$366,'Estimator'!$B$4,'Climate Data'!$B$7:$B$366,C2499)</x:f>
        <x:v>0.3721198156682028</x:v>
      </x:c>
      <x:c r="I2499" s="382" t="n">
        <x:f>SUMIFS('Climate Data'!$H$7:$H$366,'Climate Data'!$A$7:$A$366,'Estimator'!$B$4,'Climate Data'!$B$7:$B$366,C2499)</x:f>
        <x:v>7.940557275541795</x:v>
      </x:c>
      <x:c r="J2499" s="381" t="n">
        <x:f>SUMIFS('Wind Proxy'!$H$8:$H$19,'Wind Proxy'!$A$8:$A$19,'Estimator'!$B$4,'Wind Proxy'!$B$8:$B$19,C2499)</x:f>
        <x:v>0.21505376344086022</x:v>
      </x:c>
    </x:row>
    <x:row r="2500">
      <x:c r="A2500" s="379" t="n">
        <x:v>48151</x:v>
      </x:c>
      <x:c r="B2500" s="380" t="n">
        <x:v>2031</x:v>
      </x:c>
      <x:c r="C2500" s="380" t="n">
        <x:v>10</x:v>
      </x:c>
      <x:c r="D2500" s="380" t="str">
        <x:v>Oct</x:v>
      </x:c>
      <x:c r="E2500" s="380" t="n">
        <x:v>30</x:v>
      </x:c>
      <x:c r="F2500" s="380" t="n">
        <x:v>4</x:v>
      </x:c>
      <x:c r="G2500" s="380" t="n">
        <x:f>--(F2500&lt;='Estimator'!$B$7)</x:f>
        <x:v>1</x:v>
      </x:c>
      <x:c r="H2500" s="381" t="n">
        <x:f>SUMIFS('Climate Data'!$G$7:$G$366,'Climate Data'!$A$7:$A$366,'Estimator'!$B$4,'Climate Data'!$B$7:$B$366,C2500)</x:f>
        <x:v>0.3721198156682028</x:v>
      </x:c>
      <x:c r="I2500" s="382" t="n">
        <x:f>SUMIFS('Climate Data'!$H$7:$H$366,'Climate Data'!$A$7:$A$366,'Estimator'!$B$4,'Climate Data'!$B$7:$B$366,C2500)</x:f>
        <x:v>7.940557275541795</x:v>
      </x:c>
      <x:c r="J2500" s="381" t="n">
        <x:f>SUMIFS('Wind Proxy'!$H$8:$H$19,'Wind Proxy'!$A$8:$A$19,'Estimator'!$B$4,'Wind Proxy'!$B$8:$B$19,C2500)</x:f>
        <x:v>0.21505376344086022</x:v>
      </x:c>
    </x:row>
    <x:row r="2501">
      <x:c r="A2501" s="379" t="n">
        <x:v>48152</x:v>
      </x:c>
      <x:c r="B2501" s="380" t="n">
        <x:v>2031</x:v>
      </x:c>
      <x:c r="C2501" s="380" t="n">
        <x:v>10</x:v>
      </x:c>
      <x:c r="D2501" s="380" t="str">
        <x:v>Oct</x:v>
      </x:c>
      <x:c r="E2501" s="380" t="n">
        <x:v>31</x:v>
      </x:c>
      <x:c r="F2501" s="380" t="n">
        <x:v>5</x:v>
      </x:c>
      <x:c r="G2501" s="380" t="n">
        <x:f>--(F2501&lt;='Estimator'!$B$7)</x:f>
        <x:v>1</x:v>
      </x:c>
      <x:c r="H2501" s="381" t="n">
        <x:f>SUMIFS('Climate Data'!$G$7:$G$366,'Climate Data'!$A$7:$A$366,'Estimator'!$B$4,'Climate Data'!$B$7:$B$366,C2501)</x:f>
        <x:v>0.3721198156682028</x:v>
      </x:c>
      <x:c r="I2501" s="382" t="n">
        <x:f>SUMIFS('Climate Data'!$H$7:$H$366,'Climate Data'!$A$7:$A$366,'Estimator'!$B$4,'Climate Data'!$B$7:$B$366,C2501)</x:f>
        <x:v>7.940557275541795</x:v>
      </x:c>
      <x:c r="J2501" s="381" t="n">
        <x:f>SUMIFS('Wind Proxy'!$H$8:$H$19,'Wind Proxy'!$A$8:$A$19,'Estimator'!$B$4,'Wind Proxy'!$B$8:$B$19,C2501)</x:f>
        <x:v>0.21505376344086022</x:v>
      </x:c>
    </x:row>
    <x:row r="2502">
      <x:c r="A2502" s="379" t="n">
        <x:v>48153</x:v>
      </x:c>
      <x:c r="B2502" s="380" t="n">
        <x:v>2031</x:v>
      </x:c>
      <x:c r="C2502" s="380" t="n">
        <x:v>11</x:v>
      </x:c>
      <x:c r="D2502" s="380" t="str">
        <x:v>Nov</x:v>
      </x:c>
      <x:c r="E2502" s="380" t="n">
        <x:v>1</x:v>
      </x:c>
      <x:c r="F2502" s="380" t="n">
        <x:v>6</x:v>
      </x:c>
      <x:c r="G2502" s="380" t="n">
        <x:f>--(F2502&lt;='Estimator'!$B$7)</x:f>
        <x:v>0</x:v>
      </x:c>
      <x:c r="H2502" s="381" t="n">
        <x:f>SUMIFS('Climate Data'!$G$7:$G$366,'Climate Data'!$A$7:$A$366,'Estimator'!$B$4,'Climate Data'!$B$7:$B$366,C2502)</x:f>
        <x:v>0.3111111111111111</x:v>
      </x:c>
      <x:c r="I2502" s="382" t="n">
        <x:f>SUMIFS('Climate Data'!$H$7:$H$366,'Climate Data'!$A$7:$A$366,'Estimator'!$B$4,'Climate Data'!$B$7:$B$366,C2502)</x:f>
        <x:v>7.382142857142857</x:v>
      </x:c>
      <x:c r="J2502" s="381" t="n">
        <x:f>SUMIFS('Wind Proxy'!$H$8:$H$19,'Wind Proxy'!$A$8:$A$19,'Estimator'!$B$4,'Wind Proxy'!$B$8:$B$19,C2502)</x:f>
        <x:v>0.22222222222222224</x:v>
      </x:c>
    </x:row>
    <x:row r="2503">
      <x:c r="A2503" s="379" t="n">
        <x:v>48154</x:v>
      </x:c>
      <x:c r="B2503" s="380" t="n">
        <x:v>2031</x:v>
      </x:c>
      <x:c r="C2503" s="380" t="n">
        <x:v>11</x:v>
      </x:c>
      <x:c r="D2503" s="380" t="str">
        <x:v>Nov</x:v>
      </x:c>
      <x:c r="E2503" s="380" t="n">
        <x:v>2</x:v>
      </x:c>
      <x:c r="F2503" s="380" t="n">
        <x:v>7</x:v>
      </x:c>
      <x:c r="G2503" s="380" t="n">
        <x:f>--(F2503&lt;='Estimator'!$B$7)</x:f>
        <x:v>0</x:v>
      </x:c>
      <x:c r="H2503" s="381" t="n">
        <x:f>SUMIFS('Climate Data'!$G$7:$G$366,'Climate Data'!$A$7:$A$366,'Estimator'!$B$4,'Climate Data'!$B$7:$B$366,C2503)</x:f>
        <x:v>0.3111111111111111</x:v>
      </x:c>
      <x:c r="I2503" s="382" t="n">
        <x:f>SUMIFS('Climate Data'!$H$7:$H$366,'Climate Data'!$A$7:$A$366,'Estimator'!$B$4,'Climate Data'!$B$7:$B$366,C2503)</x:f>
        <x:v>7.382142857142857</x:v>
      </x:c>
      <x:c r="J2503" s="381" t="n">
        <x:f>SUMIFS('Wind Proxy'!$H$8:$H$19,'Wind Proxy'!$A$8:$A$19,'Estimator'!$B$4,'Wind Proxy'!$B$8:$B$19,C2503)</x:f>
        <x:v>0.22222222222222224</x:v>
      </x:c>
    </x:row>
    <x:row r="2504">
      <x:c r="A2504" s="379" t="n">
        <x:v>48155</x:v>
      </x:c>
      <x:c r="B2504" s="380" t="n">
        <x:v>2031</x:v>
      </x:c>
      <x:c r="C2504" s="380" t="n">
        <x:v>11</x:v>
      </x:c>
      <x:c r="D2504" s="380" t="str">
        <x:v>Nov</x:v>
      </x:c>
      <x:c r="E2504" s="380" t="n">
        <x:v>3</x:v>
      </x:c>
      <x:c r="F2504" s="380" t="n">
        <x:v>1</x:v>
      </x:c>
      <x:c r="G2504" s="380" t="n">
        <x:f>--(F2504&lt;='Estimator'!$B$7)</x:f>
        <x:v>1</x:v>
      </x:c>
      <x:c r="H2504" s="381" t="n">
        <x:f>SUMIFS('Climate Data'!$G$7:$G$366,'Climate Data'!$A$7:$A$366,'Estimator'!$B$4,'Climate Data'!$B$7:$B$366,C2504)</x:f>
        <x:v>0.3111111111111111</x:v>
      </x:c>
      <x:c r="I2504" s="382" t="n">
        <x:f>SUMIFS('Climate Data'!$H$7:$H$366,'Climate Data'!$A$7:$A$366,'Estimator'!$B$4,'Climate Data'!$B$7:$B$366,C2504)</x:f>
        <x:v>7.382142857142857</x:v>
      </x:c>
      <x:c r="J2504" s="381" t="n">
        <x:f>SUMIFS('Wind Proxy'!$H$8:$H$19,'Wind Proxy'!$A$8:$A$19,'Estimator'!$B$4,'Wind Proxy'!$B$8:$B$19,C2504)</x:f>
        <x:v>0.22222222222222224</x:v>
      </x:c>
    </x:row>
    <x:row r="2505">
      <x:c r="A2505" s="379" t="n">
        <x:v>48156</x:v>
      </x:c>
      <x:c r="B2505" s="380" t="n">
        <x:v>2031</x:v>
      </x:c>
      <x:c r="C2505" s="380" t="n">
        <x:v>11</x:v>
      </x:c>
      <x:c r="D2505" s="380" t="str">
        <x:v>Nov</x:v>
      </x:c>
      <x:c r="E2505" s="380" t="n">
        <x:v>4</x:v>
      </x:c>
      <x:c r="F2505" s="380" t="n">
        <x:v>2</x:v>
      </x:c>
      <x:c r="G2505" s="380" t="n">
        <x:f>--(F2505&lt;='Estimator'!$B$7)</x:f>
        <x:v>1</x:v>
      </x:c>
      <x:c r="H2505" s="381" t="n">
        <x:f>SUMIFS('Climate Data'!$G$7:$G$366,'Climate Data'!$A$7:$A$366,'Estimator'!$B$4,'Climate Data'!$B$7:$B$366,C2505)</x:f>
        <x:v>0.3111111111111111</x:v>
      </x:c>
      <x:c r="I2505" s="382" t="n">
        <x:f>SUMIFS('Climate Data'!$H$7:$H$366,'Climate Data'!$A$7:$A$366,'Estimator'!$B$4,'Climate Data'!$B$7:$B$366,C2505)</x:f>
        <x:v>7.382142857142857</x:v>
      </x:c>
      <x:c r="J2505" s="381" t="n">
        <x:f>SUMIFS('Wind Proxy'!$H$8:$H$19,'Wind Proxy'!$A$8:$A$19,'Estimator'!$B$4,'Wind Proxy'!$B$8:$B$19,C2505)</x:f>
        <x:v>0.22222222222222224</x:v>
      </x:c>
    </x:row>
    <x:row r="2506">
      <x:c r="A2506" s="379" t="n">
        <x:v>48157</x:v>
      </x:c>
      <x:c r="B2506" s="380" t="n">
        <x:v>2031</x:v>
      </x:c>
      <x:c r="C2506" s="380" t="n">
        <x:v>11</x:v>
      </x:c>
      <x:c r="D2506" s="380" t="str">
        <x:v>Nov</x:v>
      </x:c>
      <x:c r="E2506" s="380" t="n">
        <x:v>5</x:v>
      </x:c>
      <x:c r="F2506" s="380" t="n">
        <x:v>3</x:v>
      </x:c>
      <x:c r="G2506" s="380" t="n">
        <x:f>--(F2506&lt;='Estimator'!$B$7)</x:f>
        <x:v>1</x:v>
      </x:c>
      <x:c r="H2506" s="381" t="n">
        <x:f>SUMIFS('Climate Data'!$G$7:$G$366,'Climate Data'!$A$7:$A$366,'Estimator'!$B$4,'Climate Data'!$B$7:$B$366,C2506)</x:f>
        <x:v>0.3111111111111111</x:v>
      </x:c>
      <x:c r="I2506" s="382" t="n">
        <x:f>SUMIFS('Climate Data'!$H$7:$H$366,'Climate Data'!$A$7:$A$366,'Estimator'!$B$4,'Climate Data'!$B$7:$B$366,C2506)</x:f>
        <x:v>7.382142857142857</x:v>
      </x:c>
      <x:c r="J2506" s="381" t="n">
        <x:f>SUMIFS('Wind Proxy'!$H$8:$H$19,'Wind Proxy'!$A$8:$A$19,'Estimator'!$B$4,'Wind Proxy'!$B$8:$B$19,C2506)</x:f>
        <x:v>0.22222222222222224</x:v>
      </x:c>
    </x:row>
    <x:row r="2507">
      <x:c r="A2507" s="379" t="n">
        <x:v>48158</x:v>
      </x:c>
      <x:c r="B2507" s="380" t="n">
        <x:v>2031</x:v>
      </x:c>
      <x:c r="C2507" s="380" t="n">
        <x:v>11</x:v>
      </x:c>
      <x:c r="D2507" s="380" t="str">
        <x:v>Nov</x:v>
      </x:c>
      <x:c r="E2507" s="380" t="n">
        <x:v>6</x:v>
      </x:c>
      <x:c r="F2507" s="380" t="n">
        <x:v>4</x:v>
      </x:c>
      <x:c r="G2507" s="380" t="n">
        <x:f>--(F2507&lt;='Estimator'!$B$7)</x:f>
        <x:v>1</x:v>
      </x:c>
      <x:c r="H2507" s="381" t="n">
        <x:f>SUMIFS('Climate Data'!$G$7:$G$366,'Climate Data'!$A$7:$A$366,'Estimator'!$B$4,'Climate Data'!$B$7:$B$366,C2507)</x:f>
        <x:v>0.3111111111111111</x:v>
      </x:c>
      <x:c r="I2507" s="382" t="n">
        <x:f>SUMIFS('Climate Data'!$H$7:$H$366,'Climate Data'!$A$7:$A$366,'Estimator'!$B$4,'Climate Data'!$B$7:$B$366,C2507)</x:f>
        <x:v>7.382142857142857</x:v>
      </x:c>
      <x:c r="J2507" s="381" t="n">
        <x:f>SUMIFS('Wind Proxy'!$H$8:$H$19,'Wind Proxy'!$A$8:$A$19,'Estimator'!$B$4,'Wind Proxy'!$B$8:$B$19,C2507)</x:f>
        <x:v>0.22222222222222224</x:v>
      </x:c>
    </x:row>
    <x:row r="2508">
      <x:c r="A2508" s="379" t="n">
        <x:v>48159</x:v>
      </x:c>
      <x:c r="B2508" s="380" t="n">
        <x:v>2031</x:v>
      </x:c>
      <x:c r="C2508" s="380" t="n">
        <x:v>11</x:v>
      </x:c>
      <x:c r="D2508" s="380" t="str">
        <x:v>Nov</x:v>
      </x:c>
      <x:c r="E2508" s="380" t="n">
        <x:v>7</x:v>
      </x:c>
      <x:c r="F2508" s="380" t="n">
        <x:v>5</x:v>
      </x:c>
      <x:c r="G2508" s="380" t="n">
        <x:f>--(F2508&lt;='Estimator'!$B$7)</x:f>
        <x:v>1</x:v>
      </x:c>
      <x:c r="H2508" s="381" t="n">
        <x:f>SUMIFS('Climate Data'!$G$7:$G$366,'Climate Data'!$A$7:$A$366,'Estimator'!$B$4,'Climate Data'!$B$7:$B$366,C2508)</x:f>
        <x:v>0.3111111111111111</x:v>
      </x:c>
      <x:c r="I2508" s="382" t="n">
        <x:f>SUMIFS('Climate Data'!$H$7:$H$366,'Climate Data'!$A$7:$A$366,'Estimator'!$B$4,'Climate Data'!$B$7:$B$366,C2508)</x:f>
        <x:v>7.382142857142857</x:v>
      </x:c>
      <x:c r="J2508" s="381" t="n">
        <x:f>SUMIFS('Wind Proxy'!$H$8:$H$19,'Wind Proxy'!$A$8:$A$19,'Estimator'!$B$4,'Wind Proxy'!$B$8:$B$19,C2508)</x:f>
        <x:v>0.22222222222222224</x:v>
      </x:c>
    </x:row>
    <x:row r="2509">
      <x:c r="A2509" s="379" t="n">
        <x:v>48160</x:v>
      </x:c>
      <x:c r="B2509" s="380" t="n">
        <x:v>2031</x:v>
      </x:c>
      <x:c r="C2509" s="380" t="n">
        <x:v>11</x:v>
      </x:c>
      <x:c r="D2509" s="380" t="str">
        <x:v>Nov</x:v>
      </x:c>
      <x:c r="E2509" s="380" t="n">
        <x:v>8</x:v>
      </x:c>
      <x:c r="F2509" s="380" t="n">
        <x:v>6</x:v>
      </x:c>
      <x:c r="G2509" s="380" t="n">
        <x:f>--(F2509&lt;='Estimator'!$B$7)</x:f>
        <x:v>0</x:v>
      </x:c>
      <x:c r="H2509" s="381" t="n">
        <x:f>SUMIFS('Climate Data'!$G$7:$G$366,'Climate Data'!$A$7:$A$366,'Estimator'!$B$4,'Climate Data'!$B$7:$B$366,C2509)</x:f>
        <x:v>0.3111111111111111</x:v>
      </x:c>
      <x:c r="I2509" s="382" t="n">
        <x:f>SUMIFS('Climate Data'!$H$7:$H$366,'Climate Data'!$A$7:$A$366,'Estimator'!$B$4,'Climate Data'!$B$7:$B$366,C2509)</x:f>
        <x:v>7.382142857142857</x:v>
      </x:c>
      <x:c r="J2509" s="381" t="n">
        <x:f>SUMIFS('Wind Proxy'!$H$8:$H$19,'Wind Proxy'!$A$8:$A$19,'Estimator'!$B$4,'Wind Proxy'!$B$8:$B$19,C2509)</x:f>
        <x:v>0.22222222222222224</x:v>
      </x:c>
    </x:row>
    <x:row r="2510">
      <x:c r="A2510" s="379" t="n">
        <x:v>48161</x:v>
      </x:c>
      <x:c r="B2510" s="380" t="n">
        <x:v>2031</x:v>
      </x:c>
      <x:c r="C2510" s="380" t="n">
        <x:v>11</x:v>
      </x:c>
      <x:c r="D2510" s="380" t="str">
        <x:v>Nov</x:v>
      </x:c>
      <x:c r="E2510" s="380" t="n">
        <x:v>9</x:v>
      </x:c>
      <x:c r="F2510" s="380" t="n">
        <x:v>7</x:v>
      </x:c>
      <x:c r="G2510" s="380" t="n">
        <x:f>--(F2510&lt;='Estimator'!$B$7)</x:f>
        <x:v>0</x:v>
      </x:c>
      <x:c r="H2510" s="381" t="n">
        <x:f>SUMIFS('Climate Data'!$G$7:$G$366,'Climate Data'!$A$7:$A$366,'Estimator'!$B$4,'Climate Data'!$B$7:$B$366,C2510)</x:f>
        <x:v>0.3111111111111111</x:v>
      </x:c>
      <x:c r="I2510" s="382" t="n">
        <x:f>SUMIFS('Climate Data'!$H$7:$H$366,'Climate Data'!$A$7:$A$366,'Estimator'!$B$4,'Climate Data'!$B$7:$B$366,C2510)</x:f>
        <x:v>7.382142857142857</x:v>
      </x:c>
      <x:c r="J2510" s="381" t="n">
        <x:f>SUMIFS('Wind Proxy'!$H$8:$H$19,'Wind Proxy'!$A$8:$A$19,'Estimator'!$B$4,'Wind Proxy'!$B$8:$B$19,C2510)</x:f>
        <x:v>0.22222222222222224</x:v>
      </x:c>
    </x:row>
    <x:row r="2511">
      <x:c r="A2511" s="379" t="n">
        <x:v>48162</x:v>
      </x:c>
      <x:c r="B2511" s="380" t="n">
        <x:v>2031</x:v>
      </x:c>
      <x:c r="C2511" s="380" t="n">
        <x:v>11</x:v>
      </x:c>
      <x:c r="D2511" s="380" t="str">
        <x:v>Nov</x:v>
      </x:c>
      <x:c r="E2511" s="380" t="n">
        <x:v>10</x:v>
      </x:c>
      <x:c r="F2511" s="380" t="n">
        <x:v>1</x:v>
      </x:c>
      <x:c r="G2511" s="380" t="n">
        <x:f>--(F2511&lt;='Estimator'!$B$7)</x:f>
        <x:v>1</x:v>
      </x:c>
      <x:c r="H2511" s="381" t="n">
        <x:f>SUMIFS('Climate Data'!$G$7:$G$366,'Climate Data'!$A$7:$A$366,'Estimator'!$B$4,'Climate Data'!$B$7:$B$366,C2511)</x:f>
        <x:v>0.3111111111111111</x:v>
      </x:c>
      <x:c r="I2511" s="382" t="n">
        <x:f>SUMIFS('Climate Data'!$H$7:$H$366,'Climate Data'!$A$7:$A$366,'Estimator'!$B$4,'Climate Data'!$B$7:$B$366,C2511)</x:f>
        <x:v>7.382142857142857</x:v>
      </x:c>
      <x:c r="J2511" s="381" t="n">
        <x:f>SUMIFS('Wind Proxy'!$H$8:$H$19,'Wind Proxy'!$A$8:$A$19,'Estimator'!$B$4,'Wind Proxy'!$B$8:$B$19,C2511)</x:f>
        <x:v>0.22222222222222224</x:v>
      </x:c>
    </x:row>
    <x:row r="2512">
      <x:c r="A2512" s="379" t="n">
        <x:v>48163</x:v>
      </x:c>
      <x:c r="B2512" s="380" t="n">
        <x:v>2031</x:v>
      </x:c>
      <x:c r="C2512" s="380" t="n">
        <x:v>11</x:v>
      </x:c>
      <x:c r="D2512" s="380" t="str">
        <x:v>Nov</x:v>
      </x:c>
      <x:c r="E2512" s="380" t="n">
        <x:v>11</x:v>
      </x:c>
      <x:c r="F2512" s="380" t="n">
        <x:v>2</x:v>
      </x:c>
      <x:c r="G2512" s="380" t="n">
        <x:f>--(F2512&lt;='Estimator'!$B$7)</x:f>
        <x:v>1</x:v>
      </x:c>
      <x:c r="H2512" s="381" t="n">
        <x:f>SUMIFS('Climate Data'!$G$7:$G$366,'Climate Data'!$A$7:$A$366,'Estimator'!$B$4,'Climate Data'!$B$7:$B$366,C2512)</x:f>
        <x:v>0.3111111111111111</x:v>
      </x:c>
      <x:c r="I2512" s="382" t="n">
        <x:f>SUMIFS('Climate Data'!$H$7:$H$366,'Climate Data'!$A$7:$A$366,'Estimator'!$B$4,'Climate Data'!$B$7:$B$366,C2512)</x:f>
        <x:v>7.382142857142857</x:v>
      </x:c>
      <x:c r="J2512" s="381" t="n">
        <x:f>SUMIFS('Wind Proxy'!$H$8:$H$19,'Wind Proxy'!$A$8:$A$19,'Estimator'!$B$4,'Wind Proxy'!$B$8:$B$19,C2512)</x:f>
        <x:v>0.22222222222222224</x:v>
      </x:c>
    </x:row>
    <x:row r="2513">
      <x:c r="A2513" s="379" t="n">
        <x:v>48164</x:v>
      </x:c>
      <x:c r="B2513" s="380" t="n">
        <x:v>2031</x:v>
      </x:c>
      <x:c r="C2513" s="380" t="n">
        <x:v>11</x:v>
      </x:c>
      <x:c r="D2513" s="380" t="str">
        <x:v>Nov</x:v>
      </x:c>
      <x:c r="E2513" s="380" t="n">
        <x:v>12</x:v>
      </x:c>
      <x:c r="F2513" s="380" t="n">
        <x:v>3</x:v>
      </x:c>
      <x:c r="G2513" s="380" t="n">
        <x:f>--(F2513&lt;='Estimator'!$B$7)</x:f>
        <x:v>1</x:v>
      </x:c>
      <x:c r="H2513" s="381" t="n">
        <x:f>SUMIFS('Climate Data'!$G$7:$G$366,'Climate Data'!$A$7:$A$366,'Estimator'!$B$4,'Climate Data'!$B$7:$B$366,C2513)</x:f>
        <x:v>0.3111111111111111</x:v>
      </x:c>
      <x:c r="I2513" s="382" t="n">
        <x:f>SUMIFS('Climate Data'!$H$7:$H$366,'Climate Data'!$A$7:$A$366,'Estimator'!$B$4,'Climate Data'!$B$7:$B$366,C2513)</x:f>
        <x:v>7.382142857142857</x:v>
      </x:c>
      <x:c r="J2513" s="381" t="n">
        <x:f>SUMIFS('Wind Proxy'!$H$8:$H$19,'Wind Proxy'!$A$8:$A$19,'Estimator'!$B$4,'Wind Proxy'!$B$8:$B$19,C2513)</x:f>
        <x:v>0.22222222222222224</x:v>
      </x:c>
    </x:row>
    <x:row r="2514">
      <x:c r="A2514" s="379" t="n">
        <x:v>48165</x:v>
      </x:c>
      <x:c r="B2514" s="380" t="n">
        <x:v>2031</x:v>
      </x:c>
      <x:c r="C2514" s="380" t="n">
        <x:v>11</x:v>
      </x:c>
      <x:c r="D2514" s="380" t="str">
        <x:v>Nov</x:v>
      </x:c>
      <x:c r="E2514" s="380" t="n">
        <x:v>13</x:v>
      </x:c>
      <x:c r="F2514" s="380" t="n">
        <x:v>4</x:v>
      </x:c>
      <x:c r="G2514" s="380" t="n">
        <x:f>--(F2514&lt;='Estimator'!$B$7)</x:f>
        <x:v>1</x:v>
      </x:c>
      <x:c r="H2514" s="381" t="n">
        <x:f>SUMIFS('Climate Data'!$G$7:$G$366,'Climate Data'!$A$7:$A$366,'Estimator'!$B$4,'Climate Data'!$B$7:$B$366,C2514)</x:f>
        <x:v>0.3111111111111111</x:v>
      </x:c>
      <x:c r="I2514" s="382" t="n">
        <x:f>SUMIFS('Climate Data'!$H$7:$H$366,'Climate Data'!$A$7:$A$366,'Estimator'!$B$4,'Climate Data'!$B$7:$B$366,C2514)</x:f>
        <x:v>7.382142857142857</x:v>
      </x:c>
      <x:c r="J2514" s="381" t="n">
        <x:f>SUMIFS('Wind Proxy'!$H$8:$H$19,'Wind Proxy'!$A$8:$A$19,'Estimator'!$B$4,'Wind Proxy'!$B$8:$B$19,C2514)</x:f>
        <x:v>0.22222222222222224</x:v>
      </x:c>
    </x:row>
    <x:row r="2515">
      <x:c r="A2515" s="379" t="n">
        <x:v>48166</x:v>
      </x:c>
      <x:c r="B2515" s="380" t="n">
        <x:v>2031</x:v>
      </x:c>
      <x:c r="C2515" s="380" t="n">
        <x:v>11</x:v>
      </x:c>
      <x:c r="D2515" s="380" t="str">
        <x:v>Nov</x:v>
      </x:c>
      <x:c r="E2515" s="380" t="n">
        <x:v>14</x:v>
      </x:c>
      <x:c r="F2515" s="380" t="n">
        <x:v>5</x:v>
      </x:c>
      <x:c r="G2515" s="380" t="n">
        <x:f>--(F2515&lt;='Estimator'!$B$7)</x:f>
        <x:v>1</x:v>
      </x:c>
      <x:c r="H2515" s="381" t="n">
        <x:f>SUMIFS('Climate Data'!$G$7:$G$366,'Climate Data'!$A$7:$A$366,'Estimator'!$B$4,'Climate Data'!$B$7:$B$366,C2515)</x:f>
        <x:v>0.3111111111111111</x:v>
      </x:c>
      <x:c r="I2515" s="382" t="n">
        <x:f>SUMIFS('Climate Data'!$H$7:$H$366,'Climate Data'!$A$7:$A$366,'Estimator'!$B$4,'Climate Data'!$B$7:$B$366,C2515)</x:f>
        <x:v>7.382142857142857</x:v>
      </x:c>
      <x:c r="J2515" s="381" t="n">
        <x:f>SUMIFS('Wind Proxy'!$H$8:$H$19,'Wind Proxy'!$A$8:$A$19,'Estimator'!$B$4,'Wind Proxy'!$B$8:$B$19,C2515)</x:f>
        <x:v>0.22222222222222224</x:v>
      </x:c>
    </x:row>
    <x:row r="2516">
      <x:c r="A2516" s="379" t="n">
        <x:v>48167</x:v>
      </x:c>
      <x:c r="B2516" s="380" t="n">
        <x:v>2031</x:v>
      </x:c>
      <x:c r="C2516" s="380" t="n">
        <x:v>11</x:v>
      </x:c>
      <x:c r="D2516" s="380" t="str">
        <x:v>Nov</x:v>
      </x:c>
      <x:c r="E2516" s="380" t="n">
        <x:v>15</x:v>
      </x:c>
      <x:c r="F2516" s="380" t="n">
        <x:v>6</x:v>
      </x:c>
      <x:c r="G2516" s="380" t="n">
        <x:f>--(F2516&lt;='Estimator'!$B$7)</x:f>
        <x:v>0</x:v>
      </x:c>
      <x:c r="H2516" s="381" t="n">
        <x:f>SUMIFS('Climate Data'!$G$7:$G$366,'Climate Data'!$A$7:$A$366,'Estimator'!$B$4,'Climate Data'!$B$7:$B$366,C2516)</x:f>
        <x:v>0.3111111111111111</x:v>
      </x:c>
      <x:c r="I2516" s="382" t="n">
        <x:f>SUMIFS('Climate Data'!$H$7:$H$366,'Climate Data'!$A$7:$A$366,'Estimator'!$B$4,'Climate Data'!$B$7:$B$366,C2516)</x:f>
        <x:v>7.382142857142857</x:v>
      </x:c>
      <x:c r="J2516" s="381" t="n">
        <x:f>SUMIFS('Wind Proxy'!$H$8:$H$19,'Wind Proxy'!$A$8:$A$19,'Estimator'!$B$4,'Wind Proxy'!$B$8:$B$19,C2516)</x:f>
        <x:v>0.22222222222222224</x:v>
      </x:c>
    </x:row>
    <x:row r="2517">
      <x:c r="A2517" s="379" t="n">
        <x:v>48168</x:v>
      </x:c>
      <x:c r="B2517" s="380" t="n">
        <x:v>2031</x:v>
      </x:c>
      <x:c r="C2517" s="380" t="n">
        <x:v>11</x:v>
      </x:c>
      <x:c r="D2517" s="380" t="str">
        <x:v>Nov</x:v>
      </x:c>
      <x:c r="E2517" s="380" t="n">
        <x:v>16</x:v>
      </x:c>
      <x:c r="F2517" s="380" t="n">
        <x:v>7</x:v>
      </x:c>
      <x:c r="G2517" s="380" t="n">
        <x:f>--(F2517&lt;='Estimator'!$B$7)</x:f>
        <x:v>0</x:v>
      </x:c>
      <x:c r="H2517" s="381" t="n">
        <x:f>SUMIFS('Climate Data'!$G$7:$G$366,'Climate Data'!$A$7:$A$366,'Estimator'!$B$4,'Climate Data'!$B$7:$B$366,C2517)</x:f>
        <x:v>0.3111111111111111</x:v>
      </x:c>
      <x:c r="I2517" s="382" t="n">
        <x:f>SUMIFS('Climate Data'!$H$7:$H$366,'Climate Data'!$A$7:$A$366,'Estimator'!$B$4,'Climate Data'!$B$7:$B$366,C2517)</x:f>
        <x:v>7.382142857142857</x:v>
      </x:c>
      <x:c r="J2517" s="381" t="n">
        <x:f>SUMIFS('Wind Proxy'!$H$8:$H$19,'Wind Proxy'!$A$8:$A$19,'Estimator'!$B$4,'Wind Proxy'!$B$8:$B$19,C2517)</x:f>
        <x:v>0.22222222222222224</x:v>
      </x:c>
    </x:row>
    <x:row r="2518">
      <x:c r="A2518" s="379" t="n">
        <x:v>48169</x:v>
      </x:c>
      <x:c r="B2518" s="380" t="n">
        <x:v>2031</x:v>
      </x:c>
      <x:c r="C2518" s="380" t="n">
        <x:v>11</x:v>
      </x:c>
      <x:c r="D2518" s="380" t="str">
        <x:v>Nov</x:v>
      </x:c>
      <x:c r="E2518" s="380" t="n">
        <x:v>17</x:v>
      </x:c>
      <x:c r="F2518" s="380" t="n">
        <x:v>1</x:v>
      </x:c>
      <x:c r="G2518" s="380" t="n">
        <x:f>--(F2518&lt;='Estimator'!$B$7)</x:f>
        <x:v>1</x:v>
      </x:c>
      <x:c r="H2518" s="381" t="n">
        <x:f>SUMIFS('Climate Data'!$G$7:$G$366,'Climate Data'!$A$7:$A$366,'Estimator'!$B$4,'Climate Data'!$B$7:$B$366,C2518)</x:f>
        <x:v>0.3111111111111111</x:v>
      </x:c>
      <x:c r="I2518" s="382" t="n">
        <x:f>SUMIFS('Climate Data'!$H$7:$H$366,'Climate Data'!$A$7:$A$366,'Estimator'!$B$4,'Climate Data'!$B$7:$B$366,C2518)</x:f>
        <x:v>7.382142857142857</x:v>
      </x:c>
      <x:c r="J2518" s="381" t="n">
        <x:f>SUMIFS('Wind Proxy'!$H$8:$H$19,'Wind Proxy'!$A$8:$A$19,'Estimator'!$B$4,'Wind Proxy'!$B$8:$B$19,C2518)</x:f>
        <x:v>0.22222222222222224</x:v>
      </x:c>
    </x:row>
    <x:row r="2519">
      <x:c r="A2519" s="379" t="n">
        <x:v>48170</x:v>
      </x:c>
      <x:c r="B2519" s="380" t="n">
        <x:v>2031</x:v>
      </x:c>
      <x:c r="C2519" s="380" t="n">
        <x:v>11</x:v>
      </x:c>
      <x:c r="D2519" s="380" t="str">
        <x:v>Nov</x:v>
      </x:c>
      <x:c r="E2519" s="380" t="n">
        <x:v>18</x:v>
      </x:c>
      <x:c r="F2519" s="380" t="n">
        <x:v>2</x:v>
      </x:c>
      <x:c r="G2519" s="380" t="n">
        <x:f>--(F2519&lt;='Estimator'!$B$7)</x:f>
        <x:v>1</x:v>
      </x:c>
      <x:c r="H2519" s="381" t="n">
        <x:f>SUMIFS('Climate Data'!$G$7:$G$366,'Climate Data'!$A$7:$A$366,'Estimator'!$B$4,'Climate Data'!$B$7:$B$366,C2519)</x:f>
        <x:v>0.3111111111111111</x:v>
      </x:c>
      <x:c r="I2519" s="382" t="n">
        <x:f>SUMIFS('Climate Data'!$H$7:$H$366,'Climate Data'!$A$7:$A$366,'Estimator'!$B$4,'Climate Data'!$B$7:$B$366,C2519)</x:f>
        <x:v>7.382142857142857</x:v>
      </x:c>
      <x:c r="J2519" s="381" t="n">
        <x:f>SUMIFS('Wind Proxy'!$H$8:$H$19,'Wind Proxy'!$A$8:$A$19,'Estimator'!$B$4,'Wind Proxy'!$B$8:$B$19,C2519)</x:f>
        <x:v>0.22222222222222224</x:v>
      </x:c>
    </x:row>
    <x:row r="2520">
      <x:c r="A2520" s="379" t="n">
        <x:v>48171</x:v>
      </x:c>
      <x:c r="B2520" s="380" t="n">
        <x:v>2031</x:v>
      </x:c>
      <x:c r="C2520" s="380" t="n">
        <x:v>11</x:v>
      </x:c>
      <x:c r="D2520" s="380" t="str">
        <x:v>Nov</x:v>
      </x:c>
      <x:c r="E2520" s="380" t="n">
        <x:v>19</x:v>
      </x:c>
      <x:c r="F2520" s="380" t="n">
        <x:v>3</x:v>
      </x:c>
      <x:c r="G2520" s="380" t="n">
        <x:f>--(F2520&lt;='Estimator'!$B$7)</x:f>
        <x:v>1</x:v>
      </x:c>
      <x:c r="H2520" s="381" t="n">
        <x:f>SUMIFS('Climate Data'!$G$7:$G$366,'Climate Data'!$A$7:$A$366,'Estimator'!$B$4,'Climate Data'!$B$7:$B$366,C2520)</x:f>
        <x:v>0.3111111111111111</x:v>
      </x:c>
      <x:c r="I2520" s="382" t="n">
        <x:f>SUMIFS('Climate Data'!$H$7:$H$366,'Climate Data'!$A$7:$A$366,'Estimator'!$B$4,'Climate Data'!$B$7:$B$366,C2520)</x:f>
        <x:v>7.382142857142857</x:v>
      </x:c>
      <x:c r="J2520" s="381" t="n">
        <x:f>SUMIFS('Wind Proxy'!$H$8:$H$19,'Wind Proxy'!$A$8:$A$19,'Estimator'!$B$4,'Wind Proxy'!$B$8:$B$19,C2520)</x:f>
        <x:v>0.22222222222222224</x:v>
      </x:c>
    </x:row>
    <x:row r="2521">
      <x:c r="A2521" s="379" t="n">
        <x:v>48172</x:v>
      </x:c>
      <x:c r="B2521" s="380" t="n">
        <x:v>2031</x:v>
      </x:c>
      <x:c r="C2521" s="380" t="n">
        <x:v>11</x:v>
      </x:c>
      <x:c r="D2521" s="380" t="str">
        <x:v>Nov</x:v>
      </x:c>
      <x:c r="E2521" s="380" t="n">
        <x:v>20</x:v>
      </x:c>
      <x:c r="F2521" s="380" t="n">
        <x:v>4</x:v>
      </x:c>
      <x:c r="G2521" s="380" t="n">
        <x:f>--(F2521&lt;='Estimator'!$B$7)</x:f>
        <x:v>1</x:v>
      </x:c>
      <x:c r="H2521" s="381" t="n">
        <x:f>SUMIFS('Climate Data'!$G$7:$G$366,'Climate Data'!$A$7:$A$366,'Estimator'!$B$4,'Climate Data'!$B$7:$B$366,C2521)</x:f>
        <x:v>0.3111111111111111</x:v>
      </x:c>
      <x:c r="I2521" s="382" t="n">
        <x:f>SUMIFS('Climate Data'!$H$7:$H$366,'Climate Data'!$A$7:$A$366,'Estimator'!$B$4,'Climate Data'!$B$7:$B$366,C2521)</x:f>
        <x:v>7.382142857142857</x:v>
      </x:c>
      <x:c r="J2521" s="381" t="n">
        <x:f>SUMIFS('Wind Proxy'!$H$8:$H$19,'Wind Proxy'!$A$8:$A$19,'Estimator'!$B$4,'Wind Proxy'!$B$8:$B$19,C2521)</x:f>
        <x:v>0.22222222222222224</x:v>
      </x:c>
    </x:row>
    <x:row r="2522">
      <x:c r="A2522" s="379" t="n">
        <x:v>48173</x:v>
      </x:c>
      <x:c r="B2522" s="380" t="n">
        <x:v>2031</x:v>
      </x:c>
      <x:c r="C2522" s="380" t="n">
        <x:v>11</x:v>
      </x:c>
      <x:c r="D2522" s="380" t="str">
        <x:v>Nov</x:v>
      </x:c>
      <x:c r="E2522" s="380" t="n">
        <x:v>21</x:v>
      </x:c>
      <x:c r="F2522" s="380" t="n">
        <x:v>5</x:v>
      </x:c>
      <x:c r="G2522" s="380" t="n">
        <x:f>--(F2522&lt;='Estimator'!$B$7)</x:f>
        <x:v>1</x:v>
      </x:c>
      <x:c r="H2522" s="381" t="n">
        <x:f>SUMIFS('Climate Data'!$G$7:$G$366,'Climate Data'!$A$7:$A$366,'Estimator'!$B$4,'Climate Data'!$B$7:$B$366,C2522)</x:f>
        <x:v>0.3111111111111111</x:v>
      </x:c>
      <x:c r="I2522" s="382" t="n">
        <x:f>SUMIFS('Climate Data'!$H$7:$H$366,'Climate Data'!$A$7:$A$366,'Estimator'!$B$4,'Climate Data'!$B$7:$B$366,C2522)</x:f>
        <x:v>7.382142857142857</x:v>
      </x:c>
      <x:c r="J2522" s="381" t="n">
        <x:f>SUMIFS('Wind Proxy'!$H$8:$H$19,'Wind Proxy'!$A$8:$A$19,'Estimator'!$B$4,'Wind Proxy'!$B$8:$B$19,C2522)</x:f>
        <x:v>0.22222222222222224</x:v>
      </x:c>
    </x:row>
    <x:row r="2523">
      <x:c r="A2523" s="379" t="n">
        <x:v>48174</x:v>
      </x:c>
      <x:c r="B2523" s="380" t="n">
        <x:v>2031</x:v>
      </x:c>
      <x:c r="C2523" s="380" t="n">
        <x:v>11</x:v>
      </x:c>
      <x:c r="D2523" s="380" t="str">
        <x:v>Nov</x:v>
      </x:c>
      <x:c r="E2523" s="380" t="n">
        <x:v>22</x:v>
      </x:c>
      <x:c r="F2523" s="380" t="n">
        <x:v>6</x:v>
      </x:c>
      <x:c r="G2523" s="380" t="n">
        <x:f>--(F2523&lt;='Estimator'!$B$7)</x:f>
        <x:v>0</x:v>
      </x:c>
      <x:c r="H2523" s="381" t="n">
        <x:f>SUMIFS('Climate Data'!$G$7:$G$366,'Climate Data'!$A$7:$A$366,'Estimator'!$B$4,'Climate Data'!$B$7:$B$366,C2523)</x:f>
        <x:v>0.3111111111111111</x:v>
      </x:c>
      <x:c r="I2523" s="382" t="n">
        <x:f>SUMIFS('Climate Data'!$H$7:$H$366,'Climate Data'!$A$7:$A$366,'Estimator'!$B$4,'Climate Data'!$B$7:$B$366,C2523)</x:f>
        <x:v>7.382142857142857</x:v>
      </x:c>
      <x:c r="J2523" s="381" t="n">
        <x:f>SUMIFS('Wind Proxy'!$H$8:$H$19,'Wind Proxy'!$A$8:$A$19,'Estimator'!$B$4,'Wind Proxy'!$B$8:$B$19,C2523)</x:f>
        <x:v>0.22222222222222224</x:v>
      </x:c>
    </x:row>
    <x:row r="2524">
      <x:c r="A2524" s="379" t="n">
        <x:v>48175</x:v>
      </x:c>
      <x:c r="B2524" s="380" t="n">
        <x:v>2031</x:v>
      </x:c>
      <x:c r="C2524" s="380" t="n">
        <x:v>11</x:v>
      </x:c>
      <x:c r="D2524" s="380" t="str">
        <x:v>Nov</x:v>
      </x:c>
      <x:c r="E2524" s="380" t="n">
        <x:v>23</x:v>
      </x:c>
      <x:c r="F2524" s="380" t="n">
        <x:v>7</x:v>
      </x:c>
      <x:c r="G2524" s="380" t="n">
        <x:f>--(F2524&lt;='Estimator'!$B$7)</x:f>
        <x:v>0</x:v>
      </x:c>
      <x:c r="H2524" s="381" t="n">
        <x:f>SUMIFS('Climate Data'!$G$7:$G$366,'Climate Data'!$A$7:$A$366,'Estimator'!$B$4,'Climate Data'!$B$7:$B$366,C2524)</x:f>
        <x:v>0.3111111111111111</x:v>
      </x:c>
      <x:c r="I2524" s="382" t="n">
        <x:f>SUMIFS('Climate Data'!$H$7:$H$366,'Climate Data'!$A$7:$A$366,'Estimator'!$B$4,'Climate Data'!$B$7:$B$366,C2524)</x:f>
        <x:v>7.382142857142857</x:v>
      </x:c>
      <x:c r="J2524" s="381" t="n">
        <x:f>SUMIFS('Wind Proxy'!$H$8:$H$19,'Wind Proxy'!$A$8:$A$19,'Estimator'!$B$4,'Wind Proxy'!$B$8:$B$19,C2524)</x:f>
        <x:v>0.22222222222222224</x:v>
      </x:c>
    </x:row>
    <x:row r="2525">
      <x:c r="A2525" s="379" t="n">
        <x:v>48176</x:v>
      </x:c>
      <x:c r="B2525" s="380" t="n">
        <x:v>2031</x:v>
      </x:c>
      <x:c r="C2525" s="380" t="n">
        <x:v>11</x:v>
      </x:c>
      <x:c r="D2525" s="380" t="str">
        <x:v>Nov</x:v>
      </x:c>
      <x:c r="E2525" s="380" t="n">
        <x:v>24</x:v>
      </x:c>
      <x:c r="F2525" s="380" t="n">
        <x:v>1</x:v>
      </x:c>
      <x:c r="G2525" s="380" t="n">
        <x:f>--(F2525&lt;='Estimator'!$B$7)</x:f>
        <x:v>1</x:v>
      </x:c>
      <x:c r="H2525" s="381" t="n">
        <x:f>SUMIFS('Climate Data'!$G$7:$G$366,'Climate Data'!$A$7:$A$366,'Estimator'!$B$4,'Climate Data'!$B$7:$B$366,C2525)</x:f>
        <x:v>0.3111111111111111</x:v>
      </x:c>
      <x:c r="I2525" s="382" t="n">
        <x:f>SUMIFS('Climate Data'!$H$7:$H$366,'Climate Data'!$A$7:$A$366,'Estimator'!$B$4,'Climate Data'!$B$7:$B$366,C2525)</x:f>
        <x:v>7.382142857142857</x:v>
      </x:c>
      <x:c r="J2525" s="381" t="n">
        <x:f>SUMIFS('Wind Proxy'!$H$8:$H$19,'Wind Proxy'!$A$8:$A$19,'Estimator'!$B$4,'Wind Proxy'!$B$8:$B$19,C2525)</x:f>
        <x:v>0.22222222222222224</x:v>
      </x:c>
    </x:row>
    <x:row r="2526">
      <x:c r="A2526" s="379" t="n">
        <x:v>48177</x:v>
      </x:c>
      <x:c r="B2526" s="380" t="n">
        <x:v>2031</x:v>
      </x:c>
      <x:c r="C2526" s="380" t="n">
        <x:v>11</x:v>
      </x:c>
      <x:c r="D2526" s="380" t="str">
        <x:v>Nov</x:v>
      </x:c>
      <x:c r="E2526" s="380" t="n">
        <x:v>25</x:v>
      </x:c>
      <x:c r="F2526" s="380" t="n">
        <x:v>2</x:v>
      </x:c>
      <x:c r="G2526" s="380" t="n">
        <x:f>--(F2526&lt;='Estimator'!$B$7)</x:f>
        <x:v>1</x:v>
      </x:c>
      <x:c r="H2526" s="381" t="n">
        <x:f>SUMIFS('Climate Data'!$G$7:$G$366,'Climate Data'!$A$7:$A$366,'Estimator'!$B$4,'Climate Data'!$B$7:$B$366,C2526)</x:f>
        <x:v>0.3111111111111111</x:v>
      </x:c>
      <x:c r="I2526" s="382" t="n">
        <x:f>SUMIFS('Climate Data'!$H$7:$H$366,'Climate Data'!$A$7:$A$366,'Estimator'!$B$4,'Climate Data'!$B$7:$B$366,C2526)</x:f>
        <x:v>7.382142857142857</x:v>
      </x:c>
      <x:c r="J2526" s="381" t="n">
        <x:f>SUMIFS('Wind Proxy'!$H$8:$H$19,'Wind Proxy'!$A$8:$A$19,'Estimator'!$B$4,'Wind Proxy'!$B$8:$B$19,C2526)</x:f>
        <x:v>0.22222222222222224</x:v>
      </x:c>
    </x:row>
    <x:row r="2527">
      <x:c r="A2527" s="379" t="n">
        <x:v>48178</x:v>
      </x:c>
      <x:c r="B2527" s="380" t="n">
        <x:v>2031</x:v>
      </x:c>
      <x:c r="C2527" s="380" t="n">
        <x:v>11</x:v>
      </x:c>
      <x:c r="D2527" s="380" t="str">
        <x:v>Nov</x:v>
      </x:c>
      <x:c r="E2527" s="380" t="n">
        <x:v>26</x:v>
      </x:c>
      <x:c r="F2527" s="380" t="n">
        <x:v>3</x:v>
      </x:c>
      <x:c r="G2527" s="380" t="n">
        <x:f>--(F2527&lt;='Estimator'!$B$7)</x:f>
        <x:v>1</x:v>
      </x:c>
      <x:c r="H2527" s="381" t="n">
        <x:f>SUMIFS('Climate Data'!$G$7:$G$366,'Climate Data'!$A$7:$A$366,'Estimator'!$B$4,'Climate Data'!$B$7:$B$366,C2527)</x:f>
        <x:v>0.3111111111111111</x:v>
      </x:c>
      <x:c r="I2527" s="382" t="n">
        <x:f>SUMIFS('Climate Data'!$H$7:$H$366,'Climate Data'!$A$7:$A$366,'Estimator'!$B$4,'Climate Data'!$B$7:$B$366,C2527)</x:f>
        <x:v>7.382142857142857</x:v>
      </x:c>
      <x:c r="J2527" s="381" t="n">
        <x:f>SUMIFS('Wind Proxy'!$H$8:$H$19,'Wind Proxy'!$A$8:$A$19,'Estimator'!$B$4,'Wind Proxy'!$B$8:$B$19,C2527)</x:f>
        <x:v>0.22222222222222224</x:v>
      </x:c>
    </x:row>
    <x:row r="2528">
      <x:c r="A2528" s="379" t="n">
        <x:v>48179</x:v>
      </x:c>
      <x:c r="B2528" s="380" t="n">
        <x:v>2031</x:v>
      </x:c>
      <x:c r="C2528" s="380" t="n">
        <x:v>11</x:v>
      </x:c>
      <x:c r="D2528" s="380" t="str">
        <x:v>Nov</x:v>
      </x:c>
      <x:c r="E2528" s="380" t="n">
        <x:v>27</x:v>
      </x:c>
      <x:c r="F2528" s="380" t="n">
        <x:v>4</x:v>
      </x:c>
      <x:c r="G2528" s="380" t="n">
        <x:f>--(F2528&lt;='Estimator'!$B$7)</x:f>
        <x:v>1</x:v>
      </x:c>
      <x:c r="H2528" s="381" t="n">
        <x:f>SUMIFS('Climate Data'!$G$7:$G$366,'Climate Data'!$A$7:$A$366,'Estimator'!$B$4,'Climate Data'!$B$7:$B$366,C2528)</x:f>
        <x:v>0.3111111111111111</x:v>
      </x:c>
      <x:c r="I2528" s="382" t="n">
        <x:f>SUMIFS('Climate Data'!$H$7:$H$366,'Climate Data'!$A$7:$A$366,'Estimator'!$B$4,'Climate Data'!$B$7:$B$366,C2528)</x:f>
        <x:v>7.382142857142857</x:v>
      </x:c>
      <x:c r="J2528" s="381" t="n">
        <x:f>SUMIFS('Wind Proxy'!$H$8:$H$19,'Wind Proxy'!$A$8:$A$19,'Estimator'!$B$4,'Wind Proxy'!$B$8:$B$19,C2528)</x:f>
        <x:v>0.22222222222222224</x:v>
      </x:c>
    </x:row>
    <x:row r="2529">
      <x:c r="A2529" s="379" t="n">
        <x:v>48180</x:v>
      </x:c>
      <x:c r="B2529" s="380" t="n">
        <x:v>2031</x:v>
      </x:c>
      <x:c r="C2529" s="380" t="n">
        <x:v>11</x:v>
      </x:c>
      <x:c r="D2529" s="380" t="str">
        <x:v>Nov</x:v>
      </x:c>
      <x:c r="E2529" s="380" t="n">
        <x:v>28</x:v>
      </x:c>
      <x:c r="F2529" s="380" t="n">
        <x:v>5</x:v>
      </x:c>
      <x:c r="G2529" s="380" t="n">
        <x:f>--(F2529&lt;='Estimator'!$B$7)</x:f>
        <x:v>1</x:v>
      </x:c>
      <x:c r="H2529" s="381" t="n">
        <x:f>SUMIFS('Climate Data'!$G$7:$G$366,'Climate Data'!$A$7:$A$366,'Estimator'!$B$4,'Climate Data'!$B$7:$B$366,C2529)</x:f>
        <x:v>0.3111111111111111</x:v>
      </x:c>
      <x:c r="I2529" s="382" t="n">
        <x:f>SUMIFS('Climate Data'!$H$7:$H$366,'Climate Data'!$A$7:$A$366,'Estimator'!$B$4,'Climate Data'!$B$7:$B$366,C2529)</x:f>
        <x:v>7.382142857142857</x:v>
      </x:c>
      <x:c r="J2529" s="381" t="n">
        <x:f>SUMIFS('Wind Proxy'!$H$8:$H$19,'Wind Proxy'!$A$8:$A$19,'Estimator'!$B$4,'Wind Proxy'!$B$8:$B$19,C2529)</x:f>
        <x:v>0.22222222222222224</x:v>
      </x:c>
    </x:row>
    <x:row r="2530">
      <x:c r="A2530" s="379" t="n">
        <x:v>48181</x:v>
      </x:c>
      <x:c r="B2530" s="380" t="n">
        <x:v>2031</x:v>
      </x:c>
      <x:c r="C2530" s="380" t="n">
        <x:v>11</x:v>
      </x:c>
      <x:c r="D2530" s="380" t="str">
        <x:v>Nov</x:v>
      </x:c>
      <x:c r="E2530" s="380" t="n">
        <x:v>29</x:v>
      </x:c>
      <x:c r="F2530" s="380" t="n">
        <x:v>6</x:v>
      </x:c>
      <x:c r="G2530" s="380" t="n">
        <x:f>--(F2530&lt;='Estimator'!$B$7)</x:f>
        <x:v>0</x:v>
      </x:c>
      <x:c r="H2530" s="381" t="n">
        <x:f>SUMIFS('Climate Data'!$G$7:$G$366,'Climate Data'!$A$7:$A$366,'Estimator'!$B$4,'Climate Data'!$B$7:$B$366,C2530)</x:f>
        <x:v>0.3111111111111111</x:v>
      </x:c>
      <x:c r="I2530" s="382" t="n">
        <x:f>SUMIFS('Climate Data'!$H$7:$H$366,'Climate Data'!$A$7:$A$366,'Estimator'!$B$4,'Climate Data'!$B$7:$B$366,C2530)</x:f>
        <x:v>7.382142857142857</x:v>
      </x:c>
      <x:c r="J2530" s="381" t="n">
        <x:f>SUMIFS('Wind Proxy'!$H$8:$H$19,'Wind Proxy'!$A$8:$A$19,'Estimator'!$B$4,'Wind Proxy'!$B$8:$B$19,C2530)</x:f>
        <x:v>0.22222222222222224</x:v>
      </x:c>
    </x:row>
    <x:row r="2531">
      <x:c r="A2531" s="379" t="n">
        <x:v>48182</x:v>
      </x:c>
      <x:c r="B2531" s="380" t="n">
        <x:v>2031</x:v>
      </x:c>
      <x:c r="C2531" s="380" t="n">
        <x:v>11</x:v>
      </x:c>
      <x:c r="D2531" s="380" t="str">
        <x:v>Nov</x:v>
      </x:c>
      <x:c r="E2531" s="380" t="n">
        <x:v>30</x:v>
      </x:c>
      <x:c r="F2531" s="380" t="n">
        <x:v>7</x:v>
      </x:c>
      <x:c r="G2531" s="380" t="n">
        <x:f>--(F2531&lt;='Estimator'!$B$7)</x:f>
        <x:v>0</x:v>
      </x:c>
      <x:c r="H2531" s="381" t="n">
        <x:f>SUMIFS('Climate Data'!$G$7:$G$366,'Climate Data'!$A$7:$A$366,'Estimator'!$B$4,'Climate Data'!$B$7:$B$366,C2531)</x:f>
        <x:v>0.3111111111111111</x:v>
      </x:c>
      <x:c r="I2531" s="382" t="n">
        <x:f>SUMIFS('Climate Data'!$H$7:$H$366,'Climate Data'!$A$7:$A$366,'Estimator'!$B$4,'Climate Data'!$B$7:$B$366,C2531)</x:f>
        <x:v>7.382142857142857</x:v>
      </x:c>
      <x:c r="J2531" s="381" t="n">
        <x:f>SUMIFS('Wind Proxy'!$H$8:$H$19,'Wind Proxy'!$A$8:$A$19,'Estimator'!$B$4,'Wind Proxy'!$B$8:$B$19,C2531)</x:f>
        <x:v>0.22222222222222224</x:v>
      </x:c>
    </x:row>
    <x:row r="2532">
      <x:c r="A2532" s="379" t="n">
        <x:v>48183</x:v>
      </x:c>
      <x:c r="B2532" s="380" t="n">
        <x:v>2031</x:v>
      </x:c>
      <x:c r="C2532" s="380" t="n">
        <x:v>12</x:v>
      </x:c>
      <x:c r="D2532" s="380" t="str">
        <x:v>Dec</x:v>
      </x:c>
      <x:c r="E2532" s="380" t="n">
        <x:v>1</x:v>
      </x:c>
      <x:c r="F2532" s="380" t="n">
        <x:v>1</x:v>
      </x:c>
      <x:c r="G2532" s="380" t="n">
        <x:f>--(F2532&lt;='Estimator'!$B$7)</x:f>
        <x:v>1</x:v>
      </x:c>
      <x:c r="H2532" s="381" t="n">
        <x:f>SUMIFS('Climate Data'!$G$7:$G$366,'Climate Data'!$A$7:$A$366,'Estimator'!$B$4,'Climate Data'!$B$7:$B$366,C2532)</x:f>
        <x:v>0.2914349276974416</x:v>
      </x:c>
      <x:c r="I2532" s="382" t="n">
        <x:f>SUMIFS('Climate Data'!$H$7:$H$366,'Climate Data'!$A$7:$A$366,'Estimator'!$B$4,'Climate Data'!$B$7:$B$366,C2532)</x:f>
        <x:v>9.043129770992365</x:v>
      </x:c>
      <x:c r="J2532" s="381" t="n">
        <x:f>SUMIFS('Wind Proxy'!$H$8:$H$19,'Wind Proxy'!$A$8:$A$19,'Estimator'!$B$4,'Wind Proxy'!$B$8:$B$19,C2532)</x:f>
        <x:v>0.12544802867383514</x:v>
      </x:c>
    </x:row>
    <x:row r="2533">
      <x:c r="A2533" s="379" t="n">
        <x:v>48184</x:v>
      </x:c>
      <x:c r="B2533" s="380" t="n">
        <x:v>2031</x:v>
      </x:c>
      <x:c r="C2533" s="380" t="n">
        <x:v>12</x:v>
      </x:c>
      <x:c r="D2533" s="380" t="str">
        <x:v>Dec</x:v>
      </x:c>
      <x:c r="E2533" s="380" t="n">
        <x:v>2</x:v>
      </x:c>
      <x:c r="F2533" s="380" t="n">
        <x:v>2</x:v>
      </x:c>
      <x:c r="G2533" s="380" t="n">
        <x:f>--(F2533&lt;='Estimator'!$B$7)</x:f>
        <x:v>1</x:v>
      </x:c>
      <x:c r="H2533" s="381" t="n">
        <x:f>SUMIFS('Climate Data'!$G$7:$G$366,'Climate Data'!$A$7:$A$366,'Estimator'!$B$4,'Climate Data'!$B$7:$B$366,C2533)</x:f>
        <x:v>0.2914349276974416</x:v>
      </x:c>
      <x:c r="I2533" s="382" t="n">
        <x:f>SUMIFS('Climate Data'!$H$7:$H$366,'Climate Data'!$A$7:$A$366,'Estimator'!$B$4,'Climate Data'!$B$7:$B$366,C2533)</x:f>
        <x:v>9.043129770992365</x:v>
      </x:c>
      <x:c r="J2533" s="381" t="n">
        <x:f>SUMIFS('Wind Proxy'!$H$8:$H$19,'Wind Proxy'!$A$8:$A$19,'Estimator'!$B$4,'Wind Proxy'!$B$8:$B$19,C2533)</x:f>
        <x:v>0.12544802867383514</x:v>
      </x:c>
    </x:row>
    <x:row r="2534">
      <x:c r="A2534" s="379" t="n">
        <x:v>48185</x:v>
      </x:c>
      <x:c r="B2534" s="380" t="n">
        <x:v>2031</x:v>
      </x:c>
      <x:c r="C2534" s="380" t="n">
        <x:v>12</x:v>
      </x:c>
      <x:c r="D2534" s="380" t="str">
        <x:v>Dec</x:v>
      </x:c>
      <x:c r="E2534" s="380" t="n">
        <x:v>3</x:v>
      </x:c>
      <x:c r="F2534" s="380" t="n">
        <x:v>3</x:v>
      </x:c>
      <x:c r="G2534" s="380" t="n">
        <x:f>--(F2534&lt;='Estimator'!$B$7)</x:f>
        <x:v>1</x:v>
      </x:c>
      <x:c r="H2534" s="381" t="n">
        <x:f>SUMIFS('Climate Data'!$G$7:$G$366,'Climate Data'!$A$7:$A$366,'Estimator'!$B$4,'Climate Data'!$B$7:$B$366,C2534)</x:f>
        <x:v>0.2914349276974416</x:v>
      </x:c>
      <x:c r="I2534" s="382" t="n">
        <x:f>SUMIFS('Climate Data'!$H$7:$H$366,'Climate Data'!$A$7:$A$366,'Estimator'!$B$4,'Climate Data'!$B$7:$B$366,C2534)</x:f>
        <x:v>9.043129770992365</x:v>
      </x:c>
      <x:c r="J2534" s="381" t="n">
        <x:f>SUMIFS('Wind Proxy'!$H$8:$H$19,'Wind Proxy'!$A$8:$A$19,'Estimator'!$B$4,'Wind Proxy'!$B$8:$B$19,C2534)</x:f>
        <x:v>0.12544802867383514</x:v>
      </x:c>
    </x:row>
    <x:row r="2535">
      <x:c r="A2535" s="379" t="n">
        <x:v>48186</x:v>
      </x:c>
      <x:c r="B2535" s="380" t="n">
        <x:v>2031</x:v>
      </x:c>
      <x:c r="C2535" s="380" t="n">
        <x:v>12</x:v>
      </x:c>
      <x:c r="D2535" s="380" t="str">
        <x:v>Dec</x:v>
      </x:c>
      <x:c r="E2535" s="380" t="n">
        <x:v>4</x:v>
      </x:c>
      <x:c r="F2535" s="380" t="n">
        <x:v>4</x:v>
      </x:c>
      <x:c r="G2535" s="380" t="n">
        <x:f>--(F2535&lt;='Estimator'!$B$7)</x:f>
        <x:v>1</x:v>
      </x:c>
      <x:c r="H2535" s="381" t="n">
        <x:f>SUMIFS('Climate Data'!$G$7:$G$366,'Climate Data'!$A$7:$A$366,'Estimator'!$B$4,'Climate Data'!$B$7:$B$366,C2535)</x:f>
        <x:v>0.2914349276974416</x:v>
      </x:c>
      <x:c r="I2535" s="382" t="n">
        <x:f>SUMIFS('Climate Data'!$H$7:$H$366,'Climate Data'!$A$7:$A$366,'Estimator'!$B$4,'Climate Data'!$B$7:$B$366,C2535)</x:f>
        <x:v>9.043129770992365</x:v>
      </x:c>
      <x:c r="J2535" s="381" t="n">
        <x:f>SUMIFS('Wind Proxy'!$H$8:$H$19,'Wind Proxy'!$A$8:$A$19,'Estimator'!$B$4,'Wind Proxy'!$B$8:$B$19,C2535)</x:f>
        <x:v>0.12544802867383514</x:v>
      </x:c>
    </x:row>
    <x:row r="2536">
      <x:c r="A2536" s="379" t="n">
        <x:v>48187</x:v>
      </x:c>
      <x:c r="B2536" s="380" t="n">
        <x:v>2031</x:v>
      </x:c>
      <x:c r="C2536" s="380" t="n">
        <x:v>12</x:v>
      </x:c>
      <x:c r="D2536" s="380" t="str">
        <x:v>Dec</x:v>
      </x:c>
      <x:c r="E2536" s="380" t="n">
        <x:v>5</x:v>
      </x:c>
      <x:c r="F2536" s="380" t="n">
        <x:v>5</x:v>
      </x:c>
      <x:c r="G2536" s="380" t="n">
        <x:f>--(F2536&lt;='Estimator'!$B$7)</x:f>
        <x:v>1</x:v>
      </x:c>
      <x:c r="H2536" s="381" t="n">
        <x:f>SUMIFS('Climate Data'!$G$7:$G$366,'Climate Data'!$A$7:$A$366,'Estimator'!$B$4,'Climate Data'!$B$7:$B$366,C2536)</x:f>
        <x:v>0.2914349276974416</x:v>
      </x:c>
      <x:c r="I2536" s="382" t="n">
        <x:f>SUMIFS('Climate Data'!$H$7:$H$366,'Climate Data'!$A$7:$A$366,'Estimator'!$B$4,'Climate Data'!$B$7:$B$366,C2536)</x:f>
        <x:v>9.043129770992365</x:v>
      </x:c>
      <x:c r="J2536" s="381" t="n">
        <x:f>SUMIFS('Wind Proxy'!$H$8:$H$19,'Wind Proxy'!$A$8:$A$19,'Estimator'!$B$4,'Wind Proxy'!$B$8:$B$19,C2536)</x:f>
        <x:v>0.12544802867383514</x:v>
      </x:c>
    </x:row>
    <x:row r="2537">
      <x:c r="A2537" s="379" t="n">
        <x:v>48188</x:v>
      </x:c>
      <x:c r="B2537" s="380" t="n">
        <x:v>2031</x:v>
      </x:c>
      <x:c r="C2537" s="380" t="n">
        <x:v>12</x:v>
      </x:c>
      <x:c r="D2537" s="380" t="str">
        <x:v>Dec</x:v>
      </x:c>
      <x:c r="E2537" s="380" t="n">
        <x:v>6</x:v>
      </x:c>
      <x:c r="F2537" s="380" t="n">
        <x:v>6</x:v>
      </x:c>
      <x:c r="G2537" s="380" t="n">
        <x:f>--(F2537&lt;='Estimator'!$B$7)</x:f>
        <x:v>0</x:v>
      </x:c>
      <x:c r="H2537" s="381" t="n">
        <x:f>SUMIFS('Climate Data'!$G$7:$G$366,'Climate Data'!$A$7:$A$366,'Estimator'!$B$4,'Climate Data'!$B$7:$B$366,C2537)</x:f>
        <x:v>0.2914349276974416</x:v>
      </x:c>
      <x:c r="I2537" s="382" t="n">
        <x:f>SUMIFS('Climate Data'!$H$7:$H$366,'Climate Data'!$A$7:$A$366,'Estimator'!$B$4,'Climate Data'!$B$7:$B$366,C2537)</x:f>
        <x:v>9.043129770992365</x:v>
      </x:c>
      <x:c r="J2537" s="381" t="n">
        <x:f>SUMIFS('Wind Proxy'!$H$8:$H$19,'Wind Proxy'!$A$8:$A$19,'Estimator'!$B$4,'Wind Proxy'!$B$8:$B$19,C2537)</x:f>
        <x:v>0.12544802867383514</x:v>
      </x:c>
    </x:row>
    <x:row r="2538">
      <x:c r="A2538" s="379" t="n">
        <x:v>48189</x:v>
      </x:c>
      <x:c r="B2538" s="380" t="n">
        <x:v>2031</x:v>
      </x:c>
      <x:c r="C2538" s="380" t="n">
        <x:v>12</x:v>
      </x:c>
      <x:c r="D2538" s="380" t="str">
        <x:v>Dec</x:v>
      </x:c>
      <x:c r="E2538" s="380" t="n">
        <x:v>7</x:v>
      </x:c>
      <x:c r="F2538" s="380" t="n">
        <x:v>7</x:v>
      </x:c>
      <x:c r="G2538" s="380" t="n">
        <x:f>--(F2538&lt;='Estimator'!$B$7)</x:f>
        <x:v>0</x:v>
      </x:c>
      <x:c r="H2538" s="381" t="n">
        <x:f>SUMIFS('Climate Data'!$G$7:$G$366,'Climate Data'!$A$7:$A$366,'Estimator'!$B$4,'Climate Data'!$B$7:$B$366,C2538)</x:f>
        <x:v>0.2914349276974416</x:v>
      </x:c>
      <x:c r="I2538" s="382" t="n">
        <x:f>SUMIFS('Climate Data'!$H$7:$H$366,'Climate Data'!$A$7:$A$366,'Estimator'!$B$4,'Climate Data'!$B$7:$B$366,C2538)</x:f>
        <x:v>9.043129770992365</x:v>
      </x:c>
      <x:c r="J2538" s="381" t="n">
        <x:f>SUMIFS('Wind Proxy'!$H$8:$H$19,'Wind Proxy'!$A$8:$A$19,'Estimator'!$B$4,'Wind Proxy'!$B$8:$B$19,C2538)</x:f>
        <x:v>0.12544802867383514</x:v>
      </x:c>
    </x:row>
    <x:row r="2539">
      <x:c r="A2539" s="379" t="n">
        <x:v>48190</x:v>
      </x:c>
      <x:c r="B2539" s="380" t="n">
        <x:v>2031</x:v>
      </x:c>
      <x:c r="C2539" s="380" t="n">
        <x:v>12</x:v>
      </x:c>
      <x:c r="D2539" s="380" t="str">
        <x:v>Dec</x:v>
      </x:c>
      <x:c r="E2539" s="380" t="n">
        <x:v>8</x:v>
      </x:c>
      <x:c r="F2539" s="380" t="n">
        <x:v>1</x:v>
      </x:c>
      <x:c r="G2539" s="380" t="n">
        <x:f>--(F2539&lt;='Estimator'!$B$7)</x:f>
        <x:v>1</x:v>
      </x:c>
      <x:c r="H2539" s="381" t="n">
        <x:f>SUMIFS('Climate Data'!$G$7:$G$366,'Climate Data'!$A$7:$A$366,'Estimator'!$B$4,'Climate Data'!$B$7:$B$366,C2539)</x:f>
        <x:v>0.2914349276974416</x:v>
      </x:c>
      <x:c r="I2539" s="382" t="n">
        <x:f>SUMIFS('Climate Data'!$H$7:$H$366,'Climate Data'!$A$7:$A$366,'Estimator'!$B$4,'Climate Data'!$B$7:$B$366,C2539)</x:f>
        <x:v>9.043129770992365</x:v>
      </x:c>
      <x:c r="J2539" s="381" t="n">
        <x:f>SUMIFS('Wind Proxy'!$H$8:$H$19,'Wind Proxy'!$A$8:$A$19,'Estimator'!$B$4,'Wind Proxy'!$B$8:$B$19,C2539)</x:f>
        <x:v>0.12544802867383514</x:v>
      </x:c>
    </x:row>
    <x:row r="2540">
      <x:c r="A2540" s="379" t="n">
        <x:v>48191</x:v>
      </x:c>
      <x:c r="B2540" s="380" t="n">
        <x:v>2031</x:v>
      </x:c>
      <x:c r="C2540" s="380" t="n">
        <x:v>12</x:v>
      </x:c>
      <x:c r="D2540" s="380" t="str">
        <x:v>Dec</x:v>
      </x:c>
      <x:c r="E2540" s="380" t="n">
        <x:v>9</x:v>
      </x:c>
      <x:c r="F2540" s="380" t="n">
        <x:v>2</x:v>
      </x:c>
      <x:c r="G2540" s="380" t="n">
        <x:f>--(F2540&lt;='Estimator'!$B$7)</x:f>
        <x:v>1</x:v>
      </x:c>
      <x:c r="H2540" s="381" t="n">
        <x:f>SUMIFS('Climate Data'!$G$7:$G$366,'Climate Data'!$A$7:$A$366,'Estimator'!$B$4,'Climate Data'!$B$7:$B$366,C2540)</x:f>
        <x:v>0.2914349276974416</x:v>
      </x:c>
      <x:c r="I2540" s="382" t="n">
        <x:f>SUMIFS('Climate Data'!$H$7:$H$366,'Climate Data'!$A$7:$A$366,'Estimator'!$B$4,'Climate Data'!$B$7:$B$366,C2540)</x:f>
        <x:v>9.043129770992365</x:v>
      </x:c>
      <x:c r="J2540" s="381" t="n">
        <x:f>SUMIFS('Wind Proxy'!$H$8:$H$19,'Wind Proxy'!$A$8:$A$19,'Estimator'!$B$4,'Wind Proxy'!$B$8:$B$19,C2540)</x:f>
        <x:v>0.12544802867383514</x:v>
      </x:c>
    </x:row>
    <x:row r="2541">
      <x:c r="A2541" s="379" t="n">
        <x:v>48192</x:v>
      </x:c>
      <x:c r="B2541" s="380" t="n">
        <x:v>2031</x:v>
      </x:c>
      <x:c r="C2541" s="380" t="n">
        <x:v>12</x:v>
      </x:c>
      <x:c r="D2541" s="380" t="str">
        <x:v>Dec</x:v>
      </x:c>
      <x:c r="E2541" s="380" t="n">
        <x:v>10</x:v>
      </x:c>
      <x:c r="F2541" s="380" t="n">
        <x:v>3</x:v>
      </x:c>
      <x:c r="G2541" s="380" t="n">
        <x:f>--(F2541&lt;='Estimator'!$B$7)</x:f>
        <x:v>1</x:v>
      </x:c>
      <x:c r="H2541" s="381" t="n">
        <x:f>SUMIFS('Climate Data'!$G$7:$G$366,'Climate Data'!$A$7:$A$366,'Estimator'!$B$4,'Climate Data'!$B$7:$B$366,C2541)</x:f>
        <x:v>0.2914349276974416</x:v>
      </x:c>
      <x:c r="I2541" s="382" t="n">
        <x:f>SUMIFS('Climate Data'!$H$7:$H$366,'Climate Data'!$A$7:$A$366,'Estimator'!$B$4,'Climate Data'!$B$7:$B$366,C2541)</x:f>
        <x:v>9.043129770992365</x:v>
      </x:c>
      <x:c r="J2541" s="381" t="n">
        <x:f>SUMIFS('Wind Proxy'!$H$8:$H$19,'Wind Proxy'!$A$8:$A$19,'Estimator'!$B$4,'Wind Proxy'!$B$8:$B$19,C2541)</x:f>
        <x:v>0.12544802867383514</x:v>
      </x:c>
    </x:row>
    <x:row r="2542">
      <x:c r="A2542" s="379" t="n">
        <x:v>48193</x:v>
      </x:c>
      <x:c r="B2542" s="380" t="n">
        <x:v>2031</x:v>
      </x:c>
      <x:c r="C2542" s="380" t="n">
        <x:v>12</x:v>
      </x:c>
      <x:c r="D2542" s="380" t="str">
        <x:v>Dec</x:v>
      </x:c>
      <x:c r="E2542" s="380" t="n">
        <x:v>11</x:v>
      </x:c>
      <x:c r="F2542" s="380" t="n">
        <x:v>4</x:v>
      </x:c>
      <x:c r="G2542" s="380" t="n">
        <x:f>--(F2542&lt;='Estimator'!$B$7)</x:f>
        <x:v>1</x:v>
      </x:c>
      <x:c r="H2542" s="381" t="n">
        <x:f>SUMIFS('Climate Data'!$G$7:$G$366,'Climate Data'!$A$7:$A$366,'Estimator'!$B$4,'Climate Data'!$B$7:$B$366,C2542)</x:f>
        <x:v>0.2914349276974416</x:v>
      </x:c>
      <x:c r="I2542" s="382" t="n">
        <x:f>SUMIFS('Climate Data'!$H$7:$H$366,'Climate Data'!$A$7:$A$366,'Estimator'!$B$4,'Climate Data'!$B$7:$B$366,C2542)</x:f>
        <x:v>9.043129770992365</x:v>
      </x:c>
      <x:c r="J2542" s="381" t="n">
        <x:f>SUMIFS('Wind Proxy'!$H$8:$H$19,'Wind Proxy'!$A$8:$A$19,'Estimator'!$B$4,'Wind Proxy'!$B$8:$B$19,C2542)</x:f>
        <x:v>0.12544802867383514</x:v>
      </x:c>
    </x:row>
    <x:row r="2543">
      <x:c r="A2543" s="379" t="n">
        <x:v>48194</x:v>
      </x:c>
      <x:c r="B2543" s="380" t="n">
        <x:v>2031</x:v>
      </x:c>
      <x:c r="C2543" s="380" t="n">
        <x:v>12</x:v>
      </x:c>
      <x:c r="D2543" s="380" t="str">
        <x:v>Dec</x:v>
      </x:c>
      <x:c r="E2543" s="380" t="n">
        <x:v>12</x:v>
      </x:c>
      <x:c r="F2543" s="380" t="n">
        <x:v>5</x:v>
      </x:c>
      <x:c r="G2543" s="380" t="n">
        <x:f>--(F2543&lt;='Estimator'!$B$7)</x:f>
        <x:v>1</x:v>
      </x:c>
      <x:c r="H2543" s="381" t="n">
        <x:f>SUMIFS('Climate Data'!$G$7:$G$366,'Climate Data'!$A$7:$A$366,'Estimator'!$B$4,'Climate Data'!$B$7:$B$366,C2543)</x:f>
        <x:v>0.2914349276974416</x:v>
      </x:c>
      <x:c r="I2543" s="382" t="n">
        <x:f>SUMIFS('Climate Data'!$H$7:$H$366,'Climate Data'!$A$7:$A$366,'Estimator'!$B$4,'Climate Data'!$B$7:$B$366,C2543)</x:f>
        <x:v>9.043129770992365</x:v>
      </x:c>
      <x:c r="J2543" s="381" t="n">
        <x:f>SUMIFS('Wind Proxy'!$H$8:$H$19,'Wind Proxy'!$A$8:$A$19,'Estimator'!$B$4,'Wind Proxy'!$B$8:$B$19,C2543)</x:f>
        <x:v>0.12544802867383514</x:v>
      </x:c>
    </x:row>
    <x:row r="2544">
      <x:c r="A2544" s="379" t="n">
        <x:v>48195</x:v>
      </x:c>
      <x:c r="B2544" s="380" t="n">
        <x:v>2031</x:v>
      </x:c>
      <x:c r="C2544" s="380" t="n">
        <x:v>12</x:v>
      </x:c>
      <x:c r="D2544" s="380" t="str">
        <x:v>Dec</x:v>
      </x:c>
      <x:c r="E2544" s="380" t="n">
        <x:v>13</x:v>
      </x:c>
      <x:c r="F2544" s="380" t="n">
        <x:v>6</x:v>
      </x:c>
      <x:c r="G2544" s="380" t="n">
        <x:f>--(F2544&lt;='Estimator'!$B$7)</x:f>
        <x:v>0</x:v>
      </x:c>
      <x:c r="H2544" s="381" t="n">
        <x:f>SUMIFS('Climate Data'!$G$7:$G$366,'Climate Data'!$A$7:$A$366,'Estimator'!$B$4,'Climate Data'!$B$7:$B$366,C2544)</x:f>
        <x:v>0.2914349276974416</x:v>
      </x:c>
      <x:c r="I2544" s="382" t="n">
        <x:f>SUMIFS('Climate Data'!$H$7:$H$366,'Climate Data'!$A$7:$A$366,'Estimator'!$B$4,'Climate Data'!$B$7:$B$366,C2544)</x:f>
        <x:v>9.043129770992365</x:v>
      </x:c>
      <x:c r="J2544" s="381" t="n">
        <x:f>SUMIFS('Wind Proxy'!$H$8:$H$19,'Wind Proxy'!$A$8:$A$19,'Estimator'!$B$4,'Wind Proxy'!$B$8:$B$19,C2544)</x:f>
        <x:v>0.12544802867383514</x:v>
      </x:c>
    </x:row>
    <x:row r="2545">
      <x:c r="A2545" s="379" t="n">
        <x:v>48196</x:v>
      </x:c>
      <x:c r="B2545" s="380" t="n">
        <x:v>2031</x:v>
      </x:c>
      <x:c r="C2545" s="380" t="n">
        <x:v>12</x:v>
      </x:c>
      <x:c r="D2545" s="380" t="str">
        <x:v>Dec</x:v>
      </x:c>
      <x:c r="E2545" s="380" t="n">
        <x:v>14</x:v>
      </x:c>
      <x:c r="F2545" s="380" t="n">
        <x:v>7</x:v>
      </x:c>
      <x:c r="G2545" s="380" t="n">
        <x:f>--(F2545&lt;='Estimator'!$B$7)</x:f>
        <x:v>0</x:v>
      </x:c>
      <x:c r="H2545" s="381" t="n">
        <x:f>SUMIFS('Climate Data'!$G$7:$G$366,'Climate Data'!$A$7:$A$366,'Estimator'!$B$4,'Climate Data'!$B$7:$B$366,C2545)</x:f>
        <x:v>0.2914349276974416</x:v>
      </x:c>
      <x:c r="I2545" s="382" t="n">
        <x:f>SUMIFS('Climate Data'!$H$7:$H$366,'Climate Data'!$A$7:$A$366,'Estimator'!$B$4,'Climate Data'!$B$7:$B$366,C2545)</x:f>
        <x:v>9.043129770992365</x:v>
      </x:c>
      <x:c r="J2545" s="381" t="n">
        <x:f>SUMIFS('Wind Proxy'!$H$8:$H$19,'Wind Proxy'!$A$8:$A$19,'Estimator'!$B$4,'Wind Proxy'!$B$8:$B$19,C2545)</x:f>
        <x:v>0.12544802867383514</x:v>
      </x:c>
    </x:row>
    <x:row r="2546">
      <x:c r="A2546" s="379" t="n">
        <x:v>48197</x:v>
      </x:c>
      <x:c r="B2546" s="380" t="n">
        <x:v>2031</x:v>
      </x:c>
      <x:c r="C2546" s="380" t="n">
        <x:v>12</x:v>
      </x:c>
      <x:c r="D2546" s="380" t="str">
        <x:v>Dec</x:v>
      </x:c>
      <x:c r="E2546" s="380" t="n">
        <x:v>15</x:v>
      </x:c>
      <x:c r="F2546" s="380" t="n">
        <x:v>1</x:v>
      </x:c>
      <x:c r="G2546" s="380" t="n">
        <x:f>--(F2546&lt;='Estimator'!$B$7)</x:f>
        <x:v>1</x:v>
      </x:c>
      <x:c r="H2546" s="381" t="n">
        <x:f>SUMIFS('Climate Data'!$G$7:$G$366,'Climate Data'!$A$7:$A$366,'Estimator'!$B$4,'Climate Data'!$B$7:$B$366,C2546)</x:f>
        <x:v>0.2914349276974416</x:v>
      </x:c>
      <x:c r="I2546" s="382" t="n">
        <x:f>SUMIFS('Climate Data'!$H$7:$H$366,'Climate Data'!$A$7:$A$366,'Estimator'!$B$4,'Climate Data'!$B$7:$B$366,C2546)</x:f>
        <x:v>9.043129770992365</x:v>
      </x:c>
      <x:c r="J2546" s="381" t="n">
        <x:f>SUMIFS('Wind Proxy'!$H$8:$H$19,'Wind Proxy'!$A$8:$A$19,'Estimator'!$B$4,'Wind Proxy'!$B$8:$B$19,C2546)</x:f>
        <x:v>0.12544802867383514</x:v>
      </x:c>
    </x:row>
    <x:row r="2547">
      <x:c r="A2547" s="379" t="n">
        <x:v>48198</x:v>
      </x:c>
      <x:c r="B2547" s="380" t="n">
        <x:v>2031</x:v>
      </x:c>
      <x:c r="C2547" s="380" t="n">
        <x:v>12</x:v>
      </x:c>
      <x:c r="D2547" s="380" t="str">
        <x:v>Dec</x:v>
      </x:c>
      <x:c r="E2547" s="380" t="n">
        <x:v>16</x:v>
      </x:c>
      <x:c r="F2547" s="380" t="n">
        <x:v>2</x:v>
      </x:c>
      <x:c r="G2547" s="380" t="n">
        <x:f>--(F2547&lt;='Estimator'!$B$7)</x:f>
        <x:v>1</x:v>
      </x:c>
      <x:c r="H2547" s="381" t="n">
        <x:f>SUMIFS('Climate Data'!$G$7:$G$366,'Climate Data'!$A$7:$A$366,'Estimator'!$B$4,'Climate Data'!$B$7:$B$366,C2547)</x:f>
        <x:v>0.2914349276974416</x:v>
      </x:c>
      <x:c r="I2547" s="382" t="n">
        <x:f>SUMIFS('Climate Data'!$H$7:$H$366,'Climate Data'!$A$7:$A$366,'Estimator'!$B$4,'Climate Data'!$B$7:$B$366,C2547)</x:f>
        <x:v>9.043129770992365</x:v>
      </x:c>
      <x:c r="J2547" s="381" t="n">
        <x:f>SUMIFS('Wind Proxy'!$H$8:$H$19,'Wind Proxy'!$A$8:$A$19,'Estimator'!$B$4,'Wind Proxy'!$B$8:$B$19,C2547)</x:f>
        <x:v>0.12544802867383514</x:v>
      </x:c>
    </x:row>
    <x:row r="2548">
      <x:c r="A2548" s="379" t="n">
        <x:v>48199</x:v>
      </x:c>
      <x:c r="B2548" s="380" t="n">
        <x:v>2031</x:v>
      </x:c>
      <x:c r="C2548" s="380" t="n">
        <x:v>12</x:v>
      </x:c>
      <x:c r="D2548" s="380" t="str">
        <x:v>Dec</x:v>
      </x:c>
      <x:c r="E2548" s="380" t="n">
        <x:v>17</x:v>
      </x:c>
      <x:c r="F2548" s="380" t="n">
        <x:v>3</x:v>
      </x:c>
      <x:c r="G2548" s="380" t="n">
        <x:f>--(F2548&lt;='Estimator'!$B$7)</x:f>
        <x:v>1</x:v>
      </x:c>
      <x:c r="H2548" s="381" t="n">
        <x:f>SUMIFS('Climate Data'!$G$7:$G$366,'Climate Data'!$A$7:$A$366,'Estimator'!$B$4,'Climate Data'!$B$7:$B$366,C2548)</x:f>
        <x:v>0.2914349276974416</x:v>
      </x:c>
      <x:c r="I2548" s="382" t="n">
        <x:f>SUMIFS('Climate Data'!$H$7:$H$366,'Climate Data'!$A$7:$A$366,'Estimator'!$B$4,'Climate Data'!$B$7:$B$366,C2548)</x:f>
        <x:v>9.043129770992365</x:v>
      </x:c>
      <x:c r="J2548" s="381" t="n">
        <x:f>SUMIFS('Wind Proxy'!$H$8:$H$19,'Wind Proxy'!$A$8:$A$19,'Estimator'!$B$4,'Wind Proxy'!$B$8:$B$19,C2548)</x:f>
        <x:v>0.12544802867383514</x:v>
      </x:c>
    </x:row>
    <x:row r="2549">
      <x:c r="A2549" s="379" t="n">
        <x:v>48200</x:v>
      </x:c>
      <x:c r="B2549" s="380" t="n">
        <x:v>2031</x:v>
      </x:c>
      <x:c r="C2549" s="380" t="n">
        <x:v>12</x:v>
      </x:c>
      <x:c r="D2549" s="380" t="str">
        <x:v>Dec</x:v>
      </x:c>
      <x:c r="E2549" s="380" t="n">
        <x:v>18</x:v>
      </x:c>
      <x:c r="F2549" s="380" t="n">
        <x:v>4</x:v>
      </x:c>
      <x:c r="G2549" s="380" t="n">
        <x:f>--(F2549&lt;='Estimator'!$B$7)</x:f>
        <x:v>1</x:v>
      </x:c>
      <x:c r="H2549" s="381" t="n">
        <x:f>SUMIFS('Climate Data'!$G$7:$G$366,'Climate Data'!$A$7:$A$366,'Estimator'!$B$4,'Climate Data'!$B$7:$B$366,C2549)</x:f>
        <x:v>0.2914349276974416</x:v>
      </x:c>
      <x:c r="I2549" s="382" t="n">
        <x:f>SUMIFS('Climate Data'!$H$7:$H$366,'Climate Data'!$A$7:$A$366,'Estimator'!$B$4,'Climate Data'!$B$7:$B$366,C2549)</x:f>
        <x:v>9.043129770992365</x:v>
      </x:c>
      <x:c r="J2549" s="381" t="n">
        <x:f>SUMIFS('Wind Proxy'!$H$8:$H$19,'Wind Proxy'!$A$8:$A$19,'Estimator'!$B$4,'Wind Proxy'!$B$8:$B$19,C2549)</x:f>
        <x:v>0.12544802867383514</x:v>
      </x:c>
    </x:row>
    <x:row r="2550">
      <x:c r="A2550" s="379" t="n">
        <x:v>48201</x:v>
      </x:c>
      <x:c r="B2550" s="380" t="n">
        <x:v>2031</x:v>
      </x:c>
      <x:c r="C2550" s="380" t="n">
        <x:v>12</x:v>
      </x:c>
      <x:c r="D2550" s="380" t="str">
        <x:v>Dec</x:v>
      </x:c>
      <x:c r="E2550" s="380" t="n">
        <x:v>19</x:v>
      </x:c>
      <x:c r="F2550" s="380" t="n">
        <x:v>5</x:v>
      </x:c>
      <x:c r="G2550" s="380" t="n">
        <x:f>--(F2550&lt;='Estimator'!$B$7)</x:f>
        <x:v>1</x:v>
      </x:c>
      <x:c r="H2550" s="381" t="n">
        <x:f>SUMIFS('Climate Data'!$G$7:$G$366,'Climate Data'!$A$7:$A$366,'Estimator'!$B$4,'Climate Data'!$B$7:$B$366,C2550)</x:f>
        <x:v>0.2914349276974416</x:v>
      </x:c>
      <x:c r="I2550" s="382" t="n">
        <x:f>SUMIFS('Climate Data'!$H$7:$H$366,'Climate Data'!$A$7:$A$366,'Estimator'!$B$4,'Climate Data'!$B$7:$B$366,C2550)</x:f>
        <x:v>9.043129770992365</x:v>
      </x:c>
      <x:c r="J2550" s="381" t="n">
        <x:f>SUMIFS('Wind Proxy'!$H$8:$H$19,'Wind Proxy'!$A$8:$A$19,'Estimator'!$B$4,'Wind Proxy'!$B$8:$B$19,C2550)</x:f>
        <x:v>0.12544802867383514</x:v>
      </x:c>
    </x:row>
    <x:row r="2551">
      <x:c r="A2551" s="379" t="n">
        <x:v>48202</x:v>
      </x:c>
      <x:c r="B2551" s="380" t="n">
        <x:v>2031</x:v>
      </x:c>
      <x:c r="C2551" s="380" t="n">
        <x:v>12</x:v>
      </x:c>
      <x:c r="D2551" s="380" t="str">
        <x:v>Dec</x:v>
      </x:c>
      <x:c r="E2551" s="380" t="n">
        <x:v>20</x:v>
      </x:c>
      <x:c r="F2551" s="380" t="n">
        <x:v>6</x:v>
      </x:c>
      <x:c r="G2551" s="380" t="n">
        <x:f>--(F2551&lt;='Estimator'!$B$7)</x:f>
        <x:v>0</x:v>
      </x:c>
      <x:c r="H2551" s="381" t="n">
        <x:f>SUMIFS('Climate Data'!$G$7:$G$366,'Climate Data'!$A$7:$A$366,'Estimator'!$B$4,'Climate Data'!$B$7:$B$366,C2551)</x:f>
        <x:v>0.2914349276974416</x:v>
      </x:c>
      <x:c r="I2551" s="382" t="n">
        <x:f>SUMIFS('Climate Data'!$H$7:$H$366,'Climate Data'!$A$7:$A$366,'Estimator'!$B$4,'Climate Data'!$B$7:$B$366,C2551)</x:f>
        <x:v>9.043129770992365</x:v>
      </x:c>
      <x:c r="J2551" s="381" t="n">
        <x:f>SUMIFS('Wind Proxy'!$H$8:$H$19,'Wind Proxy'!$A$8:$A$19,'Estimator'!$B$4,'Wind Proxy'!$B$8:$B$19,C2551)</x:f>
        <x:v>0.12544802867383514</x:v>
      </x:c>
    </x:row>
    <x:row r="2552">
      <x:c r="A2552" s="379" t="n">
        <x:v>48203</x:v>
      </x:c>
      <x:c r="B2552" s="380" t="n">
        <x:v>2031</x:v>
      </x:c>
      <x:c r="C2552" s="380" t="n">
        <x:v>12</x:v>
      </x:c>
      <x:c r="D2552" s="380" t="str">
        <x:v>Dec</x:v>
      </x:c>
      <x:c r="E2552" s="380" t="n">
        <x:v>21</x:v>
      </x:c>
      <x:c r="F2552" s="380" t="n">
        <x:v>7</x:v>
      </x:c>
      <x:c r="G2552" s="380" t="n">
        <x:f>--(F2552&lt;='Estimator'!$B$7)</x:f>
        <x:v>0</x:v>
      </x:c>
      <x:c r="H2552" s="381" t="n">
        <x:f>SUMIFS('Climate Data'!$G$7:$G$366,'Climate Data'!$A$7:$A$366,'Estimator'!$B$4,'Climate Data'!$B$7:$B$366,C2552)</x:f>
        <x:v>0.2914349276974416</x:v>
      </x:c>
      <x:c r="I2552" s="382" t="n">
        <x:f>SUMIFS('Climate Data'!$H$7:$H$366,'Climate Data'!$A$7:$A$366,'Estimator'!$B$4,'Climate Data'!$B$7:$B$366,C2552)</x:f>
        <x:v>9.043129770992365</x:v>
      </x:c>
      <x:c r="J2552" s="381" t="n">
        <x:f>SUMIFS('Wind Proxy'!$H$8:$H$19,'Wind Proxy'!$A$8:$A$19,'Estimator'!$B$4,'Wind Proxy'!$B$8:$B$19,C2552)</x:f>
        <x:v>0.12544802867383514</x:v>
      </x:c>
    </x:row>
    <x:row r="2553">
      <x:c r="A2553" s="379" t="n">
        <x:v>48204</x:v>
      </x:c>
      <x:c r="B2553" s="380" t="n">
        <x:v>2031</x:v>
      </x:c>
      <x:c r="C2553" s="380" t="n">
        <x:v>12</x:v>
      </x:c>
      <x:c r="D2553" s="380" t="str">
        <x:v>Dec</x:v>
      </x:c>
      <x:c r="E2553" s="380" t="n">
        <x:v>22</x:v>
      </x:c>
      <x:c r="F2553" s="380" t="n">
        <x:v>1</x:v>
      </x:c>
      <x:c r="G2553" s="380" t="n">
        <x:f>--(F2553&lt;='Estimator'!$B$7)</x:f>
        <x:v>1</x:v>
      </x:c>
      <x:c r="H2553" s="381" t="n">
        <x:f>SUMIFS('Climate Data'!$G$7:$G$366,'Climate Data'!$A$7:$A$366,'Estimator'!$B$4,'Climate Data'!$B$7:$B$366,C2553)</x:f>
        <x:v>0.2914349276974416</x:v>
      </x:c>
      <x:c r="I2553" s="382" t="n">
        <x:f>SUMIFS('Climate Data'!$H$7:$H$366,'Climate Data'!$A$7:$A$366,'Estimator'!$B$4,'Climate Data'!$B$7:$B$366,C2553)</x:f>
        <x:v>9.043129770992365</x:v>
      </x:c>
      <x:c r="J2553" s="381" t="n">
        <x:f>SUMIFS('Wind Proxy'!$H$8:$H$19,'Wind Proxy'!$A$8:$A$19,'Estimator'!$B$4,'Wind Proxy'!$B$8:$B$19,C2553)</x:f>
        <x:v>0.12544802867383514</x:v>
      </x:c>
    </x:row>
    <x:row r="2554">
      <x:c r="A2554" s="379" t="n">
        <x:v>48205</x:v>
      </x:c>
      <x:c r="B2554" s="380" t="n">
        <x:v>2031</x:v>
      </x:c>
      <x:c r="C2554" s="380" t="n">
        <x:v>12</x:v>
      </x:c>
      <x:c r="D2554" s="380" t="str">
        <x:v>Dec</x:v>
      </x:c>
      <x:c r="E2554" s="380" t="n">
        <x:v>23</x:v>
      </x:c>
      <x:c r="F2554" s="380" t="n">
        <x:v>2</x:v>
      </x:c>
      <x:c r="G2554" s="380" t="n">
        <x:f>--(F2554&lt;='Estimator'!$B$7)</x:f>
        <x:v>1</x:v>
      </x:c>
      <x:c r="H2554" s="381" t="n">
        <x:f>SUMIFS('Climate Data'!$G$7:$G$366,'Climate Data'!$A$7:$A$366,'Estimator'!$B$4,'Climate Data'!$B$7:$B$366,C2554)</x:f>
        <x:v>0.2914349276974416</x:v>
      </x:c>
      <x:c r="I2554" s="382" t="n">
        <x:f>SUMIFS('Climate Data'!$H$7:$H$366,'Climate Data'!$A$7:$A$366,'Estimator'!$B$4,'Climate Data'!$B$7:$B$366,C2554)</x:f>
        <x:v>9.043129770992365</x:v>
      </x:c>
      <x:c r="J2554" s="381" t="n">
        <x:f>SUMIFS('Wind Proxy'!$H$8:$H$19,'Wind Proxy'!$A$8:$A$19,'Estimator'!$B$4,'Wind Proxy'!$B$8:$B$19,C2554)</x:f>
        <x:v>0.12544802867383514</x:v>
      </x:c>
    </x:row>
    <x:row r="2555">
      <x:c r="A2555" s="379" t="n">
        <x:v>48206</x:v>
      </x:c>
      <x:c r="B2555" s="380" t="n">
        <x:v>2031</x:v>
      </x:c>
      <x:c r="C2555" s="380" t="n">
        <x:v>12</x:v>
      </x:c>
      <x:c r="D2555" s="380" t="str">
        <x:v>Dec</x:v>
      </x:c>
      <x:c r="E2555" s="380" t="n">
        <x:v>24</x:v>
      </x:c>
      <x:c r="F2555" s="380" t="n">
        <x:v>3</x:v>
      </x:c>
      <x:c r="G2555" s="380" t="n">
        <x:f>--(F2555&lt;='Estimator'!$B$7)</x:f>
        <x:v>1</x:v>
      </x:c>
      <x:c r="H2555" s="381" t="n">
        <x:f>SUMIFS('Climate Data'!$G$7:$G$366,'Climate Data'!$A$7:$A$366,'Estimator'!$B$4,'Climate Data'!$B$7:$B$366,C2555)</x:f>
        <x:v>0.2914349276974416</x:v>
      </x:c>
      <x:c r="I2555" s="382" t="n">
        <x:f>SUMIFS('Climate Data'!$H$7:$H$366,'Climate Data'!$A$7:$A$366,'Estimator'!$B$4,'Climate Data'!$B$7:$B$366,C2555)</x:f>
        <x:v>9.043129770992365</x:v>
      </x:c>
      <x:c r="J2555" s="381" t="n">
        <x:f>SUMIFS('Wind Proxy'!$H$8:$H$19,'Wind Proxy'!$A$8:$A$19,'Estimator'!$B$4,'Wind Proxy'!$B$8:$B$19,C2555)</x:f>
        <x:v>0.12544802867383514</x:v>
      </x:c>
    </x:row>
    <x:row r="2556">
      <x:c r="A2556" s="379" t="n">
        <x:v>48207</x:v>
      </x:c>
      <x:c r="B2556" s="380" t="n">
        <x:v>2031</x:v>
      </x:c>
      <x:c r="C2556" s="380" t="n">
        <x:v>12</x:v>
      </x:c>
      <x:c r="D2556" s="380" t="str">
        <x:v>Dec</x:v>
      </x:c>
      <x:c r="E2556" s="380" t="n">
        <x:v>25</x:v>
      </x:c>
      <x:c r="F2556" s="380" t="n">
        <x:v>4</x:v>
      </x:c>
      <x:c r="G2556" s="380" t="n">
        <x:f>--(F2556&lt;='Estimator'!$B$7)</x:f>
        <x:v>1</x:v>
      </x:c>
      <x:c r="H2556" s="381" t="n">
        <x:f>SUMIFS('Climate Data'!$G$7:$G$366,'Climate Data'!$A$7:$A$366,'Estimator'!$B$4,'Climate Data'!$B$7:$B$366,C2556)</x:f>
        <x:v>0.2914349276974416</x:v>
      </x:c>
      <x:c r="I2556" s="382" t="n">
        <x:f>SUMIFS('Climate Data'!$H$7:$H$366,'Climate Data'!$A$7:$A$366,'Estimator'!$B$4,'Climate Data'!$B$7:$B$366,C2556)</x:f>
        <x:v>9.043129770992365</x:v>
      </x:c>
      <x:c r="J2556" s="381" t="n">
        <x:f>SUMIFS('Wind Proxy'!$H$8:$H$19,'Wind Proxy'!$A$8:$A$19,'Estimator'!$B$4,'Wind Proxy'!$B$8:$B$19,C2556)</x:f>
        <x:v>0.12544802867383514</x:v>
      </x:c>
    </x:row>
    <x:row r="2557">
      <x:c r="A2557" s="379" t="n">
        <x:v>48208</x:v>
      </x:c>
      <x:c r="B2557" s="380" t="n">
        <x:v>2031</x:v>
      </x:c>
      <x:c r="C2557" s="380" t="n">
        <x:v>12</x:v>
      </x:c>
      <x:c r="D2557" s="380" t="str">
        <x:v>Dec</x:v>
      </x:c>
      <x:c r="E2557" s="380" t="n">
        <x:v>26</x:v>
      </x:c>
      <x:c r="F2557" s="380" t="n">
        <x:v>5</x:v>
      </x:c>
      <x:c r="G2557" s="380" t="n">
        <x:f>--(F2557&lt;='Estimator'!$B$7)</x:f>
        <x:v>1</x:v>
      </x:c>
      <x:c r="H2557" s="381" t="n">
        <x:f>SUMIFS('Climate Data'!$G$7:$G$366,'Climate Data'!$A$7:$A$366,'Estimator'!$B$4,'Climate Data'!$B$7:$B$366,C2557)</x:f>
        <x:v>0.2914349276974416</x:v>
      </x:c>
      <x:c r="I2557" s="382" t="n">
        <x:f>SUMIFS('Climate Data'!$H$7:$H$366,'Climate Data'!$A$7:$A$366,'Estimator'!$B$4,'Climate Data'!$B$7:$B$366,C2557)</x:f>
        <x:v>9.043129770992365</x:v>
      </x:c>
      <x:c r="J2557" s="381" t="n">
        <x:f>SUMIFS('Wind Proxy'!$H$8:$H$19,'Wind Proxy'!$A$8:$A$19,'Estimator'!$B$4,'Wind Proxy'!$B$8:$B$19,C2557)</x:f>
        <x:v>0.12544802867383514</x:v>
      </x:c>
    </x:row>
    <x:row r="2558">
      <x:c r="A2558" s="379" t="n">
        <x:v>48209</x:v>
      </x:c>
      <x:c r="B2558" s="380" t="n">
        <x:v>2031</x:v>
      </x:c>
      <x:c r="C2558" s="380" t="n">
        <x:v>12</x:v>
      </x:c>
      <x:c r="D2558" s="380" t="str">
        <x:v>Dec</x:v>
      </x:c>
      <x:c r="E2558" s="380" t="n">
        <x:v>27</x:v>
      </x:c>
      <x:c r="F2558" s="380" t="n">
        <x:v>6</x:v>
      </x:c>
      <x:c r="G2558" s="380" t="n">
        <x:f>--(F2558&lt;='Estimator'!$B$7)</x:f>
        <x:v>0</x:v>
      </x:c>
      <x:c r="H2558" s="381" t="n">
        <x:f>SUMIFS('Climate Data'!$G$7:$G$366,'Climate Data'!$A$7:$A$366,'Estimator'!$B$4,'Climate Data'!$B$7:$B$366,C2558)</x:f>
        <x:v>0.2914349276974416</x:v>
      </x:c>
      <x:c r="I2558" s="382" t="n">
        <x:f>SUMIFS('Climate Data'!$H$7:$H$366,'Climate Data'!$A$7:$A$366,'Estimator'!$B$4,'Climate Data'!$B$7:$B$366,C2558)</x:f>
        <x:v>9.043129770992365</x:v>
      </x:c>
      <x:c r="J2558" s="381" t="n">
        <x:f>SUMIFS('Wind Proxy'!$H$8:$H$19,'Wind Proxy'!$A$8:$A$19,'Estimator'!$B$4,'Wind Proxy'!$B$8:$B$19,C2558)</x:f>
        <x:v>0.12544802867383514</x:v>
      </x:c>
    </x:row>
    <x:row r="2559">
      <x:c r="A2559" s="379" t="n">
        <x:v>48210</x:v>
      </x:c>
      <x:c r="B2559" s="380" t="n">
        <x:v>2031</x:v>
      </x:c>
      <x:c r="C2559" s="380" t="n">
        <x:v>12</x:v>
      </x:c>
      <x:c r="D2559" s="380" t="str">
        <x:v>Dec</x:v>
      </x:c>
      <x:c r="E2559" s="380" t="n">
        <x:v>28</x:v>
      </x:c>
      <x:c r="F2559" s="380" t="n">
        <x:v>7</x:v>
      </x:c>
      <x:c r="G2559" s="380" t="n">
        <x:f>--(F2559&lt;='Estimator'!$B$7)</x:f>
        <x:v>0</x:v>
      </x:c>
      <x:c r="H2559" s="381" t="n">
        <x:f>SUMIFS('Climate Data'!$G$7:$G$366,'Climate Data'!$A$7:$A$366,'Estimator'!$B$4,'Climate Data'!$B$7:$B$366,C2559)</x:f>
        <x:v>0.2914349276974416</x:v>
      </x:c>
      <x:c r="I2559" s="382" t="n">
        <x:f>SUMIFS('Climate Data'!$H$7:$H$366,'Climate Data'!$A$7:$A$366,'Estimator'!$B$4,'Climate Data'!$B$7:$B$366,C2559)</x:f>
        <x:v>9.043129770992365</x:v>
      </x:c>
      <x:c r="J2559" s="381" t="n">
        <x:f>SUMIFS('Wind Proxy'!$H$8:$H$19,'Wind Proxy'!$A$8:$A$19,'Estimator'!$B$4,'Wind Proxy'!$B$8:$B$19,C2559)</x:f>
        <x:v>0.12544802867383514</x:v>
      </x:c>
    </x:row>
    <x:row r="2560">
      <x:c r="A2560" s="379" t="n">
        <x:v>48211</x:v>
      </x:c>
      <x:c r="B2560" s="380" t="n">
        <x:v>2031</x:v>
      </x:c>
      <x:c r="C2560" s="380" t="n">
        <x:v>12</x:v>
      </x:c>
      <x:c r="D2560" s="380" t="str">
        <x:v>Dec</x:v>
      </x:c>
      <x:c r="E2560" s="380" t="n">
        <x:v>29</x:v>
      </x:c>
      <x:c r="F2560" s="380" t="n">
        <x:v>1</x:v>
      </x:c>
      <x:c r="G2560" s="380" t="n">
        <x:f>--(F2560&lt;='Estimator'!$B$7)</x:f>
        <x:v>1</x:v>
      </x:c>
      <x:c r="H2560" s="381" t="n">
        <x:f>SUMIFS('Climate Data'!$G$7:$G$366,'Climate Data'!$A$7:$A$366,'Estimator'!$B$4,'Climate Data'!$B$7:$B$366,C2560)</x:f>
        <x:v>0.2914349276974416</x:v>
      </x:c>
      <x:c r="I2560" s="382" t="n">
        <x:f>SUMIFS('Climate Data'!$H$7:$H$366,'Climate Data'!$A$7:$A$366,'Estimator'!$B$4,'Climate Data'!$B$7:$B$366,C2560)</x:f>
        <x:v>9.043129770992365</x:v>
      </x:c>
      <x:c r="J2560" s="381" t="n">
        <x:f>SUMIFS('Wind Proxy'!$H$8:$H$19,'Wind Proxy'!$A$8:$A$19,'Estimator'!$B$4,'Wind Proxy'!$B$8:$B$19,C2560)</x:f>
        <x:v>0.12544802867383514</x:v>
      </x:c>
    </x:row>
    <x:row r="2561">
      <x:c r="A2561" s="379" t="n">
        <x:v>48212</x:v>
      </x:c>
      <x:c r="B2561" s="380" t="n">
        <x:v>2031</x:v>
      </x:c>
      <x:c r="C2561" s="380" t="n">
        <x:v>12</x:v>
      </x:c>
      <x:c r="D2561" s="380" t="str">
        <x:v>Dec</x:v>
      </x:c>
      <x:c r="E2561" s="380" t="n">
        <x:v>30</x:v>
      </x:c>
      <x:c r="F2561" s="380" t="n">
        <x:v>2</x:v>
      </x:c>
      <x:c r="G2561" s="380" t="n">
        <x:f>--(F2561&lt;='Estimator'!$B$7)</x:f>
        <x:v>1</x:v>
      </x:c>
      <x:c r="H2561" s="381" t="n">
        <x:f>SUMIFS('Climate Data'!$G$7:$G$366,'Climate Data'!$A$7:$A$366,'Estimator'!$B$4,'Climate Data'!$B$7:$B$366,C2561)</x:f>
        <x:v>0.2914349276974416</x:v>
      </x:c>
      <x:c r="I2561" s="382" t="n">
        <x:f>SUMIFS('Climate Data'!$H$7:$H$366,'Climate Data'!$A$7:$A$366,'Estimator'!$B$4,'Climate Data'!$B$7:$B$366,C2561)</x:f>
        <x:v>9.043129770992365</x:v>
      </x:c>
      <x:c r="J2561" s="381" t="n">
        <x:f>SUMIFS('Wind Proxy'!$H$8:$H$19,'Wind Proxy'!$A$8:$A$19,'Estimator'!$B$4,'Wind Proxy'!$B$8:$B$19,C2561)</x:f>
        <x:v>0.12544802867383514</x:v>
      </x:c>
    </x:row>
    <x:row r="2562">
      <x:c r="A2562" s="379" t="n">
        <x:v>48213</x:v>
      </x:c>
      <x:c r="B2562" s="380" t="n">
        <x:v>2031</x:v>
      </x:c>
      <x:c r="C2562" s="380" t="n">
        <x:v>12</x:v>
      </x:c>
      <x:c r="D2562" s="380" t="str">
        <x:v>Dec</x:v>
      </x:c>
      <x:c r="E2562" s="380" t="n">
        <x:v>31</x:v>
      </x:c>
      <x:c r="F2562" s="380" t="n">
        <x:v>3</x:v>
      </x:c>
      <x:c r="G2562" s="380" t="n">
        <x:f>--(F2562&lt;='Estimator'!$B$7)</x:f>
        <x:v>1</x:v>
      </x:c>
      <x:c r="H2562" s="381" t="n">
        <x:f>SUMIFS('Climate Data'!$G$7:$G$366,'Climate Data'!$A$7:$A$366,'Estimator'!$B$4,'Climate Data'!$B$7:$B$366,C2562)</x:f>
        <x:v>0.2914349276974416</x:v>
      </x:c>
      <x:c r="I2562" s="382" t="n">
        <x:f>SUMIFS('Climate Data'!$H$7:$H$366,'Climate Data'!$A$7:$A$366,'Estimator'!$B$4,'Climate Data'!$B$7:$B$366,C2562)</x:f>
        <x:v>9.043129770992365</x:v>
      </x:c>
      <x:c r="J2562" s="381" t="n">
        <x:f>SUMIFS('Wind Proxy'!$H$8:$H$19,'Wind Proxy'!$A$8:$A$19,'Estimator'!$B$4,'Wind Proxy'!$B$8:$B$19,C2562)</x:f>
        <x:v>0.12544802867383514</x:v>
      </x:c>
    </x:row>
    <x:row r="2563">
      <x:c r="A2563" s="379" t="n">
        <x:v>48214</x:v>
      </x:c>
      <x:c r="B2563" s="380" t="n">
        <x:v>2032</x:v>
      </x:c>
      <x:c r="C2563" s="380" t="n">
        <x:v>1</x:v>
      </x:c>
      <x:c r="D2563" s="380" t="str">
        <x:v>Jan</x:v>
      </x:c>
      <x:c r="E2563" s="380" t="n">
        <x:v>1</x:v>
      </x:c>
      <x:c r="F2563" s="380" t="n">
        <x:v>4</x:v>
      </x:c>
      <x:c r="G2563" s="380" t="n">
        <x:f>--(F2563&lt;='Estimator'!$B$7)</x:f>
        <x:v>1</x:v>
      </x:c>
      <x:c r="H2563" s="381" t="n">
        <x:f>SUMIFS('Climate Data'!$G$7:$G$366,'Climate Data'!$A$7:$A$366,'Estimator'!$B$4,'Climate Data'!$B$7:$B$366,C2563)</x:f>
        <x:v>0.21802002224694106</x:v>
      </x:c>
      <x:c r="I2563" s="382" t="n">
        <x:f>SUMIFS('Climate Data'!$H$7:$H$366,'Climate Data'!$A$7:$A$366,'Estimator'!$B$4,'Climate Data'!$B$7:$B$366,C2563)</x:f>
        <x:v>8.596428571428572</x:v>
      </x:c>
      <x:c r="J2563" s="381" t="n">
        <x:f>SUMIFS('Wind Proxy'!$H$8:$H$19,'Wind Proxy'!$A$8:$A$19,'Estimator'!$B$4,'Wind Proxy'!$B$8:$B$19,C2563)</x:f>
        <x:v>0.12544802867383514</x:v>
      </x:c>
    </x:row>
    <x:row r="2564">
      <x:c r="A2564" s="379" t="n">
        <x:v>48215</x:v>
      </x:c>
      <x:c r="B2564" s="380" t="n">
        <x:v>2032</x:v>
      </x:c>
      <x:c r="C2564" s="380" t="n">
        <x:v>1</x:v>
      </x:c>
      <x:c r="D2564" s="380" t="str">
        <x:v>Jan</x:v>
      </x:c>
      <x:c r="E2564" s="380" t="n">
        <x:v>2</x:v>
      </x:c>
      <x:c r="F2564" s="380" t="n">
        <x:v>5</x:v>
      </x:c>
      <x:c r="G2564" s="380" t="n">
        <x:f>--(F2564&lt;='Estimator'!$B$7)</x:f>
        <x:v>1</x:v>
      </x:c>
      <x:c r="H2564" s="381" t="n">
        <x:f>SUMIFS('Climate Data'!$G$7:$G$366,'Climate Data'!$A$7:$A$366,'Estimator'!$B$4,'Climate Data'!$B$7:$B$366,C2564)</x:f>
        <x:v>0.21802002224694106</x:v>
      </x:c>
      <x:c r="I2564" s="382" t="n">
        <x:f>SUMIFS('Climate Data'!$H$7:$H$366,'Climate Data'!$A$7:$A$366,'Estimator'!$B$4,'Climate Data'!$B$7:$B$366,C2564)</x:f>
        <x:v>8.596428571428572</x:v>
      </x:c>
      <x:c r="J2564" s="381" t="n">
        <x:f>SUMIFS('Wind Proxy'!$H$8:$H$19,'Wind Proxy'!$A$8:$A$19,'Estimator'!$B$4,'Wind Proxy'!$B$8:$B$19,C2564)</x:f>
        <x:v>0.12544802867383514</x:v>
      </x:c>
    </x:row>
    <x:row r="2565">
      <x:c r="A2565" s="379" t="n">
        <x:v>48216</x:v>
      </x:c>
      <x:c r="B2565" s="380" t="n">
        <x:v>2032</x:v>
      </x:c>
      <x:c r="C2565" s="380" t="n">
        <x:v>1</x:v>
      </x:c>
      <x:c r="D2565" s="380" t="str">
        <x:v>Jan</x:v>
      </x:c>
      <x:c r="E2565" s="380" t="n">
        <x:v>3</x:v>
      </x:c>
      <x:c r="F2565" s="380" t="n">
        <x:v>6</x:v>
      </x:c>
      <x:c r="G2565" s="380" t="n">
        <x:f>--(F2565&lt;='Estimator'!$B$7)</x:f>
        <x:v>0</x:v>
      </x:c>
      <x:c r="H2565" s="381" t="n">
        <x:f>SUMIFS('Climate Data'!$G$7:$G$366,'Climate Data'!$A$7:$A$366,'Estimator'!$B$4,'Climate Data'!$B$7:$B$366,C2565)</x:f>
        <x:v>0.21802002224694106</x:v>
      </x:c>
      <x:c r="I2565" s="382" t="n">
        <x:f>SUMIFS('Climate Data'!$H$7:$H$366,'Climate Data'!$A$7:$A$366,'Estimator'!$B$4,'Climate Data'!$B$7:$B$366,C2565)</x:f>
        <x:v>8.596428571428572</x:v>
      </x:c>
      <x:c r="J2565" s="381" t="n">
        <x:f>SUMIFS('Wind Proxy'!$H$8:$H$19,'Wind Proxy'!$A$8:$A$19,'Estimator'!$B$4,'Wind Proxy'!$B$8:$B$19,C2565)</x:f>
        <x:v>0.12544802867383514</x:v>
      </x:c>
    </x:row>
    <x:row r="2566">
      <x:c r="A2566" s="379" t="n">
        <x:v>48217</x:v>
      </x:c>
      <x:c r="B2566" s="380" t="n">
        <x:v>2032</x:v>
      </x:c>
      <x:c r="C2566" s="380" t="n">
        <x:v>1</x:v>
      </x:c>
      <x:c r="D2566" s="380" t="str">
        <x:v>Jan</x:v>
      </x:c>
      <x:c r="E2566" s="380" t="n">
        <x:v>4</x:v>
      </x:c>
      <x:c r="F2566" s="380" t="n">
        <x:v>7</x:v>
      </x:c>
      <x:c r="G2566" s="380" t="n">
        <x:f>--(F2566&lt;='Estimator'!$B$7)</x:f>
        <x:v>0</x:v>
      </x:c>
      <x:c r="H2566" s="381" t="n">
        <x:f>SUMIFS('Climate Data'!$G$7:$G$366,'Climate Data'!$A$7:$A$366,'Estimator'!$B$4,'Climate Data'!$B$7:$B$366,C2566)</x:f>
        <x:v>0.21802002224694106</x:v>
      </x:c>
      <x:c r="I2566" s="382" t="n">
        <x:f>SUMIFS('Climate Data'!$H$7:$H$366,'Climate Data'!$A$7:$A$366,'Estimator'!$B$4,'Climate Data'!$B$7:$B$366,C2566)</x:f>
        <x:v>8.596428571428572</x:v>
      </x:c>
      <x:c r="J2566" s="381" t="n">
        <x:f>SUMIFS('Wind Proxy'!$H$8:$H$19,'Wind Proxy'!$A$8:$A$19,'Estimator'!$B$4,'Wind Proxy'!$B$8:$B$19,C2566)</x:f>
        <x:v>0.12544802867383514</x:v>
      </x:c>
    </x:row>
    <x:row r="2567">
      <x:c r="A2567" s="379" t="n">
        <x:v>48218</x:v>
      </x:c>
      <x:c r="B2567" s="380" t="n">
        <x:v>2032</x:v>
      </x:c>
      <x:c r="C2567" s="380" t="n">
        <x:v>1</x:v>
      </x:c>
      <x:c r="D2567" s="380" t="str">
        <x:v>Jan</x:v>
      </x:c>
      <x:c r="E2567" s="380" t="n">
        <x:v>5</x:v>
      </x:c>
      <x:c r="F2567" s="380" t="n">
        <x:v>1</x:v>
      </x:c>
      <x:c r="G2567" s="380" t="n">
        <x:f>--(F2567&lt;='Estimator'!$B$7)</x:f>
        <x:v>1</x:v>
      </x:c>
      <x:c r="H2567" s="381" t="n">
        <x:f>SUMIFS('Climate Data'!$G$7:$G$366,'Climate Data'!$A$7:$A$366,'Estimator'!$B$4,'Climate Data'!$B$7:$B$366,C2567)</x:f>
        <x:v>0.21802002224694106</x:v>
      </x:c>
      <x:c r="I2567" s="382" t="n">
        <x:f>SUMIFS('Climate Data'!$H$7:$H$366,'Climate Data'!$A$7:$A$366,'Estimator'!$B$4,'Climate Data'!$B$7:$B$366,C2567)</x:f>
        <x:v>8.596428571428572</x:v>
      </x:c>
      <x:c r="J2567" s="381" t="n">
        <x:f>SUMIFS('Wind Proxy'!$H$8:$H$19,'Wind Proxy'!$A$8:$A$19,'Estimator'!$B$4,'Wind Proxy'!$B$8:$B$19,C2567)</x:f>
        <x:v>0.12544802867383514</x:v>
      </x:c>
    </x:row>
    <x:row r="2568">
      <x:c r="A2568" s="379" t="n">
        <x:v>48219</x:v>
      </x:c>
      <x:c r="B2568" s="380" t="n">
        <x:v>2032</x:v>
      </x:c>
      <x:c r="C2568" s="380" t="n">
        <x:v>1</x:v>
      </x:c>
      <x:c r="D2568" s="380" t="str">
        <x:v>Jan</x:v>
      </x:c>
      <x:c r="E2568" s="380" t="n">
        <x:v>6</x:v>
      </x:c>
      <x:c r="F2568" s="380" t="n">
        <x:v>2</x:v>
      </x:c>
      <x:c r="G2568" s="380" t="n">
        <x:f>--(F2568&lt;='Estimator'!$B$7)</x:f>
        <x:v>1</x:v>
      </x:c>
      <x:c r="H2568" s="381" t="n">
        <x:f>SUMIFS('Climate Data'!$G$7:$G$366,'Climate Data'!$A$7:$A$366,'Estimator'!$B$4,'Climate Data'!$B$7:$B$366,C2568)</x:f>
        <x:v>0.21802002224694106</x:v>
      </x:c>
      <x:c r="I2568" s="382" t="n">
        <x:f>SUMIFS('Climate Data'!$H$7:$H$366,'Climate Data'!$A$7:$A$366,'Estimator'!$B$4,'Climate Data'!$B$7:$B$366,C2568)</x:f>
        <x:v>8.596428571428572</x:v>
      </x:c>
      <x:c r="J2568" s="381" t="n">
        <x:f>SUMIFS('Wind Proxy'!$H$8:$H$19,'Wind Proxy'!$A$8:$A$19,'Estimator'!$B$4,'Wind Proxy'!$B$8:$B$19,C2568)</x:f>
        <x:v>0.12544802867383514</x:v>
      </x:c>
    </x:row>
    <x:row r="2569">
      <x:c r="A2569" s="379" t="n">
        <x:v>48220</x:v>
      </x:c>
      <x:c r="B2569" s="380" t="n">
        <x:v>2032</x:v>
      </x:c>
      <x:c r="C2569" s="380" t="n">
        <x:v>1</x:v>
      </x:c>
      <x:c r="D2569" s="380" t="str">
        <x:v>Jan</x:v>
      </x:c>
      <x:c r="E2569" s="380" t="n">
        <x:v>7</x:v>
      </x:c>
      <x:c r="F2569" s="380" t="n">
        <x:v>3</x:v>
      </x:c>
      <x:c r="G2569" s="380" t="n">
        <x:f>--(F2569&lt;='Estimator'!$B$7)</x:f>
        <x:v>1</x:v>
      </x:c>
      <x:c r="H2569" s="381" t="n">
        <x:f>SUMIFS('Climate Data'!$G$7:$G$366,'Climate Data'!$A$7:$A$366,'Estimator'!$B$4,'Climate Data'!$B$7:$B$366,C2569)</x:f>
        <x:v>0.21802002224694106</x:v>
      </x:c>
      <x:c r="I2569" s="382" t="n">
        <x:f>SUMIFS('Climate Data'!$H$7:$H$366,'Climate Data'!$A$7:$A$366,'Estimator'!$B$4,'Climate Data'!$B$7:$B$366,C2569)</x:f>
        <x:v>8.596428571428572</x:v>
      </x:c>
      <x:c r="J2569" s="381" t="n">
        <x:f>SUMIFS('Wind Proxy'!$H$8:$H$19,'Wind Proxy'!$A$8:$A$19,'Estimator'!$B$4,'Wind Proxy'!$B$8:$B$19,C2569)</x:f>
        <x:v>0.12544802867383514</x:v>
      </x:c>
    </x:row>
    <x:row r="2570">
      <x:c r="A2570" s="379" t="n">
        <x:v>48221</x:v>
      </x:c>
      <x:c r="B2570" s="380" t="n">
        <x:v>2032</x:v>
      </x:c>
      <x:c r="C2570" s="380" t="n">
        <x:v>1</x:v>
      </x:c>
      <x:c r="D2570" s="380" t="str">
        <x:v>Jan</x:v>
      </x:c>
      <x:c r="E2570" s="380" t="n">
        <x:v>8</x:v>
      </x:c>
      <x:c r="F2570" s="380" t="n">
        <x:v>4</x:v>
      </x:c>
      <x:c r="G2570" s="380" t="n">
        <x:f>--(F2570&lt;='Estimator'!$B$7)</x:f>
        <x:v>1</x:v>
      </x:c>
      <x:c r="H2570" s="381" t="n">
        <x:f>SUMIFS('Climate Data'!$G$7:$G$366,'Climate Data'!$A$7:$A$366,'Estimator'!$B$4,'Climate Data'!$B$7:$B$366,C2570)</x:f>
        <x:v>0.21802002224694106</x:v>
      </x:c>
      <x:c r="I2570" s="382" t="n">
        <x:f>SUMIFS('Climate Data'!$H$7:$H$366,'Climate Data'!$A$7:$A$366,'Estimator'!$B$4,'Climate Data'!$B$7:$B$366,C2570)</x:f>
        <x:v>8.596428571428572</x:v>
      </x:c>
      <x:c r="J2570" s="381" t="n">
        <x:f>SUMIFS('Wind Proxy'!$H$8:$H$19,'Wind Proxy'!$A$8:$A$19,'Estimator'!$B$4,'Wind Proxy'!$B$8:$B$19,C2570)</x:f>
        <x:v>0.12544802867383514</x:v>
      </x:c>
    </x:row>
    <x:row r="2571">
      <x:c r="A2571" s="379" t="n">
        <x:v>48222</x:v>
      </x:c>
      <x:c r="B2571" s="380" t="n">
        <x:v>2032</x:v>
      </x:c>
      <x:c r="C2571" s="380" t="n">
        <x:v>1</x:v>
      </x:c>
      <x:c r="D2571" s="380" t="str">
        <x:v>Jan</x:v>
      </x:c>
      <x:c r="E2571" s="380" t="n">
        <x:v>9</x:v>
      </x:c>
      <x:c r="F2571" s="380" t="n">
        <x:v>5</x:v>
      </x:c>
      <x:c r="G2571" s="380" t="n">
        <x:f>--(F2571&lt;='Estimator'!$B$7)</x:f>
        <x:v>1</x:v>
      </x:c>
      <x:c r="H2571" s="381" t="n">
        <x:f>SUMIFS('Climate Data'!$G$7:$G$366,'Climate Data'!$A$7:$A$366,'Estimator'!$B$4,'Climate Data'!$B$7:$B$366,C2571)</x:f>
        <x:v>0.21802002224694106</x:v>
      </x:c>
      <x:c r="I2571" s="382" t="n">
        <x:f>SUMIFS('Climate Data'!$H$7:$H$366,'Climate Data'!$A$7:$A$366,'Estimator'!$B$4,'Climate Data'!$B$7:$B$366,C2571)</x:f>
        <x:v>8.596428571428572</x:v>
      </x:c>
      <x:c r="J2571" s="381" t="n">
        <x:f>SUMIFS('Wind Proxy'!$H$8:$H$19,'Wind Proxy'!$A$8:$A$19,'Estimator'!$B$4,'Wind Proxy'!$B$8:$B$19,C2571)</x:f>
        <x:v>0.12544802867383514</x:v>
      </x:c>
    </x:row>
    <x:row r="2572">
      <x:c r="A2572" s="379" t="n">
        <x:v>48223</x:v>
      </x:c>
      <x:c r="B2572" s="380" t="n">
        <x:v>2032</x:v>
      </x:c>
      <x:c r="C2572" s="380" t="n">
        <x:v>1</x:v>
      </x:c>
      <x:c r="D2572" s="380" t="str">
        <x:v>Jan</x:v>
      </x:c>
      <x:c r="E2572" s="380" t="n">
        <x:v>10</x:v>
      </x:c>
      <x:c r="F2572" s="380" t="n">
        <x:v>6</x:v>
      </x:c>
      <x:c r="G2572" s="380" t="n">
        <x:f>--(F2572&lt;='Estimator'!$B$7)</x:f>
        <x:v>0</x:v>
      </x:c>
      <x:c r="H2572" s="381" t="n">
        <x:f>SUMIFS('Climate Data'!$G$7:$G$366,'Climate Data'!$A$7:$A$366,'Estimator'!$B$4,'Climate Data'!$B$7:$B$366,C2572)</x:f>
        <x:v>0.21802002224694106</x:v>
      </x:c>
      <x:c r="I2572" s="382" t="n">
        <x:f>SUMIFS('Climate Data'!$H$7:$H$366,'Climate Data'!$A$7:$A$366,'Estimator'!$B$4,'Climate Data'!$B$7:$B$366,C2572)</x:f>
        <x:v>8.596428571428572</x:v>
      </x:c>
      <x:c r="J2572" s="381" t="n">
        <x:f>SUMIFS('Wind Proxy'!$H$8:$H$19,'Wind Proxy'!$A$8:$A$19,'Estimator'!$B$4,'Wind Proxy'!$B$8:$B$19,C2572)</x:f>
        <x:v>0.12544802867383514</x:v>
      </x:c>
    </x:row>
    <x:row r="2573">
      <x:c r="A2573" s="379" t="n">
        <x:v>48224</x:v>
      </x:c>
      <x:c r="B2573" s="380" t="n">
        <x:v>2032</x:v>
      </x:c>
      <x:c r="C2573" s="380" t="n">
        <x:v>1</x:v>
      </x:c>
      <x:c r="D2573" s="380" t="str">
        <x:v>Jan</x:v>
      </x:c>
      <x:c r="E2573" s="380" t="n">
        <x:v>11</x:v>
      </x:c>
      <x:c r="F2573" s="380" t="n">
        <x:v>7</x:v>
      </x:c>
      <x:c r="G2573" s="380" t="n">
        <x:f>--(F2573&lt;='Estimator'!$B$7)</x:f>
        <x:v>0</x:v>
      </x:c>
      <x:c r="H2573" s="381" t="n">
        <x:f>SUMIFS('Climate Data'!$G$7:$G$366,'Climate Data'!$A$7:$A$366,'Estimator'!$B$4,'Climate Data'!$B$7:$B$366,C2573)</x:f>
        <x:v>0.21802002224694106</x:v>
      </x:c>
      <x:c r="I2573" s="382" t="n">
        <x:f>SUMIFS('Climate Data'!$H$7:$H$366,'Climate Data'!$A$7:$A$366,'Estimator'!$B$4,'Climate Data'!$B$7:$B$366,C2573)</x:f>
        <x:v>8.596428571428572</x:v>
      </x:c>
      <x:c r="J2573" s="381" t="n">
        <x:f>SUMIFS('Wind Proxy'!$H$8:$H$19,'Wind Proxy'!$A$8:$A$19,'Estimator'!$B$4,'Wind Proxy'!$B$8:$B$19,C2573)</x:f>
        <x:v>0.12544802867383514</x:v>
      </x:c>
    </x:row>
    <x:row r="2574">
      <x:c r="A2574" s="379" t="n">
        <x:v>48225</x:v>
      </x:c>
      <x:c r="B2574" s="380" t="n">
        <x:v>2032</x:v>
      </x:c>
      <x:c r="C2574" s="380" t="n">
        <x:v>1</x:v>
      </x:c>
      <x:c r="D2574" s="380" t="str">
        <x:v>Jan</x:v>
      </x:c>
      <x:c r="E2574" s="380" t="n">
        <x:v>12</x:v>
      </x:c>
      <x:c r="F2574" s="380" t="n">
        <x:v>1</x:v>
      </x:c>
      <x:c r="G2574" s="380" t="n">
        <x:f>--(F2574&lt;='Estimator'!$B$7)</x:f>
        <x:v>1</x:v>
      </x:c>
      <x:c r="H2574" s="381" t="n">
        <x:f>SUMIFS('Climate Data'!$G$7:$G$366,'Climate Data'!$A$7:$A$366,'Estimator'!$B$4,'Climate Data'!$B$7:$B$366,C2574)</x:f>
        <x:v>0.21802002224694106</x:v>
      </x:c>
      <x:c r="I2574" s="382" t="n">
        <x:f>SUMIFS('Climate Data'!$H$7:$H$366,'Climate Data'!$A$7:$A$366,'Estimator'!$B$4,'Climate Data'!$B$7:$B$366,C2574)</x:f>
        <x:v>8.596428571428572</x:v>
      </x:c>
      <x:c r="J2574" s="381" t="n">
        <x:f>SUMIFS('Wind Proxy'!$H$8:$H$19,'Wind Proxy'!$A$8:$A$19,'Estimator'!$B$4,'Wind Proxy'!$B$8:$B$19,C2574)</x:f>
        <x:v>0.12544802867383514</x:v>
      </x:c>
    </x:row>
    <x:row r="2575">
      <x:c r="A2575" s="379" t="n">
        <x:v>48226</x:v>
      </x:c>
      <x:c r="B2575" s="380" t="n">
        <x:v>2032</x:v>
      </x:c>
      <x:c r="C2575" s="380" t="n">
        <x:v>1</x:v>
      </x:c>
      <x:c r="D2575" s="380" t="str">
        <x:v>Jan</x:v>
      </x:c>
      <x:c r="E2575" s="380" t="n">
        <x:v>13</x:v>
      </x:c>
      <x:c r="F2575" s="380" t="n">
        <x:v>2</x:v>
      </x:c>
      <x:c r="G2575" s="380" t="n">
        <x:f>--(F2575&lt;='Estimator'!$B$7)</x:f>
        <x:v>1</x:v>
      </x:c>
      <x:c r="H2575" s="381" t="n">
        <x:f>SUMIFS('Climate Data'!$G$7:$G$366,'Climate Data'!$A$7:$A$366,'Estimator'!$B$4,'Climate Data'!$B$7:$B$366,C2575)</x:f>
        <x:v>0.21802002224694106</x:v>
      </x:c>
      <x:c r="I2575" s="382" t="n">
        <x:f>SUMIFS('Climate Data'!$H$7:$H$366,'Climate Data'!$A$7:$A$366,'Estimator'!$B$4,'Climate Data'!$B$7:$B$366,C2575)</x:f>
        <x:v>8.596428571428572</x:v>
      </x:c>
      <x:c r="J2575" s="381" t="n">
        <x:f>SUMIFS('Wind Proxy'!$H$8:$H$19,'Wind Proxy'!$A$8:$A$19,'Estimator'!$B$4,'Wind Proxy'!$B$8:$B$19,C2575)</x:f>
        <x:v>0.12544802867383514</x:v>
      </x:c>
    </x:row>
    <x:row r="2576">
      <x:c r="A2576" s="379" t="n">
        <x:v>48227</x:v>
      </x:c>
      <x:c r="B2576" s="380" t="n">
        <x:v>2032</x:v>
      </x:c>
      <x:c r="C2576" s="380" t="n">
        <x:v>1</x:v>
      </x:c>
      <x:c r="D2576" s="380" t="str">
        <x:v>Jan</x:v>
      </x:c>
      <x:c r="E2576" s="380" t="n">
        <x:v>14</x:v>
      </x:c>
      <x:c r="F2576" s="380" t="n">
        <x:v>3</x:v>
      </x:c>
      <x:c r="G2576" s="380" t="n">
        <x:f>--(F2576&lt;='Estimator'!$B$7)</x:f>
        <x:v>1</x:v>
      </x:c>
      <x:c r="H2576" s="381" t="n">
        <x:f>SUMIFS('Climate Data'!$G$7:$G$366,'Climate Data'!$A$7:$A$366,'Estimator'!$B$4,'Climate Data'!$B$7:$B$366,C2576)</x:f>
        <x:v>0.21802002224694106</x:v>
      </x:c>
      <x:c r="I2576" s="382" t="n">
        <x:f>SUMIFS('Climate Data'!$H$7:$H$366,'Climate Data'!$A$7:$A$366,'Estimator'!$B$4,'Climate Data'!$B$7:$B$366,C2576)</x:f>
        <x:v>8.596428571428572</x:v>
      </x:c>
      <x:c r="J2576" s="381" t="n">
        <x:f>SUMIFS('Wind Proxy'!$H$8:$H$19,'Wind Proxy'!$A$8:$A$19,'Estimator'!$B$4,'Wind Proxy'!$B$8:$B$19,C2576)</x:f>
        <x:v>0.12544802867383514</x:v>
      </x:c>
    </x:row>
    <x:row r="2577">
      <x:c r="A2577" s="379" t="n">
        <x:v>48228</x:v>
      </x:c>
      <x:c r="B2577" s="380" t="n">
        <x:v>2032</x:v>
      </x:c>
      <x:c r="C2577" s="380" t="n">
        <x:v>1</x:v>
      </x:c>
      <x:c r="D2577" s="380" t="str">
        <x:v>Jan</x:v>
      </x:c>
      <x:c r="E2577" s="380" t="n">
        <x:v>15</x:v>
      </x:c>
      <x:c r="F2577" s="380" t="n">
        <x:v>4</x:v>
      </x:c>
      <x:c r="G2577" s="380" t="n">
        <x:f>--(F2577&lt;='Estimator'!$B$7)</x:f>
        <x:v>1</x:v>
      </x:c>
      <x:c r="H2577" s="381" t="n">
        <x:f>SUMIFS('Climate Data'!$G$7:$G$366,'Climate Data'!$A$7:$A$366,'Estimator'!$B$4,'Climate Data'!$B$7:$B$366,C2577)</x:f>
        <x:v>0.21802002224694106</x:v>
      </x:c>
      <x:c r="I2577" s="382" t="n">
        <x:f>SUMIFS('Climate Data'!$H$7:$H$366,'Climate Data'!$A$7:$A$366,'Estimator'!$B$4,'Climate Data'!$B$7:$B$366,C2577)</x:f>
        <x:v>8.596428571428572</x:v>
      </x:c>
      <x:c r="J2577" s="381" t="n">
        <x:f>SUMIFS('Wind Proxy'!$H$8:$H$19,'Wind Proxy'!$A$8:$A$19,'Estimator'!$B$4,'Wind Proxy'!$B$8:$B$19,C2577)</x:f>
        <x:v>0.12544802867383514</x:v>
      </x:c>
    </x:row>
    <x:row r="2578">
      <x:c r="A2578" s="379" t="n">
        <x:v>48229</x:v>
      </x:c>
      <x:c r="B2578" s="380" t="n">
        <x:v>2032</x:v>
      </x:c>
      <x:c r="C2578" s="380" t="n">
        <x:v>1</x:v>
      </x:c>
      <x:c r="D2578" s="380" t="str">
        <x:v>Jan</x:v>
      </x:c>
      <x:c r="E2578" s="380" t="n">
        <x:v>16</x:v>
      </x:c>
      <x:c r="F2578" s="380" t="n">
        <x:v>5</x:v>
      </x:c>
      <x:c r="G2578" s="380" t="n">
        <x:f>--(F2578&lt;='Estimator'!$B$7)</x:f>
        <x:v>1</x:v>
      </x:c>
      <x:c r="H2578" s="381" t="n">
        <x:f>SUMIFS('Climate Data'!$G$7:$G$366,'Climate Data'!$A$7:$A$366,'Estimator'!$B$4,'Climate Data'!$B$7:$B$366,C2578)</x:f>
        <x:v>0.21802002224694106</x:v>
      </x:c>
      <x:c r="I2578" s="382" t="n">
        <x:f>SUMIFS('Climate Data'!$H$7:$H$366,'Climate Data'!$A$7:$A$366,'Estimator'!$B$4,'Climate Data'!$B$7:$B$366,C2578)</x:f>
        <x:v>8.596428571428572</x:v>
      </x:c>
      <x:c r="J2578" s="381" t="n">
        <x:f>SUMIFS('Wind Proxy'!$H$8:$H$19,'Wind Proxy'!$A$8:$A$19,'Estimator'!$B$4,'Wind Proxy'!$B$8:$B$19,C2578)</x:f>
        <x:v>0.12544802867383514</x:v>
      </x:c>
    </x:row>
    <x:row r="2579">
      <x:c r="A2579" s="379" t="n">
        <x:v>48230</x:v>
      </x:c>
      <x:c r="B2579" s="380" t="n">
        <x:v>2032</x:v>
      </x:c>
      <x:c r="C2579" s="380" t="n">
        <x:v>1</x:v>
      </x:c>
      <x:c r="D2579" s="380" t="str">
        <x:v>Jan</x:v>
      </x:c>
      <x:c r="E2579" s="380" t="n">
        <x:v>17</x:v>
      </x:c>
      <x:c r="F2579" s="380" t="n">
        <x:v>6</x:v>
      </x:c>
      <x:c r="G2579" s="380" t="n">
        <x:f>--(F2579&lt;='Estimator'!$B$7)</x:f>
        <x:v>0</x:v>
      </x:c>
      <x:c r="H2579" s="381" t="n">
        <x:f>SUMIFS('Climate Data'!$G$7:$G$366,'Climate Data'!$A$7:$A$366,'Estimator'!$B$4,'Climate Data'!$B$7:$B$366,C2579)</x:f>
        <x:v>0.21802002224694106</x:v>
      </x:c>
      <x:c r="I2579" s="382" t="n">
        <x:f>SUMIFS('Climate Data'!$H$7:$H$366,'Climate Data'!$A$7:$A$366,'Estimator'!$B$4,'Climate Data'!$B$7:$B$366,C2579)</x:f>
        <x:v>8.596428571428572</x:v>
      </x:c>
      <x:c r="J2579" s="381" t="n">
        <x:f>SUMIFS('Wind Proxy'!$H$8:$H$19,'Wind Proxy'!$A$8:$A$19,'Estimator'!$B$4,'Wind Proxy'!$B$8:$B$19,C2579)</x:f>
        <x:v>0.12544802867383514</x:v>
      </x:c>
    </x:row>
    <x:row r="2580">
      <x:c r="A2580" s="379" t="n">
        <x:v>48231</x:v>
      </x:c>
      <x:c r="B2580" s="380" t="n">
        <x:v>2032</x:v>
      </x:c>
      <x:c r="C2580" s="380" t="n">
        <x:v>1</x:v>
      </x:c>
      <x:c r="D2580" s="380" t="str">
        <x:v>Jan</x:v>
      </x:c>
      <x:c r="E2580" s="380" t="n">
        <x:v>18</x:v>
      </x:c>
      <x:c r="F2580" s="380" t="n">
        <x:v>7</x:v>
      </x:c>
      <x:c r="G2580" s="380" t="n">
        <x:f>--(F2580&lt;='Estimator'!$B$7)</x:f>
        <x:v>0</x:v>
      </x:c>
      <x:c r="H2580" s="381" t="n">
        <x:f>SUMIFS('Climate Data'!$G$7:$G$366,'Climate Data'!$A$7:$A$366,'Estimator'!$B$4,'Climate Data'!$B$7:$B$366,C2580)</x:f>
        <x:v>0.21802002224694106</x:v>
      </x:c>
      <x:c r="I2580" s="382" t="n">
        <x:f>SUMIFS('Climate Data'!$H$7:$H$366,'Climate Data'!$A$7:$A$366,'Estimator'!$B$4,'Climate Data'!$B$7:$B$366,C2580)</x:f>
        <x:v>8.596428571428572</x:v>
      </x:c>
      <x:c r="J2580" s="381" t="n">
        <x:f>SUMIFS('Wind Proxy'!$H$8:$H$19,'Wind Proxy'!$A$8:$A$19,'Estimator'!$B$4,'Wind Proxy'!$B$8:$B$19,C2580)</x:f>
        <x:v>0.12544802867383514</x:v>
      </x:c>
    </x:row>
    <x:row r="2581">
      <x:c r="A2581" s="379" t="n">
        <x:v>48232</x:v>
      </x:c>
      <x:c r="B2581" s="380" t="n">
        <x:v>2032</x:v>
      </x:c>
      <x:c r="C2581" s="380" t="n">
        <x:v>1</x:v>
      </x:c>
      <x:c r="D2581" s="380" t="str">
        <x:v>Jan</x:v>
      </x:c>
      <x:c r="E2581" s="380" t="n">
        <x:v>19</x:v>
      </x:c>
      <x:c r="F2581" s="380" t="n">
        <x:v>1</x:v>
      </x:c>
      <x:c r="G2581" s="380" t="n">
        <x:f>--(F2581&lt;='Estimator'!$B$7)</x:f>
        <x:v>1</x:v>
      </x:c>
      <x:c r="H2581" s="381" t="n">
        <x:f>SUMIFS('Climate Data'!$G$7:$G$366,'Climate Data'!$A$7:$A$366,'Estimator'!$B$4,'Climate Data'!$B$7:$B$366,C2581)</x:f>
        <x:v>0.21802002224694106</x:v>
      </x:c>
      <x:c r="I2581" s="382" t="n">
        <x:f>SUMIFS('Climate Data'!$H$7:$H$366,'Climate Data'!$A$7:$A$366,'Estimator'!$B$4,'Climate Data'!$B$7:$B$366,C2581)</x:f>
        <x:v>8.596428571428572</x:v>
      </x:c>
      <x:c r="J2581" s="381" t="n">
        <x:f>SUMIFS('Wind Proxy'!$H$8:$H$19,'Wind Proxy'!$A$8:$A$19,'Estimator'!$B$4,'Wind Proxy'!$B$8:$B$19,C2581)</x:f>
        <x:v>0.12544802867383514</x:v>
      </x:c>
    </x:row>
    <x:row r="2582">
      <x:c r="A2582" s="379" t="n">
        <x:v>48233</x:v>
      </x:c>
      <x:c r="B2582" s="380" t="n">
        <x:v>2032</x:v>
      </x:c>
      <x:c r="C2582" s="380" t="n">
        <x:v>1</x:v>
      </x:c>
      <x:c r="D2582" s="380" t="str">
        <x:v>Jan</x:v>
      </x:c>
      <x:c r="E2582" s="380" t="n">
        <x:v>20</x:v>
      </x:c>
      <x:c r="F2582" s="380" t="n">
        <x:v>2</x:v>
      </x:c>
      <x:c r="G2582" s="380" t="n">
        <x:f>--(F2582&lt;='Estimator'!$B$7)</x:f>
        <x:v>1</x:v>
      </x:c>
      <x:c r="H2582" s="381" t="n">
        <x:f>SUMIFS('Climate Data'!$G$7:$G$366,'Climate Data'!$A$7:$A$366,'Estimator'!$B$4,'Climate Data'!$B$7:$B$366,C2582)</x:f>
        <x:v>0.21802002224694106</x:v>
      </x:c>
      <x:c r="I2582" s="382" t="n">
        <x:f>SUMIFS('Climate Data'!$H$7:$H$366,'Climate Data'!$A$7:$A$366,'Estimator'!$B$4,'Climate Data'!$B$7:$B$366,C2582)</x:f>
        <x:v>8.596428571428572</x:v>
      </x:c>
      <x:c r="J2582" s="381" t="n">
        <x:f>SUMIFS('Wind Proxy'!$H$8:$H$19,'Wind Proxy'!$A$8:$A$19,'Estimator'!$B$4,'Wind Proxy'!$B$8:$B$19,C2582)</x:f>
        <x:v>0.12544802867383514</x:v>
      </x:c>
    </x:row>
    <x:row r="2583">
      <x:c r="A2583" s="379" t="n">
        <x:v>48234</x:v>
      </x:c>
      <x:c r="B2583" s="380" t="n">
        <x:v>2032</x:v>
      </x:c>
      <x:c r="C2583" s="380" t="n">
        <x:v>1</x:v>
      </x:c>
      <x:c r="D2583" s="380" t="str">
        <x:v>Jan</x:v>
      </x:c>
      <x:c r="E2583" s="380" t="n">
        <x:v>21</x:v>
      </x:c>
      <x:c r="F2583" s="380" t="n">
        <x:v>3</x:v>
      </x:c>
      <x:c r="G2583" s="380" t="n">
        <x:f>--(F2583&lt;='Estimator'!$B$7)</x:f>
        <x:v>1</x:v>
      </x:c>
      <x:c r="H2583" s="381" t="n">
        <x:f>SUMIFS('Climate Data'!$G$7:$G$366,'Climate Data'!$A$7:$A$366,'Estimator'!$B$4,'Climate Data'!$B$7:$B$366,C2583)</x:f>
        <x:v>0.21802002224694106</x:v>
      </x:c>
      <x:c r="I2583" s="382" t="n">
        <x:f>SUMIFS('Climate Data'!$H$7:$H$366,'Climate Data'!$A$7:$A$366,'Estimator'!$B$4,'Climate Data'!$B$7:$B$366,C2583)</x:f>
        <x:v>8.596428571428572</x:v>
      </x:c>
      <x:c r="J2583" s="381" t="n">
        <x:f>SUMIFS('Wind Proxy'!$H$8:$H$19,'Wind Proxy'!$A$8:$A$19,'Estimator'!$B$4,'Wind Proxy'!$B$8:$B$19,C2583)</x:f>
        <x:v>0.12544802867383514</x:v>
      </x:c>
    </x:row>
    <x:row r="2584">
      <x:c r="A2584" s="379" t="n">
        <x:v>48235</x:v>
      </x:c>
      <x:c r="B2584" s="380" t="n">
        <x:v>2032</x:v>
      </x:c>
      <x:c r="C2584" s="380" t="n">
        <x:v>1</x:v>
      </x:c>
      <x:c r="D2584" s="380" t="str">
        <x:v>Jan</x:v>
      </x:c>
      <x:c r="E2584" s="380" t="n">
        <x:v>22</x:v>
      </x:c>
      <x:c r="F2584" s="380" t="n">
        <x:v>4</x:v>
      </x:c>
      <x:c r="G2584" s="380" t="n">
        <x:f>--(F2584&lt;='Estimator'!$B$7)</x:f>
        <x:v>1</x:v>
      </x:c>
      <x:c r="H2584" s="381" t="n">
        <x:f>SUMIFS('Climate Data'!$G$7:$G$366,'Climate Data'!$A$7:$A$366,'Estimator'!$B$4,'Climate Data'!$B$7:$B$366,C2584)</x:f>
        <x:v>0.21802002224694106</x:v>
      </x:c>
      <x:c r="I2584" s="382" t="n">
        <x:f>SUMIFS('Climate Data'!$H$7:$H$366,'Climate Data'!$A$7:$A$366,'Estimator'!$B$4,'Climate Data'!$B$7:$B$366,C2584)</x:f>
        <x:v>8.596428571428572</x:v>
      </x:c>
      <x:c r="J2584" s="381" t="n">
        <x:f>SUMIFS('Wind Proxy'!$H$8:$H$19,'Wind Proxy'!$A$8:$A$19,'Estimator'!$B$4,'Wind Proxy'!$B$8:$B$19,C2584)</x:f>
        <x:v>0.12544802867383514</x:v>
      </x:c>
    </x:row>
    <x:row r="2585">
      <x:c r="A2585" s="379" t="n">
        <x:v>48236</x:v>
      </x:c>
      <x:c r="B2585" s="380" t="n">
        <x:v>2032</x:v>
      </x:c>
      <x:c r="C2585" s="380" t="n">
        <x:v>1</x:v>
      </x:c>
      <x:c r="D2585" s="380" t="str">
        <x:v>Jan</x:v>
      </x:c>
      <x:c r="E2585" s="380" t="n">
        <x:v>23</x:v>
      </x:c>
      <x:c r="F2585" s="380" t="n">
        <x:v>5</x:v>
      </x:c>
      <x:c r="G2585" s="380" t="n">
        <x:f>--(F2585&lt;='Estimator'!$B$7)</x:f>
        <x:v>1</x:v>
      </x:c>
      <x:c r="H2585" s="381" t="n">
        <x:f>SUMIFS('Climate Data'!$G$7:$G$366,'Climate Data'!$A$7:$A$366,'Estimator'!$B$4,'Climate Data'!$B$7:$B$366,C2585)</x:f>
        <x:v>0.21802002224694106</x:v>
      </x:c>
      <x:c r="I2585" s="382" t="n">
        <x:f>SUMIFS('Climate Data'!$H$7:$H$366,'Climate Data'!$A$7:$A$366,'Estimator'!$B$4,'Climate Data'!$B$7:$B$366,C2585)</x:f>
        <x:v>8.596428571428572</x:v>
      </x:c>
      <x:c r="J2585" s="381" t="n">
        <x:f>SUMIFS('Wind Proxy'!$H$8:$H$19,'Wind Proxy'!$A$8:$A$19,'Estimator'!$B$4,'Wind Proxy'!$B$8:$B$19,C2585)</x:f>
        <x:v>0.12544802867383514</x:v>
      </x:c>
    </x:row>
    <x:row r="2586">
      <x:c r="A2586" s="379" t="n">
        <x:v>48237</x:v>
      </x:c>
      <x:c r="B2586" s="380" t="n">
        <x:v>2032</x:v>
      </x:c>
      <x:c r="C2586" s="380" t="n">
        <x:v>1</x:v>
      </x:c>
      <x:c r="D2586" s="380" t="str">
        <x:v>Jan</x:v>
      </x:c>
      <x:c r="E2586" s="380" t="n">
        <x:v>24</x:v>
      </x:c>
      <x:c r="F2586" s="380" t="n">
        <x:v>6</x:v>
      </x:c>
      <x:c r="G2586" s="380" t="n">
        <x:f>--(F2586&lt;='Estimator'!$B$7)</x:f>
        <x:v>0</x:v>
      </x:c>
      <x:c r="H2586" s="381" t="n">
        <x:f>SUMIFS('Climate Data'!$G$7:$G$366,'Climate Data'!$A$7:$A$366,'Estimator'!$B$4,'Climate Data'!$B$7:$B$366,C2586)</x:f>
        <x:v>0.21802002224694106</x:v>
      </x:c>
      <x:c r="I2586" s="382" t="n">
        <x:f>SUMIFS('Climate Data'!$H$7:$H$366,'Climate Data'!$A$7:$A$366,'Estimator'!$B$4,'Climate Data'!$B$7:$B$366,C2586)</x:f>
        <x:v>8.596428571428572</x:v>
      </x:c>
      <x:c r="J2586" s="381" t="n">
        <x:f>SUMIFS('Wind Proxy'!$H$8:$H$19,'Wind Proxy'!$A$8:$A$19,'Estimator'!$B$4,'Wind Proxy'!$B$8:$B$19,C2586)</x:f>
        <x:v>0.12544802867383514</x:v>
      </x:c>
    </x:row>
    <x:row r="2587">
      <x:c r="A2587" s="379" t="n">
        <x:v>48238</x:v>
      </x:c>
      <x:c r="B2587" s="380" t="n">
        <x:v>2032</x:v>
      </x:c>
      <x:c r="C2587" s="380" t="n">
        <x:v>1</x:v>
      </x:c>
      <x:c r="D2587" s="380" t="str">
        <x:v>Jan</x:v>
      </x:c>
      <x:c r="E2587" s="380" t="n">
        <x:v>25</x:v>
      </x:c>
      <x:c r="F2587" s="380" t="n">
        <x:v>7</x:v>
      </x:c>
      <x:c r="G2587" s="380" t="n">
        <x:f>--(F2587&lt;='Estimator'!$B$7)</x:f>
        <x:v>0</x:v>
      </x:c>
      <x:c r="H2587" s="381" t="n">
        <x:f>SUMIFS('Climate Data'!$G$7:$G$366,'Climate Data'!$A$7:$A$366,'Estimator'!$B$4,'Climate Data'!$B$7:$B$366,C2587)</x:f>
        <x:v>0.21802002224694106</x:v>
      </x:c>
      <x:c r="I2587" s="382" t="n">
        <x:f>SUMIFS('Climate Data'!$H$7:$H$366,'Climate Data'!$A$7:$A$366,'Estimator'!$B$4,'Climate Data'!$B$7:$B$366,C2587)</x:f>
        <x:v>8.596428571428572</x:v>
      </x:c>
      <x:c r="J2587" s="381" t="n">
        <x:f>SUMIFS('Wind Proxy'!$H$8:$H$19,'Wind Proxy'!$A$8:$A$19,'Estimator'!$B$4,'Wind Proxy'!$B$8:$B$19,C2587)</x:f>
        <x:v>0.12544802867383514</x:v>
      </x:c>
    </x:row>
    <x:row r="2588">
      <x:c r="A2588" s="379" t="n">
        <x:v>48239</x:v>
      </x:c>
      <x:c r="B2588" s="380" t="n">
        <x:v>2032</x:v>
      </x:c>
      <x:c r="C2588" s="380" t="n">
        <x:v>1</x:v>
      </x:c>
      <x:c r="D2588" s="380" t="str">
        <x:v>Jan</x:v>
      </x:c>
      <x:c r="E2588" s="380" t="n">
        <x:v>26</x:v>
      </x:c>
      <x:c r="F2588" s="380" t="n">
        <x:v>1</x:v>
      </x:c>
      <x:c r="G2588" s="380" t="n">
        <x:f>--(F2588&lt;='Estimator'!$B$7)</x:f>
        <x:v>1</x:v>
      </x:c>
      <x:c r="H2588" s="381" t="n">
        <x:f>SUMIFS('Climate Data'!$G$7:$G$366,'Climate Data'!$A$7:$A$366,'Estimator'!$B$4,'Climate Data'!$B$7:$B$366,C2588)</x:f>
        <x:v>0.21802002224694106</x:v>
      </x:c>
      <x:c r="I2588" s="382" t="n">
        <x:f>SUMIFS('Climate Data'!$H$7:$H$366,'Climate Data'!$A$7:$A$366,'Estimator'!$B$4,'Climate Data'!$B$7:$B$366,C2588)</x:f>
        <x:v>8.596428571428572</x:v>
      </x:c>
      <x:c r="J2588" s="381" t="n">
        <x:f>SUMIFS('Wind Proxy'!$H$8:$H$19,'Wind Proxy'!$A$8:$A$19,'Estimator'!$B$4,'Wind Proxy'!$B$8:$B$19,C2588)</x:f>
        <x:v>0.12544802867383514</x:v>
      </x:c>
    </x:row>
    <x:row r="2589">
      <x:c r="A2589" s="379" t="n">
        <x:v>48240</x:v>
      </x:c>
      <x:c r="B2589" s="380" t="n">
        <x:v>2032</x:v>
      </x:c>
      <x:c r="C2589" s="380" t="n">
        <x:v>1</x:v>
      </x:c>
      <x:c r="D2589" s="380" t="str">
        <x:v>Jan</x:v>
      </x:c>
      <x:c r="E2589" s="380" t="n">
        <x:v>27</x:v>
      </x:c>
      <x:c r="F2589" s="380" t="n">
        <x:v>2</x:v>
      </x:c>
      <x:c r="G2589" s="380" t="n">
        <x:f>--(F2589&lt;='Estimator'!$B$7)</x:f>
        <x:v>1</x:v>
      </x:c>
      <x:c r="H2589" s="381" t="n">
        <x:f>SUMIFS('Climate Data'!$G$7:$G$366,'Climate Data'!$A$7:$A$366,'Estimator'!$B$4,'Climate Data'!$B$7:$B$366,C2589)</x:f>
        <x:v>0.21802002224694106</x:v>
      </x:c>
      <x:c r="I2589" s="382" t="n">
        <x:f>SUMIFS('Climate Data'!$H$7:$H$366,'Climate Data'!$A$7:$A$366,'Estimator'!$B$4,'Climate Data'!$B$7:$B$366,C2589)</x:f>
        <x:v>8.596428571428572</x:v>
      </x:c>
      <x:c r="J2589" s="381" t="n">
        <x:f>SUMIFS('Wind Proxy'!$H$8:$H$19,'Wind Proxy'!$A$8:$A$19,'Estimator'!$B$4,'Wind Proxy'!$B$8:$B$19,C2589)</x:f>
        <x:v>0.12544802867383514</x:v>
      </x:c>
    </x:row>
    <x:row r="2590">
      <x:c r="A2590" s="379" t="n">
        <x:v>48241</x:v>
      </x:c>
      <x:c r="B2590" s="380" t="n">
        <x:v>2032</x:v>
      </x:c>
      <x:c r="C2590" s="380" t="n">
        <x:v>1</x:v>
      </x:c>
      <x:c r="D2590" s="380" t="str">
        <x:v>Jan</x:v>
      </x:c>
      <x:c r="E2590" s="380" t="n">
        <x:v>28</x:v>
      </x:c>
      <x:c r="F2590" s="380" t="n">
        <x:v>3</x:v>
      </x:c>
      <x:c r="G2590" s="380" t="n">
        <x:f>--(F2590&lt;='Estimator'!$B$7)</x:f>
        <x:v>1</x:v>
      </x:c>
      <x:c r="H2590" s="381" t="n">
        <x:f>SUMIFS('Climate Data'!$G$7:$G$366,'Climate Data'!$A$7:$A$366,'Estimator'!$B$4,'Climate Data'!$B$7:$B$366,C2590)</x:f>
        <x:v>0.21802002224694106</x:v>
      </x:c>
      <x:c r="I2590" s="382" t="n">
        <x:f>SUMIFS('Climate Data'!$H$7:$H$366,'Climate Data'!$A$7:$A$366,'Estimator'!$B$4,'Climate Data'!$B$7:$B$366,C2590)</x:f>
        <x:v>8.596428571428572</x:v>
      </x:c>
      <x:c r="J2590" s="381" t="n">
        <x:f>SUMIFS('Wind Proxy'!$H$8:$H$19,'Wind Proxy'!$A$8:$A$19,'Estimator'!$B$4,'Wind Proxy'!$B$8:$B$19,C2590)</x:f>
        <x:v>0.12544802867383514</x:v>
      </x:c>
    </x:row>
    <x:row r="2591">
      <x:c r="A2591" s="379" t="n">
        <x:v>48242</x:v>
      </x:c>
      <x:c r="B2591" s="380" t="n">
        <x:v>2032</x:v>
      </x:c>
      <x:c r="C2591" s="380" t="n">
        <x:v>1</x:v>
      </x:c>
      <x:c r="D2591" s="380" t="str">
        <x:v>Jan</x:v>
      </x:c>
      <x:c r="E2591" s="380" t="n">
        <x:v>29</x:v>
      </x:c>
      <x:c r="F2591" s="380" t="n">
        <x:v>4</x:v>
      </x:c>
      <x:c r="G2591" s="380" t="n">
        <x:f>--(F2591&lt;='Estimator'!$B$7)</x:f>
        <x:v>1</x:v>
      </x:c>
      <x:c r="H2591" s="381" t="n">
        <x:f>SUMIFS('Climate Data'!$G$7:$G$366,'Climate Data'!$A$7:$A$366,'Estimator'!$B$4,'Climate Data'!$B$7:$B$366,C2591)</x:f>
        <x:v>0.21802002224694106</x:v>
      </x:c>
      <x:c r="I2591" s="382" t="n">
        <x:f>SUMIFS('Climate Data'!$H$7:$H$366,'Climate Data'!$A$7:$A$366,'Estimator'!$B$4,'Climate Data'!$B$7:$B$366,C2591)</x:f>
        <x:v>8.596428571428572</x:v>
      </x:c>
      <x:c r="J2591" s="381" t="n">
        <x:f>SUMIFS('Wind Proxy'!$H$8:$H$19,'Wind Proxy'!$A$8:$A$19,'Estimator'!$B$4,'Wind Proxy'!$B$8:$B$19,C2591)</x:f>
        <x:v>0.12544802867383514</x:v>
      </x:c>
    </x:row>
    <x:row r="2592">
      <x:c r="A2592" s="379" t="n">
        <x:v>48243</x:v>
      </x:c>
      <x:c r="B2592" s="380" t="n">
        <x:v>2032</x:v>
      </x:c>
      <x:c r="C2592" s="380" t="n">
        <x:v>1</x:v>
      </x:c>
      <x:c r="D2592" s="380" t="str">
        <x:v>Jan</x:v>
      </x:c>
      <x:c r="E2592" s="380" t="n">
        <x:v>30</x:v>
      </x:c>
      <x:c r="F2592" s="380" t="n">
        <x:v>5</x:v>
      </x:c>
      <x:c r="G2592" s="380" t="n">
        <x:f>--(F2592&lt;='Estimator'!$B$7)</x:f>
        <x:v>1</x:v>
      </x:c>
      <x:c r="H2592" s="381" t="n">
        <x:f>SUMIFS('Climate Data'!$G$7:$G$366,'Climate Data'!$A$7:$A$366,'Estimator'!$B$4,'Climate Data'!$B$7:$B$366,C2592)</x:f>
        <x:v>0.21802002224694106</x:v>
      </x:c>
      <x:c r="I2592" s="382" t="n">
        <x:f>SUMIFS('Climate Data'!$H$7:$H$366,'Climate Data'!$A$7:$A$366,'Estimator'!$B$4,'Climate Data'!$B$7:$B$366,C2592)</x:f>
        <x:v>8.596428571428572</x:v>
      </x:c>
      <x:c r="J2592" s="381" t="n">
        <x:f>SUMIFS('Wind Proxy'!$H$8:$H$19,'Wind Proxy'!$A$8:$A$19,'Estimator'!$B$4,'Wind Proxy'!$B$8:$B$19,C2592)</x:f>
        <x:v>0.12544802867383514</x:v>
      </x:c>
    </x:row>
    <x:row r="2593">
      <x:c r="A2593" s="379" t="n">
        <x:v>48244</x:v>
      </x:c>
      <x:c r="B2593" s="380" t="n">
        <x:v>2032</x:v>
      </x:c>
      <x:c r="C2593" s="380" t="n">
        <x:v>1</x:v>
      </x:c>
      <x:c r="D2593" s="380" t="str">
        <x:v>Jan</x:v>
      </x:c>
      <x:c r="E2593" s="380" t="n">
        <x:v>31</x:v>
      </x:c>
      <x:c r="F2593" s="380" t="n">
        <x:v>6</x:v>
      </x:c>
      <x:c r="G2593" s="380" t="n">
        <x:f>--(F2593&lt;='Estimator'!$B$7)</x:f>
        <x:v>0</x:v>
      </x:c>
      <x:c r="H2593" s="381" t="n">
        <x:f>SUMIFS('Climate Data'!$G$7:$G$366,'Climate Data'!$A$7:$A$366,'Estimator'!$B$4,'Climate Data'!$B$7:$B$366,C2593)</x:f>
        <x:v>0.21802002224694106</x:v>
      </x:c>
      <x:c r="I2593" s="382" t="n">
        <x:f>SUMIFS('Climate Data'!$H$7:$H$366,'Climate Data'!$A$7:$A$366,'Estimator'!$B$4,'Climate Data'!$B$7:$B$366,C2593)</x:f>
        <x:v>8.596428571428572</x:v>
      </x:c>
      <x:c r="J2593" s="381" t="n">
        <x:f>SUMIFS('Wind Proxy'!$H$8:$H$19,'Wind Proxy'!$A$8:$A$19,'Estimator'!$B$4,'Wind Proxy'!$B$8:$B$19,C2593)</x:f>
        <x:v>0.12544802867383514</x:v>
      </x:c>
    </x:row>
    <x:row r="2594">
      <x:c r="A2594" s="379" t="n">
        <x:v>48245</x:v>
      </x:c>
      <x:c r="B2594" s="380" t="n">
        <x:v>2032</x:v>
      </x:c>
      <x:c r="C2594" s="380" t="n">
        <x:v>2</x:v>
      </x:c>
      <x:c r="D2594" s="380" t="str">
        <x:v>Feb</x:v>
      </x:c>
      <x:c r="E2594" s="380" t="n">
        <x:v>1</x:v>
      </x:c>
      <x:c r="F2594" s="380" t="n">
        <x:v>7</x:v>
      </x:c>
      <x:c r="G2594" s="380" t="n">
        <x:f>--(F2594&lt;='Estimator'!$B$7)</x:f>
        <x:v>0</x:v>
      </x:c>
      <x:c r="H2594" s="381" t="n">
        <x:f>SUMIFS('Climate Data'!$G$7:$G$366,'Climate Data'!$A$7:$A$366,'Estimator'!$B$4,'Climate Data'!$B$7:$B$366,C2594)</x:f>
        <x:v>0.23056278464541316</x:v>
      </x:c>
      <x:c r="I2594" s="382" t="n">
        <x:f>SUMIFS('Climate Data'!$H$7:$H$366,'Climate Data'!$A$7:$A$366,'Estimator'!$B$4,'Climate Data'!$B$7:$B$366,C2594)</x:f>
        <x:v>9.682010582010582</x:v>
      </x:c>
      <x:c r="J2594" s="381" t="n">
        <x:f>SUMIFS('Wind Proxy'!$H$8:$H$19,'Wind Proxy'!$A$8:$A$19,'Estimator'!$B$4,'Wind Proxy'!$B$8:$B$19,C2594)</x:f>
        <x:v>0.13757861635220128</x:v>
      </x:c>
    </x:row>
    <x:row r="2595">
      <x:c r="A2595" s="379" t="n">
        <x:v>48246</x:v>
      </x:c>
      <x:c r="B2595" s="380" t="n">
        <x:v>2032</x:v>
      </x:c>
      <x:c r="C2595" s="380" t="n">
        <x:v>2</x:v>
      </x:c>
      <x:c r="D2595" s="380" t="str">
        <x:v>Feb</x:v>
      </x:c>
      <x:c r="E2595" s="380" t="n">
        <x:v>2</x:v>
      </x:c>
      <x:c r="F2595" s="380" t="n">
        <x:v>1</x:v>
      </x:c>
      <x:c r="G2595" s="380" t="n">
        <x:f>--(F2595&lt;='Estimator'!$B$7)</x:f>
        <x:v>1</x:v>
      </x:c>
      <x:c r="H2595" s="381" t="n">
        <x:f>SUMIFS('Climate Data'!$G$7:$G$366,'Climate Data'!$A$7:$A$366,'Estimator'!$B$4,'Climate Data'!$B$7:$B$366,C2595)</x:f>
        <x:v>0.23056278464541316</x:v>
      </x:c>
      <x:c r="I2595" s="382" t="n">
        <x:f>SUMIFS('Climate Data'!$H$7:$H$366,'Climate Data'!$A$7:$A$366,'Estimator'!$B$4,'Climate Data'!$B$7:$B$366,C2595)</x:f>
        <x:v>9.682010582010582</x:v>
      </x:c>
      <x:c r="J2595" s="381" t="n">
        <x:f>SUMIFS('Wind Proxy'!$H$8:$H$19,'Wind Proxy'!$A$8:$A$19,'Estimator'!$B$4,'Wind Proxy'!$B$8:$B$19,C2595)</x:f>
        <x:v>0.13757861635220128</x:v>
      </x:c>
    </x:row>
    <x:row r="2596">
      <x:c r="A2596" s="379" t="n">
        <x:v>48247</x:v>
      </x:c>
      <x:c r="B2596" s="380" t="n">
        <x:v>2032</x:v>
      </x:c>
      <x:c r="C2596" s="380" t="n">
        <x:v>2</x:v>
      </x:c>
      <x:c r="D2596" s="380" t="str">
        <x:v>Feb</x:v>
      </x:c>
      <x:c r="E2596" s="380" t="n">
        <x:v>3</x:v>
      </x:c>
      <x:c r="F2596" s="380" t="n">
        <x:v>2</x:v>
      </x:c>
      <x:c r="G2596" s="380" t="n">
        <x:f>--(F2596&lt;='Estimator'!$B$7)</x:f>
        <x:v>1</x:v>
      </x:c>
      <x:c r="H2596" s="381" t="n">
        <x:f>SUMIFS('Climate Data'!$G$7:$G$366,'Climate Data'!$A$7:$A$366,'Estimator'!$B$4,'Climate Data'!$B$7:$B$366,C2596)</x:f>
        <x:v>0.23056278464541316</x:v>
      </x:c>
      <x:c r="I2596" s="382" t="n">
        <x:f>SUMIFS('Climate Data'!$H$7:$H$366,'Climate Data'!$A$7:$A$366,'Estimator'!$B$4,'Climate Data'!$B$7:$B$366,C2596)</x:f>
        <x:v>9.682010582010582</x:v>
      </x:c>
      <x:c r="J2596" s="381" t="n">
        <x:f>SUMIFS('Wind Proxy'!$H$8:$H$19,'Wind Proxy'!$A$8:$A$19,'Estimator'!$B$4,'Wind Proxy'!$B$8:$B$19,C2596)</x:f>
        <x:v>0.13757861635220128</x:v>
      </x:c>
    </x:row>
    <x:row r="2597">
      <x:c r="A2597" s="379" t="n">
        <x:v>48248</x:v>
      </x:c>
      <x:c r="B2597" s="380" t="n">
        <x:v>2032</x:v>
      </x:c>
      <x:c r="C2597" s="380" t="n">
        <x:v>2</x:v>
      </x:c>
      <x:c r="D2597" s="380" t="str">
        <x:v>Feb</x:v>
      </x:c>
      <x:c r="E2597" s="380" t="n">
        <x:v>4</x:v>
      </x:c>
      <x:c r="F2597" s="380" t="n">
        <x:v>3</x:v>
      </x:c>
      <x:c r="G2597" s="380" t="n">
        <x:f>--(F2597&lt;='Estimator'!$B$7)</x:f>
        <x:v>1</x:v>
      </x:c>
      <x:c r="H2597" s="381" t="n">
        <x:f>SUMIFS('Climate Data'!$G$7:$G$366,'Climate Data'!$A$7:$A$366,'Estimator'!$B$4,'Climate Data'!$B$7:$B$366,C2597)</x:f>
        <x:v>0.23056278464541316</x:v>
      </x:c>
      <x:c r="I2597" s="382" t="n">
        <x:f>SUMIFS('Climate Data'!$H$7:$H$366,'Climate Data'!$A$7:$A$366,'Estimator'!$B$4,'Climate Data'!$B$7:$B$366,C2597)</x:f>
        <x:v>9.682010582010582</x:v>
      </x:c>
      <x:c r="J2597" s="381" t="n">
        <x:f>SUMIFS('Wind Proxy'!$H$8:$H$19,'Wind Proxy'!$A$8:$A$19,'Estimator'!$B$4,'Wind Proxy'!$B$8:$B$19,C2597)</x:f>
        <x:v>0.13757861635220128</x:v>
      </x:c>
    </x:row>
    <x:row r="2598">
      <x:c r="A2598" s="379" t="n">
        <x:v>48249</x:v>
      </x:c>
      <x:c r="B2598" s="380" t="n">
        <x:v>2032</x:v>
      </x:c>
      <x:c r="C2598" s="380" t="n">
        <x:v>2</x:v>
      </x:c>
      <x:c r="D2598" s="380" t="str">
        <x:v>Feb</x:v>
      </x:c>
      <x:c r="E2598" s="380" t="n">
        <x:v>5</x:v>
      </x:c>
      <x:c r="F2598" s="380" t="n">
        <x:v>4</x:v>
      </x:c>
      <x:c r="G2598" s="380" t="n">
        <x:f>--(F2598&lt;='Estimator'!$B$7)</x:f>
        <x:v>1</x:v>
      </x:c>
      <x:c r="H2598" s="381" t="n">
        <x:f>SUMIFS('Climate Data'!$G$7:$G$366,'Climate Data'!$A$7:$A$366,'Estimator'!$B$4,'Climate Data'!$B$7:$B$366,C2598)</x:f>
        <x:v>0.23056278464541316</x:v>
      </x:c>
      <x:c r="I2598" s="382" t="n">
        <x:f>SUMIFS('Climate Data'!$H$7:$H$366,'Climate Data'!$A$7:$A$366,'Estimator'!$B$4,'Climate Data'!$B$7:$B$366,C2598)</x:f>
        <x:v>9.682010582010582</x:v>
      </x:c>
      <x:c r="J2598" s="381" t="n">
        <x:f>SUMIFS('Wind Proxy'!$H$8:$H$19,'Wind Proxy'!$A$8:$A$19,'Estimator'!$B$4,'Wind Proxy'!$B$8:$B$19,C2598)</x:f>
        <x:v>0.13757861635220128</x:v>
      </x:c>
    </x:row>
    <x:row r="2599">
      <x:c r="A2599" s="379" t="n">
        <x:v>48250</x:v>
      </x:c>
      <x:c r="B2599" s="380" t="n">
        <x:v>2032</x:v>
      </x:c>
      <x:c r="C2599" s="380" t="n">
        <x:v>2</x:v>
      </x:c>
      <x:c r="D2599" s="380" t="str">
        <x:v>Feb</x:v>
      </x:c>
      <x:c r="E2599" s="380" t="n">
        <x:v>6</x:v>
      </x:c>
      <x:c r="F2599" s="380" t="n">
        <x:v>5</x:v>
      </x:c>
      <x:c r="G2599" s="380" t="n">
        <x:f>--(F2599&lt;='Estimator'!$B$7)</x:f>
        <x:v>1</x:v>
      </x:c>
      <x:c r="H2599" s="381" t="n">
        <x:f>SUMIFS('Climate Data'!$G$7:$G$366,'Climate Data'!$A$7:$A$366,'Estimator'!$B$4,'Climate Data'!$B$7:$B$366,C2599)</x:f>
        <x:v>0.23056278464541316</x:v>
      </x:c>
      <x:c r="I2599" s="382" t="n">
        <x:f>SUMIFS('Climate Data'!$H$7:$H$366,'Climate Data'!$A$7:$A$366,'Estimator'!$B$4,'Climate Data'!$B$7:$B$366,C2599)</x:f>
        <x:v>9.682010582010582</x:v>
      </x:c>
      <x:c r="J2599" s="381" t="n">
        <x:f>SUMIFS('Wind Proxy'!$H$8:$H$19,'Wind Proxy'!$A$8:$A$19,'Estimator'!$B$4,'Wind Proxy'!$B$8:$B$19,C2599)</x:f>
        <x:v>0.13757861635220128</x:v>
      </x:c>
    </x:row>
    <x:row r="2600">
      <x:c r="A2600" s="379" t="n">
        <x:v>48251</x:v>
      </x:c>
      <x:c r="B2600" s="380" t="n">
        <x:v>2032</x:v>
      </x:c>
      <x:c r="C2600" s="380" t="n">
        <x:v>2</x:v>
      </x:c>
      <x:c r="D2600" s="380" t="str">
        <x:v>Feb</x:v>
      </x:c>
      <x:c r="E2600" s="380" t="n">
        <x:v>7</x:v>
      </x:c>
      <x:c r="F2600" s="380" t="n">
        <x:v>6</x:v>
      </x:c>
      <x:c r="G2600" s="380" t="n">
        <x:f>--(F2600&lt;='Estimator'!$B$7)</x:f>
        <x:v>0</x:v>
      </x:c>
      <x:c r="H2600" s="381" t="n">
        <x:f>SUMIFS('Climate Data'!$G$7:$G$366,'Climate Data'!$A$7:$A$366,'Estimator'!$B$4,'Climate Data'!$B$7:$B$366,C2600)</x:f>
        <x:v>0.23056278464541316</x:v>
      </x:c>
      <x:c r="I2600" s="382" t="n">
        <x:f>SUMIFS('Climate Data'!$H$7:$H$366,'Climate Data'!$A$7:$A$366,'Estimator'!$B$4,'Climate Data'!$B$7:$B$366,C2600)</x:f>
        <x:v>9.682010582010582</x:v>
      </x:c>
      <x:c r="J2600" s="381" t="n">
        <x:f>SUMIFS('Wind Proxy'!$H$8:$H$19,'Wind Proxy'!$A$8:$A$19,'Estimator'!$B$4,'Wind Proxy'!$B$8:$B$19,C2600)</x:f>
        <x:v>0.13757861635220128</x:v>
      </x:c>
    </x:row>
    <x:row r="2601">
      <x:c r="A2601" s="379" t="n">
        <x:v>48252</x:v>
      </x:c>
      <x:c r="B2601" s="380" t="n">
        <x:v>2032</x:v>
      </x:c>
      <x:c r="C2601" s="380" t="n">
        <x:v>2</x:v>
      </x:c>
      <x:c r="D2601" s="380" t="str">
        <x:v>Feb</x:v>
      </x:c>
      <x:c r="E2601" s="380" t="n">
        <x:v>8</x:v>
      </x:c>
      <x:c r="F2601" s="380" t="n">
        <x:v>7</x:v>
      </x:c>
      <x:c r="G2601" s="380" t="n">
        <x:f>--(F2601&lt;='Estimator'!$B$7)</x:f>
        <x:v>0</x:v>
      </x:c>
      <x:c r="H2601" s="381" t="n">
        <x:f>SUMIFS('Climate Data'!$G$7:$G$366,'Climate Data'!$A$7:$A$366,'Estimator'!$B$4,'Climate Data'!$B$7:$B$366,C2601)</x:f>
        <x:v>0.23056278464541316</x:v>
      </x:c>
      <x:c r="I2601" s="382" t="n">
        <x:f>SUMIFS('Climate Data'!$H$7:$H$366,'Climate Data'!$A$7:$A$366,'Estimator'!$B$4,'Climate Data'!$B$7:$B$366,C2601)</x:f>
        <x:v>9.682010582010582</x:v>
      </x:c>
      <x:c r="J2601" s="381" t="n">
        <x:f>SUMIFS('Wind Proxy'!$H$8:$H$19,'Wind Proxy'!$A$8:$A$19,'Estimator'!$B$4,'Wind Proxy'!$B$8:$B$19,C2601)</x:f>
        <x:v>0.13757861635220128</x:v>
      </x:c>
    </x:row>
    <x:row r="2602">
      <x:c r="A2602" s="379" t="n">
        <x:v>48253</x:v>
      </x:c>
      <x:c r="B2602" s="380" t="n">
        <x:v>2032</x:v>
      </x:c>
      <x:c r="C2602" s="380" t="n">
        <x:v>2</x:v>
      </x:c>
      <x:c r="D2602" s="380" t="str">
        <x:v>Feb</x:v>
      </x:c>
      <x:c r="E2602" s="380" t="n">
        <x:v>9</x:v>
      </x:c>
      <x:c r="F2602" s="380" t="n">
        <x:v>1</x:v>
      </x:c>
      <x:c r="G2602" s="380" t="n">
        <x:f>--(F2602&lt;='Estimator'!$B$7)</x:f>
        <x:v>1</x:v>
      </x:c>
      <x:c r="H2602" s="381" t="n">
        <x:f>SUMIFS('Climate Data'!$G$7:$G$366,'Climate Data'!$A$7:$A$366,'Estimator'!$B$4,'Climate Data'!$B$7:$B$366,C2602)</x:f>
        <x:v>0.23056278464541316</x:v>
      </x:c>
      <x:c r="I2602" s="382" t="n">
        <x:f>SUMIFS('Climate Data'!$H$7:$H$366,'Climate Data'!$A$7:$A$366,'Estimator'!$B$4,'Climate Data'!$B$7:$B$366,C2602)</x:f>
        <x:v>9.682010582010582</x:v>
      </x:c>
      <x:c r="J2602" s="381" t="n">
        <x:f>SUMIFS('Wind Proxy'!$H$8:$H$19,'Wind Proxy'!$A$8:$A$19,'Estimator'!$B$4,'Wind Proxy'!$B$8:$B$19,C2602)</x:f>
        <x:v>0.13757861635220128</x:v>
      </x:c>
    </x:row>
    <x:row r="2603">
      <x:c r="A2603" s="379" t="n">
        <x:v>48254</x:v>
      </x:c>
      <x:c r="B2603" s="380" t="n">
        <x:v>2032</x:v>
      </x:c>
      <x:c r="C2603" s="380" t="n">
        <x:v>2</x:v>
      </x:c>
      <x:c r="D2603" s="380" t="str">
        <x:v>Feb</x:v>
      </x:c>
      <x:c r="E2603" s="380" t="n">
        <x:v>10</x:v>
      </x:c>
      <x:c r="F2603" s="380" t="n">
        <x:v>2</x:v>
      </x:c>
      <x:c r="G2603" s="380" t="n">
        <x:f>--(F2603&lt;='Estimator'!$B$7)</x:f>
        <x:v>1</x:v>
      </x:c>
      <x:c r="H2603" s="381" t="n">
        <x:f>SUMIFS('Climate Data'!$G$7:$G$366,'Climate Data'!$A$7:$A$366,'Estimator'!$B$4,'Climate Data'!$B$7:$B$366,C2603)</x:f>
        <x:v>0.23056278464541316</x:v>
      </x:c>
      <x:c r="I2603" s="382" t="n">
        <x:f>SUMIFS('Climate Data'!$H$7:$H$366,'Climate Data'!$A$7:$A$366,'Estimator'!$B$4,'Climate Data'!$B$7:$B$366,C2603)</x:f>
        <x:v>9.682010582010582</x:v>
      </x:c>
      <x:c r="J2603" s="381" t="n">
        <x:f>SUMIFS('Wind Proxy'!$H$8:$H$19,'Wind Proxy'!$A$8:$A$19,'Estimator'!$B$4,'Wind Proxy'!$B$8:$B$19,C2603)</x:f>
        <x:v>0.13757861635220128</x:v>
      </x:c>
    </x:row>
    <x:row r="2604">
      <x:c r="A2604" s="379" t="n">
        <x:v>48255</x:v>
      </x:c>
      <x:c r="B2604" s="380" t="n">
        <x:v>2032</x:v>
      </x:c>
      <x:c r="C2604" s="380" t="n">
        <x:v>2</x:v>
      </x:c>
      <x:c r="D2604" s="380" t="str">
        <x:v>Feb</x:v>
      </x:c>
      <x:c r="E2604" s="380" t="n">
        <x:v>11</x:v>
      </x:c>
      <x:c r="F2604" s="380" t="n">
        <x:v>3</x:v>
      </x:c>
      <x:c r="G2604" s="380" t="n">
        <x:f>--(F2604&lt;='Estimator'!$B$7)</x:f>
        <x:v>1</x:v>
      </x:c>
      <x:c r="H2604" s="381" t="n">
        <x:f>SUMIFS('Climate Data'!$G$7:$G$366,'Climate Data'!$A$7:$A$366,'Estimator'!$B$4,'Climate Data'!$B$7:$B$366,C2604)</x:f>
        <x:v>0.23056278464541316</x:v>
      </x:c>
      <x:c r="I2604" s="382" t="n">
        <x:f>SUMIFS('Climate Data'!$H$7:$H$366,'Climate Data'!$A$7:$A$366,'Estimator'!$B$4,'Climate Data'!$B$7:$B$366,C2604)</x:f>
        <x:v>9.682010582010582</x:v>
      </x:c>
      <x:c r="J2604" s="381" t="n">
        <x:f>SUMIFS('Wind Proxy'!$H$8:$H$19,'Wind Proxy'!$A$8:$A$19,'Estimator'!$B$4,'Wind Proxy'!$B$8:$B$19,C2604)</x:f>
        <x:v>0.13757861635220128</x:v>
      </x:c>
    </x:row>
    <x:row r="2605">
      <x:c r="A2605" s="379" t="n">
        <x:v>48256</x:v>
      </x:c>
      <x:c r="B2605" s="380" t="n">
        <x:v>2032</x:v>
      </x:c>
      <x:c r="C2605" s="380" t="n">
        <x:v>2</x:v>
      </x:c>
      <x:c r="D2605" s="380" t="str">
        <x:v>Feb</x:v>
      </x:c>
      <x:c r="E2605" s="380" t="n">
        <x:v>12</x:v>
      </x:c>
      <x:c r="F2605" s="380" t="n">
        <x:v>4</x:v>
      </x:c>
      <x:c r="G2605" s="380" t="n">
        <x:f>--(F2605&lt;='Estimator'!$B$7)</x:f>
        <x:v>1</x:v>
      </x:c>
      <x:c r="H2605" s="381" t="n">
        <x:f>SUMIFS('Climate Data'!$G$7:$G$366,'Climate Data'!$A$7:$A$366,'Estimator'!$B$4,'Climate Data'!$B$7:$B$366,C2605)</x:f>
        <x:v>0.23056278464541316</x:v>
      </x:c>
      <x:c r="I2605" s="382" t="n">
        <x:f>SUMIFS('Climate Data'!$H$7:$H$366,'Climate Data'!$A$7:$A$366,'Estimator'!$B$4,'Climate Data'!$B$7:$B$366,C2605)</x:f>
        <x:v>9.682010582010582</x:v>
      </x:c>
      <x:c r="J2605" s="381" t="n">
        <x:f>SUMIFS('Wind Proxy'!$H$8:$H$19,'Wind Proxy'!$A$8:$A$19,'Estimator'!$B$4,'Wind Proxy'!$B$8:$B$19,C2605)</x:f>
        <x:v>0.13757861635220128</x:v>
      </x:c>
    </x:row>
    <x:row r="2606">
      <x:c r="A2606" s="379" t="n">
        <x:v>48257</x:v>
      </x:c>
      <x:c r="B2606" s="380" t="n">
        <x:v>2032</x:v>
      </x:c>
      <x:c r="C2606" s="380" t="n">
        <x:v>2</x:v>
      </x:c>
      <x:c r="D2606" s="380" t="str">
        <x:v>Feb</x:v>
      </x:c>
      <x:c r="E2606" s="380" t="n">
        <x:v>13</x:v>
      </x:c>
      <x:c r="F2606" s="380" t="n">
        <x:v>5</x:v>
      </x:c>
      <x:c r="G2606" s="380" t="n">
        <x:f>--(F2606&lt;='Estimator'!$B$7)</x:f>
        <x:v>1</x:v>
      </x:c>
      <x:c r="H2606" s="381" t="n">
        <x:f>SUMIFS('Climate Data'!$G$7:$G$366,'Climate Data'!$A$7:$A$366,'Estimator'!$B$4,'Climate Data'!$B$7:$B$366,C2606)</x:f>
        <x:v>0.23056278464541316</x:v>
      </x:c>
      <x:c r="I2606" s="382" t="n">
        <x:f>SUMIFS('Climate Data'!$H$7:$H$366,'Climate Data'!$A$7:$A$366,'Estimator'!$B$4,'Climate Data'!$B$7:$B$366,C2606)</x:f>
        <x:v>9.682010582010582</x:v>
      </x:c>
      <x:c r="J2606" s="381" t="n">
        <x:f>SUMIFS('Wind Proxy'!$H$8:$H$19,'Wind Proxy'!$A$8:$A$19,'Estimator'!$B$4,'Wind Proxy'!$B$8:$B$19,C2606)</x:f>
        <x:v>0.13757861635220128</x:v>
      </x:c>
    </x:row>
    <x:row r="2607">
      <x:c r="A2607" s="379" t="n">
        <x:v>48258</x:v>
      </x:c>
      <x:c r="B2607" s="380" t="n">
        <x:v>2032</x:v>
      </x:c>
      <x:c r="C2607" s="380" t="n">
        <x:v>2</x:v>
      </x:c>
      <x:c r="D2607" s="380" t="str">
        <x:v>Feb</x:v>
      </x:c>
      <x:c r="E2607" s="380" t="n">
        <x:v>14</x:v>
      </x:c>
      <x:c r="F2607" s="380" t="n">
        <x:v>6</x:v>
      </x:c>
      <x:c r="G2607" s="380" t="n">
        <x:f>--(F2607&lt;='Estimator'!$B$7)</x:f>
        <x:v>0</x:v>
      </x:c>
      <x:c r="H2607" s="381" t="n">
        <x:f>SUMIFS('Climate Data'!$G$7:$G$366,'Climate Data'!$A$7:$A$366,'Estimator'!$B$4,'Climate Data'!$B$7:$B$366,C2607)</x:f>
        <x:v>0.23056278464541316</x:v>
      </x:c>
      <x:c r="I2607" s="382" t="n">
        <x:f>SUMIFS('Climate Data'!$H$7:$H$366,'Climate Data'!$A$7:$A$366,'Estimator'!$B$4,'Climate Data'!$B$7:$B$366,C2607)</x:f>
        <x:v>9.682010582010582</x:v>
      </x:c>
      <x:c r="J2607" s="381" t="n">
        <x:f>SUMIFS('Wind Proxy'!$H$8:$H$19,'Wind Proxy'!$A$8:$A$19,'Estimator'!$B$4,'Wind Proxy'!$B$8:$B$19,C2607)</x:f>
        <x:v>0.13757861635220128</x:v>
      </x:c>
    </x:row>
    <x:row r="2608">
      <x:c r="A2608" s="379" t="n">
        <x:v>48259</x:v>
      </x:c>
      <x:c r="B2608" s="380" t="n">
        <x:v>2032</x:v>
      </x:c>
      <x:c r="C2608" s="380" t="n">
        <x:v>2</x:v>
      </x:c>
      <x:c r="D2608" s="380" t="str">
        <x:v>Feb</x:v>
      </x:c>
      <x:c r="E2608" s="380" t="n">
        <x:v>15</x:v>
      </x:c>
      <x:c r="F2608" s="380" t="n">
        <x:v>7</x:v>
      </x:c>
      <x:c r="G2608" s="380" t="n">
        <x:f>--(F2608&lt;='Estimator'!$B$7)</x:f>
        <x:v>0</x:v>
      </x:c>
      <x:c r="H2608" s="381" t="n">
        <x:f>SUMIFS('Climate Data'!$G$7:$G$366,'Climate Data'!$A$7:$A$366,'Estimator'!$B$4,'Climate Data'!$B$7:$B$366,C2608)</x:f>
        <x:v>0.23056278464541316</x:v>
      </x:c>
      <x:c r="I2608" s="382" t="n">
        <x:f>SUMIFS('Climate Data'!$H$7:$H$366,'Climate Data'!$A$7:$A$366,'Estimator'!$B$4,'Climate Data'!$B$7:$B$366,C2608)</x:f>
        <x:v>9.682010582010582</x:v>
      </x:c>
      <x:c r="J2608" s="381" t="n">
        <x:f>SUMIFS('Wind Proxy'!$H$8:$H$19,'Wind Proxy'!$A$8:$A$19,'Estimator'!$B$4,'Wind Proxy'!$B$8:$B$19,C2608)</x:f>
        <x:v>0.13757861635220128</x:v>
      </x:c>
    </x:row>
    <x:row r="2609">
      <x:c r="A2609" s="379" t="n">
        <x:v>48260</x:v>
      </x:c>
      <x:c r="B2609" s="380" t="n">
        <x:v>2032</x:v>
      </x:c>
      <x:c r="C2609" s="380" t="n">
        <x:v>2</x:v>
      </x:c>
      <x:c r="D2609" s="380" t="str">
        <x:v>Feb</x:v>
      </x:c>
      <x:c r="E2609" s="380" t="n">
        <x:v>16</x:v>
      </x:c>
      <x:c r="F2609" s="380" t="n">
        <x:v>1</x:v>
      </x:c>
      <x:c r="G2609" s="380" t="n">
        <x:f>--(F2609&lt;='Estimator'!$B$7)</x:f>
        <x:v>1</x:v>
      </x:c>
      <x:c r="H2609" s="381" t="n">
        <x:f>SUMIFS('Climate Data'!$G$7:$G$366,'Climate Data'!$A$7:$A$366,'Estimator'!$B$4,'Climate Data'!$B$7:$B$366,C2609)</x:f>
        <x:v>0.23056278464541316</x:v>
      </x:c>
      <x:c r="I2609" s="382" t="n">
        <x:f>SUMIFS('Climate Data'!$H$7:$H$366,'Climate Data'!$A$7:$A$366,'Estimator'!$B$4,'Climate Data'!$B$7:$B$366,C2609)</x:f>
        <x:v>9.682010582010582</x:v>
      </x:c>
      <x:c r="J2609" s="381" t="n">
        <x:f>SUMIFS('Wind Proxy'!$H$8:$H$19,'Wind Proxy'!$A$8:$A$19,'Estimator'!$B$4,'Wind Proxy'!$B$8:$B$19,C2609)</x:f>
        <x:v>0.13757861635220128</x:v>
      </x:c>
    </x:row>
    <x:row r="2610">
      <x:c r="A2610" s="379" t="n">
        <x:v>48261</x:v>
      </x:c>
      <x:c r="B2610" s="380" t="n">
        <x:v>2032</x:v>
      </x:c>
      <x:c r="C2610" s="380" t="n">
        <x:v>2</x:v>
      </x:c>
      <x:c r="D2610" s="380" t="str">
        <x:v>Feb</x:v>
      </x:c>
      <x:c r="E2610" s="380" t="n">
        <x:v>17</x:v>
      </x:c>
      <x:c r="F2610" s="380" t="n">
        <x:v>2</x:v>
      </x:c>
      <x:c r="G2610" s="380" t="n">
        <x:f>--(F2610&lt;='Estimator'!$B$7)</x:f>
        <x:v>1</x:v>
      </x:c>
      <x:c r="H2610" s="381" t="n">
        <x:f>SUMIFS('Climate Data'!$G$7:$G$366,'Climate Data'!$A$7:$A$366,'Estimator'!$B$4,'Climate Data'!$B$7:$B$366,C2610)</x:f>
        <x:v>0.23056278464541316</x:v>
      </x:c>
      <x:c r="I2610" s="382" t="n">
        <x:f>SUMIFS('Climate Data'!$H$7:$H$366,'Climate Data'!$A$7:$A$366,'Estimator'!$B$4,'Climate Data'!$B$7:$B$366,C2610)</x:f>
        <x:v>9.682010582010582</x:v>
      </x:c>
      <x:c r="J2610" s="381" t="n">
        <x:f>SUMIFS('Wind Proxy'!$H$8:$H$19,'Wind Proxy'!$A$8:$A$19,'Estimator'!$B$4,'Wind Proxy'!$B$8:$B$19,C2610)</x:f>
        <x:v>0.13757861635220128</x:v>
      </x:c>
    </x:row>
    <x:row r="2611">
      <x:c r="A2611" s="379" t="n">
        <x:v>48262</x:v>
      </x:c>
      <x:c r="B2611" s="380" t="n">
        <x:v>2032</x:v>
      </x:c>
      <x:c r="C2611" s="380" t="n">
        <x:v>2</x:v>
      </x:c>
      <x:c r="D2611" s="380" t="str">
        <x:v>Feb</x:v>
      </x:c>
      <x:c r="E2611" s="380" t="n">
        <x:v>18</x:v>
      </x:c>
      <x:c r="F2611" s="380" t="n">
        <x:v>3</x:v>
      </x:c>
      <x:c r="G2611" s="380" t="n">
        <x:f>--(F2611&lt;='Estimator'!$B$7)</x:f>
        <x:v>1</x:v>
      </x:c>
      <x:c r="H2611" s="381" t="n">
        <x:f>SUMIFS('Climate Data'!$G$7:$G$366,'Climate Data'!$A$7:$A$366,'Estimator'!$B$4,'Climate Data'!$B$7:$B$366,C2611)</x:f>
        <x:v>0.23056278464541316</x:v>
      </x:c>
      <x:c r="I2611" s="382" t="n">
        <x:f>SUMIFS('Climate Data'!$H$7:$H$366,'Climate Data'!$A$7:$A$366,'Estimator'!$B$4,'Climate Data'!$B$7:$B$366,C2611)</x:f>
        <x:v>9.682010582010582</x:v>
      </x:c>
      <x:c r="J2611" s="381" t="n">
        <x:f>SUMIFS('Wind Proxy'!$H$8:$H$19,'Wind Proxy'!$A$8:$A$19,'Estimator'!$B$4,'Wind Proxy'!$B$8:$B$19,C2611)</x:f>
        <x:v>0.13757861635220128</x:v>
      </x:c>
    </x:row>
    <x:row r="2612">
      <x:c r="A2612" s="379" t="n">
        <x:v>48263</x:v>
      </x:c>
      <x:c r="B2612" s="380" t="n">
        <x:v>2032</x:v>
      </x:c>
      <x:c r="C2612" s="380" t="n">
        <x:v>2</x:v>
      </x:c>
      <x:c r="D2612" s="380" t="str">
        <x:v>Feb</x:v>
      </x:c>
      <x:c r="E2612" s="380" t="n">
        <x:v>19</x:v>
      </x:c>
      <x:c r="F2612" s="380" t="n">
        <x:v>4</x:v>
      </x:c>
      <x:c r="G2612" s="380" t="n">
        <x:f>--(F2612&lt;='Estimator'!$B$7)</x:f>
        <x:v>1</x:v>
      </x:c>
      <x:c r="H2612" s="381" t="n">
        <x:f>SUMIFS('Climate Data'!$G$7:$G$366,'Climate Data'!$A$7:$A$366,'Estimator'!$B$4,'Climate Data'!$B$7:$B$366,C2612)</x:f>
        <x:v>0.23056278464541316</x:v>
      </x:c>
      <x:c r="I2612" s="382" t="n">
        <x:f>SUMIFS('Climate Data'!$H$7:$H$366,'Climate Data'!$A$7:$A$366,'Estimator'!$B$4,'Climate Data'!$B$7:$B$366,C2612)</x:f>
        <x:v>9.682010582010582</x:v>
      </x:c>
      <x:c r="J2612" s="381" t="n">
        <x:f>SUMIFS('Wind Proxy'!$H$8:$H$19,'Wind Proxy'!$A$8:$A$19,'Estimator'!$B$4,'Wind Proxy'!$B$8:$B$19,C2612)</x:f>
        <x:v>0.13757861635220128</x:v>
      </x:c>
    </x:row>
    <x:row r="2613">
      <x:c r="A2613" s="379" t="n">
        <x:v>48264</x:v>
      </x:c>
      <x:c r="B2613" s="380" t="n">
        <x:v>2032</x:v>
      </x:c>
      <x:c r="C2613" s="380" t="n">
        <x:v>2</x:v>
      </x:c>
      <x:c r="D2613" s="380" t="str">
        <x:v>Feb</x:v>
      </x:c>
      <x:c r="E2613" s="380" t="n">
        <x:v>20</x:v>
      </x:c>
      <x:c r="F2613" s="380" t="n">
        <x:v>5</x:v>
      </x:c>
      <x:c r="G2613" s="380" t="n">
        <x:f>--(F2613&lt;='Estimator'!$B$7)</x:f>
        <x:v>1</x:v>
      </x:c>
      <x:c r="H2613" s="381" t="n">
        <x:f>SUMIFS('Climate Data'!$G$7:$G$366,'Climate Data'!$A$7:$A$366,'Estimator'!$B$4,'Climate Data'!$B$7:$B$366,C2613)</x:f>
        <x:v>0.23056278464541316</x:v>
      </x:c>
      <x:c r="I2613" s="382" t="n">
        <x:f>SUMIFS('Climate Data'!$H$7:$H$366,'Climate Data'!$A$7:$A$366,'Estimator'!$B$4,'Climate Data'!$B$7:$B$366,C2613)</x:f>
        <x:v>9.682010582010582</x:v>
      </x:c>
      <x:c r="J2613" s="381" t="n">
        <x:f>SUMIFS('Wind Proxy'!$H$8:$H$19,'Wind Proxy'!$A$8:$A$19,'Estimator'!$B$4,'Wind Proxy'!$B$8:$B$19,C2613)</x:f>
        <x:v>0.13757861635220128</x:v>
      </x:c>
    </x:row>
    <x:row r="2614">
      <x:c r="A2614" s="379" t="n">
        <x:v>48265</x:v>
      </x:c>
      <x:c r="B2614" s="380" t="n">
        <x:v>2032</x:v>
      </x:c>
      <x:c r="C2614" s="380" t="n">
        <x:v>2</x:v>
      </x:c>
      <x:c r="D2614" s="380" t="str">
        <x:v>Feb</x:v>
      </x:c>
      <x:c r="E2614" s="380" t="n">
        <x:v>21</x:v>
      </x:c>
      <x:c r="F2614" s="380" t="n">
        <x:v>6</x:v>
      </x:c>
      <x:c r="G2614" s="380" t="n">
        <x:f>--(F2614&lt;='Estimator'!$B$7)</x:f>
        <x:v>0</x:v>
      </x:c>
      <x:c r="H2614" s="381" t="n">
        <x:f>SUMIFS('Climate Data'!$G$7:$G$366,'Climate Data'!$A$7:$A$366,'Estimator'!$B$4,'Climate Data'!$B$7:$B$366,C2614)</x:f>
        <x:v>0.23056278464541316</x:v>
      </x:c>
      <x:c r="I2614" s="382" t="n">
        <x:f>SUMIFS('Climate Data'!$H$7:$H$366,'Climate Data'!$A$7:$A$366,'Estimator'!$B$4,'Climate Data'!$B$7:$B$366,C2614)</x:f>
        <x:v>9.682010582010582</x:v>
      </x:c>
      <x:c r="J2614" s="381" t="n">
        <x:f>SUMIFS('Wind Proxy'!$H$8:$H$19,'Wind Proxy'!$A$8:$A$19,'Estimator'!$B$4,'Wind Proxy'!$B$8:$B$19,C2614)</x:f>
        <x:v>0.13757861635220128</x:v>
      </x:c>
    </x:row>
    <x:row r="2615">
      <x:c r="A2615" s="379" t="n">
        <x:v>48266</x:v>
      </x:c>
      <x:c r="B2615" s="380" t="n">
        <x:v>2032</x:v>
      </x:c>
      <x:c r="C2615" s="380" t="n">
        <x:v>2</x:v>
      </x:c>
      <x:c r="D2615" s="380" t="str">
        <x:v>Feb</x:v>
      </x:c>
      <x:c r="E2615" s="380" t="n">
        <x:v>22</x:v>
      </x:c>
      <x:c r="F2615" s="380" t="n">
        <x:v>7</x:v>
      </x:c>
      <x:c r="G2615" s="380" t="n">
        <x:f>--(F2615&lt;='Estimator'!$B$7)</x:f>
        <x:v>0</x:v>
      </x:c>
      <x:c r="H2615" s="381" t="n">
        <x:f>SUMIFS('Climate Data'!$G$7:$G$366,'Climate Data'!$A$7:$A$366,'Estimator'!$B$4,'Climate Data'!$B$7:$B$366,C2615)</x:f>
        <x:v>0.23056278464541316</x:v>
      </x:c>
      <x:c r="I2615" s="382" t="n">
        <x:f>SUMIFS('Climate Data'!$H$7:$H$366,'Climate Data'!$A$7:$A$366,'Estimator'!$B$4,'Climate Data'!$B$7:$B$366,C2615)</x:f>
        <x:v>9.682010582010582</x:v>
      </x:c>
      <x:c r="J2615" s="381" t="n">
        <x:f>SUMIFS('Wind Proxy'!$H$8:$H$19,'Wind Proxy'!$A$8:$A$19,'Estimator'!$B$4,'Wind Proxy'!$B$8:$B$19,C2615)</x:f>
        <x:v>0.13757861635220128</x:v>
      </x:c>
    </x:row>
    <x:row r="2616">
      <x:c r="A2616" s="379" t="n">
        <x:v>48267</x:v>
      </x:c>
      <x:c r="B2616" s="380" t="n">
        <x:v>2032</x:v>
      </x:c>
      <x:c r="C2616" s="380" t="n">
        <x:v>2</x:v>
      </x:c>
      <x:c r="D2616" s="380" t="str">
        <x:v>Feb</x:v>
      </x:c>
      <x:c r="E2616" s="380" t="n">
        <x:v>23</x:v>
      </x:c>
      <x:c r="F2616" s="380" t="n">
        <x:v>1</x:v>
      </x:c>
      <x:c r="G2616" s="380" t="n">
        <x:f>--(F2616&lt;='Estimator'!$B$7)</x:f>
        <x:v>1</x:v>
      </x:c>
      <x:c r="H2616" s="381" t="n">
        <x:f>SUMIFS('Climate Data'!$G$7:$G$366,'Climate Data'!$A$7:$A$366,'Estimator'!$B$4,'Climate Data'!$B$7:$B$366,C2616)</x:f>
        <x:v>0.23056278464541316</x:v>
      </x:c>
      <x:c r="I2616" s="382" t="n">
        <x:f>SUMIFS('Climate Data'!$H$7:$H$366,'Climate Data'!$A$7:$A$366,'Estimator'!$B$4,'Climate Data'!$B$7:$B$366,C2616)</x:f>
        <x:v>9.682010582010582</x:v>
      </x:c>
      <x:c r="J2616" s="381" t="n">
        <x:f>SUMIFS('Wind Proxy'!$H$8:$H$19,'Wind Proxy'!$A$8:$A$19,'Estimator'!$B$4,'Wind Proxy'!$B$8:$B$19,C2616)</x:f>
        <x:v>0.13757861635220128</x:v>
      </x:c>
    </x:row>
    <x:row r="2617">
      <x:c r="A2617" s="379" t="n">
        <x:v>48268</x:v>
      </x:c>
      <x:c r="B2617" s="380" t="n">
        <x:v>2032</x:v>
      </x:c>
      <x:c r="C2617" s="380" t="n">
        <x:v>2</x:v>
      </x:c>
      <x:c r="D2617" s="380" t="str">
        <x:v>Feb</x:v>
      </x:c>
      <x:c r="E2617" s="380" t="n">
        <x:v>24</x:v>
      </x:c>
      <x:c r="F2617" s="380" t="n">
        <x:v>2</x:v>
      </x:c>
      <x:c r="G2617" s="380" t="n">
        <x:f>--(F2617&lt;='Estimator'!$B$7)</x:f>
        <x:v>1</x:v>
      </x:c>
      <x:c r="H2617" s="381" t="n">
        <x:f>SUMIFS('Climate Data'!$G$7:$G$366,'Climate Data'!$A$7:$A$366,'Estimator'!$B$4,'Climate Data'!$B$7:$B$366,C2617)</x:f>
        <x:v>0.23056278464541316</x:v>
      </x:c>
      <x:c r="I2617" s="382" t="n">
        <x:f>SUMIFS('Climate Data'!$H$7:$H$366,'Climate Data'!$A$7:$A$366,'Estimator'!$B$4,'Climate Data'!$B$7:$B$366,C2617)</x:f>
        <x:v>9.682010582010582</x:v>
      </x:c>
      <x:c r="J2617" s="381" t="n">
        <x:f>SUMIFS('Wind Proxy'!$H$8:$H$19,'Wind Proxy'!$A$8:$A$19,'Estimator'!$B$4,'Wind Proxy'!$B$8:$B$19,C2617)</x:f>
        <x:v>0.13757861635220128</x:v>
      </x:c>
    </x:row>
    <x:row r="2618">
      <x:c r="A2618" s="379" t="n">
        <x:v>48269</x:v>
      </x:c>
      <x:c r="B2618" s="380" t="n">
        <x:v>2032</x:v>
      </x:c>
      <x:c r="C2618" s="380" t="n">
        <x:v>2</x:v>
      </x:c>
      <x:c r="D2618" s="380" t="str">
        <x:v>Feb</x:v>
      </x:c>
      <x:c r="E2618" s="380" t="n">
        <x:v>25</x:v>
      </x:c>
      <x:c r="F2618" s="380" t="n">
        <x:v>3</x:v>
      </x:c>
      <x:c r="G2618" s="380" t="n">
        <x:f>--(F2618&lt;='Estimator'!$B$7)</x:f>
        <x:v>1</x:v>
      </x:c>
      <x:c r="H2618" s="381" t="n">
        <x:f>SUMIFS('Climate Data'!$G$7:$G$366,'Climate Data'!$A$7:$A$366,'Estimator'!$B$4,'Climate Data'!$B$7:$B$366,C2618)</x:f>
        <x:v>0.23056278464541316</x:v>
      </x:c>
      <x:c r="I2618" s="382" t="n">
        <x:f>SUMIFS('Climate Data'!$H$7:$H$366,'Climate Data'!$A$7:$A$366,'Estimator'!$B$4,'Climate Data'!$B$7:$B$366,C2618)</x:f>
        <x:v>9.682010582010582</x:v>
      </x:c>
      <x:c r="J2618" s="381" t="n">
        <x:f>SUMIFS('Wind Proxy'!$H$8:$H$19,'Wind Proxy'!$A$8:$A$19,'Estimator'!$B$4,'Wind Proxy'!$B$8:$B$19,C2618)</x:f>
        <x:v>0.13757861635220128</x:v>
      </x:c>
    </x:row>
    <x:row r="2619">
      <x:c r="A2619" s="379" t="n">
        <x:v>48270</x:v>
      </x:c>
      <x:c r="B2619" s="380" t="n">
        <x:v>2032</x:v>
      </x:c>
      <x:c r="C2619" s="380" t="n">
        <x:v>2</x:v>
      </x:c>
      <x:c r="D2619" s="380" t="str">
        <x:v>Feb</x:v>
      </x:c>
      <x:c r="E2619" s="380" t="n">
        <x:v>26</x:v>
      </x:c>
      <x:c r="F2619" s="380" t="n">
        <x:v>4</x:v>
      </x:c>
      <x:c r="G2619" s="380" t="n">
        <x:f>--(F2619&lt;='Estimator'!$B$7)</x:f>
        <x:v>1</x:v>
      </x:c>
      <x:c r="H2619" s="381" t="n">
        <x:f>SUMIFS('Climate Data'!$G$7:$G$366,'Climate Data'!$A$7:$A$366,'Estimator'!$B$4,'Climate Data'!$B$7:$B$366,C2619)</x:f>
        <x:v>0.23056278464541316</x:v>
      </x:c>
      <x:c r="I2619" s="382" t="n">
        <x:f>SUMIFS('Climate Data'!$H$7:$H$366,'Climate Data'!$A$7:$A$366,'Estimator'!$B$4,'Climate Data'!$B$7:$B$366,C2619)</x:f>
        <x:v>9.682010582010582</x:v>
      </x:c>
      <x:c r="J2619" s="381" t="n">
        <x:f>SUMIFS('Wind Proxy'!$H$8:$H$19,'Wind Proxy'!$A$8:$A$19,'Estimator'!$B$4,'Wind Proxy'!$B$8:$B$19,C2619)</x:f>
        <x:v>0.13757861635220128</x:v>
      </x:c>
    </x:row>
    <x:row r="2620">
      <x:c r="A2620" s="379" t="n">
        <x:v>48271</x:v>
      </x:c>
      <x:c r="B2620" s="380" t="n">
        <x:v>2032</x:v>
      </x:c>
      <x:c r="C2620" s="380" t="n">
        <x:v>2</x:v>
      </x:c>
      <x:c r="D2620" s="380" t="str">
        <x:v>Feb</x:v>
      </x:c>
      <x:c r="E2620" s="380" t="n">
        <x:v>27</x:v>
      </x:c>
      <x:c r="F2620" s="380" t="n">
        <x:v>5</x:v>
      </x:c>
      <x:c r="G2620" s="380" t="n">
        <x:f>--(F2620&lt;='Estimator'!$B$7)</x:f>
        <x:v>1</x:v>
      </x:c>
      <x:c r="H2620" s="381" t="n">
        <x:f>SUMIFS('Climate Data'!$G$7:$G$366,'Climate Data'!$A$7:$A$366,'Estimator'!$B$4,'Climate Data'!$B$7:$B$366,C2620)</x:f>
        <x:v>0.23056278464541316</x:v>
      </x:c>
      <x:c r="I2620" s="382" t="n">
        <x:f>SUMIFS('Climate Data'!$H$7:$H$366,'Climate Data'!$A$7:$A$366,'Estimator'!$B$4,'Climate Data'!$B$7:$B$366,C2620)</x:f>
        <x:v>9.682010582010582</x:v>
      </x:c>
      <x:c r="J2620" s="381" t="n">
        <x:f>SUMIFS('Wind Proxy'!$H$8:$H$19,'Wind Proxy'!$A$8:$A$19,'Estimator'!$B$4,'Wind Proxy'!$B$8:$B$19,C2620)</x:f>
        <x:v>0.13757861635220128</x:v>
      </x:c>
    </x:row>
    <x:row r="2621">
      <x:c r="A2621" s="379" t="n">
        <x:v>48272</x:v>
      </x:c>
      <x:c r="B2621" s="380" t="n">
        <x:v>2032</x:v>
      </x:c>
      <x:c r="C2621" s="380" t="n">
        <x:v>2</x:v>
      </x:c>
      <x:c r="D2621" s="380" t="str">
        <x:v>Feb</x:v>
      </x:c>
      <x:c r="E2621" s="380" t="n">
        <x:v>28</x:v>
      </x:c>
      <x:c r="F2621" s="380" t="n">
        <x:v>6</x:v>
      </x:c>
      <x:c r="G2621" s="380" t="n">
        <x:f>--(F2621&lt;='Estimator'!$B$7)</x:f>
        <x:v>0</x:v>
      </x:c>
      <x:c r="H2621" s="381" t="n">
        <x:f>SUMIFS('Climate Data'!$G$7:$G$366,'Climate Data'!$A$7:$A$366,'Estimator'!$B$4,'Climate Data'!$B$7:$B$366,C2621)</x:f>
        <x:v>0.23056278464541316</x:v>
      </x:c>
      <x:c r="I2621" s="382" t="n">
        <x:f>SUMIFS('Climate Data'!$H$7:$H$366,'Climate Data'!$A$7:$A$366,'Estimator'!$B$4,'Climate Data'!$B$7:$B$366,C2621)</x:f>
        <x:v>9.682010582010582</x:v>
      </x:c>
      <x:c r="J2621" s="381" t="n">
        <x:f>SUMIFS('Wind Proxy'!$H$8:$H$19,'Wind Proxy'!$A$8:$A$19,'Estimator'!$B$4,'Wind Proxy'!$B$8:$B$19,C2621)</x:f>
        <x:v>0.13757861635220128</x:v>
      </x:c>
    </x:row>
    <x:row r="2622">
      <x:c r="A2622" s="379" t="n">
        <x:v>48273</x:v>
      </x:c>
      <x:c r="B2622" s="380" t="n">
        <x:v>2032</x:v>
      </x:c>
      <x:c r="C2622" s="380" t="n">
        <x:v>2</x:v>
      </x:c>
      <x:c r="D2622" s="380" t="str">
        <x:v>Feb</x:v>
      </x:c>
      <x:c r="E2622" s="380" t="n">
        <x:v>29</x:v>
      </x:c>
      <x:c r="F2622" s="380" t="n">
        <x:v>7</x:v>
      </x:c>
      <x:c r="G2622" s="380" t="n">
        <x:f>--(F2622&lt;='Estimator'!$B$7)</x:f>
        <x:v>0</x:v>
      </x:c>
      <x:c r="H2622" s="381" t="n">
        <x:f>SUMIFS('Climate Data'!$G$7:$G$366,'Climate Data'!$A$7:$A$366,'Estimator'!$B$4,'Climate Data'!$B$7:$B$366,C2622)</x:f>
        <x:v>0.23056278464541316</x:v>
      </x:c>
      <x:c r="I2622" s="382" t="n">
        <x:f>SUMIFS('Climate Data'!$H$7:$H$366,'Climate Data'!$A$7:$A$366,'Estimator'!$B$4,'Climate Data'!$B$7:$B$366,C2622)</x:f>
        <x:v>9.682010582010582</x:v>
      </x:c>
      <x:c r="J2622" s="381" t="n">
        <x:f>SUMIFS('Wind Proxy'!$H$8:$H$19,'Wind Proxy'!$A$8:$A$19,'Estimator'!$B$4,'Wind Proxy'!$B$8:$B$19,C2622)</x:f>
        <x:v>0.13757861635220128</x:v>
      </x:c>
    </x:row>
    <x:row r="2623">
      <x:c r="A2623" s="379" t="n">
        <x:v>48274</x:v>
      </x:c>
      <x:c r="B2623" s="380" t="n">
        <x:v>2032</x:v>
      </x:c>
      <x:c r="C2623" s="380" t="n">
        <x:v>3</x:v>
      </x:c>
      <x:c r="D2623" s="380" t="str">
        <x:v>Mar</x:v>
      </x:c>
      <x:c r="E2623" s="380" t="n">
        <x:v>1</x:v>
      </x:c>
      <x:c r="F2623" s="380" t="n">
        <x:v>1</x:v>
      </x:c>
      <x:c r="G2623" s="380" t="n">
        <x:f>--(F2623&lt;='Estimator'!$B$7)</x:f>
        <x:v>1</x:v>
      </x:c>
      <x:c r="H2623" s="381" t="n">
        <x:f>SUMIFS('Climate Data'!$G$7:$G$366,'Climate Data'!$A$7:$A$366,'Estimator'!$B$4,'Climate Data'!$B$7:$B$366,C2623)</x:f>
        <x:v>0.24916573971078979</x:v>
      </x:c>
      <x:c r="I2623" s="382" t="n">
        <x:f>SUMIFS('Climate Data'!$H$7:$H$366,'Climate Data'!$A$7:$A$366,'Estimator'!$B$4,'Climate Data'!$B$7:$B$366,C2623)</x:f>
        <x:v>9.709821428571429</x:v>
      </x:c>
      <x:c r="J2623" s="381" t="n">
        <x:f>SUMIFS('Wind Proxy'!$H$8:$H$19,'Wind Proxy'!$A$8:$A$19,'Estimator'!$B$4,'Wind Proxy'!$B$8:$B$19,C2623)</x:f>
        <x:v>0.11350059737156513</x:v>
      </x:c>
    </x:row>
    <x:row r="2624">
      <x:c r="A2624" s="379" t="n">
        <x:v>48275</x:v>
      </x:c>
      <x:c r="B2624" s="380" t="n">
        <x:v>2032</x:v>
      </x:c>
      <x:c r="C2624" s="380" t="n">
        <x:v>3</x:v>
      </x:c>
      <x:c r="D2624" s="380" t="str">
        <x:v>Mar</x:v>
      </x:c>
      <x:c r="E2624" s="380" t="n">
        <x:v>2</x:v>
      </x:c>
      <x:c r="F2624" s="380" t="n">
        <x:v>2</x:v>
      </x:c>
      <x:c r="G2624" s="380" t="n">
        <x:f>--(F2624&lt;='Estimator'!$B$7)</x:f>
        <x:v>1</x:v>
      </x:c>
      <x:c r="H2624" s="381" t="n">
        <x:f>SUMIFS('Climate Data'!$G$7:$G$366,'Climate Data'!$A$7:$A$366,'Estimator'!$B$4,'Climate Data'!$B$7:$B$366,C2624)</x:f>
        <x:v>0.24916573971078979</x:v>
      </x:c>
      <x:c r="I2624" s="382" t="n">
        <x:f>SUMIFS('Climate Data'!$H$7:$H$366,'Climate Data'!$A$7:$A$366,'Estimator'!$B$4,'Climate Data'!$B$7:$B$366,C2624)</x:f>
        <x:v>9.709821428571429</x:v>
      </x:c>
      <x:c r="J2624" s="381" t="n">
        <x:f>SUMIFS('Wind Proxy'!$H$8:$H$19,'Wind Proxy'!$A$8:$A$19,'Estimator'!$B$4,'Wind Proxy'!$B$8:$B$19,C2624)</x:f>
        <x:v>0.11350059737156513</x:v>
      </x:c>
    </x:row>
    <x:row r="2625">
      <x:c r="A2625" s="379" t="n">
        <x:v>48276</x:v>
      </x:c>
      <x:c r="B2625" s="380" t="n">
        <x:v>2032</x:v>
      </x:c>
      <x:c r="C2625" s="380" t="n">
        <x:v>3</x:v>
      </x:c>
      <x:c r="D2625" s="380" t="str">
        <x:v>Mar</x:v>
      </x:c>
      <x:c r="E2625" s="380" t="n">
        <x:v>3</x:v>
      </x:c>
      <x:c r="F2625" s="380" t="n">
        <x:v>3</x:v>
      </x:c>
      <x:c r="G2625" s="380" t="n">
        <x:f>--(F2625&lt;='Estimator'!$B$7)</x:f>
        <x:v>1</x:v>
      </x:c>
      <x:c r="H2625" s="381" t="n">
        <x:f>SUMIFS('Climate Data'!$G$7:$G$366,'Climate Data'!$A$7:$A$366,'Estimator'!$B$4,'Climate Data'!$B$7:$B$366,C2625)</x:f>
        <x:v>0.24916573971078979</x:v>
      </x:c>
      <x:c r="I2625" s="382" t="n">
        <x:f>SUMIFS('Climate Data'!$H$7:$H$366,'Climate Data'!$A$7:$A$366,'Estimator'!$B$4,'Climate Data'!$B$7:$B$366,C2625)</x:f>
        <x:v>9.709821428571429</x:v>
      </x:c>
      <x:c r="J2625" s="381" t="n">
        <x:f>SUMIFS('Wind Proxy'!$H$8:$H$19,'Wind Proxy'!$A$8:$A$19,'Estimator'!$B$4,'Wind Proxy'!$B$8:$B$19,C2625)</x:f>
        <x:v>0.11350059737156513</x:v>
      </x:c>
    </x:row>
    <x:row r="2626">
      <x:c r="A2626" s="379" t="n">
        <x:v>48277</x:v>
      </x:c>
      <x:c r="B2626" s="380" t="n">
        <x:v>2032</x:v>
      </x:c>
      <x:c r="C2626" s="380" t="n">
        <x:v>3</x:v>
      </x:c>
      <x:c r="D2626" s="380" t="str">
        <x:v>Mar</x:v>
      </x:c>
      <x:c r="E2626" s="380" t="n">
        <x:v>4</x:v>
      </x:c>
      <x:c r="F2626" s="380" t="n">
        <x:v>4</x:v>
      </x:c>
      <x:c r="G2626" s="380" t="n">
        <x:f>--(F2626&lt;='Estimator'!$B$7)</x:f>
        <x:v>1</x:v>
      </x:c>
      <x:c r="H2626" s="381" t="n">
        <x:f>SUMIFS('Climate Data'!$G$7:$G$366,'Climate Data'!$A$7:$A$366,'Estimator'!$B$4,'Climate Data'!$B$7:$B$366,C2626)</x:f>
        <x:v>0.24916573971078979</x:v>
      </x:c>
      <x:c r="I2626" s="382" t="n">
        <x:f>SUMIFS('Climate Data'!$H$7:$H$366,'Climate Data'!$A$7:$A$366,'Estimator'!$B$4,'Climate Data'!$B$7:$B$366,C2626)</x:f>
        <x:v>9.709821428571429</x:v>
      </x:c>
      <x:c r="J2626" s="381" t="n">
        <x:f>SUMIFS('Wind Proxy'!$H$8:$H$19,'Wind Proxy'!$A$8:$A$19,'Estimator'!$B$4,'Wind Proxy'!$B$8:$B$19,C2626)</x:f>
        <x:v>0.11350059737156513</x:v>
      </x:c>
    </x:row>
    <x:row r="2627">
      <x:c r="A2627" s="379" t="n">
        <x:v>48278</x:v>
      </x:c>
      <x:c r="B2627" s="380" t="n">
        <x:v>2032</x:v>
      </x:c>
      <x:c r="C2627" s="380" t="n">
        <x:v>3</x:v>
      </x:c>
      <x:c r="D2627" s="380" t="str">
        <x:v>Mar</x:v>
      </x:c>
      <x:c r="E2627" s="380" t="n">
        <x:v>5</x:v>
      </x:c>
      <x:c r="F2627" s="380" t="n">
        <x:v>5</x:v>
      </x:c>
      <x:c r="G2627" s="380" t="n">
        <x:f>--(F2627&lt;='Estimator'!$B$7)</x:f>
        <x:v>1</x:v>
      </x:c>
      <x:c r="H2627" s="381" t="n">
        <x:f>SUMIFS('Climate Data'!$G$7:$G$366,'Climate Data'!$A$7:$A$366,'Estimator'!$B$4,'Climate Data'!$B$7:$B$366,C2627)</x:f>
        <x:v>0.24916573971078979</x:v>
      </x:c>
      <x:c r="I2627" s="382" t="n">
        <x:f>SUMIFS('Climate Data'!$H$7:$H$366,'Climate Data'!$A$7:$A$366,'Estimator'!$B$4,'Climate Data'!$B$7:$B$366,C2627)</x:f>
        <x:v>9.709821428571429</x:v>
      </x:c>
      <x:c r="J2627" s="381" t="n">
        <x:f>SUMIFS('Wind Proxy'!$H$8:$H$19,'Wind Proxy'!$A$8:$A$19,'Estimator'!$B$4,'Wind Proxy'!$B$8:$B$19,C2627)</x:f>
        <x:v>0.11350059737156513</x:v>
      </x:c>
    </x:row>
    <x:row r="2628">
      <x:c r="A2628" s="379" t="n">
        <x:v>48279</x:v>
      </x:c>
      <x:c r="B2628" s="380" t="n">
        <x:v>2032</x:v>
      </x:c>
      <x:c r="C2628" s="380" t="n">
        <x:v>3</x:v>
      </x:c>
      <x:c r="D2628" s="380" t="str">
        <x:v>Mar</x:v>
      </x:c>
      <x:c r="E2628" s="380" t="n">
        <x:v>6</x:v>
      </x:c>
      <x:c r="F2628" s="380" t="n">
        <x:v>6</x:v>
      </x:c>
      <x:c r="G2628" s="380" t="n">
        <x:f>--(F2628&lt;='Estimator'!$B$7)</x:f>
        <x:v>0</x:v>
      </x:c>
      <x:c r="H2628" s="381" t="n">
        <x:f>SUMIFS('Climate Data'!$G$7:$G$366,'Climate Data'!$A$7:$A$366,'Estimator'!$B$4,'Climate Data'!$B$7:$B$366,C2628)</x:f>
        <x:v>0.24916573971078979</x:v>
      </x:c>
      <x:c r="I2628" s="382" t="n">
        <x:f>SUMIFS('Climate Data'!$H$7:$H$366,'Climate Data'!$A$7:$A$366,'Estimator'!$B$4,'Climate Data'!$B$7:$B$366,C2628)</x:f>
        <x:v>9.709821428571429</x:v>
      </x:c>
      <x:c r="J2628" s="381" t="n">
        <x:f>SUMIFS('Wind Proxy'!$H$8:$H$19,'Wind Proxy'!$A$8:$A$19,'Estimator'!$B$4,'Wind Proxy'!$B$8:$B$19,C2628)</x:f>
        <x:v>0.11350059737156513</x:v>
      </x:c>
    </x:row>
    <x:row r="2629">
      <x:c r="A2629" s="379" t="n">
        <x:v>48280</x:v>
      </x:c>
      <x:c r="B2629" s="380" t="n">
        <x:v>2032</x:v>
      </x:c>
      <x:c r="C2629" s="380" t="n">
        <x:v>3</x:v>
      </x:c>
      <x:c r="D2629" s="380" t="str">
        <x:v>Mar</x:v>
      </x:c>
      <x:c r="E2629" s="380" t="n">
        <x:v>7</x:v>
      </x:c>
      <x:c r="F2629" s="380" t="n">
        <x:v>7</x:v>
      </x:c>
      <x:c r="G2629" s="380" t="n">
        <x:f>--(F2629&lt;='Estimator'!$B$7)</x:f>
        <x:v>0</x:v>
      </x:c>
      <x:c r="H2629" s="381" t="n">
        <x:f>SUMIFS('Climate Data'!$G$7:$G$366,'Climate Data'!$A$7:$A$366,'Estimator'!$B$4,'Climate Data'!$B$7:$B$366,C2629)</x:f>
        <x:v>0.24916573971078979</x:v>
      </x:c>
      <x:c r="I2629" s="382" t="n">
        <x:f>SUMIFS('Climate Data'!$H$7:$H$366,'Climate Data'!$A$7:$A$366,'Estimator'!$B$4,'Climate Data'!$B$7:$B$366,C2629)</x:f>
        <x:v>9.709821428571429</x:v>
      </x:c>
      <x:c r="J2629" s="381" t="n">
        <x:f>SUMIFS('Wind Proxy'!$H$8:$H$19,'Wind Proxy'!$A$8:$A$19,'Estimator'!$B$4,'Wind Proxy'!$B$8:$B$19,C2629)</x:f>
        <x:v>0.11350059737156513</x:v>
      </x:c>
    </x:row>
    <x:row r="2630">
      <x:c r="A2630" s="379" t="n">
        <x:v>48281</x:v>
      </x:c>
      <x:c r="B2630" s="380" t="n">
        <x:v>2032</x:v>
      </x:c>
      <x:c r="C2630" s="380" t="n">
        <x:v>3</x:v>
      </x:c>
      <x:c r="D2630" s="380" t="str">
        <x:v>Mar</x:v>
      </x:c>
      <x:c r="E2630" s="380" t="n">
        <x:v>8</x:v>
      </x:c>
      <x:c r="F2630" s="380" t="n">
        <x:v>1</x:v>
      </x:c>
      <x:c r="G2630" s="380" t="n">
        <x:f>--(F2630&lt;='Estimator'!$B$7)</x:f>
        <x:v>1</x:v>
      </x:c>
      <x:c r="H2630" s="381" t="n">
        <x:f>SUMIFS('Climate Data'!$G$7:$G$366,'Climate Data'!$A$7:$A$366,'Estimator'!$B$4,'Climate Data'!$B$7:$B$366,C2630)</x:f>
        <x:v>0.24916573971078979</x:v>
      </x:c>
      <x:c r="I2630" s="382" t="n">
        <x:f>SUMIFS('Climate Data'!$H$7:$H$366,'Climate Data'!$A$7:$A$366,'Estimator'!$B$4,'Climate Data'!$B$7:$B$366,C2630)</x:f>
        <x:v>9.709821428571429</x:v>
      </x:c>
      <x:c r="J2630" s="381" t="n">
        <x:f>SUMIFS('Wind Proxy'!$H$8:$H$19,'Wind Proxy'!$A$8:$A$19,'Estimator'!$B$4,'Wind Proxy'!$B$8:$B$19,C2630)</x:f>
        <x:v>0.11350059737156513</x:v>
      </x:c>
    </x:row>
    <x:row r="2631">
      <x:c r="A2631" s="379" t="n">
        <x:v>48282</x:v>
      </x:c>
      <x:c r="B2631" s="380" t="n">
        <x:v>2032</x:v>
      </x:c>
      <x:c r="C2631" s="380" t="n">
        <x:v>3</x:v>
      </x:c>
      <x:c r="D2631" s="380" t="str">
        <x:v>Mar</x:v>
      </x:c>
      <x:c r="E2631" s="380" t="n">
        <x:v>9</x:v>
      </x:c>
      <x:c r="F2631" s="380" t="n">
        <x:v>2</x:v>
      </x:c>
      <x:c r="G2631" s="380" t="n">
        <x:f>--(F2631&lt;='Estimator'!$B$7)</x:f>
        <x:v>1</x:v>
      </x:c>
      <x:c r="H2631" s="381" t="n">
        <x:f>SUMIFS('Climate Data'!$G$7:$G$366,'Climate Data'!$A$7:$A$366,'Estimator'!$B$4,'Climate Data'!$B$7:$B$366,C2631)</x:f>
        <x:v>0.24916573971078979</x:v>
      </x:c>
      <x:c r="I2631" s="382" t="n">
        <x:f>SUMIFS('Climate Data'!$H$7:$H$366,'Climate Data'!$A$7:$A$366,'Estimator'!$B$4,'Climate Data'!$B$7:$B$366,C2631)</x:f>
        <x:v>9.709821428571429</x:v>
      </x:c>
      <x:c r="J2631" s="381" t="n">
        <x:f>SUMIFS('Wind Proxy'!$H$8:$H$19,'Wind Proxy'!$A$8:$A$19,'Estimator'!$B$4,'Wind Proxy'!$B$8:$B$19,C2631)</x:f>
        <x:v>0.11350059737156513</x:v>
      </x:c>
    </x:row>
    <x:row r="2632">
      <x:c r="A2632" s="379" t="n">
        <x:v>48283</x:v>
      </x:c>
      <x:c r="B2632" s="380" t="n">
        <x:v>2032</x:v>
      </x:c>
      <x:c r="C2632" s="380" t="n">
        <x:v>3</x:v>
      </x:c>
      <x:c r="D2632" s="380" t="str">
        <x:v>Mar</x:v>
      </x:c>
      <x:c r="E2632" s="380" t="n">
        <x:v>10</x:v>
      </x:c>
      <x:c r="F2632" s="380" t="n">
        <x:v>3</x:v>
      </x:c>
      <x:c r="G2632" s="380" t="n">
        <x:f>--(F2632&lt;='Estimator'!$B$7)</x:f>
        <x:v>1</x:v>
      </x:c>
      <x:c r="H2632" s="381" t="n">
        <x:f>SUMIFS('Climate Data'!$G$7:$G$366,'Climate Data'!$A$7:$A$366,'Estimator'!$B$4,'Climate Data'!$B$7:$B$366,C2632)</x:f>
        <x:v>0.24916573971078979</x:v>
      </x:c>
      <x:c r="I2632" s="382" t="n">
        <x:f>SUMIFS('Climate Data'!$H$7:$H$366,'Climate Data'!$A$7:$A$366,'Estimator'!$B$4,'Climate Data'!$B$7:$B$366,C2632)</x:f>
        <x:v>9.709821428571429</x:v>
      </x:c>
      <x:c r="J2632" s="381" t="n">
        <x:f>SUMIFS('Wind Proxy'!$H$8:$H$19,'Wind Proxy'!$A$8:$A$19,'Estimator'!$B$4,'Wind Proxy'!$B$8:$B$19,C2632)</x:f>
        <x:v>0.11350059737156513</x:v>
      </x:c>
    </x:row>
    <x:row r="2633">
      <x:c r="A2633" s="379" t="n">
        <x:v>48284</x:v>
      </x:c>
      <x:c r="B2633" s="380" t="n">
        <x:v>2032</x:v>
      </x:c>
      <x:c r="C2633" s="380" t="n">
        <x:v>3</x:v>
      </x:c>
      <x:c r="D2633" s="380" t="str">
        <x:v>Mar</x:v>
      </x:c>
      <x:c r="E2633" s="380" t="n">
        <x:v>11</x:v>
      </x:c>
      <x:c r="F2633" s="380" t="n">
        <x:v>4</x:v>
      </x:c>
      <x:c r="G2633" s="380" t="n">
        <x:f>--(F2633&lt;='Estimator'!$B$7)</x:f>
        <x:v>1</x:v>
      </x:c>
      <x:c r="H2633" s="381" t="n">
        <x:f>SUMIFS('Climate Data'!$G$7:$G$366,'Climate Data'!$A$7:$A$366,'Estimator'!$B$4,'Climate Data'!$B$7:$B$366,C2633)</x:f>
        <x:v>0.24916573971078979</x:v>
      </x:c>
      <x:c r="I2633" s="382" t="n">
        <x:f>SUMIFS('Climate Data'!$H$7:$H$366,'Climate Data'!$A$7:$A$366,'Estimator'!$B$4,'Climate Data'!$B$7:$B$366,C2633)</x:f>
        <x:v>9.709821428571429</x:v>
      </x:c>
      <x:c r="J2633" s="381" t="n">
        <x:f>SUMIFS('Wind Proxy'!$H$8:$H$19,'Wind Proxy'!$A$8:$A$19,'Estimator'!$B$4,'Wind Proxy'!$B$8:$B$19,C2633)</x:f>
        <x:v>0.11350059737156513</x:v>
      </x:c>
    </x:row>
    <x:row r="2634">
      <x:c r="A2634" s="379" t="n">
        <x:v>48285</x:v>
      </x:c>
      <x:c r="B2634" s="380" t="n">
        <x:v>2032</x:v>
      </x:c>
      <x:c r="C2634" s="380" t="n">
        <x:v>3</x:v>
      </x:c>
      <x:c r="D2634" s="380" t="str">
        <x:v>Mar</x:v>
      </x:c>
      <x:c r="E2634" s="380" t="n">
        <x:v>12</x:v>
      </x:c>
      <x:c r="F2634" s="380" t="n">
        <x:v>5</x:v>
      </x:c>
      <x:c r="G2634" s="380" t="n">
        <x:f>--(F2634&lt;='Estimator'!$B$7)</x:f>
        <x:v>1</x:v>
      </x:c>
      <x:c r="H2634" s="381" t="n">
        <x:f>SUMIFS('Climate Data'!$G$7:$G$366,'Climate Data'!$A$7:$A$366,'Estimator'!$B$4,'Climate Data'!$B$7:$B$366,C2634)</x:f>
        <x:v>0.24916573971078979</x:v>
      </x:c>
      <x:c r="I2634" s="382" t="n">
        <x:f>SUMIFS('Climate Data'!$H$7:$H$366,'Climate Data'!$A$7:$A$366,'Estimator'!$B$4,'Climate Data'!$B$7:$B$366,C2634)</x:f>
        <x:v>9.709821428571429</x:v>
      </x:c>
      <x:c r="J2634" s="381" t="n">
        <x:f>SUMIFS('Wind Proxy'!$H$8:$H$19,'Wind Proxy'!$A$8:$A$19,'Estimator'!$B$4,'Wind Proxy'!$B$8:$B$19,C2634)</x:f>
        <x:v>0.11350059737156513</x:v>
      </x:c>
    </x:row>
    <x:row r="2635">
      <x:c r="A2635" s="379" t="n">
        <x:v>48286</x:v>
      </x:c>
      <x:c r="B2635" s="380" t="n">
        <x:v>2032</x:v>
      </x:c>
      <x:c r="C2635" s="380" t="n">
        <x:v>3</x:v>
      </x:c>
      <x:c r="D2635" s="380" t="str">
        <x:v>Mar</x:v>
      </x:c>
      <x:c r="E2635" s="380" t="n">
        <x:v>13</x:v>
      </x:c>
      <x:c r="F2635" s="380" t="n">
        <x:v>6</x:v>
      </x:c>
      <x:c r="G2635" s="380" t="n">
        <x:f>--(F2635&lt;='Estimator'!$B$7)</x:f>
        <x:v>0</x:v>
      </x:c>
      <x:c r="H2635" s="381" t="n">
        <x:f>SUMIFS('Climate Data'!$G$7:$G$366,'Climate Data'!$A$7:$A$366,'Estimator'!$B$4,'Climate Data'!$B$7:$B$366,C2635)</x:f>
        <x:v>0.24916573971078979</x:v>
      </x:c>
      <x:c r="I2635" s="382" t="n">
        <x:f>SUMIFS('Climate Data'!$H$7:$H$366,'Climate Data'!$A$7:$A$366,'Estimator'!$B$4,'Climate Data'!$B$7:$B$366,C2635)</x:f>
        <x:v>9.709821428571429</x:v>
      </x:c>
      <x:c r="J2635" s="381" t="n">
        <x:f>SUMIFS('Wind Proxy'!$H$8:$H$19,'Wind Proxy'!$A$8:$A$19,'Estimator'!$B$4,'Wind Proxy'!$B$8:$B$19,C2635)</x:f>
        <x:v>0.11350059737156513</x:v>
      </x:c>
    </x:row>
    <x:row r="2636">
      <x:c r="A2636" s="379" t="n">
        <x:v>48287</x:v>
      </x:c>
      <x:c r="B2636" s="380" t="n">
        <x:v>2032</x:v>
      </x:c>
      <x:c r="C2636" s="380" t="n">
        <x:v>3</x:v>
      </x:c>
      <x:c r="D2636" s="380" t="str">
        <x:v>Mar</x:v>
      </x:c>
      <x:c r="E2636" s="380" t="n">
        <x:v>14</x:v>
      </x:c>
      <x:c r="F2636" s="380" t="n">
        <x:v>7</x:v>
      </x:c>
      <x:c r="G2636" s="380" t="n">
        <x:f>--(F2636&lt;='Estimator'!$B$7)</x:f>
        <x:v>0</x:v>
      </x:c>
      <x:c r="H2636" s="381" t="n">
        <x:f>SUMIFS('Climate Data'!$G$7:$G$366,'Climate Data'!$A$7:$A$366,'Estimator'!$B$4,'Climate Data'!$B$7:$B$366,C2636)</x:f>
        <x:v>0.24916573971078979</x:v>
      </x:c>
      <x:c r="I2636" s="382" t="n">
        <x:f>SUMIFS('Climate Data'!$H$7:$H$366,'Climate Data'!$A$7:$A$366,'Estimator'!$B$4,'Climate Data'!$B$7:$B$366,C2636)</x:f>
        <x:v>9.709821428571429</x:v>
      </x:c>
      <x:c r="J2636" s="381" t="n">
        <x:f>SUMIFS('Wind Proxy'!$H$8:$H$19,'Wind Proxy'!$A$8:$A$19,'Estimator'!$B$4,'Wind Proxy'!$B$8:$B$19,C2636)</x:f>
        <x:v>0.11350059737156513</x:v>
      </x:c>
    </x:row>
    <x:row r="2637">
      <x:c r="A2637" s="379" t="n">
        <x:v>48288</x:v>
      </x:c>
      <x:c r="B2637" s="380" t="n">
        <x:v>2032</x:v>
      </x:c>
      <x:c r="C2637" s="380" t="n">
        <x:v>3</x:v>
      </x:c>
      <x:c r="D2637" s="380" t="str">
        <x:v>Mar</x:v>
      </x:c>
      <x:c r="E2637" s="380" t="n">
        <x:v>15</x:v>
      </x:c>
      <x:c r="F2637" s="380" t="n">
        <x:v>1</x:v>
      </x:c>
      <x:c r="G2637" s="380" t="n">
        <x:f>--(F2637&lt;='Estimator'!$B$7)</x:f>
        <x:v>1</x:v>
      </x:c>
      <x:c r="H2637" s="381" t="n">
        <x:f>SUMIFS('Climate Data'!$G$7:$G$366,'Climate Data'!$A$7:$A$366,'Estimator'!$B$4,'Climate Data'!$B$7:$B$366,C2637)</x:f>
        <x:v>0.24916573971078979</x:v>
      </x:c>
      <x:c r="I2637" s="382" t="n">
        <x:f>SUMIFS('Climate Data'!$H$7:$H$366,'Climate Data'!$A$7:$A$366,'Estimator'!$B$4,'Climate Data'!$B$7:$B$366,C2637)</x:f>
        <x:v>9.709821428571429</x:v>
      </x:c>
      <x:c r="J2637" s="381" t="n">
        <x:f>SUMIFS('Wind Proxy'!$H$8:$H$19,'Wind Proxy'!$A$8:$A$19,'Estimator'!$B$4,'Wind Proxy'!$B$8:$B$19,C2637)</x:f>
        <x:v>0.11350059737156513</x:v>
      </x:c>
    </x:row>
    <x:row r="2638">
      <x:c r="A2638" s="379" t="n">
        <x:v>48289</x:v>
      </x:c>
      <x:c r="B2638" s="380" t="n">
        <x:v>2032</x:v>
      </x:c>
      <x:c r="C2638" s="380" t="n">
        <x:v>3</x:v>
      </x:c>
      <x:c r="D2638" s="380" t="str">
        <x:v>Mar</x:v>
      </x:c>
      <x:c r="E2638" s="380" t="n">
        <x:v>16</x:v>
      </x:c>
      <x:c r="F2638" s="380" t="n">
        <x:v>2</x:v>
      </x:c>
      <x:c r="G2638" s="380" t="n">
        <x:f>--(F2638&lt;='Estimator'!$B$7)</x:f>
        <x:v>1</x:v>
      </x:c>
      <x:c r="H2638" s="381" t="n">
        <x:f>SUMIFS('Climate Data'!$G$7:$G$366,'Climate Data'!$A$7:$A$366,'Estimator'!$B$4,'Climate Data'!$B$7:$B$366,C2638)</x:f>
        <x:v>0.24916573971078979</x:v>
      </x:c>
      <x:c r="I2638" s="382" t="n">
        <x:f>SUMIFS('Climate Data'!$H$7:$H$366,'Climate Data'!$A$7:$A$366,'Estimator'!$B$4,'Climate Data'!$B$7:$B$366,C2638)</x:f>
        <x:v>9.709821428571429</x:v>
      </x:c>
      <x:c r="J2638" s="381" t="n">
        <x:f>SUMIFS('Wind Proxy'!$H$8:$H$19,'Wind Proxy'!$A$8:$A$19,'Estimator'!$B$4,'Wind Proxy'!$B$8:$B$19,C2638)</x:f>
        <x:v>0.11350059737156513</x:v>
      </x:c>
    </x:row>
    <x:row r="2639">
      <x:c r="A2639" s="379" t="n">
        <x:v>48290</x:v>
      </x:c>
      <x:c r="B2639" s="380" t="n">
        <x:v>2032</x:v>
      </x:c>
      <x:c r="C2639" s="380" t="n">
        <x:v>3</x:v>
      </x:c>
      <x:c r="D2639" s="380" t="str">
        <x:v>Mar</x:v>
      </x:c>
      <x:c r="E2639" s="380" t="n">
        <x:v>17</x:v>
      </x:c>
      <x:c r="F2639" s="380" t="n">
        <x:v>3</x:v>
      </x:c>
      <x:c r="G2639" s="380" t="n">
        <x:f>--(F2639&lt;='Estimator'!$B$7)</x:f>
        <x:v>1</x:v>
      </x:c>
      <x:c r="H2639" s="381" t="n">
        <x:f>SUMIFS('Climate Data'!$G$7:$G$366,'Climate Data'!$A$7:$A$366,'Estimator'!$B$4,'Climate Data'!$B$7:$B$366,C2639)</x:f>
        <x:v>0.24916573971078979</x:v>
      </x:c>
      <x:c r="I2639" s="382" t="n">
        <x:f>SUMIFS('Climate Data'!$H$7:$H$366,'Climate Data'!$A$7:$A$366,'Estimator'!$B$4,'Climate Data'!$B$7:$B$366,C2639)</x:f>
        <x:v>9.709821428571429</x:v>
      </x:c>
      <x:c r="J2639" s="381" t="n">
        <x:f>SUMIFS('Wind Proxy'!$H$8:$H$19,'Wind Proxy'!$A$8:$A$19,'Estimator'!$B$4,'Wind Proxy'!$B$8:$B$19,C2639)</x:f>
        <x:v>0.11350059737156513</x:v>
      </x:c>
    </x:row>
    <x:row r="2640">
      <x:c r="A2640" s="379" t="n">
        <x:v>48291</x:v>
      </x:c>
      <x:c r="B2640" s="380" t="n">
        <x:v>2032</x:v>
      </x:c>
      <x:c r="C2640" s="380" t="n">
        <x:v>3</x:v>
      </x:c>
      <x:c r="D2640" s="380" t="str">
        <x:v>Mar</x:v>
      </x:c>
      <x:c r="E2640" s="380" t="n">
        <x:v>18</x:v>
      </x:c>
      <x:c r="F2640" s="380" t="n">
        <x:v>4</x:v>
      </x:c>
      <x:c r="G2640" s="380" t="n">
        <x:f>--(F2640&lt;='Estimator'!$B$7)</x:f>
        <x:v>1</x:v>
      </x:c>
      <x:c r="H2640" s="381" t="n">
        <x:f>SUMIFS('Climate Data'!$G$7:$G$366,'Climate Data'!$A$7:$A$366,'Estimator'!$B$4,'Climate Data'!$B$7:$B$366,C2640)</x:f>
        <x:v>0.24916573971078979</x:v>
      </x:c>
      <x:c r="I2640" s="382" t="n">
        <x:f>SUMIFS('Climate Data'!$H$7:$H$366,'Climate Data'!$A$7:$A$366,'Estimator'!$B$4,'Climate Data'!$B$7:$B$366,C2640)</x:f>
        <x:v>9.709821428571429</x:v>
      </x:c>
      <x:c r="J2640" s="381" t="n">
        <x:f>SUMIFS('Wind Proxy'!$H$8:$H$19,'Wind Proxy'!$A$8:$A$19,'Estimator'!$B$4,'Wind Proxy'!$B$8:$B$19,C2640)</x:f>
        <x:v>0.11350059737156513</x:v>
      </x:c>
    </x:row>
    <x:row r="2641">
      <x:c r="A2641" s="379" t="n">
        <x:v>48292</x:v>
      </x:c>
      <x:c r="B2641" s="380" t="n">
        <x:v>2032</x:v>
      </x:c>
      <x:c r="C2641" s="380" t="n">
        <x:v>3</x:v>
      </x:c>
      <x:c r="D2641" s="380" t="str">
        <x:v>Mar</x:v>
      </x:c>
      <x:c r="E2641" s="380" t="n">
        <x:v>19</x:v>
      </x:c>
      <x:c r="F2641" s="380" t="n">
        <x:v>5</x:v>
      </x:c>
      <x:c r="G2641" s="380" t="n">
        <x:f>--(F2641&lt;='Estimator'!$B$7)</x:f>
        <x:v>1</x:v>
      </x:c>
      <x:c r="H2641" s="381" t="n">
        <x:f>SUMIFS('Climate Data'!$G$7:$G$366,'Climate Data'!$A$7:$A$366,'Estimator'!$B$4,'Climate Data'!$B$7:$B$366,C2641)</x:f>
        <x:v>0.24916573971078979</x:v>
      </x:c>
      <x:c r="I2641" s="382" t="n">
        <x:f>SUMIFS('Climate Data'!$H$7:$H$366,'Climate Data'!$A$7:$A$366,'Estimator'!$B$4,'Climate Data'!$B$7:$B$366,C2641)</x:f>
        <x:v>9.709821428571429</x:v>
      </x:c>
      <x:c r="J2641" s="381" t="n">
        <x:f>SUMIFS('Wind Proxy'!$H$8:$H$19,'Wind Proxy'!$A$8:$A$19,'Estimator'!$B$4,'Wind Proxy'!$B$8:$B$19,C2641)</x:f>
        <x:v>0.11350059737156513</x:v>
      </x:c>
    </x:row>
    <x:row r="2642">
      <x:c r="A2642" s="379" t="n">
        <x:v>48293</x:v>
      </x:c>
      <x:c r="B2642" s="380" t="n">
        <x:v>2032</x:v>
      </x:c>
      <x:c r="C2642" s="380" t="n">
        <x:v>3</x:v>
      </x:c>
      <x:c r="D2642" s="380" t="str">
        <x:v>Mar</x:v>
      </x:c>
      <x:c r="E2642" s="380" t="n">
        <x:v>20</x:v>
      </x:c>
      <x:c r="F2642" s="380" t="n">
        <x:v>6</x:v>
      </x:c>
      <x:c r="G2642" s="380" t="n">
        <x:f>--(F2642&lt;='Estimator'!$B$7)</x:f>
        <x:v>0</x:v>
      </x:c>
      <x:c r="H2642" s="381" t="n">
        <x:f>SUMIFS('Climate Data'!$G$7:$G$366,'Climate Data'!$A$7:$A$366,'Estimator'!$B$4,'Climate Data'!$B$7:$B$366,C2642)</x:f>
        <x:v>0.24916573971078979</x:v>
      </x:c>
      <x:c r="I2642" s="382" t="n">
        <x:f>SUMIFS('Climate Data'!$H$7:$H$366,'Climate Data'!$A$7:$A$366,'Estimator'!$B$4,'Climate Data'!$B$7:$B$366,C2642)</x:f>
        <x:v>9.709821428571429</x:v>
      </x:c>
      <x:c r="J2642" s="381" t="n">
        <x:f>SUMIFS('Wind Proxy'!$H$8:$H$19,'Wind Proxy'!$A$8:$A$19,'Estimator'!$B$4,'Wind Proxy'!$B$8:$B$19,C2642)</x:f>
        <x:v>0.11350059737156513</x:v>
      </x:c>
    </x:row>
    <x:row r="2643">
      <x:c r="A2643" s="379" t="n">
        <x:v>48294</x:v>
      </x:c>
      <x:c r="B2643" s="380" t="n">
        <x:v>2032</x:v>
      </x:c>
      <x:c r="C2643" s="380" t="n">
        <x:v>3</x:v>
      </x:c>
      <x:c r="D2643" s="380" t="str">
        <x:v>Mar</x:v>
      </x:c>
      <x:c r="E2643" s="380" t="n">
        <x:v>21</x:v>
      </x:c>
      <x:c r="F2643" s="380" t="n">
        <x:v>7</x:v>
      </x:c>
      <x:c r="G2643" s="380" t="n">
        <x:f>--(F2643&lt;='Estimator'!$B$7)</x:f>
        <x:v>0</x:v>
      </x:c>
      <x:c r="H2643" s="381" t="n">
        <x:f>SUMIFS('Climate Data'!$G$7:$G$366,'Climate Data'!$A$7:$A$366,'Estimator'!$B$4,'Climate Data'!$B$7:$B$366,C2643)</x:f>
        <x:v>0.24916573971078979</x:v>
      </x:c>
      <x:c r="I2643" s="382" t="n">
        <x:f>SUMIFS('Climate Data'!$H$7:$H$366,'Climate Data'!$A$7:$A$366,'Estimator'!$B$4,'Climate Data'!$B$7:$B$366,C2643)</x:f>
        <x:v>9.709821428571429</x:v>
      </x:c>
      <x:c r="J2643" s="381" t="n">
        <x:f>SUMIFS('Wind Proxy'!$H$8:$H$19,'Wind Proxy'!$A$8:$A$19,'Estimator'!$B$4,'Wind Proxy'!$B$8:$B$19,C2643)</x:f>
        <x:v>0.11350059737156513</x:v>
      </x:c>
    </x:row>
    <x:row r="2644">
      <x:c r="A2644" s="379" t="n">
        <x:v>48295</x:v>
      </x:c>
      <x:c r="B2644" s="380" t="n">
        <x:v>2032</x:v>
      </x:c>
      <x:c r="C2644" s="380" t="n">
        <x:v>3</x:v>
      </x:c>
      <x:c r="D2644" s="380" t="str">
        <x:v>Mar</x:v>
      </x:c>
      <x:c r="E2644" s="380" t="n">
        <x:v>22</x:v>
      </x:c>
      <x:c r="F2644" s="380" t="n">
        <x:v>1</x:v>
      </x:c>
      <x:c r="G2644" s="380" t="n">
        <x:f>--(F2644&lt;='Estimator'!$B$7)</x:f>
        <x:v>1</x:v>
      </x:c>
      <x:c r="H2644" s="381" t="n">
        <x:f>SUMIFS('Climate Data'!$G$7:$G$366,'Climate Data'!$A$7:$A$366,'Estimator'!$B$4,'Climate Data'!$B$7:$B$366,C2644)</x:f>
        <x:v>0.24916573971078979</x:v>
      </x:c>
      <x:c r="I2644" s="382" t="n">
        <x:f>SUMIFS('Climate Data'!$H$7:$H$366,'Climate Data'!$A$7:$A$366,'Estimator'!$B$4,'Climate Data'!$B$7:$B$366,C2644)</x:f>
        <x:v>9.709821428571429</x:v>
      </x:c>
      <x:c r="J2644" s="381" t="n">
        <x:f>SUMIFS('Wind Proxy'!$H$8:$H$19,'Wind Proxy'!$A$8:$A$19,'Estimator'!$B$4,'Wind Proxy'!$B$8:$B$19,C2644)</x:f>
        <x:v>0.11350059737156513</x:v>
      </x:c>
    </x:row>
    <x:row r="2645">
      <x:c r="A2645" s="379" t="n">
        <x:v>48296</x:v>
      </x:c>
      <x:c r="B2645" s="380" t="n">
        <x:v>2032</x:v>
      </x:c>
      <x:c r="C2645" s="380" t="n">
        <x:v>3</x:v>
      </x:c>
      <x:c r="D2645" s="380" t="str">
        <x:v>Mar</x:v>
      </x:c>
      <x:c r="E2645" s="380" t="n">
        <x:v>23</x:v>
      </x:c>
      <x:c r="F2645" s="380" t="n">
        <x:v>2</x:v>
      </x:c>
      <x:c r="G2645" s="380" t="n">
        <x:f>--(F2645&lt;='Estimator'!$B$7)</x:f>
        <x:v>1</x:v>
      </x:c>
      <x:c r="H2645" s="381" t="n">
        <x:f>SUMIFS('Climate Data'!$G$7:$G$366,'Climate Data'!$A$7:$A$366,'Estimator'!$B$4,'Climate Data'!$B$7:$B$366,C2645)</x:f>
        <x:v>0.24916573971078979</x:v>
      </x:c>
      <x:c r="I2645" s="382" t="n">
        <x:f>SUMIFS('Climate Data'!$H$7:$H$366,'Climate Data'!$A$7:$A$366,'Estimator'!$B$4,'Climate Data'!$B$7:$B$366,C2645)</x:f>
        <x:v>9.709821428571429</x:v>
      </x:c>
      <x:c r="J2645" s="381" t="n">
        <x:f>SUMIFS('Wind Proxy'!$H$8:$H$19,'Wind Proxy'!$A$8:$A$19,'Estimator'!$B$4,'Wind Proxy'!$B$8:$B$19,C2645)</x:f>
        <x:v>0.11350059737156513</x:v>
      </x:c>
    </x:row>
    <x:row r="2646">
      <x:c r="A2646" s="379" t="n">
        <x:v>48297</x:v>
      </x:c>
      <x:c r="B2646" s="380" t="n">
        <x:v>2032</x:v>
      </x:c>
      <x:c r="C2646" s="380" t="n">
        <x:v>3</x:v>
      </x:c>
      <x:c r="D2646" s="380" t="str">
        <x:v>Mar</x:v>
      </x:c>
      <x:c r="E2646" s="380" t="n">
        <x:v>24</x:v>
      </x:c>
      <x:c r="F2646" s="380" t="n">
        <x:v>3</x:v>
      </x:c>
      <x:c r="G2646" s="380" t="n">
        <x:f>--(F2646&lt;='Estimator'!$B$7)</x:f>
        <x:v>1</x:v>
      </x:c>
      <x:c r="H2646" s="381" t="n">
        <x:f>SUMIFS('Climate Data'!$G$7:$G$366,'Climate Data'!$A$7:$A$366,'Estimator'!$B$4,'Climate Data'!$B$7:$B$366,C2646)</x:f>
        <x:v>0.24916573971078979</x:v>
      </x:c>
      <x:c r="I2646" s="382" t="n">
        <x:f>SUMIFS('Climate Data'!$H$7:$H$366,'Climate Data'!$A$7:$A$366,'Estimator'!$B$4,'Climate Data'!$B$7:$B$366,C2646)</x:f>
        <x:v>9.709821428571429</x:v>
      </x:c>
      <x:c r="J2646" s="381" t="n">
        <x:f>SUMIFS('Wind Proxy'!$H$8:$H$19,'Wind Proxy'!$A$8:$A$19,'Estimator'!$B$4,'Wind Proxy'!$B$8:$B$19,C2646)</x:f>
        <x:v>0.11350059737156513</x:v>
      </x:c>
    </x:row>
    <x:row r="2647">
      <x:c r="A2647" s="379" t="n">
        <x:v>48298</x:v>
      </x:c>
      <x:c r="B2647" s="380" t="n">
        <x:v>2032</x:v>
      </x:c>
      <x:c r="C2647" s="380" t="n">
        <x:v>3</x:v>
      </x:c>
      <x:c r="D2647" s="380" t="str">
        <x:v>Mar</x:v>
      </x:c>
      <x:c r="E2647" s="380" t="n">
        <x:v>25</x:v>
      </x:c>
      <x:c r="F2647" s="380" t="n">
        <x:v>4</x:v>
      </x:c>
      <x:c r="G2647" s="380" t="n">
        <x:f>--(F2647&lt;='Estimator'!$B$7)</x:f>
        <x:v>1</x:v>
      </x:c>
      <x:c r="H2647" s="381" t="n">
        <x:f>SUMIFS('Climate Data'!$G$7:$G$366,'Climate Data'!$A$7:$A$366,'Estimator'!$B$4,'Climate Data'!$B$7:$B$366,C2647)</x:f>
        <x:v>0.24916573971078979</x:v>
      </x:c>
      <x:c r="I2647" s="382" t="n">
        <x:f>SUMIFS('Climate Data'!$H$7:$H$366,'Climate Data'!$A$7:$A$366,'Estimator'!$B$4,'Climate Data'!$B$7:$B$366,C2647)</x:f>
        <x:v>9.709821428571429</x:v>
      </x:c>
      <x:c r="J2647" s="381" t="n">
        <x:f>SUMIFS('Wind Proxy'!$H$8:$H$19,'Wind Proxy'!$A$8:$A$19,'Estimator'!$B$4,'Wind Proxy'!$B$8:$B$19,C2647)</x:f>
        <x:v>0.11350059737156513</x:v>
      </x:c>
    </x:row>
    <x:row r="2648">
      <x:c r="A2648" s="379" t="n">
        <x:v>48299</x:v>
      </x:c>
      <x:c r="B2648" s="380" t="n">
        <x:v>2032</x:v>
      </x:c>
      <x:c r="C2648" s="380" t="n">
        <x:v>3</x:v>
      </x:c>
      <x:c r="D2648" s="380" t="str">
        <x:v>Mar</x:v>
      </x:c>
      <x:c r="E2648" s="380" t="n">
        <x:v>26</x:v>
      </x:c>
      <x:c r="F2648" s="380" t="n">
        <x:v>5</x:v>
      </x:c>
      <x:c r="G2648" s="380" t="n">
        <x:f>--(F2648&lt;='Estimator'!$B$7)</x:f>
        <x:v>1</x:v>
      </x:c>
      <x:c r="H2648" s="381" t="n">
        <x:f>SUMIFS('Climate Data'!$G$7:$G$366,'Climate Data'!$A$7:$A$366,'Estimator'!$B$4,'Climate Data'!$B$7:$B$366,C2648)</x:f>
        <x:v>0.24916573971078979</x:v>
      </x:c>
      <x:c r="I2648" s="382" t="n">
        <x:f>SUMIFS('Climate Data'!$H$7:$H$366,'Climate Data'!$A$7:$A$366,'Estimator'!$B$4,'Climate Data'!$B$7:$B$366,C2648)</x:f>
        <x:v>9.709821428571429</x:v>
      </x:c>
      <x:c r="J2648" s="381" t="n">
        <x:f>SUMIFS('Wind Proxy'!$H$8:$H$19,'Wind Proxy'!$A$8:$A$19,'Estimator'!$B$4,'Wind Proxy'!$B$8:$B$19,C2648)</x:f>
        <x:v>0.11350059737156513</x:v>
      </x:c>
    </x:row>
    <x:row r="2649">
      <x:c r="A2649" s="379" t="n">
        <x:v>48300</x:v>
      </x:c>
      <x:c r="B2649" s="380" t="n">
        <x:v>2032</x:v>
      </x:c>
      <x:c r="C2649" s="380" t="n">
        <x:v>3</x:v>
      </x:c>
      <x:c r="D2649" s="380" t="str">
        <x:v>Mar</x:v>
      </x:c>
      <x:c r="E2649" s="380" t="n">
        <x:v>27</x:v>
      </x:c>
      <x:c r="F2649" s="380" t="n">
        <x:v>6</x:v>
      </x:c>
      <x:c r="G2649" s="380" t="n">
        <x:f>--(F2649&lt;='Estimator'!$B$7)</x:f>
        <x:v>0</x:v>
      </x:c>
      <x:c r="H2649" s="381" t="n">
        <x:f>SUMIFS('Climate Data'!$G$7:$G$366,'Climate Data'!$A$7:$A$366,'Estimator'!$B$4,'Climate Data'!$B$7:$B$366,C2649)</x:f>
        <x:v>0.24916573971078979</x:v>
      </x:c>
      <x:c r="I2649" s="382" t="n">
        <x:f>SUMIFS('Climate Data'!$H$7:$H$366,'Climate Data'!$A$7:$A$366,'Estimator'!$B$4,'Climate Data'!$B$7:$B$366,C2649)</x:f>
        <x:v>9.709821428571429</x:v>
      </x:c>
      <x:c r="J2649" s="381" t="n">
        <x:f>SUMIFS('Wind Proxy'!$H$8:$H$19,'Wind Proxy'!$A$8:$A$19,'Estimator'!$B$4,'Wind Proxy'!$B$8:$B$19,C2649)</x:f>
        <x:v>0.11350059737156513</x:v>
      </x:c>
    </x:row>
    <x:row r="2650">
      <x:c r="A2650" s="379" t="n">
        <x:v>48301</x:v>
      </x:c>
      <x:c r="B2650" s="380" t="n">
        <x:v>2032</x:v>
      </x:c>
      <x:c r="C2650" s="380" t="n">
        <x:v>3</x:v>
      </x:c>
      <x:c r="D2650" s="380" t="str">
        <x:v>Mar</x:v>
      </x:c>
      <x:c r="E2650" s="380" t="n">
        <x:v>28</x:v>
      </x:c>
      <x:c r="F2650" s="380" t="n">
        <x:v>7</x:v>
      </x:c>
      <x:c r="G2650" s="380" t="n">
        <x:f>--(F2650&lt;='Estimator'!$B$7)</x:f>
        <x:v>0</x:v>
      </x:c>
      <x:c r="H2650" s="381" t="n">
        <x:f>SUMIFS('Climate Data'!$G$7:$G$366,'Climate Data'!$A$7:$A$366,'Estimator'!$B$4,'Climate Data'!$B$7:$B$366,C2650)</x:f>
        <x:v>0.24916573971078979</x:v>
      </x:c>
      <x:c r="I2650" s="382" t="n">
        <x:f>SUMIFS('Climate Data'!$H$7:$H$366,'Climate Data'!$A$7:$A$366,'Estimator'!$B$4,'Climate Data'!$B$7:$B$366,C2650)</x:f>
        <x:v>9.709821428571429</x:v>
      </x:c>
      <x:c r="J2650" s="381" t="n">
        <x:f>SUMIFS('Wind Proxy'!$H$8:$H$19,'Wind Proxy'!$A$8:$A$19,'Estimator'!$B$4,'Wind Proxy'!$B$8:$B$19,C2650)</x:f>
        <x:v>0.11350059737156513</x:v>
      </x:c>
    </x:row>
    <x:row r="2651">
      <x:c r="A2651" s="379" t="n">
        <x:v>48302</x:v>
      </x:c>
      <x:c r="B2651" s="380" t="n">
        <x:v>2032</x:v>
      </x:c>
      <x:c r="C2651" s="380" t="n">
        <x:v>3</x:v>
      </x:c>
      <x:c r="D2651" s="380" t="str">
        <x:v>Mar</x:v>
      </x:c>
      <x:c r="E2651" s="380" t="n">
        <x:v>29</x:v>
      </x:c>
      <x:c r="F2651" s="380" t="n">
        <x:v>1</x:v>
      </x:c>
      <x:c r="G2651" s="380" t="n">
        <x:f>--(F2651&lt;='Estimator'!$B$7)</x:f>
        <x:v>1</x:v>
      </x:c>
      <x:c r="H2651" s="381" t="n">
        <x:f>SUMIFS('Climate Data'!$G$7:$G$366,'Climate Data'!$A$7:$A$366,'Estimator'!$B$4,'Climate Data'!$B$7:$B$366,C2651)</x:f>
        <x:v>0.24916573971078979</x:v>
      </x:c>
      <x:c r="I2651" s="382" t="n">
        <x:f>SUMIFS('Climate Data'!$H$7:$H$366,'Climate Data'!$A$7:$A$366,'Estimator'!$B$4,'Climate Data'!$B$7:$B$366,C2651)</x:f>
        <x:v>9.709821428571429</x:v>
      </x:c>
      <x:c r="J2651" s="381" t="n">
        <x:f>SUMIFS('Wind Proxy'!$H$8:$H$19,'Wind Proxy'!$A$8:$A$19,'Estimator'!$B$4,'Wind Proxy'!$B$8:$B$19,C2651)</x:f>
        <x:v>0.11350059737156513</x:v>
      </x:c>
    </x:row>
    <x:row r="2652">
      <x:c r="A2652" s="379" t="n">
        <x:v>48303</x:v>
      </x:c>
      <x:c r="B2652" s="380" t="n">
        <x:v>2032</x:v>
      </x:c>
      <x:c r="C2652" s="380" t="n">
        <x:v>3</x:v>
      </x:c>
      <x:c r="D2652" s="380" t="str">
        <x:v>Mar</x:v>
      </x:c>
      <x:c r="E2652" s="380" t="n">
        <x:v>30</x:v>
      </x:c>
      <x:c r="F2652" s="380" t="n">
        <x:v>2</x:v>
      </x:c>
      <x:c r="G2652" s="380" t="n">
        <x:f>--(F2652&lt;='Estimator'!$B$7)</x:f>
        <x:v>1</x:v>
      </x:c>
      <x:c r="H2652" s="381" t="n">
        <x:f>SUMIFS('Climate Data'!$G$7:$G$366,'Climate Data'!$A$7:$A$366,'Estimator'!$B$4,'Climate Data'!$B$7:$B$366,C2652)</x:f>
        <x:v>0.24916573971078979</x:v>
      </x:c>
      <x:c r="I2652" s="382" t="n">
        <x:f>SUMIFS('Climate Data'!$H$7:$H$366,'Climate Data'!$A$7:$A$366,'Estimator'!$B$4,'Climate Data'!$B$7:$B$366,C2652)</x:f>
        <x:v>9.709821428571429</x:v>
      </x:c>
      <x:c r="J2652" s="381" t="n">
        <x:f>SUMIFS('Wind Proxy'!$H$8:$H$19,'Wind Proxy'!$A$8:$A$19,'Estimator'!$B$4,'Wind Proxy'!$B$8:$B$19,C2652)</x:f>
        <x:v>0.11350059737156513</x:v>
      </x:c>
    </x:row>
    <x:row r="2653">
      <x:c r="A2653" s="379" t="n">
        <x:v>48304</x:v>
      </x:c>
      <x:c r="B2653" s="380" t="n">
        <x:v>2032</x:v>
      </x:c>
      <x:c r="C2653" s="380" t="n">
        <x:v>3</x:v>
      </x:c>
      <x:c r="D2653" s="380" t="str">
        <x:v>Mar</x:v>
      </x:c>
      <x:c r="E2653" s="380" t="n">
        <x:v>31</x:v>
      </x:c>
      <x:c r="F2653" s="380" t="n">
        <x:v>3</x:v>
      </x:c>
      <x:c r="G2653" s="380" t="n">
        <x:f>--(F2653&lt;='Estimator'!$B$7)</x:f>
        <x:v>1</x:v>
      </x:c>
      <x:c r="H2653" s="381" t="n">
        <x:f>SUMIFS('Climate Data'!$G$7:$G$366,'Climate Data'!$A$7:$A$366,'Estimator'!$B$4,'Climate Data'!$B$7:$B$366,C2653)</x:f>
        <x:v>0.24916573971078979</x:v>
      </x:c>
      <x:c r="I2653" s="382" t="n">
        <x:f>SUMIFS('Climate Data'!$H$7:$H$366,'Climate Data'!$A$7:$A$366,'Estimator'!$B$4,'Climate Data'!$B$7:$B$366,C2653)</x:f>
        <x:v>9.709821428571429</x:v>
      </x:c>
      <x:c r="J2653" s="381" t="n">
        <x:f>SUMIFS('Wind Proxy'!$H$8:$H$19,'Wind Proxy'!$A$8:$A$19,'Estimator'!$B$4,'Wind Proxy'!$B$8:$B$19,C2653)</x:f>
        <x:v>0.11350059737156513</x:v>
      </x:c>
    </x:row>
    <x:row r="2654">
      <x:c r="A2654" s="379" t="n">
        <x:v>48305</x:v>
      </x:c>
      <x:c r="B2654" s="380" t="n">
        <x:v>2032</x:v>
      </x:c>
      <x:c r="C2654" s="380" t="n">
        <x:v>4</x:v>
      </x:c>
      <x:c r="D2654" s="380" t="str">
        <x:v>Apr</x:v>
      </x:c>
      <x:c r="E2654" s="380" t="n">
        <x:v>1</x:v>
      </x:c>
      <x:c r="F2654" s="380" t="n">
        <x:v>4</x:v>
      </x:c>
      <x:c r="G2654" s="380" t="n">
        <x:f>--(F2654&lt;='Estimator'!$B$7)</x:f>
        <x:v>1</x:v>
      </x:c>
      <x:c r="H2654" s="381" t="n">
        <x:f>SUMIFS('Climate Data'!$G$7:$G$366,'Climate Data'!$A$7:$A$366,'Estimator'!$B$4,'Climate Data'!$B$7:$B$366,C2654)</x:f>
        <x:v>0.32023809523809527</x:v>
      </x:c>
      <x:c r="I2654" s="382" t="n">
        <x:f>SUMIFS('Climate Data'!$H$7:$H$366,'Climate Data'!$A$7:$A$366,'Estimator'!$B$4,'Climate Data'!$B$7:$B$366,C2654)</x:f>
        <x:v>9.066171003717471</x:v>
      </x:c>
      <x:c r="J2654" s="381" t="n">
        <x:f>SUMIFS('Wind Proxy'!$H$8:$H$19,'Wind Proxy'!$A$8:$A$19,'Estimator'!$B$4,'Wind Proxy'!$B$8:$B$19,C2654)</x:f>
        <x:v>0.11728395061728397</x:v>
      </x:c>
    </x:row>
    <x:row r="2655">
      <x:c r="A2655" s="379" t="n">
        <x:v>48306</x:v>
      </x:c>
      <x:c r="B2655" s="380" t="n">
        <x:v>2032</x:v>
      </x:c>
      <x:c r="C2655" s="380" t="n">
        <x:v>4</x:v>
      </x:c>
      <x:c r="D2655" s="380" t="str">
        <x:v>Apr</x:v>
      </x:c>
      <x:c r="E2655" s="380" t="n">
        <x:v>2</x:v>
      </x:c>
      <x:c r="F2655" s="380" t="n">
        <x:v>5</x:v>
      </x:c>
      <x:c r="G2655" s="380" t="n">
        <x:f>--(F2655&lt;='Estimator'!$B$7)</x:f>
        <x:v>1</x:v>
      </x:c>
      <x:c r="H2655" s="381" t="n">
        <x:f>SUMIFS('Climate Data'!$G$7:$G$366,'Climate Data'!$A$7:$A$366,'Estimator'!$B$4,'Climate Data'!$B$7:$B$366,C2655)</x:f>
        <x:v>0.32023809523809527</x:v>
      </x:c>
      <x:c r="I2655" s="382" t="n">
        <x:f>SUMIFS('Climate Data'!$H$7:$H$366,'Climate Data'!$A$7:$A$366,'Estimator'!$B$4,'Climate Data'!$B$7:$B$366,C2655)</x:f>
        <x:v>9.066171003717471</x:v>
      </x:c>
      <x:c r="J2655" s="381" t="n">
        <x:f>SUMIFS('Wind Proxy'!$H$8:$H$19,'Wind Proxy'!$A$8:$A$19,'Estimator'!$B$4,'Wind Proxy'!$B$8:$B$19,C2655)</x:f>
        <x:v>0.11728395061728397</x:v>
      </x:c>
    </x:row>
    <x:row r="2656">
      <x:c r="A2656" s="379" t="n">
        <x:v>48307</x:v>
      </x:c>
      <x:c r="B2656" s="380" t="n">
        <x:v>2032</x:v>
      </x:c>
      <x:c r="C2656" s="380" t="n">
        <x:v>4</x:v>
      </x:c>
      <x:c r="D2656" s="380" t="str">
        <x:v>Apr</x:v>
      </x:c>
      <x:c r="E2656" s="380" t="n">
        <x:v>3</x:v>
      </x:c>
      <x:c r="F2656" s="380" t="n">
        <x:v>6</x:v>
      </x:c>
      <x:c r="G2656" s="380" t="n">
        <x:f>--(F2656&lt;='Estimator'!$B$7)</x:f>
        <x:v>0</x:v>
      </x:c>
      <x:c r="H2656" s="381" t="n">
        <x:f>SUMIFS('Climate Data'!$G$7:$G$366,'Climate Data'!$A$7:$A$366,'Estimator'!$B$4,'Climate Data'!$B$7:$B$366,C2656)</x:f>
        <x:v>0.32023809523809527</x:v>
      </x:c>
      <x:c r="I2656" s="382" t="n">
        <x:f>SUMIFS('Climate Data'!$H$7:$H$366,'Climate Data'!$A$7:$A$366,'Estimator'!$B$4,'Climate Data'!$B$7:$B$366,C2656)</x:f>
        <x:v>9.066171003717471</x:v>
      </x:c>
      <x:c r="J2656" s="381" t="n">
        <x:f>SUMIFS('Wind Proxy'!$H$8:$H$19,'Wind Proxy'!$A$8:$A$19,'Estimator'!$B$4,'Wind Proxy'!$B$8:$B$19,C2656)</x:f>
        <x:v>0.11728395061728397</x:v>
      </x:c>
    </x:row>
    <x:row r="2657">
      <x:c r="A2657" s="379" t="n">
        <x:v>48308</x:v>
      </x:c>
      <x:c r="B2657" s="380" t="n">
        <x:v>2032</x:v>
      </x:c>
      <x:c r="C2657" s="380" t="n">
        <x:v>4</x:v>
      </x:c>
      <x:c r="D2657" s="380" t="str">
        <x:v>Apr</x:v>
      </x:c>
      <x:c r="E2657" s="380" t="n">
        <x:v>4</x:v>
      </x:c>
      <x:c r="F2657" s="380" t="n">
        <x:v>7</x:v>
      </x:c>
      <x:c r="G2657" s="380" t="n">
        <x:f>--(F2657&lt;='Estimator'!$B$7)</x:f>
        <x:v>0</x:v>
      </x:c>
      <x:c r="H2657" s="381" t="n">
        <x:f>SUMIFS('Climate Data'!$G$7:$G$366,'Climate Data'!$A$7:$A$366,'Estimator'!$B$4,'Climate Data'!$B$7:$B$366,C2657)</x:f>
        <x:v>0.32023809523809527</x:v>
      </x:c>
      <x:c r="I2657" s="382" t="n">
        <x:f>SUMIFS('Climate Data'!$H$7:$H$366,'Climate Data'!$A$7:$A$366,'Estimator'!$B$4,'Climate Data'!$B$7:$B$366,C2657)</x:f>
        <x:v>9.066171003717471</x:v>
      </x:c>
      <x:c r="J2657" s="381" t="n">
        <x:f>SUMIFS('Wind Proxy'!$H$8:$H$19,'Wind Proxy'!$A$8:$A$19,'Estimator'!$B$4,'Wind Proxy'!$B$8:$B$19,C2657)</x:f>
        <x:v>0.11728395061728397</x:v>
      </x:c>
    </x:row>
    <x:row r="2658">
      <x:c r="A2658" s="379" t="n">
        <x:v>48309</x:v>
      </x:c>
      <x:c r="B2658" s="380" t="n">
        <x:v>2032</x:v>
      </x:c>
      <x:c r="C2658" s="380" t="n">
        <x:v>4</x:v>
      </x:c>
      <x:c r="D2658" s="380" t="str">
        <x:v>Apr</x:v>
      </x:c>
      <x:c r="E2658" s="380" t="n">
        <x:v>5</x:v>
      </x:c>
      <x:c r="F2658" s="380" t="n">
        <x:v>1</x:v>
      </x:c>
      <x:c r="G2658" s="380" t="n">
        <x:f>--(F2658&lt;='Estimator'!$B$7)</x:f>
        <x:v>1</x:v>
      </x:c>
      <x:c r="H2658" s="381" t="n">
        <x:f>SUMIFS('Climate Data'!$G$7:$G$366,'Climate Data'!$A$7:$A$366,'Estimator'!$B$4,'Climate Data'!$B$7:$B$366,C2658)</x:f>
        <x:v>0.32023809523809527</x:v>
      </x:c>
      <x:c r="I2658" s="382" t="n">
        <x:f>SUMIFS('Climate Data'!$H$7:$H$366,'Climate Data'!$A$7:$A$366,'Estimator'!$B$4,'Climate Data'!$B$7:$B$366,C2658)</x:f>
        <x:v>9.066171003717471</x:v>
      </x:c>
      <x:c r="J2658" s="381" t="n">
        <x:f>SUMIFS('Wind Proxy'!$H$8:$H$19,'Wind Proxy'!$A$8:$A$19,'Estimator'!$B$4,'Wind Proxy'!$B$8:$B$19,C2658)</x:f>
        <x:v>0.11728395061728397</x:v>
      </x:c>
    </x:row>
    <x:row r="2659">
      <x:c r="A2659" s="379" t="n">
        <x:v>48310</x:v>
      </x:c>
      <x:c r="B2659" s="380" t="n">
        <x:v>2032</x:v>
      </x:c>
      <x:c r="C2659" s="380" t="n">
        <x:v>4</x:v>
      </x:c>
      <x:c r="D2659" s="380" t="str">
        <x:v>Apr</x:v>
      </x:c>
      <x:c r="E2659" s="380" t="n">
        <x:v>6</x:v>
      </x:c>
      <x:c r="F2659" s="380" t="n">
        <x:v>2</x:v>
      </x:c>
      <x:c r="G2659" s="380" t="n">
        <x:f>--(F2659&lt;='Estimator'!$B$7)</x:f>
        <x:v>1</x:v>
      </x:c>
      <x:c r="H2659" s="381" t="n">
        <x:f>SUMIFS('Climate Data'!$G$7:$G$366,'Climate Data'!$A$7:$A$366,'Estimator'!$B$4,'Climate Data'!$B$7:$B$366,C2659)</x:f>
        <x:v>0.32023809523809527</x:v>
      </x:c>
      <x:c r="I2659" s="382" t="n">
        <x:f>SUMIFS('Climate Data'!$H$7:$H$366,'Climate Data'!$A$7:$A$366,'Estimator'!$B$4,'Climate Data'!$B$7:$B$366,C2659)</x:f>
        <x:v>9.066171003717471</x:v>
      </x:c>
      <x:c r="J2659" s="381" t="n">
        <x:f>SUMIFS('Wind Proxy'!$H$8:$H$19,'Wind Proxy'!$A$8:$A$19,'Estimator'!$B$4,'Wind Proxy'!$B$8:$B$19,C2659)</x:f>
        <x:v>0.11728395061728397</x:v>
      </x:c>
    </x:row>
    <x:row r="2660">
      <x:c r="A2660" s="379" t="n">
        <x:v>48311</x:v>
      </x:c>
      <x:c r="B2660" s="380" t="n">
        <x:v>2032</x:v>
      </x:c>
      <x:c r="C2660" s="380" t="n">
        <x:v>4</x:v>
      </x:c>
      <x:c r="D2660" s="380" t="str">
        <x:v>Apr</x:v>
      </x:c>
      <x:c r="E2660" s="380" t="n">
        <x:v>7</x:v>
      </x:c>
      <x:c r="F2660" s="380" t="n">
        <x:v>3</x:v>
      </x:c>
      <x:c r="G2660" s="380" t="n">
        <x:f>--(F2660&lt;='Estimator'!$B$7)</x:f>
        <x:v>1</x:v>
      </x:c>
      <x:c r="H2660" s="381" t="n">
        <x:f>SUMIFS('Climate Data'!$G$7:$G$366,'Climate Data'!$A$7:$A$366,'Estimator'!$B$4,'Climate Data'!$B$7:$B$366,C2660)</x:f>
        <x:v>0.32023809523809527</x:v>
      </x:c>
      <x:c r="I2660" s="382" t="n">
        <x:f>SUMIFS('Climate Data'!$H$7:$H$366,'Climate Data'!$A$7:$A$366,'Estimator'!$B$4,'Climate Data'!$B$7:$B$366,C2660)</x:f>
        <x:v>9.066171003717471</x:v>
      </x:c>
      <x:c r="J2660" s="381" t="n">
        <x:f>SUMIFS('Wind Proxy'!$H$8:$H$19,'Wind Proxy'!$A$8:$A$19,'Estimator'!$B$4,'Wind Proxy'!$B$8:$B$19,C2660)</x:f>
        <x:v>0.11728395061728397</x:v>
      </x:c>
    </x:row>
    <x:row r="2661">
      <x:c r="A2661" s="379" t="n">
        <x:v>48312</x:v>
      </x:c>
      <x:c r="B2661" s="380" t="n">
        <x:v>2032</x:v>
      </x:c>
      <x:c r="C2661" s="380" t="n">
        <x:v>4</x:v>
      </x:c>
      <x:c r="D2661" s="380" t="str">
        <x:v>Apr</x:v>
      </x:c>
      <x:c r="E2661" s="380" t="n">
        <x:v>8</x:v>
      </x:c>
      <x:c r="F2661" s="380" t="n">
        <x:v>4</x:v>
      </x:c>
      <x:c r="G2661" s="380" t="n">
        <x:f>--(F2661&lt;='Estimator'!$B$7)</x:f>
        <x:v>1</x:v>
      </x:c>
      <x:c r="H2661" s="381" t="n">
        <x:f>SUMIFS('Climate Data'!$G$7:$G$366,'Climate Data'!$A$7:$A$366,'Estimator'!$B$4,'Climate Data'!$B$7:$B$366,C2661)</x:f>
        <x:v>0.32023809523809527</x:v>
      </x:c>
      <x:c r="I2661" s="382" t="n">
        <x:f>SUMIFS('Climate Data'!$H$7:$H$366,'Climate Data'!$A$7:$A$366,'Estimator'!$B$4,'Climate Data'!$B$7:$B$366,C2661)</x:f>
        <x:v>9.066171003717471</x:v>
      </x:c>
      <x:c r="J2661" s="381" t="n">
        <x:f>SUMIFS('Wind Proxy'!$H$8:$H$19,'Wind Proxy'!$A$8:$A$19,'Estimator'!$B$4,'Wind Proxy'!$B$8:$B$19,C2661)</x:f>
        <x:v>0.11728395061728397</x:v>
      </x:c>
    </x:row>
    <x:row r="2662">
      <x:c r="A2662" s="379" t="n">
        <x:v>48313</x:v>
      </x:c>
      <x:c r="B2662" s="380" t="n">
        <x:v>2032</x:v>
      </x:c>
      <x:c r="C2662" s="380" t="n">
        <x:v>4</x:v>
      </x:c>
      <x:c r="D2662" s="380" t="str">
        <x:v>Apr</x:v>
      </x:c>
      <x:c r="E2662" s="380" t="n">
        <x:v>9</x:v>
      </x:c>
      <x:c r="F2662" s="380" t="n">
        <x:v>5</x:v>
      </x:c>
      <x:c r="G2662" s="380" t="n">
        <x:f>--(F2662&lt;='Estimator'!$B$7)</x:f>
        <x:v>1</x:v>
      </x:c>
      <x:c r="H2662" s="381" t="n">
        <x:f>SUMIFS('Climate Data'!$G$7:$G$366,'Climate Data'!$A$7:$A$366,'Estimator'!$B$4,'Climate Data'!$B$7:$B$366,C2662)</x:f>
        <x:v>0.32023809523809527</x:v>
      </x:c>
      <x:c r="I2662" s="382" t="n">
        <x:f>SUMIFS('Climate Data'!$H$7:$H$366,'Climate Data'!$A$7:$A$366,'Estimator'!$B$4,'Climate Data'!$B$7:$B$366,C2662)</x:f>
        <x:v>9.066171003717471</x:v>
      </x:c>
      <x:c r="J2662" s="381" t="n">
        <x:f>SUMIFS('Wind Proxy'!$H$8:$H$19,'Wind Proxy'!$A$8:$A$19,'Estimator'!$B$4,'Wind Proxy'!$B$8:$B$19,C2662)</x:f>
        <x:v>0.11728395061728397</x:v>
      </x:c>
    </x:row>
    <x:row r="2663">
      <x:c r="A2663" s="379" t="n">
        <x:v>48314</x:v>
      </x:c>
      <x:c r="B2663" s="380" t="n">
        <x:v>2032</x:v>
      </x:c>
      <x:c r="C2663" s="380" t="n">
        <x:v>4</x:v>
      </x:c>
      <x:c r="D2663" s="380" t="str">
        <x:v>Apr</x:v>
      </x:c>
      <x:c r="E2663" s="380" t="n">
        <x:v>10</x:v>
      </x:c>
      <x:c r="F2663" s="380" t="n">
        <x:v>6</x:v>
      </x:c>
      <x:c r="G2663" s="380" t="n">
        <x:f>--(F2663&lt;='Estimator'!$B$7)</x:f>
        <x:v>0</x:v>
      </x:c>
      <x:c r="H2663" s="381" t="n">
        <x:f>SUMIFS('Climate Data'!$G$7:$G$366,'Climate Data'!$A$7:$A$366,'Estimator'!$B$4,'Climate Data'!$B$7:$B$366,C2663)</x:f>
        <x:v>0.32023809523809527</x:v>
      </x:c>
      <x:c r="I2663" s="382" t="n">
        <x:f>SUMIFS('Climate Data'!$H$7:$H$366,'Climate Data'!$A$7:$A$366,'Estimator'!$B$4,'Climate Data'!$B$7:$B$366,C2663)</x:f>
        <x:v>9.066171003717471</x:v>
      </x:c>
      <x:c r="J2663" s="381" t="n">
        <x:f>SUMIFS('Wind Proxy'!$H$8:$H$19,'Wind Proxy'!$A$8:$A$19,'Estimator'!$B$4,'Wind Proxy'!$B$8:$B$19,C2663)</x:f>
        <x:v>0.11728395061728397</x:v>
      </x:c>
    </x:row>
    <x:row r="2664">
      <x:c r="A2664" s="379" t="n">
        <x:v>48315</x:v>
      </x:c>
      <x:c r="B2664" s="380" t="n">
        <x:v>2032</x:v>
      </x:c>
      <x:c r="C2664" s="380" t="n">
        <x:v>4</x:v>
      </x:c>
      <x:c r="D2664" s="380" t="str">
        <x:v>Apr</x:v>
      </x:c>
      <x:c r="E2664" s="380" t="n">
        <x:v>11</x:v>
      </x:c>
      <x:c r="F2664" s="380" t="n">
        <x:v>7</x:v>
      </x:c>
      <x:c r="G2664" s="380" t="n">
        <x:f>--(F2664&lt;='Estimator'!$B$7)</x:f>
        <x:v>0</x:v>
      </x:c>
      <x:c r="H2664" s="381" t="n">
        <x:f>SUMIFS('Climate Data'!$G$7:$G$366,'Climate Data'!$A$7:$A$366,'Estimator'!$B$4,'Climate Data'!$B$7:$B$366,C2664)</x:f>
        <x:v>0.32023809523809527</x:v>
      </x:c>
      <x:c r="I2664" s="382" t="n">
        <x:f>SUMIFS('Climate Data'!$H$7:$H$366,'Climate Data'!$A$7:$A$366,'Estimator'!$B$4,'Climate Data'!$B$7:$B$366,C2664)</x:f>
        <x:v>9.066171003717471</x:v>
      </x:c>
      <x:c r="J2664" s="381" t="n">
        <x:f>SUMIFS('Wind Proxy'!$H$8:$H$19,'Wind Proxy'!$A$8:$A$19,'Estimator'!$B$4,'Wind Proxy'!$B$8:$B$19,C2664)</x:f>
        <x:v>0.11728395061728397</x:v>
      </x:c>
    </x:row>
    <x:row r="2665">
      <x:c r="A2665" s="379" t="n">
        <x:v>48316</x:v>
      </x:c>
      <x:c r="B2665" s="380" t="n">
        <x:v>2032</x:v>
      </x:c>
      <x:c r="C2665" s="380" t="n">
        <x:v>4</x:v>
      </x:c>
      <x:c r="D2665" s="380" t="str">
        <x:v>Apr</x:v>
      </x:c>
      <x:c r="E2665" s="380" t="n">
        <x:v>12</x:v>
      </x:c>
      <x:c r="F2665" s="380" t="n">
        <x:v>1</x:v>
      </x:c>
      <x:c r="G2665" s="380" t="n">
        <x:f>--(F2665&lt;='Estimator'!$B$7)</x:f>
        <x:v>1</x:v>
      </x:c>
      <x:c r="H2665" s="381" t="n">
        <x:f>SUMIFS('Climate Data'!$G$7:$G$366,'Climate Data'!$A$7:$A$366,'Estimator'!$B$4,'Climate Data'!$B$7:$B$366,C2665)</x:f>
        <x:v>0.32023809523809527</x:v>
      </x:c>
      <x:c r="I2665" s="382" t="n">
        <x:f>SUMIFS('Climate Data'!$H$7:$H$366,'Climate Data'!$A$7:$A$366,'Estimator'!$B$4,'Climate Data'!$B$7:$B$366,C2665)</x:f>
        <x:v>9.066171003717471</x:v>
      </x:c>
      <x:c r="J2665" s="381" t="n">
        <x:f>SUMIFS('Wind Proxy'!$H$8:$H$19,'Wind Proxy'!$A$8:$A$19,'Estimator'!$B$4,'Wind Proxy'!$B$8:$B$19,C2665)</x:f>
        <x:v>0.11728395061728397</x:v>
      </x:c>
    </x:row>
    <x:row r="2666">
      <x:c r="A2666" s="379" t="n">
        <x:v>48317</x:v>
      </x:c>
      <x:c r="B2666" s="380" t="n">
        <x:v>2032</x:v>
      </x:c>
      <x:c r="C2666" s="380" t="n">
        <x:v>4</x:v>
      </x:c>
      <x:c r="D2666" s="380" t="str">
        <x:v>Apr</x:v>
      </x:c>
      <x:c r="E2666" s="380" t="n">
        <x:v>13</x:v>
      </x:c>
      <x:c r="F2666" s="380" t="n">
        <x:v>2</x:v>
      </x:c>
      <x:c r="G2666" s="380" t="n">
        <x:f>--(F2666&lt;='Estimator'!$B$7)</x:f>
        <x:v>1</x:v>
      </x:c>
      <x:c r="H2666" s="381" t="n">
        <x:f>SUMIFS('Climate Data'!$G$7:$G$366,'Climate Data'!$A$7:$A$366,'Estimator'!$B$4,'Climate Data'!$B$7:$B$366,C2666)</x:f>
        <x:v>0.32023809523809527</x:v>
      </x:c>
      <x:c r="I2666" s="382" t="n">
        <x:f>SUMIFS('Climate Data'!$H$7:$H$366,'Climate Data'!$A$7:$A$366,'Estimator'!$B$4,'Climate Data'!$B$7:$B$366,C2666)</x:f>
        <x:v>9.066171003717471</x:v>
      </x:c>
      <x:c r="J2666" s="381" t="n">
        <x:f>SUMIFS('Wind Proxy'!$H$8:$H$19,'Wind Proxy'!$A$8:$A$19,'Estimator'!$B$4,'Wind Proxy'!$B$8:$B$19,C2666)</x:f>
        <x:v>0.11728395061728397</x:v>
      </x:c>
    </x:row>
    <x:row r="2667">
      <x:c r="A2667" s="379" t="n">
        <x:v>48318</x:v>
      </x:c>
      <x:c r="B2667" s="380" t="n">
        <x:v>2032</x:v>
      </x:c>
      <x:c r="C2667" s="380" t="n">
        <x:v>4</x:v>
      </x:c>
      <x:c r="D2667" s="380" t="str">
        <x:v>Apr</x:v>
      </x:c>
      <x:c r="E2667" s="380" t="n">
        <x:v>14</x:v>
      </x:c>
      <x:c r="F2667" s="380" t="n">
        <x:v>3</x:v>
      </x:c>
      <x:c r="G2667" s="380" t="n">
        <x:f>--(F2667&lt;='Estimator'!$B$7)</x:f>
        <x:v>1</x:v>
      </x:c>
      <x:c r="H2667" s="381" t="n">
        <x:f>SUMIFS('Climate Data'!$G$7:$G$366,'Climate Data'!$A$7:$A$366,'Estimator'!$B$4,'Climate Data'!$B$7:$B$366,C2667)</x:f>
        <x:v>0.32023809523809527</x:v>
      </x:c>
      <x:c r="I2667" s="382" t="n">
        <x:f>SUMIFS('Climate Data'!$H$7:$H$366,'Climate Data'!$A$7:$A$366,'Estimator'!$B$4,'Climate Data'!$B$7:$B$366,C2667)</x:f>
        <x:v>9.066171003717471</x:v>
      </x:c>
      <x:c r="J2667" s="381" t="n">
        <x:f>SUMIFS('Wind Proxy'!$H$8:$H$19,'Wind Proxy'!$A$8:$A$19,'Estimator'!$B$4,'Wind Proxy'!$B$8:$B$19,C2667)</x:f>
        <x:v>0.11728395061728397</x:v>
      </x:c>
    </x:row>
    <x:row r="2668">
      <x:c r="A2668" s="379" t="n">
        <x:v>48319</x:v>
      </x:c>
      <x:c r="B2668" s="380" t="n">
        <x:v>2032</x:v>
      </x:c>
      <x:c r="C2668" s="380" t="n">
        <x:v>4</x:v>
      </x:c>
      <x:c r="D2668" s="380" t="str">
        <x:v>Apr</x:v>
      </x:c>
      <x:c r="E2668" s="380" t="n">
        <x:v>15</x:v>
      </x:c>
      <x:c r="F2668" s="380" t="n">
        <x:v>4</x:v>
      </x:c>
      <x:c r="G2668" s="380" t="n">
        <x:f>--(F2668&lt;='Estimator'!$B$7)</x:f>
        <x:v>1</x:v>
      </x:c>
      <x:c r="H2668" s="381" t="n">
        <x:f>SUMIFS('Climate Data'!$G$7:$G$366,'Climate Data'!$A$7:$A$366,'Estimator'!$B$4,'Climate Data'!$B$7:$B$366,C2668)</x:f>
        <x:v>0.32023809523809527</x:v>
      </x:c>
      <x:c r="I2668" s="382" t="n">
        <x:f>SUMIFS('Climate Data'!$H$7:$H$366,'Climate Data'!$A$7:$A$366,'Estimator'!$B$4,'Climate Data'!$B$7:$B$366,C2668)</x:f>
        <x:v>9.066171003717471</x:v>
      </x:c>
      <x:c r="J2668" s="381" t="n">
        <x:f>SUMIFS('Wind Proxy'!$H$8:$H$19,'Wind Proxy'!$A$8:$A$19,'Estimator'!$B$4,'Wind Proxy'!$B$8:$B$19,C2668)</x:f>
        <x:v>0.11728395061728397</x:v>
      </x:c>
    </x:row>
    <x:row r="2669">
      <x:c r="A2669" s="379" t="n">
        <x:v>48320</x:v>
      </x:c>
      <x:c r="B2669" s="380" t="n">
        <x:v>2032</x:v>
      </x:c>
      <x:c r="C2669" s="380" t="n">
        <x:v>4</x:v>
      </x:c>
      <x:c r="D2669" s="380" t="str">
        <x:v>Apr</x:v>
      </x:c>
      <x:c r="E2669" s="380" t="n">
        <x:v>16</x:v>
      </x:c>
      <x:c r="F2669" s="380" t="n">
        <x:v>5</x:v>
      </x:c>
      <x:c r="G2669" s="380" t="n">
        <x:f>--(F2669&lt;='Estimator'!$B$7)</x:f>
        <x:v>1</x:v>
      </x:c>
      <x:c r="H2669" s="381" t="n">
        <x:f>SUMIFS('Climate Data'!$G$7:$G$366,'Climate Data'!$A$7:$A$366,'Estimator'!$B$4,'Climate Data'!$B$7:$B$366,C2669)</x:f>
        <x:v>0.32023809523809527</x:v>
      </x:c>
      <x:c r="I2669" s="382" t="n">
        <x:f>SUMIFS('Climate Data'!$H$7:$H$366,'Climate Data'!$A$7:$A$366,'Estimator'!$B$4,'Climate Data'!$B$7:$B$366,C2669)</x:f>
        <x:v>9.066171003717471</x:v>
      </x:c>
      <x:c r="J2669" s="381" t="n">
        <x:f>SUMIFS('Wind Proxy'!$H$8:$H$19,'Wind Proxy'!$A$8:$A$19,'Estimator'!$B$4,'Wind Proxy'!$B$8:$B$19,C2669)</x:f>
        <x:v>0.11728395061728397</x:v>
      </x:c>
    </x:row>
    <x:row r="2670">
      <x:c r="A2670" s="379" t="n">
        <x:v>48321</x:v>
      </x:c>
      <x:c r="B2670" s="380" t="n">
        <x:v>2032</x:v>
      </x:c>
      <x:c r="C2670" s="380" t="n">
        <x:v>4</x:v>
      </x:c>
      <x:c r="D2670" s="380" t="str">
        <x:v>Apr</x:v>
      </x:c>
      <x:c r="E2670" s="380" t="n">
        <x:v>17</x:v>
      </x:c>
      <x:c r="F2670" s="380" t="n">
        <x:v>6</x:v>
      </x:c>
      <x:c r="G2670" s="380" t="n">
        <x:f>--(F2670&lt;='Estimator'!$B$7)</x:f>
        <x:v>0</x:v>
      </x:c>
      <x:c r="H2670" s="381" t="n">
        <x:f>SUMIFS('Climate Data'!$G$7:$G$366,'Climate Data'!$A$7:$A$366,'Estimator'!$B$4,'Climate Data'!$B$7:$B$366,C2670)</x:f>
        <x:v>0.32023809523809527</x:v>
      </x:c>
      <x:c r="I2670" s="382" t="n">
        <x:f>SUMIFS('Climate Data'!$H$7:$H$366,'Climate Data'!$A$7:$A$366,'Estimator'!$B$4,'Climate Data'!$B$7:$B$366,C2670)</x:f>
        <x:v>9.066171003717471</x:v>
      </x:c>
      <x:c r="J2670" s="381" t="n">
        <x:f>SUMIFS('Wind Proxy'!$H$8:$H$19,'Wind Proxy'!$A$8:$A$19,'Estimator'!$B$4,'Wind Proxy'!$B$8:$B$19,C2670)</x:f>
        <x:v>0.11728395061728397</x:v>
      </x:c>
    </x:row>
    <x:row r="2671">
      <x:c r="A2671" s="379" t="n">
        <x:v>48322</x:v>
      </x:c>
      <x:c r="B2671" s="380" t="n">
        <x:v>2032</x:v>
      </x:c>
      <x:c r="C2671" s="380" t="n">
        <x:v>4</x:v>
      </x:c>
      <x:c r="D2671" s="380" t="str">
        <x:v>Apr</x:v>
      </x:c>
      <x:c r="E2671" s="380" t="n">
        <x:v>18</x:v>
      </x:c>
      <x:c r="F2671" s="380" t="n">
        <x:v>7</x:v>
      </x:c>
      <x:c r="G2671" s="380" t="n">
        <x:f>--(F2671&lt;='Estimator'!$B$7)</x:f>
        <x:v>0</x:v>
      </x:c>
      <x:c r="H2671" s="381" t="n">
        <x:f>SUMIFS('Climate Data'!$G$7:$G$366,'Climate Data'!$A$7:$A$366,'Estimator'!$B$4,'Climate Data'!$B$7:$B$366,C2671)</x:f>
        <x:v>0.32023809523809527</x:v>
      </x:c>
      <x:c r="I2671" s="382" t="n">
        <x:f>SUMIFS('Climate Data'!$H$7:$H$366,'Climate Data'!$A$7:$A$366,'Estimator'!$B$4,'Climate Data'!$B$7:$B$366,C2671)</x:f>
        <x:v>9.066171003717471</x:v>
      </x:c>
      <x:c r="J2671" s="381" t="n">
        <x:f>SUMIFS('Wind Proxy'!$H$8:$H$19,'Wind Proxy'!$A$8:$A$19,'Estimator'!$B$4,'Wind Proxy'!$B$8:$B$19,C2671)</x:f>
        <x:v>0.11728395061728397</x:v>
      </x:c>
    </x:row>
    <x:row r="2672">
      <x:c r="A2672" s="379" t="n">
        <x:v>48323</x:v>
      </x:c>
      <x:c r="B2672" s="380" t="n">
        <x:v>2032</x:v>
      </x:c>
      <x:c r="C2672" s="380" t="n">
        <x:v>4</x:v>
      </x:c>
      <x:c r="D2672" s="380" t="str">
        <x:v>Apr</x:v>
      </x:c>
      <x:c r="E2672" s="380" t="n">
        <x:v>19</x:v>
      </x:c>
      <x:c r="F2672" s="380" t="n">
        <x:v>1</x:v>
      </x:c>
      <x:c r="G2672" s="380" t="n">
        <x:f>--(F2672&lt;='Estimator'!$B$7)</x:f>
        <x:v>1</x:v>
      </x:c>
      <x:c r="H2672" s="381" t="n">
        <x:f>SUMIFS('Climate Data'!$G$7:$G$366,'Climate Data'!$A$7:$A$366,'Estimator'!$B$4,'Climate Data'!$B$7:$B$366,C2672)</x:f>
        <x:v>0.32023809523809527</x:v>
      </x:c>
      <x:c r="I2672" s="382" t="n">
        <x:f>SUMIFS('Climate Data'!$H$7:$H$366,'Climate Data'!$A$7:$A$366,'Estimator'!$B$4,'Climate Data'!$B$7:$B$366,C2672)</x:f>
        <x:v>9.066171003717471</x:v>
      </x:c>
      <x:c r="J2672" s="381" t="n">
        <x:f>SUMIFS('Wind Proxy'!$H$8:$H$19,'Wind Proxy'!$A$8:$A$19,'Estimator'!$B$4,'Wind Proxy'!$B$8:$B$19,C2672)</x:f>
        <x:v>0.11728395061728397</x:v>
      </x:c>
    </x:row>
    <x:row r="2673">
      <x:c r="A2673" s="379" t="n">
        <x:v>48324</x:v>
      </x:c>
      <x:c r="B2673" s="380" t="n">
        <x:v>2032</x:v>
      </x:c>
      <x:c r="C2673" s="380" t="n">
        <x:v>4</x:v>
      </x:c>
      <x:c r="D2673" s="380" t="str">
        <x:v>Apr</x:v>
      </x:c>
      <x:c r="E2673" s="380" t="n">
        <x:v>20</x:v>
      </x:c>
      <x:c r="F2673" s="380" t="n">
        <x:v>2</x:v>
      </x:c>
      <x:c r="G2673" s="380" t="n">
        <x:f>--(F2673&lt;='Estimator'!$B$7)</x:f>
        <x:v>1</x:v>
      </x:c>
      <x:c r="H2673" s="381" t="n">
        <x:f>SUMIFS('Climate Data'!$G$7:$G$366,'Climate Data'!$A$7:$A$366,'Estimator'!$B$4,'Climate Data'!$B$7:$B$366,C2673)</x:f>
        <x:v>0.32023809523809527</x:v>
      </x:c>
      <x:c r="I2673" s="382" t="n">
        <x:f>SUMIFS('Climate Data'!$H$7:$H$366,'Climate Data'!$A$7:$A$366,'Estimator'!$B$4,'Climate Data'!$B$7:$B$366,C2673)</x:f>
        <x:v>9.066171003717471</x:v>
      </x:c>
      <x:c r="J2673" s="381" t="n">
        <x:f>SUMIFS('Wind Proxy'!$H$8:$H$19,'Wind Proxy'!$A$8:$A$19,'Estimator'!$B$4,'Wind Proxy'!$B$8:$B$19,C2673)</x:f>
        <x:v>0.11728395061728397</x:v>
      </x:c>
    </x:row>
    <x:row r="2674">
      <x:c r="A2674" s="379" t="n">
        <x:v>48325</x:v>
      </x:c>
      <x:c r="B2674" s="380" t="n">
        <x:v>2032</x:v>
      </x:c>
      <x:c r="C2674" s="380" t="n">
        <x:v>4</x:v>
      </x:c>
      <x:c r="D2674" s="380" t="str">
        <x:v>Apr</x:v>
      </x:c>
      <x:c r="E2674" s="380" t="n">
        <x:v>21</x:v>
      </x:c>
      <x:c r="F2674" s="380" t="n">
        <x:v>3</x:v>
      </x:c>
      <x:c r="G2674" s="380" t="n">
        <x:f>--(F2674&lt;='Estimator'!$B$7)</x:f>
        <x:v>1</x:v>
      </x:c>
      <x:c r="H2674" s="381" t="n">
        <x:f>SUMIFS('Climate Data'!$G$7:$G$366,'Climate Data'!$A$7:$A$366,'Estimator'!$B$4,'Climate Data'!$B$7:$B$366,C2674)</x:f>
        <x:v>0.32023809523809527</x:v>
      </x:c>
      <x:c r="I2674" s="382" t="n">
        <x:f>SUMIFS('Climate Data'!$H$7:$H$366,'Climate Data'!$A$7:$A$366,'Estimator'!$B$4,'Climate Data'!$B$7:$B$366,C2674)</x:f>
        <x:v>9.066171003717471</x:v>
      </x:c>
      <x:c r="J2674" s="381" t="n">
        <x:f>SUMIFS('Wind Proxy'!$H$8:$H$19,'Wind Proxy'!$A$8:$A$19,'Estimator'!$B$4,'Wind Proxy'!$B$8:$B$19,C2674)</x:f>
        <x:v>0.11728395061728397</x:v>
      </x:c>
    </x:row>
    <x:row r="2675">
      <x:c r="A2675" s="379" t="n">
        <x:v>48326</x:v>
      </x:c>
      <x:c r="B2675" s="380" t="n">
        <x:v>2032</x:v>
      </x:c>
      <x:c r="C2675" s="380" t="n">
        <x:v>4</x:v>
      </x:c>
      <x:c r="D2675" s="380" t="str">
        <x:v>Apr</x:v>
      </x:c>
      <x:c r="E2675" s="380" t="n">
        <x:v>22</x:v>
      </x:c>
      <x:c r="F2675" s="380" t="n">
        <x:v>4</x:v>
      </x:c>
      <x:c r="G2675" s="380" t="n">
        <x:f>--(F2675&lt;='Estimator'!$B$7)</x:f>
        <x:v>1</x:v>
      </x:c>
      <x:c r="H2675" s="381" t="n">
        <x:f>SUMIFS('Climate Data'!$G$7:$G$366,'Climate Data'!$A$7:$A$366,'Estimator'!$B$4,'Climate Data'!$B$7:$B$366,C2675)</x:f>
        <x:v>0.32023809523809527</x:v>
      </x:c>
      <x:c r="I2675" s="382" t="n">
        <x:f>SUMIFS('Climate Data'!$H$7:$H$366,'Climate Data'!$A$7:$A$366,'Estimator'!$B$4,'Climate Data'!$B$7:$B$366,C2675)</x:f>
        <x:v>9.066171003717471</x:v>
      </x:c>
      <x:c r="J2675" s="381" t="n">
        <x:f>SUMIFS('Wind Proxy'!$H$8:$H$19,'Wind Proxy'!$A$8:$A$19,'Estimator'!$B$4,'Wind Proxy'!$B$8:$B$19,C2675)</x:f>
        <x:v>0.11728395061728397</x:v>
      </x:c>
    </x:row>
    <x:row r="2676">
      <x:c r="A2676" s="379" t="n">
        <x:v>48327</x:v>
      </x:c>
      <x:c r="B2676" s="380" t="n">
        <x:v>2032</x:v>
      </x:c>
      <x:c r="C2676" s="380" t="n">
        <x:v>4</x:v>
      </x:c>
      <x:c r="D2676" s="380" t="str">
        <x:v>Apr</x:v>
      </x:c>
      <x:c r="E2676" s="380" t="n">
        <x:v>23</x:v>
      </x:c>
      <x:c r="F2676" s="380" t="n">
        <x:v>5</x:v>
      </x:c>
      <x:c r="G2676" s="380" t="n">
        <x:f>--(F2676&lt;='Estimator'!$B$7)</x:f>
        <x:v>1</x:v>
      </x:c>
      <x:c r="H2676" s="381" t="n">
        <x:f>SUMIFS('Climate Data'!$G$7:$G$366,'Climate Data'!$A$7:$A$366,'Estimator'!$B$4,'Climate Data'!$B$7:$B$366,C2676)</x:f>
        <x:v>0.32023809523809527</x:v>
      </x:c>
      <x:c r="I2676" s="382" t="n">
        <x:f>SUMIFS('Climate Data'!$H$7:$H$366,'Climate Data'!$A$7:$A$366,'Estimator'!$B$4,'Climate Data'!$B$7:$B$366,C2676)</x:f>
        <x:v>9.066171003717471</x:v>
      </x:c>
      <x:c r="J2676" s="381" t="n">
        <x:f>SUMIFS('Wind Proxy'!$H$8:$H$19,'Wind Proxy'!$A$8:$A$19,'Estimator'!$B$4,'Wind Proxy'!$B$8:$B$19,C2676)</x:f>
        <x:v>0.11728395061728397</x:v>
      </x:c>
    </x:row>
    <x:row r="2677">
      <x:c r="A2677" s="379" t="n">
        <x:v>48328</x:v>
      </x:c>
      <x:c r="B2677" s="380" t="n">
        <x:v>2032</x:v>
      </x:c>
      <x:c r="C2677" s="380" t="n">
        <x:v>4</x:v>
      </x:c>
      <x:c r="D2677" s="380" t="str">
        <x:v>Apr</x:v>
      </x:c>
      <x:c r="E2677" s="380" t="n">
        <x:v>24</x:v>
      </x:c>
      <x:c r="F2677" s="380" t="n">
        <x:v>6</x:v>
      </x:c>
      <x:c r="G2677" s="380" t="n">
        <x:f>--(F2677&lt;='Estimator'!$B$7)</x:f>
        <x:v>0</x:v>
      </x:c>
      <x:c r="H2677" s="381" t="n">
        <x:f>SUMIFS('Climate Data'!$G$7:$G$366,'Climate Data'!$A$7:$A$366,'Estimator'!$B$4,'Climate Data'!$B$7:$B$366,C2677)</x:f>
        <x:v>0.32023809523809527</x:v>
      </x:c>
      <x:c r="I2677" s="382" t="n">
        <x:f>SUMIFS('Climate Data'!$H$7:$H$366,'Climate Data'!$A$7:$A$366,'Estimator'!$B$4,'Climate Data'!$B$7:$B$366,C2677)</x:f>
        <x:v>9.066171003717471</x:v>
      </x:c>
      <x:c r="J2677" s="381" t="n">
        <x:f>SUMIFS('Wind Proxy'!$H$8:$H$19,'Wind Proxy'!$A$8:$A$19,'Estimator'!$B$4,'Wind Proxy'!$B$8:$B$19,C2677)</x:f>
        <x:v>0.11728395061728397</x:v>
      </x:c>
    </x:row>
    <x:row r="2678">
      <x:c r="A2678" s="379" t="n">
        <x:v>48329</x:v>
      </x:c>
      <x:c r="B2678" s="380" t="n">
        <x:v>2032</x:v>
      </x:c>
      <x:c r="C2678" s="380" t="n">
        <x:v>4</x:v>
      </x:c>
      <x:c r="D2678" s="380" t="str">
        <x:v>Apr</x:v>
      </x:c>
      <x:c r="E2678" s="380" t="n">
        <x:v>25</x:v>
      </x:c>
      <x:c r="F2678" s="380" t="n">
        <x:v>7</x:v>
      </x:c>
      <x:c r="G2678" s="380" t="n">
        <x:f>--(F2678&lt;='Estimator'!$B$7)</x:f>
        <x:v>0</x:v>
      </x:c>
      <x:c r="H2678" s="381" t="n">
        <x:f>SUMIFS('Climate Data'!$G$7:$G$366,'Climate Data'!$A$7:$A$366,'Estimator'!$B$4,'Climate Data'!$B$7:$B$366,C2678)</x:f>
        <x:v>0.32023809523809527</x:v>
      </x:c>
      <x:c r="I2678" s="382" t="n">
        <x:f>SUMIFS('Climate Data'!$H$7:$H$366,'Climate Data'!$A$7:$A$366,'Estimator'!$B$4,'Climate Data'!$B$7:$B$366,C2678)</x:f>
        <x:v>9.066171003717471</x:v>
      </x:c>
      <x:c r="J2678" s="381" t="n">
        <x:f>SUMIFS('Wind Proxy'!$H$8:$H$19,'Wind Proxy'!$A$8:$A$19,'Estimator'!$B$4,'Wind Proxy'!$B$8:$B$19,C2678)</x:f>
        <x:v>0.11728395061728397</x:v>
      </x:c>
    </x:row>
    <x:row r="2679">
      <x:c r="A2679" s="379" t="n">
        <x:v>48330</x:v>
      </x:c>
      <x:c r="B2679" s="380" t="n">
        <x:v>2032</x:v>
      </x:c>
      <x:c r="C2679" s="380" t="n">
        <x:v>4</x:v>
      </x:c>
      <x:c r="D2679" s="380" t="str">
        <x:v>Apr</x:v>
      </x:c>
      <x:c r="E2679" s="380" t="n">
        <x:v>26</x:v>
      </x:c>
      <x:c r="F2679" s="380" t="n">
        <x:v>1</x:v>
      </x:c>
      <x:c r="G2679" s="380" t="n">
        <x:f>--(F2679&lt;='Estimator'!$B$7)</x:f>
        <x:v>1</x:v>
      </x:c>
      <x:c r="H2679" s="381" t="n">
        <x:f>SUMIFS('Climate Data'!$G$7:$G$366,'Climate Data'!$A$7:$A$366,'Estimator'!$B$4,'Climate Data'!$B$7:$B$366,C2679)</x:f>
        <x:v>0.32023809523809527</x:v>
      </x:c>
      <x:c r="I2679" s="382" t="n">
        <x:f>SUMIFS('Climate Data'!$H$7:$H$366,'Climate Data'!$A$7:$A$366,'Estimator'!$B$4,'Climate Data'!$B$7:$B$366,C2679)</x:f>
        <x:v>9.066171003717471</x:v>
      </x:c>
      <x:c r="J2679" s="381" t="n">
        <x:f>SUMIFS('Wind Proxy'!$H$8:$H$19,'Wind Proxy'!$A$8:$A$19,'Estimator'!$B$4,'Wind Proxy'!$B$8:$B$19,C2679)</x:f>
        <x:v>0.11728395061728397</x:v>
      </x:c>
    </x:row>
    <x:row r="2680">
      <x:c r="A2680" s="379" t="n">
        <x:v>48331</x:v>
      </x:c>
      <x:c r="B2680" s="380" t="n">
        <x:v>2032</x:v>
      </x:c>
      <x:c r="C2680" s="380" t="n">
        <x:v>4</x:v>
      </x:c>
      <x:c r="D2680" s="380" t="str">
        <x:v>Apr</x:v>
      </x:c>
      <x:c r="E2680" s="380" t="n">
        <x:v>27</x:v>
      </x:c>
      <x:c r="F2680" s="380" t="n">
        <x:v>2</x:v>
      </x:c>
      <x:c r="G2680" s="380" t="n">
        <x:f>--(F2680&lt;='Estimator'!$B$7)</x:f>
        <x:v>1</x:v>
      </x:c>
      <x:c r="H2680" s="381" t="n">
        <x:f>SUMIFS('Climate Data'!$G$7:$G$366,'Climate Data'!$A$7:$A$366,'Estimator'!$B$4,'Climate Data'!$B$7:$B$366,C2680)</x:f>
        <x:v>0.32023809523809527</x:v>
      </x:c>
      <x:c r="I2680" s="382" t="n">
        <x:f>SUMIFS('Climate Data'!$H$7:$H$366,'Climate Data'!$A$7:$A$366,'Estimator'!$B$4,'Climate Data'!$B$7:$B$366,C2680)</x:f>
        <x:v>9.066171003717471</x:v>
      </x:c>
      <x:c r="J2680" s="381" t="n">
        <x:f>SUMIFS('Wind Proxy'!$H$8:$H$19,'Wind Proxy'!$A$8:$A$19,'Estimator'!$B$4,'Wind Proxy'!$B$8:$B$19,C2680)</x:f>
        <x:v>0.11728395061728397</x:v>
      </x:c>
    </x:row>
    <x:row r="2681">
      <x:c r="A2681" s="379" t="n">
        <x:v>48332</x:v>
      </x:c>
      <x:c r="B2681" s="380" t="n">
        <x:v>2032</x:v>
      </x:c>
      <x:c r="C2681" s="380" t="n">
        <x:v>4</x:v>
      </x:c>
      <x:c r="D2681" s="380" t="str">
        <x:v>Apr</x:v>
      </x:c>
      <x:c r="E2681" s="380" t="n">
        <x:v>28</x:v>
      </x:c>
      <x:c r="F2681" s="380" t="n">
        <x:v>3</x:v>
      </x:c>
      <x:c r="G2681" s="380" t="n">
        <x:f>--(F2681&lt;='Estimator'!$B$7)</x:f>
        <x:v>1</x:v>
      </x:c>
      <x:c r="H2681" s="381" t="n">
        <x:f>SUMIFS('Climate Data'!$G$7:$G$366,'Climate Data'!$A$7:$A$366,'Estimator'!$B$4,'Climate Data'!$B$7:$B$366,C2681)</x:f>
        <x:v>0.32023809523809527</x:v>
      </x:c>
      <x:c r="I2681" s="382" t="n">
        <x:f>SUMIFS('Climate Data'!$H$7:$H$366,'Climate Data'!$A$7:$A$366,'Estimator'!$B$4,'Climate Data'!$B$7:$B$366,C2681)</x:f>
        <x:v>9.066171003717471</x:v>
      </x:c>
      <x:c r="J2681" s="381" t="n">
        <x:f>SUMIFS('Wind Proxy'!$H$8:$H$19,'Wind Proxy'!$A$8:$A$19,'Estimator'!$B$4,'Wind Proxy'!$B$8:$B$19,C2681)</x:f>
        <x:v>0.11728395061728397</x:v>
      </x:c>
    </x:row>
    <x:row r="2682">
      <x:c r="A2682" s="379" t="n">
        <x:v>48333</x:v>
      </x:c>
      <x:c r="B2682" s="380" t="n">
        <x:v>2032</x:v>
      </x:c>
      <x:c r="C2682" s="380" t="n">
        <x:v>4</x:v>
      </x:c>
      <x:c r="D2682" s="380" t="str">
        <x:v>Apr</x:v>
      </x:c>
      <x:c r="E2682" s="380" t="n">
        <x:v>29</x:v>
      </x:c>
      <x:c r="F2682" s="380" t="n">
        <x:v>4</x:v>
      </x:c>
      <x:c r="G2682" s="380" t="n">
        <x:f>--(F2682&lt;='Estimator'!$B$7)</x:f>
        <x:v>1</x:v>
      </x:c>
      <x:c r="H2682" s="381" t="n">
        <x:f>SUMIFS('Climate Data'!$G$7:$G$366,'Climate Data'!$A$7:$A$366,'Estimator'!$B$4,'Climate Data'!$B$7:$B$366,C2682)</x:f>
        <x:v>0.32023809523809527</x:v>
      </x:c>
      <x:c r="I2682" s="382" t="n">
        <x:f>SUMIFS('Climate Data'!$H$7:$H$366,'Climate Data'!$A$7:$A$366,'Estimator'!$B$4,'Climate Data'!$B$7:$B$366,C2682)</x:f>
        <x:v>9.066171003717471</x:v>
      </x:c>
      <x:c r="J2682" s="381" t="n">
        <x:f>SUMIFS('Wind Proxy'!$H$8:$H$19,'Wind Proxy'!$A$8:$A$19,'Estimator'!$B$4,'Wind Proxy'!$B$8:$B$19,C2682)</x:f>
        <x:v>0.11728395061728397</x:v>
      </x:c>
    </x:row>
    <x:row r="2683">
      <x:c r="A2683" s="379" t="n">
        <x:v>48334</x:v>
      </x:c>
      <x:c r="B2683" s="380" t="n">
        <x:v>2032</x:v>
      </x:c>
      <x:c r="C2683" s="380" t="n">
        <x:v>4</x:v>
      </x:c>
      <x:c r="D2683" s="380" t="str">
        <x:v>Apr</x:v>
      </x:c>
      <x:c r="E2683" s="380" t="n">
        <x:v>30</x:v>
      </x:c>
      <x:c r="F2683" s="380" t="n">
        <x:v>5</x:v>
      </x:c>
      <x:c r="G2683" s="380" t="n">
        <x:f>--(F2683&lt;='Estimator'!$B$7)</x:f>
        <x:v>1</x:v>
      </x:c>
      <x:c r="H2683" s="381" t="n">
        <x:f>SUMIFS('Climate Data'!$G$7:$G$366,'Climate Data'!$A$7:$A$366,'Estimator'!$B$4,'Climate Data'!$B$7:$B$366,C2683)</x:f>
        <x:v>0.32023809523809527</x:v>
      </x:c>
      <x:c r="I2683" s="382" t="n">
        <x:f>SUMIFS('Climate Data'!$H$7:$H$366,'Climate Data'!$A$7:$A$366,'Estimator'!$B$4,'Climate Data'!$B$7:$B$366,C2683)</x:f>
        <x:v>9.066171003717471</x:v>
      </x:c>
      <x:c r="J2683" s="381" t="n">
        <x:f>SUMIFS('Wind Proxy'!$H$8:$H$19,'Wind Proxy'!$A$8:$A$19,'Estimator'!$B$4,'Wind Proxy'!$B$8:$B$19,C2683)</x:f>
        <x:v>0.11728395061728397</x:v>
      </x:c>
    </x:row>
    <x:row r="2684">
      <x:c r="A2684" s="379" t="n">
        <x:v>48335</x:v>
      </x:c>
      <x:c r="B2684" s="380" t="n">
        <x:v>2032</x:v>
      </x:c>
      <x:c r="C2684" s="380" t="n">
        <x:v>5</x:v>
      </x:c>
      <x:c r="D2684" s="380" t="str">
        <x:v>May</x:v>
      </x:c>
      <x:c r="E2684" s="380" t="n">
        <x:v>1</x:v>
      </x:c>
      <x:c r="F2684" s="380" t="n">
        <x:v>6</x:v>
      </x:c>
      <x:c r="G2684" s="380" t="n">
        <x:f>--(F2684&lt;='Estimator'!$B$7)</x:f>
        <x:v>0</x:v>
      </x:c>
      <x:c r="H2684" s="381" t="n">
        <x:f>SUMIFS('Climate Data'!$G$7:$G$366,'Climate Data'!$A$7:$A$366,'Estimator'!$B$4,'Climate Data'!$B$7:$B$366,C2684)</x:f>
        <x:v>0.41935483870967744</x:v>
      </x:c>
      <x:c r="I2684" s="382" t="n">
        <x:f>SUMIFS('Climate Data'!$H$7:$H$366,'Climate Data'!$A$7:$A$366,'Estimator'!$B$4,'Climate Data'!$B$7:$B$366,C2684)</x:f>
        <x:v>9.215384615384615</x:v>
      </x:c>
      <x:c r="J2684" s="381" t="n">
        <x:f>SUMIFS('Wind Proxy'!$H$8:$H$19,'Wind Proxy'!$A$8:$A$19,'Estimator'!$B$4,'Wind Proxy'!$B$8:$B$19,C2684)</x:f>
        <x:v>0.11350059737156513</x:v>
      </x:c>
    </x:row>
    <x:row r="2685">
      <x:c r="A2685" s="379" t="n">
        <x:v>48336</x:v>
      </x:c>
      <x:c r="B2685" s="380" t="n">
        <x:v>2032</x:v>
      </x:c>
      <x:c r="C2685" s="380" t="n">
        <x:v>5</x:v>
      </x:c>
      <x:c r="D2685" s="380" t="str">
        <x:v>May</x:v>
      </x:c>
      <x:c r="E2685" s="380" t="n">
        <x:v>2</x:v>
      </x:c>
      <x:c r="F2685" s="380" t="n">
        <x:v>7</x:v>
      </x:c>
      <x:c r="G2685" s="380" t="n">
        <x:f>--(F2685&lt;='Estimator'!$B$7)</x:f>
        <x:v>0</x:v>
      </x:c>
      <x:c r="H2685" s="381" t="n">
        <x:f>SUMIFS('Climate Data'!$G$7:$G$366,'Climate Data'!$A$7:$A$366,'Estimator'!$B$4,'Climate Data'!$B$7:$B$366,C2685)</x:f>
        <x:v>0.41935483870967744</x:v>
      </x:c>
      <x:c r="I2685" s="382" t="n">
        <x:f>SUMIFS('Climate Data'!$H$7:$H$366,'Climate Data'!$A$7:$A$366,'Estimator'!$B$4,'Climate Data'!$B$7:$B$366,C2685)</x:f>
        <x:v>9.215384615384615</x:v>
      </x:c>
      <x:c r="J2685" s="381" t="n">
        <x:f>SUMIFS('Wind Proxy'!$H$8:$H$19,'Wind Proxy'!$A$8:$A$19,'Estimator'!$B$4,'Wind Proxy'!$B$8:$B$19,C2685)</x:f>
        <x:v>0.11350059737156513</x:v>
      </x:c>
    </x:row>
    <x:row r="2686">
      <x:c r="A2686" s="379" t="n">
        <x:v>48337</x:v>
      </x:c>
      <x:c r="B2686" s="380" t="n">
        <x:v>2032</x:v>
      </x:c>
      <x:c r="C2686" s="380" t="n">
        <x:v>5</x:v>
      </x:c>
      <x:c r="D2686" s="380" t="str">
        <x:v>May</x:v>
      </x:c>
      <x:c r="E2686" s="380" t="n">
        <x:v>3</x:v>
      </x:c>
      <x:c r="F2686" s="380" t="n">
        <x:v>1</x:v>
      </x:c>
      <x:c r="G2686" s="380" t="n">
        <x:f>--(F2686&lt;='Estimator'!$B$7)</x:f>
        <x:v>1</x:v>
      </x:c>
      <x:c r="H2686" s="381" t="n">
        <x:f>SUMIFS('Climate Data'!$G$7:$G$366,'Climate Data'!$A$7:$A$366,'Estimator'!$B$4,'Climate Data'!$B$7:$B$366,C2686)</x:f>
        <x:v>0.41935483870967744</x:v>
      </x:c>
      <x:c r="I2686" s="382" t="n">
        <x:f>SUMIFS('Climate Data'!$H$7:$H$366,'Climate Data'!$A$7:$A$366,'Estimator'!$B$4,'Climate Data'!$B$7:$B$366,C2686)</x:f>
        <x:v>9.215384615384615</x:v>
      </x:c>
      <x:c r="J2686" s="381" t="n">
        <x:f>SUMIFS('Wind Proxy'!$H$8:$H$19,'Wind Proxy'!$A$8:$A$19,'Estimator'!$B$4,'Wind Proxy'!$B$8:$B$19,C2686)</x:f>
        <x:v>0.11350059737156513</x:v>
      </x:c>
    </x:row>
    <x:row r="2687">
      <x:c r="A2687" s="379" t="n">
        <x:v>48338</x:v>
      </x:c>
      <x:c r="B2687" s="380" t="n">
        <x:v>2032</x:v>
      </x:c>
      <x:c r="C2687" s="380" t="n">
        <x:v>5</x:v>
      </x:c>
      <x:c r="D2687" s="380" t="str">
        <x:v>May</x:v>
      </x:c>
      <x:c r="E2687" s="380" t="n">
        <x:v>4</x:v>
      </x:c>
      <x:c r="F2687" s="380" t="n">
        <x:v>2</x:v>
      </x:c>
      <x:c r="G2687" s="380" t="n">
        <x:f>--(F2687&lt;='Estimator'!$B$7)</x:f>
        <x:v>1</x:v>
      </x:c>
      <x:c r="H2687" s="381" t="n">
        <x:f>SUMIFS('Climate Data'!$G$7:$G$366,'Climate Data'!$A$7:$A$366,'Estimator'!$B$4,'Climate Data'!$B$7:$B$366,C2687)</x:f>
        <x:v>0.41935483870967744</x:v>
      </x:c>
      <x:c r="I2687" s="382" t="n">
        <x:f>SUMIFS('Climate Data'!$H$7:$H$366,'Climate Data'!$A$7:$A$366,'Estimator'!$B$4,'Climate Data'!$B$7:$B$366,C2687)</x:f>
        <x:v>9.215384615384615</x:v>
      </x:c>
      <x:c r="J2687" s="381" t="n">
        <x:f>SUMIFS('Wind Proxy'!$H$8:$H$19,'Wind Proxy'!$A$8:$A$19,'Estimator'!$B$4,'Wind Proxy'!$B$8:$B$19,C2687)</x:f>
        <x:v>0.11350059737156513</x:v>
      </x:c>
    </x:row>
    <x:row r="2688">
      <x:c r="A2688" s="379" t="n">
        <x:v>48339</x:v>
      </x:c>
      <x:c r="B2688" s="380" t="n">
        <x:v>2032</x:v>
      </x:c>
      <x:c r="C2688" s="380" t="n">
        <x:v>5</x:v>
      </x:c>
      <x:c r="D2688" s="380" t="str">
        <x:v>May</x:v>
      </x:c>
      <x:c r="E2688" s="380" t="n">
        <x:v>5</x:v>
      </x:c>
      <x:c r="F2688" s="380" t="n">
        <x:v>3</x:v>
      </x:c>
      <x:c r="G2688" s="380" t="n">
        <x:f>--(F2688&lt;='Estimator'!$B$7)</x:f>
        <x:v>1</x:v>
      </x:c>
      <x:c r="H2688" s="381" t="n">
        <x:f>SUMIFS('Climate Data'!$G$7:$G$366,'Climate Data'!$A$7:$A$366,'Estimator'!$B$4,'Climate Data'!$B$7:$B$366,C2688)</x:f>
        <x:v>0.41935483870967744</x:v>
      </x:c>
      <x:c r="I2688" s="382" t="n">
        <x:f>SUMIFS('Climate Data'!$H$7:$H$366,'Climate Data'!$A$7:$A$366,'Estimator'!$B$4,'Climate Data'!$B$7:$B$366,C2688)</x:f>
        <x:v>9.215384615384615</x:v>
      </x:c>
      <x:c r="J2688" s="381" t="n">
        <x:f>SUMIFS('Wind Proxy'!$H$8:$H$19,'Wind Proxy'!$A$8:$A$19,'Estimator'!$B$4,'Wind Proxy'!$B$8:$B$19,C2688)</x:f>
        <x:v>0.11350059737156513</x:v>
      </x:c>
    </x:row>
    <x:row r="2689">
      <x:c r="A2689" s="379" t="n">
        <x:v>48340</x:v>
      </x:c>
      <x:c r="B2689" s="380" t="n">
        <x:v>2032</x:v>
      </x:c>
      <x:c r="C2689" s="380" t="n">
        <x:v>5</x:v>
      </x:c>
      <x:c r="D2689" s="380" t="str">
        <x:v>May</x:v>
      </x:c>
      <x:c r="E2689" s="380" t="n">
        <x:v>6</x:v>
      </x:c>
      <x:c r="F2689" s="380" t="n">
        <x:v>4</x:v>
      </x:c>
      <x:c r="G2689" s="380" t="n">
        <x:f>--(F2689&lt;='Estimator'!$B$7)</x:f>
        <x:v>1</x:v>
      </x:c>
      <x:c r="H2689" s="381" t="n">
        <x:f>SUMIFS('Climate Data'!$G$7:$G$366,'Climate Data'!$A$7:$A$366,'Estimator'!$B$4,'Climate Data'!$B$7:$B$366,C2689)</x:f>
        <x:v>0.41935483870967744</x:v>
      </x:c>
      <x:c r="I2689" s="382" t="n">
        <x:f>SUMIFS('Climate Data'!$H$7:$H$366,'Climate Data'!$A$7:$A$366,'Estimator'!$B$4,'Climate Data'!$B$7:$B$366,C2689)</x:f>
        <x:v>9.215384615384615</x:v>
      </x:c>
      <x:c r="J2689" s="381" t="n">
        <x:f>SUMIFS('Wind Proxy'!$H$8:$H$19,'Wind Proxy'!$A$8:$A$19,'Estimator'!$B$4,'Wind Proxy'!$B$8:$B$19,C2689)</x:f>
        <x:v>0.11350059737156513</x:v>
      </x:c>
    </x:row>
    <x:row r="2690">
      <x:c r="A2690" s="379" t="n">
        <x:v>48341</x:v>
      </x:c>
      <x:c r="B2690" s="380" t="n">
        <x:v>2032</x:v>
      </x:c>
      <x:c r="C2690" s="380" t="n">
        <x:v>5</x:v>
      </x:c>
      <x:c r="D2690" s="380" t="str">
        <x:v>May</x:v>
      </x:c>
      <x:c r="E2690" s="380" t="n">
        <x:v>7</x:v>
      </x:c>
      <x:c r="F2690" s="380" t="n">
        <x:v>5</x:v>
      </x:c>
      <x:c r="G2690" s="380" t="n">
        <x:f>--(F2690&lt;='Estimator'!$B$7)</x:f>
        <x:v>1</x:v>
      </x:c>
      <x:c r="H2690" s="381" t="n">
        <x:f>SUMIFS('Climate Data'!$G$7:$G$366,'Climate Data'!$A$7:$A$366,'Estimator'!$B$4,'Climate Data'!$B$7:$B$366,C2690)</x:f>
        <x:v>0.41935483870967744</x:v>
      </x:c>
      <x:c r="I2690" s="382" t="n">
        <x:f>SUMIFS('Climate Data'!$H$7:$H$366,'Climate Data'!$A$7:$A$366,'Estimator'!$B$4,'Climate Data'!$B$7:$B$366,C2690)</x:f>
        <x:v>9.215384615384615</x:v>
      </x:c>
      <x:c r="J2690" s="381" t="n">
        <x:f>SUMIFS('Wind Proxy'!$H$8:$H$19,'Wind Proxy'!$A$8:$A$19,'Estimator'!$B$4,'Wind Proxy'!$B$8:$B$19,C2690)</x:f>
        <x:v>0.11350059737156513</x:v>
      </x:c>
    </x:row>
    <x:row r="2691">
      <x:c r="A2691" s="379" t="n">
        <x:v>48342</x:v>
      </x:c>
      <x:c r="B2691" s="380" t="n">
        <x:v>2032</x:v>
      </x:c>
      <x:c r="C2691" s="380" t="n">
        <x:v>5</x:v>
      </x:c>
      <x:c r="D2691" s="380" t="str">
        <x:v>May</x:v>
      </x:c>
      <x:c r="E2691" s="380" t="n">
        <x:v>8</x:v>
      </x:c>
      <x:c r="F2691" s="380" t="n">
        <x:v>6</x:v>
      </x:c>
      <x:c r="G2691" s="380" t="n">
        <x:f>--(F2691&lt;='Estimator'!$B$7)</x:f>
        <x:v>0</x:v>
      </x:c>
      <x:c r="H2691" s="381" t="n">
        <x:f>SUMIFS('Climate Data'!$G$7:$G$366,'Climate Data'!$A$7:$A$366,'Estimator'!$B$4,'Climate Data'!$B$7:$B$366,C2691)</x:f>
        <x:v>0.41935483870967744</x:v>
      </x:c>
      <x:c r="I2691" s="382" t="n">
        <x:f>SUMIFS('Climate Data'!$H$7:$H$366,'Climate Data'!$A$7:$A$366,'Estimator'!$B$4,'Climate Data'!$B$7:$B$366,C2691)</x:f>
        <x:v>9.215384615384615</x:v>
      </x:c>
      <x:c r="J2691" s="381" t="n">
        <x:f>SUMIFS('Wind Proxy'!$H$8:$H$19,'Wind Proxy'!$A$8:$A$19,'Estimator'!$B$4,'Wind Proxy'!$B$8:$B$19,C2691)</x:f>
        <x:v>0.11350059737156513</x:v>
      </x:c>
    </x:row>
    <x:row r="2692">
      <x:c r="A2692" s="379" t="n">
        <x:v>48343</x:v>
      </x:c>
      <x:c r="B2692" s="380" t="n">
        <x:v>2032</x:v>
      </x:c>
      <x:c r="C2692" s="380" t="n">
        <x:v>5</x:v>
      </x:c>
      <x:c r="D2692" s="380" t="str">
        <x:v>May</x:v>
      </x:c>
      <x:c r="E2692" s="380" t="n">
        <x:v>9</x:v>
      </x:c>
      <x:c r="F2692" s="380" t="n">
        <x:v>7</x:v>
      </x:c>
      <x:c r="G2692" s="380" t="n">
        <x:f>--(F2692&lt;='Estimator'!$B$7)</x:f>
        <x:v>0</x:v>
      </x:c>
      <x:c r="H2692" s="381" t="n">
        <x:f>SUMIFS('Climate Data'!$G$7:$G$366,'Climate Data'!$A$7:$A$366,'Estimator'!$B$4,'Climate Data'!$B$7:$B$366,C2692)</x:f>
        <x:v>0.41935483870967744</x:v>
      </x:c>
      <x:c r="I2692" s="382" t="n">
        <x:f>SUMIFS('Climate Data'!$H$7:$H$366,'Climate Data'!$A$7:$A$366,'Estimator'!$B$4,'Climate Data'!$B$7:$B$366,C2692)</x:f>
        <x:v>9.215384615384615</x:v>
      </x:c>
      <x:c r="J2692" s="381" t="n">
        <x:f>SUMIFS('Wind Proxy'!$H$8:$H$19,'Wind Proxy'!$A$8:$A$19,'Estimator'!$B$4,'Wind Proxy'!$B$8:$B$19,C2692)</x:f>
        <x:v>0.11350059737156513</x:v>
      </x:c>
    </x:row>
    <x:row r="2693">
      <x:c r="A2693" s="379" t="n">
        <x:v>48344</x:v>
      </x:c>
      <x:c r="B2693" s="380" t="n">
        <x:v>2032</x:v>
      </x:c>
      <x:c r="C2693" s="380" t="n">
        <x:v>5</x:v>
      </x:c>
      <x:c r="D2693" s="380" t="str">
        <x:v>May</x:v>
      </x:c>
      <x:c r="E2693" s="380" t="n">
        <x:v>10</x:v>
      </x:c>
      <x:c r="F2693" s="380" t="n">
        <x:v>1</x:v>
      </x:c>
      <x:c r="G2693" s="380" t="n">
        <x:f>--(F2693&lt;='Estimator'!$B$7)</x:f>
        <x:v>1</x:v>
      </x:c>
      <x:c r="H2693" s="381" t="n">
        <x:f>SUMIFS('Climate Data'!$G$7:$G$366,'Climate Data'!$A$7:$A$366,'Estimator'!$B$4,'Climate Data'!$B$7:$B$366,C2693)</x:f>
        <x:v>0.41935483870967744</x:v>
      </x:c>
      <x:c r="I2693" s="382" t="n">
        <x:f>SUMIFS('Climate Data'!$H$7:$H$366,'Climate Data'!$A$7:$A$366,'Estimator'!$B$4,'Climate Data'!$B$7:$B$366,C2693)</x:f>
        <x:v>9.215384615384615</x:v>
      </x:c>
      <x:c r="J2693" s="381" t="n">
        <x:f>SUMIFS('Wind Proxy'!$H$8:$H$19,'Wind Proxy'!$A$8:$A$19,'Estimator'!$B$4,'Wind Proxy'!$B$8:$B$19,C2693)</x:f>
        <x:v>0.11350059737156513</x:v>
      </x:c>
    </x:row>
    <x:row r="2694">
      <x:c r="A2694" s="379" t="n">
        <x:v>48345</x:v>
      </x:c>
      <x:c r="B2694" s="380" t="n">
        <x:v>2032</x:v>
      </x:c>
      <x:c r="C2694" s="380" t="n">
        <x:v>5</x:v>
      </x:c>
      <x:c r="D2694" s="380" t="str">
        <x:v>May</x:v>
      </x:c>
      <x:c r="E2694" s="380" t="n">
        <x:v>11</x:v>
      </x:c>
      <x:c r="F2694" s="380" t="n">
        <x:v>2</x:v>
      </x:c>
      <x:c r="G2694" s="380" t="n">
        <x:f>--(F2694&lt;='Estimator'!$B$7)</x:f>
        <x:v>1</x:v>
      </x:c>
      <x:c r="H2694" s="381" t="n">
        <x:f>SUMIFS('Climate Data'!$G$7:$G$366,'Climate Data'!$A$7:$A$366,'Estimator'!$B$4,'Climate Data'!$B$7:$B$366,C2694)</x:f>
        <x:v>0.41935483870967744</x:v>
      </x:c>
      <x:c r="I2694" s="382" t="n">
        <x:f>SUMIFS('Climate Data'!$H$7:$H$366,'Climate Data'!$A$7:$A$366,'Estimator'!$B$4,'Climate Data'!$B$7:$B$366,C2694)</x:f>
        <x:v>9.215384615384615</x:v>
      </x:c>
      <x:c r="J2694" s="381" t="n">
        <x:f>SUMIFS('Wind Proxy'!$H$8:$H$19,'Wind Proxy'!$A$8:$A$19,'Estimator'!$B$4,'Wind Proxy'!$B$8:$B$19,C2694)</x:f>
        <x:v>0.11350059737156513</x:v>
      </x:c>
    </x:row>
    <x:row r="2695">
      <x:c r="A2695" s="379" t="n">
        <x:v>48346</x:v>
      </x:c>
      <x:c r="B2695" s="380" t="n">
        <x:v>2032</x:v>
      </x:c>
      <x:c r="C2695" s="380" t="n">
        <x:v>5</x:v>
      </x:c>
      <x:c r="D2695" s="380" t="str">
        <x:v>May</x:v>
      </x:c>
      <x:c r="E2695" s="380" t="n">
        <x:v>12</x:v>
      </x:c>
      <x:c r="F2695" s="380" t="n">
        <x:v>3</x:v>
      </x:c>
      <x:c r="G2695" s="380" t="n">
        <x:f>--(F2695&lt;='Estimator'!$B$7)</x:f>
        <x:v>1</x:v>
      </x:c>
      <x:c r="H2695" s="381" t="n">
        <x:f>SUMIFS('Climate Data'!$G$7:$G$366,'Climate Data'!$A$7:$A$366,'Estimator'!$B$4,'Climate Data'!$B$7:$B$366,C2695)</x:f>
        <x:v>0.41935483870967744</x:v>
      </x:c>
      <x:c r="I2695" s="382" t="n">
        <x:f>SUMIFS('Climate Data'!$H$7:$H$366,'Climate Data'!$A$7:$A$366,'Estimator'!$B$4,'Climate Data'!$B$7:$B$366,C2695)</x:f>
        <x:v>9.215384615384615</x:v>
      </x:c>
      <x:c r="J2695" s="381" t="n">
        <x:f>SUMIFS('Wind Proxy'!$H$8:$H$19,'Wind Proxy'!$A$8:$A$19,'Estimator'!$B$4,'Wind Proxy'!$B$8:$B$19,C2695)</x:f>
        <x:v>0.11350059737156513</x:v>
      </x:c>
    </x:row>
    <x:row r="2696">
      <x:c r="A2696" s="379" t="n">
        <x:v>48347</x:v>
      </x:c>
      <x:c r="B2696" s="380" t="n">
        <x:v>2032</x:v>
      </x:c>
      <x:c r="C2696" s="380" t="n">
        <x:v>5</x:v>
      </x:c>
      <x:c r="D2696" s="380" t="str">
        <x:v>May</x:v>
      </x:c>
      <x:c r="E2696" s="380" t="n">
        <x:v>13</x:v>
      </x:c>
      <x:c r="F2696" s="380" t="n">
        <x:v>4</x:v>
      </x:c>
      <x:c r="G2696" s="380" t="n">
        <x:f>--(F2696&lt;='Estimator'!$B$7)</x:f>
        <x:v>1</x:v>
      </x:c>
      <x:c r="H2696" s="381" t="n">
        <x:f>SUMIFS('Climate Data'!$G$7:$G$366,'Climate Data'!$A$7:$A$366,'Estimator'!$B$4,'Climate Data'!$B$7:$B$366,C2696)</x:f>
        <x:v>0.41935483870967744</x:v>
      </x:c>
      <x:c r="I2696" s="382" t="n">
        <x:f>SUMIFS('Climate Data'!$H$7:$H$366,'Climate Data'!$A$7:$A$366,'Estimator'!$B$4,'Climate Data'!$B$7:$B$366,C2696)</x:f>
        <x:v>9.215384615384615</x:v>
      </x:c>
      <x:c r="J2696" s="381" t="n">
        <x:f>SUMIFS('Wind Proxy'!$H$8:$H$19,'Wind Proxy'!$A$8:$A$19,'Estimator'!$B$4,'Wind Proxy'!$B$8:$B$19,C2696)</x:f>
        <x:v>0.11350059737156513</x:v>
      </x:c>
    </x:row>
    <x:row r="2697">
      <x:c r="A2697" s="379" t="n">
        <x:v>48348</x:v>
      </x:c>
      <x:c r="B2697" s="380" t="n">
        <x:v>2032</x:v>
      </x:c>
      <x:c r="C2697" s="380" t="n">
        <x:v>5</x:v>
      </x:c>
      <x:c r="D2697" s="380" t="str">
        <x:v>May</x:v>
      </x:c>
      <x:c r="E2697" s="380" t="n">
        <x:v>14</x:v>
      </x:c>
      <x:c r="F2697" s="380" t="n">
        <x:v>5</x:v>
      </x:c>
      <x:c r="G2697" s="380" t="n">
        <x:f>--(F2697&lt;='Estimator'!$B$7)</x:f>
        <x:v>1</x:v>
      </x:c>
      <x:c r="H2697" s="381" t="n">
        <x:f>SUMIFS('Climate Data'!$G$7:$G$366,'Climate Data'!$A$7:$A$366,'Estimator'!$B$4,'Climate Data'!$B$7:$B$366,C2697)</x:f>
        <x:v>0.41935483870967744</x:v>
      </x:c>
      <x:c r="I2697" s="382" t="n">
        <x:f>SUMIFS('Climate Data'!$H$7:$H$366,'Climate Data'!$A$7:$A$366,'Estimator'!$B$4,'Climate Data'!$B$7:$B$366,C2697)</x:f>
        <x:v>9.215384615384615</x:v>
      </x:c>
      <x:c r="J2697" s="381" t="n">
        <x:f>SUMIFS('Wind Proxy'!$H$8:$H$19,'Wind Proxy'!$A$8:$A$19,'Estimator'!$B$4,'Wind Proxy'!$B$8:$B$19,C2697)</x:f>
        <x:v>0.11350059737156513</x:v>
      </x:c>
    </x:row>
    <x:row r="2698">
      <x:c r="A2698" s="379" t="n">
        <x:v>48349</x:v>
      </x:c>
      <x:c r="B2698" s="380" t="n">
        <x:v>2032</x:v>
      </x:c>
      <x:c r="C2698" s="380" t="n">
        <x:v>5</x:v>
      </x:c>
      <x:c r="D2698" s="380" t="str">
        <x:v>May</x:v>
      </x:c>
      <x:c r="E2698" s="380" t="n">
        <x:v>15</x:v>
      </x:c>
      <x:c r="F2698" s="380" t="n">
        <x:v>6</x:v>
      </x:c>
      <x:c r="G2698" s="380" t="n">
        <x:f>--(F2698&lt;='Estimator'!$B$7)</x:f>
        <x:v>0</x:v>
      </x:c>
      <x:c r="H2698" s="381" t="n">
        <x:f>SUMIFS('Climate Data'!$G$7:$G$366,'Climate Data'!$A$7:$A$366,'Estimator'!$B$4,'Climate Data'!$B$7:$B$366,C2698)</x:f>
        <x:v>0.41935483870967744</x:v>
      </x:c>
      <x:c r="I2698" s="382" t="n">
        <x:f>SUMIFS('Climate Data'!$H$7:$H$366,'Climate Data'!$A$7:$A$366,'Estimator'!$B$4,'Climate Data'!$B$7:$B$366,C2698)</x:f>
        <x:v>9.215384615384615</x:v>
      </x:c>
      <x:c r="J2698" s="381" t="n">
        <x:f>SUMIFS('Wind Proxy'!$H$8:$H$19,'Wind Proxy'!$A$8:$A$19,'Estimator'!$B$4,'Wind Proxy'!$B$8:$B$19,C2698)</x:f>
        <x:v>0.11350059737156513</x:v>
      </x:c>
    </x:row>
    <x:row r="2699">
      <x:c r="A2699" s="379" t="n">
        <x:v>48350</x:v>
      </x:c>
      <x:c r="B2699" s="380" t="n">
        <x:v>2032</x:v>
      </x:c>
      <x:c r="C2699" s="380" t="n">
        <x:v>5</x:v>
      </x:c>
      <x:c r="D2699" s="380" t="str">
        <x:v>May</x:v>
      </x:c>
      <x:c r="E2699" s="380" t="n">
        <x:v>16</x:v>
      </x:c>
      <x:c r="F2699" s="380" t="n">
        <x:v>7</x:v>
      </x:c>
      <x:c r="G2699" s="380" t="n">
        <x:f>--(F2699&lt;='Estimator'!$B$7)</x:f>
        <x:v>0</x:v>
      </x:c>
      <x:c r="H2699" s="381" t="n">
        <x:f>SUMIFS('Climate Data'!$G$7:$G$366,'Climate Data'!$A$7:$A$366,'Estimator'!$B$4,'Climate Data'!$B$7:$B$366,C2699)</x:f>
        <x:v>0.41935483870967744</x:v>
      </x:c>
      <x:c r="I2699" s="382" t="n">
        <x:f>SUMIFS('Climate Data'!$H$7:$H$366,'Climate Data'!$A$7:$A$366,'Estimator'!$B$4,'Climate Data'!$B$7:$B$366,C2699)</x:f>
        <x:v>9.215384615384615</x:v>
      </x:c>
      <x:c r="J2699" s="381" t="n">
        <x:f>SUMIFS('Wind Proxy'!$H$8:$H$19,'Wind Proxy'!$A$8:$A$19,'Estimator'!$B$4,'Wind Proxy'!$B$8:$B$19,C2699)</x:f>
        <x:v>0.11350059737156513</x:v>
      </x:c>
    </x:row>
    <x:row r="2700">
      <x:c r="A2700" s="379" t="n">
        <x:v>48351</x:v>
      </x:c>
      <x:c r="B2700" s="380" t="n">
        <x:v>2032</x:v>
      </x:c>
      <x:c r="C2700" s="380" t="n">
        <x:v>5</x:v>
      </x:c>
      <x:c r="D2700" s="380" t="str">
        <x:v>May</x:v>
      </x:c>
      <x:c r="E2700" s="380" t="n">
        <x:v>17</x:v>
      </x:c>
      <x:c r="F2700" s="380" t="n">
        <x:v>1</x:v>
      </x:c>
      <x:c r="G2700" s="380" t="n">
        <x:f>--(F2700&lt;='Estimator'!$B$7)</x:f>
        <x:v>1</x:v>
      </x:c>
      <x:c r="H2700" s="381" t="n">
        <x:f>SUMIFS('Climate Data'!$G$7:$G$366,'Climate Data'!$A$7:$A$366,'Estimator'!$B$4,'Climate Data'!$B$7:$B$366,C2700)</x:f>
        <x:v>0.41935483870967744</x:v>
      </x:c>
      <x:c r="I2700" s="382" t="n">
        <x:f>SUMIFS('Climate Data'!$H$7:$H$366,'Climate Data'!$A$7:$A$366,'Estimator'!$B$4,'Climate Data'!$B$7:$B$366,C2700)</x:f>
        <x:v>9.215384615384615</x:v>
      </x:c>
      <x:c r="J2700" s="381" t="n">
        <x:f>SUMIFS('Wind Proxy'!$H$8:$H$19,'Wind Proxy'!$A$8:$A$19,'Estimator'!$B$4,'Wind Proxy'!$B$8:$B$19,C2700)</x:f>
        <x:v>0.11350059737156513</x:v>
      </x:c>
    </x:row>
    <x:row r="2701">
      <x:c r="A2701" s="379" t="n">
        <x:v>48352</x:v>
      </x:c>
      <x:c r="B2701" s="380" t="n">
        <x:v>2032</x:v>
      </x:c>
      <x:c r="C2701" s="380" t="n">
        <x:v>5</x:v>
      </x:c>
      <x:c r="D2701" s="380" t="str">
        <x:v>May</x:v>
      </x:c>
      <x:c r="E2701" s="380" t="n">
        <x:v>18</x:v>
      </x:c>
      <x:c r="F2701" s="380" t="n">
        <x:v>2</x:v>
      </x:c>
      <x:c r="G2701" s="380" t="n">
        <x:f>--(F2701&lt;='Estimator'!$B$7)</x:f>
        <x:v>1</x:v>
      </x:c>
      <x:c r="H2701" s="381" t="n">
        <x:f>SUMIFS('Climate Data'!$G$7:$G$366,'Climate Data'!$A$7:$A$366,'Estimator'!$B$4,'Climate Data'!$B$7:$B$366,C2701)</x:f>
        <x:v>0.41935483870967744</x:v>
      </x:c>
      <x:c r="I2701" s="382" t="n">
        <x:f>SUMIFS('Climate Data'!$H$7:$H$366,'Climate Data'!$A$7:$A$366,'Estimator'!$B$4,'Climate Data'!$B$7:$B$366,C2701)</x:f>
        <x:v>9.215384615384615</x:v>
      </x:c>
      <x:c r="J2701" s="381" t="n">
        <x:f>SUMIFS('Wind Proxy'!$H$8:$H$19,'Wind Proxy'!$A$8:$A$19,'Estimator'!$B$4,'Wind Proxy'!$B$8:$B$19,C2701)</x:f>
        <x:v>0.11350059737156513</x:v>
      </x:c>
    </x:row>
    <x:row r="2702">
      <x:c r="A2702" s="379" t="n">
        <x:v>48353</x:v>
      </x:c>
      <x:c r="B2702" s="380" t="n">
        <x:v>2032</x:v>
      </x:c>
      <x:c r="C2702" s="380" t="n">
        <x:v>5</x:v>
      </x:c>
      <x:c r="D2702" s="380" t="str">
        <x:v>May</x:v>
      </x:c>
      <x:c r="E2702" s="380" t="n">
        <x:v>19</x:v>
      </x:c>
      <x:c r="F2702" s="380" t="n">
        <x:v>3</x:v>
      </x:c>
      <x:c r="G2702" s="380" t="n">
        <x:f>--(F2702&lt;='Estimator'!$B$7)</x:f>
        <x:v>1</x:v>
      </x:c>
      <x:c r="H2702" s="381" t="n">
        <x:f>SUMIFS('Climate Data'!$G$7:$G$366,'Climate Data'!$A$7:$A$366,'Estimator'!$B$4,'Climate Data'!$B$7:$B$366,C2702)</x:f>
        <x:v>0.41935483870967744</x:v>
      </x:c>
      <x:c r="I2702" s="382" t="n">
        <x:f>SUMIFS('Climate Data'!$H$7:$H$366,'Climate Data'!$A$7:$A$366,'Estimator'!$B$4,'Climate Data'!$B$7:$B$366,C2702)</x:f>
        <x:v>9.215384615384615</x:v>
      </x:c>
      <x:c r="J2702" s="381" t="n">
        <x:f>SUMIFS('Wind Proxy'!$H$8:$H$19,'Wind Proxy'!$A$8:$A$19,'Estimator'!$B$4,'Wind Proxy'!$B$8:$B$19,C2702)</x:f>
        <x:v>0.11350059737156513</x:v>
      </x:c>
    </x:row>
    <x:row r="2703">
      <x:c r="A2703" s="379" t="n">
        <x:v>48354</x:v>
      </x:c>
      <x:c r="B2703" s="380" t="n">
        <x:v>2032</x:v>
      </x:c>
      <x:c r="C2703" s="380" t="n">
        <x:v>5</x:v>
      </x:c>
      <x:c r="D2703" s="380" t="str">
        <x:v>May</x:v>
      </x:c>
      <x:c r="E2703" s="380" t="n">
        <x:v>20</x:v>
      </x:c>
      <x:c r="F2703" s="380" t="n">
        <x:v>4</x:v>
      </x:c>
      <x:c r="G2703" s="380" t="n">
        <x:f>--(F2703&lt;='Estimator'!$B$7)</x:f>
        <x:v>1</x:v>
      </x:c>
      <x:c r="H2703" s="381" t="n">
        <x:f>SUMIFS('Climate Data'!$G$7:$G$366,'Climate Data'!$A$7:$A$366,'Estimator'!$B$4,'Climate Data'!$B$7:$B$366,C2703)</x:f>
        <x:v>0.41935483870967744</x:v>
      </x:c>
      <x:c r="I2703" s="382" t="n">
        <x:f>SUMIFS('Climate Data'!$H$7:$H$366,'Climate Data'!$A$7:$A$366,'Estimator'!$B$4,'Climate Data'!$B$7:$B$366,C2703)</x:f>
        <x:v>9.215384615384615</x:v>
      </x:c>
      <x:c r="J2703" s="381" t="n">
        <x:f>SUMIFS('Wind Proxy'!$H$8:$H$19,'Wind Proxy'!$A$8:$A$19,'Estimator'!$B$4,'Wind Proxy'!$B$8:$B$19,C2703)</x:f>
        <x:v>0.11350059737156513</x:v>
      </x:c>
    </x:row>
    <x:row r="2704">
      <x:c r="A2704" s="379" t="n">
        <x:v>48355</x:v>
      </x:c>
      <x:c r="B2704" s="380" t="n">
        <x:v>2032</x:v>
      </x:c>
      <x:c r="C2704" s="380" t="n">
        <x:v>5</x:v>
      </x:c>
      <x:c r="D2704" s="380" t="str">
        <x:v>May</x:v>
      </x:c>
      <x:c r="E2704" s="380" t="n">
        <x:v>21</x:v>
      </x:c>
      <x:c r="F2704" s="380" t="n">
        <x:v>5</x:v>
      </x:c>
      <x:c r="G2704" s="380" t="n">
        <x:f>--(F2704&lt;='Estimator'!$B$7)</x:f>
        <x:v>1</x:v>
      </x:c>
      <x:c r="H2704" s="381" t="n">
        <x:f>SUMIFS('Climate Data'!$G$7:$G$366,'Climate Data'!$A$7:$A$366,'Estimator'!$B$4,'Climate Data'!$B$7:$B$366,C2704)</x:f>
        <x:v>0.41935483870967744</x:v>
      </x:c>
      <x:c r="I2704" s="382" t="n">
        <x:f>SUMIFS('Climate Data'!$H$7:$H$366,'Climate Data'!$A$7:$A$366,'Estimator'!$B$4,'Climate Data'!$B$7:$B$366,C2704)</x:f>
        <x:v>9.215384615384615</x:v>
      </x:c>
      <x:c r="J2704" s="381" t="n">
        <x:f>SUMIFS('Wind Proxy'!$H$8:$H$19,'Wind Proxy'!$A$8:$A$19,'Estimator'!$B$4,'Wind Proxy'!$B$8:$B$19,C2704)</x:f>
        <x:v>0.11350059737156513</x:v>
      </x:c>
    </x:row>
    <x:row r="2705">
      <x:c r="A2705" s="379" t="n">
        <x:v>48356</x:v>
      </x:c>
      <x:c r="B2705" s="380" t="n">
        <x:v>2032</x:v>
      </x:c>
      <x:c r="C2705" s="380" t="n">
        <x:v>5</x:v>
      </x:c>
      <x:c r="D2705" s="380" t="str">
        <x:v>May</x:v>
      </x:c>
      <x:c r="E2705" s="380" t="n">
        <x:v>22</x:v>
      </x:c>
      <x:c r="F2705" s="380" t="n">
        <x:v>6</x:v>
      </x:c>
      <x:c r="G2705" s="380" t="n">
        <x:f>--(F2705&lt;='Estimator'!$B$7)</x:f>
        <x:v>0</x:v>
      </x:c>
      <x:c r="H2705" s="381" t="n">
        <x:f>SUMIFS('Climate Data'!$G$7:$G$366,'Climate Data'!$A$7:$A$366,'Estimator'!$B$4,'Climate Data'!$B$7:$B$366,C2705)</x:f>
        <x:v>0.41935483870967744</x:v>
      </x:c>
      <x:c r="I2705" s="382" t="n">
        <x:f>SUMIFS('Climate Data'!$H$7:$H$366,'Climate Data'!$A$7:$A$366,'Estimator'!$B$4,'Climate Data'!$B$7:$B$366,C2705)</x:f>
        <x:v>9.215384615384615</x:v>
      </x:c>
      <x:c r="J2705" s="381" t="n">
        <x:f>SUMIFS('Wind Proxy'!$H$8:$H$19,'Wind Proxy'!$A$8:$A$19,'Estimator'!$B$4,'Wind Proxy'!$B$8:$B$19,C2705)</x:f>
        <x:v>0.11350059737156513</x:v>
      </x:c>
    </x:row>
    <x:row r="2706">
      <x:c r="A2706" s="379" t="n">
        <x:v>48357</x:v>
      </x:c>
      <x:c r="B2706" s="380" t="n">
        <x:v>2032</x:v>
      </x:c>
      <x:c r="C2706" s="380" t="n">
        <x:v>5</x:v>
      </x:c>
      <x:c r="D2706" s="380" t="str">
        <x:v>May</x:v>
      </x:c>
      <x:c r="E2706" s="380" t="n">
        <x:v>23</x:v>
      </x:c>
      <x:c r="F2706" s="380" t="n">
        <x:v>7</x:v>
      </x:c>
      <x:c r="G2706" s="380" t="n">
        <x:f>--(F2706&lt;='Estimator'!$B$7)</x:f>
        <x:v>0</x:v>
      </x:c>
      <x:c r="H2706" s="381" t="n">
        <x:f>SUMIFS('Climate Data'!$G$7:$G$366,'Climate Data'!$A$7:$A$366,'Estimator'!$B$4,'Climate Data'!$B$7:$B$366,C2706)</x:f>
        <x:v>0.41935483870967744</x:v>
      </x:c>
      <x:c r="I2706" s="382" t="n">
        <x:f>SUMIFS('Climate Data'!$H$7:$H$366,'Climate Data'!$A$7:$A$366,'Estimator'!$B$4,'Climate Data'!$B$7:$B$366,C2706)</x:f>
        <x:v>9.215384615384615</x:v>
      </x:c>
      <x:c r="J2706" s="381" t="n">
        <x:f>SUMIFS('Wind Proxy'!$H$8:$H$19,'Wind Proxy'!$A$8:$A$19,'Estimator'!$B$4,'Wind Proxy'!$B$8:$B$19,C2706)</x:f>
        <x:v>0.11350059737156513</x:v>
      </x:c>
    </x:row>
    <x:row r="2707">
      <x:c r="A2707" s="379" t="n">
        <x:v>48358</x:v>
      </x:c>
      <x:c r="B2707" s="380" t="n">
        <x:v>2032</x:v>
      </x:c>
      <x:c r="C2707" s="380" t="n">
        <x:v>5</x:v>
      </x:c>
      <x:c r="D2707" s="380" t="str">
        <x:v>May</x:v>
      </x:c>
      <x:c r="E2707" s="380" t="n">
        <x:v>24</x:v>
      </x:c>
      <x:c r="F2707" s="380" t="n">
        <x:v>1</x:v>
      </x:c>
      <x:c r="G2707" s="380" t="n">
        <x:f>--(F2707&lt;='Estimator'!$B$7)</x:f>
        <x:v>1</x:v>
      </x:c>
      <x:c r="H2707" s="381" t="n">
        <x:f>SUMIFS('Climate Data'!$G$7:$G$366,'Climate Data'!$A$7:$A$366,'Estimator'!$B$4,'Climate Data'!$B$7:$B$366,C2707)</x:f>
        <x:v>0.41935483870967744</x:v>
      </x:c>
      <x:c r="I2707" s="382" t="n">
        <x:f>SUMIFS('Climate Data'!$H$7:$H$366,'Climate Data'!$A$7:$A$366,'Estimator'!$B$4,'Climate Data'!$B$7:$B$366,C2707)</x:f>
        <x:v>9.215384615384615</x:v>
      </x:c>
      <x:c r="J2707" s="381" t="n">
        <x:f>SUMIFS('Wind Proxy'!$H$8:$H$19,'Wind Proxy'!$A$8:$A$19,'Estimator'!$B$4,'Wind Proxy'!$B$8:$B$19,C2707)</x:f>
        <x:v>0.11350059737156513</x:v>
      </x:c>
    </x:row>
    <x:row r="2708">
      <x:c r="A2708" s="379" t="n">
        <x:v>48359</x:v>
      </x:c>
      <x:c r="B2708" s="380" t="n">
        <x:v>2032</x:v>
      </x:c>
      <x:c r="C2708" s="380" t="n">
        <x:v>5</x:v>
      </x:c>
      <x:c r="D2708" s="380" t="str">
        <x:v>May</x:v>
      </x:c>
      <x:c r="E2708" s="380" t="n">
        <x:v>25</x:v>
      </x:c>
      <x:c r="F2708" s="380" t="n">
        <x:v>2</x:v>
      </x:c>
      <x:c r="G2708" s="380" t="n">
        <x:f>--(F2708&lt;='Estimator'!$B$7)</x:f>
        <x:v>1</x:v>
      </x:c>
      <x:c r="H2708" s="381" t="n">
        <x:f>SUMIFS('Climate Data'!$G$7:$G$366,'Climate Data'!$A$7:$A$366,'Estimator'!$B$4,'Climate Data'!$B$7:$B$366,C2708)</x:f>
        <x:v>0.41935483870967744</x:v>
      </x:c>
      <x:c r="I2708" s="382" t="n">
        <x:f>SUMIFS('Climate Data'!$H$7:$H$366,'Climate Data'!$A$7:$A$366,'Estimator'!$B$4,'Climate Data'!$B$7:$B$366,C2708)</x:f>
        <x:v>9.215384615384615</x:v>
      </x:c>
      <x:c r="J2708" s="381" t="n">
        <x:f>SUMIFS('Wind Proxy'!$H$8:$H$19,'Wind Proxy'!$A$8:$A$19,'Estimator'!$B$4,'Wind Proxy'!$B$8:$B$19,C2708)</x:f>
        <x:v>0.11350059737156513</x:v>
      </x:c>
    </x:row>
    <x:row r="2709">
      <x:c r="A2709" s="379" t="n">
        <x:v>48360</x:v>
      </x:c>
      <x:c r="B2709" s="380" t="n">
        <x:v>2032</x:v>
      </x:c>
      <x:c r="C2709" s="380" t="n">
        <x:v>5</x:v>
      </x:c>
      <x:c r="D2709" s="380" t="str">
        <x:v>May</x:v>
      </x:c>
      <x:c r="E2709" s="380" t="n">
        <x:v>26</x:v>
      </x:c>
      <x:c r="F2709" s="380" t="n">
        <x:v>3</x:v>
      </x:c>
      <x:c r="G2709" s="380" t="n">
        <x:f>--(F2709&lt;='Estimator'!$B$7)</x:f>
        <x:v>1</x:v>
      </x:c>
      <x:c r="H2709" s="381" t="n">
        <x:f>SUMIFS('Climate Data'!$G$7:$G$366,'Climate Data'!$A$7:$A$366,'Estimator'!$B$4,'Climate Data'!$B$7:$B$366,C2709)</x:f>
        <x:v>0.41935483870967744</x:v>
      </x:c>
      <x:c r="I2709" s="382" t="n">
        <x:f>SUMIFS('Climate Data'!$H$7:$H$366,'Climate Data'!$A$7:$A$366,'Estimator'!$B$4,'Climate Data'!$B$7:$B$366,C2709)</x:f>
        <x:v>9.215384615384615</x:v>
      </x:c>
      <x:c r="J2709" s="381" t="n">
        <x:f>SUMIFS('Wind Proxy'!$H$8:$H$19,'Wind Proxy'!$A$8:$A$19,'Estimator'!$B$4,'Wind Proxy'!$B$8:$B$19,C2709)</x:f>
        <x:v>0.11350059737156513</x:v>
      </x:c>
    </x:row>
    <x:row r="2710">
      <x:c r="A2710" s="379" t="n">
        <x:v>48361</x:v>
      </x:c>
      <x:c r="B2710" s="380" t="n">
        <x:v>2032</x:v>
      </x:c>
      <x:c r="C2710" s="380" t="n">
        <x:v>5</x:v>
      </x:c>
      <x:c r="D2710" s="380" t="str">
        <x:v>May</x:v>
      </x:c>
      <x:c r="E2710" s="380" t="n">
        <x:v>27</x:v>
      </x:c>
      <x:c r="F2710" s="380" t="n">
        <x:v>4</x:v>
      </x:c>
      <x:c r="G2710" s="380" t="n">
        <x:f>--(F2710&lt;='Estimator'!$B$7)</x:f>
        <x:v>1</x:v>
      </x:c>
      <x:c r="H2710" s="381" t="n">
        <x:f>SUMIFS('Climate Data'!$G$7:$G$366,'Climate Data'!$A$7:$A$366,'Estimator'!$B$4,'Climate Data'!$B$7:$B$366,C2710)</x:f>
        <x:v>0.41935483870967744</x:v>
      </x:c>
      <x:c r="I2710" s="382" t="n">
        <x:f>SUMIFS('Climate Data'!$H$7:$H$366,'Climate Data'!$A$7:$A$366,'Estimator'!$B$4,'Climate Data'!$B$7:$B$366,C2710)</x:f>
        <x:v>9.215384615384615</x:v>
      </x:c>
      <x:c r="J2710" s="381" t="n">
        <x:f>SUMIFS('Wind Proxy'!$H$8:$H$19,'Wind Proxy'!$A$8:$A$19,'Estimator'!$B$4,'Wind Proxy'!$B$8:$B$19,C2710)</x:f>
        <x:v>0.11350059737156513</x:v>
      </x:c>
    </x:row>
    <x:row r="2711">
      <x:c r="A2711" s="379" t="n">
        <x:v>48362</x:v>
      </x:c>
      <x:c r="B2711" s="380" t="n">
        <x:v>2032</x:v>
      </x:c>
      <x:c r="C2711" s="380" t="n">
        <x:v>5</x:v>
      </x:c>
      <x:c r="D2711" s="380" t="str">
        <x:v>May</x:v>
      </x:c>
      <x:c r="E2711" s="380" t="n">
        <x:v>28</x:v>
      </x:c>
      <x:c r="F2711" s="380" t="n">
        <x:v>5</x:v>
      </x:c>
      <x:c r="G2711" s="380" t="n">
        <x:f>--(F2711&lt;='Estimator'!$B$7)</x:f>
        <x:v>1</x:v>
      </x:c>
      <x:c r="H2711" s="381" t="n">
        <x:f>SUMIFS('Climate Data'!$G$7:$G$366,'Climate Data'!$A$7:$A$366,'Estimator'!$B$4,'Climate Data'!$B$7:$B$366,C2711)</x:f>
        <x:v>0.41935483870967744</x:v>
      </x:c>
      <x:c r="I2711" s="382" t="n">
        <x:f>SUMIFS('Climate Data'!$H$7:$H$366,'Climate Data'!$A$7:$A$366,'Estimator'!$B$4,'Climate Data'!$B$7:$B$366,C2711)</x:f>
        <x:v>9.215384615384615</x:v>
      </x:c>
      <x:c r="J2711" s="381" t="n">
        <x:f>SUMIFS('Wind Proxy'!$H$8:$H$19,'Wind Proxy'!$A$8:$A$19,'Estimator'!$B$4,'Wind Proxy'!$B$8:$B$19,C2711)</x:f>
        <x:v>0.11350059737156513</x:v>
      </x:c>
    </x:row>
    <x:row r="2712">
      <x:c r="A2712" s="379" t="n">
        <x:v>48363</x:v>
      </x:c>
      <x:c r="B2712" s="380" t="n">
        <x:v>2032</x:v>
      </x:c>
      <x:c r="C2712" s="380" t="n">
        <x:v>5</x:v>
      </x:c>
      <x:c r="D2712" s="380" t="str">
        <x:v>May</x:v>
      </x:c>
      <x:c r="E2712" s="380" t="n">
        <x:v>29</x:v>
      </x:c>
      <x:c r="F2712" s="380" t="n">
        <x:v>6</x:v>
      </x:c>
      <x:c r="G2712" s="380" t="n">
        <x:f>--(F2712&lt;='Estimator'!$B$7)</x:f>
        <x:v>0</x:v>
      </x:c>
      <x:c r="H2712" s="381" t="n">
        <x:f>SUMIFS('Climate Data'!$G$7:$G$366,'Climate Data'!$A$7:$A$366,'Estimator'!$B$4,'Climate Data'!$B$7:$B$366,C2712)</x:f>
        <x:v>0.41935483870967744</x:v>
      </x:c>
      <x:c r="I2712" s="382" t="n">
        <x:f>SUMIFS('Climate Data'!$H$7:$H$366,'Climate Data'!$A$7:$A$366,'Estimator'!$B$4,'Climate Data'!$B$7:$B$366,C2712)</x:f>
        <x:v>9.215384615384615</x:v>
      </x:c>
      <x:c r="J2712" s="381" t="n">
        <x:f>SUMIFS('Wind Proxy'!$H$8:$H$19,'Wind Proxy'!$A$8:$A$19,'Estimator'!$B$4,'Wind Proxy'!$B$8:$B$19,C2712)</x:f>
        <x:v>0.11350059737156513</x:v>
      </x:c>
    </x:row>
    <x:row r="2713">
      <x:c r="A2713" s="379" t="n">
        <x:v>48364</x:v>
      </x:c>
      <x:c r="B2713" s="380" t="n">
        <x:v>2032</x:v>
      </x:c>
      <x:c r="C2713" s="380" t="n">
        <x:v>5</x:v>
      </x:c>
      <x:c r="D2713" s="380" t="str">
        <x:v>May</x:v>
      </x:c>
      <x:c r="E2713" s="380" t="n">
        <x:v>30</x:v>
      </x:c>
      <x:c r="F2713" s="380" t="n">
        <x:v>7</x:v>
      </x:c>
      <x:c r="G2713" s="380" t="n">
        <x:f>--(F2713&lt;='Estimator'!$B$7)</x:f>
        <x:v>0</x:v>
      </x:c>
      <x:c r="H2713" s="381" t="n">
        <x:f>SUMIFS('Climate Data'!$G$7:$G$366,'Climate Data'!$A$7:$A$366,'Estimator'!$B$4,'Climate Data'!$B$7:$B$366,C2713)</x:f>
        <x:v>0.41935483870967744</x:v>
      </x:c>
      <x:c r="I2713" s="382" t="n">
        <x:f>SUMIFS('Climate Data'!$H$7:$H$366,'Climate Data'!$A$7:$A$366,'Estimator'!$B$4,'Climate Data'!$B$7:$B$366,C2713)</x:f>
        <x:v>9.215384615384615</x:v>
      </x:c>
      <x:c r="J2713" s="381" t="n">
        <x:f>SUMIFS('Wind Proxy'!$H$8:$H$19,'Wind Proxy'!$A$8:$A$19,'Estimator'!$B$4,'Wind Proxy'!$B$8:$B$19,C2713)</x:f>
        <x:v>0.11350059737156513</x:v>
      </x:c>
    </x:row>
    <x:row r="2714">
      <x:c r="A2714" s="379" t="n">
        <x:v>48365</x:v>
      </x:c>
      <x:c r="B2714" s="380" t="n">
        <x:v>2032</x:v>
      </x:c>
      <x:c r="C2714" s="380" t="n">
        <x:v>5</x:v>
      </x:c>
      <x:c r="D2714" s="380" t="str">
        <x:v>May</x:v>
      </x:c>
      <x:c r="E2714" s="380" t="n">
        <x:v>31</x:v>
      </x:c>
      <x:c r="F2714" s="380" t="n">
        <x:v>1</x:v>
      </x:c>
      <x:c r="G2714" s="380" t="n">
        <x:f>--(F2714&lt;='Estimator'!$B$7)</x:f>
        <x:v>1</x:v>
      </x:c>
      <x:c r="H2714" s="381" t="n">
        <x:f>SUMIFS('Climate Data'!$G$7:$G$366,'Climate Data'!$A$7:$A$366,'Estimator'!$B$4,'Climate Data'!$B$7:$B$366,C2714)</x:f>
        <x:v>0.41935483870967744</x:v>
      </x:c>
      <x:c r="I2714" s="382" t="n">
        <x:f>SUMIFS('Climate Data'!$H$7:$H$366,'Climate Data'!$A$7:$A$366,'Estimator'!$B$4,'Climate Data'!$B$7:$B$366,C2714)</x:f>
        <x:v>9.215384615384615</x:v>
      </x:c>
      <x:c r="J2714" s="381" t="n">
        <x:f>SUMIFS('Wind Proxy'!$H$8:$H$19,'Wind Proxy'!$A$8:$A$19,'Estimator'!$B$4,'Wind Proxy'!$B$8:$B$19,C2714)</x:f>
        <x:v>0.11350059737156513</x:v>
      </x:c>
    </x:row>
    <x:row r="2715">
      <x:c r="A2715" s="379" t="n">
        <x:v>48366</x:v>
      </x:c>
      <x:c r="B2715" s="380" t="n">
        <x:v>2032</x:v>
      </x:c>
      <x:c r="C2715" s="380" t="n">
        <x:v>6</x:v>
      </x:c>
      <x:c r="D2715" s="380" t="str">
        <x:v>Jun</x:v>
      </x:c>
      <x:c r="E2715" s="380" t="n">
        <x:v>1</x:v>
      </x:c>
      <x:c r="F2715" s="380" t="n">
        <x:v>2</x:v>
      </x:c>
      <x:c r="G2715" s="380" t="n">
        <x:f>--(F2715&lt;='Estimator'!$B$7)</x:f>
        <x:v>1</x:v>
      </x:c>
      <x:c r="H2715" s="381" t="n">
        <x:f>SUMIFS('Climate Data'!$G$7:$G$366,'Climate Data'!$A$7:$A$366,'Estimator'!$B$4,'Climate Data'!$B$7:$B$366,C2715)</x:f>
        <x:v>0.475</x:v>
      </x:c>
      <x:c r="I2715" s="382" t="n">
        <x:f>SUMIFS('Climate Data'!$H$7:$H$366,'Climate Data'!$A$7:$A$366,'Estimator'!$B$4,'Climate Data'!$B$7:$B$366,C2715)</x:f>
        <x:v>8.378947368421054</x:v>
      </x:c>
      <x:c r="J2715" s="381" t="n">
        <x:f>SUMIFS('Wind Proxy'!$H$8:$H$19,'Wind Proxy'!$A$8:$A$19,'Estimator'!$B$4,'Wind Proxy'!$B$8:$B$19,C2715)</x:f>
        <x:v>0.14197530864197533</x:v>
      </x:c>
    </x:row>
    <x:row r="2716">
      <x:c r="A2716" s="379" t="n">
        <x:v>48367</x:v>
      </x:c>
      <x:c r="B2716" s="380" t="n">
        <x:v>2032</x:v>
      </x:c>
      <x:c r="C2716" s="380" t="n">
        <x:v>6</x:v>
      </x:c>
      <x:c r="D2716" s="380" t="str">
        <x:v>Jun</x:v>
      </x:c>
      <x:c r="E2716" s="380" t="n">
        <x:v>2</x:v>
      </x:c>
      <x:c r="F2716" s="380" t="n">
        <x:v>3</x:v>
      </x:c>
      <x:c r="G2716" s="380" t="n">
        <x:f>--(F2716&lt;='Estimator'!$B$7)</x:f>
        <x:v>1</x:v>
      </x:c>
      <x:c r="H2716" s="381" t="n">
        <x:f>SUMIFS('Climate Data'!$G$7:$G$366,'Climate Data'!$A$7:$A$366,'Estimator'!$B$4,'Climate Data'!$B$7:$B$366,C2716)</x:f>
        <x:v>0.475</x:v>
      </x:c>
      <x:c r="I2716" s="382" t="n">
        <x:f>SUMIFS('Climate Data'!$H$7:$H$366,'Climate Data'!$A$7:$A$366,'Estimator'!$B$4,'Climate Data'!$B$7:$B$366,C2716)</x:f>
        <x:v>8.378947368421054</x:v>
      </x:c>
      <x:c r="J2716" s="381" t="n">
        <x:f>SUMIFS('Wind Proxy'!$H$8:$H$19,'Wind Proxy'!$A$8:$A$19,'Estimator'!$B$4,'Wind Proxy'!$B$8:$B$19,C2716)</x:f>
        <x:v>0.14197530864197533</x:v>
      </x:c>
    </x:row>
    <x:row r="2717">
      <x:c r="A2717" s="379" t="n">
        <x:v>48368</x:v>
      </x:c>
      <x:c r="B2717" s="380" t="n">
        <x:v>2032</x:v>
      </x:c>
      <x:c r="C2717" s="380" t="n">
        <x:v>6</x:v>
      </x:c>
      <x:c r="D2717" s="380" t="str">
        <x:v>Jun</x:v>
      </x:c>
      <x:c r="E2717" s="380" t="n">
        <x:v>3</x:v>
      </x:c>
      <x:c r="F2717" s="380" t="n">
        <x:v>4</x:v>
      </x:c>
      <x:c r="G2717" s="380" t="n">
        <x:f>--(F2717&lt;='Estimator'!$B$7)</x:f>
        <x:v>1</x:v>
      </x:c>
      <x:c r="H2717" s="381" t="n">
        <x:f>SUMIFS('Climate Data'!$G$7:$G$366,'Climate Data'!$A$7:$A$366,'Estimator'!$B$4,'Climate Data'!$B$7:$B$366,C2717)</x:f>
        <x:v>0.475</x:v>
      </x:c>
      <x:c r="I2717" s="382" t="n">
        <x:f>SUMIFS('Climate Data'!$H$7:$H$366,'Climate Data'!$A$7:$A$366,'Estimator'!$B$4,'Climate Data'!$B$7:$B$366,C2717)</x:f>
        <x:v>8.378947368421054</x:v>
      </x:c>
      <x:c r="J2717" s="381" t="n">
        <x:f>SUMIFS('Wind Proxy'!$H$8:$H$19,'Wind Proxy'!$A$8:$A$19,'Estimator'!$B$4,'Wind Proxy'!$B$8:$B$19,C2717)</x:f>
        <x:v>0.14197530864197533</x:v>
      </x:c>
    </x:row>
    <x:row r="2718">
      <x:c r="A2718" s="379" t="n">
        <x:v>48369</x:v>
      </x:c>
      <x:c r="B2718" s="380" t="n">
        <x:v>2032</x:v>
      </x:c>
      <x:c r="C2718" s="380" t="n">
        <x:v>6</x:v>
      </x:c>
      <x:c r="D2718" s="380" t="str">
        <x:v>Jun</x:v>
      </x:c>
      <x:c r="E2718" s="380" t="n">
        <x:v>4</x:v>
      </x:c>
      <x:c r="F2718" s="380" t="n">
        <x:v>5</x:v>
      </x:c>
      <x:c r="G2718" s="380" t="n">
        <x:f>--(F2718&lt;='Estimator'!$B$7)</x:f>
        <x:v>1</x:v>
      </x:c>
      <x:c r="H2718" s="381" t="n">
        <x:f>SUMIFS('Climate Data'!$G$7:$G$366,'Climate Data'!$A$7:$A$366,'Estimator'!$B$4,'Climate Data'!$B$7:$B$366,C2718)</x:f>
        <x:v>0.475</x:v>
      </x:c>
      <x:c r="I2718" s="382" t="n">
        <x:f>SUMIFS('Climate Data'!$H$7:$H$366,'Climate Data'!$A$7:$A$366,'Estimator'!$B$4,'Climate Data'!$B$7:$B$366,C2718)</x:f>
        <x:v>8.378947368421054</x:v>
      </x:c>
      <x:c r="J2718" s="381" t="n">
        <x:f>SUMIFS('Wind Proxy'!$H$8:$H$19,'Wind Proxy'!$A$8:$A$19,'Estimator'!$B$4,'Wind Proxy'!$B$8:$B$19,C2718)</x:f>
        <x:v>0.14197530864197533</x:v>
      </x:c>
    </x:row>
    <x:row r="2719">
      <x:c r="A2719" s="379" t="n">
        <x:v>48370</x:v>
      </x:c>
      <x:c r="B2719" s="380" t="n">
        <x:v>2032</x:v>
      </x:c>
      <x:c r="C2719" s="380" t="n">
        <x:v>6</x:v>
      </x:c>
      <x:c r="D2719" s="380" t="str">
        <x:v>Jun</x:v>
      </x:c>
      <x:c r="E2719" s="380" t="n">
        <x:v>5</x:v>
      </x:c>
      <x:c r="F2719" s="380" t="n">
        <x:v>6</x:v>
      </x:c>
      <x:c r="G2719" s="380" t="n">
        <x:f>--(F2719&lt;='Estimator'!$B$7)</x:f>
        <x:v>0</x:v>
      </x:c>
      <x:c r="H2719" s="381" t="n">
        <x:f>SUMIFS('Climate Data'!$G$7:$G$366,'Climate Data'!$A$7:$A$366,'Estimator'!$B$4,'Climate Data'!$B$7:$B$366,C2719)</x:f>
        <x:v>0.475</x:v>
      </x:c>
      <x:c r="I2719" s="382" t="n">
        <x:f>SUMIFS('Climate Data'!$H$7:$H$366,'Climate Data'!$A$7:$A$366,'Estimator'!$B$4,'Climate Data'!$B$7:$B$366,C2719)</x:f>
        <x:v>8.378947368421054</x:v>
      </x:c>
      <x:c r="J2719" s="381" t="n">
        <x:f>SUMIFS('Wind Proxy'!$H$8:$H$19,'Wind Proxy'!$A$8:$A$19,'Estimator'!$B$4,'Wind Proxy'!$B$8:$B$19,C2719)</x:f>
        <x:v>0.14197530864197533</x:v>
      </x:c>
    </x:row>
    <x:row r="2720">
      <x:c r="A2720" s="379" t="n">
        <x:v>48371</x:v>
      </x:c>
      <x:c r="B2720" s="380" t="n">
        <x:v>2032</x:v>
      </x:c>
      <x:c r="C2720" s="380" t="n">
        <x:v>6</x:v>
      </x:c>
      <x:c r="D2720" s="380" t="str">
        <x:v>Jun</x:v>
      </x:c>
      <x:c r="E2720" s="380" t="n">
        <x:v>6</x:v>
      </x:c>
      <x:c r="F2720" s="380" t="n">
        <x:v>7</x:v>
      </x:c>
      <x:c r="G2720" s="380" t="n">
        <x:f>--(F2720&lt;='Estimator'!$B$7)</x:f>
        <x:v>0</x:v>
      </x:c>
      <x:c r="H2720" s="381" t="n">
        <x:f>SUMIFS('Climate Data'!$G$7:$G$366,'Climate Data'!$A$7:$A$366,'Estimator'!$B$4,'Climate Data'!$B$7:$B$366,C2720)</x:f>
        <x:v>0.475</x:v>
      </x:c>
      <x:c r="I2720" s="382" t="n">
        <x:f>SUMIFS('Climate Data'!$H$7:$H$366,'Climate Data'!$A$7:$A$366,'Estimator'!$B$4,'Climate Data'!$B$7:$B$366,C2720)</x:f>
        <x:v>8.378947368421054</x:v>
      </x:c>
      <x:c r="J2720" s="381" t="n">
        <x:f>SUMIFS('Wind Proxy'!$H$8:$H$19,'Wind Proxy'!$A$8:$A$19,'Estimator'!$B$4,'Wind Proxy'!$B$8:$B$19,C2720)</x:f>
        <x:v>0.14197530864197533</x:v>
      </x:c>
    </x:row>
    <x:row r="2721">
      <x:c r="A2721" s="379" t="n">
        <x:v>48372</x:v>
      </x:c>
      <x:c r="B2721" s="380" t="n">
        <x:v>2032</x:v>
      </x:c>
      <x:c r="C2721" s="380" t="n">
        <x:v>6</x:v>
      </x:c>
      <x:c r="D2721" s="380" t="str">
        <x:v>Jun</x:v>
      </x:c>
      <x:c r="E2721" s="380" t="n">
        <x:v>7</x:v>
      </x:c>
      <x:c r="F2721" s="380" t="n">
        <x:v>1</x:v>
      </x:c>
      <x:c r="G2721" s="380" t="n">
        <x:f>--(F2721&lt;='Estimator'!$B$7)</x:f>
        <x:v>1</x:v>
      </x:c>
      <x:c r="H2721" s="381" t="n">
        <x:f>SUMIFS('Climate Data'!$G$7:$G$366,'Climate Data'!$A$7:$A$366,'Estimator'!$B$4,'Climate Data'!$B$7:$B$366,C2721)</x:f>
        <x:v>0.475</x:v>
      </x:c>
      <x:c r="I2721" s="382" t="n">
        <x:f>SUMIFS('Climate Data'!$H$7:$H$366,'Climate Data'!$A$7:$A$366,'Estimator'!$B$4,'Climate Data'!$B$7:$B$366,C2721)</x:f>
        <x:v>8.378947368421054</x:v>
      </x:c>
      <x:c r="J2721" s="381" t="n">
        <x:f>SUMIFS('Wind Proxy'!$H$8:$H$19,'Wind Proxy'!$A$8:$A$19,'Estimator'!$B$4,'Wind Proxy'!$B$8:$B$19,C2721)</x:f>
        <x:v>0.14197530864197533</x:v>
      </x:c>
    </x:row>
    <x:row r="2722">
      <x:c r="A2722" s="379" t="n">
        <x:v>48373</x:v>
      </x:c>
      <x:c r="B2722" s="380" t="n">
        <x:v>2032</x:v>
      </x:c>
      <x:c r="C2722" s="380" t="n">
        <x:v>6</x:v>
      </x:c>
      <x:c r="D2722" s="380" t="str">
        <x:v>Jun</x:v>
      </x:c>
      <x:c r="E2722" s="380" t="n">
        <x:v>8</x:v>
      </x:c>
      <x:c r="F2722" s="380" t="n">
        <x:v>2</x:v>
      </x:c>
      <x:c r="G2722" s="380" t="n">
        <x:f>--(F2722&lt;='Estimator'!$B$7)</x:f>
        <x:v>1</x:v>
      </x:c>
      <x:c r="H2722" s="381" t="n">
        <x:f>SUMIFS('Climate Data'!$G$7:$G$366,'Climate Data'!$A$7:$A$366,'Estimator'!$B$4,'Climate Data'!$B$7:$B$366,C2722)</x:f>
        <x:v>0.475</x:v>
      </x:c>
      <x:c r="I2722" s="382" t="n">
        <x:f>SUMIFS('Climate Data'!$H$7:$H$366,'Climate Data'!$A$7:$A$366,'Estimator'!$B$4,'Climate Data'!$B$7:$B$366,C2722)</x:f>
        <x:v>8.378947368421054</x:v>
      </x:c>
      <x:c r="J2722" s="381" t="n">
        <x:f>SUMIFS('Wind Proxy'!$H$8:$H$19,'Wind Proxy'!$A$8:$A$19,'Estimator'!$B$4,'Wind Proxy'!$B$8:$B$19,C2722)</x:f>
        <x:v>0.14197530864197533</x:v>
      </x:c>
    </x:row>
    <x:row r="2723">
      <x:c r="A2723" s="379" t="n">
        <x:v>48374</x:v>
      </x:c>
      <x:c r="B2723" s="380" t="n">
        <x:v>2032</x:v>
      </x:c>
      <x:c r="C2723" s="380" t="n">
        <x:v>6</x:v>
      </x:c>
      <x:c r="D2723" s="380" t="str">
        <x:v>Jun</x:v>
      </x:c>
      <x:c r="E2723" s="380" t="n">
        <x:v>9</x:v>
      </x:c>
      <x:c r="F2723" s="380" t="n">
        <x:v>3</x:v>
      </x:c>
      <x:c r="G2723" s="380" t="n">
        <x:f>--(F2723&lt;='Estimator'!$B$7)</x:f>
        <x:v>1</x:v>
      </x:c>
      <x:c r="H2723" s="381" t="n">
        <x:f>SUMIFS('Climate Data'!$G$7:$G$366,'Climate Data'!$A$7:$A$366,'Estimator'!$B$4,'Climate Data'!$B$7:$B$366,C2723)</x:f>
        <x:v>0.475</x:v>
      </x:c>
      <x:c r="I2723" s="382" t="n">
        <x:f>SUMIFS('Climate Data'!$H$7:$H$366,'Climate Data'!$A$7:$A$366,'Estimator'!$B$4,'Climate Data'!$B$7:$B$366,C2723)</x:f>
        <x:v>8.378947368421054</x:v>
      </x:c>
      <x:c r="J2723" s="381" t="n">
        <x:f>SUMIFS('Wind Proxy'!$H$8:$H$19,'Wind Proxy'!$A$8:$A$19,'Estimator'!$B$4,'Wind Proxy'!$B$8:$B$19,C2723)</x:f>
        <x:v>0.14197530864197533</x:v>
      </x:c>
    </x:row>
    <x:row r="2724">
      <x:c r="A2724" s="379" t="n">
        <x:v>48375</x:v>
      </x:c>
      <x:c r="B2724" s="380" t="n">
        <x:v>2032</x:v>
      </x:c>
      <x:c r="C2724" s="380" t="n">
        <x:v>6</x:v>
      </x:c>
      <x:c r="D2724" s="380" t="str">
        <x:v>Jun</x:v>
      </x:c>
      <x:c r="E2724" s="380" t="n">
        <x:v>10</x:v>
      </x:c>
      <x:c r="F2724" s="380" t="n">
        <x:v>4</x:v>
      </x:c>
      <x:c r="G2724" s="380" t="n">
        <x:f>--(F2724&lt;='Estimator'!$B$7)</x:f>
        <x:v>1</x:v>
      </x:c>
      <x:c r="H2724" s="381" t="n">
        <x:f>SUMIFS('Climate Data'!$G$7:$G$366,'Climate Data'!$A$7:$A$366,'Estimator'!$B$4,'Climate Data'!$B$7:$B$366,C2724)</x:f>
        <x:v>0.475</x:v>
      </x:c>
      <x:c r="I2724" s="382" t="n">
        <x:f>SUMIFS('Climate Data'!$H$7:$H$366,'Climate Data'!$A$7:$A$366,'Estimator'!$B$4,'Climate Data'!$B$7:$B$366,C2724)</x:f>
        <x:v>8.378947368421054</x:v>
      </x:c>
      <x:c r="J2724" s="381" t="n">
        <x:f>SUMIFS('Wind Proxy'!$H$8:$H$19,'Wind Proxy'!$A$8:$A$19,'Estimator'!$B$4,'Wind Proxy'!$B$8:$B$19,C2724)</x:f>
        <x:v>0.14197530864197533</x:v>
      </x:c>
    </x:row>
    <x:row r="2725">
      <x:c r="A2725" s="379" t="n">
        <x:v>48376</x:v>
      </x:c>
      <x:c r="B2725" s="380" t="n">
        <x:v>2032</x:v>
      </x:c>
      <x:c r="C2725" s="380" t="n">
        <x:v>6</x:v>
      </x:c>
      <x:c r="D2725" s="380" t="str">
        <x:v>Jun</x:v>
      </x:c>
      <x:c r="E2725" s="380" t="n">
        <x:v>11</x:v>
      </x:c>
      <x:c r="F2725" s="380" t="n">
        <x:v>5</x:v>
      </x:c>
      <x:c r="G2725" s="380" t="n">
        <x:f>--(F2725&lt;='Estimator'!$B$7)</x:f>
        <x:v>1</x:v>
      </x:c>
      <x:c r="H2725" s="381" t="n">
        <x:f>SUMIFS('Climate Data'!$G$7:$G$366,'Climate Data'!$A$7:$A$366,'Estimator'!$B$4,'Climate Data'!$B$7:$B$366,C2725)</x:f>
        <x:v>0.475</x:v>
      </x:c>
      <x:c r="I2725" s="382" t="n">
        <x:f>SUMIFS('Climate Data'!$H$7:$H$366,'Climate Data'!$A$7:$A$366,'Estimator'!$B$4,'Climate Data'!$B$7:$B$366,C2725)</x:f>
        <x:v>8.378947368421054</x:v>
      </x:c>
      <x:c r="J2725" s="381" t="n">
        <x:f>SUMIFS('Wind Proxy'!$H$8:$H$19,'Wind Proxy'!$A$8:$A$19,'Estimator'!$B$4,'Wind Proxy'!$B$8:$B$19,C2725)</x:f>
        <x:v>0.14197530864197533</x:v>
      </x:c>
    </x:row>
    <x:row r="2726">
      <x:c r="A2726" s="379" t="n">
        <x:v>48377</x:v>
      </x:c>
      <x:c r="B2726" s="380" t="n">
        <x:v>2032</x:v>
      </x:c>
      <x:c r="C2726" s="380" t="n">
        <x:v>6</x:v>
      </x:c>
      <x:c r="D2726" s="380" t="str">
        <x:v>Jun</x:v>
      </x:c>
      <x:c r="E2726" s="380" t="n">
        <x:v>12</x:v>
      </x:c>
      <x:c r="F2726" s="380" t="n">
        <x:v>6</x:v>
      </x:c>
      <x:c r="G2726" s="380" t="n">
        <x:f>--(F2726&lt;='Estimator'!$B$7)</x:f>
        <x:v>0</x:v>
      </x:c>
      <x:c r="H2726" s="381" t="n">
        <x:f>SUMIFS('Climate Data'!$G$7:$G$366,'Climate Data'!$A$7:$A$366,'Estimator'!$B$4,'Climate Data'!$B$7:$B$366,C2726)</x:f>
        <x:v>0.475</x:v>
      </x:c>
      <x:c r="I2726" s="382" t="n">
        <x:f>SUMIFS('Climate Data'!$H$7:$H$366,'Climate Data'!$A$7:$A$366,'Estimator'!$B$4,'Climate Data'!$B$7:$B$366,C2726)</x:f>
        <x:v>8.378947368421054</x:v>
      </x:c>
      <x:c r="J2726" s="381" t="n">
        <x:f>SUMIFS('Wind Proxy'!$H$8:$H$19,'Wind Proxy'!$A$8:$A$19,'Estimator'!$B$4,'Wind Proxy'!$B$8:$B$19,C2726)</x:f>
        <x:v>0.14197530864197533</x:v>
      </x:c>
    </x:row>
    <x:row r="2727">
      <x:c r="A2727" s="379" t="n">
        <x:v>48378</x:v>
      </x:c>
      <x:c r="B2727" s="380" t="n">
        <x:v>2032</x:v>
      </x:c>
      <x:c r="C2727" s="380" t="n">
        <x:v>6</x:v>
      </x:c>
      <x:c r="D2727" s="380" t="str">
        <x:v>Jun</x:v>
      </x:c>
      <x:c r="E2727" s="380" t="n">
        <x:v>13</x:v>
      </x:c>
      <x:c r="F2727" s="380" t="n">
        <x:v>7</x:v>
      </x:c>
      <x:c r="G2727" s="380" t="n">
        <x:f>--(F2727&lt;='Estimator'!$B$7)</x:f>
        <x:v>0</x:v>
      </x:c>
      <x:c r="H2727" s="381" t="n">
        <x:f>SUMIFS('Climate Data'!$G$7:$G$366,'Climate Data'!$A$7:$A$366,'Estimator'!$B$4,'Climate Data'!$B$7:$B$366,C2727)</x:f>
        <x:v>0.475</x:v>
      </x:c>
      <x:c r="I2727" s="382" t="n">
        <x:f>SUMIFS('Climate Data'!$H$7:$H$366,'Climate Data'!$A$7:$A$366,'Estimator'!$B$4,'Climate Data'!$B$7:$B$366,C2727)</x:f>
        <x:v>8.378947368421054</x:v>
      </x:c>
      <x:c r="J2727" s="381" t="n">
        <x:f>SUMIFS('Wind Proxy'!$H$8:$H$19,'Wind Proxy'!$A$8:$A$19,'Estimator'!$B$4,'Wind Proxy'!$B$8:$B$19,C2727)</x:f>
        <x:v>0.14197530864197533</x:v>
      </x:c>
    </x:row>
    <x:row r="2728">
      <x:c r="A2728" s="379" t="n">
        <x:v>48379</x:v>
      </x:c>
      <x:c r="B2728" s="380" t="n">
        <x:v>2032</x:v>
      </x:c>
      <x:c r="C2728" s="380" t="n">
        <x:v>6</x:v>
      </x:c>
      <x:c r="D2728" s="380" t="str">
        <x:v>Jun</x:v>
      </x:c>
      <x:c r="E2728" s="380" t="n">
        <x:v>14</x:v>
      </x:c>
      <x:c r="F2728" s="380" t="n">
        <x:v>1</x:v>
      </x:c>
      <x:c r="G2728" s="380" t="n">
        <x:f>--(F2728&lt;='Estimator'!$B$7)</x:f>
        <x:v>1</x:v>
      </x:c>
      <x:c r="H2728" s="381" t="n">
        <x:f>SUMIFS('Climate Data'!$G$7:$G$366,'Climate Data'!$A$7:$A$366,'Estimator'!$B$4,'Climate Data'!$B$7:$B$366,C2728)</x:f>
        <x:v>0.475</x:v>
      </x:c>
      <x:c r="I2728" s="382" t="n">
        <x:f>SUMIFS('Climate Data'!$H$7:$H$366,'Climate Data'!$A$7:$A$366,'Estimator'!$B$4,'Climate Data'!$B$7:$B$366,C2728)</x:f>
        <x:v>8.378947368421054</x:v>
      </x:c>
      <x:c r="J2728" s="381" t="n">
        <x:f>SUMIFS('Wind Proxy'!$H$8:$H$19,'Wind Proxy'!$A$8:$A$19,'Estimator'!$B$4,'Wind Proxy'!$B$8:$B$19,C2728)</x:f>
        <x:v>0.14197530864197533</x:v>
      </x:c>
    </x:row>
    <x:row r="2729">
      <x:c r="A2729" s="379" t="n">
        <x:v>48380</x:v>
      </x:c>
      <x:c r="B2729" s="380" t="n">
        <x:v>2032</x:v>
      </x:c>
      <x:c r="C2729" s="380" t="n">
        <x:v>6</x:v>
      </x:c>
      <x:c r="D2729" s="380" t="str">
        <x:v>Jun</x:v>
      </x:c>
      <x:c r="E2729" s="380" t="n">
        <x:v>15</x:v>
      </x:c>
      <x:c r="F2729" s="380" t="n">
        <x:v>2</x:v>
      </x:c>
      <x:c r="G2729" s="380" t="n">
        <x:f>--(F2729&lt;='Estimator'!$B$7)</x:f>
        <x:v>1</x:v>
      </x:c>
      <x:c r="H2729" s="381" t="n">
        <x:f>SUMIFS('Climate Data'!$G$7:$G$366,'Climate Data'!$A$7:$A$366,'Estimator'!$B$4,'Climate Data'!$B$7:$B$366,C2729)</x:f>
        <x:v>0.475</x:v>
      </x:c>
      <x:c r="I2729" s="382" t="n">
        <x:f>SUMIFS('Climate Data'!$H$7:$H$366,'Climate Data'!$A$7:$A$366,'Estimator'!$B$4,'Climate Data'!$B$7:$B$366,C2729)</x:f>
        <x:v>8.378947368421054</x:v>
      </x:c>
      <x:c r="J2729" s="381" t="n">
        <x:f>SUMIFS('Wind Proxy'!$H$8:$H$19,'Wind Proxy'!$A$8:$A$19,'Estimator'!$B$4,'Wind Proxy'!$B$8:$B$19,C2729)</x:f>
        <x:v>0.14197530864197533</x:v>
      </x:c>
    </x:row>
    <x:row r="2730">
      <x:c r="A2730" s="379" t="n">
        <x:v>48381</x:v>
      </x:c>
      <x:c r="B2730" s="380" t="n">
        <x:v>2032</x:v>
      </x:c>
      <x:c r="C2730" s="380" t="n">
        <x:v>6</x:v>
      </x:c>
      <x:c r="D2730" s="380" t="str">
        <x:v>Jun</x:v>
      </x:c>
      <x:c r="E2730" s="380" t="n">
        <x:v>16</x:v>
      </x:c>
      <x:c r="F2730" s="380" t="n">
        <x:v>3</x:v>
      </x:c>
      <x:c r="G2730" s="380" t="n">
        <x:f>--(F2730&lt;='Estimator'!$B$7)</x:f>
        <x:v>1</x:v>
      </x:c>
      <x:c r="H2730" s="381" t="n">
        <x:f>SUMIFS('Climate Data'!$G$7:$G$366,'Climate Data'!$A$7:$A$366,'Estimator'!$B$4,'Climate Data'!$B$7:$B$366,C2730)</x:f>
        <x:v>0.475</x:v>
      </x:c>
      <x:c r="I2730" s="382" t="n">
        <x:f>SUMIFS('Climate Data'!$H$7:$H$366,'Climate Data'!$A$7:$A$366,'Estimator'!$B$4,'Climate Data'!$B$7:$B$366,C2730)</x:f>
        <x:v>8.378947368421054</x:v>
      </x:c>
      <x:c r="J2730" s="381" t="n">
        <x:f>SUMIFS('Wind Proxy'!$H$8:$H$19,'Wind Proxy'!$A$8:$A$19,'Estimator'!$B$4,'Wind Proxy'!$B$8:$B$19,C2730)</x:f>
        <x:v>0.14197530864197533</x:v>
      </x:c>
    </x:row>
    <x:row r="2731">
      <x:c r="A2731" s="379" t="n">
        <x:v>48382</x:v>
      </x:c>
      <x:c r="B2731" s="380" t="n">
        <x:v>2032</x:v>
      </x:c>
      <x:c r="C2731" s="380" t="n">
        <x:v>6</x:v>
      </x:c>
      <x:c r="D2731" s="380" t="str">
        <x:v>Jun</x:v>
      </x:c>
      <x:c r="E2731" s="380" t="n">
        <x:v>17</x:v>
      </x:c>
      <x:c r="F2731" s="380" t="n">
        <x:v>4</x:v>
      </x:c>
      <x:c r="G2731" s="380" t="n">
        <x:f>--(F2731&lt;='Estimator'!$B$7)</x:f>
        <x:v>1</x:v>
      </x:c>
      <x:c r="H2731" s="381" t="n">
        <x:f>SUMIFS('Climate Data'!$G$7:$G$366,'Climate Data'!$A$7:$A$366,'Estimator'!$B$4,'Climate Data'!$B$7:$B$366,C2731)</x:f>
        <x:v>0.475</x:v>
      </x:c>
      <x:c r="I2731" s="382" t="n">
        <x:f>SUMIFS('Climate Data'!$H$7:$H$366,'Climate Data'!$A$7:$A$366,'Estimator'!$B$4,'Climate Data'!$B$7:$B$366,C2731)</x:f>
        <x:v>8.378947368421054</x:v>
      </x:c>
      <x:c r="J2731" s="381" t="n">
        <x:f>SUMIFS('Wind Proxy'!$H$8:$H$19,'Wind Proxy'!$A$8:$A$19,'Estimator'!$B$4,'Wind Proxy'!$B$8:$B$19,C2731)</x:f>
        <x:v>0.14197530864197533</x:v>
      </x:c>
    </x:row>
    <x:row r="2732">
      <x:c r="A2732" s="379" t="n">
        <x:v>48383</x:v>
      </x:c>
      <x:c r="B2732" s="380" t="n">
        <x:v>2032</x:v>
      </x:c>
      <x:c r="C2732" s="380" t="n">
        <x:v>6</x:v>
      </x:c>
      <x:c r="D2732" s="380" t="str">
        <x:v>Jun</x:v>
      </x:c>
      <x:c r="E2732" s="380" t="n">
        <x:v>18</x:v>
      </x:c>
      <x:c r="F2732" s="380" t="n">
        <x:v>5</x:v>
      </x:c>
      <x:c r="G2732" s="380" t="n">
        <x:f>--(F2732&lt;='Estimator'!$B$7)</x:f>
        <x:v>1</x:v>
      </x:c>
      <x:c r="H2732" s="381" t="n">
        <x:f>SUMIFS('Climate Data'!$G$7:$G$366,'Climate Data'!$A$7:$A$366,'Estimator'!$B$4,'Climate Data'!$B$7:$B$366,C2732)</x:f>
        <x:v>0.475</x:v>
      </x:c>
      <x:c r="I2732" s="382" t="n">
        <x:f>SUMIFS('Climate Data'!$H$7:$H$366,'Climate Data'!$A$7:$A$366,'Estimator'!$B$4,'Climate Data'!$B$7:$B$366,C2732)</x:f>
        <x:v>8.378947368421054</x:v>
      </x:c>
      <x:c r="J2732" s="381" t="n">
        <x:f>SUMIFS('Wind Proxy'!$H$8:$H$19,'Wind Proxy'!$A$8:$A$19,'Estimator'!$B$4,'Wind Proxy'!$B$8:$B$19,C2732)</x:f>
        <x:v>0.14197530864197533</x:v>
      </x:c>
    </x:row>
    <x:row r="2733">
      <x:c r="A2733" s="379" t="n">
        <x:v>48384</x:v>
      </x:c>
      <x:c r="B2733" s="380" t="n">
        <x:v>2032</x:v>
      </x:c>
      <x:c r="C2733" s="380" t="n">
        <x:v>6</x:v>
      </x:c>
      <x:c r="D2733" s="380" t="str">
        <x:v>Jun</x:v>
      </x:c>
      <x:c r="E2733" s="380" t="n">
        <x:v>19</x:v>
      </x:c>
      <x:c r="F2733" s="380" t="n">
        <x:v>6</x:v>
      </x:c>
      <x:c r="G2733" s="380" t="n">
        <x:f>--(F2733&lt;='Estimator'!$B$7)</x:f>
        <x:v>0</x:v>
      </x:c>
      <x:c r="H2733" s="381" t="n">
        <x:f>SUMIFS('Climate Data'!$G$7:$G$366,'Climate Data'!$A$7:$A$366,'Estimator'!$B$4,'Climate Data'!$B$7:$B$366,C2733)</x:f>
        <x:v>0.475</x:v>
      </x:c>
      <x:c r="I2733" s="382" t="n">
        <x:f>SUMIFS('Climate Data'!$H$7:$H$366,'Climate Data'!$A$7:$A$366,'Estimator'!$B$4,'Climate Data'!$B$7:$B$366,C2733)</x:f>
        <x:v>8.378947368421054</x:v>
      </x:c>
      <x:c r="J2733" s="381" t="n">
        <x:f>SUMIFS('Wind Proxy'!$H$8:$H$19,'Wind Proxy'!$A$8:$A$19,'Estimator'!$B$4,'Wind Proxy'!$B$8:$B$19,C2733)</x:f>
        <x:v>0.14197530864197533</x:v>
      </x:c>
    </x:row>
    <x:row r="2734">
      <x:c r="A2734" s="379" t="n">
        <x:v>48385</x:v>
      </x:c>
      <x:c r="B2734" s="380" t="n">
        <x:v>2032</x:v>
      </x:c>
      <x:c r="C2734" s="380" t="n">
        <x:v>6</x:v>
      </x:c>
      <x:c r="D2734" s="380" t="str">
        <x:v>Jun</x:v>
      </x:c>
      <x:c r="E2734" s="380" t="n">
        <x:v>20</x:v>
      </x:c>
      <x:c r="F2734" s="380" t="n">
        <x:v>7</x:v>
      </x:c>
      <x:c r="G2734" s="380" t="n">
        <x:f>--(F2734&lt;='Estimator'!$B$7)</x:f>
        <x:v>0</x:v>
      </x:c>
      <x:c r="H2734" s="381" t="n">
        <x:f>SUMIFS('Climate Data'!$G$7:$G$366,'Climate Data'!$A$7:$A$366,'Estimator'!$B$4,'Climate Data'!$B$7:$B$366,C2734)</x:f>
        <x:v>0.475</x:v>
      </x:c>
      <x:c r="I2734" s="382" t="n">
        <x:f>SUMIFS('Climate Data'!$H$7:$H$366,'Climate Data'!$A$7:$A$366,'Estimator'!$B$4,'Climate Data'!$B$7:$B$366,C2734)</x:f>
        <x:v>8.378947368421054</x:v>
      </x:c>
      <x:c r="J2734" s="381" t="n">
        <x:f>SUMIFS('Wind Proxy'!$H$8:$H$19,'Wind Proxy'!$A$8:$A$19,'Estimator'!$B$4,'Wind Proxy'!$B$8:$B$19,C2734)</x:f>
        <x:v>0.14197530864197533</x:v>
      </x:c>
    </x:row>
    <x:row r="2735">
      <x:c r="A2735" s="379" t="n">
        <x:v>48386</x:v>
      </x:c>
      <x:c r="B2735" s="380" t="n">
        <x:v>2032</x:v>
      </x:c>
      <x:c r="C2735" s="380" t="n">
        <x:v>6</x:v>
      </x:c>
      <x:c r="D2735" s="380" t="str">
        <x:v>Jun</x:v>
      </x:c>
      <x:c r="E2735" s="380" t="n">
        <x:v>21</x:v>
      </x:c>
      <x:c r="F2735" s="380" t="n">
        <x:v>1</x:v>
      </x:c>
      <x:c r="G2735" s="380" t="n">
        <x:f>--(F2735&lt;='Estimator'!$B$7)</x:f>
        <x:v>1</x:v>
      </x:c>
      <x:c r="H2735" s="381" t="n">
        <x:f>SUMIFS('Climate Data'!$G$7:$G$366,'Climate Data'!$A$7:$A$366,'Estimator'!$B$4,'Climate Data'!$B$7:$B$366,C2735)</x:f>
        <x:v>0.475</x:v>
      </x:c>
      <x:c r="I2735" s="382" t="n">
        <x:f>SUMIFS('Climate Data'!$H$7:$H$366,'Climate Data'!$A$7:$A$366,'Estimator'!$B$4,'Climate Data'!$B$7:$B$366,C2735)</x:f>
        <x:v>8.378947368421054</x:v>
      </x:c>
      <x:c r="J2735" s="381" t="n">
        <x:f>SUMIFS('Wind Proxy'!$H$8:$H$19,'Wind Proxy'!$A$8:$A$19,'Estimator'!$B$4,'Wind Proxy'!$B$8:$B$19,C2735)</x:f>
        <x:v>0.14197530864197533</x:v>
      </x:c>
    </x:row>
    <x:row r="2736">
      <x:c r="A2736" s="379" t="n">
        <x:v>48387</x:v>
      </x:c>
      <x:c r="B2736" s="380" t="n">
        <x:v>2032</x:v>
      </x:c>
      <x:c r="C2736" s="380" t="n">
        <x:v>6</x:v>
      </x:c>
      <x:c r="D2736" s="380" t="str">
        <x:v>Jun</x:v>
      </x:c>
      <x:c r="E2736" s="380" t="n">
        <x:v>22</x:v>
      </x:c>
      <x:c r="F2736" s="380" t="n">
        <x:v>2</x:v>
      </x:c>
      <x:c r="G2736" s="380" t="n">
        <x:f>--(F2736&lt;='Estimator'!$B$7)</x:f>
        <x:v>1</x:v>
      </x:c>
      <x:c r="H2736" s="381" t="n">
        <x:f>SUMIFS('Climate Data'!$G$7:$G$366,'Climate Data'!$A$7:$A$366,'Estimator'!$B$4,'Climate Data'!$B$7:$B$366,C2736)</x:f>
        <x:v>0.475</x:v>
      </x:c>
      <x:c r="I2736" s="382" t="n">
        <x:f>SUMIFS('Climate Data'!$H$7:$H$366,'Climate Data'!$A$7:$A$366,'Estimator'!$B$4,'Climate Data'!$B$7:$B$366,C2736)</x:f>
        <x:v>8.378947368421054</x:v>
      </x:c>
      <x:c r="J2736" s="381" t="n">
        <x:f>SUMIFS('Wind Proxy'!$H$8:$H$19,'Wind Proxy'!$A$8:$A$19,'Estimator'!$B$4,'Wind Proxy'!$B$8:$B$19,C2736)</x:f>
        <x:v>0.14197530864197533</x:v>
      </x:c>
    </x:row>
    <x:row r="2737">
      <x:c r="A2737" s="379" t="n">
        <x:v>48388</x:v>
      </x:c>
      <x:c r="B2737" s="380" t="n">
        <x:v>2032</x:v>
      </x:c>
      <x:c r="C2737" s="380" t="n">
        <x:v>6</x:v>
      </x:c>
      <x:c r="D2737" s="380" t="str">
        <x:v>Jun</x:v>
      </x:c>
      <x:c r="E2737" s="380" t="n">
        <x:v>23</x:v>
      </x:c>
      <x:c r="F2737" s="380" t="n">
        <x:v>3</x:v>
      </x:c>
      <x:c r="G2737" s="380" t="n">
        <x:f>--(F2737&lt;='Estimator'!$B$7)</x:f>
        <x:v>1</x:v>
      </x:c>
      <x:c r="H2737" s="381" t="n">
        <x:f>SUMIFS('Climate Data'!$G$7:$G$366,'Climate Data'!$A$7:$A$366,'Estimator'!$B$4,'Climate Data'!$B$7:$B$366,C2737)</x:f>
        <x:v>0.475</x:v>
      </x:c>
      <x:c r="I2737" s="382" t="n">
        <x:f>SUMIFS('Climate Data'!$H$7:$H$366,'Climate Data'!$A$7:$A$366,'Estimator'!$B$4,'Climate Data'!$B$7:$B$366,C2737)</x:f>
        <x:v>8.378947368421054</x:v>
      </x:c>
      <x:c r="J2737" s="381" t="n">
        <x:f>SUMIFS('Wind Proxy'!$H$8:$H$19,'Wind Proxy'!$A$8:$A$19,'Estimator'!$B$4,'Wind Proxy'!$B$8:$B$19,C2737)</x:f>
        <x:v>0.14197530864197533</x:v>
      </x:c>
    </x:row>
    <x:row r="2738">
      <x:c r="A2738" s="379" t="n">
        <x:v>48389</x:v>
      </x:c>
      <x:c r="B2738" s="380" t="n">
        <x:v>2032</x:v>
      </x:c>
      <x:c r="C2738" s="380" t="n">
        <x:v>6</x:v>
      </x:c>
      <x:c r="D2738" s="380" t="str">
        <x:v>Jun</x:v>
      </x:c>
      <x:c r="E2738" s="380" t="n">
        <x:v>24</x:v>
      </x:c>
      <x:c r="F2738" s="380" t="n">
        <x:v>4</x:v>
      </x:c>
      <x:c r="G2738" s="380" t="n">
        <x:f>--(F2738&lt;='Estimator'!$B$7)</x:f>
        <x:v>1</x:v>
      </x:c>
      <x:c r="H2738" s="381" t="n">
        <x:f>SUMIFS('Climate Data'!$G$7:$G$366,'Climate Data'!$A$7:$A$366,'Estimator'!$B$4,'Climate Data'!$B$7:$B$366,C2738)</x:f>
        <x:v>0.475</x:v>
      </x:c>
      <x:c r="I2738" s="382" t="n">
        <x:f>SUMIFS('Climate Data'!$H$7:$H$366,'Climate Data'!$A$7:$A$366,'Estimator'!$B$4,'Climate Data'!$B$7:$B$366,C2738)</x:f>
        <x:v>8.378947368421054</x:v>
      </x:c>
      <x:c r="J2738" s="381" t="n">
        <x:f>SUMIFS('Wind Proxy'!$H$8:$H$19,'Wind Proxy'!$A$8:$A$19,'Estimator'!$B$4,'Wind Proxy'!$B$8:$B$19,C2738)</x:f>
        <x:v>0.14197530864197533</x:v>
      </x:c>
    </x:row>
    <x:row r="2739">
      <x:c r="A2739" s="379" t="n">
        <x:v>48390</x:v>
      </x:c>
      <x:c r="B2739" s="380" t="n">
        <x:v>2032</x:v>
      </x:c>
      <x:c r="C2739" s="380" t="n">
        <x:v>6</x:v>
      </x:c>
      <x:c r="D2739" s="380" t="str">
        <x:v>Jun</x:v>
      </x:c>
      <x:c r="E2739" s="380" t="n">
        <x:v>25</x:v>
      </x:c>
      <x:c r="F2739" s="380" t="n">
        <x:v>5</x:v>
      </x:c>
      <x:c r="G2739" s="380" t="n">
        <x:f>--(F2739&lt;='Estimator'!$B$7)</x:f>
        <x:v>1</x:v>
      </x:c>
      <x:c r="H2739" s="381" t="n">
        <x:f>SUMIFS('Climate Data'!$G$7:$G$366,'Climate Data'!$A$7:$A$366,'Estimator'!$B$4,'Climate Data'!$B$7:$B$366,C2739)</x:f>
        <x:v>0.475</x:v>
      </x:c>
      <x:c r="I2739" s="382" t="n">
        <x:f>SUMIFS('Climate Data'!$H$7:$H$366,'Climate Data'!$A$7:$A$366,'Estimator'!$B$4,'Climate Data'!$B$7:$B$366,C2739)</x:f>
        <x:v>8.378947368421054</x:v>
      </x:c>
      <x:c r="J2739" s="381" t="n">
        <x:f>SUMIFS('Wind Proxy'!$H$8:$H$19,'Wind Proxy'!$A$8:$A$19,'Estimator'!$B$4,'Wind Proxy'!$B$8:$B$19,C2739)</x:f>
        <x:v>0.14197530864197533</x:v>
      </x:c>
    </x:row>
    <x:row r="2740">
      <x:c r="A2740" s="379" t="n">
        <x:v>48391</x:v>
      </x:c>
      <x:c r="B2740" s="380" t="n">
        <x:v>2032</x:v>
      </x:c>
      <x:c r="C2740" s="380" t="n">
        <x:v>6</x:v>
      </x:c>
      <x:c r="D2740" s="380" t="str">
        <x:v>Jun</x:v>
      </x:c>
      <x:c r="E2740" s="380" t="n">
        <x:v>26</x:v>
      </x:c>
      <x:c r="F2740" s="380" t="n">
        <x:v>6</x:v>
      </x:c>
      <x:c r="G2740" s="380" t="n">
        <x:f>--(F2740&lt;='Estimator'!$B$7)</x:f>
        <x:v>0</x:v>
      </x:c>
      <x:c r="H2740" s="381" t="n">
        <x:f>SUMIFS('Climate Data'!$G$7:$G$366,'Climate Data'!$A$7:$A$366,'Estimator'!$B$4,'Climate Data'!$B$7:$B$366,C2740)</x:f>
        <x:v>0.475</x:v>
      </x:c>
      <x:c r="I2740" s="382" t="n">
        <x:f>SUMIFS('Climate Data'!$H$7:$H$366,'Climate Data'!$A$7:$A$366,'Estimator'!$B$4,'Climate Data'!$B$7:$B$366,C2740)</x:f>
        <x:v>8.378947368421054</x:v>
      </x:c>
      <x:c r="J2740" s="381" t="n">
        <x:f>SUMIFS('Wind Proxy'!$H$8:$H$19,'Wind Proxy'!$A$8:$A$19,'Estimator'!$B$4,'Wind Proxy'!$B$8:$B$19,C2740)</x:f>
        <x:v>0.14197530864197533</x:v>
      </x:c>
    </x:row>
    <x:row r="2741">
      <x:c r="A2741" s="379" t="n">
        <x:v>48392</x:v>
      </x:c>
      <x:c r="B2741" s="380" t="n">
        <x:v>2032</x:v>
      </x:c>
      <x:c r="C2741" s="380" t="n">
        <x:v>6</x:v>
      </x:c>
      <x:c r="D2741" s="380" t="str">
        <x:v>Jun</x:v>
      </x:c>
      <x:c r="E2741" s="380" t="n">
        <x:v>27</x:v>
      </x:c>
      <x:c r="F2741" s="380" t="n">
        <x:v>7</x:v>
      </x:c>
      <x:c r="G2741" s="380" t="n">
        <x:f>--(F2741&lt;='Estimator'!$B$7)</x:f>
        <x:v>0</x:v>
      </x:c>
      <x:c r="H2741" s="381" t="n">
        <x:f>SUMIFS('Climate Data'!$G$7:$G$366,'Climate Data'!$A$7:$A$366,'Estimator'!$B$4,'Climate Data'!$B$7:$B$366,C2741)</x:f>
        <x:v>0.475</x:v>
      </x:c>
      <x:c r="I2741" s="382" t="n">
        <x:f>SUMIFS('Climate Data'!$H$7:$H$366,'Climate Data'!$A$7:$A$366,'Estimator'!$B$4,'Climate Data'!$B$7:$B$366,C2741)</x:f>
        <x:v>8.378947368421054</x:v>
      </x:c>
      <x:c r="J2741" s="381" t="n">
        <x:f>SUMIFS('Wind Proxy'!$H$8:$H$19,'Wind Proxy'!$A$8:$A$19,'Estimator'!$B$4,'Wind Proxy'!$B$8:$B$19,C2741)</x:f>
        <x:v>0.14197530864197533</x:v>
      </x:c>
    </x:row>
    <x:row r="2742">
      <x:c r="A2742" s="379" t="n">
        <x:v>48393</x:v>
      </x:c>
      <x:c r="B2742" s="380" t="n">
        <x:v>2032</x:v>
      </x:c>
      <x:c r="C2742" s="380" t="n">
        <x:v>6</x:v>
      </x:c>
      <x:c r="D2742" s="380" t="str">
        <x:v>Jun</x:v>
      </x:c>
      <x:c r="E2742" s="380" t="n">
        <x:v>28</x:v>
      </x:c>
      <x:c r="F2742" s="380" t="n">
        <x:v>1</x:v>
      </x:c>
      <x:c r="G2742" s="380" t="n">
        <x:f>--(F2742&lt;='Estimator'!$B$7)</x:f>
        <x:v>1</x:v>
      </x:c>
      <x:c r="H2742" s="381" t="n">
        <x:f>SUMIFS('Climate Data'!$G$7:$G$366,'Climate Data'!$A$7:$A$366,'Estimator'!$B$4,'Climate Data'!$B$7:$B$366,C2742)</x:f>
        <x:v>0.475</x:v>
      </x:c>
      <x:c r="I2742" s="382" t="n">
        <x:f>SUMIFS('Climate Data'!$H$7:$H$366,'Climate Data'!$A$7:$A$366,'Estimator'!$B$4,'Climate Data'!$B$7:$B$366,C2742)</x:f>
        <x:v>8.378947368421054</x:v>
      </x:c>
      <x:c r="J2742" s="381" t="n">
        <x:f>SUMIFS('Wind Proxy'!$H$8:$H$19,'Wind Proxy'!$A$8:$A$19,'Estimator'!$B$4,'Wind Proxy'!$B$8:$B$19,C2742)</x:f>
        <x:v>0.14197530864197533</x:v>
      </x:c>
    </x:row>
    <x:row r="2743">
      <x:c r="A2743" s="379" t="n">
        <x:v>48394</x:v>
      </x:c>
      <x:c r="B2743" s="380" t="n">
        <x:v>2032</x:v>
      </x:c>
      <x:c r="C2743" s="380" t="n">
        <x:v>6</x:v>
      </x:c>
      <x:c r="D2743" s="380" t="str">
        <x:v>Jun</x:v>
      </x:c>
      <x:c r="E2743" s="380" t="n">
        <x:v>29</x:v>
      </x:c>
      <x:c r="F2743" s="380" t="n">
        <x:v>2</x:v>
      </x:c>
      <x:c r="G2743" s="380" t="n">
        <x:f>--(F2743&lt;='Estimator'!$B$7)</x:f>
        <x:v>1</x:v>
      </x:c>
      <x:c r="H2743" s="381" t="n">
        <x:f>SUMIFS('Climate Data'!$G$7:$G$366,'Climate Data'!$A$7:$A$366,'Estimator'!$B$4,'Climate Data'!$B$7:$B$366,C2743)</x:f>
        <x:v>0.475</x:v>
      </x:c>
      <x:c r="I2743" s="382" t="n">
        <x:f>SUMIFS('Climate Data'!$H$7:$H$366,'Climate Data'!$A$7:$A$366,'Estimator'!$B$4,'Climate Data'!$B$7:$B$366,C2743)</x:f>
        <x:v>8.378947368421054</x:v>
      </x:c>
      <x:c r="J2743" s="381" t="n">
        <x:f>SUMIFS('Wind Proxy'!$H$8:$H$19,'Wind Proxy'!$A$8:$A$19,'Estimator'!$B$4,'Wind Proxy'!$B$8:$B$19,C2743)</x:f>
        <x:v>0.14197530864197533</x:v>
      </x:c>
    </x:row>
    <x:row r="2744">
      <x:c r="A2744" s="379" t="n">
        <x:v>48395</x:v>
      </x:c>
      <x:c r="B2744" s="380" t="n">
        <x:v>2032</x:v>
      </x:c>
      <x:c r="C2744" s="380" t="n">
        <x:v>6</x:v>
      </x:c>
      <x:c r="D2744" s="380" t="str">
        <x:v>Jun</x:v>
      </x:c>
      <x:c r="E2744" s="380" t="n">
        <x:v>30</x:v>
      </x:c>
      <x:c r="F2744" s="380" t="n">
        <x:v>3</x:v>
      </x:c>
      <x:c r="G2744" s="380" t="n">
        <x:f>--(F2744&lt;='Estimator'!$B$7)</x:f>
        <x:v>1</x:v>
      </x:c>
      <x:c r="H2744" s="381" t="n">
        <x:f>SUMIFS('Climate Data'!$G$7:$G$366,'Climate Data'!$A$7:$A$366,'Estimator'!$B$4,'Climate Data'!$B$7:$B$366,C2744)</x:f>
        <x:v>0.475</x:v>
      </x:c>
      <x:c r="I2744" s="382" t="n">
        <x:f>SUMIFS('Climate Data'!$H$7:$H$366,'Climate Data'!$A$7:$A$366,'Estimator'!$B$4,'Climate Data'!$B$7:$B$366,C2744)</x:f>
        <x:v>8.378947368421054</x:v>
      </x:c>
      <x:c r="J2744" s="381" t="n">
        <x:f>SUMIFS('Wind Proxy'!$H$8:$H$19,'Wind Proxy'!$A$8:$A$19,'Estimator'!$B$4,'Wind Proxy'!$B$8:$B$19,C2744)</x:f>
        <x:v>0.14197530864197533</x:v>
      </x:c>
    </x:row>
    <x:row r="2745">
      <x:c r="A2745" s="379" t="n">
        <x:v>48396</x:v>
      </x:c>
      <x:c r="B2745" s="380" t="n">
        <x:v>2032</x:v>
      </x:c>
      <x:c r="C2745" s="380" t="n">
        <x:v>7</x:v>
      </x:c>
      <x:c r="D2745" s="380" t="str">
        <x:v>Jul</x:v>
      </x:c>
      <x:c r="E2745" s="380" t="n">
        <x:v>1</x:v>
      </x:c>
      <x:c r="F2745" s="380" t="n">
        <x:v>4</x:v>
      </x:c>
      <x:c r="G2745" s="380" t="n">
        <x:f>--(F2745&lt;='Estimator'!$B$7)</x:f>
        <x:v>1</x:v>
      </x:c>
      <x:c r="H2745" s="381" t="n">
        <x:f>SUMIFS('Climate Data'!$G$7:$G$366,'Climate Data'!$A$7:$A$366,'Estimator'!$B$4,'Climate Data'!$B$7:$B$366,C2745)</x:f>
        <x:v>0.49078341013824883</x:v>
      </x:c>
      <x:c r="I2745" s="382" t="n">
        <x:f>SUMIFS('Climate Data'!$H$7:$H$366,'Climate Data'!$A$7:$A$366,'Estimator'!$B$4,'Climate Data'!$B$7:$B$366,C2745)</x:f>
        <x:v>8.998122065727701</x:v>
      </x:c>
      <x:c r="J2745" s="381" t="n">
        <x:f>SUMIFS('Wind Proxy'!$H$8:$H$19,'Wind Proxy'!$A$8:$A$19,'Estimator'!$B$4,'Wind Proxy'!$B$8:$B$19,C2745)</x:f>
        <x:v>0.13739545997610514</x:v>
      </x:c>
    </x:row>
    <x:row r="2746">
      <x:c r="A2746" s="379" t="n">
        <x:v>48397</x:v>
      </x:c>
      <x:c r="B2746" s="380" t="n">
        <x:v>2032</x:v>
      </x:c>
      <x:c r="C2746" s="380" t="n">
        <x:v>7</x:v>
      </x:c>
      <x:c r="D2746" s="380" t="str">
        <x:v>Jul</x:v>
      </x:c>
      <x:c r="E2746" s="380" t="n">
        <x:v>2</x:v>
      </x:c>
      <x:c r="F2746" s="380" t="n">
        <x:v>5</x:v>
      </x:c>
      <x:c r="G2746" s="380" t="n">
        <x:f>--(F2746&lt;='Estimator'!$B$7)</x:f>
        <x:v>1</x:v>
      </x:c>
      <x:c r="H2746" s="381" t="n">
        <x:f>SUMIFS('Climate Data'!$G$7:$G$366,'Climate Data'!$A$7:$A$366,'Estimator'!$B$4,'Climate Data'!$B$7:$B$366,C2746)</x:f>
        <x:v>0.49078341013824883</x:v>
      </x:c>
      <x:c r="I2746" s="382" t="n">
        <x:f>SUMIFS('Climate Data'!$H$7:$H$366,'Climate Data'!$A$7:$A$366,'Estimator'!$B$4,'Climate Data'!$B$7:$B$366,C2746)</x:f>
        <x:v>8.998122065727701</x:v>
      </x:c>
      <x:c r="J2746" s="381" t="n">
        <x:f>SUMIFS('Wind Proxy'!$H$8:$H$19,'Wind Proxy'!$A$8:$A$19,'Estimator'!$B$4,'Wind Proxy'!$B$8:$B$19,C2746)</x:f>
        <x:v>0.13739545997610514</x:v>
      </x:c>
    </x:row>
    <x:row r="2747">
      <x:c r="A2747" s="379" t="n">
        <x:v>48398</x:v>
      </x:c>
      <x:c r="B2747" s="380" t="n">
        <x:v>2032</x:v>
      </x:c>
      <x:c r="C2747" s="380" t="n">
        <x:v>7</x:v>
      </x:c>
      <x:c r="D2747" s="380" t="str">
        <x:v>Jul</x:v>
      </x:c>
      <x:c r="E2747" s="380" t="n">
        <x:v>3</x:v>
      </x:c>
      <x:c r="F2747" s="380" t="n">
        <x:v>6</x:v>
      </x:c>
      <x:c r="G2747" s="380" t="n">
        <x:f>--(F2747&lt;='Estimator'!$B$7)</x:f>
        <x:v>0</x:v>
      </x:c>
      <x:c r="H2747" s="381" t="n">
        <x:f>SUMIFS('Climate Data'!$G$7:$G$366,'Climate Data'!$A$7:$A$366,'Estimator'!$B$4,'Climate Data'!$B$7:$B$366,C2747)</x:f>
        <x:v>0.49078341013824883</x:v>
      </x:c>
      <x:c r="I2747" s="382" t="n">
        <x:f>SUMIFS('Climate Data'!$H$7:$H$366,'Climate Data'!$A$7:$A$366,'Estimator'!$B$4,'Climate Data'!$B$7:$B$366,C2747)</x:f>
        <x:v>8.998122065727701</x:v>
      </x:c>
      <x:c r="J2747" s="381" t="n">
        <x:f>SUMIFS('Wind Proxy'!$H$8:$H$19,'Wind Proxy'!$A$8:$A$19,'Estimator'!$B$4,'Wind Proxy'!$B$8:$B$19,C2747)</x:f>
        <x:v>0.13739545997610514</x:v>
      </x:c>
    </x:row>
    <x:row r="2748">
      <x:c r="A2748" s="379" t="n">
        <x:v>48399</x:v>
      </x:c>
      <x:c r="B2748" s="380" t="n">
        <x:v>2032</x:v>
      </x:c>
      <x:c r="C2748" s="380" t="n">
        <x:v>7</x:v>
      </x:c>
      <x:c r="D2748" s="380" t="str">
        <x:v>Jul</x:v>
      </x:c>
      <x:c r="E2748" s="380" t="n">
        <x:v>4</x:v>
      </x:c>
      <x:c r="F2748" s="380" t="n">
        <x:v>7</x:v>
      </x:c>
      <x:c r="G2748" s="380" t="n">
        <x:f>--(F2748&lt;='Estimator'!$B$7)</x:f>
        <x:v>0</x:v>
      </x:c>
      <x:c r="H2748" s="381" t="n">
        <x:f>SUMIFS('Climate Data'!$G$7:$G$366,'Climate Data'!$A$7:$A$366,'Estimator'!$B$4,'Climate Data'!$B$7:$B$366,C2748)</x:f>
        <x:v>0.49078341013824883</x:v>
      </x:c>
      <x:c r="I2748" s="382" t="n">
        <x:f>SUMIFS('Climate Data'!$H$7:$H$366,'Climate Data'!$A$7:$A$366,'Estimator'!$B$4,'Climate Data'!$B$7:$B$366,C2748)</x:f>
        <x:v>8.998122065727701</x:v>
      </x:c>
      <x:c r="J2748" s="381" t="n">
        <x:f>SUMIFS('Wind Proxy'!$H$8:$H$19,'Wind Proxy'!$A$8:$A$19,'Estimator'!$B$4,'Wind Proxy'!$B$8:$B$19,C2748)</x:f>
        <x:v>0.13739545997610514</x:v>
      </x:c>
    </x:row>
    <x:row r="2749">
      <x:c r="A2749" s="379" t="n">
        <x:v>48400</x:v>
      </x:c>
      <x:c r="B2749" s="380" t="n">
        <x:v>2032</x:v>
      </x:c>
      <x:c r="C2749" s="380" t="n">
        <x:v>7</x:v>
      </x:c>
      <x:c r="D2749" s="380" t="str">
        <x:v>Jul</x:v>
      </x:c>
      <x:c r="E2749" s="380" t="n">
        <x:v>5</x:v>
      </x:c>
      <x:c r="F2749" s="380" t="n">
        <x:v>1</x:v>
      </x:c>
      <x:c r="G2749" s="380" t="n">
        <x:f>--(F2749&lt;='Estimator'!$B$7)</x:f>
        <x:v>1</x:v>
      </x:c>
      <x:c r="H2749" s="381" t="n">
        <x:f>SUMIFS('Climate Data'!$G$7:$G$366,'Climate Data'!$A$7:$A$366,'Estimator'!$B$4,'Climate Data'!$B$7:$B$366,C2749)</x:f>
        <x:v>0.49078341013824883</x:v>
      </x:c>
      <x:c r="I2749" s="382" t="n">
        <x:f>SUMIFS('Climate Data'!$H$7:$H$366,'Climate Data'!$A$7:$A$366,'Estimator'!$B$4,'Climate Data'!$B$7:$B$366,C2749)</x:f>
        <x:v>8.998122065727701</x:v>
      </x:c>
      <x:c r="J2749" s="381" t="n">
        <x:f>SUMIFS('Wind Proxy'!$H$8:$H$19,'Wind Proxy'!$A$8:$A$19,'Estimator'!$B$4,'Wind Proxy'!$B$8:$B$19,C2749)</x:f>
        <x:v>0.13739545997610514</x:v>
      </x:c>
    </x:row>
    <x:row r="2750">
      <x:c r="A2750" s="379" t="n">
        <x:v>48401</x:v>
      </x:c>
      <x:c r="B2750" s="380" t="n">
        <x:v>2032</x:v>
      </x:c>
      <x:c r="C2750" s="380" t="n">
        <x:v>7</x:v>
      </x:c>
      <x:c r="D2750" s="380" t="str">
        <x:v>Jul</x:v>
      </x:c>
      <x:c r="E2750" s="380" t="n">
        <x:v>6</x:v>
      </x:c>
      <x:c r="F2750" s="380" t="n">
        <x:v>2</x:v>
      </x:c>
      <x:c r="G2750" s="380" t="n">
        <x:f>--(F2750&lt;='Estimator'!$B$7)</x:f>
        <x:v>1</x:v>
      </x:c>
      <x:c r="H2750" s="381" t="n">
        <x:f>SUMIFS('Climate Data'!$G$7:$G$366,'Climate Data'!$A$7:$A$366,'Estimator'!$B$4,'Climate Data'!$B$7:$B$366,C2750)</x:f>
        <x:v>0.49078341013824883</x:v>
      </x:c>
      <x:c r="I2750" s="382" t="n">
        <x:f>SUMIFS('Climate Data'!$H$7:$H$366,'Climate Data'!$A$7:$A$366,'Estimator'!$B$4,'Climate Data'!$B$7:$B$366,C2750)</x:f>
        <x:v>8.998122065727701</x:v>
      </x:c>
      <x:c r="J2750" s="381" t="n">
        <x:f>SUMIFS('Wind Proxy'!$H$8:$H$19,'Wind Proxy'!$A$8:$A$19,'Estimator'!$B$4,'Wind Proxy'!$B$8:$B$19,C2750)</x:f>
        <x:v>0.13739545997610514</x:v>
      </x:c>
    </x:row>
    <x:row r="2751">
      <x:c r="A2751" s="379" t="n">
        <x:v>48402</x:v>
      </x:c>
      <x:c r="B2751" s="380" t="n">
        <x:v>2032</x:v>
      </x:c>
      <x:c r="C2751" s="380" t="n">
        <x:v>7</x:v>
      </x:c>
      <x:c r="D2751" s="380" t="str">
        <x:v>Jul</x:v>
      </x:c>
      <x:c r="E2751" s="380" t="n">
        <x:v>7</x:v>
      </x:c>
      <x:c r="F2751" s="380" t="n">
        <x:v>3</x:v>
      </x:c>
      <x:c r="G2751" s="380" t="n">
        <x:f>--(F2751&lt;='Estimator'!$B$7)</x:f>
        <x:v>1</x:v>
      </x:c>
      <x:c r="H2751" s="381" t="n">
        <x:f>SUMIFS('Climate Data'!$G$7:$G$366,'Climate Data'!$A$7:$A$366,'Estimator'!$B$4,'Climate Data'!$B$7:$B$366,C2751)</x:f>
        <x:v>0.49078341013824883</x:v>
      </x:c>
      <x:c r="I2751" s="382" t="n">
        <x:f>SUMIFS('Climate Data'!$H$7:$H$366,'Climate Data'!$A$7:$A$366,'Estimator'!$B$4,'Climate Data'!$B$7:$B$366,C2751)</x:f>
        <x:v>8.998122065727701</x:v>
      </x:c>
      <x:c r="J2751" s="381" t="n">
        <x:f>SUMIFS('Wind Proxy'!$H$8:$H$19,'Wind Proxy'!$A$8:$A$19,'Estimator'!$B$4,'Wind Proxy'!$B$8:$B$19,C2751)</x:f>
        <x:v>0.13739545997610514</x:v>
      </x:c>
    </x:row>
    <x:row r="2752">
      <x:c r="A2752" s="379" t="n">
        <x:v>48403</x:v>
      </x:c>
      <x:c r="B2752" s="380" t="n">
        <x:v>2032</x:v>
      </x:c>
      <x:c r="C2752" s="380" t="n">
        <x:v>7</x:v>
      </x:c>
      <x:c r="D2752" s="380" t="str">
        <x:v>Jul</x:v>
      </x:c>
      <x:c r="E2752" s="380" t="n">
        <x:v>8</x:v>
      </x:c>
      <x:c r="F2752" s="380" t="n">
        <x:v>4</x:v>
      </x:c>
      <x:c r="G2752" s="380" t="n">
        <x:f>--(F2752&lt;='Estimator'!$B$7)</x:f>
        <x:v>1</x:v>
      </x:c>
      <x:c r="H2752" s="381" t="n">
        <x:f>SUMIFS('Climate Data'!$G$7:$G$366,'Climate Data'!$A$7:$A$366,'Estimator'!$B$4,'Climate Data'!$B$7:$B$366,C2752)</x:f>
        <x:v>0.49078341013824883</x:v>
      </x:c>
      <x:c r="I2752" s="382" t="n">
        <x:f>SUMIFS('Climate Data'!$H$7:$H$366,'Climate Data'!$A$7:$A$366,'Estimator'!$B$4,'Climate Data'!$B$7:$B$366,C2752)</x:f>
        <x:v>8.998122065727701</x:v>
      </x:c>
      <x:c r="J2752" s="381" t="n">
        <x:f>SUMIFS('Wind Proxy'!$H$8:$H$19,'Wind Proxy'!$A$8:$A$19,'Estimator'!$B$4,'Wind Proxy'!$B$8:$B$19,C2752)</x:f>
        <x:v>0.13739545997610514</x:v>
      </x:c>
    </x:row>
    <x:row r="2753">
      <x:c r="A2753" s="379" t="n">
        <x:v>48404</x:v>
      </x:c>
      <x:c r="B2753" s="380" t="n">
        <x:v>2032</x:v>
      </x:c>
      <x:c r="C2753" s="380" t="n">
        <x:v>7</x:v>
      </x:c>
      <x:c r="D2753" s="380" t="str">
        <x:v>Jul</x:v>
      </x:c>
      <x:c r="E2753" s="380" t="n">
        <x:v>9</x:v>
      </x:c>
      <x:c r="F2753" s="380" t="n">
        <x:v>5</x:v>
      </x:c>
      <x:c r="G2753" s="380" t="n">
        <x:f>--(F2753&lt;='Estimator'!$B$7)</x:f>
        <x:v>1</x:v>
      </x:c>
      <x:c r="H2753" s="381" t="n">
        <x:f>SUMIFS('Climate Data'!$G$7:$G$366,'Climate Data'!$A$7:$A$366,'Estimator'!$B$4,'Climate Data'!$B$7:$B$366,C2753)</x:f>
        <x:v>0.49078341013824883</x:v>
      </x:c>
      <x:c r="I2753" s="382" t="n">
        <x:f>SUMIFS('Climate Data'!$H$7:$H$366,'Climate Data'!$A$7:$A$366,'Estimator'!$B$4,'Climate Data'!$B$7:$B$366,C2753)</x:f>
        <x:v>8.998122065727701</x:v>
      </x:c>
      <x:c r="J2753" s="381" t="n">
        <x:f>SUMIFS('Wind Proxy'!$H$8:$H$19,'Wind Proxy'!$A$8:$A$19,'Estimator'!$B$4,'Wind Proxy'!$B$8:$B$19,C2753)</x:f>
        <x:v>0.13739545997610514</x:v>
      </x:c>
    </x:row>
    <x:row r="2754">
      <x:c r="A2754" s="379" t="n">
        <x:v>48405</x:v>
      </x:c>
      <x:c r="B2754" s="380" t="n">
        <x:v>2032</x:v>
      </x:c>
      <x:c r="C2754" s="380" t="n">
        <x:v>7</x:v>
      </x:c>
      <x:c r="D2754" s="380" t="str">
        <x:v>Jul</x:v>
      </x:c>
      <x:c r="E2754" s="380" t="n">
        <x:v>10</x:v>
      </x:c>
      <x:c r="F2754" s="380" t="n">
        <x:v>6</x:v>
      </x:c>
      <x:c r="G2754" s="380" t="n">
        <x:f>--(F2754&lt;='Estimator'!$B$7)</x:f>
        <x:v>0</x:v>
      </x:c>
      <x:c r="H2754" s="381" t="n">
        <x:f>SUMIFS('Climate Data'!$G$7:$G$366,'Climate Data'!$A$7:$A$366,'Estimator'!$B$4,'Climate Data'!$B$7:$B$366,C2754)</x:f>
        <x:v>0.49078341013824883</x:v>
      </x:c>
      <x:c r="I2754" s="382" t="n">
        <x:f>SUMIFS('Climate Data'!$H$7:$H$366,'Climate Data'!$A$7:$A$366,'Estimator'!$B$4,'Climate Data'!$B$7:$B$366,C2754)</x:f>
        <x:v>8.998122065727701</x:v>
      </x:c>
      <x:c r="J2754" s="381" t="n">
        <x:f>SUMIFS('Wind Proxy'!$H$8:$H$19,'Wind Proxy'!$A$8:$A$19,'Estimator'!$B$4,'Wind Proxy'!$B$8:$B$19,C2754)</x:f>
        <x:v>0.13739545997610514</x:v>
      </x:c>
    </x:row>
    <x:row r="2755">
      <x:c r="A2755" s="379" t="n">
        <x:v>48406</x:v>
      </x:c>
      <x:c r="B2755" s="380" t="n">
        <x:v>2032</x:v>
      </x:c>
      <x:c r="C2755" s="380" t="n">
        <x:v>7</x:v>
      </x:c>
      <x:c r="D2755" s="380" t="str">
        <x:v>Jul</x:v>
      </x:c>
      <x:c r="E2755" s="380" t="n">
        <x:v>11</x:v>
      </x:c>
      <x:c r="F2755" s="380" t="n">
        <x:v>7</x:v>
      </x:c>
      <x:c r="G2755" s="380" t="n">
        <x:f>--(F2755&lt;='Estimator'!$B$7)</x:f>
        <x:v>0</x:v>
      </x:c>
      <x:c r="H2755" s="381" t="n">
        <x:f>SUMIFS('Climate Data'!$G$7:$G$366,'Climate Data'!$A$7:$A$366,'Estimator'!$B$4,'Climate Data'!$B$7:$B$366,C2755)</x:f>
        <x:v>0.49078341013824883</x:v>
      </x:c>
      <x:c r="I2755" s="382" t="n">
        <x:f>SUMIFS('Climate Data'!$H$7:$H$366,'Climate Data'!$A$7:$A$366,'Estimator'!$B$4,'Climate Data'!$B$7:$B$366,C2755)</x:f>
        <x:v>8.998122065727701</x:v>
      </x:c>
      <x:c r="J2755" s="381" t="n">
        <x:f>SUMIFS('Wind Proxy'!$H$8:$H$19,'Wind Proxy'!$A$8:$A$19,'Estimator'!$B$4,'Wind Proxy'!$B$8:$B$19,C2755)</x:f>
        <x:v>0.13739545997610514</x:v>
      </x:c>
    </x:row>
    <x:row r="2756">
      <x:c r="A2756" s="379" t="n">
        <x:v>48407</x:v>
      </x:c>
      <x:c r="B2756" s="380" t="n">
        <x:v>2032</x:v>
      </x:c>
      <x:c r="C2756" s="380" t="n">
        <x:v>7</x:v>
      </x:c>
      <x:c r="D2756" s="380" t="str">
        <x:v>Jul</x:v>
      </x:c>
      <x:c r="E2756" s="380" t="n">
        <x:v>12</x:v>
      </x:c>
      <x:c r="F2756" s="380" t="n">
        <x:v>1</x:v>
      </x:c>
      <x:c r="G2756" s="380" t="n">
        <x:f>--(F2756&lt;='Estimator'!$B$7)</x:f>
        <x:v>1</x:v>
      </x:c>
      <x:c r="H2756" s="381" t="n">
        <x:f>SUMIFS('Climate Data'!$G$7:$G$366,'Climate Data'!$A$7:$A$366,'Estimator'!$B$4,'Climate Data'!$B$7:$B$366,C2756)</x:f>
        <x:v>0.49078341013824883</x:v>
      </x:c>
      <x:c r="I2756" s="382" t="n">
        <x:f>SUMIFS('Climate Data'!$H$7:$H$366,'Climate Data'!$A$7:$A$366,'Estimator'!$B$4,'Climate Data'!$B$7:$B$366,C2756)</x:f>
        <x:v>8.998122065727701</x:v>
      </x:c>
      <x:c r="J2756" s="381" t="n">
        <x:f>SUMIFS('Wind Proxy'!$H$8:$H$19,'Wind Proxy'!$A$8:$A$19,'Estimator'!$B$4,'Wind Proxy'!$B$8:$B$19,C2756)</x:f>
        <x:v>0.13739545997610514</x:v>
      </x:c>
    </x:row>
    <x:row r="2757">
      <x:c r="A2757" s="379" t="n">
        <x:v>48408</x:v>
      </x:c>
      <x:c r="B2757" s="380" t="n">
        <x:v>2032</x:v>
      </x:c>
      <x:c r="C2757" s="380" t="n">
        <x:v>7</x:v>
      </x:c>
      <x:c r="D2757" s="380" t="str">
        <x:v>Jul</x:v>
      </x:c>
      <x:c r="E2757" s="380" t="n">
        <x:v>13</x:v>
      </x:c>
      <x:c r="F2757" s="380" t="n">
        <x:v>2</x:v>
      </x:c>
      <x:c r="G2757" s="380" t="n">
        <x:f>--(F2757&lt;='Estimator'!$B$7)</x:f>
        <x:v>1</x:v>
      </x:c>
      <x:c r="H2757" s="381" t="n">
        <x:f>SUMIFS('Climate Data'!$G$7:$G$366,'Climate Data'!$A$7:$A$366,'Estimator'!$B$4,'Climate Data'!$B$7:$B$366,C2757)</x:f>
        <x:v>0.49078341013824883</x:v>
      </x:c>
      <x:c r="I2757" s="382" t="n">
        <x:f>SUMIFS('Climate Data'!$H$7:$H$366,'Climate Data'!$A$7:$A$366,'Estimator'!$B$4,'Climate Data'!$B$7:$B$366,C2757)</x:f>
        <x:v>8.998122065727701</x:v>
      </x:c>
      <x:c r="J2757" s="381" t="n">
        <x:f>SUMIFS('Wind Proxy'!$H$8:$H$19,'Wind Proxy'!$A$8:$A$19,'Estimator'!$B$4,'Wind Proxy'!$B$8:$B$19,C2757)</x:f>
        <x:v>0.13739545997610514</x:v>
      </x:c>
    </x:row>
    <x:row r="2758">
      <x:c r="A2758" s="379" t="n">
        <x:v>48409</x:v>
      </x:c>
      <x:c r="B2758" s="380" t="n">
        <x:v>2032</x:v>
      </x:c>
      <x:c r="C2758" s="380" t="n">
        <x:v>7</x:v>
      </x:c>
      <x:c r="D2758" s="380" t="str">
        <x:v>Jul</x:v>
      </x:c>
      <x:c r="E2758" s="380" t="n">
        <x:v>14</x:v>
      </x:c>
      <x:c r="F2758" s="380" t="n">
        <x:v>3</x:v>
      </x:c>
      <x:c r="G2758" s="380" t="n">
        <x:f>--(F2758&lt;='Estimator'!$B$7)</x:f>
        <x:v>1</x:v>
      </x:c>
      <x:c r="H2758" s="381" t="n">
        <x:f>SUMIFS('Climate Data'!$G$7:$G$366,'Climate Data'!$A$7:$A$366,'Estimator'!$B$4,'Climate Data'!$B$7:$B$366,C2758)</x:f>
        <x:v>0.49078341013824883</x:v>
      </x:c>
      <x:c r="I2758" s="382" t="n">
        <x:f>SUMIFS('Climate Data'!$H$7:$H$366,'Climate Data'!$A$7:$A$366,'Estimator'!$B$4,'Climate Data'!$B$7:$B$366,C2758)</x:f>
        <x:v>8.998122065727701</x:v>
      </x:c>
      <x:c r="J2758" s="381" t="n">
        <x:f>SUMIFS('Wind Proxy'!$H$8:$H$19,'Wind Proxy'!$A$8:$A$19,'Estimator'!$B$4,'Wind Proxy'!$B$8:$B$19,C2758)</x:f>
        <x:v>0.13739545997610514</x:v>
      </x:c>
    </x:row>
    <x:row r="2759">
      <x:c r="A2759" s="379" t="n">
        <x:v>48410</x:v>
      </x:c>
      <x:c r="B2759" s="380" t="n">
        <x:v>2032</x:v>
      </x:c>
      <x:c r="C2759" s="380" t="n">
        <x:v>7</x:v>
      </x:c>
      <x:c r="D2759" s="380" t="str">
        <x:v>Jul</x:v>
      </x:c>
      <x:c r="E2759" s="380" t="n">
        <x:v>15</x:v>
      </x:c>
      <x:c r="F2759" s="380" t="n">
        <x:v>4</x:v>
      </x:c>
      <x:c r="G2759" s="380" t="n">
        <x:f>--(F2759&lt;='Estimator'!$B$7)</x:f>
        <x:v>1</x:v>
      </x:c>
      <x:c r="H2759" s="381" t="n">
        <x:f>SUMIFS('Climate Data'!$G$7:$G$366,'Climate Data'!$A$7:$A$366,'Estimator'!$B$4,'Climate Data'!$B$7:$B$366,C2759)</x:f>
        <x:v>0.49078341013824883</x:v>
      </x:c>
      <x:c r="I2759" s="382" t="n">
        <x:f>SUMIFS('Climate Data'!$H$7:$H$366,'Climate Data'!$A$7:$A$366,'Estimator'!$B$4,'Climate Data'!$B$7:$B$366,C2759)</x:f>
        <x:v>8.998122065727701</x:v>
      </x:c>
      <x:c r="J2759" s="381" t="n">
        <x:f>SUMIFS('Wind Proxy'!$H$8:$H$19,'Wind Proxy'!$A$8:$A$19,'Estimator'!$B$4,'Wind Proxy'!$B$8:$B$19,C2759)</x:f>
        <x:v>0.13739545997610514</x:v>
      </x:c>
    </x:row>
    <x:row r="2760">
      <x:c r="A2760" s="379" t="n">
        <x:v>48411</x:v>
      </x:c>
      <x:c r="B2760" s="380" t="n">
        <x:v>2032</x:v>
      </x:c>
      <x:c r="C2760" s="380" t="n">
        <x:v>7</x:v>
      </x:c>
      <x:c r="D2760" s="380" t="str">
        <x:v>Jul</x:v>
      </x:c>
      <x:c r="E2760" s="380" t="n">
        <x:v>16</x:v>
      </x:c>
      <x:c r="F2760" s="380" t="n">
        <x:v>5</x:v>
      </x:c>
      <x:c r="G2760" s="380" t="n">
        <x:f>--(F2760&lt;='Estimator'!$B$7)</x:f>
        <x:v>1</x:v>
      </x:c>
      <x:c r="H2760" s="381" t="n">
        <x:f>SUMIFS('Climate Data'!$G$7:$G$366,'Climate Data'!$A$7:$A$366,'Estimator'!$B$4,'Climate Data'!$B$7:$B$366,C2760)</x:f>
        <x:v>0.49078341013824883</x:v>
      </x:c>
      <x:c r="I2760" s="382" t="n">
        <x:f>SUMIFS('Climate Data'!$H$7:$H$366,'Climate Data'!$A$7:$A$366,'Estimator'!$B$4,'Climate Data'!$B$7:$B$366,C2760)</x:f>
        <x:v>8.998122065727701</x:v>
      </x:c>
      <x:c r="J2760" s="381" t="n">
        <x:f>SUMIFS('Wind Proxy'!$H$8:$H$19,'Wind Proxy'!$A$8:$A$19,'Estimator'!$B$4,'Wind Proxy'!$B$8:$B$19,C2760)</x:f>
        <x:v>0.13739545997610514</x:v>
      </x:c>
    </x:row>
    <x:row r="2761">
      <x:c r="A2761" s="379" t="n">
        <x:v>48412</x:v>
      </x:c>
      <x:c r="B2761" s="380" t="n">
        <x:v>2032</x:v>
      </x:c>
      <x:c r="C2761" s="380" t="n">
        <x:v>7</x:v>
      </x:c>
      <x:c r="D2761" s="380" t="str">
        <x:v>Jul</x:v>
      </x:c>
      <x:c r="E2761" s="380" t="n">
        <x:v>17</x:v>
      </x:c>
      <x:c r="F2761" s="380" t="n">
        <x:v>6</x:v>
      </x:c>
      <x:c r="G2761" s="380" t="n">
        <x:f>--(F2761&lt;='Estimator'!$B$7)</x:f>
        <x:v>0</x:v>
      </x:c>
      <x:c r="H2761" s="381" t="n">
        <x:f>SUMIFS('Climate Data'!$G$7:$G$366,'Climate Data'!$A$7:$A$366,'Estimator'!$B$4,'Climate Data'!$B$7:$B$366,C2761)</x:f>
        <x:v>0.49078341013824883</x:v>
      </x:c>
      <x:c r="I2761" s="382" t="n">
        <x:f>SUMIFS('Climate Data'!$H$7:$H$366,'Climate Data'!$A$7:$A$366,'Estimator'!$B$4,'Climate Data'!$B$7:$B$366,C2761)</x:f>
        <x:v>8.998122065727701</x:v>
      </x:c>
      <x:c r="J2761" s="381" t="n">
        <x:f>SUMIFS('Wind Proxy'!$H$8:$H$19,'Wind Proxy'!$A$8:$A$19,'Estimator'!$B$4,'Wind Proxy'!$B$8:$B$19,C2761)</x:f>
        <x:v>0.13739545997610514</x:v>
      </x:c>
    </x:row>
    <x:row r="2762">
      <x:c r="A2762" s="379" t="n">
        <x:v>48413</x:v>
      </x:c>
      <x:c r="B2762" s="380" t="n">
        <x:v>2032</x:v>
      </x:c>
      <x:c r="C2762" s="380" t="n">
        <x:v>7</x:v>
      </x:c>
      <x:c r="D2762" s="380" t="str">
        <x:v>Jul</x:v>
      </x:c>
      <x:c r="E2762" s="380" t="n">
        <x:v>18</x:v>
      </x:c>
      <x:c r="F2762" s="380" t="n">
        <x:v>7</x:v>
      </x:c>
      <x:c r="G2762" s="380" t="n">
        <x:f>--(F2762&lt;='Estimator'!$B$7)</x:f>
        <x:v>0</x:v>
      </x:c>
      <x:c r="H2762" s="381" t="n">
        <x:f>SUMIFS('Climate Data'!$G$7:$G$366,'Climate Data'!$A$7:$A$366,'Estimator'!$B$4,'Climate Data'!$B$7:$B$366,C2762)</x:f>
        <x:v>0.49078341013824883</x:v>
      </x:c>
      <x:c r="I2762" s="382" t="n">
        <x:f>SUMIFS('Climate Data'!$H$7:$H$366,'Climate Data'!$A$7:$A$366,'Estimator'!$B$4,'Climate Data'!$B$7:$B$366,C2762)</x:f>
        <x:v>8.998122065727701</x:v>
      </x:c>
      <x:c r="J2762" s="381" t="n">
        <x:f>SUMIFS('Wind Proxy'!$H$8:$H$19,'Wind Proxy'!$A$8:$A$19,'Estimator'!$B$4,'Wind Proxy'!$B$8:$B$19,C2762)</x:f>
        <x:v>0.13739545997610514</x:v>
      </x:c>
    </x:row>
    <x:row r="2763">
      <x:c r="A2763" s="379" t="n">
        <x:v>48414</x:v>
      </x:c>
      <x:c r="B2763" s="380" t="n">
        <x:v>2032</x:v>
      </x:c>
      <x:c r="C2763" s="380" t="n">
        <x:v>7</x:v>
      </x:c>
      <x:c r="D2763" s="380" t="str">
        <x:v>Jul</x:v>
      </x:c>
      <x:c r="E2763" s="380" t="n">
        <x:v>19</x:v>
      </x:c>
      <x:c r="F2763" s="380" t="n">
        <x:v>1</x:v>
      </x:c>
      <x:c r="G2763" s="380" t="n">
        <x:f>--(F2763&lt;='Estimator'!$B$7)</x:f>
        <x:v>1</x:v>
      </x:c>
      <x:c r="H2763" s="381" t="n">
        <x:f>SUMIFS('Climate Data'!$G$7:$G$366,'Climate Data'!$A$7:$A$366,'Estimator'!$B$4,'Climate Data'!$B$7:$B$366,C2763)</x:f>
        <x:v>0.49078341013824883</x:v>
      </x:c>
      <x:c r="I2763" s="382" t="n">
        <x:f>SUMIFS('Climate Data'!$H$7:$H$366,'Climate Data'!$A$7:$A$366,'Estimator'!$B$4,'Climate Data'!$B$7:$B$366,C2763)</x:f>
        <x:v>8.998122065727701</x:v>
      </x:c>
      <x:c r="J2763" s="381" t="n">
        <x:f>SUMIFS('Wind Proxy'!$H$8:$H$19,'Wind Proxy'!$A$8:$A$19,'Estimator'!$B$4,'Wind Proxy'!$B$8:$B$19,C2763)</x:f>
        <x:v>0.13739545997610514</x:v>
      </x:c>
    </x:row>
    <x:row r="2764">
      <x:c r="A2764" s="379" t="n">
        <x:v>48415</x:v>
      </x:c>
      <x:c r="B2764" s="380" t="n">
        <x:v>2032</x:v>
      </x:c>
      <x:c r="C2764" s="380" t="n">
        <x:v>7</x:v>
      </x:c>
      <x:c r="D2764" s="380" t="str">
        <x:v>Jul</x:v>
      </x:c>
      <x:c r="E2764" s="380" t="n">
        <x:v>20</x:v>
      </x:c>
      <x:c r="F2764" s="380" t="n">
        <x:v>2</x:v>
      </x:c>
      <x:c r="G2764" s="380" t="n">
        <x:f>--(F2764&lt;='Estimator'!$B$7)</x:f>
        <x:v>1</x:v>
      </x:c>
      <x:c r="H2764" s="381" t="n">
        <x:f>SUMIFS('Climate Data'!$G$7:$G$366,'Climate Data'!$A$7:$A$366,'Estimator'!$B$4,'Climate Data'!$B$7:$B$366,C2764)</x:f>
        <x:v>0.49078341013824883</x:v>
      </x:c>
      <x:c r="I2764" s="382" t="n">
        <x:f>SUMIFS('Climate Data'!$H$7:$H$366,'Climate Data'!$A$7:$A$366,'Estimator'!$B$4,'Climate Data'!$B$7:$B$366,C2764)</x:f>
        <x:v>8.998122065727701</x:v>
      </x:c>
      <x:c r="J2764" s="381" t="n">
        <x:f>SUMIFS('Wind Proxy'!$H$8:$H$19,'Wind Proxy'!$A$8:$A$19,'Estimator'!$B$4,'Wind Proxy'!$B$8:$B$19,C2764)</x:f>
        <x:v>0.13739545997610514</x:v>
      </x:c>
    </x:row>
    <x:row r="2765">
      <x:c r="A2765" s="379" t="n">
        <x:v>48416</x:v>
      </x:c>
      <x:c r="B2765" s="380" t="n">
        <x:v>2032</x:v>
      </x:c>
      <x:c r="C2765" s="380" t="n">
        <x:v>7</x:v>
      </x:c>
      <x:c r="D2765" s="380" t="str">
        <x:v>Jul</x:v>
      </x:c>
      <x:c r="E2765" s="380" t="n">
        <x:v>21</x:v>
      </x:c>
      <x:c r="F2765" s="380" t="n">
        <x:v>3</x:v>
      </x:c>
      <x:c r="G2765" s="380" t="n">
        <x:f>--(F2765&lt;='Estimator'!$B$7)</x:f>
        <x:v>1</x:v>
      </x:c>
      <x:c r="H2765" s="381" t="n">
        <x:f>SUMIFS('Climate Data'!$G$7:$G$366,'Climate Data'!$A$7:$A$366,'Estimator'!$B$4,'Climate Data'!$B$7:$B$366,C2765)</x:f>
        <x:v>0.49078341013824883</x:v>
      </x:c>
      <x:c r="I2765" s="382" t="n">
        <x:f>SUMIFS('Climate Data'!$H$7:$H$366,'Climate Data'!$A$7:$A$366,'Estimator'!$B$4,'Climate Data'!$B$7:$B$366,C2765)</x:f>
        <x:v>8.998122065727701</x:v>
      </x:c>
      <x:c r="J2765" s="381" t="n">
        <x:f>SUMIFS('Wind Proxy'!$H$8:$H$19,'Wind Proxy'!$A$8:$A$19,'Estimator'!$B$4,'Wind Proxy'!$B$8:$B$19,C2765)</x:f>
        <x:v>0.13739545997610514</x:v>
      </x:c>
    </x:row>
    <x:row r="2766">
      <x:c r="A2766" s="379" t="n">
        <x:v>48417</x:v>
      </x:c>
      <x:c r="B2766" s="380" t="n">
        <x:v>2032</x:v>
      </x:c>
      <x:c r="C2766" s="380" t="n">
        <x:v>7</x:v>
      </x:c>
      <x:c r="D2766" s="380" t="str">
        <x:v>Jul</x:v>
      </x:c>
      <x:c r="E2766" s="380" t="n">
        <x:v>22</x:v>
      </x:c>
      <x:c r="F2766" s="380" t="n">
        <x:v>4</x:v>
      </x:c>
      <x:c r="G2766" s="380" t="n">
        <x:f>--(F2766&lt;='Estimator'!$B$7)</x:f>
        <x:v>1</x:v>
      </x:c>
      <x:c r="H2766" s="381" t="n">
        <x:f>SUMIFS('Climate Data'!$G$7:$G$366,'Climate Data'!$A$7:$A$366,'Estimator'!$B$4,'Climate Data'!$B$7:$B$366,C2766)</x:f>
        <x:v>0.49078341013824883</x:v>
      </x:c>
      <x:c r="I2766" s="382" t="n">
        <x:f>SUMIFS('Climate Data'!$H$7:$H$366,'Climate Data'!$A$7:$A$366,'Estimator'!$B$4,'Climate Data'!$B$7:$B$366,C2766)</x:f>
        <x:v>8.998122065727701</x:v>
      </x:c>
      <x:c r="J2766" s="381" t="n">
        <x:f>SUMIFS('Wind Proxy'!$H$8:$H$19,'Wind Proxy'!$A$8:$A$19,'Estimator'!$B$4,'Wind Proxy'!$B$8:$B$19,C2766)</x:f>
        <x:v>0.13739545997610514</x:v>
      </x:c>
    </x:row>
    <x:row r="2767">
      <x:c r="A2767" s="379" t="n">
        <x:v>48418</x:v>
      </x:c>
      <x:c r="B2767" s="380" t="n">
        <x:v>2032</x:v>
      </x:c>
      <x:c r="C2767" s="380" t="n">
        <x:v>7</x:v>
      </x:c>
      <x:c r="D2767" s="380" t="str">
        <x:v>Jul</x:v>
      </x:c>
      <x:c r="E2767" s="380" t="n">
        <x:v>23</x:v>
      </x:c>
      <x:c r="F2767" s="380" t="n">
        <x:v>5</x:v>
      </x:c>
      <x:c r="G2767" s="380" t="n">
        <x:f>--(F2767&lt;='Estimator'!$B$7)</x:f>
        <x:v>1</x:v>
      </x:c>
      <x:c r="H2767" s="381" t="n">
        <x:f>SUMIFS('Climate Data'!$G$7:$G$366,'Climate Data'!$A$7:$A$366,'Estimator'!$B$4,'Climate Data'!$B$7:$B$366,C2767)</x:f>
        <x:v>0.49078341013824883</x:v>
      </x:c>
      <x:c r="I2767" s="382" t="n">
        <x:f>SUMIFS('Climate Data'!$H$7:$H$366,'Climate Data'!$A$7:$A$366,'Estimator'!$B$4,'Climate Data'!$B$7:$B$366,C2767)</x:f>
        <x:v>8.998122065727701</x:v>
      </x:c>
      <x:c r="J2767" s="381" t="n">
        <x:f>SUMIFS('Wind Proxy'!$H$8:$H$19,'Wind Proxy'!$A$8:$A$19,'Estimator'!$B$4,'Wind Proxy'!$B$8:$B$19,C2767)</x:f>
        <x:v>0.13739545997610514</x:v>
      </x:c>
    </x:row>
    <x:row r="2768">
      <x:c r="A2768" s="379" t="n">
        <x:v>48419</x:v>
      </x:c>
      <x:c r="B2768" s="380" t="n">
        <x:v>2032</x:v>
      </x:c>
      <x:c r="C2768" s="380" t="n">
        <x:v>7</x:v>
      </x:c>
      <x:c r="D2768" s="380" t="str">
        <x:v>Jul</x:v>
      </x:c>
      <x:c r="E2768" s="380" t="n">
        <x:v>24</x:v>
      </x:c>
      <x:c r="F2768" s="380" t="n">
        <x:v>6</x:v>
      </x:c>
      <x:c r="G2768" s="380" t="n">
        <x:f>--(F2768&lt;='Estimator'!$B$7)</x:f>
        <x:v>0</x:v>
      </x:c>
      <x:c r="H2768" s="381" t="n">
        <x:f>SUMIFS('Climate Data'!$G$7:$G$366,'Climate Data'!$A$7:$A$366,'Estimator'!$B$4,'Climate Data'!$B$7:$B$366,C2768)</x:f>
        <x:v>0.49078341013824883</x:v>
      </x:c>
      <x:c r="I2768" s="382" t="n">
        <x:f>SUMIFS('Climate Data'!$H$7:$H$366,'Climate Data'!$A$7:$A$366,'Estimator'!$B$4,'Climate Data'!$B$7:$B$366,C2768)</x:f>
        <x:v>8.998122065727701</x:v>
      </x:c>
      <x:c r="J2768" s="381" t="n">
        <x:f>SUMIFS('Wind Proxy'!$H$8:$H$19,'Wind Proxy'!$A$8:$A$19,'Estimator'!$B$4,'Wind Proxy'!$B$8:$B$19,C2768)</x:f>
        <x:v>0.13739545997610514</x:v>
      </x:c>
    </x:row>
    <x:row r="2769">
      <x:c r="A2769" s="379" t="n">
        <x:v>48420</x:v>
      </x:c>
      <x:c r="B2769" s="380" t="n">
        <x:v>2032</x:v>
      </x:c>
      <x:c r="C2769" s="380" t="n">
        <x:v>7</x:v>
      </x:c>
      <x:c r="D2769" s="380" t="str">
        <x:v>Jul</x:v>
      </x:c>
      <x:c r="E2769" s="380" t="n">
        <x:v>25</x:v>
      </x:c>
      <x:c r="F2769" s="380" t="n">
        <x:v>7</x:v>
      </x:c>
      <x:c r="G2769" s="380" t="n">
        <x:f>--(F2769&lt;='Estimator'!$B$7)</x:f>
        <x:v>0</x:v>
      </x:c>
      <x:c r="H2769" s="381" t="n">
        <x:f>SUMIFS('Climate Data'!$G$7:$G$366,'Climate Data'!$A$7:$A$366,'Estimator'!$B$4,'Climate Data'!$B$7:$B$366,C2769)</x:f>
        <x:v>0.49078341013824883</x:v>
      </x:c>
      <x:c r="I2769" s="382" t="n">
        <x:f>SUMIFS('Climate Data'!$H$7:$H$366,'Climate Data'!$A$7:$A$366,'Estimator'!$B$4,'Climate Data'!$B$7:$B$366,C2769)</x:f>
        <x:v>8.998122065727701</x:v>
      </x:c>
      <x:c r="J2769" s="381" t="n">
        <x:f>SUMIFS('Wind Proxy'!$H$8:$H$19,'Wind Proxy'!$A$8:$A$19,'Estimator'!$B$4,'Wind Proxy'!$B$8:$B$19,C2769)</x:f>
        <x:v>0.13739545997610514</x:v>
      </x:c>
    </x:row>
    <x:row r="2770">
      <x:c r="A2770" s="379" t="n">
        <x:v>48421</x:v>
      </x:c>
      <x:c r="B2770" s="380" t="n">
        <x:v>2032</x:v>
      </x:c>
      <x:c r="C2770" s="380" t="n">
        <x:v>7</x:v>
      </x:c>
      <x:c r="D2770" s="380" t="str">
        <x:v>Jul</x:v>
      </x:c>
      <x:c r="E2770" s="380" t="n">
        <x:v>26</x:v>
      </x:c>
      <x:c r="F2770" s="380" t="n">
        <x:v>1</x:v>
      </x:c>
      <x:c r="G2770" s="380" t="n">
        <x:f>--(F2770&lt;='Estimator'!$B$7)</x:f>
        <x:v>1</x:v>
      </x:c>
      <x:c r="H2770" s="381" t="n">
        <x:f>SUMIFS('Climate Data'!$G$7:$G$366,'Climate Data'!$A$7:$A$366,'Estimator'!$B$4,'Climate Data'!$B$7:$B$366,C2770)</x:f>
        <x:v>0.49078341013824883</x:v>
      </x:c>
      <x:c r="I2770" s="382" t="n">
        <x:f>SUMIFS('Climate Data'!$H$7:$H$366,'Climate Data'!$A$7:$A$366,'Estimator'!$B$4,'Climate Data'!$B$7:$B$366,C2770)</x:f>
        <x:v>8.998122065727701</x:v>
      </x:c>
      <x:c r="J2770" s="381" t="n">
        <x:f>SUMIFS('Wind Proxy'!$H$8:$H$19,'Wind Proxy'!$A$8:$A$19,'Estimator'!$B$4,'Wind Proxy'!$B$8:$B$19,C2770)</x:f>
        <x:v>0.13739545997610514</x:v>
      </x:c>
    </x:row>
    <x:row r="2771">
      <x:c r="A2771" s="379" t="n">
        <x:v>48422</x:v>
      </x:c>
      <x:c r="B2771" s="380" t="n">
        <x:v>2032</x:v>
      </x:c>
      <x:c r="C2771" s="380" t="n">
        <x:v>7</x:v>
      </x:c>
      <x:c r="D2771" s="380" t="str">
        <x:v>Jul</x:v>
      </x:c>
      <x:c r="E2771" s="380" t="n">
        <x:v>27</x:v>
      </x:c>
      <x:c r="F2771" s="380" t="n">
        <x:v>2</x:v>
      </x:c>
      <x:c r="G2771" s="380" t="n">
        <x:f>--(F2771&lt;='Estimator'!$B$7)</x:f>
        <x:v>1</x:v>
      </x:c>
      <x:c r="H2771" s="381" t="n">
        <x:f>SUMIFS('Climate Data'!$G$7:$G$366,'Climate Data'!$A$7:$A$366,'Estimator'!$B$4,'Climate Data'!$B$7:$B$366,C2771)</x:f>
        <x:v>0.49078341013824883</x:v>
      </x:c>
      <x:c r="I2771" s="382" t="n">
        <x:f>SUMIFS('Climate Data'!$H$7:$H$366,'Climate Data'!$A$7:$A$366,'Estimator'!$B$4,'Climate Data'!$B$7:$B$366,C2771)</x:f>
        <x:v>8.998122065727701</x:v>
      </x:c>
      <x:c r="J2771" s="381" t="n">
        <x:f>SUMIFS('Wind Proxy'!$H$8:$H$19,'Wind Proxy'!$A$8:$A$19,'Estimator'!$B$4,'Wind Proxy'!$B$8:$B$19,C2771)</x:f>
        <x:v>0.13739545997610514</x:v>
      </x:c>
    </x:row>
    <x:row r="2772">
      <x:c r="A2772" s="379" t="n">
        <x:v>48423</x:v>
      </x:c>
      <x:c r="B2772" s="380" t="n">
        <x:v>2032</x:v>
      </x:c>
      <x:c r="C2772" s="380" t="n">
        <x:v>7</x:v>
      </x:c>
      <x:c r="D2772" s="380" t="str">
        <x:v>Jul</x:v>
      </x:c>
      <x:c r="E2772" s="380" t="n">
        <x:v>28</x:v>
      </x:c>
      <x:c r="F2772" s="380" t="n">
        <x:v>3</x:v>
      </x:c>
      <x:c r="G2772" s="380" t="n">
        <x:f>--(F2772&lt;='Estimator'!$B$7)</x:f>
        <x:v>1</x:v>
      </x:c>
      <x:c r="H2772" s="381" t="n">
        <x:f>SUMIFS('Climate Data'!$G$7:$G$366,'Climate Data'!$A$7:$A$366,'Estimator'!$B$4,'Climate Data'!$B$7:$B$366,C2772)</x:f>
        <x:v>0.49078341013824883</x:v>
      </x:c>
      <x:c r="I2772" s="382" t="n">
        <x:f>SUMIFS('Climate Data'!$H$7:$H$366,'Climate Data'!$A$7:$A$366,'Estimator'!$B$4,'Climate Data'!$B$7:$B$366,C2772)</x:f>
        <x:v>8.998122065727701</x:v>
      </x:c>
      <x:c r="J2772" s="381" t="n">
        <x:f>SUMIFS('Wind Proxy'!$H$8:$H$19,'Wind Proxy'!$A$8:$A$19,'Estimator'!$B$4,'Wind Proxy'!$B$8:$B$19,C2772)</x:f>
        <x:v>0.13739545997610514</x:v>
      </x:c>
    </x:row>
    <x:row r="2773">
      <x:c r="A2773" s="379" t="n">
        <x:v>48424</x:v>
      </x:c>
      <x:c r="B2773" s="380" t="n">
        <x:v>2032</x:v>
      </x:c>
      <x:c r="C2773" s="380" t="n">
        <x:v>7</x:v>
      </x:c>
      <x:c r="D2773" s="380" t="str">
        <x:v>Jul</x:v>
      </x:c>
      <x:c r="E2773" s="380" t="n">
        <x:v>29</x:v>
      </x:c>
      <x:c r="F2773" s="380" t="n">
        <x:v>4</x:v>
      </x:c>
      <x:c r="G2773" s="380" t="n">
        <x:f>--(F2773&lt;='Estimator'!$B$7)</x:f>
        <x:v>1</x:v>
      </x:c>
      <x:c r="H2773" s="381" t="n">
        <x:f>SUMIFS('Climate Data'!$G$7:$G$366,'Climate Data'!$A$7:$A$366,'Estimator'!$B$4,'Climate Data'!$B$7:$B$366,C2773)</x:f>
        <x:v>0.49078341013824883</x:v>
      </x:c>
      <x:c r="I2773" s="382" t="n">
        <x:f>SUMIFS('Climate Data'!$H$7:$H$366,'Climate Data'!$A$7:$A$366,'Estimator'!$B$4,'Climate Data'!$B$7:$B$366,C2773)</x:f>
        <x:v>8.998122065727701</x:v>
      </x:c>
      <x:c r="J2773" s="381" t="n">
        <x:f>SUMIFS('Wind Proxy'!$H$8:$H$19,'Wind Proxy'!$A$8:$A$19,'Estimator'!$B$4,'Wind Proxy'!$B$8:$B$19,C2773)</x:f>
        <x:v>0.13739545997610514</x:v>
      </x:c>
    </x:row>
    <x:row r="2774">
      <x:c r="A2774" s="379" t="n">
        <x:v>48425</x:v>
      </x:c>
      <x:c r="B2774" s="380" t="n">
        <x:v>2032</x:v>
      </x:c>
      <x:c r="C2774" s="380" t="n">
        <x:v>7</x:v>
      </x:c>
      <x:c r="D2774" s="380" t="str">
        <x:v>Jul</x:v>
      </x:c>
      <x:c r="E2774" s="380" t="n">
        <x:v>30</x:v>
      </x:c>
      <x:c r="F2774" s="380" t="n">
        <x:v>5</x:v>
      </x:c>
      <x:c r="G2774" s="380" t="n">
        <x:f>--(F2774&lt;='Estimator'!$B$7)</x:f>
        <x:v>1</x:v>
      </x:c>
      <x:c r="H2774" s="381" t="n">
        <x:f>SUMIFS('Climate Data'!$G$7:$G$366,'Climate Data'!$A$7:$A$366,'Estimator'!$B$4,'Climate Data'!$B$7:$B$366,C2774)</x:f>
        <x:v>0.49078341013824883</x:v>
      </x:c>
      <x:c r="I2774" s="382" t="n">
        <x:f>SUMIFS('Climate Data'!$H$7:$H$366,'Climate Data'!$A$7:$A$366,'Estimator'!$B$4,'Climate Data'!$B$7:$B$366,C2774)</x:f>
        <x:v>8.998122065727701</x:v>
      </x:c>
      <x:c r="J2774" s="381" t="n">
        <x:f>SUMIFS('Wind Proxy'!$H$8:$H$19,'Wind Proxy'!$A$8:$A$19,'Estimator'!$B$4,'Wind Proxy'!$B$8:$B$19,C2774)</x:f>
        <x:v>0.13739545997610514</x:v>
      </x:c>
    </x:row>
    <x:row r="2775">
      <x:c r="A2775" s="379" t="n">
        <x:v>48426</x:v>
      </x:c>
      <x:c r="B2775" s="380" t="n">
        <x:v>2032</x:v>
      </x:c>
      <x:c r="C2775" s="380" t="n">
        <x:v>7</x:v>
      </x:c>
      <x:c r="D2775" s="380" t="str">
        <x:v>Jul</x:v>
      </x:c>
      <x:c r="E2775" s="380" t="n">
        <x:v>31</x:v>
      </x:c>
      <x:c r="F2775" s="380" t="n">
        <x:v>6</x:v>
      </x:c>
      <x:c r="G2775" s="380" t="n">
        <x:f>--(F2775&lt;='Estimator'!$B$7)</x:f>
        <x:v>0</x:v>
      </x:c>
      <x:c r="H2775" s="381" t="n">
        <x:f>SUMIFS('Climate Data'!$G$7:$G$366,'Climate Data'!$A$7:$A$366,'Estimator'!$B$4,'Climate Data'!$B$7:$B$366,C2775)</x:f>
        <x:v>0.49078341013824883</x:v>
      </x:c>
      <x:c r="I2775" s="382" t="n">
        <x:f>SUMIFS('Climate Data'!$H$7:$H$366,'Climate Data'!$A$7:$A$366,'Estimator'!$B$4,'Climate Data'!$B$7:$B$366,C2775)</x:f>
        <x:v>8.998122065727701</x:v>
      </x:c>
      <x:c r="J2775" s="381" t="n">
        <x:f>SUMIFS('Wind Proxy'!$H$8:$H$19,'Wind Proxy'!$A$8:$A$19,'Estimator'!$B$4,'Wind Proxy'!$B$8:$B$19,C2775)</x:f>
        <x:v>0.13739545997610514</x:v>
      </x:c>
    </x:row>
    <x:row r="2776">
      <x:c r="A2776" s="379" t="n">
        <x:v>48427</x:v>
      </x:c>
      <x:c r="B2776" s="380" t="n">
        <x:v>2032</x:v>
      </x:c>
      <x:c r="C2776" s="380" t="n">
        <x:v>8</x:v>
      </x:c>
      <x:c r="D2776" s="380" t="str">
        <x:v>Aug</x:v>
      </x:c>
      <x:c r="E2776" s="380" t="n">
        <x:v>1</x:v>
      </x:c>
      <x:c r="F2776" s="380" t="n">
        <x:v>7</x:v>
      </x:c>
      <x:c r="G2776" s="380" t="n">
        <x:f>--(F2776&lt;='Estimator'!$B$7)</x:f>
        <x:v>0</x:v>
      </x:c>
      <x:c r="H2776" s="381" t="n">
        <x:f>SUMIFS('Climate Data'!$G$7:$G$366,'Climate Data'!$A$7:$A$366,'Estimator'!$B$4,'Climate Data'!$B$7:$B$366,C2776)</x:f>
        <x:v>0.47274749721913234</x:v>
      </x:c>
      <x:c r="I2776" s="382" t="n">
        <x:f>SUMIFS('Climate Data'!$H$7:$H$366,'Climate Data'!$A$7:$A$366,'Estimator'!$B$4,'Climate Data'!$B$7:$B$366,C2776)</x:f>
        <x:v>7.9971764705882356</x:v>
      </x:c>
      <x:c r="J2776" s="381" t="n">
        <x:f>SUMIFS('Wind Proxy'!$H$8:$H$19,'Wind Proxy'!$A$8:$A$19,'Estimator'!$B$4,'Wind Proxy'!$B$8:$B$19,C2776)</x:f>
        <x:v>0.13739545997610514</x:v>
      </x:c>
    </x:row>
    <x:row r="2777">
      <x:c r="A2777" s="379" t="n">
        <x:v>48428</x:v>
      </x:c>
      <x:c r="B2777" s="380" t="n">
        <x:v>2032</x:v>
      </x:c>
      <x:c r="C2777" s="380" t="n">
        <x:v>8</x:v>
      </x:c>
      <x:c r="D2777" s="380" t="str">
        <x:v>Aug</x:v>
      </x:c>
      <x:c r="E2777" s="380" t="n">
        <x:v>2</x:v>
      </x:c>
      <x:c r="F2777" s="380" t="n">
        <x:v>1</x:v>
      </x:c>
      <x:c r="G2777" s="380" t="n">
        <x:f>--(F2777&lt;='Estimator'!$B$7)</x:f>
        <x:v>1</x:v>
      </x:c>
      <x:c r="H2777" s="381" t="n">
        <x:f>SUMIFS('Climate Data'!$G$7:$G$366,'Climate Data'!$A$7:$A$366,'Estimator'!$B$4,'Climate Data'!$B$7:$B$366,C2777)</x:f>
        <x:v>0.47274749721913234</x:v>
      </x:c>
      <x:c r="I2777" s="382" t="n">
        <x:f>SUMIFS('Climate Data'!$H$7:$H$366,'Climate Data'!$A$7:$A$366,'Estimator'!$B$4,'Climate Data'!$B$7:$B$366,C2777)</x:f>
        <x:v>7.9971764705882356</x:v>
      </x:c>
      <x:c r="J2777" s="381" t="n">
        <x:f>SUMIFS('Wind Proxy'!$H$8:$H$19,'Wind Proxy'!$A$8:$A$19,'Estimator'!$B$4,'Wind Proxy'!$B$8:$B$19,C2777)</x:f>
        <x:v>0.13739545997610514</x:v>
      </x:c>
    </x:row>
    <x:row r="2778">
      <x:c r="A2778" s="379" t="n">
        <x:v>48429</x:v>
      </x:c>
      <x:c r="B2778" s="380" t="n">
        <x:v>2032</x:v>
      </x:c>
      <x:c r="C2778" s="380" t="n">
        <x:v>8</x:v>
      </x:c>
      <x:c r="D2778" s="380" t="str">
        <x:v>Aug</x:v>
      </x:c>
      <x:c r="E2778" s="380" t="n">
        <x:v>3</x:v>
      </x:c>
      <x:c r="F2778" s="380" t="n">
        <x:v>2</x:v>
      </x:c>
      <x:c r="G2778" s="380" t="n">
        <x:f>--(F2778&lt;='Estimator'!$B$7)</x:f>
        <x:v>1</x:v>
      </x:c>
      <x:c r="H2778" s="381" t="n">
        <x:f>SUMIFS('Climate Data'!$G$7:$G$366,'Climate Data'!$A$7:$A$366,'Estimator'!$B$4,'Climate Data'!$B$7:$B$366,C2778)</x:f>
        <x:v>0.47274749721913234</x:v>
      </x:c>
      <x:c r="I2778" s="382" t="n">
        <x:f>SUMIFS('Climate Data'!$H$7:$H$366,'Climate Data'!$A$7:$A$366,'Estimator'!$B$4,'Climate Data'!$B$7:$B$366,C2778)</x:f>
        <x:v>7.9971764705882356</x:v>
      </x:c>
      <x:c r="J2778" s="381" t="n">
        <x:f>SUMIFS('Wind Proxy'!$H$8:$H$19,'Wind Proxy'!$A$8:$A$19,'Estimator'!$B$4,'Wind Proxy'!$B$8:$B$19,C2778)</x:f>
        <x:v>0.13739545997610514</x:v>
      </x:c>
    </x:row>
    <x:row r="2779">
      <x:c r="A2779" s="379" t="n">
        <x:v>48430</x:v>
      </x:c>
      <x:c r="B2779" s="380" t="n">
        <x:v>2032</x:v>
      </x:c>
      <x:c r="C2779" s="380" t="n">
        <x:v>8</x:v>
      </x:c>
      <x:c r="D2779" s="380" t="str">
        <x:v>Aug</x:v>
      </x:c>
      <x:c r="E2779" s="380" t="n">
        <x:v>4</x:v>
      </x:c>
      <x:c r="F2779" s="380" t="n">
        <x:v>3</x:v>
      </x:c>
      <x:c r="G2779" s="380" t="n">
        <x:f>--(F2779&lt;='Estimator'!$B$7)</x:f>
        <x:v>1</x:v>
      </x:c>
      <x:c r="H2779" s="381" t="n">
        <x:f>SUMIFS('Climate Data'!$G$7:$G$366,'Climate Data'!$A$7:$A$366,'Estimator'!$B$4,'Climate Data'!$B$7:$B$366,C2779)</x:f>
        <x:v>0.47274749721913234</x:v>
      </x:c>
      <x:c r="I2779" s="382" t="n">
        <x:f>SUMIFS('Climate Data'!$H$7:$H$366,'Climate Data'!$A$7:$A$366,'Estimator'!$B$4,'Climate Data'!$B$7:$B$366,C2779)</x:f>
        <x:v>7.9971764705882356</x:v>
      </x:c>
      <x:c r="J2779" s="381" t="n">
        <x:f>SUMIFS('Wind Proxy'!$H$8:$H$19,'Wind Proxy'!$A$8:$A$19,'Estimator'!$B$4,'Wind Proxy'!$B$8:$B$19,C2779)</x:f>
        <x:v>0.13739545997610514</x:v>
      </x:c>
    </x:row>
    <x:row r="2780">
      <x:c r="A2780" s="379" t="n">
        <x:v>48431</x:v>
      </x:c>
      <x:c r="B2780" s="380" t="n">
        <x:v>2032</x:v>
      </x:c>
      <x:c r="C2780" s="380" t="n">
        <x:v>8</x:v>
      </x:c>
      <x:c r="D2780" s="380" t="str">
        <x:v>Aug</x:v>
      </x:c>
      <x:c r="E2780" s="380" t="n">
        <x:v>5</x:v>
      </x:c>
      <x:c r="F2780" s="380" t="n">
        <x:v>4</x:v>
      </x:c>
      <x:c r="G2780" s="380" t="n">
        <x:f>--(F2780&lt;='Estimator'!$B$7)</x:f>
        <x:v>1</x:v>
      </x:c>
      <x:c r="H2780" s="381" t="n">
        <x:f>SUMIFS('Climate Data'!$G$7:$G$366,'Climate Data'!$A$7:$A$366,'Estimator'!$B$4,'Climate Data'!$B$7:$B$366,C2780)</x:f>
        <x:v>0.47274749721913234</x:v>
      </x:c>
      <x:c r="I2780" s="382" t="n">
        <x:f>SUMIFS('Climate Data'!$H$7:$H$366,'Climate Data'!$A$7:$A$366,'Estimator'!$B$4,'Climate Data'!$B$7:$B$366,C2780)</x:f>
        <x:v>7.9971764705882356</x:v>
      </x:c>
      <x:c r="J2780" s="381" t="n">
        <x:f>SUMIFS('Wind Proxy'!$H$8:$H$19,'Wind Proxy'!$A$8:$A$19,'Estimator'!$B$4,'Wind Proxy'!$B$8:$B$19,C2780)</x:f>
        <x:v>0.13739545997610514</x:v>
      </x:c>
    </x:row>
    <x:row r="2781">
      <x:c r="A2781" s="379" t="n">
        <x:v>48432</x:v>
      </x:c>
      <x:c r="B2781" s="380" t="n">
        <x:v>2032</x:v>
      </x:c>
      <x:c r="C2781" s="380" t="n">
        <x:v>8</x:v>
      </x:c>
      <x:c r="D2781" s="380" t="str">
        <x:v>Aug</x:v>
      </x:c>
      <x:c r="E2781" s="380" t="n">
        <x:v>6</x:v>
      </x:c>
      <x:c r="F2781" s="380" t="n">
        <x:v>5</x:v>
      </x:c>
      <x:c r="G2781" s="380" t="n">
        <x:f>--(F2781&lt;='Estimator'!$B$7)</x:f>
        <x:v>1</x:v>
      </x:c>
      <x:c r="H2781" s="381" t="n">
        <x:f>SUMIFS('Climate Data'!$G$7:$G$366,'Climate Data'!$A$7:$A$366,'Estimator'!$B$4,'Climate Data'!$B$7:$B$366,C2781)</x:f>
        <x:v>0.47274749721913234</x:v>
      </x:c>
      <x:c r="I2781" s="382" t="n">
        <x:f>SUMIFS('Climate Data'!$H$7:$H$366,'Climate Data'!$A$7:$A$366,'Estimator'!$B$4,'Climate Data'!$B$7:$B$366,C2781)</x:f>
        <x:v>7.9971764705882356</x:v>
      </x:c>
      <x:c r="J2781" s="381" t="n">
        <x:f>SUMIFS('Wind Proxy'!$H$8:$H$19,'Wind Proxy'!$A$8:$A$19,'Estimator'!$B$4,'Wind Proxy'!$B$8:$B$19,C2781)</x:f>
        <x:v>0.13739545997610514</x:v>
      </x:c>
    </x:row>
    <x:row r="2782">
      <x:c r="A2782" s="379" t="n">
        <x:v>48433</x:v>
      </x:c>
      <x:c r="B2782" s="380" t="n">
        <x:v>2032</x:v>
      </x:c>
      <x:c r="C2782" s="380" t="n">
        <x:v>8</x:v>
      </x:c>
      <x:c r="D2782" s="380" t="str">
        <x:v>Aug</x:v>
      </x:c>
      <x:c r="E2782" s="380" t="n">
        <x:v>7</x:v>
      </x:c>
      <x:c r="F2782" s="380" t="n">
        <x:v>6</x:v>
      </x:c>
      <x:c r="G2782" s="380" t="n">
        <x:f>--(F2782&lt;='Estimator'!$B$7)</x:f>
        <x:v>0</x:v>
      </x:c>
      <x:c r="H2782" s="381" t="n">
        <x:f>SUMIFS('Climate Data'!$G$7:$G$366,'Climate Data'!$A$7:$A$366,'Estimator'!$B$4,'Climate Data'!$B$7:$B$366,C2782)</x:f>
        <x:v>0.47274749721913234</x:v>
      </x:c>
      <x:c r="I2782" s="382" t="n">
        <x:f>SUMIFS('Climate Data'!$H$7:$H$366,'Climate Data'!$A$7:$A$366,'Estimator'!$B$4,'Climate Data'!$B$7:$B$366,C2782)</x:f>
        <x:v>7.9971764705882356</x:v>
      </x:c>
      <x:c r="J2782" s="381" t="n">
        <x:f>SUMIFS('Wind Proxy'!$H$8:$H$19,'Wind Proxy'!$A$8:$A$19,'Estimator'!$B$4,'Wind Proxy'!$B$8:$B$19,C2782)</x:f>
        <x:v>0.13739545997610514</x:v>
      </x:c>
    </x:row>
    <x:row r="2783">
      <x:c r="A2783" s="379" t="n">
        <x:v>48434</x:v>
      </x:c>
      <x:c r="B2783" s="380" t="n">
        <x:v>2032</x:v>
      </x:c>
      <x:c r="C2783" s="380" t="n">
        <x:v>8</x:v>
      </x:c>
      <x:c r="D2783" s="380" t="str">
        <x:v>Aug</x:v>
      </x:c>
      <x:c r="E2783" s="380" t="n">
        <x:v>8</x:v>
      </x:c>
      <x:c r="F2783" s="380" t="n">
        <x:v>7</x:v>
      </x:c>
      <x:c r="G2783" s="380" t="n">
        <x:f>--(F2783&lt;='Estimator'!$B$7)</x:f>
        <x:v>0</x:v>
      </x:c>
      <x:c r="H2783" s="381" t="n">
        <x:f>SUMIFS('Climate Data'!$G$7:$G$366,'Climate Data'!$A$7:$A$366,'Estimator'!$B$4,'Climate Data'!$B$7:$B$366,C2783)</x:f>
        <x:v>0.47274749721913234</x:v>
      </x:c>
      <x:c r="I2783" s="382" t="n">
        <x:f>SUMIFS('Climate Data'!$H$7:$H$366,'Climate Data'!$A$7:$A$366,'Estimator'!$B$4,'Climate Data'!$B$7:$B$366,C2783)</x:f>
        <x:v>7.9971764705882356</x:v>
      </x:c>
      <x:c r="J2783" s="381" t="n">
        <x:f>SUMIFS('Wind Proxy'!$H$8:$H$19,'Wind Proxy'!$A$8:$A$19,'Estimator'!$B$4,'Wind Proxy'!$B$8:$B$19,C2783)</x:f>
        <x:v>0.13739545997610514</x:v>
      </x:c>
    </x:row>
    <x:row r="2784">
      <x:c r="A2784" s="379" t="n">
        <x:v>48435</x:v>
      </x:c>
      <x:c r="B2784" s="380" t="n">
        <x:v>2032</x:v>
      </x:c>
      <x:c r="C2784" s="380" t="n">
        <x:v>8</x:v>
      </x:c>
      <x:c r="D2784" s="380" t="str">
        <x:v>Aug</x:v>
      </x:c>
      <x:c r="E2784" s="380" t="n">
        <x:v>9</x:v>
      </x:c>
      <x:c r="F2784" s="380" t="n">
        <x:v>1</x:v>
      </x:c>
      <x:c r="G2784" s="380" t="n">
        <x:f>--(F2784&lt;='Estimator'!$B$7)</x:f>
        <x:v>1</x:v>
      </x:c>
      <x:c r="H2784" s="381" t="n">
        <x:f>SUMIFS('Climate Data'!$G$7:$G$366,'Climate Data'!$A$7:$A$366,'Estimator'!$B$4,'Climate Data'!$B$7:$B$366,C2784)</x:f>
        <x:v>0.47274749721913234</x:v>
      </x:c>
      <x:c r="I2784" s="382" t="n">
        <x:f>SUMIFS('Climate Data'!$H$7:$H$366,'Climate Data'!$A$7:$A$366,'Estimator'!$B$4,'Climate Data'!$B$7:$B$366,C2784)</x:f>
        <x:v>7.9971764705882356</x:v>
      </x:c>
      <x:c r="J2784" s="381" t="n">
        <x:f>SUMIFS('Wind Proxy'!$H$8:$H$19,'Wind Proxy'!$A$8:$A$19,'Estimator'!$B$4,'Wind Proxy'!$B$8:$B$19,C2784)</x:f>
        <x:v>0.13739545997610514</x:v>
      </x:c>
    </x:row>
    <x:row r="2785">
      <x:c r="A2785" s="379" t="n">
        <x:v>48436</x:v>
      </x:c>
      <x:c r="B2785" s="380" t="n">
        <x:v>2032</x:v>
      </x:c>
      <x:c r="C2785" s="380" t="n">
        <x:v>8</x:v>
      </x:c>
      <x:c r="D2785" s="380" t="str">
        <x:v>Aug</x:v>
      </x:c>
      <x:c r="E2785" s="380" t="n">
        <x:v>10</x:v>
      </x:c>
      <x:c r="F2785" s="380" t="n">
        <x:v>2</x:v>
      </x:c>
      <x:c r="G2785" s="380" t="n">
        <x:f>--(F2785&lt;='Estimator'!$B$7)</x:f>
        <x:v>1</x:v>
      </x:c>
      <x:c r="H2785" s="381" t="n">
        <x:f>SUMIFS('Climate Data'!$G$7:$G$366,'Climate Data'!$A$7:$A$366,'Estimator'!$B$4,'Climate Data'!$B$7:$B$366,C2785)</x:f>
        <x:v>0.47274749721913234</x:v>
      </x:c>
      <x:c r="I2785" s="382" t="n">
        <x:f>SUMIFS('Climate Data'!$H$7:$H$366,'Climate Data'!$A$7:$A$366,'Estimator'!$B$4,'Climate Data'!$B$7:$B$366,C2785)</x:f>
        <x:v>7.9971764705882356</x:v>
      </x:c>
      <x:c r="J2785" s="381" t="n">
        <x:f>SUMIFS('Wind Proxy'!$H$8:$H$19,'Wind Proxy'!$A$8:$A$19,'Estimator'!$B$4,'Wind Proxy'!$B$8:$B$19,C2785)</x:f>
        <x:v>0.13739545997610514</x:v>
      </x:c>
    </x:row>
    <x:row r="2786">
      <x:c r="A2786" s="379" t="n">
        <x:v>48437</x:v>
      </x:c>
      <x:c r="B2786" s="380" t="n">
        <x:v>2032</x:v>
      </x:c>
      <x:c r="C2786" s="380" t="n">
        <x:v>8</x:v>
      </x:c>
      <x:c r="D2786" s="380" t="str">
        <x:v>Aug</x:v>
      </x:c>
      <x:c r="E2786" s="380" t="n">
        <x:v>11</x:v>
      </x:c>
      <x:c r="F2786" s="380" t="n">
        <x:v>3</x:v>
      </x:c>
      <x:c r="G2786" s="380" t="n">
        <x:f>--(F2786&lt;='Estimator'!$B$7)</x:f>
        <x:v>1</x:v>
      </x:c>
      <x:c r="H2786" s="381" t="n">
        <x:f>SUMIFS('Climate Data'!$G$7:$G$366,'Climate Data'!$A$7:$A$366,'Estimator'!$B$4,'Climate Data'!$B$7:$B$366,C2786)</x:f>
        <x:v>0.47274749721913234</x:v>
      </x:c>
      <x:c r="I2786" s="382" t="n">
        <x:f>SUMIFS('Climate Data'!$H$7:$H$366,'Climate Data'!$A$7:$A$366,'Estimator'!$B$4,'Climate Data'!$B$7:$B$366,C2786)</x:f>
        <x:v>7.9971764705882356</x:v>
      </x:c>
      <x:c r="J2786" s="381" t="n">
        <x:f>SUMIFS('Wind Proxy'!$H$8:$H$19,'Wind Proxy'!$A$8:$A$19,'Estimator'!$B$4,'Wind Proxy'!$B$8:$B$19,C2786)</x:f>
        <x:v>0.13739545997610514</x:v>
      </x:c>
    </x:row>
    <x:row r="2787">
      <x:c r="A2787" s="379" t="n">
        <x:v>48438</x:v>
      </x:c>
      <x:c r="B2787" s="380" t="n">
        <x:v>2032</x:v>
      </x:c>
      <x:c r="C2787" s="380" t="n">
        <x:v>8</x:v>
      </x:c>
      <x:c r="D2787" s="380" t="str">
        <x:v>Aug</x:v>
      </x:c>
      <x:c r="E2787" s="380" t="n">
        <x:v>12</x:v>
      </x:c>
      <x:c r="F2787" s="380" t="n">
        <x:v>4</x:v>
      </x:c>
      <x:c r="G2787" s="380" t="n">
        <x:f>--(F2787&lt;='Estimator'!$B$7)</x:f>
        <x:v>1</x:v>
      </x:c>
      <x:c r="H2787" s="381" t="n">
        <x:f>SUMIFS('Climate Data'!$G$7:$G$366,'Climate Data'!$A$7:$A$366,'Estimator'!$B$4,'Climate Data'!$B$7:$B$366,C2787)</x:f>
        <x:v>0.47274749721913234</x:v>
      </x:c>
      <x:c r="I2787" s="382" t="n">
        <x:f>SUMIFS('Climate Data'!$H$7:$H$366,'Climate Data'!$A$7:$A$366,'Estimator'!$B$4,'Climate Data'!$B$7:$B$366,C2787)</x:f>
        <x:v>7.9971764705882356</x:v>
      </x:c>
      <x:c r="J2787" s="381" t="n">
        <x:f>SUMIFS('Wind Proxy'!$H$8:$H$19,'Wind Proxy'!$A$8:$A$19,'Estimator'!$B$4,'Wind Proxy'!$B$8:$B$19,C2787)</x:f>
        <x:v>0.13739545997610514</x:v>
      </x:c>
    </x:row>
    <x:row r="2788">
      <x:c r="A2788" s="379" t="n">
        <x:v>48439</x:v>
      </x:c>
      <x:c r="B2788" s="380" t="n">
        <x:v>2032</x:v>
      </x:c>
      <x:c r="C2788" s="380" t="n">
        <x:v>8</x:v>
      </x:c>
      <x:c r="D2788" s="380" t="str">
        <x:v>Aug</x:v>
      </x:c>
      <x:c r="E2788" s="380" t="n">
        <x:v>13</x:v>
      </x:c>
      <x:c r="F2788" s="380" t="n">
        <x:v>5</x:v>
      </x:c>
      <x:c r="G2788" s="380" t="n">
        <x:f>--(F2788&lt;='Estimator'!$B$7)</x:f>
        <x:v>1</x:v>
      </x:c>
      <x:c r="H2788" s="381" t="n">
        <x:f>SUMIFS('Climate Data'!$G$7:$G$366,'Climate Data'!$A$7:$A$366,'Estimator'!$B$4,'Climate Data'!$B$7:$B$366,C2788)</x:f>
        <x:v>0.47274749721913234</x:v>
      </x:c>
      <x:c r="I2788" s="382" t="n">
        <x:f>SUMIFS('Climate Data'!$H$7:$H$366,'Climate Data'!$A$7:$A$366,'Estimator'!$B$4,'Climate Data'!$B$7:$B$366,C2788)</x:f>
        <x:v>7.9971764705882356</x:v>
      </x:c>
      <x:c r="J2788" s="381" t="n">
        <x:f>SUMIFS('Wind Proxy'!$H$8:$H$19,'Wind Proxy'!$A$8:$A$19,'Estimator'!$B$4,'Wind Proxy'!$B$8:$B$19,C2788)</x:f>
        <x:v>0.13739545997610514</x:v>
      </x:c>
    </x:row>
    <x:row r="2789">
      <x:c r="A2789" s="379" t="n">
        <x:v>48440</x:v>
      </x:c>
      <x:c r="B2789" s="380" t="n">
        <x:v>2032</x:v>
      </x:c>
      <x:c r="C2789" s="380" t="n">
        <x:v>8</x:v>
      </x:c>
      <x:c r="D2789" s="380" t="str">
        <x:v>Aug</x:v>
      </x:c>
      <x:c r="E2789" s="380" t="n">
        <x:v>14</x:v>
      </x:c>
      <x:c r="F2789" s="380" t="n">
        <x:v>6</x:v>
      </x:c>
      <x:c r="G2789" s="380" t="n">
        <x:f>--(F2789&lt;='Estimator'!$B$7)</x:f>
        <x:v>0</x:v>
      </x:c>
      <x:c r="H2789" s="381" t="n">
        <x:f>SUMIFS('Climate Data'!$G$7:$G$366,'Climate Data'!$A$7:$A$366,'Estimator'!$B$4,'Climate Data'!$B$7:$B$366,C2789)</x:f>
        <x:v>0.47274749721913234</x:v>
      </x:c>
      <x:c r="I2789" s="382" t="n">
        <x:f>SUMIFS('Climate Data'!$H$7:$H$366,'Climate Data'!$A$7:$A$366,'Estimator'!$B$4,'Climate Data'!$B$7:$B$366,C2789)</x:f>
        <x:v>7.9971764705882356</x:v>
      </x:c>
      <x:c r="J2789" s="381" t="n">
        <x:f>SUMIFS('Wind Proxy'!$H$8:$H$19,'Wind Proxy'!$A$8:$A$19,'Estimator'!$B$4,'Wind Proxy'!$B$8:$B$19,C2789)</x:f>
        <x:v>0.13739545997610514</x:v>
      </x:c>
    </x:row>
    <x:row r="2790">
      <x:c r="A2790" s="379" t="n">
        <x:v>48441</x:v>
      </x:c>
      <x:c r="B2790" s="380" t="n">
        <x:v>2032</x:v>
      </x:c>
      <x:c r="C2790" s="380" t="n">
        <x:v>8</x:v>
      </x:c>
      <x:c r="D2790" s="380" t="str">
        <x:v>Aug</x:v>
      </x:c>
      <x:c r="E2790" s="380" t="n">
        <x:v>15</x:v>
      </x:c>
      <x:c r="F2790" s="380" t="n">
        <x:v>7</x:v>
      </x:c>
      <x:c r="G2790" s="380" t="n">
        <x:f>--(F2790&lt;='Estimator'!$B$7)</x:f>
        <x:v>0</x:v>
      </x:c>
      <x:c r="H2790" s="381" t="n">
        <x:f>SUMIFS('Climate Data'!$G$7:$G$366,'Climate Data'!$A$7:$A$366,'Estimator'!$B$4,'Climate Data'!$B$7:$B$366,C2790)</x:f>
        <x:v>0.47274749721913234</x:v>
      </x:c>
      <x:c r="I2790" s="382" t="n">
        <x:f>SUMIFS('Climate Data'!$H$7:$H$366,'Climate Data'!$A$7:$A$366,'Estimator'!$B$4,'Climate Data'!$B$7:$B$366,C2790)</x:f>
        <x:v>7.9971764705882356</x:v>
      </x:c>
      <x:c r="J2790" s="381" t="n">
        <x:f>SUMIFS('Wind Proxy'!$H$8:$H$19,'Wind Proxy'!$A$8:$A$19,'Estimator'!$B$4,'Wind Proxy'!$B$8:$B$19,C2790)</x:f>
        <x:v>0.13739545997610514</x:v>
      </x:c>
    </x:row>
    <x:row r="2791">
      <x:c r="A2791" s="379" t="n">
        <x:v>48442</x:v>
      </x:c>
      <x:c r="B2791" s="380" t="n">
        <x:v>2032</x:v>
      </x:c>
      <x:c r="C2791" s="380" t="n">
        <x:v>8</x:v>
      </x:c>
      <x:c r="D2791" s="380" t="str">
        <x:v>Aug</x:v>
      </x:c>
      <x:c r="E2791" s="380" t="n">
        <x:v>16</x:v>
      </x:c>
      <x:c r="F2791" s="380" t="n">
        <x:v>1</x:v>
      </x:c>
      <x:c r="G2791" s="380" t="n">
        <x:f>--(F2791&lt;='Estimator'!$B$7)</x:f>
        <x:v>1</x:v>
      </x:c>
      <x:c r="H2791" s="381" t="n">
        <x:f>SUMIFS('Climate Data'!$G$7:$G$366,'Climate Data'!$A$7:$A$366,'Estimator'!$B$4,'Climate Data'!$B$7:$B$366,C2791)</x:f>
        <x:v>0.47274749721913234</x:v>
      </x:c>
      <x:c r="I2791" s="382" t="n">
        <x:f>SUMIFS('Climate Data'!$H$7:$H$366,'Climate Data'!$A$7:$A$366,'Estimator'!$B$4,'Climate Data'!$B$7:$B$366,C2791)</x:f>
        <x:v>7.9971764705882356</x:v>
      </x:c>
      <x:c r="J2791" s="381" t="n">
        <x:f>SUMIFS('Wind Proxy'!$H$8:$H$19,'Wind Proxy'!$A$8:$A$19,'Estimator'!$B$4,'Wind Proxy'!$B$8:$B$19,C2791)</x:f>
        <x:v>0.13739545997610514</x:v>
      </x:c>
    </x:row>
    <x:row r="2792">
      <x:c r="A2792" s="379" t="n">
        <x:v>48443</x:v>
      </x:c>
      <x:c r="B2792" s="380" t="n">
        <x:v>2032</x:v>
      </x:c>
      <x:c r="C2792" s="380" t="n">
        <x:v>8</x:v>
      </x:c>
      <x:c r="D2792" s="380" t="str">
        <x:v>Aug</x:v>
      </x:c>
      <x:c r="E2792" s="380" t="n">
        <x:v>17</x:v>
      </x:c>
      <x:c r="F2792" s="380" t="n">
        <x:v>2</x:v>
      </x:c>
      <x:c r="G2792" s="380" t="n">
        <x:f>--(F2792&lt;='Estimator'!$B$7)</x:f>
        <x:v>1</x:v>
      </x:c>
      <x:c r="H2792" s="381" t="n">
        <x:f>SUMIFS('Climate Data'!$G$7:$G$366,'Climate Data'!$A$7:$A$366,'Estimator'!$B$4,'Climate Data'!$B$7:$B$366,C2792)</x:f>
        <x:v>0.47274749721913234</x:v>
      </x:c>
      <x:c r="I2792" s="382" t="n">
        <x:f>SUMIFS('Climate Data'!$H$7:$H$366,'Climate Data'!$A$7:$A$366,'Estimator'!$B$4,'Climate Data'!$B$7:$B$366,C2792)</x:f>
        <x:v>7.9971764705882356</x:v>
      </x:c>
      <x:c r="J2792" s="381" t="n">
        <x:f>SUMIFS('Wind Proxy'!$H$8:$H$19,'Wind Proxy'!$A$8:$A$19,'Estimator'!$B$4,'Wind Proxy'!$B$8:$B$19,C2792)</x:f>
        <x:v>0.13739545997610514</x:v>
      </x:c>
    </x:row>
    <x:row r="2793">
      <x:c r="A2793" s="379" t="n">
        <x:v>48444</x:v>
      </x:c>
      <x:c r="B2793" s="380" t="n">
        <x:v>2032</x:v>
      </x:c>
      <x:c r="C2793" s="380" t="n">
        <x:v>8</x:v>
      </x:c>
      <x:c r="D2793" s="380" t="str">
        <x:v>Aug</x:v>
      </x:c>
      <x:c r="E2793" s="380" t="n">
        <x:v>18</x:v>
      </x:c>
      <x:c r="F2793" s="380" t="n">
        <x:v>3</x:v>
      </x:c>
      <x:c r="G2793" s="380" t="n">
        <x:f>--(F2793&lt;='Estimator'!$B$7)</x:f>
        <x:v>1</x:v>
      </x:c>
      <x:c r="H2793" s="381" t="n">
        <x:f>SUMIFS('Climate Data'!$G$7:$G$366,'Climate Data'!$A$7:$A$366,'Estimator'!$B$4,'Climate Data'!$B$7:$B$366,C2793)</x:f>
        <x:v>0.47274749721913234</x:v>
      </x:c>
      <x:c r="I2793" s="382" t="n">
        <x:f>SUMIFS('Climate Data'!$H$7:$H$366,'Climate Data'!$A$7:$A$366,'Estimator'!$B$4,'Climate Data'!$B$7:$B$366,C2793)</x:f>
        <x:v>7.9971764705882356</x:v>
      </x:c>
      <x:c r="J2793" s="381" t="n">
        <x:f>SUMIFS('Wind Proxy'!$H$8:$H$19,'Wind Proxy'!$A$8:$A$19,'Estimator'!$B$4,'Wind Proxy'!$B$8:$B$19,C2793)</x:f>
        <x:v>0.13739545997610514</x:v>
      </x:c>
    </x:row>
    <x:row r="2794">
      <x:c r="A2794" s="379" t="n">
        <x:v>48445</x:v>
      </x:c>
      <x:c r="B2794" s="380" t="n">
        <x:v>2032</x:v>
      </x:c>
      <x:c r="C2794" s="380" t="n">
        <x:v>8</x:v>
      </x:c>
      <x:c r="D2794" s="380" t="str">
        <x:v>Aug</x:v>
      </x:c>
      <x:c r="E2794" s="380" t="n">
        <x:v>19</x:v>
      </x:c>
      <x:c r="F2794" s="380" t="n">
        <x:v>4</x:v>
      </x:c>
      <x:c r="G2794" s="380" t="n">
        <x:f>--(F2794&lt;='Estimator'!$B$7)</x:f>
        <x:v>1</x:v>
      </x:c>
      <x:c r="H2794" s="381" t="n">
        <x:f>SUMIFS('Climate Data'!$G$7:$G$366,'Climate Data'!$A$7:$A$366,'Estimator'!$B$4,'Climate Data'!$B$7:$B$366,C2794)</x:f>
        <x:v>0.47274749721913234</x:v>
      </x:c>
      <x:c r="I2794" s="382" t="n">
        <x:f>SUMIFS('Climate Data'!$H$7:$H$366,'Climate Data'!$A$7:$A$366,'Estimator'!$B$4,'Climate Data'!$B$7:$B$366,C2794)</x:f>
        <x:v>7.9971764705882356</x:v>
      </x:c>
      <x:c r="J2794" s="381" t="n">
        <x:f>SUMIFS('Wind Proxy'!$H$8:$H$19,'Wind Proxy'!$A$8:$A$19,'Estimator'!$B$4,'Wind Proxy'!$B$8:$B$19,C2794)</x:f>
        <x:v>0.13739545997610514</x:v>
      </x:c>
    </x:row>
    <x:row r="2795">
      <x:c r="A2795" s="379" t="n">
        <x:v>48446</x:v>
      </x:c>
      <x:c r="B2795" s="380" t="n">
        <x:v>2032</x:v>
      </x:c>
      <x:c r="C2795" s="380" t="n">
        <x:v>8</x:v>
      </x:c>
      <x:c r="D2795" s="380" t="str">
        <x:v>Aug</x:v>
      </x:c>
      <x:c r="E2795" s="380" t="n">
        <x:v>20</x:v>
      </x:c>
      <x:c r="F2795" s="380" t="n">
        <x:v>5</x:v>
      </x:c>
      <x:c r="G2795" s="380" t="n">
        <x:f>--(F2795&lt;='Estimator'!$B$7)</x:f>
        <x:v>1</x:v>
      </x:c>
      <x:c r="H2795" s="381" t="n">
        <x:f>SUMIFS('Climate Data'!$G$7:$G$366,'Climate Data'!$A$7:$A$366,'Estimator'!$B$4,'Climate Data'!$B$7:$B$366,C2795)</x:f>
        <x:v>0.47274749721913234</x:v>
      </x:c>
      <x:c r="I2795" s="382" t="n">
        <x:f>SUMIFS('Climate Data'!$H$7:$H$366,'Climate Data'!$A$7:$A$366,'Estimator'!$B$4,'Climate Data'!$B$7:$B$366,C2795)</x:f>
        <x:v>7.9971764705882356</x:v>
      </x:c>
      <x:c r="J2795" s="381" t="n">
        <x:f>SUMIFS('Wind Proxy'!$H$8:$H$19,'Wind Proxy'!$A$8:$A$19,'Estimator'!$B$4,'Wind Proxy'!$B$8:$B$19,C2795)</x:f>
        <x:v>0.13739545997610514</x:v>
      </x:c>
    </x:row>
    <x:row r="2796">
      <x:c r="A2796" s="379" t="n">
        <x:v>48447</x:v>
      </x:c>
      <x:c r="B2796" s="380" t="n">
        <x:v>2032</x:v>
      </x:c>
      <x:c r="C2796" s="380" t="n">
        <x:v>8</x:v>
      </x:c>
      <x:c r="D2796" s="380" t="str">
        <x:v>Aug</x:v>
      </x:c>
      <x:c r="E2796" s="380" t="n">
        <x:v>21</x:v>
      </x:c>
      <x:c r="F2796" s="380" t="n">
        <x:v>6</x:v>
      </x:c>
      <x:c r="G2796" s="380" t="n">
        <x:f>--(F2796&lt;='Estimator'!$B$7)</x:f>
        <x:v>0</x:v>
      </x:c>
      <x:c r="H2796" s="381" t="n">
        <x:f>SUMIFS('Climate Data'!$G$7:$G$366,'Climate Data'!$A$7:$A$366,'Estimator'!$B$4,'Climate Data'!$B$7:$B$366,C2796)</x:f>
        <x:v>0.47274749721913234</x:v>
      </x:c>
      <x:c r="I2796" s="382" t="n">
        <x:f>SUMIFS('Climate Data'!$H$7:$H$366,'Climate Data'!$A$7:$A$366,'Estimator'!$B$4,'Climate Data'!$B$7:$B$366,C2796)</x:f>
        <x:v>7.9971764705882356</x:v>
      </x:c>
      <x:c r="J2796" s="381" t="n">
        <x:f>SUMIFS('Wind Proxy'!$H$8:$H$19,'Wind Proxy'!$A$8:$A$19,'Estimator'!$B$4,'Wind Proxy'!$B$8:$B$19,C2796)</x:f>
        <x:v>0.13739545997610514</x:v>
      </x:c>
    </x:row>
    <x:row r="2797">
      <x:c r="A2797" s="379" t="n">
        <x:v>48448</x:v>
      </x:c>
      <x:c r="B2797" s="380" t="n">
        <x:v>2032</x:v>
      </x:c>
      <x:c r="C2797" s="380" t="n">
        <x:v>8</x:v>
      </x:c>
      <x:c r="D2797" s="380" t="str">
        <x:v>Aug</x:v>
      </x:c>
      <x:c r="E2797" s="380" t="n">
        <x:v>22</x:v>
      </x:c>
      <x:c r="F2797" s="380" t="n">
        <x:v>7</x:v>
      </x:c>
      <x:c r="G2797" s="380" t="n">
        <x:f>--(F2797&lt;='Estimator'!$B$7)</x:f>
        <x:v>0</x:v>
      </x:c>
      <x:c r="H2797" s="381" t="n">
        <x:f>SUMIFS('Climate Data'!$G$7:$G$366,'Climate Data'!$A$7:$A$366,'Estimator'!$B$4,'Climate Data'!$B$7:$B$366,C2797)</x:f>
        <x:v>0.47274749721913234</x:v>
      </x:c>
      <x:c r="I2797" s="382" t="n">
        <x:f>SUMIFS('Climate Data'!$H$7:$H$366,'Climate Data'!$A$7:$A$366,'Estimator'!$B$4,'Climate Data'!$B$7:$B$366,C2797)</x:f>
        <x:v>7.9971764705882356</x:v>
      </x:c>
      <x:c r="J2797" s="381" t="n">
        <x:f>SUMIFS('Wind Proxy'!$H$8:$H$19,'Wind Proxy'!$A$8:$A$19,'Estimator'!$B$4,'Wind Proxy'!$B$8:$B$19,C2797)</x:f>
        <x:v>0.13739545997610514</x:v>
      </x:c>
    </x:row>
    <x:row r="2798">
      <x:c r="A2798" s="379" t="n">
        <x:v>48449</x:v>
      </x:c>
      <x:c r="B2798" s="380" t="n">
        <x:v>2032</x:v>
      </x:c>
      <x:c r="C2798" s="380" t="n">
        <x:v>8</x:v>
      </x:c>
      <x:c r="D2798" s="380" t="str">
        <x:v>Aug</x:v>
      </x:c>
      <x:c r="E2798" s="380" t="n">
        <x:v>23</x:v>
      </x:c>
      <x:c r="F2798" s="380" t="n">
        <x:v>1</x:v>
      </x:c>
      <x:c r="G2798" s="380" t="n">
        <x:f>--(F2798&lt;='Estimator'!$B$7)</x:f>
        <x:v>1</x:v>
      </x:c>
      <x:c r="H2798" s="381" t="n">
        <x:f>SUMIFS('Climate Data'!$G$7:$G$366,'Climate Data'!$A$7:$A$366,'Estimator'!$B$4,'Climate Data'!$B$7:$B$366,C2798)</x:f>
        <x:v>0.47274749721913234</x:v>
      </x:c>
      <x:c r="I2798" s="382" t="n">
        <x:f>SUMIFS('Climate Data'!$H$7:$H$366,'Climate Data'!$A$7:$A$366,'Estimator'!$B$4,'Climate Data'!$B$7:$B$366,C2798)</x:f>
        <x:v>7.9971764705882356</x:v>
      </x:c>
      <x:c r="J2798" s="381" t="n">
        <x:f>SUMIFS('Wind Proxy'!$H$8:$H$19,'Wind Proxy'!$A$8:$A$19,'Estimator'!$B$4,'Wind Proxy'!$B$8:$B$19,C2798)</x:f>
        <x:v>0.13739545997610514</x:v>
      </x:c>
    </x:row>
    <x:row r="2799">
      <x:c r="A2799" s="379" t="n">
        <x:v>48450</x:v>
      </x:c>
      <x:c r="B2799" s="380" t="n">
        <x:v>2032</x:v>
      </x:c>
      <x:c r="C2799" s="380" t="n">
        <x:v>8</x:v>
      </x:c>
      <x:c r="D2799" s="380" t="str">
        <x:v>Aug</x:v>
      </x:c>
      <x:c r="E2799" s="380" t="n">
        <x:v>24</x:v>
      </x:c>
      <x:c r="F2799" s="380" t="n">
        <x:v>2</x:v>
      </x:c>
      <x:c r="G2799" s="380" t="n">
        <x:f>--(F2799&lt;='Estimator'!$B$7)</x:f>
        <x:v>1</x:v>
      </x:c>
      <x:c r="H2799" s="381" t="n">
        <x:f>SUMIFS('Climate Data'!$G$7:$G$366,'Climate Data'!$A$7:$A$366,'Estimator'!$B$4,'Climate Data'!$B$7:$B$366,C2799)</x:f>
        <x:v>0.47274749721913234</x:v>
      </x:c>
      <x:c r="I2799" s="382" t="n">
        <x:f>SUMIFS('Climate Data'!$H$7:$H$366,'Climate Data'!$A$7:$A$366,'Estimator'!$B$4,'Climate Data'!$B$7:$B$366,C2799)</x:f>
        <x:v>7.9971764705882356</x:v>
      </x:c>
      <x:c r="J2799" s="381" t="n">
        <x:f>SUMIFS('Wind Proxy'!$H$8:$H$19,'Wind Proxy'!$A$8:$A$19,'Estimator'!$B$4,'Wind Proxy'!$B$8:$B$19,C2799)</x:f>
        <x:v>0.13739545997610514</x:v>
      </x:c>
    </x:row>
    <x:row r="2800">
      <x:c r="A2800" s="379" t="n">
        <x:v>48451</x:v>
      </x:c>
      <x:c r="B2800" s="380" t="n">
        <x:v>2032</x:v>
      </x:c>
      <x:c r="C2800" s="380" t="n">
        <x:v>8</x:v>
      </x:c>
      <x:c r="D2800" s="380" t="str">
        <x:v>Aug</x:v>
      </x:c>
      <x:c r="E2800" s="380" t="n">
        <x:v>25</x:v>
      </x:c>
      <x:c r="F2800" s="380" t="n">
        <x:v>3</x:v>
      </x:c>
      <x:c r="G2800" s="380" t="n">
        <x:f>--(F2800&lt;='Estimator'!$B$7)</x:f>
        <x:v>1</x:v>
      </x:c>
      <x:c r="H2800" s="381" t="n">
        <x:f>SUMIFS('Climate Data'!$G$7:$G$366,'Climate Data'!$A$7:$A$366,'Estimator'!$B$4,'Climate Data'!$B$7:$B$366,C2800)</x:f>
        <x:v>0.47274749721913234</x:v>
      </x:c>
      <x:c r="I2800" s="382" t="n">
        <x:f>SUMIFS('Climate Data'!$H$7:$H$366,'Climate Data'!$A$7:$A$366,'Estimator'!$B$4,'Climate Data'!$B$7:$B$366,C2800)</x:f>
        <x:v>7.9971764705882356</x:v>
      </x:c>
      <x:c r="J2800" s="381" t="n">
        <x:f>SUMIFS('Wind Proxy'!$H$8:$H$19,'Wind Proxy'!$A$8:$A$19,'Estimator'!$B$4,'Wind Proxy'!$B$8:$B$19,C2800)</x:f>
        <x:v>0.13739545997610514</x:v>
      </x:c>
    </x:row>
    <x:row r="2801">
      <x:c r="A2801" s="379" t="n">
        <x:v>48452</x:v>
      </x:c>
      <x:c r="B2801" s="380" t="n">
        <x:v>2032</x:v>
      </x:c>
      <x:c r="C2801" s="380" t="n">
        <x:v>8</x:v>
      </x:c>
      <x:c r="D2801" s="380" t="str">
        <x:v>Aug</x:v>
      </x:c>
      <x:c r="E2801" s="380" t="n">
        <x:v>26</x:v>
      </x:c>
      <x:c r="F2801" s="380" t="n">
        <x:v>4</x:v>
      </x:c>
      <x:c r="G2801" s="380" t="n">
        <x:f>--(F2801&lt;='Estimator'!$B$7)</x:f>
        <x:v>1</x:v>
      </x:c>
      <x:c r="H2801" s="381" t="n">
        <x:f>SUMIFS('Climate Data'!$G$7:$G$366,'Climate Data'!$A$7:$A$366,'Estimator'!$B$4,'Climate Data'!$B$7:$B$366,C2801)</x:f>
        <x:v>0.47274749721913234</x:v>
      </x:c>
      <x:c r="I2801" s="382" t="n">
        <x:f>SUMIFS('Climate Data'!$H$7:$H$366,'Climate Data'!$A$7:$A$366,'Estimator'!$B$4,'Climate Data'!$B$7:$B$366,C2801)</x:f>
        <x:v>7.9971764705882356</x:v>
      </x:c>
      <x:c r="J2801" s="381" t="n">
        <x:f>SUMIFS('Wind Proxy'!$H$8:$H$19,'Wind Proxy'!$A$8:$A$19,'Estimator'!$B$4,'Wind Proxy'!$B$8:$B$19,C2801)</x:f>
        <x:v>0.13739545997610514</x:v>
      </x:c>
    </x:row>
    <x:row r="2802">
      <x:c r="A2802" s="379" t="n">
        <x:v>48453</x:v>
      </x:c>
      <x:c r="B2802" s="380" t="n">
        <x:v>2032</x:v>
      </x:c>
      <x:c r="C2802" s="380" t="n">
        <x:v>8</x:v>
      </x:c>
      <x:c r="D2802" s="380" t="str">
        <x:v>Aug</x:v>
      </x:c>
      <x:c r="E2802" s="380" t="n">
        <x:v>27</x:v>
      </x:c>
      <x:c r="F2802" s="380" t="n">
        <x:v>5</x:v>
      </x:c>
      <x:c r="G2802" s="380" t="n">
        <x:f>--(F2802&lt;='Estimator'!$B$7)</x:f>
        <x:v>1</x:v>
      </x:c>
      <x:c r="H2802" s="381" t="n">
        <x:f>SUMIFS('Climate Data'!$G$7:$G$366,'Climate Data'!$A$7:$A$366,'Estimator'!$B$4,'Climate Data'!$B$7:$B$366,C2802)</x:f>
        <x:v>0.47274749721913234</x:v>
      </x:c>
      <x:c r="I2802" s="382" t="n">
        <x:f>SUMIFS('Climate Data'!$H$7:$H$366,'Climate Data'!$A$7:$A$366,'Estimator'!$B$4,'Climate Data'!$B$7:$B$366,C2802)</x:f>
        <x:v>7.9971764705882356</x:v>
      </x:c>
      <x:c r="J2802" s="381" t="n">
        <x:f>SUMIFS('Wind Proxy'!$H$8:$H$19,'Wind Proxy'!$A$8:$A$19,'Estimator'!$B$4,'Wind Proxy'!$B$8:$B$19,C2802)</x:f>
        <x:v>0.13739545997610514</x:v>
      </x:c>
    </x:row>
    <x:row r="2803">
      <x:c r="A2803" s="379" t="n">
        <x:v>48454</x:v>
      </x:c>
      <x:c r="B2803" s="380" t="n">
        <x:v>2032</x:v>
      </x:c>
      <x:c r="C2803" s="380" t="n">
        <x:v>8</x:v>
      </x:c>
      <x:c r="D2803" s="380" t="str">
        <x:v>Aug</x:v>
      </x:c>
      <x:c r="E2803" s="380" t="n">
        <x:v>28</x:v>
      </x:c>
      <x:c r="F2803" s="380" t="n">
        <x:v>6</x:v>
      </x:c>
      <x:c r="G2803" s="380" t="n">
        <x:f>--(F2803&lt;='Estimator'!$B$7)</x:f>
        <x:v>0</x:v>
      </x:c>
      <x:c r="H2803" s="381" t="n">
        <x:f>SUMIFS('Climate Data'!$G$7:$G$366,'Climate Data'!$A$7:$A$366,'Estimator'!$B$4,'Climate Data'!$B$7:$B$366,C2803)</x:f>
        <x:v>0.47274749721913234</x:v>
      </x:c>
      <x:c r="I2803" s="382" t="n">
        <x:f>SUMIFS('Climate Data'!$H$7:$H$366,'Climate Data'!$A$7:$A$366,'Estimator'!$B$4,'Climate Data'!$B$7:$B$366,C2803)</x:f>
        <x:v>7.9971764705882356</x:v>
      </x:c>
      <x:c r="J2803" s="381" t="n">
        <x:f>SUMIFS('Wind Proxy'!$H$8:$H$19,'Wind Proxy'!$A$8:$A$19,'Estimator'!$B$4,'Wind Proxy'!$B$8:$B$19,C2803)</x:f>
        <x:v>0.13739545997610514</x:v>
      </x:c>
    </x:row>
    <x:row r="2804">
      <x:c r="A2804" s="379" t="n">
        <x:v>48455</x:v>
      </x:c>
      <x:c r="B2804" s="380" t="n">
        <x:v>2032</x:v>
      </x:c>
      <x:c r="C2804" s="380" t="n">
        <x:v>8</x:v>
      </x:c>
      <x:c r="D2804" s="380" t="str">
        <x:v>Aug</x:v>
      </x:c>
      <x:c r="E2804" s="380" t="n">
        <x:v>29</x:v>
      </x:c>
      <x:c r="F2804" s="380" t="n">
        <x:v>7</x:v>
      </x:c>
      <x:c r="G2804" s="380" t="n">
        <x:f>--(F2804&lt;='Estimator'!$B$7)</x:f>
        <x:v>0</x:v>
      </x:c>
      <x:c r="H2804" s="381" t="n">
        <x:f>SUMIFS('Climate Data'!$G$7:$G$366,'Climate Data'!$A$7:$A$366,'Estimator'!$B$4,'Climate Data'!$B$7:$B$366,C2804)</x:f>
        <x:v>0.47274749721913234</x:v>
      </x:c>
      <x:c r="I2804" s="382" t="n">
        <x:f>SUMIFS('Climate Data'!$H$7:$H$366,'Climate Data'!$A$7:$A$366,'Estimator'!$B$4,'Climate Data'!$B$7:$B$366,C2804)</x:f>
        <x:v>7.9971764705882356</x:v>
      </x:c>
      <x:c r="J2804" s="381" t="n">
        <x:f>SUMIFS('Wind Proxy'!$H$8:$H$19,'Wind Proxy'!$A$8:$A$19,'Estimator'!$B$4,'Wind Proxy'!$B$8:$B$19,C2804)</x:f>
        <x:v>0.13739545997610514</x:v>
      </x:c>
    </x:row>
    <x:row r="2805">
      <x:c r="A2805" s="379" t="n">
        <x:v>48456</x:v>
      </x:c>
      <x:c r="B2805" s="380" t="n">
        <x:v>2032</x:v>
      </x:c>
      <x:c r="C2805" s="380" t="n">
        <x:v>8</x:v>
      </x:c>
      <x:c r="D2805" s="380" t="str">
        <x:v>Aug</x:v>
      </x:c>
      <x:c r="E2805" s="380" t="n">
        <x:v>30</x:v>
      </x:c>
      <x:c r="F2805" s="380" t="n">
        <x:v>1</x:v>
      </x:c>
      <x:c r="G2805" s="380" t="n">
        <x:f>--(F2805&lt;='Estimator'!$B$7)</x:f>
        <x:v>1</x:v>
      </x:c>
      <x:c r="H2805" s="381" t="n">
        <x:f>SUMIFS('Climate Data'!$G$7:$G$366,'Climate Data'!$A$7:$A$366,'Estimator'!$B$4,'Climate Data'!$B$7:$B$366,C2805)</x:f>
        <x:v>0.47274749721913234</x:v>
      </x:c>
      <x:c r="I2805" s="382" t="n">
        <x:f>SUMIFS('Climate Data'!$H$7:$H$366,'Climate Data'!$A$7:$A$366,'Estimator'!$B$4,'Climate Data'!$B$7:$B$366,C2805)</x:f>
        <x:v>7.9971764705882356</x:v>
      </x:c>
      <x:c r="J2805" s="381" t="n">
        <x:f>SUMIFS('Wind Proxy'!$H$8:$H$19,'Wind Proxy'!$A$8:$A$19,'Estimator'!$B$4,'Wind Proxy'!$B$8:$B$19,C2805)</x:f>
        <x:v>0.13739545997610514</x:v>
      </x:c>
    </x:row>
    <x:row r="2806">
      <x:c r="A2806" s="379" t="n">
        <x:v>48457</x:v>
      </x:c>
      <x:c r="B2806" s="380" t="n">
        <x:v>2032</x:v>
      </x:c>
      <x:c r="C2806" s="380" t="n">
        <x:v>8</x:v>
      </x:c>
      <x:c r="D2806" s="380" t="str">
        <x:v>Aug</x:v>
      </x:c>
      <x:c r="E2806" s="380" t="n">
        <x:v>31</x:v>
      </x:c>
      <x:c r="F2806" s="380" t="n">
        <x:v>2</x:v>
      </x:c>
      <x:c r="G2806" s="380" t="n">
        <x:f>--(F2806&lt;='Estimator'!$B$7)</x:f>
        <x:v>1</x:v>
      </x:c>
      <x:c r="H2806" s="381" t="n">
        <x:f>SUMIFS('Climate Data'!$G$7:$G$366,'Climate Data'!$A$7:$A$366,'Estimator'!$B$4,'Climate Data'!$B$7:$B$366,C2806)</x:f>
        <x:v>0.47274749721913234</x:v>
      </x:c>
      <x:c r="I2806" s="382" t="n">
        <x:f>SUMIFS('Climate Data'!$H$7:$H$366,'Climate Data'!$A$7:$A$366,'Estimator'!$B$4,'Climate Data'!$B$7:$B$366,C2806)</x:f>
        <x:v>7.9971764705882356</x:v>
      </x:c>
      <x:c r="J2806" s="381" t="n">
        <x:f>SUMIFS('Wind Proxy'!$H$8:$H$19,'Wind Proxy'!$A$8:$A$19,'Estimator'!$B$4,'Wind Proxy'!$B$8:$B$19,C2806)</x:f>
        <x:v>0.13739545997610514</x:v>
      </x:c>
    </x:row>
    <x:row r="2807">
      <x:c r="A2807" s="379" t="n">
        <x:v>48458</x:v>
      </x:c>
      <x:c r="B2807" s="380" t="n">
        <x:v>2032</x:v>
      </x:c>
      <x:c r="C2807" s="380" t="n">
        <x:v>9</x:v>
      </x:c>
      <x:c r="D2807" s="380" t="str">
        <x:v>Sep</x:v>
      </x:c>
      <x:c r="E2807" s="380" t="n">
        <x:v>1</x:v>
      </x:c>
      <x:c r="F2807" s="380" t="n">
        <x:v>3</x:v>
      </x:c>
      <x:c r="G2807" s="380" t="n">
        <x:f>--(F2807&lt;='Estimator'!$B$7)</x:f>
        <x:v>1</x:v>
      </x:c>
      <x:c r="H2807" s="381" t="n">
        <x:f>SUMIFS('Climate Data'!$G$7:$G$366,'Climate Data'!$A$7:$A$366,'Estimator'!$B$4,'Climate Data'!$B$7:$B$366,C2807)</x:f>
        <x:v>0.4160919540229885</x:v>
      </x:c>
      <x:c r="I2807" s="382" t="n">
        <x:f>SUMIFS('Climate Data'!$H$7:$H$366,'Climate Data'!$A$7:$A$366,'Estimator'!$B$4,'Climate Data'!$B$7:$B$366,C2807)</x:f>
        <x:v>8.019060773480662</x:v>
      </x:c>
      <x:c r="J2807" s="381" t="n">
        <x:f>SUMIFS('Wind Proxy'!$H$8:$H$19,'Wind Proxy'!$A$8:$A$19,'Estimator'!$B$4,'Wind Proxy'!$B$8:$B$19,C2807)</x:f>
        <x:v>0.22222222222222224</x:v>
      </x:c>
    </x:row>
    <x:row r="2808">
      <x:c r="A2808" s="379" t="n">
        <x:v>48459</x:v>
      </x:c>
      <x:c r="B2808" s="380" t="n">
        <x:v>2032</x:v>
      </x:c>
      <x:c r="C2808" s="380" t="n">
        <x:v>9</x:v>
      </x:c>
      <x:c r="D2808" s="380" t="str">
        <x:v>Sep</x:v>
      </x:c>
      <x:c r="E2808" s="380" t="n">
        <x:v>2</x:v>
      </x:c>
      <x:c r="F2808" s="380" t="n">
        <x:v>4</x:v>
      </x:c>
      <x:c r="G2808" s="380" t="n">
        <x:f>--(F2808&lt;='Estimator'!$B$7)</x:f>
        <x:v>1</x:v>
      </x:c>
      <x:c r="H2808" s="381" t="n">
        <x:f>SUMIFS('Climate Data'!$G$7:$G$366,'Climate Data'!$A$7:$A$366,'Estimator'!$B$4,'Climate Data'!$B$7:$B$366,C2808)</x:f>
        <x:v>0.4160919540229885</x:v>
      </x:c>
      <x:c r="I2808" s="382" t="n">
        <x:f>SUMIFS('Climate Data'!$H$7:$H$366,'Climate Data'!$A$7:$A$366,'Estimator'!$B$4,'Climate Data'!$B$7:$B$366,C2808)</x:f>
        <x:v>8.019060773480662</x:v>
      </x:c>
      <x:c r="J2808" s="381" t="n">
        <x:f>SUMIFS('Wind Proxy'!$H$8:$H$19,'Wind Proxy'!$A$8:$A$19,'Estimator'!$B$4,'Wind Proxy'!$B$8:$B$19,C2808)</x:f>
        <x:v>0.22222222222222224</x:v>
      </x:c>
    </x:row>
    <x:row r="2809">
      <x:c r="A2809" s="379" t="n">
        <x:v>48460</x:v>
      </x:c>
      <x:c r="B2809" s="380" t="n">
        <x:v>2032</x:v>
      </x:c>
      <x:c r="C2809" s="380" t="n">
        <x:v>9</x:v>
      </x:c>
      <x:c r="D2809" s="380" t="str">
        <x:v>Sep</x:v>
      </x:c>
      <x:c r="E2809" s="380" t="n">
        <x:v>3</x:v>
      </x:c>
      <x:c r="F2809" s="380" t="n">
        <x:v>5</x:v>
      </x:c>
      <x:c r="G2809" s="380" t="n">
        <x:f>--(F2809&lt;='Estimator'!$B$7)</x:f>
        <x:v>1</x:v>
      </x:c>
      <x:c r="H2809" s="381" t="n">
        <x:f>SUMIFS('Climate Data'!$G$7:$G$366,'Climate Data'!$A$7:$A$366,'Estimator'!$B$4,'Climate Data'!$B$7:$B$366,C2809)</x:f>
        <x:v>0.4160919540229885</x:v>
      </x:c>
      <x:c r="I2809" s="382" t="n">
        <x:f>SUMIFS('Climate Data'!$H$7:$H$366,'Climate Data'!$A$7:$A$366,'Estimator'!$B$4,'Climate Data'!$B$7:$B$366,C2809)</x:f>
        <x:v>8.019060773480662</x:v>
      </x:c>
      <x:c r="J2809" s="381" t="n">
        <x:f>SUMIFS('Wind Proxy'!$H$8:$H$19,'Wind Proxy'!$A$8:$A$19,'Estimator'!$B$4,'Wind Proxy'!$B$8:$B$19,C2809)</x:f>
        <x:v>0.22222222222222224</x:v>
      </x:c>
    </x:row>
    <x:row r="2810">
      <x:c r="A2810" s="379" t="n">
        <x:v>48461</x:v>
      </x:c>
      <x:c r="B2810" s="380" t="n">
        <x:v>2032</x:v>
      </x:c>
      <x:c r="C2810" s="380" t="n">
        <x:v>9</x:v>
      </x:c>
      <x:c r="D2810" s="380" t="str">
        <x:v>Sep</x:v>
      </x:c>
      <x:c r="E2810" s="380" t="n">
        <x:v>4</x:v>
      </x:c>
      <x:c r="F2810" s="380" t="n">
        <x:v>6</x:v>
      </x:c>
      <x:c r="G2810" s="380" t="n">
        <x:f>--(F2810&lt;='Estimator'!$B$7)</x:f>
        <x:v>0</x:v>
      </x:c>
      <x:c r="H2810" s="381" t="n">
        <x:f>SUMIFS('Climate Data'!$G$7:$G$366,'Climate Data'!$A$7:$A$366,'Estimator'!$B$4,'Climate Data'!$B$7:$B$366,C2810)</x:f>
        <x:v>0.4160919540229885</x:v>
      </x:c>
      <x:c r="I2810" s="382" t="n">
        <x:f>SUMIFS('Climate Data'!$H$7:$H$366,'Climate Data'!$A$7:$A$366,'Estimator'!$B$4,'Climate Data'!$B$7:$B$366,C2810)</x:f>
        <x:v>8.019060773480662</x:v>
      </x:c>
      <x:c r="J2810" s="381" t="n">
        <x:f>SUMIFS('Wind Proxy'!$H$8:$H$19,'Wind Proxy'!$A$8:$A$19,'Estimator'!$B$4,'Wind Proxy'!$B$8:$B$19,C2810)</x:f>
        <x:v>0.22222222222222224</x:v>
      </x:c>
    </x:row>
    <x:row r="2811">
      <x:c r="A2811" s="379" t="n">
        <x:v>48462</x:v>
      </x:c>
      <x:c r="B2811" s="380" t="n">
        <x:v>2032</x:v>
      </x:c>
      <x:c r="C2811" s="380" t="n">
        <x:v>9</x:v>
      </x:c>
      <x:c r="D2811" s="380" t="str">
        <x:v>Sep</x:v>
      </x:c>
      <x:c r="E2811" s="380" t="n">
        <x:v>5</x:v>
      </x:c>
      <x:c r="F2811" s="380" t="n">
        <x:v>7</x:v>
      </x:c>
      <x:c r="G2811" s="380" t="n">
        <x:f>--(F2811&lt;='Estimator'!$B$7)</x:f>
        <x:v>0</x:v>
      </x:c>
      <x:c r="H2811" s="381" t="n">
        <x:f>SUMIFS('Climate Data'!$G$7:$G$366,'Climate Data'!$A$7:$A$366,'Estimator'!$B$4,'Climate Data'!$B$7:$B$366,C2811)</x:f>
        <x:v>0.4160919540229885</x:v>
      </x:c>
      <x:c r="I2811" s="382" t="n">
        <x:f>SUMIFS('Climate Data'!$H$7:$H$366,'Climate Data'!$A$7:$A$366,'Estimator'!$B$4,'Climate Data'!$B$7:$B$366,C2811)</x:f>
        <x:v>8.019060773480662</x:v>
      </x:c>
      <x:c r="J2811" s="381" t="n">
        <x:f>SUMIFS('Wind Proxy'!$H$8:$H$19,'Wind Proxy'!$A$8:$A$19,'Estimator'!$B$4,'Wind Proxy'!$B$8:$B$19,C2811)</x:f>
        <x:v>0.22222222222222224</x:v>
      </x:c>
    </x:row>
    <x:row r="2812">
      <x:c r="A2812" s="379" t="n">
        <x:v>48463</x:v>
      </x:c>
      <x:c r="B2812" s="380" t="n">
        <x:v>2032</x:v>
      </x:c>
      <x:c r="C2812" s="380" t="n">
        <x:v>9</x:v>
      </x:c>
      <x:c r="D2812" s="380" t="str">
        <x:v>Sep</x:v>
      </x:c>
      <x:c r="E2812" s="380" t="n">
        <x:v>6</x:v>
      </x:c>
      <x:c r="F2812" s="380" t="n">
        <x:v>1</x:v>
      </x:c>
      <x:c r="G2812" s="380" t="n">
        <x:f>--(F2812&lt;='Estimator'!$B$7)</x:f>
        <x:v>1</x:v>
      </x:c>
      <x:c r="H2812" s="381" t="n">
        <x:f>SUMIFS('Climate Data'!$G$7:$G$366,'Climate Data'!$A$7:$A$366,'Estimator'!$B$4,'Climate Data'!$B$7:$B$366,C2812)</x:f>
        <x:v>0.4160919540229885</x:v>
      </x:c>
      <x:c r="I2812" s="382" t="n">
        <x:f>SUMIFS('Climate Data'!$H$7:$H$366,'Climate Data'!$A$7:$A$366,'Estimator'!$B$4,'Climate Data'!$B$7:$B$366,C2812)</x:f>
        <x:v>8.019060773480662</x:v>
      </x:c>
      <x:c r="J2812" s="381" t="n">
        <x:f>SUMIFS('Wind Proxy'!$H$8:$H$19,'Wind Proxy'!$A$8:$A$19,'Estimator'!$B$4,'Wind Proxy'!$B$8:$B$19,C2812)</x:f>
        <x:v>0.22222222222222224</x:v>
      </x:c>
    </x:row>
    <x:row r="2813">
      <x:c r="A2813" s="379" t="n">
        <x:v>48464</x:v>
      </x:c>
      <x:c r="B2813" s="380" t="n">
        <x:v>2032</x:v>
      </x:c>
      <x:c r="C2813" s="380" t="n">
        <x:v>9</x:v>
      </x:c>
      <x:c r="D2813" s="380" t="str">
        <x:v>Sep</x:v>
      </x:c>
      <x:c r="E2813" s="380" t="n">
        <x:v>7</x:v>
      </x:c>
      <x:c r="F2813" s="380" t="n">
        <x:v>2</x:v>
      </x:c>
      <x:c r="G2813" s="380" t="n">
        <x:f>--(F2813&lt;='Estimator'!$B$7)</x:f>
        <x:v>1</x:v>
      </x:c>
      <x:c r="H2813" s="381" t="n">
        <x:f>SUMIFS('Climate Data'!$G$7:$G$366,'Climate Data'!$A$7:$A$366,'Estimator'!$B$4,'Climate Data'!$B$7:$B$366,C2813)</x:f>
        <x:v>0.4160919540229885</x:v>
      </x:c>
      <x:c r="I2813" s="382" t="n">
        <x:f>SUMIFS('Climate Data'!$H$7:$H$366,'Climate Data'!$A$7:$A$366,'Estimator'!$B$4,'Climate Data'!$B$7:$B$366,C2813)</x:f>
        <x:v>8.019060773480662</x:v>
      </x:c>
      <x:c r="J2813" s="381" t="n">
        <x:f>SUMIFS('Wind Proxy'!$H$8:$H$19,'Wind Proxy'!$A$8:$A$19,'Estimator'!$B$4,'Wind Proxy'!$B$8:$B$19,C2813)</x:f>
        <x:v>0.22222222222222224</x:v>
      </x:c>
    </x:row>
    <x:row r="2814">
      <x:c r="A2814" s="379" t="n">
        <x:v>48465</x:v>
      </x:c>
      <x:c r="B2814" s="380" t="n">
        <x:v>2032</x:v>
      </x:c>
      <x:c r="C2814" s="380" t="n">
        <x:v>9</x:v>
      </x:c>
      <x:c r="D2814" s="380" t="str">
        <x:v>Sep</x:v>
      </x:c>
      <x:c r="E2814" s="380" t="n">
        <x:v>8</x:v>
      </x:c>
      <x:c r="F2814" s="380" t="n">
        <x:v>3</x:v>
      </x:c>
      <x:c r="G2814" s="380" t="n">
        <x:f>--(F2814&lt;='Estimator'!$B$7)</x:f>
        <x:v>1</x:v>
      </x:c>
      <x:c r="H2814" s="381" t="n">
        <x:f>SUMIFS('Climate Data'!$G$7:$G$366,'Climate Data'!$A$7:$A$366,'Estimator'!$B$4,'Climate Data'!$B$7:$B$366,C2814)</x:f>
        <x:v>0.4160919540229885</x:v>
      </x:c>
      <x:c r="I2814" s="382" t="n">
        <x:f>SUMIFS('Climate Data'!$H$7:$H$366,'Climate Data'!$A$7:$A$366,'Estimator'!$B$4,'Climate Data'!$B$7:$B$366,C2814)</x:f>
        <x:v>8.019060773480662</x:v>
      </x:c>
      <x:c r="J2814" s="381" t="n">
        <x:f>SUMIFS('Wind Proxy'!$H$8:$H$19,'Wind Proxy'!$A$8:$A$19,'Estimator'!$B$4,'Wind Proxy'!$B$8:$B$19,C2814)</x:f>
        <x:v>0.22222222222222224</x:v>
      </x:c>
    </x:row>
    <x:row r="2815">
      <x:c r="A2815" s="379" t="n">
        <x:v>48466</x:v>
      </x:c>
      <x:c r="B2815" s="380" t="n">
        <x:v>2032</x:v>
      </x:c>
      <x:c r="C2815" s="380" t="n">
        <x:v>9</x:v>
      </x:c>
      <x:c r="D2815" s="380" t="str">
        <x:v>Sep</x:v>
      </x:c>
      <x:c r="E2815" s="380" t="n">
        <x:v>9</x:v>
      </x:c>
      <x:c r="F2815" s="380" t="n">
        <x:v>4</x:v>
      </x:c>
      <x:c r="G2815" s="380" t="n">
        <x:f>--(F2815&lt;='Estimator'!$B$7)</x:f>
        <x:v>1</x:v>
      </x:c>
      <x:c r="H2815" s="381" t="n">
        <x:f>SUMIFS('Climate Data'!$G$7:$G$366,'Climate Data'!$A$7:$A$366,'Estimator'!$B$4,'Climate Data'!$B$7:$B$366,C2815)</x:f>
        <x:v>0.4160919540229885</x:v>
      </x:c>
      <x:c r="I2815" s="382" t="n">
        <x:f>SUMIFS('Climate Data'!$H$7:$H$366,'Climate Data'!$A$7:$A$366,'Estimator'!$B$4,'Climate Data'!$B$7:$B$366,C2815)</x:f>
        <x:v>8.019060773480662</x:v>
      </x:c>
      <x:c r="J2815" s="381" t="n">
        <x:f>SUMIFS('Wind Proxy'!$H$8:$H$19,'Wind Proxy'!$A$8:$A$19,'Estimator'!$B$4,'Wind Proxy'!$B$8:$B$19,C2815)</x:f>
        <x:v>0.22222222222222224</x:v>
      </x:c>
    </x:row>
    <x:row r="2816">
      <x:c r="A2816" s="379" t="n">
        <x:v>48467</x:v>
      </x:c>
      <x:c r="B2816" s="380" t="n">
        <x:v>2032</x:v>
      </x:c>
      <x:c r="C2816" s="380" t="n">
        <x:v>9</x:v>
      </x:c>
      <x:c r="D2816" s="380" t="str">
        <x:v>Sep</x:v>
      </x:c>
      <x:c r="E2816" s="380" t="n">
        <x:v>10</x:v>
      </x:c>
      <x:c r="F2816" s="380" t="n">
        <x:v>5</x:v>
      </x:c>
      <x:c r="G2816" s="380" t="n">
        <x:f>--(F2816&lt;='Estimator'!$B$7)</x:f>
        <x:v>1</x:v>
      </x:c>
      <x:c r="H2816" s="381" t="n">
        <x:f>SUMIFS('Climate Data'!$G$7:$G$366,'Climate Data'!$A$7:$A$366,'Estimator'!$B$4,'Climate Data'!$B$7:$B$366,C2816)</x:f>
        <x:v>0.4160919540229885</x:v>
      </x:c>
      <x:c r="I2816" s="382" t="n">
        <x:f>SUMIFS('Climate Data'!$H$7:$H$366,'Climate Data'!$A$7:$A$366,'Estimator'!$B$4,'Climate Data'!$B$7:$B$366,C2816)</x:f>
        <x:v>8.019060773480662</x:v>
      </x:c>
      <x:c r="J2816" s="381" t="n">
        <x:f>SUMIFS('Wind Proxy'!$H$8:$H$19,'Wind Proxy'!$A$8:$A$19,'Estimator'!$B$4,'Wind Proxy'!$B$8:$B$19,C2816)</x:f>
        <x:v>0.22222222222222224</x:v>
      </x:c>
    </x:row>
    <x:row r="2817">
      <x:c r="A2817" s="379" t="n">
        <x:v>48468</x:v>
      </x:c>
      <x:c r="B2817" s="380" t="n">
        <x:v>2032</x:v>
      </x:c>
      <x:c r="C2817" s="380" t="n">
        <x:v>9</x:v>
      </x:c>
      <x:c r="D2817" s="380" t="str">
        <x:v>Sep</x:v>
      </x:c>
      <x:c r="E2817" s="380" t="n">
        <x:v>11</x:v>
      </x:c>
      <x:c r="F2817" s="380" t="n">
        <x:v>6</x:v>
      </x:c>
      <x:c r="G2817" s="380" t="n">
        <x:f>--(F2817&lt;='Estimator'!$B$7)</x:f>
        <x:v>0</x:v>
      </x:c>
      <x:c r="H2817" s="381" t="n">
        <x:f>SUMIFS('Climate Data'!$G$7:$G$366,'Climate Data'!$A$7:$A$366,'Estimator'!$B$4,'Climate Data'!$B$7:$B$366,C2817)</x:f>
        <x:v>0.4160919540229885</x:v>
      </x:c>
      <x:c r="I2817" s="382" t="n">
        <x:f>SUMIFS('Climate Data'!$H$7:$H$366,'Climate Data'!$A$7:$A$366,'Estimator'!$B$4,'Climate Data'!$B$7:$B$366,C2817)</x:f>
        <x:v>8.019060773480662</x:v>
      </x:c>
      <x:c r="J2817" s="381" t="n">
        <x:f>SUMIFS('Wind Proxy'!$H$8:$H$19,'Wind Proxy'!$A$8:$A$19,'Estimator'!$B$4,'Wind Proxy'!$B$8:$B$19,C2817)</x:f>
        <x:v>0.22222222222222224</x:v>
      </x:c>
    </x:row>
    <x:row r="2818">
      <x:c r="A2818" s="379" t="n">
        <x:v>48469</x:v>
      </x:c>
      <x:c r="B2818" s="380" t="n">
        <x:v>2032</x:v>
      </x:c>
      <x:c r="C2818" s="380" t="n">
        <x:v>9</x:v>
      </x:c>
      <x:c r="D2818" s="380" t="str">
        <x:v>Sep</x:v>
      </x:c>
      <x:c r="E2818" s="380" t="n">
        <x:v>12</x:v>
      </x:c>
      <x:c r="F2818" s="380" t="n">
        <x:v>7</x:v>
      </x:c>
      <x:c r="G2818" s="380" t="n">
        <x:f>--(F2818&lt;='Estimator'!$B$7)</x:f>
        <x:v>0</x:v>
      </x:c>
      <x:c r="H2818" s="381" t="n">
        <x:f>SUMIFS('Climate Data'!$G$7:$G$366,'Climate Data'!$A$7:$A$366,'Estimator'!$B$4,'Climate Data'!$B$7:$B$366,C2818)</x:f>
        <x:v>0.4160919540229885</x:v>
      </x:c>
      <x:c r="I2818" s="382" t="n">
        <x:f>SUMIFS('Climate Data'!$H$7:$H$366,'Climate Data'!$A$7:$A$366,'Estimator'!$B$4,'Climate Data'!$B$7:$B$366,C2818)</x:f>
        <x:v>8.019060773480662</x:v>
      </x:c>
      <x:c r="J2818" s="381" t="n">
        <x:f>SUMIFS('Wind Proxy'!$H$8:$H$19,'Wind Proxy'!$A$8:$A$19,'Estimator'!$B$4,'Wind Proxy'!$B$8:$B$19,C2818)</x:f>
        <x:v>0.22222222222222224</x:v>
      </x:c>
    </x:row>
    <x:row r="2819">
      <x:c r="A2819" s="379" t="n">
        <x:v>48470</x:v>
      </x:c>
      <x:c r="B2819" s="380" t="n">
        <x:v>2032</x:v>
      </x:c>
      <x:c r="C2819" s="380" t="n">
        <x:v>9</x:v>
      </x:c>
      <x:c r="D2819" s="380" t="str">
        <x:v>Sep</x:v>
      </x:c>
      <x:c r="E2819" s="380" t="n">
        <x:v>13</x:v>
      </x:c>
      <x:c r="F2819" s="380" t="n">
        <x:v>1</x:v>
      </x:c>
      <x:c r="G2819" s="380" t="n">
        <x:f>--(F2819&lt;='Estimator'!$B$7)</x:f>
        <x:v>1</x:v>
      </x:c>
      <x:c r="H2819" s="381" t="n">
        <x:f>SUMIFS('Climate Data'!$G$7:$G$366,'Climate Data'!$A$7:$A$366,'Estimator'!$B$4,'Climate Data'!$B$7:$B$366,C2819)</x:f>
        <x:v>0.4160919540229885</x:v>
      </x:c>
      <x:c r="I2819" s="382" t="n">
        <x:f>SUMIFS('Climate Data'!$H$7:$H$366,'Climate Data'!$A$7:$A$366,'Estimator'!$B$4,'Climate Data'!$B$7:$B$366,C2819)</x:f>
        <x:v>8.019060773480662</x:v>
      </x:c>
      <x:c r="J2819" s="381" t="n">
        <x:f>SUMIFS('Wind Proxy'!$H$8:$H$19,'Wind Proxy'!$A$8:$A$19,'Estimator'!$B$4,'Wind Proxy'!$B$8:$B$19,C2819)</x:f>
        <x:v>0.22222222222222224</x:v>
      </x:c>
    </x:row>
    <x:row r="2820">
      <x:c r="A2820" s="379" t="n">
        <x:v>48471</x:v>
      </x:c>
      <x:c r="B2820" s="380" t="n">
        <x:v>2032</x:v>
      </x:c>
      <x:c r="C2820" s="380" t="n">
        <x:v>9</x:v>
      </x:c>
      <x:c r="D2820" s="380" t="str">
        <x:v>Sep</x:v>
      </x:c>
      <x:c r="E2820" s="380" t="n">
        <x:v>14</x:v>
      </x:c>
      <x:c r="F2820" s="380" t="n">
        <x:v>2</x:v>
      </x:c>
      <x:c r="G2820" s="380" t="n">
        <x:f>--(F2820&lt;='Estimator'!$B$7)</x:f>
        <x:v>1</x:v>
      </x:c>
      <x:c r="H2820" s="381" t="n">
        <x:f>SUMIFS('Climate Data'!$G$7:$G$366,'Climate Data'!$A$7:$A$366,'Estimator'!$B$4,'Climate Data'!$B$7:$B$366,C2820)</x:f>
        <x:v>0.4160919540229885</x:v>
      </x:c>
      <x:c r="I2820" s="382" t="n">
        <x:f>SUMIFS('Climate Data'!$H$7:$H$366,'Climate Data'!$A$7:$A$366,'Estimator'!$B$4,'Climate Data'!$B$7:$B$366,C2820)</x:f>
        <x:v>8.019060773480662</x:v>
      </x:c>
      <x:c r="J2820" s="381" t="n">
        <x:f>SUMIFS('Wind Proxy'!$H$8:$H$19,'Wind Proxy'!$A$8:$A$19,'Estimator'!$B$4,'Wind Proxy'!$B$8:$B$19,C2820)</x:f>
        <x:v>0.22222222222222224</x:v>
      </x:c>
    </x:row>
    <x:row r="2821">
      <x:c r="A2821" s="379" t="n">
        <x:v>48472</x:v>
      </x:c>
      <x:c r="B2821" s="380" t="n">
        <x:v>2032</x:v>
      </x:c>
      <x:c r="C2821" s="380" t="n">
        <x:v>9</x:v>
      </x:c>
      <x:c r="D2821" s="380" t="str">
        <x:v>Sep</x:v>
      </x:c>
      <x:c r="E2821" s="380" t="n">
        <x:v>15</x:v>
      </x:c>
      <x:c r="F2821" s="380" t="n">
        <x:v>3</x:v>
      </x:c>
      <x:c r="G2821" s="380" t="n">
        <x:f>--(F2821&lt;='Estimator'!$B$7)</x:f>
        <x:v>1</x:v>
      </x:c>
      <x:c r="H2821" s="381" t="n">
        <x:f>SUMIFS('Climate Data'!$G$7:$G$366,'Climate Data'!$A$7:$A$366,'Estimator'!$B$4,'Climate Data'!$B$7:$B$366,C2821)</x:f>
        <x:v>0.4160919540229885</x:v>
      </x:c>
      <x:c r="I2821" s="382" t="n">
        <x:f>SUMIFS('Climate Data'!$H$7:$H$366,'Climate Data'!$A$7:$A$366,'Estimator'!$B$4,'Climate Data'!$B$7:$B$366,C2821)</x:f>
        <x:v>8.019060773480662</x:v>
      </x:c>
      <x:c r="J2821" s="381" t="n">
        <x:f>SUMIFS('Wind Proxy'!$H$8:$H$19,'Wind Proxy'!$A$8:$A$19,'Estimator'!$B$4,'Wind Proxy'!$B$8:$B$19,C2821)</x:f>
        <x:v>0.22222222222222224</x:v>
      </x:c>
    </x:row>
    <x:row r="2822">
      <x:c r="A2822" s="379" t="n">
        <x:v>48473</x:v>
      </x:c>
      <x:c r="B2822" s="380" t="n">
        <x:v>2032</x:v>
      </x:c>
      <x:c r="C2822" s="380" t="n">
        <x:v>9</x:v>
      </x:c>
      <x:c r="D2822" s="380" t="str">
        <x:v>Sep</x:v>
      </x:c>
      <x:c r="E2822" s="380" t="n">
        <x:v>16</x:v>
      </x:c>
      <x:c r="F2822" s="380" t="n">
        <x:v>4</x:v>
      </x:c>
      <x:c r="G2822" s="380" t="n">
        <x:f>--(F2822&lt;='Estimator'!$B$7)</x:f>
        <x:v>1</x:v>
      </x:c>
      <x:c r="H2822" s="381" t="n">
        <x:f>SUMIFS('Climate Data'!$G$7:$G$366,'Climate Data'!$A$7:$A$366,'Estimator'!$B$4,'Climate Data'!$B$7:$B$366,C2822)</x:f>
        <x:v>0.4160919540229885</x:v>
      </x:c>
      <x:c r="I2822" s="382" t="n">
        <x:f>SUMIFS('Climate Data'!$H$7:$H$366,'Climate Data'!$A$7:$A$366,'Estimator'!$B$4,'Climate Data'!$B$7:$B$366,C2822)</x:f>
        <x:v>8.019060773480662</x:v>
      </x:c>
      <x:c r="J2822" s="381" t="n">
        <x:f>SUMIFS('Wind Proxy'!$H$8:$H$19,'Wind Proxy'!$A$8:$A$19,'Estimator'!$B$4,'Wind Proxy'!$B$8:$B$19,C2822)</x:f>
        <x:v>0.22222222222222224</x:v>
      </x:c>
    </x:row>
    <x:row r="2823">
      <x:c r="A2823" s="379" t="n">
        <x:v>48474</x:v>
      </x:c>
      <x:c r="B2823" s="380" t="n">
        <x:v>2032</x:v>
      </x:c>
      <x:c r="C2823" s="380" t="n">
        <x:v>9</x:v>
      </x:c>
      <x:c r="D2823" s="380" t="str">
        <x:v>Sep</x:v>
      </x:c>
      <x:c r="E2823" s="380" t="n">
        <x:v>17</x:v>
      </x:c>
      <x:c r="F2823" s="380" t="n">
        <x:v>5</x:v>
      </x:c>
      <x:c r="G2823" s="380" t="n">
        <x:f>--(F2823&lt;='Estimator'!$B$7)</x:f>
        <x:v>1</x:v>
      </x:c>
      <x:c r="H2823" s="381" t="n">
        <x:f>SUMIFS('Climate Data'!$G$7:$G$366,'Climate Data'!$A$7:$A$366,'Estimator'!$B$4,'Climate Data'!$B$7:$B$366,C2823)</x:f>
        <x:v>0.4160919540229885</x:v>
      </x:c>
      <x:c r="I2823" s="382" t="n">
        <x:f>SUMIFS('Climate Data'!$H$7:$H$366,'Climate Data'!$A$7:$A$366,'Estimator'!$B$4,'Climate Data'!$B$7:$B$366,C2823)</x:f>
        <x:v>8.019060773480662</x:v>
      </x:c>
      <x:c r="J2823" s="381" t="n">
        <x:f>SUMIFS('Wind Proxy'!$H$8:$H$19,'Wind Proxy'!$A$8:$A$19,'Estimator'!$B$4,'Wind Proxy'!$B$8:$B$19,C2823)</x:f>
        <x:v>0.22222222222222224</x:v>
      </x:c>
    </x:row>
    <x:row r="2824">
      <x:c r="A2824" s="379" t="n">
        <x:v>48475</x:v>
      </x:c>
      <x:c r="B2824" s="380" t="n">
        <x:v>2032</x:v>
      </x:c>
      <x:c r="C2824" s="380" t="n">
        <x:v>9</x:v>
      </x:c>
      <x:c r="D2824" s="380" t="str">
        <x:v>Sep</x:v>
      </x:c>
      <x:c r="E2824" s="380" t="n">
        <x:v>18</x:v>
      </x:c>
      <x:c r="F2824" s="380" t="n">
        <x:v>6</x:v>
      </x:c>
      <x:c r="G2824" s="380" t="n">
        <x:f>--(F2824&lt;='Estimator'!$B$7)</x:f>
        <x:v>0</x:v>
      </x:c>
      <x:c r="H2824" s="381" t="n">
        <x:f>SUMIFS('Climate Data'!$G$7:$G$366,'Climate Data'!$A$7:$A$366,'Estimator'!$B$4,'Climate Data'!$B$7:$B$366,C2824)</x:f>
        <x:v>0.4160919540229885</x:v>
      </x:c>
      <x:c r="I2824" s="382" t="n">
        <x:f>SUMIFS('Climate Data'!$H$7:$H$366,'Climate Data'!$A$7:$A$366,'Estimator'!$B$4,'Climate Data'!$B$7:$B$366,C2824)</x:f>
        <x:v>8.019060773480662</x:v>
      </x:c>
      <x:c r="J2824" s="381" t="n">
        <x:f>SUMIFS('Wind Proxy'!$H$8:$H$19,'Wind Proxy'!$A$8:$A$19,'Estimator'!$B$4,'Wind Proxy'!$B$8:$B$19,C2824)</x:f>
        <x:v>0.22222222222222224</x:v>
      </x:c>
    </x:row>
    <x:row r="2825">
      <x:c r="A2825" s="379" t="n">
        <x:v>48476</x:v>
      </x:c>
      <x:c r="B2825" s="380" t="n">
        <x:v>2032</x:v>
      </x:c>
      <x:c r="C2825" s="380" t="n">
        <x:v>9</x:v>
      </x:c>
      <x:c r="D2825" s="380" t="str">
        <x:v>Sep</x:v>
      </x:c>
      <x:c r="E2825" s="380" t="n">
        <x:v>19</x:v>
      </x:c>
      <x:c r="F2825" s="380" t="n">
        <x:v>7</x:v>
      </x:c>
      <x:c r="G2825" s="380" t="n">
        <x:f>--(F2825&lt;='Estimator'!$B$7)</x:f>
        <x:v>0</x:v>
      </x:c>
      <x:c r="H2825" s="381" t="n">
        <x:f>SUMIFS('Climate Data'!$G$7:$G$366,'Climate Data'!$A$7:$A$366,'Estimator'!$B$4,'Climate Data'!$B$7:$B$366,C2825)</x:f>
        <x:v>0.4160919540229885</x:v>
      </x:c>
      <x:c r="I2825" s="382" t="n">
        <x:f>SUMIFS('Climate Data'!$H$7:$H$366,'Climate Data'!$A$7:$A$366,'Estimator'!$B$4,'Climate Data'!$B$7:$B$366,C2825)</x:f>
        <x:v>8.019060773480662</x:v>
      </x:c>
      <x:c r="J2825" s="381" t="n">
        <x:f>SUMIFS('Wind Proxy'!$H$8:$H$19,'Wind Proxy'!$A$8:$A$19,'Estimator'!$B$4,'Wind Proxy'!$B$8:$B$19,C2825)</x:f>
        <x:v>0.22222222222222224</x:v>
      </x:c>
    </x:row>
    <x:row r="2826">
      <x:c r="A2826" s="379" t="n">
        <x:v>48477</x:v>
      </x:c>
      <x:c r="B2826" s="380" t="n">
        <x:v>2032</x:v>
      </x:c>
      <x:c r="C2826" s="380" t="n">
        <x:v>9</x:v>
      </x:c>
      <x:c r="D2826" s="380" t="str">
        <x:v>Sep</x:v>
      </x:c>
      <x:c r="E2826" s="380" t="n">
        <x:v>20</x:v>
      </x:c>
      <x:c r="F2826" s="380" t="n">
        <x:v>1</x:v>
      </x:c>
      <x:c r="G2826" s="380" t="n">
        <x:f>--(F2826&lt;='Estimator'!$B$7)</x:f>
        <x:v>1</x:v>
      </x:c>
      <x:c r="H2826" s="381" t="n">
        <x:f>SUMIFS('Climate Data'!$G$7:$G$366,'Climate Data'!$A$7:$A$366,'Estimator'!$B$4,'Climate Data'!$B$7:$B$366,C2826)</x:f>
        <x:v>0.4160919540229885</x:v>
      </x:c>
      <x:c r="I2826" s="382" t="n">
        <x:f>SUMIFS('Climate Data'!$H$7:$H$366,'Climate Data'!$A$7:$A$366,'Estimator'!$B$4,'Climate Data'!$B$7:$B$366,C2826)</x:f>
        <x:v>8.019060773480662</x:v>
      </x:c>
      <x:c r="J2826" s="381" t="n">
        <x:f>SUMIFS('Wind Proxy'!$H$8:$H$19,'Wind Proxy'!$A$8:$A$19,'Estimator'!$B$4,'Wind Proxy'!$B$8:$B$19,C2826)</x:f>
        <x:v>0.22222222222222224</x:v>
      </x:c>
    </x:row>
    <x:row r="2827">
      <x:c r="A2827" s="379" t="n">
        <x:v>48478</x:v>
      </x:c>
      <x:c r="B2827" s="380" t="n">
        <x:v>2032</x:v>
      </x:c>
      <x:c r="C2827" s="380" t="n">
        <x:v>9</x:v>
      </x:c>
      <x:c r="D2827" s="380" t="str">
        <x:v>Sep</x:v>
      </x:c>
      <x:c r="E2827" s="380" t="n">
        <x:v>21</x:v>
      </x:c>
      <x:c r="F2827" s="380" t="n">
        <x:v>2</x:v>
      </x:c>
      <x:c r="G2827" s="380" t="n">
        <x:f>--(F2827&lt;='Estimator'!$B$7)</x:f>
        <x:v>1</x:v>
      </x:c>
      <x:c r="H2827" s="381" t="n">
        <x:f>SUMIFS('Climate Data'!$G$7:$G$366,'Climate Data'!$A$7:$A$366,'Estimator'!$B$4,'Climate Data'!$B$7:$B$366,C2827)</x:f>
        <x:v>0.4160919540229885</x:v>
      </x:c>
      <x:c r="I2827" s="382" t="n">
        <x:f>SUMIFS('Climate Data'!$H$7:$H$366,'Climate Data'!$A$7:$A$366,'Estimator'!$B$4,'Climate Data'!$B$7:$B$366,C2827)</x:f>
        <x:v>8.019060773480662</x:v>
      </x:c>
      <x:c r="J2827" s="381" t="n">
        <x:f>SUMIFS('Wind Proxy'!$H$8:$H$19,'Wind Proxy'!$A$8:$A$19,'Estimator'!$B$4,'Wind Proxy'!$B$8:$B$19,C2827)</x:f>
        <x:v>0.22222222222222224</x:v>
      </x:c>
    </x:row>
    <x:row r="2828">
      <x:c r="A2828" s="379" t="n">
        <x:v>48479</x:v>
      </x:c>
      <x:c r="B2828" s="380" t="n">
        <x:v>2032</x:v>
      </x:c>
      <x:c r="C2828" s="380" t="n">
        <x:v>9</x:v>
      </x:c>
      <x:c r="D2828" s="380" t="str">
        <x:v>Sep</x:v>
      </x:c>
      <x:c r="E2828" s="380" t="n">
        <x:v>22</x:v>
      </x:c>
      <x:c r="F2828" s="380" t="n">
        <x:v>3</x:v>
      </x:c>
      <x:c r="G2828" s="380" t="n">
        <x:f>--(F2828&lt;='Estimator'!$B$7)</x:f>
        <x:v>1</x:v>
      </x:c>
      <x:c r="H2828" s="381" t="n">
        <x:f>SUMIFS('Climate Data'!$G$7:$G$366,'Climate Data'!$A$7:$A$366,'Estimator'!$B$4,'Climate Data'!$B$7:$B$366,C2828)</x:f>
        <x:v>0.4160919540229885</x:v>
      </x:c>
      <x:c r="I2828" s="382" t="n">
        <x:f>SUMIFS('Climate Data'!$H$7:$H$366,'Climate Data'!$A$7:$A$366,'Estimator'!$B$4,'Climate Data'!$B$7:$B$366,C2828)</x:f>
        <x:v>8.019060773480662</x:v>
      </x:c>
      <x:c r="J2828" s="381" t="n">
        <x:f>SUMIFS('Wind Proxy'!$H$8:$H$19,'Wind Proxy'!$A$8:$A$19,'Estimator'!$B$4,'Wind Proxy'!$B$8:$B$19,C2828)</x:f>
        <x:v>0.22222222222222224</x:v>
      </x:c>
    </x:row>
    <x:row r="2829">
      <x:c r="A2829" s="379" t="n">
        <x:v>48480</x:v>
      </x:c>
      <x:c r="B2829" s="380" t="n">
        <x:v>2032</x:v>
      </x:c>
      <x:c r="C2829" s="380" t="n">
        <x:v>9</x:v>
      </x:c>
      <x:c r="D2829" s="380" t="str">
        <x:v>Sep</x:v>
      </x:c>
      <x:c r="E2829" s="380" t="n">
        <x:v>23</x:v>
      </x:c>
      <x:c r="F2829" s="380" t="n">
        <x:v>4</x:v>
      </x:c>
      <x:c r="G2829" s="380" t="n">
        <x:f>--(F2829&lt;='Estimator'!$B$7)</x:f>
        <x:v>1</x:v>
      </x:c>
      <x:c r="H2829" s="381" t="n">
        <x:f>SUMIFS('Climate Data'!$G$7:$G$366,'Climate Data'!$A$7:$A$366,'Estimator'!$B$4,'Climate Data'!$B$7:$B$366,C2829)</x:f>
        <x:v>0.4160919540229885</x:v>
      </x:c>
      <x:c r="I2829" s="382" t="n">
        <x:f>SUMIFS('Climate Data'!$H$7:$H$366,'Climate Data'!$A$7:$A$366,'Estimator'!$B$4,'Climate Data'!$B$7:$B$366,C2829)</x:f>
        <x:v>8.019060773480662</x:v>
      </x:c>
      <x:c r="J2829" s="381" t="n">
        <x:f>SUMIFS('Wind Proxy'!$H$8:$H$19,'Wind Proxy'!$A$8:$A$19,'Estimator'!$B$4,'Wind Proxy'!$B$8:$B$19,C2829)</x:f>
        <x:v>0.22222222222222224</x:v>
      </x:c>
    </x:row>
    <x:row r="2830">
      <x:c r="A2830" s="379" t="n">
        <x:v>48481</x:v>
      </x:c>
      <x:c r="B2830" s="380" t="n">
        <x:v>2032</x:v>
      </x:c>
      <x:c r="C2830" s="380" t="n">
        <x:v>9</x:v>
      </x:c>
      <x:c r="D2830" s="380" t="str">
        <x:v>Sep</x:v>
      </x:c>
      <x:c r="E2830" s="380" t="n">
        <x:v>24</x:v>
      </x:c>
      <x:c r="F2830" s="380" t="n">
        <x:v>5</x:v>
      </x:c>
      <x:c r="G2830" s="380" t="n">
        <x:f>--(F2830&lt;='Estimator'!$B$7)</x:f>
        <x:v>1</x:v>
      </x:c>
      <x:c r="H2830" s="381" t="n">
        <x:f>SUMIFS('Climate Data'!$G$7:$G$366,'Climate Data'!$A$7:$A$366,'Estimator'!$B$4,'Climate Data'!$B$7:$B$366,C2830)</x:f>
        <x:v>0.4160919540229885</x:v>
      </x:c>
      <x:c r="I2830" s="382" t="n">
        <x:f>SUMIFS('Climate Data'!$H$7:$H$366,'Climate Data'!$A$7:$A$366,'Estimator'!$B$4,'Climate Data'!$B$7:$B$366,C2830)</x:f>
        <x:v>8.019060773480662</x:v>
      </x:c>
      <x:c r="J2830" s="381" t="n">
        <x:f>SUMIFS('Wind Proxy'!$H$8:$H$19,'Wind Proxy'!$A$8:$A$19,'Estimator'!$B$4,'Wind Proxy'!$B$8:$B$19,C2830)</x:f>
        <x:v>0.22222222222222224</x:v>
      </x:c>
    </x:row>
    <x:row r="2831">
      <x:c r="A2831" s="379" t="n">
        <x:v>48482</x:v>
      </x:c>
      <x:c r="B2831" s="380" t="n">
        <x:v>2032</x:v>
      </x:c>
      <x:c r="C2831" s="380" t="n">
        <x:v>9</x:v>
      </x:c>
      <x:c r="D2831" s="380" t="str">
        <x:v>Sep</x:v>
      </x:c>
      <x:c r="E2831" s="380" t="n">
        <x:v>25</x:v>
      </x:c>
      <x:c r="F2831" s="380" t="n">
        <x:v>6</x:v>
      </x:c>
      <x:c r="G2831" s="380" t="n">
        <x:f>--(F2831&lt;='Estimator'!$B$7)</x:f>
        <x:v>0</x:v>
      </x:c>
      <x:c r="H2831" s="381" t="n">
        <x:f>SUMIFS('Climate Data'!$G$7:$G$366,'Climate Data'!$A$7:$A$366,'Estimator'!$B$4,'Climate Data'!$B$7:$B$366,C2831)</x:f>
        <x:v>0.4160919540229885</x:v>
      </x:c>
      <x:c r="I2831" s="382" t="n">
        <x:f>SUMIFS('Climate Data'!$H$7:$H$366,'Climate Data'!$A$7:$A$366,'Estimator'!$B$4,'Climate Data'!$B$7:$B$366,C2831)</x:f>
        <x:v>8.019060773480662</x:v>
      </x:c>
      <x:c r="J2831" s="381" t="n">
        <x:f>SUMIFS('Wind Proxy'!$H$8:$H$19,'Wind Proxy'!$A$8:$A$19,'Estimator'!$B$4,'Wind Proxy'!$B$8:$B$19,C2831)</x:f>
        <x:v>0.22222222222222224</x:v>
      </x:c>
    </x:row>
    <x:row r="2832">
      <x:c r="A2832" s="379" t="n">
        <x:v>48483</x:v>
      </x:c>
      <x:c r="B2832" s="380" t="n">
        <x:v>2032</x:v>
      </x:c>
      <x:c r="C2832" s="380" t="n">
        <x:v>9</x:v>
      </x:c>
      <x:c r="D2832" s="380" t="str">
        <x:v>Sep</x:v>
      </x:c>
      <x:c r="E2832" s="380" t="n">
        <x:v>26</x:v>
      </x:c>
      <x:c r="F2832" s="380" t="n">
        <x:v>7</x:v>
      </x:c>
      <x:c r="G2832" s="380" t="n">
        <x:f>--(F2832&lt;='Estimator'!$B$7)</x:f>
        <x:v>0</x:v>
      </x:c>
      <x:c r="H2832" s="381" t="n">
        <x:f>SUMIFS('Climate Data'!$G$7:$G$366,'Climate Data'!$A$7:$A$366,'Estimator'!$B$4,'Climate Data'!$B$7:$B$366,C2832)</x:f>
        <x:v>0.4160919540229885</x:v>
      </x:c>
      <x:c r="I2832" s="382" t="n">
        <x:f>SUMIFS('Climate Data'!$H$7:$H$366,'Climate Data'!$A$7:$A$366,'Estimator'!$B$4,'Climate Data'!$B$7:$B$366,C2832)</x:f>
        <x:v>8.019060773480662</x:v>
      </x:c>
      <x:c r="J2832" s="381" t="n">
        <x:f>SUMIFS('Wind Proxy'!$H$8:$H$19,'Wind Proxy'!$A$8:$A$19,'Estimator'!$B$4,'Wind Proxy'!$B$8:$B$19,C2832)</x:f>
        <x:v>0.22222222222222224</x:v>
      </x:c>
    </x:row>
    <x:row r="2833">
      <x:c r="A2833" s="379" t="n">
        <x:v>48484</x:v>
      </x:c>
      <x:c r="B2833" s="380" t="n">
        <x:v>2032</x:v>
      </x:c>
      <x:c r="C2833" s="380" t="n">
        <x:v>9</x:v>
      </x:c>
      <x:c r="D2833" s="380" t="str">
        <x:v>Sep</x:v>
      </x:c>
      <x:c r="E2833" s="380" t="n">
        <x:v>27</x:v>
      </x:c>
      <x:c r="F2833" s="380" t="n">
        <x:v>1</x:v>
      </x:c>
      <x:c r="G2833" s="380" t="n">
        <x:f>--(F2833&lt;='Estimator'!$B$7)</x:f>
        <x:v>1</x:v>
      </x:c>
      <x:c r="H2833" s="381" t="n">
        <x:f>SUMIFS('Climate Data'!$G$7:$G$366,'Climate Data'!$A$7:$A$366,'Estimator'!$B$4,'Climate Data'!$B$7:$B$366,C2833)</x:f>
        <x:v>0.4160919540229885</x:v>
      </x:c>
      <x:c r="I2833" s="382" t="n">
        <x:f>SUMIFS('Climate Data'!$H$7:$H$366,'Climate Data'!$A$7:$A$366,'Estimator'!$B$4,'Climate Data'!$B$7:$B$366,C2833)</x:f>
        <x:v>8.019060773480662</x:v>
      </x:c>
      <x:c r="J2833" s="381" t="n">
        <x:f>SUMIFS('Wind Proxy'!$H$8:$H$19,'Wind Proxy'!$A$8:$A$19,'Estimator'!$B$4,'Wind Proxy'!$B$8:$B$19,C2833)</x:f>
        <x:v>0.22222222222222224</x:v>
      </x:c>
    </x:row>
    <x:row r="2834">
      <x:c r="A2834" s="379" t="n">
        <x:v>48485</x:v>
      </x:c>
      <x:c r="B2834" s="380" t="n">
        <x:v>2032</x:v>
      </x:c>
      <x:c r="C2834" s="380" t="n">
        <x:v>9</x:v>
      </x:c>
      <x:c r="D2834" s="380" t="str">
        <x:v>Sep</x:v>
      </x:c>
      <x:c r="E2834" s="380" t="n">
        <x:v>28</x:v>
      </x:c>
      <x:c r="F2834" s="380" t="n">
        <x:v>2</x:v>
      </x:c>
      <x:c r="G2834" s="380" t="n">
        <x:f>--(F2834&lt;='Estimator'!$B$7)</x:f>
        <x:v>1</x:v>
      </x:c>
      <x:c r="H2834" s="381" t="n">
        <x:f>SUMIFS('Climate Data'!$G$7:$G$366,'Climate Data'!$A$7:$A$366,'Estimator'!$B$4,'Climate Data'!$B$7:$B$366,C2834)</x:f>
        <x:v>0.4160919540229885</x:v>
      </x:c>
      <x:c r="I2834" s="382" t="n">
        <x:f>SUMIFS('Climate Data'!$H$7:$H$366,'Climate Data'!$A$7:$A$366,'Estimator'!$B$4,'Climate Data'!$B$7:$B$366,C2834)</x:f>
        <x:v>8.019060773480662</x:v>
      </x:c>
      <x:c r="J2834" s="381" t="n">
        <x:f>SUMIFS('Wind Proxy'!$H$8:$H$19,'Wind Proxy'!$A$8:$A$19,'Estimator'!$B$4,'Wind Proxy'!$B$8:$B$19,C2834)</x:f>
        <x:v>0.22222222222222224</x:v>
      </x:c>
    </x:row>
    <x:row r="2835">
      <x:c r="A2835" s="379" t="n">
        <x:v>48486</x:v>
      </x:c>
      <x:c r="B2835" s="380" t="n">
        <x:v>2032</x:v>
      </x:c>
      <x:c r="C2835" s="380" t="n">
        <x:v>9</x:v>
      </x:c>
      <x:c r="D2835" s="380" t="str">
        <x:v>Sep</x:v>
      </x:c>
      <x:c r="E2835" s="380" t="n">
        <x:v>29</x:v>
      </x:c>
      <x:c r="F2835" s="380" t="n">
        <x:v>3</x:v>
      </x:c>
      <x:c r="G2835" s="380" t="n">
        <x:f>--(F2835&lt;='Estimator'!$B$7)</x:f>
        <x:v>1</x:v>
      </x:c>
      <x:c r="H2835" s="381" t="n">
        <x:f>SUMIFS('Climate Data'!$G$7:$G$366,'Climate Data'!$A$7:$A$366,'Estimator'!$B$4,'Climate Data'!$B$7:$B$366,C2835)</x:f>
        <x:v>0.4160919540229885</x:v>
      </x:c>
      <x:c r="I2835" s="382" t="n">
        <x:f>SUMIFS('Climate Data'!$H$7:$H$366,'Climate Data'!$A$7:$A$366,'Estimator'!$B$4,'Climate Data'!$B$7:$B$366,C2835)</x:f>
        <x:v>8.019060773480662</x:v>
      </x:c>
      <x:c r="J2835" s="381" t="n">
        <x:f>SUMIFS('Wind Proxy'!$H$8:$H$19,'Wind Proxy'!$A$8:$A$19,'Estimator'!$B$4,'Wind Proxy'!$B$8:$B$19,C2835)</x:f>
        <x:v>0.22222222222222224</x:v>
      </x:c>
    </x:row>
    <x:row r="2836">
      <x:c r="A2836" s="379" t="n">
        <x:v>48487</x:v>
      </x:c>
      <x:c r="B2836" s="380" t="n">
        <x:v>2032</x:v>
      </x:c>
      <x:c r="C2836" s="380" t="n">
        <x:v>9</x:v>
      </x:c>
      <x:c r="D2836" s="380" t="str">
        <x:v>Sep</x:v>
      </x:c>
      <x:c r="E2836" s="380" t="n">
        <x:v>30</x:v>
      </x:c>
      <x:c r="F2836" s="380" t="n">
        <x:v>4</x:v>
      </x:c>
      <x:c r="G2836" s="380" t="n">
        <x:f>--(F2836&lt;='Estimator'!$B$7)</x:f>
        <x:v>1</x:v>
      </x:c>
      <x:c r="H2836" s="381" t="n">
        <x:f>SUMIFS('Climate Data'!$G$7:$G$366,'Climate Data'!$A$7:$A$366,'Estimator'!$B$4,'Climate Data'!$B$7:$B$366,C2836)</x:f>
        <x:v>0.4160919540229885</x:v>
      </x:c>
      <x:c r="I2836" s="382" t="n">
        <x:f>SUMIFS('Climate Data'!$H$7:$H$366,'Climate Data'!$A$7:$A$366,'Estimator'!$B$4,'Climate Data'!$B$7:$B$366,C2836)</x:f>
        <x:v>8.019060773480662</x:v>
      </x:c>
      <x:c r="J2836" s="381" t="n">
        <x:f>SUMIFS('Wind Proxy'!$H$8:$H$19,'Wind Proxy'!$A$8:$A$19,'Estimator'!$B$4,'Wind Proxy'!$B$8:$B$19,C2836)</x:f>
        <x:v>0.22222222222222224</x:v>
      </x:c>
    </x:row>
    <x:row r="2837">
      <x:c r="A2837" s="379" t="n">
        <x:v>48488</x:v>
      </x:c>
      <x:c r="B2837" s="380" t="n">
        <x:v>2032</x:v>
      </x:c>
      <x:c r="C2837" s="380" t="n">
        <x:v>10</x:v>
      </x:c>
      <x:c r="D2837" s="380" t="str">
        <x:v>Oct</x:v>
      </x:c>
      <x:c r="E2837" s="380" t="n">
        <x:v>1</x:v>
      </x:c>
      <x:c r="F2837" s="380" t="n">
        <x:v>5</x:v>
      </x:c>
      <x:c r="G2837" s="380" t="n">
        <x:f>--(F2837&lt;='Estimator'!$B$7)</x:f>
        <x:v>1</x:v>
      </x:c>
      <x:c r="H2837" s="381" t="n">
        <x:f>SUMIFS('Climate Data'!$G$7:$G$366,'Climate Data'!$A$7:$A$366,'Estimator'!$B$4,'Climate Data'!$B$7:$B$366,C2837)</x:f>
        <x:v>0.3721198156682028</x:v>
      </x:c>
      <x:c r="I2837" s="382" t="n">
        <x:f>SUMIFS('Climate Data'!$H$7:$H$366,'Climate Data'!$A$7:$A$366,'Estimator'!$B$4,'Climate Data'!$B$7:$B$366,C2837)</x:f>
        <x:v>7.940557275541795</x:v>
      </x:c>
      <x:c r="J2837" s="381" t="n">
        <x:f>SUMIFS('Wind Proxy'!$H$8:$H$19,'Wind Proxy'!$A$8:$A$19,'Estimator'!$B$4,'Wind Proxy'!$B$8:$B$19,C2837)</x:f>
        <x:v>0.21505376344086022</x:v>
      </x:c>
    </x:row>
    <x:row r="2838">
      <x:c r="A2838" s="379" t="n">
        <x:v>48489</x:v>
      </x:c>
      <x:c r="B2838" s="380" t="n">
        <x:v>2032</x:v>
      </x:c>
      <x:c r="C2838" s="380" t="n">
        <x:v>10</x:v>
      </x:c>
      <x:c r="D2838" s="380" t="str">
        <x:v>Oct</x:v>
      </x:c>
      <x:c r="E2838" s="380" t="n">
        <x:v>2</x:v>
      </x:c>
      <x:c r="F2838" s="380" t="n">
        <x:v>6</x:v>
      </x:c>
      <x:c r="G2838" s="380" t="n">
        <x:f>--(F2838&lt;='Estimator'!$B$7)</x:f>
        <x:v>0</x:v>
      </x:c>
      <x:c r="H2838" s="381" t="n">
        <x:f>SUMIFS('Climate Data'!$G$7:$G$366,'Climate Data'!$A$7:$A$366,'Estimator'!$B$4,'Climate Data'!$B$7:$B$366,C2838)</x:f>
        <x:v>0.3721198156682028</x:v>
      </x:c>
      <x:c r="I2838" s="382" t="n">
        <x:f>SUMIFS('Climate Data'!$H$7:$H$366,'Climate Data'!$A$7:$A$366,'Estimator'!$B$4,'Climate Data'!$B$7:$B$366,C2838)</x:f>
        <x:v>7.940557275541795</x:v>
      </x:c>
      <x:c r="J2838" s="381" t="n">
        <x:f>SUMIFS('Wind Proxy'!$H$8:$H$19,'Wind Proxy'!$A$8:$A$19,'Estimator'!$B$4,'Wind Proxy'!$B$8:$B$19,C2838)</x:f>
        <x:v>0.21505376344086022</x:v>
      </x:c>
    </x:row>
    <x:row r="2839">
      <x:c r="A2839" s="379" t="n">
        <x:v>48490</x:v>
      </x:c>
      <x:c r="B2839" s="380" t="n">
        <x:v>2032</x:v>
      </x:c>
      <x:c r="C2839" s="380" t="n">
        <x:v>10</x:v>
      </x:c>
      <x:c r="D2839" s="380" t="str">
        <x:v>Oct</x:v>
      </x:c>
      <x:c r="E2839" s="380" t="n">
        <x:v>3</x:v>
      </x:c>
      <x:c r="F2839" s="380" t="n">
        <x:v>7</x:v>
      </x:c>
      <x:c r="G2839" s="380" t="n">
        <x:f>--(F2839&lt;='Estimator'!$B$7)</x:f>
        <x:v>0</x:v>
      </x:c>
      <x:c r="H2839" s="381" t="n">
        <x:f>SUMIFS('Climate Data'!$G$7:$G$366,'Climate Data'!$A$7:$A$366,'Estimator'!$B$4,'Climate Data'!$B$7:$B$366,C2839)</x:f>
        <x:v>0.3721198156682028</x:v>
      </x:c>
      <x:c r="I2839" s="382" t="n">
        <x:f>SUMIFS('Climate Data'!$H$7:$H$366,'Climate Data'!$A$7:$A$366,'Estimator'!$B$4,'Climate Data'!$B$7:$B$366,C2839)</x:f>
        <x:v>7.940557275541795</x:v>
      </x:c>
      <x:c r="J2839" s="381" t="n">
        <x:f>SUMIFS('Wind Proxy'!$H$8:$H$19,'Wind Proxy'!$A$8:$A$19,'Estimator'!$B$4,'Wind Proxy'!$B$8:$B$19,C2839)</x:f>
        <x:v>0.21505376344086022</x:v>
      </x:c>
    </x:row>
    <x:row r="2840">
      <x:c r="A2840" s="379" t="n">
        <x:v>48491</x:v>
      </x:c>
      <x:c r="B2840" s="380" t="n">
        <x:v>2032</x:v>
      </x:c>
      <x:c r="C2840" s="380" t="n">
        <x:v>10</x:v>
      </x:c>
      <x:c r="D2840" s="380" t="str">
        <x:v>Oct</x:v>
      </x:c>
      <x:c r="E2840" s="380" t="n">
        <x:v>4</x:v>
      </x:c>
      <x:c r="F2840" s="380" t="n">
        <x:v>1</x:v>
      </x:c>
      <x:c r="G2840" s="380" t="n">
        <x:f>--(F2840&lt;='Estimator'!$B$7)</x:f>
        <x:v>1</x:v>
      </x:c>
      <x:c r="H2840" s="381" t="n">
        <x:f>SUMIFS('Climate Data'!$G$7:$G$366,'Climate Data'!$A$7:$A$366,'Estimator'!$B$4,'Climate Data'!$B$7:$B$366,C2840)</x:f>
        <x:v>0.3721198156682028</x:v>
      </x:c>
      <x:c r="I2840" s="382" t="n">
        <x:f>SUMIFS('Climate Data'!$H$7:$H$366,'Climate Data'!$A$7:$A$366,'Estimator'!$B$4,'Climate Data'!$B$7:$B$366,C2840)</x:f>
        <x:v>7.940557275541795</x:v>
      </x:c>
      <x:c r="J2840" s="381" t="n">
        <x:f>SUMIFS('Wind Proxy'!$H$8:$H$19,'Wind Proxy'!$A$8:$A$19,'Estimator'!$B$4,'Wind Proxy'!$B$8:$B$19,C2840)</x:f>
        <x:v>0.21505376344086022</x:v>
      </x:c>
    </x:row>
    <x:row r="2841">
      <x:c r="A2841" s="379" t="n">
        <x:v>48492</x:v>
      </x:c>
      <x:c r="B2841" s="380" t="n">
        <x:v>2032</x:v>
      </x:c>
      <x:c r="C2841" s="380" t="n">
        <x:v>10</x:v>
      </x:c>
      <x:c r="D2841" s="380" t="str">
        <x:v>Oct</x:v>
      </x:c>
      <x:c r="E2841" s="380" t="n">
        <x:v>5</x:v>
      </x:c>
      <x:c r="F2841" s="380" t="n">
        <x:v>2</x:v>
      </x:c>
      <x:c r="G2841" s="380" t="n">
        <x:f>--(F2841&lt;='Estimator'!$B$7)</x:f>
        <x:v>1</x:v>
      </x:c>
      <x:c r="H2841" s="381" t="n">
        <x:f>SUMIFS('Climate Data'!$G$7:$G$366,'Climate Data'!$A$7:$A$366,'Estimator'!$B$4,'Climate Data'!$B$7:$B$366,C2841)</x:f>
        <x:v>0.3721198156682028</x:v>
      </x:c>
      <x:c r="I2841" s="382" t="n">
        <x:f>SUMIFS('Climate Data'!$H$7:$H$366,'Climate Data'!$A$7:$A$366,'Estimator'!$B$4,'Climate Data'!$B$7:$B$366,C2841)</x:f>
        <x:v>7.940557275541795</x:v>
      </x:c>
      <x:c r="J2841" s="381" t="n">
        <x:f>SUMIFS('Wind Proxy'!$H$8:$H$19,'Wind Proxy'!$A$8:$A$19,'Estimator'!$B$4,'Wind Proxy'!$B$8:$B$19,C2841)</x:f>
        <x:v>0.21505376344086022</x:v>
      </x:c>
    </x:row>
    <x:row r="2842">
      <x:c r="A2842" s="379" t="n">
        <x:v>48493</x:v>
      </x:c>
      <x:c r="B2842" s="380" t="n">
        <x:v>2032</x:v>
      </x:c>
      <x:c r="C2842" s="380" t="n">
        <x:v>10</x:v>
      </x:c>
      <x:c r="D2842" s="380" t="str">
        <x:v>Oct</x:v>
      </x:c>
      <x:c r="E2842" s="380" t="n">
        <x:v>6</x:v>
      </x:c>
      <x:c r="F2842" s="380" t="n">
        <x:v>3</x:v>
      </x:c>
      <x:c r="G2842" s="380" t="n">
        <x:f>--(F2842&lt;='Estimator'!$B$7)</x:f>
        <x:v>1</x:v>
      </x:c>
      <x:c r="H2842" s="381" t="n">
        <x:f>SUMIFS('Climate Data'!$G$7:$G$366,'Climate Data'!$A$7:$A$366,'Estimator'!$B$4,'Climate Data'!$B$7:$B$366,C2842)</x:f>
        <x:v>0.3721198156682028</x:v>
      </x:c>
      <x:c r="I2842" s="382" t="n">
        <x:f>SUMIFS('Climate Data'!$H$7:$H$366,'Climate Data'!$A$7:$A$366,'Estimator'!$B$4,'Climate Data'!$B$7:$B$366,C2842)</x:f>
        <x:v>7.940557275541795</x:v>
      </x:c>
      <x:c r="J2842" s="381" t="n">
        <x:f>SUMIFS('Wind Proxy'!$H$8:$H$19,'Wind Proxy'!$A$8:$A$19,'Estimator'!$B$4,'Wind Proxy'!$B$8:$B$19,C2842)</x:f>
        <x:v>0.21505376344086022</x:v>
      </x:c>
    </x:row>
    <x:row r="2843">
      <x:c r="A2843" s="379" t="n">
        <x:v>48494</x:v>
      </x:c>
      <x:c r="B2843" s="380" t="n">
        <x:v>2032</x:v>
      </x:c>
      <x:c r="C2843" s="380" t="n">
        <x:v>10</x:v>
      </x:c>
      <x:c r="D2843" s="380" t="str">
        <x:v>Oct</x:v>
      </x:c>
      <x:c r="E2843" s="380" t="n">
        <x:v>7</x:v>
      </x:c>
      <x:c r="F2843" s="380" t="n">
        <x:v>4</x:v>
      </x:c>
      <x:c r="G2843" s="380" t="n">
        <x:f>--(F2843&lt;='Estimator'!$B$7)</x:f>
        <x:v>1</x:v>
      </x:c>
      <x:c r="H2843" s="381" t="n">
        <x:f>SUMIFS('Climate Data'!$G$7:$G$366,'Climate Data'!$A$7:$A$366,'Estimator'!$B$4,'Climate Data'!$B$7:$B$366,C2843)</x:f>
        <x:v>0.3721198156682028</x:v>
      </x:c>
      <x:c r="I2843" s="382" t="n">
        <x:f>SUMIFS('Climate Data'!$H$7:$H$366,'Climate Data'!$A$7:$A$366,'Estimator'!$B$4,'Climate Data'!$B$7:$B$366,C2843)</x:f>
        <x:v>7.940557275541795</x:v>
      </x:c>
      <x:c r="J2843" s="381" t="n">
        <x:f>SUMIFS('Wind Proxy'!$H$8:$H$19,'Wind Proxy'!$A$8:$A$19,'Estimator'!$B$4,'Wind Proxy'!$B$8:$B$19,C2843)</x:f>
        <x:v>0.21505376344086022</x:v>
      </x:c>
    </x:row>
    <x:row r="2844">
      <x:c r="A2844" s="379" t="n">
        <x:v>48495</x:v>
      </x:c>
      <x:c r="B2844" s="380" t="n">
        <x:v>2032</x:v>
      </x:c>
      <x:c r="C2844" s="380" t="n">
        <x:v>10</x:v>
      </x:c>
      <x:c r="D2844" s="380" t="str">
        <x:v>Oct</x:v>
      </x:c>
      <x:c r="E2844" s="380" t="n">
        <x:v>8</x:v>
      </x:c>
      <x:c r="F2844" s="380" t="n">
        <x:v>5</x:v>
      </x:c>
      <x:c r="G2844" s="380" t="n">
        <x:f>--(F2844&lt;='Estimator'!$B$7)</x:f>
        <x:v>1</x:v>
      </x:c>
      <x:c r="H2844" s="381" t="n">
        <x:f>SUMIFS('Climate Data'!$G$7:$G$366,'Climate Data'!$A$7:$A$366,'Estimator'!$B$4,'Climate Data'!$B$7:$B$366,C2844)</x:f>
        <x:v>0.3721198156682028</x:v>
      </x:c>
      <x:c r="I2844" s="382" t="n">
        <x:f>SUMIFS('Climate Data'!$H$7:$H$366,'Climate Data'!$A$7:$A$366,'Estimator'!$B$4,'Climate Data'!$B$7:$B$366,C2844)</x:f>
        <x:v>7.940557275541795</x:v>
      </x:c>
      <x:c r="J2844" s="381" t="n">
        <x:f>SUMIFS('Wind Proxy'!$H$8:$H$19,'Wind Proxy'!$A$8:$A$19,'Estimator'!$B$4,'Wind Proxy'!$B$8:$B$19,C2844)</x:f>
        <x:v>0.21505376344086022</x:v>
      </x:c>
    </x:row>
    <x:row r="2845">
      <x:c r="A2845" s="379" t="n">
        <x:v>48496</x:v>
      </x:c>
      <x:c r="B2845" s="380" t="n">
        <x:v>2032</x:v>
      </x:c>
      <x:c r="C2845" s="380" t="n">
        <x:v>10</x:v>
      </x:c>
      <x:c r="D2845" s="380" t="str">
        <x:v>Oct</x:v>
      </x:c>
      <x:c r="E2845" s="380" t="n">
        <x:v>9</x:v>
      </x:c>
      <x:c r="F2845" s="380" t="n">
        <x:v>6</x:v>
      </x:c>
      <x:c r="G2845" s="380" t="n">
        <x:f>--(F2845&lt;='Estimator'!$B$7)</x:f>
        <x:v>0</x:v>
      </x:c>
      <x:c r="H2845" s="381" t="n">
        <x:f>SUMIFS('Climate Data'!$G$7:$G$366,'Climate Data'!$A$7:$A$366,'Estimator'!$B$4,'Climate Data'!$B$7:$B$366,C2845)</x:f>
        <x:v>0.3721198156682028</x:v>
      </x:c>
      <x:c r="I2845" s="382" t="n">
        <x:f>SUMIFS('Climate Data'!$H$7:$H$366,'Climate Data'!$A$7:$A$366,'Estimator'!$B$4,'Climate Data'!$B$7:$B$366,C2845)</x:f>
        <x:v>7.940557275541795</x:v>
      </x:c>
      <x:c r="J2845" s="381" t="n">
        <x:f>SUMIFS('Wind Proxy'!$H$8:$H$19,'Wind Proxy'!$A$8:$A$19,'Estimator'!$B$4,'Wind Proxy'!$B$8:$B$19,C2845)</x:f>
        <x:v>0.21505376344086022</x:v>
      </x:c>
    </x:row>
    <x:row r="2846">
      <x:c r="A2846" s="379" t="n">
        <x:v>48497</x:v>
      </x:c>
      <x:c r="B2846" s="380" t="n">
        <x:v>2032</x:v>
      </x:c>
      <x:c r="C2846" s="380" t="n">
        <x:v>10</x:v>
      </x:c>
      <x:c r="D2846" s="380" t="str">
        <x:v>Oct</x:v>
      </x:c>
      <x:c r="E2846" s="380" t="n">
        <x:v>10</x:v>
      </x:c>
      <x:c r="F2846" s="380" t="n">
        <x:v>7</x:v>
      </x:c>
      <x:c r="G2846" s="380" t="n">
        <x:f>--(F2846&lt;='Estimator'!$B$7)</x:f>
        <x:v>0</x:v>
      </x:c>
      <x:c r="H2846" s="381" t="n">
        <x:f>SUMIFS('Climate Data'!$G$7:$G$366,'Climate Data'!$A$7:$A$366,'Estimator'!$B$4,'Climate Data'!$B$7:$B$366,C2846)</x:f>
        <x:v>0.3721198156682028</x:v>
      </x:c>
      <x:c r="I2846" s="382" t="n">
        <x:f>SUMIFS('Climate Data'!$H$7:$H$366,'Climate Data'!$A$7:$A$366,'Estimator'!$B$4,'Climate Data'!$B$7:$B$366,C2846)</x:f>
        <x:v>7.940557275541795</x:v>
      </x:c>
      <x:c r="J2846" s="381" t="n">
        <x:f>SUMIFS('Wind Proxy'!$H$8:$H$19,'Wind Proxy'!$A$8:$A$19,'Estimator'!$B$4,'Wind Proxy'!$B$8:$B$19,C2846)</x:f>
        <x:v>0.21505376344086022</x:v>
      </x:c>
    </x:row>
    <x:row r="2847">
      <x:c r="A2847" s="379" t="n">
        <x:v>48498</x:v>
      </x:c>
      <x:c r="B2847" s="380" t="n">
        <x:v>2032</x:v>
      </x:c>
      <x:c r="C2847" s="380" t="n">
        <x:v>10</x:v>
      </x:c>
      <x:c r="D2847" s="380" t="str">
        <x:v>Oct</x:v>
      </x:c>
      <x:c r="E2847" s="380" t="n">
        <x:v>11</x:v>
      </x:c>
      <x:c r="F2847" s="380" t="n">
        <x:v>1</x:v>
      </x:c>
      <x:c r="G2847" s="380" t="n">
        <x:f>--(F2847&lt;='Estimator'!$B$7)</x:f>
        <x:v>1</x:v>
      </x:c>
      <x:c r="H2847" s="381" t="n">
        <x:f>SUMIFS('Climate Data'!$G$7:$G$366,'Climate Data'!$A$7:$A$366,'Estimator'!$B$4,'Climate Data'!$B$7:$B$366,C2847)</x:f>
        <x:v>0.3721198156682028</x:v>
      </x:c>
      <x:c r="I2847" s="382" t="n">
        <x:f>SUMIFS('Climate Data'!$H$7:$H$366,'Climate Data'!$A$7:$A$366,'Estimator'!$B$4,'Climate Data'!$B$7:$B$366,C2847)</x:f>
        <x:v>7.940557275541795</x:v>
      </x:c>
      <x:c r="J2847" s="381" t="n">
        <x:f>SUMIFS('Wind Proxy'!$H$8:$H$19,'Wind Proxy'!$A$8:$A$19,'Estimator'!$B$4,'Wind Proxy'!$B$8:$B$19,C2847)</x:f>
        <x:v>0.21505376344086022</x:v>
      </x:c>
    </x:row>
    <x:row r="2848">
      <x:c r="A2848" s="379" t="n">
        <x:v>48499</x:v>
      </x:c>
      <x:c r="B2848" s="380" t="n">
        <x:v>2032</x:v>
      </x:c>
      <x:c r="C2848" s="380" t="n">
        <x:v>10</x:v>
      </x:c>
      <x:c r="D2848" s="380" t="str">
        <x:v>Oct</x:v>
      </x:c>
      <x:c r="E2848" s="380" t="n">
        <x:v>12</x:v>
      </x:c>
      <x:c r="F2848" s="380" t="n">
        <x:v>2</x:v>
      </x:c>
      <x:c r="G2848" s="380" t="n">
        <x:f>--(F2848&lt;='Estimator'!$B$7)</x:f>
        <x:v>1</x:v>
      </x:c>
      <x:c r="H2848" s="381" t="n">
        <x:f>SUMIFS('Climate Data'!$G$7:$G$366,'Climate Data'!$A$7:$A$366,'Estimator'!$B$4,'Climate Data'!$B$7:$B$366,C2848)</x:f>
        <x:v>0.3721198156682028</x:v>
      </x:c>
      <x:c r="I2848" s="382" t="n">
        <x:f>SUMIFS('Climate Data'!$H$7:$H$366,'Climate Data'!$A$7:$A$366,'Estimator'!$B$4,'Climate Data'!$B$7:$B$366,C2848)</x:f>
        <x:v>7.940557275541795</x:v>
      </x:c>
      <x:c r="J2848" s="381" t="n">
        <x:f>SUMIFS('Wind Proxy'!$H$8:$H$19,'Wind Proxy'!$A$8:$A$19,'Estimator'!$B$4,'Wind Proxy'!$B$8:$B$19,C2848)</x:f>
        <x:v>0.21505376344086022</x:v>
      </x:c>
    </x:row>
    <x:row r="2849">
      <x:c r="A2849" s="379" t="n">
        <x:v>48500</x:v>
      </x:c>
      <x:c r="B2849" s="380" t="n">
        <x:v>2032</x:v>
      </x:c>
      <x:c r="C2849" s="380" t="n">
        <x:v>10</x:v>
      </x:c>
      <x:c r="D2849" s="380" t="str">
        <x:v>Oct</x:v>
      </x:c>
      <x:c r="E2849" s="380" t="n">
        <x:v>13</x:v>
      </x:c>
      <x:c r="F2849" s="380" t="n">
        <x:v>3</x:v>
      </x:c>
      <x:c r="G2849" s="380" t="n">
        <x:f>--(F2849&lt;='Estimator'!$B$7)</x:f>
        <x:v>1</x:v>
      </x:c>
      <x:c r="H2849" s="381" t="n">
        <x:f>SUMIFS('Climate Data'!$G$7:$G$366,'Climate Data'!$A$7:$A$366,'Estimator'!$B$4,'Climate Data'!$B$7:$B$366,C2849)</x:f>
        <x:v>0.3721198156682028</x:v>
      </x:c>
      <x:c r="I2849" s="382" t="n">
        <x:f>SUMIFS('Climate Data'!$H$7:$H$366,'Climate Data'!$A$7:$A$366,'Estimator'!$B$4,'Climate Data'!$B$7:$B$366,C2849)</x:f>
        <x:v>7.940557275541795</x:v>
      </x:c>
      <x:c r="J2849" s="381" t="n">
        <x:f>SUMIFS('Wind Proxy'!$H$8:$H$19,'Wind Proxy'!$A$8:$A$19,'Estimator'!$B$4,'Wind Proxy'!$B$8:$B$19,C2849)</x:f>
        <x:v>0.21505376344086022</x:v>
      </x:c>
    </x:row>
    <x:row r="2850">
      <x:c r="A2850" s="379" t="n">
        <x:v>48501</x:v>
      </x:c>
      <x:c r="B2850" s="380" t="n">
        <x:v>2032</x:v>
      </x:c>
      <x:c r="C2850" s="380" t="n">
        <x:v>10</x:v>
      </x:c>
      <x:c r="D2850" s="380" t="str">
        <x:v>Oct</x:v>
      </x:c>
      <x:c r="E2850" s="380" t="n">
        <x:v>14</x:v>
      </x:c>
      <x:c r="F2850" s="380" t="n">
        <x:v>4</x:v>
      </x:c>
      <x:c r="G2850" s="380" t="n">
        <x:f>--(F2850&lt;='Estimator'!$B$7)</x:f>
        <x:v>1</x:v>
      </x:c>
      <x:c r="H2850" s="381" t="n">
        <x:f>SUMIFS('Climate Data'!$G$7:$G$366,'Climate Data'!$A$7:$A$366,'Estimator'!$B$4,'Climate Data'!$B$7:$B$366,C2850)</x:f>
        <x:v>0.3721198156682028</x:v>
      </x:c>
      <x:c r="I2850" s="382" t="n">
        <x:f>SUMIFS('Climate Data'!$H$7:$H$366,'Climate Data'!$A$7:$A$366,'Estimator'!$B$4,'Climate Data'!$B$7:$B$366,C2850)</x:f>
        <x:v>7.940557275541795</x:v>
      </x:c>
      <x:c r="J2850" s="381" t="n">
        <x:f>SUMIFS('Wind Proxy'!$H$8:$H$19,'Wind Proxy'!$A$8:$A$19,'Estimator'!$B$4,'Wind Proxy'!$B$8:$B$19,C2850)</x:f>
        <x:v>0.21505376344086022</x:v>
      </x:c>
    </x:row>
    <x:row r="2851">
      <x:c r="A2851" s="379" t="n">
        <x:v>48502</x:v>
      </x:c>
      <x:c r="B2851" s="380" t="n">
        <x:v>2032</x:v>
      </x:c>
      <x:c r="C2851" s="380" t="n">
        <x:v>10</x:v>
      </x:c>
      <x:c r="D2851" s="380" t="str">
        <x:v>Oct</x:v>
      </x:c>
      <x:c r="E2851" s="380" t="n">
        <x:v>15</x:v>
      </x:c>
      <x:c r="F2851" s="380" t="n">
        <x:v>5</x:v>
      </x:c>
      <x:c r="G2851" s="380" t="n">
        <x:f>--(F2851&lt;='Estimator'!$B$7)</x:f>
        <x:v>1</x:v>
      </x:c>
      <x:c r="H2851" s="381" t="n">
        <x:f>SUMIFS('Climate Data'!$G$7:$G$366,'Climate Data'!$A$7:$A$366,'Estimator'!$B$4,'Climate Data'!$B$7:$B$366,C2851)</x:f>
        <x:v>0.3721198156682028</x:v>
      </x:c>
      <x:c r="I2851" s="382" t="n">
        <x:f>SUMIFS('Climate Data'!$H$7:$H$366,'Climate Data'!$A$7:$A$366,'Estimator'!$B$4,'Climate Data'!$B$7:$B$366,C2851)</x:f>
        <x:v>7.940557275541795</x:v>
      </x:c>
      <x:c r="J2851" s="381" t="n">
        <x:f>SUMIFS('Wind Proxy'!$H$8:$H$19,'Wind Proxy'!$A$8:$A$19,'Estimator'!$B$4,'Wind Proxy'!$B$8:$B$19,C2851)</x:f>
        <x:v>0.21505376344086022</x:v>
      </x:c>
    </x:row>
    <x:row r="2852">
      <x:c r="A2852" s="379" t="n">
        <x:v>48503</x:v>
      </x:c>
      <x:c r="B2852" s="380" t="n">
        <x:v>2032</x:v>
      </x:c>
      <x:c r="C2852" s="380" t="n">
        <x:v>10</x:v>
      </x:c>
      <x:c r="D2852" s="380" t="str">
        <x:v>Oct</x:v>
      </x:c>
      <x:c r="E2852" s="380" t="n">
        <x:v>16</x:v>
      </x:c>
      <x:c r="F2852" s="380" t="n">
        <x:v>6</x:v>
      </x:c>
      <x:c r="G2852" s="380" t="n">
        <x:f>--(F2852&lt;='Estimator'!$B$7)</x:f>
        <x:v>0</x:v>
      </x:c>
      <x:c r="H2852" s="381" t="n">
        <x:f>SUMIFS('Climate Data'!$G$7:$G$366,'Climate Data'!$A$7:$A$366,'Estimator'!$B$4,'Climate Data'!$B$7:$B$366,C2852)</x:f>
        <x:v>0.3721198156682028</x:v>
      </x:c>
      <x:c r="I2852" s="382" t="n">
        <x:f>SUMIFS('Climate Data'!$H$7:$H$366,'Climate Data'!$A$7:$A$366,'Estimator'!$B$4,'Climate Data'!$B$7:$B$366,C2852)</x:f>
        <x:v>7.940557275541795</x:v>
      </x:c>
      <x:c r="J2852" s="381" t="n">
        <x:f>SUMIFS('Wind Proxy'!$H$8:$H$19,'Wind Proxy'!$A$8:$A$19,'Estimator'!$B$4,'Wind Proxy'!$B$8:$B$19,C2852)</x:f>
        <x:v>0.21505376344086022</x:v>
      </x:c>
    </x:row>
    <x:row r="2853">
      <x:c r="A2853" s="379" t="n">
        <x:v>48504</x:v>
      </x:c>
      <x:c r="B2853" s="380" t="n">
        <x:v>2032</x:v>
      </x:c>
      <x:c r="C2853" s="380" t="n">
        <x:v>10</x:v>
      </x:c>
      <x:c r="D2853" s="380" t="str">
        <x:v>Oct</x:v>
      </x:c>
      <x:c r="E2853" s="380" t="n">
        <x:v>17</x:v>
      </x:c>
      <x:c r="F2853" s="380" t="n">
        <x:v>7</x:v>
      </x:c>
      <x:c r="G2853" s="380" t="n">
        <x:f>--(F2853&lt;='Estimator'!$B$7)</x:f>
        <x:v>0</x:v>
      </x:c>
      <x:c r="H2853" s="381" t="n">
        <x:f>SUMIFS('Climate Data'!$G$7:$G$366,'Climate Data'!$A$7:$A$366,'Estimator'!$B$4,'Climate Data'!$B$7:$B$366,C2853)</x:f>
        <x:v>0.3721198156682028</x:v>
      </x:c>
      <x:c r="I2853" s="382" t="n">
        <x:f>SUMIFS('Climate Data'!$H$7:$H$366,'Climate Data'!$A$7:$A$366,'Estimator'!$B$4,'Climate Data'!$B$7:$B$366,C2853)</x:f>
        <x:v>7.940557275541795</x:v>
      </x:c>
      <x:c r="J2853" s="381" t="n">
        <x:f>SUMIFS('Wind Proxy'!$H$8:$H$19,'Wind Proxy'!$A$8:$A$19,'Estimator'!$B$4,'Wind Proxy'!$B$8:$B$19,C2853)</x:f>
        <x:v>0.21505376344086022</x:v>
      </x:c>
    </x:row>
    <x:row r="2854">
      <x:c r="A2854" s="379" t="n">
        <x:v>48505</x:v>
      </x:c>
      <x:c r="B2854" s="380" t="n">
        <x:v>2032</x:v>
      </x:c>
      <x:c r="C2854" s="380" t="n">
        <x:v>10</x:v>
      </x:c>
      <x:c r="D2854" s="380" t="str">
        <x:v>Oct</x:v>
      </x:c>
      <x:c r="E2854" s="380" t="n">
        <x:v>18</x:v>
      </x:c>
      <x:c r="F2854" s="380" t="n">
        <x:v>1</x:v>
      </x:c>
      <x:c r="G2854" s="380" t="n">
        <x:f>--(F2854&lt;='Estimator'!$B$7)</x:f>
        <x:v>1</x:v>
      </x:c>
      <x:c r="H2854" s="381" t="n">
        <x:f>SUMIFS('Climate Data'!$G$7:$G$366,'Climate Data'!$A$7:$A$366,'Estimator'!$B$4,'Climate Data'!$B$7:$B$366,C2854)</x:f>
        <x:v>0.3721198156682028</x:v>
      </x:c>
      <x:c r="I2854" s="382" t="n">
        <x:f>SUMIFS('Climate Data'!$H$7:$H$366,'Climate Data'!$A$7:$A$366,'Estimator'!$B$4,'Climate Data'!$B$7:$B$366,C2854)</x:f>
        <x:v>7.940557275541795</x:v>
      </x:c>
      <x:c r="J2854" s="381" t="n">
        <x:f>SUMIFS('Wind Proxy'!$H$8:$H$19,'Wind Proxy'!$A$8:$A$19,'Estimator'!$B$4,'Wind Proxy'!$B$8:$B$19,C2854)</x:f>
        <x:v>0.21505376344086022</x:v>
      </x:c>
    </x:row>
    <x:row r="2855">
      <x:c r="A2855" s="379" t="n">
        <x:v>48506</x:v>
      </x:c>
      <x:c r="B2855" s="380" t="n">
        <x:v>2032</x:v>
      </x:c>
      <x:c r="C2855" s="380" t="n">
        <x:v>10</x:v>
      </x:c>
      <x:c r="D2855" s="380" t="str">
        <x:v>Oct</x:v>
      </x:c>
      <x:c r="E2855" s="380" t="n">
        <x:v>19</x:v>
      </x:c>
      <x:c r="F2855" s="380" t="n">
        <x:v>2</x:v>
      </x:c>
      <x:c r="G2855" s="380" t="n">
        <x:f>--(F2855&lt;='Estimator'!$B$7)</x:f>
        <x:v>1</x:v>
      </x:c>
      <x:c r="H2855" s="381" t="n">
        <x:f>SUMIFS('Climate Data'!$G$7:$G$366,'Climate Data'!$A$7:$A$366,'Estimator'!$B$4,'Climate Data'!$B$7:$B$366,C2855)</x:f>
        <x:v>0.3721198156682028</x:v>
      </x:c>
      <x:c r="I2855" s="382" t="n">
        <x:f>SUMIFS('Climate Data'!$H$7:$H$366,'Climate Data'!$A$7:$A$366,'Estimator'!$B$4,'Climate Data'!$B$7:$B$366,C2855)</x:f>
        <x:v>7.940557275541795</x:v>
      </x:c>
      <x:c r="J2855" s="381" t="n">
        <x:f>SUMIFS('Wind Proxy'!$H$8:$H$19,'Wind Proxy'!$A$8:$A$19,'Estimator'!$B$4,'Wind Proxy'!$B$8:$B$19,C2855)</x:f>
        <x:v>0.21505376344086022</x:v>
      </x:c>
    </x:row>
    <x:row r="2856">
      <x:c r="A2856" s="379" t="n">
        <x:v>48507</x:v>
      </x:c>
      <x:c r="B2856" s="380" t="n">
        <x:v>2032</x:v>
      </x:c>
      <x:c r="C2856" s="380" t="n">
        <x:v>10</x:v>
      </x:c>
      <x:c r="D2856" s="380" t="str">
        <x:v>Oct</x:v>
      </x:c>
      <x:c r="E2856" s="380" t="n">
        <x:v>20</x:v>
      </x:c>
      <x:c r="F2856" s="380" t="n">
        <x:v>3</x:v>
      </x:c>
      <x:c r="G2856" s="380" t="n">
        <x:f>--(F2856&lt;='Estimator'!$B$7)</x:f>
        <x:v>1</x:v>
      </x:c>
      <x:c r="H2856" s="381" t="n">
        <x:f>SUMIFS('Climate Data'!$G$7:$G$366,'Climate Data'!$A$7:$A$366,'Estimator'!$B$4,'Climate Data'!$B$7:$B$366,C2856)</x:f>
        <x:v>0.3721198156682028</x:v>
      </x:c>
      <x:c r="I2856" s="382" t="n">
        <x:f>SUMIFS('Climate Data'!$H$7:$H$366,'Climate Data'!$A$7:$A$366,'Estimator'!$B$4,'Climate Data'!$B$7:$B$366,C2856)</x:f>
        <x:v>7.940557275541795</x:v>
      </x:c>
      <x:c r="J2856" s="381" t="n">
        <x:f>SUMIFS('Wind Proxy'!$H$8:$H$19,'Wind Proxy'!$A$8:$A$19,'Estimator'!$B$4,'Wind Proxy'!$B$8:$B$19,C2856)</x:f>
        <x:v>0.21505376344086022</x:v>
      </x:c>
    </x:row>
    <x:row r="2857">
      <x:c r="A2857" s="379" t="n">
        <x:v>48508</x:v>
      </x:c>
      <x:c r="B2857" s="380" t="n">
        <x:v>2032</x:v>
      </x:c>
      <x:c r="C2857" s="380" t="n">
        <x:v>10</x:v>
      </x:c>
      <x:c r="D2857" s="380" t="str">
        <x:v>Oct</x:v>
      </x:c>
      <x:c r="E2857" s="380" t="n">
        <x:v>21</x:v>
      </x:c>
      <x:c r="F2857" s="380" t="n">
        <x:v>4</x:v>
      </x:c>
      <x:c r="G2857" s="380" t="n">
        <x:f>--(F2857&lt;='Estimator'!$B$7)</x:f>
        <x:v>1</x:v>
      </x:c>
      <x:c r="H2857" s="381" t="n">
        <x:f>SUMIFS('Climate Data'!$G$7:$G$366,'Climate Data'!$A$7:$A$366,'Estimator'!$B$4,'Climate Data'!$B$7:$B$366,C2857)</x:f>
        <x:v>0.3721198156682028</x:v>
      </x:c>
      <x:c r="I2857" s="382" t="n">
        <x:f>SUMIFS('Climate Data'!$H$7:$H$366,'Climate Data'!$A$7:$A$366,'Estimator'!$B$4,'Climate Data'!$B$7:$B$366,C2857)</x:f>
        <x:v>7.940557275541795</x:v>
      </x:c>
      <x:c r="J2857" s="381" t="n">
        <x:f>SUMIFS('Wind Proxy'!$H$8:$H$19,'Wind Proxy'!$A$8:$A$19,'Estimator'!$B$4,'Wind Proxy'!$B$8:$B$19,C2857)</x:f>
        <x:v>0.21505376344086022</x:v>
      </x:c>
    </x:row>
    <x:row r="2858">
      <x:c r="A2858" s="379" t="n">
        <x:v>48509</x:v>
      </x:c>
      <x:c r="B2858" s="380" t="n">
        <x:v>2032</x:v>
      </x:c>
      <x:c r="C2858" s="380" t="n">
        <x:v>10</x:v>
      </x:c>
      <x:c r="D2858" s="380" t="str">
        <x:v>Oct</x:v>
      </x:c>
      <x:c r="E2858" s="380" t="n">
        <x:v>22</x:v>
      </x:c>
      <x:c r="F2858" s="380" t="n">
        <x:v>5</x:v>
      </x:c>
      <x:c r="G2858" s="380" t="n">
        <x:f>--(F2858&lt;='Estimator'!$B$7)</x:f>
        <x:v>1</x:v>
      </x:c>
      <x:c r="H2858" s="381" t="n">
        <x:f>SUMIFS('Climate Data'!$G$7:$G$366,'Climate Data'!$A$7:$A$366,'Estimator'!$B$4,'Climate Data'!$B$7:$B$366,C2858)</x:f>
        <x:v>0.3721198156682028</x:v>
      </x:c>
      <x:c r="I2858" s="382" t="n">
        <x:f>SUMIFS('Climate Data'!$H$7:$H$366,'Climate Data'!$A$7:$A$366,'Estimator'!$B$4,'Climate Data'!$B$7:$B$366,C2858)</x:f>
        <x:v>7.940557275541795</x:v>
      </x:c>
      <x:c r="J2858" s="381" t="n">
        <x:f>SUMIFS('Wind Proxy'!$H$8:$H$19,'Wind Proxy'!$A$8:$A$19,'Estimator'!$B$4,'Wind Proxy'!$B$8:$B$19,C2858)</x:f>
        <x:v>0.21505376344086022</x:v>
      </x:c>
    </x:row>
    <x:row r="2859">
      <x:c r="A2859" s="379" t="n">
        <x:v>48510</x:v>
      </x:c>
      <x:c r="B2859" s="380" t="n">
        <x:v>2032</x:v>
      </x:c>
      <x:c r="C2859" s="380" t="n">
        <x:v>10</x:v>
      </x:c>
      <x:c r="D2859" s="380" t="str">
        <x:v>Oct</x:v>
      </x:c>
      <x:c r="E2859" s="380" t="n">
        <x:v>23</x:v>
      </x:c>
      <x:c r="F2859" s="380" t="n">
        <x:v>6</x:v>
      </x:c>
      <x:c r="G2859" s="380" t="n">
        <x:f>--(F2859&lt;='Estimator'!$B$7)</x:f>
        <x:v>0</x:v>
      </x:c>
      <x:c r="H2859" s="381" t="n">
        <x:f>SUMIFS('Climate Data'!$G$7:$G$366,'Climate Data'!$A$7:$A$366,'Estimator'!$B$4,'Climate Data'!$B$7:$B$366,C2859)</x:f>
        <x:v>0.3721198156682028</x:v>
      </x:c>
      <x:c r="I2859" s="382" t="n">
        <x:f>SUMIFS('Climate Data'!$H$7:$H$366,'Climate Data'!$A$7:$A$366,'Estimator'!$B$4,'Climate Data'!$B$7:$B$366,C2859)</x:f>
        <x:v>7.940557275541795</x:v>
      </x:c>
      <x:c r="J2859" s="381" t="n">
        <x:f>SUMIFS('Wind Proxy'!$H$8:$H$19,'Wind Proxy'!$A$8:$A$19,'Estimator'!$B$4,'Wind Proxy'!$B$8:$B$19,C2859)</x:f>
        <x:v>0.21505376344086022</x:v>
      </x:c>
    </x:row>
    <x:row r="2860">
      <x:c r="A2860" s="379" t="n">
        <x:v>48511</x:v>
      </x:c>
      <x:c r="B2860" s="380" t="n">
        <x:v>2032</x:v>
      </x:c>
      <x:c r="C2860" s="380" t="n">
        <x:v>10</x:v>
      </x:c>
      <x:c r="D2860" s="380" t="str">
        <x:v>Oct</x:v>
      </x:c>
      <x:c r="E2860" s="380" t="n">
        <x:v>24</x:v>
      </x:c>
      <x:c r="F2860" s="380" t="n">
        <x:v>7</x:v>
      </x:c>
      <x:c r="G2860" s="380" t="n">
        <x:f>--(F2860&lt;='Estimator'!$B$7)</x:f>
        <x:v>0</x:v>
      </x:c>
      <x:c r="H2860" s="381" t="n">
        <x:f>SUMIFS('Climate Data'!$G$7:$G$366,'Climate Data'!$A$7:$A$366,'Estimator'!$B$4,'Climate Data'!$B$7:$B$366,C2860)</x:f>
        <x:v>0.3721198156682028</x:v>
      </x:c>
      <x:c r="I2860" s="382" t="n">
        <x:f>SUMIFS('Climate Data'!$H$7:$H$366,'Climate Data'!$A$7:$A$366,'Estimator'!$B$4,'Climate Data'!$B$7:$B$366,C2860)</x:f>
        <x:v>7.940557275541795</x:v>
      </x:c>
      <x:c r="J2860" s="381" t="n">
        <x:f>SUMIFS('Wind Proxy'!$H$8:$H$19,'Wind Proxy'!$A$8:$A$19,'Estimator'!$B$4,'Wind Proxy'!$B$8:$B$19,C2860)</x:f>
        <x:v>0.21505376344086022</x:v>
      </x:c>
    </x:row>
    <x:row r="2861">
      <x:c r="A2861" s="379" t="n">
        <x:v>48512</x:v>
      </x:c>
      <x:c r="B2861" s="380" t="n">
        <x:v>2032</x:v>
      </x:c>
      <x:c r="C2861" s="380" t="n">
        <x:v>10</x:v>
      </x:c>
      <x:c r="D2861" s="380" t="str">
        <x:v>Oct</x:v>
      </x:c>
      <x:c r="E2861" s="380" t="n">
        <x:v>25</x:v>
      </x:c>
      <x:c r="F2861" s="380" t="n">
        <x:v>1</x:v>
      </x:c>
      <x:c r="G2861" s="380" t="n">
        <x:f>--(F2861&lt;='Estimator'!$B$7)</x:f>
        <x:v>1</x:v>
      </x:c>
      <x:c r="H2861" s="381" t="n">
        <x:f>SUMIFS('Climate Data'!$G$7:$G$366,'Climate Data'!$A$7:$A$366,'Estimator'!$B$4,'Climate Data'!$B$7:$B$366,C2861)</x:f>
        <x:v>0.3721198156682028</x:v>
      </x:c>
      <x:c r="I2861" s="382" t="n">
        <x:f>SUMIFS('Climate Data'!$H$7:$H$366,'Climate Data'!$A$7:$A$366,'Estimator'!$B$4,'Climate Data'!$B$7:$B$366,C2861)</x:f>
        <x:v>7.940557275541795</x:v>
      </x:c>
      <x:c r="J2861" s="381" t="n">
        <x:f>SUMIFS('Wind Proxy'!$H$8:$H$19,'Wind Proxy'!$A$8:$A$19,'Estimator'!$B$4,'Wind Proxy'!$B$8:$B$19,C2861)</x:f>
        <x:v>0.21505376344086022</x:v>
      </x:c>
    </x:row>
    <x:row r="2862">
      <x:c r="A2862" s="379" t="n">
        <x:v>48513</x:v>
      </x:c>
      <x:c r="B2862" s="380" t="n">
        <x:v>2032</x:v>
      </x:c>
      <x:c r="C2862" s="380" t="n">
        <x:v>10</x:v>
      </x:c>
      <x:c r="D2862" s="380" t="str">
        <x:v>Oct</x:v>
      </x:c>
      <x:c r="E2862" s="380" t="n">
        <x:v>26</x:v>
      </x:c>
      <x:c r="F2862" s="380" t="n">
        <x:v>2</x:v>
      </x:c>
      <x:c r="G2862" s="380" t="n">
        <x:f>--(F2862&lt;='Estimator'!$B$7)</x:f>
        <x:v>1</x:v>
      </x:c>
      <x:c r="H2862" s="381" t="n">
        <x:f>SUMIFS('Climate Data'!$G$7:$G$366,'Climate Data'!$A$7:$A$366,'Estimator'!$B$4,'Climate Data'!$B$7:$B$366,C2862)</x:f>
        <x:v>0.3721198156682028</x:v>
      </x:c>
      <x:c r="I2862" s="382" t="n">
        <x:f>SUMIFS('Climate Data'!$H$7:$H$366,'Climate Data'!$A$7:$A$366,'Estimator'!$B$4,'Climate Data'!$B$7:$B$366,C2862)</x:f>
        <x:v>7.940557275541795</x:v>
      </x:c>
      <x:c r="J2862" s="381" t="n">
        <x:f>SUMIFS('Wind Proxy'!$H$8:$H$19,'Wind Proxy'!$A$8:$A$19,'Estimator'!$B$4,'Wind Proxy'!$B$8:$B$19,C2862)</x:f>
        <x:v>0.21505376344086022</x:v>
      </x:c>
    </x:row>
    <x:row r="2863">
      <x:c r="A2863" s="379" t="n">
        <x:v>48514</x:v>
      </x:c>
      <x:c r="B2863" s="380" t="n">
        <x:v>2032</x:v>
      </x:c>
      <x:c r="C2863" s="380" t="n">
        <x:v>10</x:v>
      </x:c>
      <x:c r="D2863" s="380" t="str">
        <x:v>Oct</x:v>
      </x:c>
      <x:c r="E2863" s="380" t="n">
        <x:v>27</x:v>
      </x:c>
      <x:c r="F2863" s="380" t="n">
        <x:v>3</x:v>
      </x:c>
      <x:c r="G2863" s="380" t="n">
        <x:f>--(F2863&lt;='Estimator'!$B$7)</x:f>
        <x:v>1</x:v>
      </x:c>
      <x:c r="H2863" s="381" t="n">
        <x:f>SUMIFS('Climate Data'!$G$7:$G$366,'Climate Data'!$A$7:$A$366,'Estimator'!$B$4,'Climate Data'!$B$7:$B$366,C2863)</x:f>
        <x:v>0.3721198156682028</x:v>
      </x:c>
      <x:c r="I2863" s="382" t="n">
        <x:f>SUMIFS('Climate Data'!$H$7:$H$366,'Climate Data'!$A$7:$A$366,'Estimator'!$B$4,'Climate Data'!$B$7:$B$366,C2863)</x:f>
        <x:v>7.940557275541795</x:v>
      </x:c>
      <x:c r="J2863" s="381" t="n">
        <x:f>SUMIFS('Wind Proxy'!$H$8:$H$19,'Wind Proxy'!$A$8:$A$19,'Estimator'!$B$4,'Wind Proxy'!$B$8:$B$19,C2863)</x:f>
        <x:v>0.21505376344086022</x:v>
      </x:c>
    </x:row>
    <x:row r="2864">
      <x:c r="A2864" s="379" t="n">
        <x:v>48515</x:v>
      </x:c>
      <x:c r="B2864" s="380" t="n">
        <x:v>2032</x:v>
      </x:c>
      <x:c r="C2864" s="380" t="n">
        <x:v>10</x:v>
      </x:c>
      <x:c r="D2864" s="380" t="str">
        <x:v>Oct</x:v>
      </x:c>
      <x:c r="E2864" s="380" t="n">
        <x:v>28</x:v>
      </x:c>
      <x:c r="F2864" s="380" t="n">
        <x:v>4</x:v>
      </x:c>
      <x:c r="G2864" s="380" t="n">
        <x:f>--(F2864&lt;='Estimator'!$B$7)</x:f>
        <x:v>1</x:v>
      </x:c>
      <x:c r="H2864" s="381" t="n">
        <x:f>SUMIFS('Climate Data'!$G$7:$G$366,'Climate Data'!$A$7:$A$366,'Estimator'!$B$4,'Climate Data'!$B$7:$B$366,C2864)</x:f>
        <x:v>0.3721198156682028</x:v>
      </x:c>
      <x:c r="I2864" s="382" t="n">
        <x:f>SUMIFS('Climate Data'!$H$7:$H$366,'Climate Data'!$A$7:$A$366,'Estimator'!$B$4,'Climate Data'!$B$7:$B$366,C2864)</x:f>
        <x:v>7.940557275541795</x:v>
      </x:c>
      <x:c r="J2864" s="381" t="n">
        <x:f>SUMIFS('Wind Proxy'!$H$8:$H$19,'Wind Proxy'!$A$8:$A$19,'Estimator'!$B$4,'Wind Proxy'!$B$8:$B$19,C2864)</x:f>
        <x:v>0.21505376344086022</x:v>
      </x:c>
    </x:row>
    <x:row r="2865">
      <x:c r="A2865" s="379" t="n">
        <x:v>48516</x:v>
      </x:c>
      <x:c r="B2865" s="380" t="n">
        <x:v>2032</x:v>
      </x:c>
      <x:c r="C2865" s="380" t="n">
        <x:v>10</x:v>
      </x:c>
      <x:c r="D2865" s="380" t="str">
        <x:v>Oct</x:v>
      </x:c>
      <x:c r="E2865" s="380" t="n">
        <x:v>29</x:v>
      </x:c>
      <x:c r="F2865" s="380" t="n">
        <x:v>5</x:v>
      </x:c>
      <x:c r="G2865" s="380" t="n">
        <x:f>--(F2865&lt;='Estimator'!$B$7)</x:f>
        <x:v>1</x:v>
      </x:c>
      <x:c r="H2865" s="381" t="n">
        <x:f>SUMIFS('Climate Data'!$G$7:$G$366,'Climate Data'!$A$7:$A$366,'Estimator'!$B$4,'Climate Data'!$B$7:$B$366,C2865)</x:f>
        <x:v>0.3721198156682028</x:v>
      </x:c>
      <x:c r="I2865" s="382" t="n">
        <x:f>SUMIFS('Climate Data'!$H$7:$H$366,'Climate Data'!$A$7:$A$366,'Estimator'!$B$4,'Climate Data'!$B$7:$B$366,C2865)</x:f>
        <x:v>7.940557275541795</x:v>
      </x:c>
      <x:c r="J2865" s="381" t="n">
        <x:f>SUMIFS('Wind Proxy'!$H$8:$H$19,'Wind Proxy'!$A$8:$A$19,'Estimator'!$B$4,'Wind Proxy'!$B$8:$B$19,C2865)</x:f>
        <x:v>0.21505376344086022</x:v>
      </x:c>
    </x:row>
    <x:row r="2866">
      <x:c r="A2866" s="379" t="n">
        <x:v>48517</x:v>
      </x:c>
      <x:c r="B2866" s="380" t="n">
        <x:v>2032</x:v>
      </x:c>
      <x:c r="C2866" s="380" t="n">
        <x:v>10</x:v>
      </x:c>
      <x:c r="D2866" s="380" t="str">
        <x:v>Oct</x:v>
      </x:c>
      <x:c r="E2866" s="380" t="n">
        <x:v>30</x:v>
      </x:c>
      <x:c r="F2866" s="380" t="n">
        <x:v>6</x:v>
      </x:c>
      <x:c r="G2866" s="380" t="n">
        <x:f>--(F2866&lt;='Estimator'!$B$7)</x:f>
        <x:v>0</x:v>
      </x:c>
      <x:c r="H2866" s="381" t="n">
        <x:f>SUMIFS('Climate Data'!$G$7:$G$366,'Climate Data'!$A$7:$A$366,'Estimator'!$B$4,'Climate Data'!$B$7:$B$366,C2866)</x:f>
        <x:v>0.3721198156682028</x:v>
      </x:c>
      <x:c r="I2866" s="382" t="n">
        <x:f>SUMIFS('Climate Data'!$H$7:$H$366,'Climate Data'!$A$7:$A$366,'Estimator'!$B$4,'Climate Data'!$B$7:$B$366,C2866)</x:f>
        <x:v>7.940557275541795</x:v>
      </x:c>
      <x:c r="J2866" s="381" t="n">
        <x:f>SUMIFS('Wind Proxy'!$H$8:$H$19,'Wind Proxy'!$A$8:$A$19,'Estimator'!$B$4,'Wind Proxy'!$B$8:$B$19,C2866)</x:f>
        <x:v>0.21505376344086022</x:v>
      </x:c>
    </x:row>
    <x:row r="2867">
      <x:c r="A2867" s="379" t="n">
        <x:v>48518</x:v>
      </x:c>
      <x:c r="B2867" s="380" t="n">
        <x:v>2032</x:v>
      </x:c>
      <x:c r="C2867" s="380" t="n">
        <x:v>10</x:v>
      </x:c>
      <x:c r="D2867" s="380" t="str">
        <x:v>Oct</x:v>
      </x:c>
      <x:c r="E2867" s="380" t="n">
        <x:v>31</x:v>
      </x:c>
      <x:c r="F2867" s="380" t="n">
        <x:v>7</x:v>
      </x:c>
      <x:c r="G2867" s="380" t="n">
        <x:f>--(F2867&lt;='Estimator'!$B$7)</x:f>
        <x:v>0</x:v>
      </x:c>
      <x:c r="H2867" s="381" t="n">
        <x:f>SUMIFS('Climate Data'!$G$7:$G$366,'Climate Data'!$A$7:$A$366,'Estimator'!$B$4,'Climate Data'!$B$7:$B$366,C2867)</x:f>
        <x:v>0.3721198156682028</x:v>
      </x:c>
      <x:c r="I2867" s="382" t="n">
        <x:f>SUMIFS('Climate Data'!$H$7:$H$366,'Climate Data'!$A$7:$A$366,'Estimator'!$B$4,'Climate Data'!$B$7:$B$366,C2867)</x:f>
        <x:v>7.940557275541795</x:v>
      </x:c>
      <x:c r="J2867" s="381" t="n">
        <x:f>SUMIFS('Wind Proxy'!$H$8:$H$19,'Wind Proxy'!$A$8:$A$19,'Estimator'!$B$4,'Wind Proxy'!$B$8:$B$19,C2867)</x:f>
        <x:v>0.21505376344086022</x:v>
      </x:c>
    </x:row>
    <x:row r="2868">
      <x:c r="A2868" s="379" t="n">
        <x:v>48519</x:v>
      </x:c>
      <x:c r="B2868" s="380" t="n">
        <x:v>2032</x:v>
      </x:c>
      <x:c r="C2868" s="380" t="n">
        <x:v>11</x:v>
      </x:c>
      <x:c r="D2868" s="380" t="str">
        <x:v>Nov</x:v>
      </x:c>
      <x:c r="E2868" s="380" t="n">
        <x:v>1</x:v>
      </x:c>
      <x:c r="F2868" s="380" t="n">
        <x:v>1</x:v>
      </x:c>
      <x:c r="G2868" s="380" t="n">
        <x:f>--(F2868&lt;='Estimator'!$B$7)</x:f>
        <x:v>1</x:v>
      </x:c>
      <x:c r="H2868" s="381" t="n">
        <x:f>SUMIFS('Climate Data'!$G$7:$G$366,'Climate Data'!$A$7:$A$366,'Estimator'!$B$4,'Climate Data'!$B$7:$B$366,C2868)</x:f>
        <x:v>0.3111111111111111</x:v>
      </x:c>
      <x:c r="I2868" s="382" t="n">
        <x:f>SUMIFS('Climate Data'!$H$7:$H$366,'Climate Data'!$A$7:$A$366,'Estimator'!$B$4,'Climate Data'!$B$7:$B$366,C2868)</x:f>
        <x:v>7.382142857142857</x:v>
      </x:c>
      <x:c r="J2868" s="381" t="n">
        <x:f>SUMIFS('Wind Proxy'!$H$8:$H$19,'Wind Proxy'!$A$8:$A$19,'Estimator'!$B$4,'Wind Proxy'!$B$8:$B$19,C2868)</x:f>
        <x:v>0.22222222222222224</x:v>
      </x:c>
    </x:row>
    <x:row r="2869">
      <x:c r="A2869" s="379" t="n">
        <x:v>48520</x:v>
      </x:c>
      <x:c r="B2869" s="380" t="n">
        <x:v>2032</x:v>
      </x:c>
      <x:c r="C2869" s="380" t="n">
        <x:v>11</x:v>
      </x:c>
      <x:c r="D2869" s="380" t="str">
        <x:v>Nov</x:v>
      </x:c>
      <x:c r="E2869" s="380" t="n">
        <x:v>2</x:v>
      </x:c>
      <x:c r="F2869" s="380" t="n">
        <x:v>2</x:v>
      </x:c>
      <x:c r="G2869" s="380" t="n">
        <x:f>--(F2869&lt;='Estimator'!$B$7)</x:f>
        <x:v>1</x:v>
      </x:c>
      <x:c r="H2869" s="381" t="n">
        <x:f>SUMIFS('Climate Data'!$G$7:$G$366,'Climate Data'!$A$7:$A$366,'Estimator'!$B$4,'Climate Data'!$B$7:$B$366,C2869)</x:f>
        <x:v>0.3111111111111111</x:v>
      </x:c>
      <x:c r="I2869" s="382" t="n">
        <x:f>SUMIFS('Climate Data'!$H$7:$H$366,'Climate Data'!$A$7:$A$366,'Estimator'!$B$4,'Climate Data'!$B$7:$B$366,C2869)</x:f>
        <x:v>7.382142857142857</x:v>
      </x:c>
      <x:c r="J2869" s="381" t="n">
        <x:f>SUMIFS('Wind Proxy'!$H$8:$H$19,'Wind Proxy'!$A$8:$A$19,'Estimator'!$B$4,'Wind Proxy'!$B$8:$B$19,C2869)</x:f>
        <x:v>0.22222222222222224</x:v>
      </x:c>
    </x:row>
    <x:row r="2870">
      <x:c r="A2870" s="379" t="n">
        <x:v>48521</x:v>
      </x:c>
      <x:c r="B2870" s="380" t="n">
        <x:v>2032</x:v>
      </x:c>
      <x:c r="C2870" s="380" t="n">
        <x:v>11</x:v>
      </x:c>
      <x:c r="D2870" s="380" t="str">
        <x:v>Nov</x:v>
      </x:c>
      <x:c r="E2870" s="380" t="n">
        <x:v>3</x:v>
      </x:c>
      <x:c r="F2870" s="380" t="n">
        <x:v>3</x:v>
      </x:c>
      <x:c r="G2870" s="380" t="n">
        <x:f>--(F2870&lt;='Estimator'!$B$7)</x:f>
        <x:v>1</x:v>
      </x:c>
      <x:c r="H2870" s="381" t="n">
        <x:f>SUMIFS('Climate Data'!$G$7:$G$366,'Climate Data'!$A$7:$A$366,'Estimator'!$B$4,'Climate Data'!$B$7:$B$366,C2870)</x:f>
        <x:v>0.3111111111111111</x:v>
      </x:c>
      <x:c r="I2870" s="382" t="n">
        <x:f>SUMIFS('Climate Data'!$H$7:$H$366,'Climate Data'!$A$7:$A$366,'Estimator'!$B$4,'Climate Data'!$B$7:$B$366,C2870)</x:f>
        <x:v>7.382142857142857</x:v>
      </x:c>
      <x:c r="J2870" s="381" t="n">
        <x:f>SUMIFS('Wind Proxy'!$H$8:$H$19,'Wind Proxy'!$A$8:$A$19,'Estimator'!$B$4,'Wind Proxy'!$B$8:$B$19,C2870)</x:f>
        <x:v>0.22222222222222224</x:v>
      </x:c>
    </x:row>
    <x:row r="2871">
      <x:c r="A2871" s="379" t="n">
        <x:v>48522</x:v>
      </x:c>
      <x:c r="B2871" s="380" t="n">
        <x:v>2032</x:v>
      </x:c>
      <x:c r="C2871" s="380" t="n">
        <x:v>11</x:v>
      </x:c>
      <x:c r="D2871" s="380" t="str">
        <x:v>Nov</x:v>
      </x:c>
      <x:c r="E2871" s="380" t="n">
        <x:v>4</x:v>
      </x:c>
      <x:c r="F2871" s="380" t="n">
        <x:v>4</x:v>
      </x:c>
      <x:c r="G2871" s="380" t="n">
        <x:f>--(F2871&lt;='Estimator'!$B$7)</x:f>
        <x:v>1</x:v>
      </x:c>
      <x:c r="H2871" s="381" t="n">
        <x:f>SUMIFS('Climate Data'!$G$7:$G$366,'Climate Data'!$A$7:$A$366,'Estimator'!$B$4,'Climate Data'!$B$7:$B$366,C2871)</x:f>
        <x:v>0.3111111111111111</x:v>
      </x:c>
      <x:c r="I2871" s="382" t="n">
        <x:f>SUMIFS('Climate Data'!$H$7:$H$366,'Climate Data'!$A$7:$A$366,'Estimator'!$B$4,'Climate Data'!$B$7:$B$366,C2871)</x:f>
        <x:v>7.382142857142857</x:v>
      </x:c>
      <x:c r="J2871" s="381" t="n">
        <x:f>SUMIFS('Wind Proxy'!$H$8:$H$19,'Wind Proxy'!$A$8:$A$19,'Estimator'!$B$4,'Wind Proxy'!$B$8:$B$19,C2871)</x:f>
        <x:v>0.22222222222222224</x:v>
      </x:c>
    </x:row>
    <x:row r="2872">
      <x:c r="A2872" s="379" t="n">
        <x:v>48523</x:v>
      </x:c>
      <x:c r="B2872" s="380" t="n">
        <x:v>2032</x:v>
      </x:c>
      <x:c r="C2872" s="380" t="n">
        <x:v>11</x:v>
      </x:c>
      <x:c r="D2872" s="380" t="str">
        <x:v>Nov</x:v>
      </x:c>
      <x:c r="E2872" s="380" t="n">
        <x:v>5</x:v>
      </x:c>
      <x:c r="F2872" s="380" t="n">
        <x:v>5</x:v>
      </x:c>
      <x:c r="G2872" s="380" t="n">
        <x:f>--(F2872&lt;='Estimator'!$B$7)</x:f>
        <x:v>1</x:v>
      </x:c>
      <x:c r="H2872" s="381" t="n">
        <x:f>SUMIFS('Climate Data'!$G$7:$G$366,'Climate Data'!$A$7:$A$366,'Estimator'!$B$4,'Climate Data'!$B$7:$B$366,C2872)</x:f>
        <x:v>0.3111111111111111</x:v>
      </x:c>
      <x:c r="I2872" s="382" t="n">
        <x:f>SUMIFS('Climate Data'!$H$7:$H$366,'Climate Data'!$A$7:$A$366,'Estimator'!$B$4,'Climate Data'!$B$7:$B$366,C2872)</x:f>
        <x:v>7.382142857142857</x:v>
      </x:c>
      <x:c r="J2872" s="381" t="n">
        <x:f>SUMIFS('Wind Proxy'!$H$8:$H$19,'Wind Proxy'!$A$8:$A$19,'Estimator'!$B$4,'Wind Proxy'!$B$8:$B$19,C2872)</x:f>
        <x:v>0.22222222222222224</x:v>
      </x:c>
    </x:row>
    <x:row r="2873">
      <x:c r="A2873" s="379" t="n">
        <x:v>48524</x:v>
      </x:c>
      <x:c r="B2873" s="380" t="n">
        <x:v>2032</x:v>
      </x:c>
      <x:c r="C2873" s="380" t="n">
        <x:v>11</x:v>
      </x:c>
      <x:c r="D2873" s="380" t="str">
        <x:v>Nov</x:v>
      </x:c>
      <x:c r="E2873" s="380" t="n">
        <x:v>6</x:v>
      </x:c>
      <x:c r="F2873" s="380" t="n">
        <x:v>6</x:v>
      </x:c>
      <x:c r="G2873" s="380" t="n">
        <x:f>--(F2873&lt;='Estimator'!$B$7)</x:f>
        <x:v>0</x:v>
      </x:c>
      <x:c r="H2873" s="381" t="n">
        <x:f>SUMIFS('Climate Data'!$G$7:$G$366,'Climate Data'!$A$7:$A$366,'Estimator'!$B$4,'Climate Data'!$B$7:$B$366,C2873)</x:f>
        <x:v>0.3111111111111111</x:v>
      </x:c>
      <x:c r="I2873" s="382" t="n">
        <x:f>SUMIFS('Climate Data'!$H$7:$H$366,'Climate Data'!$A$7:$A$366,'Estimator'!$B$4,'Climate Data'!$B$7:$B$366,C2873)</x:f>
        <x:v>7.382142857142857</x:v>
      </x:c>
      <x:c r="J2873" s="381" t="n">
        <x:f>SUMIFS('Wind Proxy'!$H$8:$H$19,'Wind Proxy'!$A$8:$A$19,'Estimator'!$B$4,'Wind Proxy'!$B$8:$B$19,C2873)</x:f>
        <x:v>0.22222222222222224</x:v>
      </x:c>
    </x:row>
    <x:row r="2874">
      <x:c r="A2874" s="379" t="n">
        <x:v>48525</x:v>
      </x:c>
      <x:c r="B2874" s="380" t="n">
        <x:v>2032</x:v>
      </x:c>
      <x:c r="C2874" s="380" t="n">
        <x:v>11</x:v>
      </x:c>
      <x:c r="D2874" s="380" t="str">
        <x:v>Nov</x:v>
      </x:c>
      <x:c r="E2874" s="380" t="n">
        <x:v>7</x:v>
      </x:c>
      <x:c r="F2874" s="380" t="n">
        <x:v>7</x:v>
      </x:c>
      <x:c r="G2874" s="380" t="n">
        <x:f>--(F2874&lt;='Estimator'!$B$7)</x:f>
        <x:v>0</x:v>
      </x:c>
      <x:c r="H2874" s="381" t="n">
        <x:f>SUMIFS('Climate Data'!$G$7:$G$366,'Climate Data'!$A$7:$A$366,'Estimator'!$B$4,'Climate Data'!$B$7:$B$366,C2874)</x:f>
        <x:v>0.3111111111111111</x:v>
      </x:c>
      <x:c r="I2874" s="382" t="n">
        <x:f>SUMIFS('Climate Data'!$H$7:$H$366,'Climate Data'!$A$7:$A$366,'Estimator'!$B$4,'Climate Data'!$B$7:$B$366,C2874)</x:f>
        <x:v>7.382142857142857</x:v>
      </x:c>
      <x:c r="J2874" s="381" t="n">
        <x:f>SUMIFS('Wind Proxy'!$H$8:$H$19,'Wind Proxy'!$A$8:$A$19,'Estimator'!$B$4,'Wind Proxy'!$B$8:$B$19,C2874)</x:f>
        <x:v>0.22222222222222224</x:v>
      </x:c>
    </x:row>
    <x:row r="2875">
      <x:c r="A2875" s="379" t="n">
        <x:v>48526</x:v>
      </x:c>
      <x:c r="B2875" s="380" t="n">
        <x:v>2032</x:v>
      </x:c>
      <x:c r="C2875" s="380" t="n">
        <x:v>11</x:v>
      </x:c>
      <x:c r="D2875" s="380" t="str">
        <x:v>Nov</x:v>
      </x:c>
      <x:c r="E2875" s="380" t="n">
        <x:v>8</x:v>
      </x:c>
      <x:c r="F2875" s="380" t="n">
        <x:v>1</x:v>
      </x:c>
      <x:c r="G2875" s="380" t="n">
        <x:f>--(F2875&lt;='Estimator'!$B$7)</x:f>
        <x:v>1</x:v>
      </x:c>
      <x:c r="H2875" s="381" t="n">
        <x:f>SUMIFS('Climate Data'!$G$7:$G$366,'Climate Data'!$A$7:$A$366,'Estimator'!$B$4,'Climate Data'!$B$7:$B$366,C2875)</x:f>
        <x:v>0.3111111111111111</x:v>
      </x:c>
      <x:c r="I2875" s="382" t="n">
        <x:f>SUMIFS('Climate Data'!$H$7:$H$366,'Climate Data'!$A$7:$A$366,'Estimator'!$B$4,'Climate Data'!$B$7:$B$366,C2875)</x:f>
        <x:v>7.382142857142857</x:v>
      </x:c>
      <x:c r="J2875" s="381" t="n">
        <x:f>SUMIFS('Wind Proxy'!$H$8:$H$19,'Wind Proxy'!$A$8:$A$19,'Estimator'!$B$4,'Wind Proxy'!$B$8:$B$19,C2875)</x:f>
        <x:v>0.22222222222222224</x:v>
      </x:c>
    </x:row>
    <x:row r="2876">
      <x:c r="A2876" s="379" t="n">
        <x:v>48527</x:v>
      </x:c>
      <x:c r="B2876" s="380" t="n">
        <x:v>2032</x:v>
      </x:c>
      <x:c r="C2876" s="380" t="n">
        <x:v>11</x:v>
      </x:c>
      <x:c r="D2876" s="380" t="str">
        <x:v>Nov</x:v>
      </x:c>
      <x:c r="E2876" s="380" t="n">
        <x:v>9</x:v>
      </x:c>
      <x:c r="F2876" s="380" t="n">
        <x:v>2</x:v>
      </x:c>
      <x:c r="G2876" s="380" t="n">
        <x:f>--(F2876&lt;='Estimator'!$B$7)</x:f>
        <x:v>1</x:v>
      </x:c>
      <x:c r="H2876" s="381" t="n">
        <x:f>SUMIFS('Climate Data'!$G$7:$G$366,'Climate Data'!$A$7:$A$366,'Estimator'!$B$4,'Climate Data'!$B$7:$B$366,C2876)</x:f>
        <x:v>0.3111111111111111</x:v>
      </x:c>
      <x:c r="I2876" s="382" t="n">
        <x:f>SUMIFS('Climate Data'!$H$7:$H$366,'Climate Data'!$A$7:$A$366,'Estimator'!$B$4,'Climate Data'!$B$7:$B$366,C2876)</x:f>
        <x:v>7.382142857142857</x:v>
      </x:c>
      <x:c r="J2876" s="381" t="n">
        <x:f>SUMIFS('Wind Proxy'!$H$8:$H$19,'Wind Proxy'!$A$8:$A$19,'Estimator'!$B$4,'Wind Proxy'!$B$8:$B$19,C2876)</x:f>
        <x:v>0.22222222222222224</x:v>
      </x:c>
    </x:row>
    <x:row r="2877">
      <x:c r="A2877" s="379" t="n">
        <x:v>48528</x:v>
      </x:c>
      <x:c r="B2877" s="380" t="n">
        <x:v>2032</x:v>
      </x:c>
      <x:c r="C2877" s="380" t="n">
        <x:v>11</x:v>
      </x:c>
      <x:c r="D2877" s="380" t="str">
        <x:v>Nov</x:v>
      </x:c>
      <x:c r="E2877" s="380" t="n">
        <x:v>10</x:v>
      </x:c>
      <x:c r="F2877" s="380" t="n">
        <x:v>3</x:v>
      </x:c>
      <x:c r="G2877" s="380" t="n">
        <x:f>--(F2877&lt;='Estimator'!$B$7)</x:f>
        <x:v>1</x:v>
      </x:c>
      <x:c r="H2877" s="381" t="n">
        <x:f>SUMIFS('Climate Data'!$G$7:$G$366,'Climate Data'!$A$7:$A$366,'Estimator'!$B$4,'Climate Data'!$B$7:$B$366,C2877)</x:f>
        <x:v>0.3111111111111111</x:v>
      </x:c>
      <x:c r="I2877" s="382" t="n">
        <x:f>SUMIFS('Climate Data'!$H$7:$H$366,'Climate Data'!$A$7:$A$366,'Estimator'!$B$4,'Climate Data'!$B$7:$B$366,C2877)</x:f>
        <x:v>7.382142857142857</x:v>
      </x:c>
      <x:c r="J2877" s="381" t="n">
        <x:f>SUMIFS('Wind Proxy'!$H$8:$H$19,'Wind Proxy'!$A$8:$A$19,'Estimator'!$B$4,'Wind Proxy'!$B$8:$B$19,C2877)</x:f>
        <x:v>0.22222222222222224</x:v>
      </x:c>
    </x:row>
    <x:row r="2878">
      <x:c r="A2878" s="379" t="n">
        <x:v>48529</x:v>
      </x:c>
      <x:c r="B2878" s="380" t="n">
        <x:v>2032</x:v>
      </x:c>
      <x:c r="C2878" s="380" t="n">
        <x:v>11</x:v>
      </x:c>
      <x:c r="D2878" s="380" t="str">
        <x:v>Nov</x:v>
      </x:c>
      <x:c r="E2878" s="380" t="n">
        <x:v>11</x:v>
      </x:c>
      <x:c r="F2878" s="380" t="n">
        <x:v>4</x:v>
      </x:c>
      <x:c r="G2878" s="380" t="n">
        <x:f>--(F2878&lt;='Estimator'!$B$7)</x:f>
        <x:v>1</x:v>
      </x:c>
      <x:c r="H2878" s="381" t="n">
        <x:f>SUMIFS('Climate Data'!$G$7:$G$366,'Climate Data'!$A$7:$A$366,'Estimator'!$B$4,'Climate Data'!$B$7:$B$366,C2878)</x:f>
        <x:v>0.3111111111111111</x:v>
      </x:c>
      <x:c r="I2878" s="382" t="n">
        <x:f>SUMIFS('Climate Data'!$H$7:$H$366,'Climate Data'!$A$7:$A$366,'Estimator'!$B$4,'Climate Data'!$B$7:$B$366,C2878)</x:f>
        <x:v>7.382142857142857</x:v>
      </x:c>
      <x:c r="J2878" s="381" t="n">
        <x:f>SUMIFS('Wind Proxy'!$H$8:$H$19,'Wind Proxy'!$A$8:$A$19,'Estimator'!$B$4,'Wind Proxy'!$B$8:$B$19,C2878)</x:f>
        <x:v>0.22222222222222224</x:v>
      </x:c>
    </x:row>
    <x:row r="2879">
      <x:c r="A2879" s="379" t="n">
        <x:v>48530</x:v>
      </x:c>
      <x:c r="B2879" s="380" t="n">
        <x:v>2032</x:v>
      </x:c>
      <x:c r="C2879" s="380" t="n">
        <x:v>11</x:v>
      </x:c>
      <x:c r="D2879" s="380" t="str">
        <x:v>Nov</x:v>
      </x:c>
      <x:c r="E2879" s="380" t="n">
        <x:v>12</x:v>
      </x:c>
      <x:c r="F2879" s="380" t="n">
        <x:v>5</x:v>
      </x:c>
      <x:c r="G2879" s="380" t="n">
        <x:f>--(F2879&lt;='Estimator'!$B$7)</x:f>
        <x:v>1</x:v>
      </x:c>
      <x:c r="H2879" s="381" t="n">
        <x:f>SUMIFS('Climate Data'!$G$7:$G$366,'Climate Data'!$A$7:$A$366,'Estimator'!$B$4,'Climate Data'!$B$7:$B$366,C2879)</x:f>
        <x:v>0.3111111111111111</x:v>
      </x:c>
      <x:c r="I2879" s="382" t="n">
        <x:f>SUMIFS('Climate Data'!$H$7:$H$366,'Climate Data'!$A$7:$A$366,'Estimator'!$B$4,'Climate Data'!$B$7:$B$366,C2879)</x:f>
        <x:v>7.382142857142857</x:v>
      </x:c>
      <x:c r="J2879" s="381" t="n">
        <x:f>SUMIFS('Wind Proxy'!$H$8:$H$19,'Wind Proxy'!$A$8:$A$19,'Estimator'!$B$4,'Wind Proxy'!$B$8:$B$19,C2879)</x:f>
        <x:v>0.22222222222222224</x:v>
      </x:c>
    </x:row>
    <x:row r="2880">
      <x:c r="A2880" s="379" t="n">
        <x:v>48531</x:v>
      </x:c>
      <x:c r="B2880" s="380" t="n">
        <x:v>2032</x:v>
      </x:c>
      <x:c r="C2880" s="380" t="n">
        <x:v>11</x:v>
      </x:c>
      <x:c r="D2880" s="380" t="str">
        <x:v>Nov</x:v>
      </x:c>
      <x:c r="E2880" s="380" t="n">
        <x:v>13</x:v>
      </x:c>
      <x:c r="F2880" s="380" t="n">
        <x:v>6</x:v>
      </x:c>
      <x:c r="G2880" s="380" t="n">
        <x:f>--(F2880&lt;='Estimator'!$B$7)</x:f>
        <x:v>0</x:v>
      </x:c>
      <x:c r="H2880" s="381" t="n">
        <x:f>SUMIFS('Climate Data'!$G$7:$G$366,'Climate Data'!$A$7:$A$366,'Estimator'!$B$4,'Climate Data'!$B$7:$B$366,C2880)</x:f>
        <x:v>0.3111111111111111</x:v>
      </x:c>
      <x:c r="I2880" s="382" t="n">
        <x:f>SUMIFS('Climate Data'!$H$7:$H$366,'Climate Data'!$A$7:$A$366,'Estimator'!$B$4,'Climate Data'!$B$7:$B$366,C2880)</x:f>
        <x:v>7.382142857142857</x:v>
      </x:c>
      <x:c r="J2880" s="381" t="n">
        <x:f>SUMIFS('Wind Proxy'!$H$8:$H$19,'Wind Proxy'!$A$8:$A$19,'Estimator'!$B$4,'Wind Proxy'!$B$8:$B$19,C2880)</x:f>
        <x:v>0.22222222222222224</x:v>
      </x:c>
    </x:row>
    <x:row r="2881">
      <x:c r="A2881" s="379" t="n">
        <x:v>48532</x:v>
      </x:c>
      <x:c r="B2881" s="380" t="n">
        <x:v>2032</x:v>
      </x:c>
      <x:c r="C2881" s="380" t="n">
        <x:v>11</x:v>
      </x:c>
      <x:c r="D2881" s="380" t="str">
        <x:v>Nov</x:v>
      </x:c>
      <x:c r="E2881" s="380" t="n">
        <x:v>14</x:v>
      </x:c>
      <x:c r="F2881" s="380" t="n">
        <x:v>7</x:v>
      </x:c>
      <x:c r="G2881" s="380" t="n">
        <x:f>--(F2881&lt;='Estimator'!$B$7)</x:f>
        <x:v>0</x:v>
      </x:c>
      <x:c r="H2881" s="381" t="n">
        <x:f>SUMIFS('Climate Data'!$G$7:$G$366,'Climate Data'!$A$7:$A$366,'Estimator'!$B$4,'Climate Data'!$B$7:$B$366,C2881)</x:f>
        <x:v>0.3111111111111111</x:v>
      </x:c>
      <x:c r="I2881" s="382" t="n">
        <x:f>SUMIFS('Climate Data'!$H$7:$H$366,'Climate Data'!$A$7:$A$366,'Estimator'!$B$4,'Climate Data'!$B$7:$B$366,C2881)</x:f>
        <x:v>7.382142857142857</x:v>
      </x:c>
      <x:c r="J2881" s="381" t="n">
        <x:f>SUMIFS('Wind Proxy'!$H$8:$H$19,'Wind Proxy'!$A$8:$A$19,'Estimator'!$B$4,'Wind Proxy'!$B$8:$B$19,C2881)</x:f>
        <x:v>0.22222222222222224</x:v>
      </x:c>
    </x:row>
    <x:row r="2882">
      <x:c r="A2882" s="379" t="n">
        <x:v>48533</x:v>
      </x:c>
      <x:c r="B2882" s="380" t="n">
        <x:v>2032</x:v>
      </x:c>
      <x:c r="C2882" s="380" t="n">
        <x:v>11</x:v>
      </x:c>
      <x:c r="D2882" s="380" t="str">
        <x:v>Nov</x:v>
      </x:c>
      <x:c r="E2882" s="380" t="n">
        <x:v>15</x:v>
      </x:c>
      <x:c r="F2882" s="380" t="n">
        <x:v>1</x:v>
      </x:c>
      <x:c r="G2882" s="380" t="n">
        <x:f>--(F2882&lt;='Estimator'!$B$7)</x:f>
        <x:v>1</x:v>
      </x:c>
      <x:c r="H2882" s="381" t="n">
        <x:f>SUMIFS('Climate Data'!$G$7:$G$366,'Climate Data'!$A$7:$A$366,'Estimator'!$B$4,'Climate Data'!$B$7:$B$366,C2882)</x:f>
        <x:v>0.3111111111111111</x:v>
      </x:c>
      <x:c r="I2882" s="382" t="n">
        <x:f>SUMIFS('Climate Data'!$H$7:$H$366,'Climate Data'!$A$7:$A$366,'Estimator'!$B$4,'Climate Data'!$B$7:$B$366,C2882)</x:f>
        <x:v>7.382142857142857</x:v>
      </x:c>
      <x:c r="J2882" s="381" t="n">
        <x:f>SUMIFS('Wind Proxy'!$H$8:$H$19,'Wind Proxy'!$A$8:$A$19,'Estimator'!$B$4,'Wind Proxy'!$B$8:$B$19,C2882)</x:f>
        <x:v>0.22222222222222224</x:v>
      </x:c>
    </x:row>
    <x:row r="2883">
      <x:c r="A2883" s="379" t="n">
        <x:v>48534</x:v>
      </x:c>
      <x:c r="B2883" s="380" t="n">
        <x:v>2032</x:v>
      </x:c>
      <x:c r="C2883" s="380" t="n">
        <x:v>11</x:v>
      </x:c>
      <x:c r="D2883" s="380" t="str">
        <x:v>Nov</x:v>
      </x:c>
      <x:c r="E2883" s="380" t="n">
        <x:v>16</x:v>
      </x:c>
      <x:c r="F2883" s="380" t="n">
        <x:v>2</x:v>
      </x:c>
      <x:c r="G2883" s="380" t="n">
        <x:f>--(F2883&lt;='Estimator'!$B$7)</x:f>
        <x:v>1</x:v>
      </x:c>
      <x:c r="H2883" s="381" t="n">
        <x:f>SUMIFS('Climate Data'!$G$7:$G$366,'Climate Data'!$A$7:$A$366,'Estimator'!$B$4,'Climate Data'!$B$7:$B$366,C2883)</x:f>
        <x:v>0.3111111111111111</x:v>
      </x:c>
      <x:c r="I2883" s="382" t="n">
        <x:f>SUMIFS('Climate Data'!$H$7:$H$366,'Climate Data'!$A$7:$A$366,'Estimator'!$B$4,'Climate Data'!$B$7:$B$366,C2883)</x:f>
        <x:v>7.382142857142857</x:v>
      </x:c>
      <x:c r="J2883" s="381" t="n">
        <x:f>SUMIFS('Wind Proxy'!$H$8:$H$19,'Wind Proxy'!$A$8:$A$19,'Estimator'!$B$4,'Wind Proxy'!$B$8:$B$19,C2883)</x:f>
        <x:v>0.22222222222222224</x:v>
      </x:c>
    </x:row>
    <x:row r="2884">
      <x:c r="A2884" s="379" t="n">
        <x:v>48535</x:v>
      </x:c>
      <x:c r="B2884" s="380" t="n">
        <x:v>2032</x:v>
      </x:c>
      <x:c r="C2884" s="380" t="n">
        <x:v>11</x:v>
      </x:c>
      <x:c r="D2884" s="380" t="str">
        <x:v>Nov</x:v>
      </x:c>
      <x:c r="E2884" s="380" t="n">
        <x:v>17</x:v>
      </x:c>
      <x:c r="F2884" s="380" t="n">
        <x:v>3</x:v>
      </x:c>
      <x:c r="G2884" s="380" t="n">
        <x:f>--(F2884&lt;='Estimator'!$B$7)</x:f>
        <x:v>1</x:v>
      </x:c>
      <x:c r="H2884" s="381" t="n">
        <x:f>SUMIFS('Climate Data'!$G$7:$G$366,'Climate Data'!$A$7:$A$366,'Estimator'!$B$4,'Climate Data'!$B$7:$B$366,C2884)</x:f>
        <x:v>0.3111111111111111</x:v>
      </x:c>
      <x:c r="I2884" s="382" t="n">
        <x:f>SUMIFS('Climate Data'!$H$7:$H$366,'Climate Data'!$A$7:$A$366,'Estimator'!$B$4,'Climate Data'!$B$7:$B$366,C2884)</x:f>
        <x:v>7.382142857142857</x:v>
      </x:c>
      <x:c r="J2884" s="381" t="n">
        <x:f>SUMIFS('Wind Proxy'!$H$8:$H$19,'Wind Proxy'!$A$8:$A$19,'Estimator'!$B$4,'Wind Proxy'!$B$8:$B$19,C2884)</x:f>
        <x:v>0.22222222222222224</x:v>
      </x:c>
    </x:row>
    <x:row r="2885">
      <x:c r="A2885" s="379" t="n">
        <x:v>48536</x:v>
      </x:c>
      <x:c r="B2885" s="380" t="n">
        <x:v>2032</x:v>
      </x:c>
      <x:c r="C2885" s="380" t="n">
        <x:v>11</x:v>
      </x:c>
      <x:c r="D2885" s="380" t="str">
        <x:v>Nov</x:v>
      </x:c>
      <x:c r="E2885" s="380" t="n">
        <x:v>18</x:v>
      </x:c>
      <x:c r="F2885" s="380" t="n">
        <x:v>4</x:v>
      </x:c>
      <x:c r="G2885" s="380" t="n">
        <x:f>--(F2885&lt;='Estimator'!$B$7)</x:f>
        <x:v>1</x:v>
      </x:c>
      <x:c r="H2885" s="381" t="n">
        <x:f>SUMIFS('Climate Data'!$G$7:$G$366,'Climate Data'!$A$7:$A$366,'Estimator'!$B$4,'Climate Data'!$B$7:$B$366,C2885)</x:f>
        <x:v>0.3111111111111111</x:v>
      </x:c>
      <x:c r="I2885" s="382" t="n">
        <x:f>SUMIFS('Climate Data'!$H$7:$H$366,'Climate Data'!$A$7:$A$366,'Estimator'!$B$4,'Climate Data'!$B$7:$B$366,C2885)</x:f>
        <x:v>7.382142857142857</x:v>
      </x:c>
      <x:c r="J2885" s="381" t="n">
        <x:f>SUMIFS('Wind Proxy'!$H$8:$H$19,'Wind Proxy'!$A$8:$A$19,'Estimator'!$B$4,'Wind Proxy'!$B$8:$B$19,C2885)</x:f>
        <x:v>0.22222222222222224</x:v>
      </x:c>
    </x:row>
    <x:row r="2886">
      <x:c r="A2886" s="379" t="n">
        <x:v>48537</x:v>
      </x:c>
      <x:c r="B2886" s="380" t="n">
        <x:v>2032</x:v>
      </x:c>
      <x:c r="C2886" s="380" t="n">
        <x:v>11</x:v>
      </x:c>
      <x:c r="D2886" s="380" t="str">
        <x:v>Nov</x:v>
      </x:c>
      <x:c r="E2886" s="380" t="n">
        <x:v>19</x:v>
      </x:c>
      <x:c r="F2886" s="380" t="n">
        <x:v>5</x:v>
      </x:c>
      <x:c r="G2886" s="380" t="n">
        <x:f>--(F2886&lt;='Estimator'!$B$7)</x:f>
        <x:v>1</x:v>
      </x:c>
      <x:c r="H2886" s="381" t="n">
        <x:f>SUMIFS('Climate Data'!$G$7:$G$366,'Climate Data'!$A$7:$A$366,'Estimator'!$B$4,'Climate Data'!$B$7:$B$366,C2886)</x:f>
        <x:v>0.3111111111111111</x:v>
      </x:c>
      <x:c r="I2886" s="382" t="n">
        <x:f>SUMIFS('Climate Data'!$H$7:$H$366,'Climate Data'!$A$7:$A$366,'Estimator'!$B$4,'Climate Data'!$B$7:$B$366,C2886)</x:f>
        <x:v>7.382142857142857</x:v>
      </x:c>
      <x:c r="J2886" s="381" t="n">
        <x:f>SUMIFS('Wind Proxy'!$H$8:$H$19,'Wind Proxy'!$A$8:$A$19,'Estimator'!$B$4,'Wind Proxy'!$B$8:$B$19,C2886)</x:f>
        <x:v>0.22222222222222224</x:v>
      </x:c>
    </x:row>
    <x:row r="2887">
      <x:c r="A2887" s="379" t="n">
        <x:v>48538</x:v>
      </x:c>
      <x:c r="B2887" s="380" t="n">
        <x:v>2032</x:v>
      </x:c>
      <x:c r="C2887" s="380" t="n">
        <x:v>11</x:v>
      </x:c>
      <x:c r="D2887" s="380" t="str">
        <x:v>Nov</x:v>
      </x:c>
      <x:c r="E2887" s="380" t="n">
        <x:v>20</x:v>
      </x:c>
      <x:c r="F2887" s="380" t="n">
        <x:v>6</x:v>
      </x:c>
      <x:c r="G2887" s="380" t="n">
        <x:f>--(F2887&lt;='Estimator'!$B$7)</x:f>
        <x:v>0</x:v>
      </x:c>
      <x:c r="H2887" s="381" t="n">
        <x:f>SUMIFS('Climate Data'!$G$7:$G$366,'Climate Data'!$A$7:$A$366,'Estimator'!$B$4,'Climate Data'!$B$7:$B$366,C2887)</x:f>
        <x:v>0.3111111111111111</x:v>
      </x:c>
      <x:c r="I2887" s="382" t="n">
        <x:f>SUMIFS('Climate Data'!$H$7:$H$366,'Climate Data'!$A$7:$A$366,'Estimator'!$B$4,'Climate Data'!$B$7:$B$366,C2887)</x:f>
        <x:v>7.382142857142857</x:v>
      </x:c>
      <x:c r="J2887" s="381" t="n">
        <x:f>SUMIFS('Wind Proxy'!$H$8:$H$19,'Wind Proxy'!$A$8:$A$19,'Estimator'!$B$4,'Wind Proxy'!$B$8:$B$19,C2887)</x:f>
        <x:v>0.22222222222222224</x:v>
      </x:c>
    </x:row>
    <x:row r="2888">
      <x:c r="A2888" s="379" t="n">
        <x:v>48539</x:v>
      </x:c>
      <x:c r="B2888" s="380" t="n">
        <x:v>2032</x:v>
      </x:c>
      <x:c r="C2888" s="380" t="n">
        <x:v>11</x:v>
      </x:c>
      <x:c r="D2888" s="380" t="str">
        <x:v>Nov</x:v>
      </x:c>
      <x:c r="E2888" s="380" t="n">
        <x:v>21</x:v>
      </x:c>
      <x:c r="F2888" s="380" t="n">
        <x:v>7</x:v>
      </x:c>
      <x:c r="G2888" s="380" t="n">
        <x:f>--(F2888&lt;='Estimator'!$B$7)</x:f>
        <x:v>0</x:v>
      </x:c>
      <x:c r="H2888" s="381" t="n">
        <x:f>SUMIFS('Climate Data'!$G$7:$G$366,'Climate Data'!$A$7:$A$366,'Estimator'!$B$4,'Climate Data'!$B$7:$B$366,C2888)</x:f>
        <x:v>0.3111111111111111</x:v>
      </x:c>
      <x:c r="I2888" s="382" t="n">
        <x:f>SUMIFS('Climate Data'!$H$7:$H$366,'Climate Data'!$A$7:$A$366,'Estimator'!$B$4,'Climate Data'!$B$7:$B$366,C2888)</x:f>
        <x:v>7.382142857142857</x:v>
      </x:c>
      <x:c r="J2888" s="381" t="n">
        <x:f>SUMIFS('Wind Proxy'!$H$8:$H$19,'Wind Proxy'!$A$8:$A$19,'Estimator'!$B$4,'Wind Proxy'!$B$8:$B$19,C2888)</x:f>
        <x:v>0.22222222222222224</x:v>
      </x:c>
    </x:row>
    <x:row r="2889">
      <x:c r="A2889" s="379" t="n">
        <x:v>48540</x:v>
      </x:c>
      <x:c r="B2889" s="380" t="n">
        <x:v>2032</x:v>
      </x:c>
      <x:c r="C2889" s="380" t="n">
        <x:v>11</x:v>
      </x:c>
      <x:c r="D2889" s="380" t="str">
        <x:v>Nov</x:v>
      </x:c>
      <x:c r="E2889" s="380" t="n">
        <x:v>22</x:v>
      </x:c>
      <x:c r="F2889" s="380" t="n">
        <x:v>1</x:v>
      </x:c>
      <x:c r="G2889" s="380" t="n">
        <x:f>--(F2889&lt;='Estimator'!$B$7)</x:f>
        <x:v>1</x:v>
      </x:c>
      <x:c r="H2889" s="381" t="n">
        <x:f>SUMIFS('Climate Data'!$G$7:$G$366,'Climate Data'!$A$7:$A$366,'Estimator'!$B$4,'Climate Data'!$B$7:$B$366,C2889)</x:f>
        <x:v>0.3111111111111111</x:v>
      </x:c>
      <x:c r="I2889" s="382" t="n">
        <x:f>SUMIFS('Climate Data'!$H$7:$H$366,'Climate Data'!$A$7:$A$366,'Estimator'!$B$4,'Climate Data'!$B$7:$B$366,C2889)</x:f>
        <x:v>7.382142857142857</x:v>
      </x:c>
      <x:c r="J2889" s="381" t="n">
        <x:f>SUMIFS('Wind Proxy'!$H$8:$H$19,'Wind Proxy'!$A$8:$A$19,'Estimator'!$B$4,'Wind Proxy'!$B$8:$B$19,C2889)</x:f>
        <x:v>0.22222222222222224</x:v>
      </x:c>
    </x:row>
    <x:row r="2890">
      <x:c r="A2890" s="379" t="n">
        <x:v>48541</x:v>
      </x:c>
      <x:c r="B2890" s="380" t="n">
        <x:v>2032</x:v>
      </x:c>
      <x:c r="C2890" s="380" t="n">
        <x:v>11</x:v>
      </x:c>
      <x:c r="D2890" s="380" t="str">
        <x:v>Nov</x:v>
      </x:c>
      <x:c r="E2890" s="380" t="n">
        <x:v>23</x:v>
      </x:c>
      <x:c r="F2890" s="380" t="n">
        <x:v>2</x:v>
      </x:c>
      <x:c r="G2890" s="380" t="n">
        <x:f>--(F2890&lt;='Estimator'!$B$7)</x:f>
        <x:v>1</x:v>
      </x:c>
      <x:c r="H2890" s="381" t="n">
        <x:f>SUMIFS('Climate Data'!$G$7:$G$366,'Climate Data'!$A$7:$A$366,'Estimator'!$B$4,'Climate Data'!$B$7:$B$366,C2890)</x:f>
        <x:v>0.3111111111111111</x:v>
      </x:c>
      <x:c r="I2890" s="382" t="n">
        <x:f>SUMIFS('Climate Data'!$H$7:$H$366,'Climate Data'!$A$7:$A$366,'Estimator'!$B$4,'Climate Data'!$B$7:$B$366,C2890)</x:f>
        <x:v>7.382142857142857</x:v>
      </x:c>
      <x:c r="J2890" s="381" t="n">
        <x:f>SUMIFS('Wind Proxy'!$H$8:$H$19,'Wind Proxy'!$A$8:$A$19,'Estimator'!$B$4,'Wind Proxy'!$B$8:$B$19,C2890)</x:f>
        <x:v>0.22222222222222224</x:v>
      </x:c>
    </x:row>
    <x:row r="2891">
      <x:c r="A2891" s="379" t="n">
        <x:v>48542</x:v>
      </x:c>
      <x:c r="B2891" s="380" t="n">
        <x:v>2032</x:v>
      </x:c>
      <x:c r="C2891" s="380" t="n">
        <x:v>11</x:v>
      </x:c>
      <x:c r="D2891" s="380" t="str">
        <x:v>Nov</x:v>
      </x:c>
      <x:c r="E2891" s="380" t="n">
        <x:v>24</x:v>
      </x:c>
      <x:c r="F2891" s="380" t="n">
        <x:v>3</x:v>
      </x:c>
      <x:c r="G2891" s="380" t="n">
        <x:f>--(F2891&lt;='Estimator'!$B$7)</x:f>
        <x:v>1</x:v>
      </x:c>
      <x:c r="H2891" s="381" t="n">
        <x:f>SUMIFS('Climate Data'!$G$7:$G$366,'Climate Data'!$A$7:$A$366,'Estimator'!$B$4,'Climate Data'!$B$7:$B$366,C2891)</x:f>
        <x:v>0.3111111111111111</x:v>
      </x:c>
      <x:c r="I2891" s="382" t="n">
        <x:f>SUMIFS('Climate Data'!$H$7:$H$366,'Climate Data'!$A$7:$A$366,'Estimator'!$B$4,'Climate Data'!$B$7:$B$366,C2891)</x:f>
        <x:v>7.382142857142857</x:v>
      </x:c>
      <x:c r="J2891" s="381" t="n">
        <x:f>SUMIFS('Wind Proxy'!$H$8:$H$19,'Wind Proxy'!$A$8:$A$19,'Estimator'!$B$4,'Wind Proxy'!$B$8:$B$19,C2891)</x:f>
        <x:v>0.22222222222222224</x:v>
      </x:c>
    </x:row>
    <x:row r="2892">
      <x:c r="A2892" s="379" t="n">
        <x:v>48543</x:v>
      </x:c>
      <x:c r="B2892" s="380" t="n">
        <x:v>2032</x:v>
      </x:c>
      <x:c r="C2892" s="380" t="n">
        <x:v>11</x:v>
      </x:c>
      <x:c r="D2892" s="380" t="str">
        <x:v>Nov</x:v>
      </x:c>
      <x:c r="E2892" s="380" t="n">
        <x:v>25</x:v>
      </x:c>
      <x:c r="F2892" s="380" t="n">
        <x:v>4</x:v>
      </x:c>
      <x:c r="G2892" s="380" t="n">
        <x:f>--(F2892&lt;='Estimator'!$B$7)</x:f>
        <x:v>1</x:v>
      </x:c>
      <x:c r="H2892" s="381" t="n">
        <x:f>SUMIFS('Climate Data'!$G$7:$G$366,'Climate Data'!$A$7:$A$366,'Estimator'!$B$4,'Climate Data'!$B$7:$B$366,C2892)</x:f>
        <x:v>0.3111111111111111</x:v>
      </x:c>
      <x:c r="I2892" s="382" t="n">
        <x:f>SUMIFS('Climate Data'!$H$7:$H$366,'Climate Data'!$A$7:$A$366,'Estimator'!$B$4,'Climate Data'!$B$7:$B$366,C2892)</x:f>
        <x:v>7.382142857142857</x:v>
      </x:c>
      <x:c r="J2892" s="381" t="n">
        <x:f>SUMIFS('Wind Proxy'!$H$8:$H$19,'Wind Proxy'!$A$8:$A$19,'Estimator'!$B$4,'Wind Proxy'!$B$8:$B$19,C2892)</x:f>
        <x:v>0.22222222222222224</x:v>
      </x:c>
    </x:row>
    <x:row r="2893">
      <x:c r="A2893" s="379" t="n">
        <x:v>48544</x:v>
      </x:c>
      <x:c r="B2893" s="380" t="n">
        <x:v>2032</x:v>
      </x:c>
      <x:c r="C2893" s="380" t="n">
        <x:v>11</x:v>
      </x:c>
      <x:c r="D2893" s="380" t="str">
        <x:v>Nov</x:v>
      </x:c>
      <x:c r="E2893" s="380" t="n">
        <x:v>26</x:v>
      </x:c>
      <x:c r="F2893" s="380" t="n">
        <x:v>5</x:v>
      </x:c>
      <x:c r="G2893" s="380" t="n">
        <x:f>--(F2893&lt;='Estimator'!$B$7)</x:f>
        <x:v>1</x:v>
      </x:c>
      <x:c r="H2893" s="381" t="n">
        <x:f>SUMIFS('Climate Data'!$G$7:$G$366,'Climate Data'!$A$7:$A$366,'Estimator'!$B$4,'Climate Data'!$B$7:$B$366,C2893)</x:f>
        <x:v>0.3111111111111111</x:v>
      </x:c>
      <x:c r="I2893" s="382" t="n">
        <x:f>SUMIFS('Climate Data'!$H$7:$H$366,'Climate Data'!$A$7:$A$366,'Estimator'!$B$4,'Climate Data'!$B$7:$B$366,C2893)</x:f>
        <x:v>7.382142857142857</x:v>
      </x:c>
      <x:c r="J2893" s="381" t="n">
        <x:f>SUMIFS('Wind Proxy'!$H$8:$H$19,'Wind Proxy'!$A$8:$A$19,'Estimator'!$B$4,'Wind Proxy'!$B$8:$B$19,C2893)</x:f>
        <x:v>0.22222222222222224</x:v>
      </x:c>
    </x:row>
    <x:row r="2894">
      <x:c r="A2894" s="379" t="n">
        <x:v>48545</x:v>
      </x:c>
      <x:c r="B2894" s="380" t="n">
        <x:v>2032</x:v>
      </x:c>
      <x:c r="C2894" s="380" t="n">
        <x:v>11</x:v>
      </x:c>
      <x:c r="D2894" s="380" t="str">
        <x:v>Nov</x:v>
      </x:c>
      <x:c r="E2894" s="380" t="n">
        <x:v>27</x:v>
      </x:c>
      <x:c r="F2894" s="380" t="n">
        <x:v>6</x:v>
      </x:c>
      <x:c r="G2894" s="380" t="n">
        <x:f>--(F2894&lt;='Estimator'!$B$7)</x:f>
        <x:v>0</x:v>
      </x:c>
      <x:c r="H2894" s="381" t="n">
        <x:f>SUMIFS('Climate Data'!$G$7:$G$366,'Climate Data'!$A$7:$A$366,'Estimator'!$B$4,'Climate Data'!$B$7:$B$366,C2894)</x:f>
        <x:v>0.3111111111111111</x:v>
      </x:c>
      <x:c r="I2894" s="382" t="n">
        <x:f>SUMIFS('Climate Data'!$H$7:$H$366,'Climate Data'!$A$7:$A$366,'Estimator'!$B$4,'Climate Data'!$B$7:$B$366,C2894)</x:f>
        <x:v>7.382142857142857</x:v>
      </x:c>
      <x:c r="J2894" s="381" t="n">
        <x:f>SUMIFS('Wind Proxy'!$H$8:$H$19,'Wind Proxy'!$A$8:$A$19,'Estimator'!$B$4,'Wind Proxy'!$B$8:$B$19,C2894)</x:f>
        <x:v>0.22222222222222224</x:v>
      </x:c>
    </x:row>
    <x:row r="2895">
      <x:c r="A2895" s="379" t="n">
        <x:v>48546</x:v>
      </x:c>
      <x:c r="B2895" s="380" t="n">
        <x:v>2032</x:v>
      </x:c>
      <x:c r="C2895" s="380" t="n">
        <x:v>11</x:v>
      </x:c>
      <x:c r="D2895" s="380" t="str">
        <x:v>Nov</x:v>
      </x:c>
      <x:c r="E2895" s="380" t="n">
        <x:v>28</x:v>
      </x:c>
      <x:c r="F2895" s="380" t="n">
        <x:v>7</x:v>
      </x:c>
      <x:c r="G2895" s="380" t="n">
        <x:f>--(F2895&lt;='Estimator'!$B$7)</x:f>
        <x:v>0</x:v>
      </x:c>
      <x:c r="H2895" s="381" t="n">
        <x:f>SUMIFS('Climate Data'!$G$7:$G$366,'Climate Data'!$A$7:$A$366,'Estimator'!$B$4,'Climate Data'!$B$7:$B$366,C2895)</x:f>
        <x:v>0.3111111111111111</x:v>
      </x:c>
      <x:c r="I2895" s="382" t="n">
        <x:f>SUMIFS('Climate Data'!$H$7:$H$366,'Climate Data'!$A$7:$A$366,'Estimator'!$B$4,'Climate Data'!$B$7:$B$366,C2895)</x:f>
        <x:v>7.382142857142857</x:v>
      </x:c>
      <x:c r="J2895" s="381" t="n">
        <x:f>SUMIFS('Wind Proxy'!$H$8:$H$19,'Wind Proxy'!$A$8:$A$19,'Estimator'!$B$4,'Wind Proxy'!$B$8:$B$19,C2895)</x:f>
        <x:v>0.22222222222222224</x:v>
      </x:c>
    </x:row>
    <x:row r="2896">
      <x:c r="A2896" s="379" t="n">
        <x:v>48547</x:v>
      </x:c>
      <x:c r="B2896" s="380" t="n">
        <x:v>2032</x:v>
      </x:c>
      <x:c r="C2896" s="380" t="n">
        <x:v>11</x:v>
      </x:c>
      <x:c r="D2896" s="380" t="str">
        <x:v>Nov</x:v>
      </x:c>
      <x:c r="E2896" s="380" t="n">
        <x:v>29</x:v>
      </x:c>
      <x:c r="F2896" s="380" t="n">
        <x:v>1</x:v>
      </x:c>
      <x:c r="G2896" s="380" t="n">
        <x:f>--(F2896&lt;='Estimator'!$B$7)</x:f>
        <x:v>1</x:v>
      </x:c>
      <x:c r="H2896" s="381" t="n">
        <x:f>SUMIFS('Climate Data'!$G$7:$G$366,'Climate Data'!$A$7:$A$366,'Estimator'!$B$4,'Climate Data'!$B$7:$B$366,C2896)</x:f>
        <x:v>0.3111111111111111</x:v>
      </x:c>
      <x:c r="I2896" s="382" t="n">
        <x:f>SUMIFS('Climate Data'!$H$7:$H$366,'Climate Data'!$A$7:$A$366,'Estimator'!$B$4,'Climate Data'!$B$7:$B$366,C2896)</x:f>
        <x:v>7.382142857142857</x:v>
      </x:c>
      <x:c r="J2896" s="381" t="n">
        <x:f>SUMIFS('Wind Proxy'!$H$8:$H$19,'Wind Proxy'!$A$8:$A$19,'Estimator'!$B$4,'Wind Proxy'!$B$8:$B$19,C2896)</x:f>
        <x:v>0.22222222222222224</x:v>
      </x:c>
    </x:row>
    <x:row r="2897">
      <x:c r="A2897" s="379" t="n">
        <x:v>48548</x:v>
      </x:c>
      <x:c r="B2897" s="380" t="n">
        <x:v>2032</x:v>
      </x:c>
      <x:c r="C2897" s="380" t="n">
        <x:v>11</x:v>
      </x:c>
      <x:c r="D2897" s="380" t="str">
        <x:v>Nov</x:v>
      </x:c>
      <x:c r="E2897" s="380" t="n">
        <x:v>30</x:v>
      </x:c>
      <x:c r="F2897" s="380" t="n">
        <x:v>2</x:v>
      </x:c>
      <x:c r="G2897" s="380" t="n">
        <x:f>--(F2897&lt;='Estimator'!$B$7)</x:f>
        <x:v>1</x:v>
      </x:c>
      <x:c r="H2897" s="381" t="n">
        <x:f>SUMIFS('Climate Data'!$G$7:$G$366,'Climate Data'!$A$7:$A$366,'Estimator'!$B$4,'Climate Data'!$B$7:$B$366,C2897)</x:f>
        <x:v>0.3111111111111111</x:v>
      </x:c>
      <x:c r="I2897" s="382" t="n">
        <x:f>SUMIFS('Climate Data'!$H$7:$H$366,'Climate Data'!$A$7:$A$366,'Estimator'!$B$4,'Climate Data'!$B$7:$B$366,C2897)</x:f>
        <x:v>7.382142857142857</x:v>
      </x:c>
      <x:c r="J2897" s="381" t="n">
        <x:f>SUMIFS('Wind Proxy'!$H$8:$H$19,'Wind Proxy'!$A$8:$A$19,'Estimator'!$B$4,'Wind Proxy'!$B$8:$B$19,C2897)</x:f>
        <x:v>0.22222222222222224</x:v>
      </x:c>
    </x:row>
    <x:row r="2898">
      <x:c r="A2898" s="379" t="n">
        <x:v>48549</x:v>
      </x:c>
      <x:c r="B2898" s="380" t="n">
        <x:v>2032</x:v>
      </x:c>
      <x:c r="C2898" s="380" t="n">
        <x:v>12</x:v>
      </x:c>
      <x:c r="D2898" s="380" t="str">
        <x:v>Dec</x:v>
      </x:c>
      <x:c r="E2898" s="380" t="n">
        <x:v>1</x:v>
      </x:c>
      <x:c r="F2898" s="380" t="n">
        <x:v>3</x:v>
      </x:c>
      <x:c r="G2898" s="380" t="n">
        <x:f>--(F2898&lt;='Estimator'!$B$7)</x:f>
        <x:v>1</x:v>
      </x:c>
      <x:c r="H2898" s="381" t="n">
        <x:f>SUMIFS('Climate Data'!$G$7:$G$366,'Climate Data'!$A$7:$A$366,'Estimator'!$B$4,'Climate Data'!$B$7:$B$366,C2898)</x:f>
        <x:v>0.2914349276974416</x:v>
      </x:c>
      <x:c r="I2898" s="382" t="n">
        <x:f>SUMIFS('Climate Data'!$H$7:$H$366,'Climate Data'!$A$7:$A$366,'Estimator'!$B$4,'Climate Data'!$B$7:$B$366,C2898)</x:f>
        <x:v>9.043129770992365</x:v>
      </x:c>
      <x:c r="J2898" s="381" t="n">
        <x:f>SUMIFS('Wind Proxy'!$H$8:$H$19,'Wind Proxy'!$A$8:$A$19,'Estimator'!$B$4,'Wind Proxy'!$B$8:$B$19,C2898)</x:f>
        <x:v>0.12544802867383514</x:v>
      </x:c>
    </x:row>
    <x:row r="2899">
      <x:c r="A2899" s="379" t="n">
        <x:v>48550</x:v>
      </x:c>
      <x:c r="B2899" s="380" t="n">
        <x:v>2032</x:v>
      </x:c>
      <x:c r="C2899" s="380" t="n">
        <x:v>12</x:v>
      </x:c>
      <x:c r="D2899" s="380" t="str">
        <x:v>Dec</x:v>
      </x:c>
      <x:c r="E2899" s="380" t="n">
        <x:v>2</x:v>
      </x:c>
      <x:c r="F2899" s="380" t="n">
        <x:v>4</x:v>
      </x:c>
      <x:c r="G2899" s="380" t="n">
        <x:f>--(F2899&lt;='Estimator'!$B$7)</x:f>
        <x:v>1</x:v>
      </x:c>
      <x:c r="H2899" s="381" t="n">
        <x:f>SUMIFS('Climate Data'!$G$7:$G$366,'Climate Data'!$A$7:$A$366,'Estimator'!$B$4,'Climate Data'!$B$7:$B$366,C2899)</x:f>
        <x:v>0.2914349276974416</x:v>
      </x:c>
      <x:c r="I2899" s="382" t="n">
        <x:f>SUMIFS('Climate Data'!$H$7:$H$366,'Climate Data'!$A$7:$A$366,'Estimator'!$B$4,'Climate Data'!$B$7:$B$366,C2899)</x:f>
        <x:v>9.043129770992365</x:v>
      </x:c>
      <x:c r="J2899" s="381" t="n">
        <x:f>SUMIFS('Wind Proxy'!$H$8:$H$19,'Wind Proxy'!$A$8:$A$19,'Estimator'!$B$4,'Wind Proxy'!$B$8:$B$19,C2899)</x:f>
        <x:v>0.12544802867383514</x:v>
      </x:c>
    </x:row>
    <x:row r="2900">
      <x:c r="A2900" s="379" t="n">
        <x:v>48551</x:v>
      </x:c>
      <x:c r="B2900" s="380" t="n">
        <x:v>2032</x:v>
      </x:c>
      <x:c r="C2900" s="380" t="n">
        <x:v>12</x:v>
      </x:c>
      <x:c r="D2900" s="380" t="str">
        <x:v>Dec</x:v>
      </x:c>
      <x:c r="E2900" s="380" t="n">
        <x:v>3</x:v>
      </x:c>
      <x:c r="F2900" s="380" t="n">
        <x:v>5</x:v>
      </x:c>
      <x:c r="G2900" s="380" t="n">
        <x:f>--(F2900&lt;='Estimator'!$B$7)</x:f>
        <x:v>1</x:v>
      </x:c>
      <x:c r="H2900" s="381" t="n">
        <x:f>SUMIFS('Climate Data'!$G$7:$G$366,'Climate Data'!$A$7:$A$366,'Estimator'!$B$4,'Climate Data'!$B$7:$B$366,C2900)</x:f>
        <x:v>0.2914349276974416</x:v>
      </x:c>
      <x:c r="I2900" s="382" t="n">
        <x:f>SUMIFS('Climate Data'!$H$7:$H$366,'Climate Data'!$A$7:$A$366,'Estimator'!$B$4,'Climate Data'!$B$7:$B$366,C2900)</x:f>
        <x:v>9.043129770992365</x:v>
      </x:c>
      <x:c r="J2900" s="381" t="n">
        <x:f>SUMIFS('Wind Proxy'!$H$8:$H$19,'Wind Proxy'!$A$8:$A$19,'Estimator'!$B$4,'Wind Proxy'!$B$8:$B$19,C2900)</x:f>
        <x:v>0.12544802867383514</x:v>
      </x:c>
    </x:row>
    <x:row r="2901">
      <x:c r="A2901" s="379" t="n">
        <x:v>48552</x:v>
      </x:c>
      <x:c r="B2901" s="380" t="n">
        <x:v>2032</x:v>
      </x:c>
      <x:c r="C2901" s="380" t="n">
        <x:v>12</x:v>
      </x:c>
      <x:c r="D2901" s="380" t="str">
        <x:v>Dec</x:v>
      </x:c>
      <x:c r="E2901" s="380" t="n">
        <x:v>4</x:v>
      </x:c>
      <x:c r="F2901" s="380" t="n">
        <x:v>6</x:v>
      </x:c>
      <x:c r="G2901" s="380" t="n">
        <x:f>--(F2901&lt;='Estimator'!$B$7)</x:f>
        <x:v>0</x:v>
      </x:c>
      <x:c r="H2901" s="381" t="n">
        <x:f>SUMIFS('Climate Data'!$G$7:$G$366,'Climate Data'!$A$7:$A$366,'Estimator'!$B$4,'Climate Data'!$B$7:$B$366,C2901)</x:f>
        <x:v>0.2914349276974416</x:v>
      </x:c>
      <x:c r="I2901" s="382" t="n">
        <x:f>SUMIFS('Climate Data'!$H$7:$H$366,'Climate Data'!$A$7:$A$366,'Estimator'!$B$4,'Climate Data'!$B$7:$B$366,C2901)</x:f>
        <x:v>9.043129770992365</x:v>
      </x:c>
      <x:c r="J2901" s="381" t="n">
        <x:f>SUMIFS('Wind Proxy'!$H$8:$H$19,'Wind Proxy'!$A$8:$A$19,'Estimator'!$B$4,'Wind Proxy'!$B$8:$B$19,C2901)</x:f>
        <x:v>0.12544802867383514</x:v>
      </x:c>
    </x:row>
    <x:row r="2902">
      <x:c r="A2902" s="379" t="n">
        <x:v>48553</x:v>
      </x:c>
      <x:c r="B2902" s="380" t="n">
        <x:v>2032</x:v>
      </x:c>
      <x:c r="C2902" s="380" t="n">
        <x:v>12</x:v>
      </x:c>
      <x:c r="D2902" s="380" t="str">
        <x:v>Dec</x:v>
      </x:c>
      <x:c r="E2902" s="380" t="n">
        <x:v>5</x:v>
      </x:c>
      <x:c r="F2902" s="380" t="n">
        <x:v>7</x:v>
      </x:c>
      <x:c r="G2902" s="380" t="n">
        <x:f>--(F2902&lt;='Estimator'!$B$7)</x:f>
        <x:v>0</x:v>
      </x:c>
      <x:c r="H2902" s="381" t="n">
        <x:f>SUMIFS('Climate Data'!$G$7:$G$366,'Climate Data'!$A$7:$A$366,'Estimator'!$B$4,'Climate Data'!$B$7:$B$366,C2902)</x:f>
        <x:v>0.2914349276974416</x:v>
      </x:c>
      <x:c r="I2902" s="382" t="n">
        <x:f>SUMIFS('Climate Data'!$H$7:$H$366,'Climate Data'!$A$7:$A$366,'Estimator'!$B$4,'Climate Data'!$B$7:$B$366,C2902)</x:f>
        <x:v>9.043129770992365</x:v>
      </x:c>
      <x:c r="J2902" s="381" t="n">
        <x:f>SUMIFS('Wind Proxy'!$H$8:$H$19,'Wind Proxy'!$A$8:$A$19,'Estimator'!$B$4,'Wind Proxy'!$B$8:$B$19,C2902)</x:f>
        <x:v>0.12544802867383514</x:v>
      </x:c>
    </x:row>
    <x:row r="2903">
      <x:c r="A2903" s="379" t="n">
        <x:v>48554</x:v>
      </x:c>
      <x:c r="B2903" s="380" t="n">
        <x:v>2032</x:v>
      </x:c>
      <x:c r="C2903" s="380" t="n">
        <x:v>12</x:v>
      </x:c>
      <x:c r="D2903" s="380" t="str">
        <x:v>Dec</x:v>
      </x:c>
      <x:c r="E2903" s="380" t="n">
        <x:v>6</x:v>
      </x:c>
      <x:c r="F2903" s="380" t="n">
        <x:v>1</x:v>
      </x:c>
      <x:c r="G2903" s="380" t="n">
        <x:f>--(F2903&lt;='Estimator'!$B$7)</x:f>
        <x:v>1</x:v>
      </x:c>
      <x:c r="H2903" s="381" t="n">
        <x:f>SUMIFS('Climate Data'!$G$7:$G$366,'Climate Data'!$A$7:$A$366,'Estimator'!$B$4,'Climate Data'!$B$7:$B$366,C2903)</x:f>
        <x:v>0.2914349276974416</x:v>
      </x:c>
      <x:c r="I2903" s="382" t="n">
        <x:f>SUMIFS('Climate Data'!$H$7:$H$366,'Climate Data'!$A$7:$A$366,'Estimator'!$B$4,'Climate Data'!$B$7:$B$366,C2903)</x:f>
        <x:v>9.043129770992365</x:v>
      </x:c>
      <x:c r="J2903" s="381" t="n">
        <x:f>SUMIFS('Wind Proxy'!$H$8:$H$19,'Wind Proxy'!$A$8:$A$19,'Estimator'!$B$4,'Wind Proxy'!$B$8:$B$19,C2903)</x:f>
        <x:v>0.12544802867383514</x:v>
      </x:c>
    </x:row>
    <x:row r="2904">
      <x:c r="A2904" s="379" t="n">
        <x:v>48555</x:v>
      </x:c>
      <x:c r="B2904" s="380" t="n">
        <x:v>2032</x:v>
      </x:c>
      <x:c r="C2904" s="380" t="n">
        <x:v>12</x:v>
      </x:c>
      <x:c r="D2904" s="380" t="str">
        <x:v>Dec</x:v>
      </x:c>
      <x:c r="E2904" s="380" t="n">
        <x:v>7</x:v>
      </x:c>
      <x:c r="F2904" s="380" t="n">
        <x:v>2</x:v>
      </x:c>
      <x:c r="G2904" s="380" t="n">
        <x:f>--(F2904&lt;='Estimator'!$B$7)</x:f>
        <x:v>1</x:v>
      </x:c>
      <x:c r="H2904" s="381" t="n">
        <x:f>SUMIFS('Climate Data'!$G$7:$G$366,'Climate Data'!$A$7:$A$366,'Estimator'!$B$4,'Climate Data'!$B$7:$B$366,C2904)</x:f>
        <x:v>0.2914349276974416</x:v>
      </x:c>
      <x:c r="I2904" s="382" t="n">
        <x:f>SUMIFS('Climate Data'!$H$7:$H$366,'Climate Data'!$A$7:$A$366,'Estimator'!$B$4,'Climate Data'!$B$7:$B$366,C2904)</x:f>
        <x:v>9.043129770992365</x:v>
      </x:c>
      <x:c r="J2904" s="381" t="n">
        <x:f>SUMIFS('Wind Proxy'!$H$8:$H$19,'Wind Proxy'!$A$8:$A$19,'Estimator'!$B$4,'Wind Proxy'!$B$8:$B$19,C2904)</x:f>
        <x:v>0.12544802867383514</x:v>
      </x:c>
    </x:row>
    <x:row r="2905">
      <x:c r="A2905" s="379" t="n">
        <x:v>48556</x:v>
      </x:c>
      <x:c r="B2905" s="380" t="n">
        <x:v>2032</x:v>
      </x:c>
      <x:c r="C2905" s="380" t="n">
        <x:v>12</x:v>
      </x:c>
      <x:c r="D2905" s="380" t="str">
        <x:v>Dec</x:v>
      </x:c>
      <x:c r="E2905" s="380" t="n">
        <x:v>8</x:v>
      </x:c>
      <x:c r="F2905" s="380" t="n">
        <x:v>3</x:v>
      </x:c>
      <x:c r="G2905" s="380" t="n">
        <x:f>--(F2905&lt;='Estimator'!$B$7)</x:f>
        <x:v>1</x:v>
      </x:c>
      <x:c r="H2905" s="381" t="n">
        <x:f>SUMIFS('Climate Data'!$G$7:$G$366,'Climate Data'!$A$7:$A$366,'Estimator'!$B$4,'Climate Data'!$B$7:$B$366,C2905)</x:f>
        <x:v>0.2914349276974416</x:v>
      </x:c>
      <x:c r="I2905" s="382" t="n">
        <x:f>SUMIFS('Climate Data'!$H$7:$H$366,'Climate Data'!$A$7:$A$366,'Estimator'!$B$4,'Climate Data'!$B$7:$B$366,C2905)</x:f>
        <x:v>9.043129770992365</x:v>
      </x:c>
      <x:c r="J2905" s="381" t="n">
        <x:f>SUMIFS('Wind Proxy'!$H$8:$H$19,'Wind Proxy'!$A$8:$A$19,'Estimator'!$B$4,'Wind Proxy'!$B$8:$B$19,C2905)</x:f>
        <x:v>0.12544802867383514</x:v>
      </x:c>
    </x:row>
    <x:row r="2906">
      <x:c r="A2906" s="379" t="n">
        <x:v>48557</x:v>
      </x:c>
      <x:c r="B2906" s="380" t="n">
        <x:v>2032</x:v>
      </x:c>
      <x:c r="C2906" s="380" t="n">
        <x:v>12</x:v>
      </x:c>
      <x:c r="D2906" s="380" t="str">
        <x:v>Dec</x:v>
      </x:c>
      <x:c r="E2906" s="380" t="n">
        <x:v>9</x:v>
      </x:c>
      <x:c r="F2906" s="380" t="n">
        <x:v>4</x:v>
      </x:c>
      <x:c r="G2906" s="380" t="n">
        <x:f>--(F2906&lt;='Estimator'!$B$7)</x:f>
        <x:v>1</x:v>
      </x:c>
      <x:c r="H2906" s="381" t="n">
        <x:f>SUMIFS('Climate Data'!$G$7:$G$366,'Climate Data'!$A$7:$A$366,'Estimator'!$B$4,'Climate Data'!$B$7:$B$366,C2906)</x:f>
        <x:v>0.2914349276974416</x:v>
      </x:c>
      <x:c r="I2906" s="382" t="n">
        <x:f>SUMIFS('Climate Data'!$H$7:$H$366,'Climate Data'!$A$7:$A$366,'Estimator'!$B$4,'Climate Data'!$B$7:$B$366,C2906)</x:f>
        <x:v>9.043129770992365</x:v>
      </x:c>
      <x:c r="J2906" s="381" t="n">
        <x:f>SUMIFS('Wind Proxy'!$H$8:$H$19,'Wind Proxy'!$A$8:$A$19,'Estimator'!$B$4,'Wind Proxy'!$B$8:$B$19,C2906)</x:f>
        <x:v>0.12544802867383514</x:v>
      </x:c>
    </x:row>
    <x:row r="2907">
      <x:c r="A2907" s="379" t="n">
        <x:v>48558</x:v>
      </x:c>
      <x:c r="B2907" s="380" t="n">
        <x:v>2032</x:v>
      </x:c>
      <x:c r="C2907" s="380" t="n">
        <x:v>12</x:v>
      </x:c>
      <x:c r="D2907" s="380" t="str">
        <x:v>Dec</x:v>
      </x:c>
      <x:c r="E2907" s="380" t="n">
        <x:v>10</x:v>
      </x:c>
      <x:c r="F2907" s="380" t="n">
        <x:v>5</x:v>
      </x:c>
      <x:c r="G2907" s="380" t="n">
        <x:f>--(F2907&lt;='Estimator'!$B$7)</x:f>
        <x:v>1</x:v>
      </x:c>
      <x:c r="H2907" s="381" t="n">
        <x:f>SUMIFS('Climate Data'!$G$7:$G$366,'Climate Data'!$A$7:$A$366,'Estimator'!$B$4,'Climate Data'!$B$7:$B$366,C2907)</x:f>
        <x:v>0.2914349276974416</x:v>
      </x:c>
      <x:c r="I2907" s="382" t="n">
        <x:f>SUMIFS('Climate Data'!$H$7:$H$366,'Climate Data'!$A$7:$A$366,'Estimator'!$B$4,'Climate Data'!$B$7:$B$366,C2907)</x:f>
        <x:v>9.043129770992365</x:v>
      </x:c>
      <x:c r="J2907" s="381" t="n">
        <x:f>SUMIFS('Wind Proxy'!$H$8:$H$19,'Wind Proxy'!$A$8:$A$19,'Estimator'!$B$4,'Wind Proxy'!$B$8:$B$19,C2907)</x:f>
        <x:v>0.12544802867383514</x:v>
      </x:c>
    </x:row>
    <x:row r="2908">
      <x:c r="A2908" s="379" t="n">
        <x:v>48559</x:v>
      </x:c>
      <x:c r="B2908" s="380" t="n">
        <x:v>2032</x:v>
      </x:c>
      <x:c r="C2908" s="380" t="n">
        <x:v>12</x:v>
      </x:c>
      <x:c r="D2908" s="380" t="str">
        <x:v>Dec</x:v>
      </x:c>
      <x:c r="E2908" s="380" t="n">
        <x:v>11</x:v>
      </x:c>
      <x:c r="F2908" s="380" t="n">
        <x:v>6</x:v>
      </x:c>
      <x:c r="G2908" s="380" t="n">
        <x:f>--(F2908&lt;='Estimator'!$B$7)</x:f>
        <x:v>0</x:v>
      </x:c>
      <x:c r="H2908" s="381" t="n">
        <x:f>SUMIFS('Climate Data'!$G$7:$G$366,'Climate Data'!$A$7:$A$366,'Estimator'!$B$4,'Climate Data'!$B$7:$B$366,C2908)</x:f>
        <x:v>0.2914349276974416</x:v>
      </x:c>
      <x:c r="I2908" s="382" t="n">
        <x:f>SUMIFS('Climate Data'!$H$7:$H$366,'Climate Data'!$A$7:$A$366,'Estimator'!$B$4,'Climate Data'!$B$7:$B$366,C2908)</x:f>
        <x:v>9.043129770992365</x:v>
      </x:c>
      <x:c r="J2908" s="381" t="n">
        <x:f>SUMIFS('Wind Proxy'!$H$8:$H$19,'Wind Proxy'!$A$8:$A$19,'Estimator'!$B$4,'Wind Proxy'!$B$8:$B$19,C2908)</x:f>
        <x:v>0.12544802867383514</x:v>
      </x:c>
    </x:row>
    <x:row r="2909">
      <x:c r="A2909" s="379" t="n">
        <x:v>48560</x:v>
      </x:c>
      <x:c r="B2909" s="380" t="n">
        <x:v>2032</x:v>
      </x:c>
      <x:c r="C2909" s="380" t="n">
        <x:v>12</x:v>
      </x:c>
      <x:c r="D2909" s="380" t="str">
        <x:v>Dec</x:v>
      </x:c>
      <x:c r="E2909" s="380" t="n">
        <x:v>12</x:v>
      </x:c>
      <x:c r="F2909" s="380" t="n">
        <x:v>7</x:v>
      </x:c>
      <x:c r="G2909" s="380" t="n">
        <x:f>--(F2909&lt;='Estimator'!$B$7)</x:f>
        <x:v>0</x:v>
      </x:c>
      <x:c r="H2909" s="381" t="n">
        <x:f>SUMIFS('Climate Data'!$G$7:$G$366,'Climate Data'!$A$7:$A$366,'Estimator'!$B$4,'Climate Data'!$B$7:$B$366,C2909)</x:f>
        <x:v>0.2914349276974416</x:v>
      </x:c>
      <x:c r="I2909" s="382" t="n">
        <x:f>SUMIFS('Climate Data'!$H$7:$H$366,'Climate Data'!$A$7:$A$366,'Estimator'!$B$4,'Climate Data'!$B$7:$B$366,C2909)</x:f>
        <x:v>9.043129770992365</x:v>
      </x:c>
      <x:c r="J2909" s="381" t="n">
        <x:f>SUMIFS('Wind Proxy'!$H$8:$H$19,'Wind Proxy'!$A$8:$A$19,'Estimator'!$B$4,'Wind Proxy'!$B$8:$B$19,C2909)</x:f>
        <x:v>0.12544802867383514</x:v>
      </x:c>
    </x:row>
    <x:row r="2910">
      <x:c r="A2910" s="379" t="n">
        <x:v>48561</x:v>
      </x:c>
      <x:c r="B2910" s="380" t="n">
        <x:v>2032</x:v>
      </x:c>
      <x:c r="C2910" s="380" t="n">
        <x:v>12</x:v>
      </x:c>
      <x:c r="D2910" s="380" t="str">
        <x:v>Dec</x:v>
      </x:c>
      <x:c r="E2910" s="380" t="n">
        <x:v>13</x:v>
      </x:c>
      <x:c r="F2910" s="380" t="n">
        <x:v>1</x:v>
      </x:c>
      <x:c r="G2910" s="380" t="n">
        <x:f>--(F2910&lt;='Estimator'!$B$7)</x:f>
        <x:v>1</x:v>
      </x:c>
      <x:c r="H2910" s="381" t="n">
        <x:f>SUMIFS('Climate Data'!$G$7:$G$366,'Climate Data'!$A$7:$A$366,'Estimator'!$B$4,'Climate Data'!$B$7:$B$366,C2910)</x:f>
        <x:v>0.2914349276974416</x:v>
      </x:c>
      <x:c r="I2910" s="382" t="n">
        <x:f>SUMIFS('Climate Data'!$H$7:$H$366,'Climate Data'!$A$7:$A$366,'Estimator'!$B$4,'Climate Data'!$B$7:$B$366,C2910)</x:f>
        <x:v>9.043129770992365</x:v>
      </x:c>
      <x:c r="J2910" s="381" t="n">
        <x:f>SUMIFS('Wind Proxy'!$H$8:$H$19,'Wind Proxy'!$A$8:$A$19,'Estimator'!$B$4,'Wind Proxy'!$B$8:$B$19,C2910)</x:f>
        <x:v>0.12544802867383514</x:v>
      </x:c>
    </x:row>
    <x:row r="2911">
      <x:c r="A2911" s="379" t="n">
        <x:v>48562</x:v>
      </x:c>
      <x:c r="B2911" s="380" t="n">
        <x:v>2032</x:v>
      </x:c>
      <x:c r="C2911" s="380" t="n">
        <x:v>12</x:v>
      </x:c>
      <x:c r="D2911" s="380" t="str">
        <x:v>Dec</x:v>
      </x:c>
      <x:c r="E2911" s="380" t="n">
        <x:v>14</x:v>
      </x:c>
      <x:c r="F2911" s="380" t="n">
        <x:v>2</x:v>
      </x:c>
      <x:c r="G2911" s="380" t="n">
        <x:f>--(F2911&lt;='Estimator'!$B$7)</x:f>
        <x:v>1</x:v>
      </x:c>
      <x:c r="H2911" s="381" t="n">
        <x:f>SUMIFS('Climate Data'!$G$7:$G$366,'Climate Data'!$A$7:$A$366,'Estimator'!$B$4,'Climate Data'!$B$7:$B$366,C2911)</x:f>
        <x:v>0.2914349276974416</x:v>
      </x:c>
      <x:c r="I2911" s="382" t="n">
        <x:f>SUMIFS('Climate Data'!$H$7:$H$366,'Climate Data'!$A$7:$A$366,'Estimator'!$B$4,'Climate Data'!$B$7:$B$366,C2911)</x:f>
        <x:v>9.043129770992365</x:v>
      </x:c>
      <x:c r="J2911" s="381" t="n">
        <x:f>SUMIFS('Wind Proxy'!$H$8:$H$19,'Wind Proxy'!$A$8:$A$19,'Estimator'!$B$4,'Wind Proxy'!$B$8:$B$19,C2911)</x:f>
        <x:v>0.12544802867383514</x:v>
      </x:c>
    </x:row>
    <x:row r="2912">
      <x:c r="A2912" s="379" t="n">
        <x:v>48563</x:v>
      </x:c>
      <x:c r="B2912" s="380" t="n">
        <x:v>2032</x:v>
      </x:c>
      <x:c r="C2912" s="380" t="n">
        <x:v>12</x:v>
      </x:c>
      <x:c r="D2912" s="380" t="str">
        <x:v>Dec</x:v>
      </x:c>
      <x:c r="E2912" s="380" t="n">
        <x:v>15</x:v>
      </x:c>
      <x:c r="F2912" s="380" t="n">
        <x:v>3</x:v>
      </x:c>
      <x:c r="G2912" s="380" t="n">
        <x:f>--(F2912&lt;='Estimator'!$B$7)</x:f>
        <x:v>1</x:v>
      </x:c>
      <x:c r="H2912" s="381" t="n">
        <x:f>SUMIFS('Climate Data'!$G$7:$G$366,'Climate Data'!$A$7:$A$366,'Estimator'!$B$4,'Climate Data'!$B$7:$B$366,C2912)</x:f>
        <x:v>0.2914349276974416</x:v>
      </x:c>
      <x:c r="I2912" s="382" t="n">
        <x:f>SUMIFS('Climate Data'!$H$7:$H$366,'Climate Data'!$A$7:$A$366,'Estimator'!$B$4,'Climate Data'!$B$7:$B$366,C2912)</x:f>
        <x:v>9.043129770992365</x:v>
      </x:c>
      <x:c r="J2912" s="381" t="n">
        <x:f>SUMIFS('Wind Proxy'!$H$8:$H$19,'Wind Proxy'!$A$8:$A$19,'Estimator'!$B$4,'Wind Proxy'!$B$8:$B$19,C2912)</x:f>
        <x:v>0.12544802867383514</x:v>
      </x:c>
    </x:row>
    <x:row r="2913">
      <x:c r="A2913" s="379" t="n">
        <x:v>48564</x:v>
      </x:c>
      <x:c r="B2913" s="380" t="n">
        <x:v>2032</x:v>
      </x:c>
      <x:c r="C2913" s="380" t="n">
        <x:v>12</x:v>
      </x:c>
      <x:c r="D2913" s="380" t="str">
        <x:v>Dec</x:v>
      </x:c>
      <x:c r="E2913" s="380" t="n">
        <x:v>16</x:v>
      </x:c>
      <x:c r="F2913" s="380" t="n">
        <x:v>4</x:v>
      </x:c>
      <x:c r="G2913" s="380" t="n">
        <x:f>--(F2913&lt;='Estimator'!$B$7)</x:f>
        <x:v>1</x:v>
      </x:c>
      <x:c r="H2913" s="381" t="n">
        <x:f>SUMIFS('Climate Data'!$G$7:$G$366,'Climate Data'!$A$7:$A$366,'Estimator'!$B$4,'Climate Data'!$B$7:$B$366,C2913)</x:f>
        <x:v>0.2914349276974416</x:v>
      </x:c>
      <x:c r="I2913" s="382" t="n">
        <x:f>SUMIFS('Climate Data'!$H$7:$H$366,'Climate Data'!$A$7:$A$366,'Estimator'!$B$4,'Climate Data'!$B$7:$B$366,C2913)</x:f>
        <x:v>9.043129770992365</x:v>
      </x:c>
      <x:c r="J2913" s="381" t="n">
        <x:f>SUMIFS('Wind Proxy'!$H$8:$H$19,'Wind Proxy'!$A$8:$A$19,'Estimator'!$B$4,'Wind Proxy'!$B$8:$B$19,C2913)</x:f>
        <x:v>0.12544802867383514</x:v>
      </x:c>
    </x:row>
    <x:row r="2914">
      <x:c r="A2914" s="379" t="n">
        <x:v>48565</x:v>
      </x:c>
      <x:c r="B2914" s="380" t="n">
        <x:v>2032</x:v>
      </x:c>
      <x:c r="C2914" s="380" t="n">
        <x:v>12</x:v>
      </x:c>
      <x:c r="D2914" s="380" t="str">
        <x:v>Dec</x:v>
      </x:c>
      <x:c r="E2914" s="380" t="n">
        <x:v>17</x:v>
      </x:c>
      <x:c r="F2914" s="380" t="n">
        <x:v>5</x:v>
      </x:c>
      <x:c r="G2914" s="380" t="n">
        <x:f>--(F2914&lt;='Estimator'!$B$7)</x:f>
        <x:v>1</x:v>
      </x:c>
      <x:c r="H2914" s="381" t="n">
        <x:f>SUMIFS('Climate Data'!$G$7:$G$366,'Climate Data'!$A$7:$A$366,'Estimator'!$B$4,'Climate Data'!$B$7:$B$366,C2914)</x:f>
        <x:v>0.2914349276974416</x:v>
      </x:c>
      <x:c r="I2914" s="382" t="n">
        <x:f>SUMIFS('Climate Data'!$H$7:$H$366,'Climate Data'!$A$7:$A$366,'Estimator'!$B$4,'Climate Data'!$B$7:$B$366,C2914)</x:f>
        <x:v>9.043129770992365</x:v>
      </x:c>
      <x:c r="J2914" s="381" t="n">
        <x:f>SUMIFS('Wind Proxy'!$H$8:$H$19,'Wind Proxy'!$A$8:$A$19,'Estimator'!$B$4,'Wind Proxy'!$B$8:$B$19,C2914)</x:f>
        <x:v>0.12544802867383514</x:v>
      </x:c>
    </x:row>
    <x:row r="2915">
      <x:c r="A2915" s="379" t="n">
        <x:v>48566</x:v>
      </x:c>
      <x:c r="B2915" s="380" t="n">
        <x:v>2032</x:v>
      </x:c>
      <x:c r="C2915" s="380" t="n">
        <x:v>12</x:v>
      </x:c>
      <x:c r="D2915" s="380" t="str">
        <x:v>Dec</x:v>
      </x:c>
      <x:c r="E2915" s="380" t="n">
        <x:v>18</x:v>
      </x:c>
      <x:c r="F2915" s="380" t="n">
        <x:v>6</x:v>
      </x:c>
      <x:c r="G2915" s="380" t="n">
        <x:f>--(F2915&lt;='Estimator'!$B$7)</x:f>
        <x:v>0</x:v>
      </x:c>
      <x:c r="H2915" s="381" t="n">
        <x:f>SUMIFS('Climate Data'!$G$7:$G$366,'Climate Data'!$A$7:$A$366,'Estimator'!$B$4,'Climate Data'!$B$7:$B$366,C2915)</x:f>
        <x:v>0.2914349276974416</x:v>
      </x:c>
      <x:c r="I2915" s="382" t="n">
        <x:f>SUMIFS('Climate Data'!$H$7:$H$366,'Climate Data'!$A$7:$A$366,'Estimator'!$B$4,'Climate Data'!$B$7:$B$366,C2915)</x:f>
        <x:v>9.043129770992365</x:v>
      </x:c>
      <x:c r="J2915" s="381" t="n">
        <x:f>SUMIFS('Wind Proxy'!$H$8:$H$19,'Wind Proxy'!$A$8:$A$19,'Estimator'!$B$4,'Wind Proxy'!$B$8:$B$19,C2915)</x:f>
        <x:v>0.12544802867383514</x:v>
      </x:c>
    </x:row>
    <x:row r="2916">
      <x:c r="A2916" s="379" t="n">
        <x:v>48567</x:v>
      </x:c>
      <x:c r="B2916" s="380" t="n">
        <x:v>2032</x:v>
      </x:c>
      <x:c r="C2916" s="380" t="n">
        <x:v>12</x:v>
      </x:c>
      <x:c r="D2916" s="380" t="str">
        <x:v>Dec</x:v>
      </x:c>
      <x:c r="E2916" s="380" t="n">
        <x:v>19</x:v>
      </x:c>
      <x:c r="F2916" s="380" t="n">
        <x:v>7</x:v>
      </x:c>
      <x:c r="G2916" s="380" t="n">
        <x:f>--(F2916&lt;='Estimator'!$B$7)</x:f>
        <x:v>0</x:v>
      </x:c>
      <x:c r="H2916" s="381" t="n">
        <x:f>SUMIFS('Climate Data'!$G$7:$G$366,'Climate Data'!$A$7:$A$366,'Estimator'!$B$4,'Climate Data'!$B$7:$B$366,C2916)</x:f>
        <x:v>0.2914349276974416</x:v>
      </x:c>
      <x:c r="I2916" s="382" t="n">
        <x:f>SUMIFS('Climate Data'!$H$7:$H$366,'Climate Data'!$A$7:$A$366,'Estimator'!$B$4,'Climate Data'!$B$7:$B$366,C2916)</x:f>
        <x:v>9.043129770992365</x:v>
      </x:c>
      <x:c r="J2916" s="381" t="n">
        <x:f>SUMIFS('Wind Proxy'!$H$8:$H$19,'Wind Proxy'!$A$8:$A$19,'Estimator'!$B$4,'Wind Proxy'!$B$8:$B$19,C2916)</x:f>
        <x:v>0.12544802867383514</x:v>
      </x:c>
    </x:row>
    <x:row r="2917">
      <x:c r="A2917" s="379" t="n">
        <x:v>48568</x:v>
      </x:c>
      <x:c r="B2917" s="380" t="n">
        <x:v>2032</x:v>
      </x:c>
      <x:c r="C2917" s="380" t="n">
        <x:v>12</x:v>
      </x:c>
      <x:c r="D2917" s="380" t="str">
        <x:v>Dec</x:v>
      </x:c>
      <x:c r="E2917" s="380" t="n">
        <x:v>20</x:v>
      </x:c>
      <x:c r="F2917" s="380" t="n">
        <x:v>1</x:v>
      </x:c>
      <x:c r="G2917" s="380" t="n">
        <x:f>--(F2917&lt;='Estimator'!$B$7)</x:f>
        <x:v>1</x:v>
      </x:c>
      <x:c r="H2917" s="381" t="n">
        <x:f>SUMIFS('Climate Data'!$G$7:$G$366,'Climate Data'!$A$7:$A$366,'Estimator'!$B$4,'Climate Data'!$B$7:$B$366,C2917)</x:f>
        <x:v>0.2914349276974416</x:v>
      </x:c>
      <x:c r="I2917" s="382" t="n">
        <x:f>SUMIFS('Climate Data'!$H$7:$H$366,'Climate Data'!$A$7:$A$366,'Estimator'!$B$4,'Climate Data'!$B$7:$B$366,C2917)</x:f>
        <x:v>9.043129770992365</x:v>
      </x:c>
      <x:c r="J2917" s="381" t="n">
        <x:f>SUMIFS('Wind Proxy'!$H$8:$H$19,'Wind Proxy'!$A$8:$A$19,'Estimator'!$B$4,'Wind Proxy'!$B$8:$B$19,C2917)</x:f>
        <x:v>0.12544802867383514</x:v>
      </x:c>
    </x:row>
    <x:row r="2918">
      <x:c r="A2918" s="379" t="n">
        <x:v>48569</x:v>
      </x:c>
      <x:c r="B2918" s="380" t="n">
        <x:v>2032</x:v>
      </x:c>
      <x:c r="C2918" s="380" t="n">
        <x:v>12</x:v>
      </x:c>
      <x:c r="D2918" s="380" t="str">
        <x:v>Dec</x:v>
      </x:c>
      <x:c r="E2918" s="380" t="n">
        <x:v>21</x:v>
      </x:c>
      <x:c r="F2918" s="380" t="n">
        <x:v>2</x:v>
      </x:c>
      <x:c r="G2918" s="380" t="n">
        <x:f>--(F2918&lt;='Estimator'!$B$7)</x:f>
        <x:v>1</x:v>
      </x:c>
      <x:c r="H2918" s="381" t="n">
        <x:f>SUMIFS('Climate Data'!$G$7:$G$366,'Climate Data'!$A$7:$A$366,'Estimator'!$B$4,'Climate Data'!$B$7:$B$366,C2918)</x:f>
        <x:v>0.2914349276974416</x:v>
      </x:c>
      <x:c r="I2918" s="382" t="n">
        <x:f>SUMIFS('Climate Data'!$H$7:$H$366,'Climate Data'!$A$7:$A$366,'Estimator'!$B$4,'Climate Data'!$B$7:$B$366,C2918)</x:f>
        <x:v>9.043129770992365</x:v>
      </x:c>
      <x:c r="J2918" s="381" t="n">
        <x:f>SUMIFS('Wind Proxy'!$H$8:$H$19,'Wind Proxy'!$A$8:$A$19,'Estimator'!$B$4,'Wind Proxy'!$B$8:$B$19,C2918)</x:f>
        <x:v>0.12544802867383514</x:v>
      </x:c>
    </x:row>
    <x:row r="2919">
      <x:c r="A2919" s="379" t="n">
        <x:v>48570</x:v>
      </x:c>
      <x:c r="B2919" s="380" t="n">
        <x:v>2032</x:v>
      </x:c>
      <x:c r="C2919" s="380" t="n">
        <x:v>12</x:v>
      </x:c>
      <x:c r="D2919" s="380" t="str">
        <x:v>Dec</x:v>
      </x:c>
      <x:c r="E2919" s="380" t="n">
        <x:v>22</x:v>
      </x:c>
      <x:c r="F2919" s="380" t="n">
        <x:v>3</x:v>
      </x:c>
      <x:c r="G2919" s="380" t="n">
        <x:f>--(F2919&lt;='Estimator'!$B$7)</x:f>
        <x:v>1</x:v>
      </x:c>
      <x:c r="H2919" s="381" t="n">
        <x:f>SUMIFS('Climate Data'!$G$7:$G$366,'Climate Data'!$A$7:$A$366,'Estimator'!$B$4,'Climate Data'!$B$7:$B$366,C2919)</x:f>
        <x:v>0.2914349276974416</x:v>
      </x:c>
      <x:c r="I2919" s="382" t="n">
        <x:f>SUMIFS('Climate Data'!$H$7:$H$366,'Climate Data'!$A$7:$A$366,'Estimator'!$B$4,'Climate Data'!$B$7:$B$366,C2919)</x:f>
        <x:v>9.043129770992365</x:v>
      </x:c>
      <x:c r="J2919" s="381" t="n">
        <x:f>SUMIFS('Wind Proxy'!$H$8:$H$19,'Wind Proxy'!$A$8:$A$19,'Estimator'!$B$4,'Wind Proxy'!$B$8:$B$19,C2919)</x:f>
        <x:v>0.12544802867383514</x:v>
      </x:c>
    </x:row>
    <x:row r="2920">
      <x:c r="A2920" s="379" t="n">
        <x:v>48571</x:v>
      </x:c>
      <x:c r="B2920" s="380" t="n">
        <x:v>2032</x:v>
      </x:c>
      <x:c r="C2920" s="380" t="n">
        <x:v>12</x:v>
      </x:c>
      <x:c r="D2920" s="380" t="str">
        <x:v>Dec</x:v>
      </x:c>
      <x:c r="E2920" s="380" t="n">
        <x:v>23</x:v>
      </x:c>
      <x:c r="F2920" s="380" t="n">
        <x:v>4</x:v>
      </x:c>
      <x:c r="G2920" s="380" t="n">
        <x:f>--(F2920&lt;='Estimator'!$B$7)</x:f>
        <x:v>1</x:v>
      </x:c>
      <x:c r="H2920" s="381" t="n">
        <x:f>SUMIFS('Climate Data'!$G$7:$G$366,'Climate Data'!$A$7:$A$366,'Estimator'!$B$4,'Climate Data'!$B$7:$B$366,C2920)</x:f>
        <x:v>0.2914349276974416</x:v>
      </x:c>
      <x:c r="I2920" s="382" t="n">
        <x:f>SUMIFS('Climate Data'!$H$7:$H$366,'Climate Data'!$A$7:$A$366,'Estimator'!$B$4,'Climate Data'!$B$7:$B$366,C2920)</x:f>
        <x:v>9.043129770992365</x:v>
      </x:c>
      <x:c r="J2920" s="381" t="n">
        <x:f>SUMIFS('Wind Proxy'!$H$8:$H$19,'Wind Proxy'!$A$8:$A$19,'Estimator'!$B$4,'Wind Proxy'!$B$8:$B$19,C2920)</x:f>
        <x:v>0.12544802867383514</x:v>
      </x:c>
    </x:row>
    <x:row r="2921">
      <x:c r="A2921" s="379" t="n">
        <x:v>48572</x:v>
      </x:c>
      <x:c r="B2921" s="380" t="n">
        <x:v>2032</x:v>
      </x:c>
      <x:c r="C2921" s="380" t="n">
        <x:v>12</x:v>
      </x:c>
      <x:c r="D2921" s="380" t="str">
        <x:v>Dec</x:v>
      </x:c>
      <x:c r="E2921" s="380" t="n">
        <x:v>24</x:v>
      </x:c>
      <x:c r="F2921" s="380" t="n">
        <x:v>5</x:v>
      </x:c>
      <x:c r="G2921" s="380" t="n">
        <x:f>--(F2921&lt;='Estimator'!$B$7)</x:f>
        <x:v>1</x:v>
      </x:c>
      <x:c r="H2921" s="381" t="n">
        <x:f>SUMIFS('Climate Data'!$G$7:$G$366,'Climate Data'!$A$7:$A$366,'Estimator'!$B$4,'Climate Data'!$B$7:$B$366,C2921)</x:f>
        <x:v>0.2914349276974416</x:v>
      </x:c>
      <x:c r="I2921" s="382" t="n">
        <x:f>SUMIFS('Climate Data'!$H$7:$H$366,'Climate Data'!$A$7:$A$366,'Estimator'!$B$4,'Climate Data'!$B$7:$B$366,C2921)</x:f>
        <x:v>9.043129770992365</x:v>
      </x:c>
      <x:c r="J2921" s="381" t="n">
        <x:f>SUMIFS('Wind Proxy'!$H$8:$H$19,'Wind Proxy'!$A$8:$A$19,'Estimator'!$B$4,'Wind Proxy'!$B$8:$B$19,C2921)</x:f>
        <x:v>0.12544802867383514</x:v>
      </x:c>
    </x:row>
    <x:row r="2922">
      <x:c r="A2922" s="379" t="n">
        <x:v>48573</x:v>
      </x:c>
      <x:c r="B2922" s="380" t="n">
        <x:v>2032</x:v>
      </x:c>
      <x:c r="C2922" s="380" t="n">
        <x:v>12</x:v>
      </x:c>
      <x:c r="D2922" s="380" t="str">
        <x:v>Dec</x:v>
      </x:c>
      <x:c r="E2922" s="380" t="n">
        <x:v>25</x:v>
      </x:c>
      <x:c r="F2922" s="380" t="n">
        <x:v>6</x:v>
      </x:c>
      <x:c r="G2922" s="380" t="n">
        <x:f>--(F2922&lt;='Estimator'!$B$7)</x:f>
        <x:v>0</x:v>
      </x:c>
      <x:c r="H2922" s="381" t="n">
        <x:f>SUMIFS('Climate Data'!$G$7:$G$366,'Climate Data'!$A$7:$A$366,'Estimator'!$B$4,'Climate Data'!$B$7:$B$366,C2922)</x:f>
        <x:v>0.2914349276974416</x:v>
      </x:c>
      <x:c r="I2922" s="382" t="n">
        <x:f>SUMIFS('Climate Data'!$H$7:$H$366,'Climate Data'!$A$7:$A$366,'Estimator'!$B$4,'Climate Data'!$B$7:$B$366,C2922)</x:f>
        <x:v>9.043129770992365</x:v>
      </x:c>
      <x:c r="J2922" s="381" t="n">
        <x:f>SUMIFS('Wind Proxy'!$H$8:$H$19,'Wind Proxy'!$A$8:$A$19,'Estimator'!$B$4,'Wind Proxy'!$B$8:$B$19,C2922)</x:f>
        <x:v>0.12544802867383514</x:v>
      </x:c>
    </x:row>
    <x:row r="2923">
      <x:c r="A2923" s="379" t="n">
        <x:v>48574</x:v>
      </x:c>
      <x:c r="B2923" s="380" t="n">
        <x:v>2032</x:v>
      </x:c>
      <x:c r="C2923" s="380" t="n">
        <x:v>12</x:v>
      </x:c>
      <x:c r="D2923" s="380" t="str">
        <x:v>Dec</x:v>
      </x:c>
      <x:c r="E2923" s="380" t="n">
        <x:v>26</x:v>
      </x:c>
      <x:c r="F2923" s="380" t="n">
        <x:v>7</x:v>
      </x:c>
      <x:c r="G2923" s="380" t="n">
        <x:f>--(F2923&lt;='Estimator'!$B$7)</x:f>
        <x:v>0</x:v>
      </x:c>
      <x:c r="H2923" s="381" t="n">
        <x:f>SUMIFS('Climate Data'!$G$7:$G$366,'Climate Data'!$A$7:$A$366,'Estimator'!$B$4,'Climate Data'!$B$7:$B$366,C2923)</x:f>
        <x:v>0.2914349276974416</x:v>
      </x:c>
      <x:c r="I2923" s="382" t="n">
        <x:f>SUMIFS('Climate Data'!$H$7:$H$366,'Climate Data'!$A$7:$A$366,'Estimator'!$B$4,'Climate Data'!$B$7:$B$366,C2923)</x:f>
        <x:v>9.043129770992365</x:v>
      </x:c>
      <x:c r="J2923" s="381" t="n">
        <x:f>SUMIFS('Wind Proxy'!$H$8:$H$19,'Wind Proxy'!$A$8:$A$19,'Estimator'!$B$4,'Wind Proxy'!$B$8:$B$19,C2923)</x:f>
        <x:v>0.12544802867383514</x:v>
      </x:c>
    </x:row>
    <x:row r="2924">
      <x:c r="A2924" s="379" t="n">
        <x:v>48575</x:v>
      </x:c>
      <x:c r="B2924" s="380" t="n">
        <x:v>2032</x:v>
      </x:c>
      <x:c r="C2924" s="380" t="n">
        <x:v>12</x:v>
      </x:c>
      <x:c r="D2924" s="380" t="str">
        <x:v>Dec</x:v>
      </x:c>
      <x:c r="E2924" s="380" t="n">
        <x:v>27</x:v>
      </x:c>
      <x:c r="F2924" s="380" t="n">
        <x:v>1</x:v>
      </x:c>
      <x:c r="G2924" s="380" t="n">
        <x:f>--(F2924&lt;='Estimator'!$B$7)</x:f>
        <x:v>1</x:v>
      </x:c>
      <x:c r="H2924" s="381" t="n">
        <x:f>SUMIFS('Climate Data'!$G$7:$G$366,'Climate Data'!$A$7:$A$366,'Estimator'!$B$4,'Climate Data'!$B$7:$B$366,C2924)</x:f>
        <x:v>0.2914349276974416</x:v>
      </x:c>
      <x:c r="I2924" s="382" t="n">
        <x:f>SUMIFS('Climate Data'!$H$7:$H$366,'Climate Data'!$A$7:$A$366,'Estimator'!$B$4,'Climate Data'!$B$7:$B$366,C2924)</x:f>
        <x:v>9.043129770992365</x:v>
      </x:c>
      <x:c r="J2924" s="381" t="n">
        <x:f>SUMIFS('Wind Proxy'!$H$8:$H$19,'Wind Proxy'!$A$8:$A$19,'Estimator'!$B$4,'Wind Proxy'!$B$8:$B$19,C2924)</x:f>
        <x:v>0.12544802867383514</x:v>
      </x:c>
    </x:row>
    <x:row r="2925">
      <x:c r="A2925" s="379" t="n">
        <x:v>48576</x:v>
      </x:c>
      <x:c r="B2925" s="380" t="n">
        <x:v>2032</x:v>
      </x:c>
      <x:c r="C2925" s="380" t="n">
        <x:v>12</x:v>
      </x:c>
      <x:c r="D2925" s="380" t="str">
        <x:v>Dec</x:v>
      </x:c>
      <x:c r="E2925" s="380" t="n">
        <x:v>28</x:v>
      </x:c>
      <x:c r="F2925" s="380" t="n">
        <x:v>2</x:v>
      </x:c>
      <x:c r="G2925" s="380" t="n">
        <x:f>--(F2925&lt;='Estimator'!$B$7)</x:f>
        <x:v>1</x:v>
      </x:c>
      <x:c r="H2925" s="381" t="n">
        <x:f>SUMIFS('Climate Data'!$G$7:$G$366,'Climate Data'!$A$7:$A$366,'Estimator'!$B$4,'Climate Data'!$B$7:$B$366,C2925)</x:f>
        <x:v>0.2914349276974416</x:v>
      </x:c>
      <x:c r="I2925" s="382" t="n">
        <x:f>SUMIFS('Climate Data'!$H$7:$H$366,'Climate Data'!$A$7:$A$366,'Estimator'!$B$4,'Climate Data'!$B$7:$B$366,C2925)</x:f>
        <x:v>9.043129770992365</x:v>
      </x:c>
      <x:c r="J2925" s="381" t="n">
        <x:f>SUMIFS('Wind Proxy'!$H$8:$H$19,'Wind Proxy'!$A$8:$A$19,'Estimator'!$B$4,'Wind Proxy'!$B$8:$B$19,C2925)</x:f>
        <x:v>0.12544802867383514</x:v>
      </x:c>
    </x:row>
    <x:row r="2926">
      <x:c r="A2926" s="379" t="n">
        <x:v>48577</x:v>
      </x:c>
      <x:c r="B2926" s="380" t="n">
        <x:v>2032</x:v>
      </x:c>
      <x:c r="C2926" s="380" t="n">
        <x:v>12</x:v>
      </x:c>
      <x:c r="D2926" s="380" t="str">
        <x:v>Dec</x:v>
      </x:c>
      <x:c r="E2926" s="380" t="n">
        <x:v>29</x:v>
      </x:c>
      <x:c r="F2926" s="380" t="n">
        <x:v>3</x:v>
      </x:c>
      <x:c r="G2926" s="380" t="n">
        <x:f>--(F2926&lt;='Estimator'!$B$7)</x:f>
        <x:v>1</x:v>
      </x:c>
      <x:c r="H2926" s="381" t="n">
        <x:f>SUMIFS('Climate Data'!$G$7:$G$366,'Climate Data'!$A$7:$A$366,'Estimator'!$B$4,'Climate Data'!$B$7:$B$366,C2926)</x:f>
        <x:v>0.2914349276974416</x:v>
      </x:c>
      <x:c r="I2926" s="382" t="n">
        <x:f>SUMIFS('Climate Data'!$H$7:$H$366,'Climate Data'!$A$7:$A$366,'Estimator'!$B$4,'Climate Data'!$B$7:$B$366,C2926)</x:f>
        <x:v>9.043129770992365</x:v>
      </x:c>
      <x:c r="J2926" s="381" t="n">
        <x:f>SUMIFS('Wind Proxy'!$H$8:$H$19,'Wind Proxy'!$A$8:$A$19,'Estimator'!$B$4,'Wind Proxy'!$B$8:$B$19,C2926)</x:f>
        <x:v>0.12544802867383514</x:v>
      </x:c>
    </x:row>
    <x:row r="2927">
      <x:c r="A2927" s="379" t="n">
        <x:v>48578</x:v>
      </x:c>
      <x:c r="B2927" s="380" t="n">
        <x:v>2032</x:v>
      </x:c>
      <x:c r="C2927" s="380" t="n">
        <x:v>12</x:v>
      </x:c>
      <x:c r="D2927" s="380" t="str">
        <x:v>Dec</x:v>
      </x:c>
      <x:c r="E2927" s="380" t="n">
        <x:v>30</x:v>
      </x:c>
      <x:c r="F2927" s="380" t="n">
        <x:v>4</x:v>
      </x:c>
      <x:c r="G2927" s="380" t="n">
        <x:f>--(F2927&lt;='Estimator'!$B$7)</x:f>
        <x:v>1</x:v>
      </x:c>
      <x:c r="H2927" s="381" t="n">
        <x:f>SUMIFS('Climate Data'!$G$7:$G$366,'Climate Data'!$A$7:$A$366,'Estimator'!$B$4,'Climate Data'!$B$7:$B$366,C2927)</x:f>
        <x:v>0.2914349276974416</x:v>
      </x:c>
      <x:c r="I2927" s="382" t="n">
        <x:f>SUMIFS('Climate Data'!$H$7:$H$366,'Climate Data'!$A$7:$A$366,'Estimator'!$B$4,'Climate Data'!$B$7:$B$366,C2927)</x:f>
        <x:v>9.043129770992365</x:v>
      </x:c>
      <x:c r="J2927" s="381" t="n">
        <x:f>SUMIFS('Wind Proxy'!$H$8:$H$19,'Wind Proxy'!$A$8:$A$19,'Estimator'!$B$4,'Wind Proxy'!$B$8:$B$19,C2927)</x:f>
        <x:v>0.12544802867383514</x:v>
      </x:c>
    </x:row>
    <x:row r="2928">
      <x:c r="A2928" s="379" t="n">
        <x:v>48579</x:v>
      </x:c>
      <x:c r="B2928" s="380" t="n">
        <x:v>2032</x:v>
      </x:c>
      <x:c r="C2928" s="380" t="n">
        <x:v>12</x:v>
      </x:c>
      <x:c r="D2928" s="380" t="str">
        <x:v>Dec</x:v>
      </x:c>
      <x:c r="E2928" s="380" t="n">
        <x:v>31</x:v>
      </x:c>
      <x:c r="F2928" s="380" t="n">
        <x:v>5</x:v>
      </x:c>
      <x:c r="G2928" s="380" t="n">
        <x:f>--(F2928&lt;='Estimator'!$B$7)</x:f>
        <x:v>1</x:v>
      </x:c>
      <x:c r="H2928" s="381" t="n">
        <x:f>SUMIFS('Climate Data'!$G$7:$G$366,'Climate Data'!$A$7:$A$366,'Estimator'!$B$4,'Climate Data'!$B$7:$B$366,C2928)</x:f>
        <x:v>0.2914349276974416</x:v>
      </x:c>
      <x:c r="I2928" s="382" t="n">
        <x:f>SUMIFS('Climate Data'!$H$7:$H$366,'Climate Data'!$A$7:$A$366,'Estimator'!$B$4,'Climate Data'!$B$7:$B$366,C2928)</x:f>
        <x:v>9.043129770992365</x:v>
      </x:c>
      <x:c r="J2928" s="381" t="n">
        <x:f>SUMIFS('Wind Proxy'!$H$8:$H$19,'Wind Proxy'!$A$8:$A$19,'Estimator'!$B$4,'Wind Proxy'!$B$8:$B$19,C2928)</x:f>
        <x:v>0.12544802867383514</x:v>
      </x:c>
    </x:row>
    <x:row r="2929">
      <x:c r="A2929" s="379" t="n">
        <x:v>48580</x:v>
      </x:c>
      <x:c r="B2929" s="380" t="n">
        <x:v>2033</x:v>
      </x:c>
      <x:c r="C2929" s="380" t="n">
        <x:v>1</x:v>
      </x:c>
      <x:c r="D2929" s="380" t="str">
        <x:v>Jan</x:v>
      </x:c>
      <x:c r="E2929" s="380" t="n">
        <x:v>1</x:v>
      </x:c>
      <x:c r="F2929" s="380" t="n">
        <x:v>6</x:v>
      </x:c>
      <x:c r="G2929" s="380" t="n">
        <x:f>--(F2929&lt;='Estimator'!$B$7)</x:f>
        <x:v>0</x:v>
      </x:c>
      <x:c r="H2929" s="381" t="n">
        <x:f>SUMIFS('Climate Data'!$G$7:$G$366,'Climate Data'!$A$7:$A$366,'Estimator'!$B$4,'Climate Data'!$B$7:$B$366,C2929)</x:f>
        <x:v>0.21802002224694106</x:v>
      </x:c>
      <x:c r="I2929" s="382" t="n">
        <x:f>SUMIFS('Climate Data'!$H$7:$H$366,'Climate Data'!$A$7:$A$366,'Estimator'!$B$4,'Climate Data'!$B$7:$B$366,C2929)</x:f>
        <x:v>8.596428571428572</x:v>
      </x:c>
      <x:c r="J2929" s="381" t="n">
        <x:f>SUMIFS('Wind Proxy'!$H$8:$H$19,'Wind Proxy'!$A$8:$A$19,'Estimator'!$B$4,'Wind Proxy'!$B$8:$B$19,C2929)</x:f>
        <x:v>0.12544802867383514</x:v>
      </x:c>
    </x:row>
    <x:row r="2930">
      <x:c r="A2930" s="379" t="n">
        <x:v>48581</x:v>
      </x:c>
      <x:c r="B2930" s="380" t="n">
        <x:v>2033</x:v>
      </x:c>
      <x:c r="C2930" s="380" t="n">
        <x:v>1</x:v>
      </x:c>
      <x:c r="D2930" s="380" t="str">
        <x:v>Jan</x:v>
      </x:c>
      <x:c r="E2930" s="380" t="n">
        <x:v>2</x:v>
      </x:c>
      <x:c r="F2930" s="380" t="n">
        <x:v>7</x:v>
      </x:c>
      <x:c r="G2930" s="380" t="n">
        <x:f>--(F2930&lt;='Estimator'!$B$7)</x:f>
        <x:v>0</x:v>
      </x:c>
      <x:c r="H2930" s="381" t="n">
        <x:f>SUMIFS('Climate Data'!$G$7:$G$366,'Climate Data'!$A$7:$A$366,'Estimator'!$B$4,'Climate Data'!$B$7:$B$366,C2930)</x:f>
        <x:v>0.21802002224694106</x:v>
      </x:c>
      <x:c r="I2930" s="382" t="n">
        <x:f>SUMIFS('Climate Data'!$H$7:$H$366,'Climate Data'!$A$7:$A$366,'Estimator'!$B$4,'Climate Data'!$B$7:$B$366,C2930)</x:f>
        <x:v>8.596428571428572</x:v>
      </x:c>
      <x:c r="J2930" s="381" t="n">
        <x:f>SUMIFS('Wind Proxy'!$H$8:$H$19,'Wind Proxy'!$A$8:$A$19,'Estimator'!$B$4,'Wind Proxy'!$B$8:$B$19,C2930)</x:f>
        <x:v>0.12544802867383514</x:v>
      </x:c>
    </x:row>
    <x:row r="2931">
      <x:c r="A2931" s="379" t="n">
        <x:v>48582</x:v>
      </x:c>
      <x:c r="B2931" s="380" t="n">
        <x:v>2033</x:v>
      </x:c>
      <x:c r="C2931" s="380" t="n">
        <x:v>1</x:v>
      </x:c>
      <x:c r="D2931" s="380" t="str">
        <x:v>Jan</x:v>
      </x:c>
      <x:c r="E2931" s="380" t="n">
        <x:v>3</x:v>
      </x:c>
      <x:c r="F2931" s="380" t="n">
        <x:v>1</x:v>
      </x:c>
      <x:c r="G2931" s="380" t="n">
        <x:f>--(F2931&lt;='Estimator'!$B$7)</x:f>
        <x:v>1</x:v>
      </x:c>
      <x:c r="H2931" s="381" t="n">
        <x:f>SUMIFS('Climate Data'!$G$7:$G$366,'Climate Data'!$A$7:$A$366,'Estimator'!$B$4,'Climate Data'!$B$7:$B$366,C2931)</x:f>
        <x:v>0.21802002224694106</x:v>
      </x:c>
      <x:c r="I2931" s="382" t="n">
        <x:f>SUMIFS('Climate Data'!$H$7:$H$366,'Climate Data'!$A$7:$A$366,'Estimator'!$B$4,'Climate Data'!$B$7:$B$366,C2931)</x:f>
        <x:v>8.596428571428572</x:v>
      </x:c>
      <x:c r="J2931" s="381" t="n">
        <x:f>SUMIFS('Wind Proxy'!$H$8:$H$19,'Wind Proxy'!$A$8:$A$19,'Estimator'!$B$4,'Wind Proxy'!$B$8:$B$19,C2931)</x:f>
        <x:v>0.12544802867383514</x:v>
      </x:c>
    </x:row>
    <x:row r="2932">
      <x:c r="A2932" s="379" t="n">
        <x:v>48583</x:v>
      </x:c>
      <x:c r="B2932" s="380" t="n">
        <x:v>2033</x:v>
      </x:c>
      <x:c r="C2932" s="380" t="n">
        <x:v>1</x:v>
      </x:c>
      <x:c r="D2932" s="380" t="str">
        <x:v>Jan</x:v>
      </x:c>
      <x:c r="E2932" s="380" t="n">
        <x:v>4</x:v>
      </x:c>
      <x:c r="F2932" s="380" t="n">
        <x:v>2</x:v>
      </x:c>
      <x:c r="G2932" s="380" t="n">
        <x:f>--(F2932&lt;='Estimator'!$B$7)</x:f>
        <x:v>1</x:v>
      </x:c>
      <x:c r="H2932" s="381" t="n">
        <x:f>SUMIFS('Climate Data'!$G$7:$G$366,'Climate Data'!$A$7:$A$366,'Estimator'!$B$4,'Climate Data'!$B$7:$B$366,C2932)</x:f>
        <x:v>0.21802002224694106</x:v>
      </x:c>
      <x:c r="I2932" s="382" t="n">
        <x:f>SUMIFS('Climate Data'!$H$7:$H$366,'Climate Data'!$A$7:$A$366,'Estimator'!$B$4,'Climate Data'!$B$7:$B$366,C2932)</x:f>
        <x:v>8.596428571428572</x:v>
      </x:c>
      <x:c r="J2932" s="381" t="n">
        <x:f>SUMIFS('Wind Proxy'!$H$8:$H$19,'Wind Proxy'!$A$8:$A$19,'Estimator'!$B$4,'Wind Proxy'!$B$8:$B$19,C2932)</x:f>
        <x:v>0.12544802867383514</x:v>
      </x:c>
    </x:row>
    <x:row r="2933">
      <x:c r="A2933" s="379" t="n">
        <x:v>48584</x:v>
      </x:c>
      <x:c r="B2933" s="380" t="n">
        <x:v>2033</x:v>
      </x:c>
      <x:c r="C2933" s="380" t="n">
        <x:v>1</x:v>
      </x:c>
      <x:c r="D2933" s="380" t="str">
        <x:v>Jan</x:v>
      </x:c>
      <x:c r="E2933" s="380" t="n">
        <x:v>5</x:v>
      </x:c>
      <x:c r="F2933" s="380" t="n">
        <x:v>3</x:v>
      </x:c>
      <x:c r="G2933" s="380" t="n">
        <x:f>--(F2933&lt;='Estimator'!$B$7)</x:f>
        <x:v>1</x:v>
      </x:c>
      <x:c r="H2933" s="381" t="n">
        <x:f>SUMIFS('Climate Data'!$G$7:$G$366,'Climate Data'!$A$7:$A$366,'Estimator'!$B$4,'Climate Data'!$B$7:$B$366,C2933)</x:f>
        <x:v>0.21802002224694106</x:v>
      </x:c>
      <x:c r="I2933" s="382" t="n">
        <x:f>SUMIFS('Climate Data'!$H$7:$H$366,'Climate Data'!$A$7:$A$366,'Estimator'!$B$4,'Climate Data'!$B$7:$B$366,C2933)</x:f>
        <x:v>8.596428571428572</x:v>
      </x:c>
      <x:c r="J2933" s="381" t="n">
        <x:f>SUMIFS('Wind Proxy'!$H$8:$H$19,'Wind Proxy'!$A$8:$A$19,'Estimator'!$B$4,'Wind Proxy'!$B$8:$B$19,C2933)</x:f>
        <x:v>0.12544802867383514</x:v>
      </x:c>
    </x:row>
    <x:row r="2934">
      <x:c r="A2934" s="379" t="n">
        <x:v>48585</x:v>
      </x:c>
      <x:c r="B2934" s="380" t="n">
        <x:v>2033</x:v>
      </x:c>
      <x:c r="C2934" s="380" t="n">
        <x:v>1</x:v>
      </x:c>
      <x:c r="D2934" s="380" t="str">
        <x:v>Jan</x:v>
      </x:c>
      <x:c r="E2934" s="380" t="n">
        <x:v>6</x:v>
      </x:c>
      <x:c r="F2934" s="380" t="n">
        <x:v>4</x:v>
      </x:c>
      <x:c r="G2934" s="380" t="n">
        <x:f>--(F2934&lt;='Estimator'!$B$7)</x:f>
        <x:v>1</x:v>
      </x:c>
      <x:c r="H2934" s="381" t="n">
        <x:f>SUMIFS('Climate Data'!$G$7:$G$366,'Climate Data'!$A$7:$A$366,'Estimator'!$B$4,'Climate Data'!$B$7:$B$366,C2934)</x:f>
        <x:v>0.21802002224694106</x:v>
      </x:c>
      <x:c r="I2934" s="382" t="n">
        <x:f>SUMIFS('Climate Data'!$H$7:$H$366,'Climate Data'!$A$7:$A$366,'Estimator'!$B$4,'Climate Data'!$B$7:$B$366,C2934)</x:f>
        <x:v>8.596428571428572</x:v>
      </x:c>
      <x:c r="J2934" s="381" t="n">
        <x:f>SUMIFS('Wind Proxy'!$H$8:$H$19,'Wind Proxy'!$A$8:$A$19,'Estimator'!$B$4,'Wind Proxy'!$B$8:$B$19,C2934)</x:f>
        <x:v>0.12544802867383514</x:v>
      </x:c>
    </x:row>
    <x:row r="2935">
      <x:c r="A2935" s="379" t="n">
        <x:v>48586</x:v>
      </x:c>
      <x:c r="B2935" s="380" t="n">
        <x:v>2033</x:v>
      </x:c>
      <x:c r="C2935" s="380" t="n">
        <x:v>1</x:v>
      </x:c>
      <x:c r="D2935" s="380" t="str">
        <x:v>Jan</x:v>
      </x:c>
      <x:c r="E2935" s="380" t="n">
        <x:v>7</x:v>
      </x:c>
      <x:c r="F2935" s="380" t="n">
        <x:v>5</x:v>
      </x:c>
      <x:c r="G2935" s="380" t="n">
        <x:f>--(F2935&lt;='Estimator'!$B$7)</x:f>
        <x:v>1</x:v>
      </x:c>
      <x:c r="H2935" s="381" t="n">
        <x:f>SUMIFS('Climate Data'!$G$7:$G$366,'Climate Data'!$A$7:$A$366,'Estimator'!$B$4,'Climate Data'!$B$7:$B$366,C2935)</x:f>
        <x:v>0.21802002224694106</x:v>
      </x:c>
      <x:c r="I2935" s="382" t="n">
        <x:f>SUMIFS('Climate Data'!$H$7:$H$366,'Climate Data'!$A$7:$A$366,'Estimator'!$B$4,'Climate Data'!$B$7:$B$366,C2935)</x:f>
        <x:v>8.596428571428572</x:v>
      </x:c>
      <x:c r="J2935" s="381" t="n">
        <x:f>SUMIFS('Wind Proxy'!$H$8:$H$19,'Wind Proxy'!$A$8:$A$19,'Estimator'!$B$4,'Wind Proxy'!$B$8:$B$19,C2935)</x:f>
        <x:v>0.12544802867383514</x:v>
      </x:c>
    </x:row>
    <x:row r="2936">
      <x:c r="A2936" s="379" t="n">
        <x:v>48587</x:v>
      </x:c>
      <x:c r="B2936" s="380" t="n">
        <x:v>2033</x:v>
      </x:c>
      <x:c r="C2936" s="380" t="n">
        <x:v>1</x:v>
      </x:c>
      <x:c r="D2936" s="380" t="str">
        <x:v>Jan</x:v>
      </x:c>
      <x:c r="E2936" s="380" t="n">
        <x:v>8</x:v>
      </x:c>
      <x:c r="F2936" s="380" t="n">
        <x:v>6</x:v>
      </x:c>
      <x:c r="G2936" s="380" t="n">
        <x:f>--(F2936&lt;='Estimator'!$B$7)</x:f>
        <x:v>0</x:v>
      </x:c>
      <x:c r="H2936" s="381" t="n">
        <x:f>SUMIFS('Climate Data'!$G$7:$G$366,'Climate Data'!$A$7:$A$366,'Estimator'!$B$4,'Climate Data'!$B$7:$B$366,C2936)</x:f>
        <x:v>0.21802002224694106</x:v>
      </x:c>
      <x:c r="I2936" s="382" t="n">
        <x:f>SUMIFS('Climate Data'!$H$7:$H$366,'Climate Data'!$A$7:$A$366,'Estimator'!$B$4,'Climate Data'!$B$7:$B$366,C2936)</x:f>
        <x:v>8.596428571428572</x:v>
      </x:c>
      <x:c r="J2936" s="381" t="n">
        <x:f>SUMIFS('Wind Proxy'!$H$8:$H$19,'Wind Proxy'!$A$8:$A$19,'Estimator'!$B$4,'Wind Proxy'!$B$8:$B$19,C2936)</x:f>
        <x:v>0.12544802867383514</x:v>
      </x:c>
    </x:row>
    <x:row r="2937">
      <x:c r="A2937" s="379" t="n">
        <x:v>48588</x:v>
      </x:c>
      <x:c r="B2937" s="380" t="n">
        <x:v>2033</x:v>
      </x:c>
      <x:c r="C2937" s="380" t="n">
        <x:v>1</x:v>
      </x:c>
      <x:c r="D2937" s="380" t="str">
        <x:v>Jan</x:v>
      </x:c>
      <x:c r="E2937" s="380" t="n">
        <x:v>9</x:v>
      </x:c>
      <x:c r="F2937" s="380" t="n">
        <x:v>7</x:v>
      </x:c>
      <x:c r="G2937" s="380" t="n">
        <x:f>--(F2937&lt;='Estimator'!$B$7)</x:f>
        <x:v>0</x:v>
      </x:c>
      <x:c r="H2937" s="381" t="n">
        <x:f>SUMIFS('Climate Data'!$G$7:$G$366,'Climate Data'!$A$7:$A$366,'Estimator'!$B$4,'Climate Data'!$B$7:$B$366,C2937)</x:f>
        <x:v>0.21802002224694106</x:v>
      </x:c>
      <x:c r="I2937" s="382" t="n">
        <x:f>SUMIFS('Climate Data'!$H$7:$H$366,'Climate Data'!$A$7:$A$366,'Estimator'!$B$4,'Climate Data'!$B$7:$B$366,C2937)</x:f>
        <x:v>8.596428571428572</x:v>
      </x:c>
      <x:c r="J2937" s="381" t="n">
        <x:f>SUMIFS('Wind Proxy'!$H$8:$H$19,'Wind Proxy'!$A$8:$A$19,'Estimator'!$B$4,'Wind Proxy'!$B$8:$B$19,C2937)</x:f>
        <x:v>0.12544802867383514</x:v>
      </x:c>
    </x:row>
    <x:row r="2938">
      <x:c r="A2938" s="379" t="n">
        <x:v>48589</x:v>
      </x:c>
      <x:c r="B2938" s="380" t="n">
        <x:v>2033</x:v>
      </x:c>
      <x:c r="C2938" s="380" t="n">
        <x:v>1</x:v>
      </x:c>
      <x:c r="D2938" s="380" t="str">
        <x:v>Jan</x:v>
      </x:c>
      <x:c r="E2938" s="380" t="n">
        <x:v>10</x:v>
      </x:c>
      <x:c r="F2938" s="380" t="n">
        <x:v>1</x:v>
      </x:c>
      <x:c r="G2938" s="380" t="n">
        <x:f>--(F2938&lt;='Estimator'!$B$7)</x:f>
        <x:v>1</x:v>
      </x:c>
      <x:c r="H2938" s="381" t="n">
        <x:f>SUMIFS('Climate Data'!$G$7:$G$366,'Climate Data'!$A$7:$A$366,'Estimator'!$B$4,'Climate Data'!$B$7:$B$366,C2938)</x:f>
        <x:v>0.21802002224694106</x:v>
      </x:c>
      <x:c r="I2938" s="382" t="n">
        <x:f>SUMIFS('Climate Data'!$H$7:$H$366,'Climate Data'!$A$7:$A$366,'Estimator'!$B$4,'Climate Data'!$B$7:$B$366,C2938)</x:f>
        <x:v>8.596428571428572</x:v>
      </x:c>
      <x:c r="J2938" s="381" t="n">
        <x:f>SUMIFS('Wind Proxy'!$H$8:$H$19,'Wind Proxy'!$A$8:$A$19,'Estimator'!$B$4,'Wind Proxy'!$B$8:$B$19,C2938)</x:f>
        <x:v>0.12544802867383514</x:v>
      </x:c>
    </x:row>
    <x:row r="2939">
      <x:c r="A2939" s="379" t="n">
        <x:v>48590</x:v>
      </x:c>
      <x:c r="B2939" s="380" t="n">
        <x:v>2033</x:v>
      </x:c>
      <x:c r="C2939" s="380" t="n">
        <x:v>1</x:v>
      </x:c>
      <x:c r="D2939" s="380" t="str">
        <x:v>Jan</x:v>
      </x:c>
      <x:c r="E2939" s="380" t="n">
        <x:v>11</x:v>
      </x:c>
      <x:c r="F2939" s="380" t="n">
        <x:v>2</x:v>
      </x:c>
      <x:c r="G2939" s="380" t="n">
        <x:f>--(F2939&lt;='Estimator'!$B$7)</x:f>
        <x:v>1</x:v>
      </x:c>
      <x:c r="H2939" s="381" t="n">
        <x:f>SUMIFS('Climate Data'!$G$7:$G$366,'Climate Data'!$A$7:$A$366,'Estimator'!$B$4,'Climate Data'!$B$7:$B$366,C2939)</x:f>
        <x:v>0.21802002224694106</x:v>
      </x:c>
      <x:c r="I2939" s="382" t="n">
        <x:f>SUMIFS('Climate Data'!$H$7:$H$366,'Climate Data'!$A$7:$A$366,'Estimator'!$B$4,'Climate Data'!$B$7:$B$366,C2939)</x:f>
        <x:v>8.596428571428572</x:v>
      </x:c>
      <x:c r="J2939" s="381" t="n">
        <x:f>SUMIFS('Wind Proxy'!$H$8:$H$19,'Wind Proxy'!$A$8:$A$19,'Estimator'!$B$4,'Wind Proxy'!$B$8:$B$19,C2939)</x:f>
        <x:v>0.12544802867383514</x:v>
      </x:c>
    </x:row>
    <x:row r="2940">
      <x:c r="A2940" s="379" t="n">
        <x:v>48591</x:v>
      </x:c>
      <x:c r="B2940" s="380" t="n">
        <x:v>2033</x:v>
      </x:c>
      <x:c r="C2940" s="380" t="n">
        <x:v>1</x:v>
      </x:c>
      <x:c r="D2940" s="380" t="str">
        <x:v>Jan</x:v>
      </x:c>
      <x:c r="E2940" s="380" t="n">
        <x:v>12</x:v>
      </x:c>
      <x:c r="F2940" s="380" t="n">
        <x:v>3</x:v>
      </x:c>
      <x:c r="G2940" s="380" t="n">
        <x:f>--(F2940&lt;='Estimator'!$B$7)</x:f>
        <x:v>1</x:v>
      </x:c>
      <x:c r="H2940" s="381" t="n">
        <x:f>SUMIFS('Climate Data'!$G$7:$G$366,'Climate Data'!$A$7:$A$366,'Estimator'!$B$4,'Climate Data'!$B$7:$B$366,C2940)</x:f>
        <x:v>0.21802002224694106</x:v>
      </x:c>
      <x:c r="I2940" s="382" t="n">
        <x:f>SUMIFS('Climate Data'!$H$7:$H$366,'Climate Data'!$A$7:$A$366,'Estimator'!$B$4,'Climate Data'!$B$7:$B$366,C2940)</x:f>
        <x:v>8.596428571428572</x:v>
      </x:c>
      <x:c r="J2940" s="381" t="n">
        <x:f>SUMIFS('Wind Proxy'!$H$8:$H$19,'Wind Proxy'!$A$8:$A$19,'Estimator'!$B$4,'Wind Proxy'!$B$8:$B$19,C2940)</x:f>
        <x:v>0.12544802867383514</x:v>
      </x:c>
    </x:row>
    <x:row r="2941">
      <x:c r="A2941" s="379" t="n">
        <x:v>48592</x:v>
      </x:c>
      <x:c r="B2941" s="380" t="n">
        <x:v>2033</x:v>
      </x:c>
      <x:c r="C2941" s="380" t="n">
        <x:v>1</x:v>
      </x:c>
      <x:c r="D2941" s="380" t="str">
        <x:v>Jan</x:v>
      </x:c>
      <x:c r="E2941" s="380" t="n">
        <x:v>13</x:v>
      </x:c>
      <x:c r="F2941" s="380" t="n">
        <x:v>4</x:v>
      </x:c>
      <x:c r="G2941" s="380" t="n">
        <x:f>--(F2941&lt;='Estimator'!$B$7)</x:f>
        <x:v>1</x:v>
      </x:c>
      <x:c r="H2941" s="381" t="n">
        <x:f>SUMIFS('Climate Data'!$G$7:$G$366,'Climate Data'!$A$7:$A$366,'Estimator'!$B$4,'Climate Data'!$B$7:$B$366,C2941)</x:f>
        <x:v>0.21802002224694106</x:v>
      </x:c>
      <x:c r="I2941" s="382" t="n">
        <x:f>SUMIFS('Climate Data'!$H$7:$H$366,'Climate Data'!$A$7:$A$366,'Estimator'!$B$4,'Climate Data'!$B$7:$B$366,C2941)</x:f>
        <x:v>8.596428571428572</x:v>
      </x:c>
      <x:c r="J2941" s="381" t="n">
        <x:f>SUMIFS('Wind Proxy'!$H$8:$H$19,'Wind Proxy'!$A$8:$A$19,'Estimator'!$B$4,'Wind Proxy'!$B$8:$B$19,C2941)</x:f>
        <x:v>0.12544802867383514</x:v>
      </x:c>
    </x:row>
    <x:row r="2942">
      <x:c r="A2942" s="379" t="n">
        <x:v>48593</x:v>
      </x:c>
      <x:c r="B2942" s="380" t="n">
        <x:v>2033</x:v>
      </x:c>
      <x:c r="C2942" s="380" t="n">
        <x:v>1</x:v>
      </x:c>
      <x:c r="D2942" s="380" t="str">
        <x:v>Jan</x:v>
      </x:c>
      <x:c r="E2942" s="380" t="n">
        <x:v>14</x:v>
      </x:c>
      <x:c r="F2942" s="380" t="n">
        <x:v>5</x:v>
      </x:c>
      <x:c r="G2942" s="380" t="n">
        <x:f>--(F2942&lt;='Estimator'!$B$7)</x:f>
        <x:v>1</x:v>
      </x:c>
      <x:c r="H2942" s="381" t="n">
        <x:f>SUMIFS('Climate Data'!$G$7:$G$366,'Climate Data'!$A$7:$A$366,'Estimator'!$B$4,'Climate Data'!$B$7:$B$366,C2942)</x:f>
        <x:v>0.21802002224694106</x:v>
      </x:c>
      <x:c r="I2942" s="382" t="n">
        <x:f>SUMIFS('Climate Data'!$H$7:$H$366,'Climate Data'!$A$7:$A$366,'Estimator'!$B$4,'Climate Data'!$B$7:$B$366,C2942)</x:f>
        <x:v>8.596428571428572</x:v>
      </x:c>
      <x:c r="J2942" s="381" t="n">
        <x:f>SUMIFS('Wind Proxy'!$H$8:$H$19,'Wind Proxy'!$A$8:$A$19,'Estimator'!$B$4,'Wind Proxy'!$B$8:$B$19,C2942)</x:f>
        <x:v>0.12544802867383514</x:v>
      </x:c>
    </x:row>
    <x:row r="2943">
      <x:c r="A2943" s="379" t="n">
        <x:v>48594</x:v>
      </x:c>
      <x:c r="B2943" s="380" t="n">
        <x:v>2033</x:v>
      </x:c>
      <x:c r="C2943" s="380" t="n">
        <x:v>1</x:v>
      </x:c>
      <x:c r="D2943" s="380" t="str">
        <x:v>Jan</x:v>
      </x:c>
      <x:c r="E2943" s="380" t="n">
        <x:v>15</x:v>
      </x:c>
      <x:c r="F2943" s="380" t="n">
        <x:v>6</x:v>
      </x:c>
      <x:c r="G2943" s="380" t="n">
        <x:f>--(F2943&lt;='Estimator'!$B$7)</x:f>
        <x:v>0</x:v>
      </x:c>
      <x:c r="H2943" s="381" t="n">
        <x:f>SUMIFS('Climate Data'!$G$7:$G$366,'Climate Data'!$A$7:$A$366,'Estimator'!$B$4,'Climate Data'!$B$7:$B$366,C2943)</x:f>
        <x:v>0.21802002224694106</x:v>
      </x:c>
      <x:c r="I2943" s="382" t="n">
        <x:f>SUMIFS('Climate Data'!$H$7:$H$366,'Climate Data'!$A$7:$A$366,'Estimator'!$B$4,'Climate Data'!$B$7:$B$366,C2943)</x:f>
        <x:v>8.596428571428572</x:v>
      </x:c>
      <x:c r="J2943" s="381" t="n">
        <x:f>SUMIFS('Wind Proxy'!$H$8:$H$19,'Wind Proxy'!$A$8:$A$19,'Estimator'!$B$4,'Wind Proxy'!$B$8:$B$19,C2943)</x:f>
        <x:v>0.12544802867383514</x:v>
      </x:c>
    </x:row>
    <x:row r="2944">
      <x:c r="A2944" s="379" t="n">
        <x:v>48595</x:v>
      </x:c>
      <x:c r="B2944" s="380" t="n">
        <x:v>2033</x:v>
      </x:c>
      <x:c r="C2944" s="380" t="n">
        <x:v>1</x:v>
      </x:c>
      <x:c r="D2944" s="380" t="str">
        <x:v>Jan</x:v>
      </x:c>
      <x:c r="E2944" s="380" t="n">
        <x:v>16</x:v>
      </x:c>
      <x:c r="F2944" s="380" t="n">
        <x:v>7</x:v>
      </x:c>
      <x:c r="G2944" s="380" t="n">
        <x:f>--(F2944&lt;='Estimator'!$B$7)</x:f>
        <x:v>0</x:v>
      </x:c>
      <x:c r="H2944" s="381" t="n">
        <x:f>SUMIFS('Climate Data'!$G$7:$G$366,'Climate Data'!$A$7:$A$366,'Estimator'!$B$4,'Climate Data'!$B$7:$B$366,C2944)</x:f>
        <x:v>0.21802002224694106</x:v>
      </x:c>
      <x:c r="I2944" s="382" t="n">
        <x:f>SUMIFS('Climate Data'!$H$7:$H$366,'Climate Data'!$A$7:$A$366,'Estimator'!$B$4,'Climate Data'!$B$7:$B$366,C2944)</x:f>
        <x:v>8.596428571428572</x:v>
      </x:c>
      <x:c r="J2944" s="381" t="n">
        <x:f>SUMIFS('Wind Proxy'!$H$8:$H$19,'Wind Proxy'!$A$8:$A$19,'Estimator'!$B$4,'Wind Proxy'!$B$8:$B$19,C2944)</x:f>
        <x:v>0.12544802867383514</x:v>
      </x:c>
    </x:row>
    <x:row r="2945">
      <x:c r="A2945" s="379" t="n">
        <x:v>48596</x:v>
      </x:c>
      <x:c r="B2945" s="380" t="n">
        <x:v>2033</x:v>
      </x:c>
      <x:c r="C2945" s="380" t="n">
        <x:v>1</x:v>
      </x:c>
      <x:c r="D2945" s="380" t="str">
        <x:v>Jan</x:v>
      </x:c>
      <x:c r="E2945" s="380" t="n">
        <x:v>17</x:v>
      </x:c>
      <x:c r="F2945" s="380" t="n">
        <x:v>1</x:v>
      </x:c>
      <x:c r="G2945" s="380" t="n">
        <x:f>--(F2945&lt;='Estimator'!$B$7)</x:f>
        <x:v>1</x:v>
      </x:c>
      <x:c r="H2945" s="381" t="n">
        <x:f>SUMIFS('Climate Data'!$G$7:$G$366,'Climate Data'!$A$7:$A$366,'Estimator'!$B$4,'Climate Data'!$B$7:$B$366,C2945)</x:f>
        <x:v>0.21802002224694106</x:v>
      </x:c>
      <x:c r="I2945" s="382" t="n">
        <x:f>SUMIFS('Climate Data'!$H$7:$H$366,'Climate Data'!$A$7:$A$366,'Estimator'!$B$4,'Climate Data'!$B$7:$B$366,C2945)</x:f>
        <x:v>8.596428571428572</x:v>
      </x:c>
      <x:c r="J2945" s="381" t="n">
        <x:f>SUMIFS('Wind Proxy'!$H$8:$H$19,'Wind Proxy'!$A$8:$A$19,'Estimator'!$B$4,'Wind Proxy'!$B$8:$B$19,C2945)</x:f>
        <x:v>0.12544802867383514</x:v>
      </x:c>
    </x:row>
    <x:row r="2946">
      <x:c r="A2946" s="379" t="n">
        <x:v>48597</x:v>
      </x:c>
      <x:c r="B2946" s="380" t="n">
        <x:v>2033</x:v>
      </x:c>
      <x:c r="C2946" s="380" t="n">
        <x:v>1</x:v>
      </x:c>
      <x:c r="D2946" s="380" t="str">
        <x:v>Jan</x:v>
      </x:c>
      <x:c r="E2946" s="380" t="n">
        <x:v>18</x:v>
      </x:c>
      <x:c r="F2946" s="380" t="n">
        <x:v>2</x:v>
      </x:c>
      <x:c r="G2946" s="380" t="n">
        <x:f>--(F2946&lt;='Estimator'!$B$7)</x:f>
        <x:v>1</x:v>
      </x:c>
      <x:c r="H2946" s="381" t="n">
        <x:f>SUMIFS('Climate Data'!$G$7:$G$366,'Climate Data'!$A$7:$A$366,'Estimator'!$B$4,'Climate Data'!$B$7:$B$366,C2946)</x:f>
        <x:v>0.21802002224694106</x:v>
      </x:c>
      <x:c r="I2946" s="382" t="n">
        <x:f>SUMIFS('Climate Data'!$H$7:$H$366,'Climate Data'!$A$7:$A$366,'Estimator'!$B$4,'Climate Data'!$B$7:$B$366,C2946)</x:f>
        <x:v>8.596428571428572</x:v>
      </x:c>
      <x:c r="J2946" s="381" t="n">
        <x:f>SUMIFS('Wind Proxy'!$H$8:$H$19,'Wind Proxy'!$A$8:$A$19,'Estimator'!$B$4,'Wind Proxy'!$B$8:$B$19,C2946)</x:f>
        <x:v>0.12544802867383514</x:v>
      </x:c>
    </x:row>
    <x:row r="2947">
      <x:c r="A2947" s="379" t="n">
        <x:v>48598</x:v>
      </x:c>
      <x:c r="B2947" s="380" t="n">
        <x:v>2033</x:v>
      </x:c>
      <x:c r="C2947" s="380" t="n">
        <x:v>1</x:v>
      </x:c>
      <x:c r="D2947" s="380" t="str">
        <x:v>Jan</x:v>
      </x:c>
      <x:c r="E2947" s="380" t="n">
        <x:v>19</x:v>
      </x:c>
      <x:c r="F2947" s="380" t="n">
        <x:v>3</x:v>
      </x:c>
      <x:c r="G2947" s="380" t="n">
        <x:f>--(F2947&lt;='Estimator'!$B$7)</x:f>
        <x:v>1</x:v>
      </x:c>
      <x:c r="H2947" s="381" t="n">
        <x:f>SUMIFS('Climate Data'!$G$7:$G$366,'Climate Data'!$A$7:$A$366,'Estimator'!$B$4,'Climate Data'!$B$7:$B$366,C2947)</x:f>
        <x:v>0.21802002224694106</x:v>
      </x:c>
      <x:c r="I2947" s="382" t="n">
        <x:f>SUMIFS('Climate Data'!$H$7:$H$366,'Climate Data'!$A$7:$A$366,'Estimator'!$B$4,'Climate Data'!$B$7:$B$366,C2947)</x:f>
        <x:v>8.596428571428572</x:v>
      </x:c>
      <x:c r="J2947" s="381" t="n">
        <x:f>SUMIFS('Wind Proxy'!$H$8:$H$19,'Wind Proxy'!$A$8:$A$19,'Estimator'!$B$4,'Wind Proxy'!$B$8:$B$19,C2947)</x:f>
        <x:v>0.12544802867383514</x:v>
      </x:c>
    </x:row>
    <x:row r="2948">
      <x:c r="A2948" s="379" t="n">
        <x:v>48599</x:v>
      </x:c>
      <x:c r="B2948" s="380" t="n">
        <x:v>2033</x:v>
      </x:c>
      <x:c r="C2948" s="380" t="n">
        <x:v>1</x:v>
      </x:c>
      <x:c r="D2948" s="380" t="str">
        <x:v>Jan</x:v>
      </x:c>
      <x:c r="E2948" s="380" t="n">
        <x:v>20</x:v>
      </x:c>
      <x:c r="F2948" s="380" t="n">
        <x:v>4</x:v>
      </x:c>
      <x:c r="G2948" s="380" t="n">
        <x:f>--(F2948&lt;='Estimator'!$B$7)</x:f>
        <x:v>1</x:v>
      </x:c>
      <x:c r="H2948" s="381" t="n">
        <x:f>SUMIFS('Climate Data'!$G$7:$G$366,'Climate Data'!$A$7:$A$366,'Estimator'!$B$4,'Climate Data'!$B$7:$B$366,C2948)</x:f>
        <x:v>0.21802002224694106</x:v>
      </x:c>
      <x:c r="I2948" s="382" t="n">
        <x:f>SUMIFS('Climate Data'!$H$7:$H$366,'Climate Data'!$A$7:$A$366,'Estimator'!$B$4,'Climate Data'!$B$7:$B$366,C2948)</x:f>
        <x:v>8.596428571428572</x:v>
      </x:c>
      <x:c r="J2948" s="381" t="n">
        <x:f>SUMIFS('Wind Proxy'!$H$8:$H$19,'Wind Proxy'!$A$8:$A$19,'Estimator'!$B$4,'Wind Proxy'!$B$8:$B$19,C2948)</x:f>
        <x:v>0.12544802867383514</x:v>
      </x:c>
    </x:row>
    <x:row r="2949">
      <x:c r="A2949" s="379" t="n">
        <x:v>48600</x:v>
      </x:c>
      <x:c r="B2949" s="380" t="n">
        <x:v>2033</x:v>
      </x:c>
      <x:c r="C2949" s="380" t="n">
        <x:v>1</x:v>
      </x:c>
      <x:c r="D2949" s="380" t="str">
        <x:v>Jan</x:v>
      </x:c>
      <x:c r="E2949" s="380" t="n">
        <x:v>21</x:v>
      </x:c>
      <x:c r="F2949" s="380" t="n">
        <x:v>5</x:v>
      </x:c>
      <x:c r="G2949" s="380" t="n">
        <x:f>--(F2949&lt;='Estimator'!$B$7)</x:f>
        <x:v>1</x:v>
      </x:c>
      <x:c r="H2949" s="381" t="n">
        <x:f>SUMIFS('Climate Data'!$G$7:$G$366,'Climate Data'!$A$7:$A$366,'Estimator'!$B$4,'Climate Data'!$B$7:$B$366,C2949)</x:f>
        <x:v>0.21802002224694106</x:v>
      </x:c>
      <x:c r="I2949" s="382" t="n">
        <x:f>SUMIFS('Climate Data'!$H$7:$H$366,'Climate Data'!$A$7:$A$366,'Estimator'!$B$4,'Climate Data'!$B$7:$B$366,C2949)</x:f>
        <x:v>8.596428571428572</x:v>
      </x:c>
      <x:c r="J2949" s="381" t="n">
        <x:f>SUMIFS('Wind Proxy'!$H$8:$H$19,'Wind Proxy'!$A$8:$A$19,'Estimator'!$B$4,'Wind Proxy'!$B$8:$B$19,C2949)</x:f>
        <x:v>0.12544802867383514</x:v>
      </x:c>
    </x:row>
    <x:row r="2950">
      <x:c r="A2950" s="379" t="n">
        <x:v>48601</x:v>
      </x:c>
      <x:c r="B2950" s="380" t="n">
        <x:v>2033</x:v>
      </x:c>
      <x:c r="C2950" s="380" t="n">
        <x:v>1</x:v>
      </x:c>
      <x:c r="D2950" s="380" t="str">
        <x:v>Jan</x:v>
      </x:c>
      <x:c r="E2950" s="380" t="n">
        <x:v>22</x:v>
      </x:c>
      <x:c r="F2950" s="380" t="n">
        <x:v>6</x:v>
      </x:c>
      <x:c r="G2950" s="380" t="n">
        <x:f>--(F2950&lt;='Estimator'!$B$7)</x:f>
        <x:v>0</x:v>
      </x:c>
      <x:c r="H2950" s="381" t="n">
        <x:f>SUMIFS('Climate Data'!$G$7:$G$366,'Climate Data'!$A$7:$A$366,'Estimator'!$B$4,'Climate Data'!$B$7:$B$366,C2950)</x:f>
        <x:v>0.21802002224694106</x:v>
      </x:c>
      <x:c r="I2950" s="382" t="n">
        <x:f>SUMIFS('Climate Data'!$H$7:$H$366,'Climate Data'!$A$7:$A$366,'Estimator'!$B$4,'Climate Data'!$B$7:$B$366,C2950)</x:f>
        <x:v>8.596428571428572</x:v>
      </x:c>
      <x:c r="J2950" s="381" t="n">
        <x:f>SUMIFS('Wind Proxy'!$H$8:$H$19,'Wind Proxy'!$A$8:$A$19,'Estimator'!$B$4,'Wind Proxy'!$B$8:$B$19,C2950)</x:f>
        <x:v>0.12544802867383514</x:v>
      </x:c>
    </x:row>
    <x:row r="2951">
      <x:c r="A2951" s="379" t="n">
        <x:v>48602</x:v>
      </x:c>
      <x:c r="B2951" s="380" t="n">
        <x:v>2033</x:v>
      </x:c>
      <x:c r="C2951" s="380" t="n">
        <x:v>1</x:v>
      </x:c>
      <x:c r="D2951" s="380" t="str">
        <x:v>Jan</x:v>
      </x:c>
      <x:c r="E2951" s="380" t="n">
        <x:v>23</x:v>
      </x:c>
      <x:c r="F2951" s="380" t="n">
        <x:v>7</x:v>
      </x:c>
      <x:c r="G2951" s="380" t="n">
        <x:f>--(F2951&lt;='Estimator'!$B$7)</x:f>
        <x:v>0</x:v>
      </x:c>
      <x:c r="H2951" s="381" t="n">
        <x:f>SUMIFS('Climate Data'!$G$7:$G$366,'Climate Data'!$A$7:$A$366,'Estimator'!$B$4,'Climate Data'!$B$7:$B$366,C2951)</x:f>
        <x:v>0.21802002224694106</x:v>
      </x:c>
      <x:c r="I2951" s="382" t="n">
        <x:f>SUMIFS('Climate Data'!$H$7:$H$366,'Climate Data'!$A$7:$A$366,'Estimator'!$B$4,'Climate Data'!$B$7:$B$366,C2951)</x:f>
        <x:v>8.596428571428572</x:v>
      </x:c>
      <x:c r="J2951" s="381" t="n">
        <x:f>SUMIFS('Wind Proxy'!$H$8:$H$19,'Wind Proxy'!$A$8:$A$19,'Estimator'!$B$4,'Wind Proxy'!$B$8:$B$19,C2951)</x:f>
        <x:v>0.12544802867383514</x:v>
      </x:c>
    </x:row>
    <x:row r="2952">
      <x:c r="A2952" s="379" t="n">
        <x:v>48603</x:v>
      </x:c>
      <x:c r="B2952" s="380" t="n">
        <x:v>2033</x:v>
      </x:c>
      <x:c r="C2952" s="380" t="n">
        <x:v>1</x:v>
      </x:c>
      <x:c r="D2952" s="380" t="str">
        <x:v>Jan</x:v>
      </x:c>
      <x:c r="E2952" s="380" t="n">
        <x:v>24</x:v>
      </x:c>
      <x:c r="F2952" s="380" t="n">
        <x:v>1</x:v>
      </x:c>
      <x:c r="G2952" s="380" t="n">
        <x:f>--(F2952&lt;='Estimator'!$B$7)</x:f>
        <x:v>1</x:v>
      </x:c>
      <x:c r="H2952" s="381" t="n">
        <x:f>SUMIFS('Climate Data'!$G$7:$G$366,'Climate Data'!$A$7:$A$366,'Estimator'!$B$4,'Climate Data'!$B$7:$B$366,C2952)</x:f>
        <x:v>0.21802002224694106</x:v>
      </x:c>
      <x:c r="I2952" s="382" t="n">
        <x:f>SUMIFS('Climate Data'!$H$7:$H$366,'Climate Data'!$A$7:$A$366,'Estimator'!$B$4,'Climate Data'!$B$7:$B$366,C2952)</x:f>
        <x:v>8.596428571428572</x:v>
      </x:c>
      <x:c r="J2952" s="381" t="n">
        <x:f>SUMIFS('Wind Proxy'!$H$8:$H$19,'Wind Proxy'!$A$8:$A$19,'Estimator'!$B$4,'Wind Proxy'!$B$8:$B$19,C2952)</x:f>
        <x:v>0.12544802867383514</x:v>
      </x:c>
    </x:row>
    <x:row r="2953">
      <x:c r="A2953" s="379" t="n">
        <x:v>48604</x:v>
      </x:c>
      <x:c r="B2953" s="380" t="n">
        <x:v>2033</x:v>
      </x:c>
      <x:c r="C2953" s="380" t="n">
        <x:v>1</x:v>
      </x:c>
      <x:c r="D2953" s="380" t="str">
        <x:v>Jan</x:v>
      </x:c>
      <x:c r="E2953" s="380" t="n">
        <x:v>25</x:v>
      </x:c>
      <x:c r="F2953" s="380" t="n">
        <x:v>2</x:v>
      </x:c>
      <x:c r="G2953" s="380" t="n">
        <x:f>--(F2953&lt;='Estimator'!$B$7)</x:f>
        <x:v>1</x:v>
      </x:c>
      <x:c r="H2953" s="381" t="n">
        <x:f>SUMIFS('Climate Data'!$G$7:$G$366,'Climate Data'!$A$7:$A$366,'Estimator'!$B$4,'Climate Data'!$B$7:$B$366,C2953)</x:f>
        <x:v>0.21802002224694106</x:v>
      </x:c>
      <x:c r="I2953" s="382" t="n">
        <x:f>SUMIFS('Climate Data'!$H$7:$H$366,'Climate Data'!$A$7:$A$366,'Estimator'!$B$4,'Climate Data'!$B$7:$B$366,C2953)</x:f>
        <x:v>8.596428571428572</x:v>
      </x:c>
      <x:c r="J2953" s="381" t="n">
        <x:f>SUMIFS('Wind Proxy'!$H$8:$H$19,'Wind Proxy'!$A$8:$A$19,'Estimator'!$B$4,'Wind Proxy'!$B$8:$B$19,C2953)</x:f>
        <x:v>0.12544802867383514</x:v>
      </x:c>
    </x:row>
    <x:row r="2954">
      <x:c r="A2954" s="379" t="n">
        <x:v>48605</x:v>
      </x:c>
      <x:c r="B2954" s="380" t="n">
        <x:v>2033</x:v>
      </x:c>
      <x:c r="C2954" s="380" t="n">
        <x:v>1</x:v>
      </x:c>
      <x:c r="D2954" s="380" t="str">
        <x:v>Jan</x:v>
      </x:c>
      <x:c r="E2954" s="380" t="n">
        <x:v>26</x:v>
      </x:c>
      <x:c r="F2954" s="380" t="n">
        <x:v>3</x:v>
      </x:c>
      <x:c r="G2954" s="380" t="n">
        <x:f>--(F2954&lt;='Estimator'!$B$7)</x:f>
        <x:v>1</x:v>
      </x:c>
      <x:c r="H2954" s="381" t="n">
        <x:f>SUMIFS('Climate Data'!$G$7:$G$366,'Climate Data'!$A$7:$A$366,'Estimator'!$B$4,'Climate Data'!$B$7:$B$366,C2954)</x:f>
        <x:v>0.21802002224694106</x:v>
      </x:c>
      <x:c r="I2954" s="382" t="n">
        <x:f>SUMIFS('Climate Data'!$H$7:$H$366,'Climate Data'!$A$7:$A$366,'Estimator'!$B$4,'Climate Data'!$B$7:$B$366,C2954)</x:f>
        <x:v>8.596428571428572</x:v>
      </x:c>
      <x:c r="J2954" s="381" t="n">
        <x:f>SUMIFS('Wind Proxy'!$H$8:$H$19,'Wind Proxy'!$A$8:$A$19,'Estimator'!$B$4,'Wind Proxy'!$B$8:$B$19,C2954)</x:f>
        <x:v>0.12544802867383514</x:v>
      </x:c>
    </x:row>
    <x:row r="2955">
      <x:c r="A2955" s="379" t="n">
        <x:v>48606</x:v>
      </x:c>
      <x:c r="B2955" s="380" t="n">
        <x:v>2033</x:v>
      </x:c>
      <x:c r="C2955" s="380" t="n">
        <x:v>1</x:v>
      </x:c>
      <x:c r="D2955" s="380" t="str">
        <x:v>Jan</x:v>
      </x:c>
      <x:c r="E2955" s="380" t="n">
        <x:v>27</x:v>
      </x:c>
      <x:c r="F2955" s="380" t="n">
        <x:v>4</x:v>
      </x:c>
      <x:c r="G2955" s="380" t="n">
        <x:f>--(F2955&lt;='Estimator'!$B$7)</x:f>
        <x:v>1</x:v>
      </x:c>
      <x:c r="H2955" s="381" t="n">
        <x:f>SUMIFS('Climate Data'!$G$7:$G$366,'Climate Data'!$A$7:$A$366,'Estimator'!$B$4,'Climate Data'!$B$7:$B$366,C2955)</x:f>
        <x:v>0.21802002224694106</x:v>
      </x:c>
      <x:c r="I2955" s="382" t="n">
        <x:f>SUMIFS('Climate Data'!$H$7:$H$366,'Climate Data'!$A$7:$A$366,'Estimator'!$B$4,'Climate Data'!$B$7:$B$366,C2955)</x:f>
        <x:v>8.596428571428572</x:v>
      </x:c>
      <x:c r="J2955" s="381" t="n">
        <x:f>SUMIFS('Wind Proxy'!$H$8:$H$19,'Wind Proxy'!$A$8:$A$19,'Estimator'!$B$4,'Wind Proxy'!$B$8:$B$19,C2955)</x:f>
        <x:v>0.12544802867383514</x:v>
      </x:c>
    </x:row>
    <x:row r="2956">
      <x:c r="A2956" s="379" t="n">
        <x:v>48607</x:v>
      </x:c>
      <x:c r="B2956" s="380" t="n">
        <x:v>2033</x:v>
      </x:c>
      <x:c r="C2956" s="380" t="n">
        <x:v>1</x:v>
      </x:c>
      <x:c r="D2956" s="380" t="str">
        <x:v>Jan</x:v>
      </x:c>
      <x:c r="E2956" s="380" t="n">
        <x:v>28</x:v>
      </x:c>
      <x:c r="F2956" s="380" t="n">
        <x:v>5</x:v>
      </x:c>
      <x:c r="G2956" s="380" t="n">
        <x:f>--(F2956&lt;='Estimator'!$B$7)</x:f>
        <x:v>1</x:v>
      </x:c>
      <x:c r="H2956" s="381" t="n">
        <x:f>SUMIFS('Climate Data'!$G$7:$G$366,'Climate Data'!$A$7:$A$366,'Estimator'!$B$4,'Climate Data'!$B$7:$B$366,C2956)</x:f>
        <x:v>0.21802002224694106</x:v>
      </x:c>
      <x:c r="I2956" s="382" t="n">
        <x:f>SUMIFS('Climate Data'!$H$7:$H$366,'Climate Data'!$A$7:$A$366,'Estimator'!$B$4,'Climate Data'!$B$7:$B$366,C2956)</x:f>
        <x:v>8.596428571428572</x:v>
      </x:c>
      <x:c r="J2956" s="381" t="n">
        <x:f>SUMIFS('Wind Proxy'!$H$8:$H$19,'Wind Proxy'!$A$8:$A$19,'Estimator'!$B$4,'Wind Proxy'!$B$8:$B$19,C2956)</x:f>
        <x:v>0.12544802867383514</x:v>
      </x:c>
    </x:row>
    <x:row r="2957">
      <x:c r="A2957" s="379" t="n">
        <x:v>48608</x:v>
      </x:c>
      <x:c r="B2957" s="380" t="n">
        <x:v>2033</x:v>
      </x:c>
      <x:c r="C2957" s="380" t="n">
        <x:v>1</x:v>
      </x:c>
      <x:c r="D2957" s="380" t="str">
        <x:v>Jan</x:v>
      </x:c>
      <x:c r="E2957" s="380" t="n">
        <x:v>29</x:v>
      </x:c>
      <x:c r="F2957" s="380" t="n">
        <x:v>6</x:v>
      </x:c>
      <x:c r="G2957" s="380" t="n">
        <x:f>--(F2957&lt;='Estimator'!$B$7)</x:f>
        <x:v>0</x:v>
      </x:c>
      <x:c r="H2957" s="381" t="n">
        <x:f>SUMIFS('Climate Data'!$G$7:$G$366,'Climate Data'!$A$7:$A$366,'Estimator'!$B$4,'Climate Data'!$B$7:$B$366,C2957)</x:f>
        <x:v>0.21802002224694106</x:v>
      </x:c>
      <x:c r="I2957" s="382" t="n">
        <x:f>SUMIFS('Climate Data'!$H$7:$H$366,'Climate Data'!$A$7:$A$366,'Estimator'!$B$4,'Climate Data'!$B$7:$B$366,C2957)</x:f>
        <x:v>8.596428571428572</x:v>
      </x:c>
      <x:c r="J2957" s="381" t="n">
        <x:f>SUMIFS('Wind Proxy'!$H$8:$H$19,'Wind Proxy'!$A$8:$A$19,'Estimator'!$B$4,'Wind Proxy'!$B$8:$B$19,C2957)</x:f>
        <x:v>0.12544802867383514</x:v>
      </x:c>
    </x:row>
    <x:row r="2958">
      <x:c r="A2958" s="379" t="n">
        <x:v>48609</x:v>
      </x:c>
      <x:c r="B2958" s="380" t="n">
        <x:v>2033</x:v>
      </x:c>
      <x:c r="C2958" s="380" t="n">
        <x:v>1</x:v>
      </x:c>
      <x:c r="D2958" s="380" t="str">
        <x:v>Jan</x:v>
      </x:c>
      <x:c r="E2958" s="380" t="n">
        <x:v>30</x:v>
      </x:c>
      <x:c r="F2958" s="380" t="n">
        <x:v>7</x:v>
      </x:c>
      <x:c r="G2958" s="380" t="n">
        <x:f>--(F2958&lt;='Estimator'!$B$7)</x:f>
        <x:v>0</x:v>
      </x:c>
      <x:c r="H2958" s="381" t="n">
        <x:f>SUMIFS('Climate Data'!$G$7:$G$366,'Climate Data'!$A$7:$A$366,'Estimator'!$B$4,'Climate Data'!$B$7:$B$366,C2958)</x:f>
        <x:v>0.21802002224694106</x:v>
      </x:c>
      <x:c r="I2958" s="382" t="n">
        <x:f>SUMIFS('Climate Data'!$H$7:$H$366,'Climate Data'!$A$7:$A$366,'Estimator'!$B$4,'Climate Data'!$B$7:$B$366,C2958)</x:f>
        <x:v>8.596428571428572</x:v>
      </x:c>
      <x:c r="J2958" s="381" t="n">
        <x:f>SUMIFS('Wind Proxy'!$H$8:$H$19,'Wind Proxy'!$A$8:$A$19,'Estimator'!$B$4,'Wind Proxy'!$B$8:$B$19,C2958)</x:f>
        <x:v>0.12544802867383514</x:v>
      </x:c>
    </x:row>
    <x:row r="2959">
      <x:c r="A2959" s="379" t="n">
        <x:v>48610</x:v>
      </x:c>
      <x:c r="B2959" s="380" t="n">
        <x:v>2033</x:v>
      </x:c>
      <x:c r="C2959" s="380" t="n">
        <x:v>1</x:v>
      </x:c>
      <x:c r="D2959" s="380" t="str">
        <x:v>Jan</x:v>
      </x:c>
      <x:c r="E2959" s="380" t="n">
        <x:v>31</x:v>
      </x:c>
      <x:c r="F2959" s="380" t="n">
        <x:v>1</x:v>
      </x:c>
      <x:c r="G2959" s="380" t="n">
        <x:f>--(F2959&lt;='Estimator'!$B$7)</x:f>
        <x:v>1</x:v>
      </x:c>
      <x:c r="H2959" s="381" t="n">
        <x:f>SUMIFS('Climate Data'!$G$7:$G$366,'Climate Data'!$A$7:$A$366,'Estimator'!$B$4,'Climate Data'!$B$7:$B$366,C2959)</x:f>
        <x:v>0.21802002224694106</x:v>
      </x:c>
      <x:c r="I2959" s="382" t="n">
        <x:f>SUMIFS('Climate Data'!$H$7:$H$366,'Climate Data'!$A$7:$A$366,'Estimator'!$B$4,'Climate Data'!$B$7:$B$366,C2959)</x:f>
        <x:v>8.596428571428572</x:v>
      </x:c>
      <x:c r="J2959" s="381" t="n">
        <x:f>SUMIFS('Wind Proxy'!$H$8:$H$19,'Wind Proxy'!$A$8:$A$19,'Estimator'!$B$4,'Wind Proxy'!$B$8:$B$19,C2959)</x:f>
        <x:v>0.12544802867383514</x:v>
      </x:c>
    </x:row>
    <x:row r="2960">
      <x:c r="A2960" s="379" t="n">
        <x:v>48611</x:v>
      </x:c>
      <x:c r="B2960" s="380" t="n">
        <x:v>2033</x:v>
      </x:c>
      <x:c r="C2960" s="380" t="n">
        <x:v>2</x:v>
      </x:c>
      <x:c r="D2960" s="380" t="str">
        <x:v>Feb</x:v>
      </x:c>
      <x:c r="E2960" s="380" t="n">
        <x:v>1</x:v>
      </x:c>
      <x:c r="F2960" s="380" t="n">
        <x:v>2</x:v>
      </x:c>
      <x:c r="G2960" s="380" t="n">
        <x:f>--(F2960&lt;='Estimator'!$B$7)</x:f>
        <x:v>1</x:v>
      </x:c>
      <x:c r="H2960" s="381" t="n">
        <x:f>SUMIFS('Climate Data'!$G$7:$G$366,'Climate Data'!$A$7:$A$366,'Estimator'!$B$4,'Climate Data'!$B$7:$B$366,C2960)</x:f>
        <x:v>0.23056278464541316</x:v>
      </x:c>
      <x:c r="I2960" s="382" t="n">
        <x:f>SUMIFS('Climate Data'!$H$7:$H$366,'Climate Data'!$A$7:$A$366,'Estimator'!$B$4,'Climate Data'!$B$7:$B$366,C2960)</x:f>
        <x:v>9.682010582010582</x:v>
      </x:c>
      <x:c r="J2960" s="381" t="n">
        <x:f>SUMIFS('Wind Proxy'!$H$8:$H$19,'Wind Proxy'!$A$8:$A$19,'Estimator'!$B$4,'Wind Proxy'!$B$8:$B$19,C2960)</x:f>
        <x:v>0.13757861635220128</x:v>
      </x:c>
    </x:row>
    <x:row r="2961">
      <x:c r="A2961" s="379" t="n">
        <x:v>48612</x:v>
      </x:c>
      <x:c r="B2961" s="380" t="n">
        <x:v>2033</x:v>
      </x:c>
      <x:c r="C2961" s="380" t="n">
        <x:v>2</x:v>
      </x:c>
      <x:c r="D2961" s="380" t="str">
        <x:v>Feb</x:v>
      </x:c>
      <x:c r="E2961" s="380" t="n">
        <x:v>2</x:v>
      </x:c>
      <x:c r="F2961" s="380" t="n">
        <x:v>3</x:v>
      </x:c>
      <x:c r="G2961" s="380" t="n">
        <x:f>--(F2961&lt;='Estimator'!$B$7)</x:f>
        <x:v>1</x:v>
      </x:c>
      <x:c r="H2961" s="381" t="n">
        <x:f>SUMIFS('Climate Data'!$G$7:$G$366,'Climate Data'!$A$7:$A$366,'Estimator'!$B$4,'Climate Data'!$B$7:$B$366,C2961)</x:f>
        <x:v>0.23056278464541316</x:v>
      </x:c>
      <x:c r="I2961" s="382" t="n">
        <x:f>SUMIFS('Climate Data'!$H$7:$H$366,'Climate Data'!$A$7:$A$366,'Estimator'!$B$4,'Climate Data'!$B$7:$B$366,C2961)</x:f>
        <x:v>9.682010582010582</x:v>
      </x:c>
      <x:c r="J2961" s="381" t="n">
        <x:f>SUMIFS('Wind Proxy'!$H$8:$H$19,'Wind Proxy'!$A$8:$A$19,'Estimator'!$B$4,'Wind Proxy'!$B$8:$B$19,C2961)</x:f>
        <x:v>0.13757861635220128</x:v>
      </x:c>
    </x:row>
    <x:row r="2962">
      <x:c r="A2962" s="379" t="n">
        <x:v>48613</x:v>
      </x:c>
      <x:c r="B2962" s="380" t="n">
        <x:v>2033</x:v>
      </x:c>
      <x:c r="C2962" s="380" t="n">
        <x:v>2</x:v>
      </x:c>
      <x:c r="D2962" s="380" t="str">
        <x:v>Feb</x:v>
      </x:c>
      <x:c r="E2962" s="380" t="n">
        <x:v>3</x:v>
      </x:c>
      <x:c r="F2962" s="380" t="n">
        <x:v>4</x:v>
      </x:c>
      <x:c r="G2962" s="380" t="n">
        <x:f>--(F2962&lt;='Estimator'!$B$7)</x:f>
        <x:v>1</x:v>
      </x:c>
      <x:c r="H2962" s="381" t="n">
        <x:f>SUMIFS('Climate Data'!$G$7:$G$366,'Climate Data'!$A$7:$A$366,'Estimator'!$B$4,'Climate Data'!$B$7:$B$366,C2962)</x:f>
        <x:v>0.23056278464541316</x:v>
      </x:c>
      <x:c r="I2962" s="382" t="n">
        <x:f>SUMIFS('Climate Data'!$H$7:$H$366,'Climate Data'!$A$7:$A$366,'Estimator'!$B$4,'Climate Data'!$B$7:$B$366,C2962)</x:f>
        <x:v>9.682010582010582</x:v>
      </x:c>
      <x:c r="J2962" s="381" t="n">
        <x:f>SUMIFS('Wind Proxy'!$H$8:$H$19,'Wind Proxy'!$A$8:$A$19,'Estimator'!$B$4,'Wind Proxy'!$B$8:$B$19,C2962)</x:f>
        <x:v>0.13757861635220128</x:v>
      </x:c>
    </x:row>
    <x:row r="2963">
      <x:c r="A2963" s="379" t="n">
        <x:v>48614</x:v>
      </x:c>
      <x:c r="B2963" s="380" t="n">
        <x:v>2033</x:v>
      </x:c>
      <x:c r="C2963" s="380" t="n">
        <x:v>2</x:v>
      </x:c>
      <x:c r="D2963" s="380" t="str">
        <x:v>Feb</x:v>
      </x:c>
      <x:c r="E2963" s="380" t="n">
        <x:v>4</x:v>
      </x:c>
      <x:c r="F2963" s="380" t="n">
        <x:v>5</x:v>
      </x:c>
      <x:c r="G2963" s="380" t="n">
        <x:f>--(F2963&lt;='Estimator'!$B$7)</x:f>
        <x:v>1</x:v>
      </x:c>
      <x:c r="H2963" s="381" t="n">
        <x:f>SUMIFS('Climate Data'!$G$7:$G$366,'Climate Data'!$A$7:$A$366,'Estimator'!$B$4,'Climate Data'!$B$7:$B$366,C2963)</x:f>
        <x:v>0.23056278464541316</x:v>
      </x:c>
      <x:c r="I2963" s="382" t="n">
        <x:f>SUMIFS('Climate Data'!$H$7:$H$366,'Climate Data'!$A$7:$A$366,'Estimator'!$B$4,'Climate Data'!$B$7:$B$366,C2963)</x:f>
        <x:v>9.682010582010582</x:v>
      </x:c>
      <x:c r="J2963" s="381" t="n">
        <x:f>SUMIFS('Wind Proxy'!$H$8:$H$19,'Wind Proxy'!$A$8:$A$19,'Estimator'!$B$4,'Wind Proxy'!$B$8:$B$19,C2963)</x:f>
        <x:v>0.13757861635220128</x:v>
      </x:c>
    </x:row>
    <x:row r="2964">
      <x:c r="A2964" s="379" t="n">
        <x:v>48615</x:v>
      </x:c>
      <x:c r="B2964" s="380" t="n">
        <x:v>2033</x:v>
      </x:c>
      <x:c r="C2964" s="380" t="n">
        <x:v>2</x:v>
      </x:c>
      <x:c r="D2964" s="380" t="str">
        <x:v>Feb</x:v>
      </x:c>
      <x:c r="E2964" s="380" t="n">
        <x:v>5</x:v>
      </x:c>
      <x:c r="F2964" s="380" t="n">
        <x:v>6</x:v>
      </x:c>
      <x:c r="G2964" s="380" t="n">
        <x:f>--(F2964&lt;='Estimator'!$B$7)</x:f>
        <x:v>0</x:v>
      </x:c>
      <x:c r="H2964" s="381" t="n">
        <x:f>SUMIFS('Climate Data'!$G$7:$G$366,'Climate Data'!$A$7:$A$366,'Estimator'!$B$4,'Climate Data'!$B$7:$B$366,C2964)</x:f>
        <x:v>0.23056278464541316</x:v>
      </x:c>
      <x:c r="I2964" s="382" t="n">
        <x:f>SUMIFS('Climate Data'!$H$7:$H$366,'Climate Data'!$A$7:$A$366,'Estimator'!$B$4,'Climate Data'!$B$7:$B$366,C2964)</x:f>
        <x:v>9.682010582010582</x:v>
      </x:c>
      <x:c r="J2964" s="381" t="n">
        <x:f>SUMIFS('Wind Proxy'!$H$8:$H$19,'Wind Proxy'!$A$8:$A$19,'Estimator'!$B$4,'Wind Proxy'!$B$8:$B$19,C2964)</x:f>
        <x:v>0.13757861635220128</x:v>
      </x:c>
    </x:row>
    <x:row r="2965">
      <x:c r="A2965" s="379" t="n">
        <x:v>48616</x:v>
      </x:c>
      <x:c r="B2965" s="380" t="n">
        <x:v>2033</x:v>
      </x:c>
      <x:c r="C2965" s="380" t="n">
        <x:v>2</x:v>
      </x:c>
      <x:c r="D2965" s="380" t="str">
        <x:v>Feb</x:v>
      </x:c>
      <x:c r="E2965" s="380" t="n">
        <x:v>6</x:v>
      </x:c>
      <x:c r="F2965" s="380" t="n">
        <x:v>7</x:v>
      </x:c>
      <x:c r="G2965" s="380" t="n">
        <x:f>--(F2965&lt;='Estimator'!$B$7)</x:f>
        <x:v>0</x:v>
      </x:c>
      <x:c r="H2965" s="381" t="n">
        <x:f>SUMIFS('Climate Data'!$G$7:$G$366,'Climate Data'!$A$7:$A$366,'Estimator'!$B$4,'Climate Data'!$B$7:$B$366,C2965)</x:f>
        <x:v>0.23056278464541316</x:v>
      </x:c>
      <x:c r="I2965" s="382" t="n">
        <x:f>SUMIFS('Climate Data'!$H$7:$H$366,'Climate Data'!$A$7:$A$366,'Estimator'!$B$4,'Climate Data'!$B$7:$B$366,C2965)</x:f>
        <x:v>9.682010582010582</x:v>
      </x:c>
      <x:c r="J2965" s="381" t="n">
        <x:f>SUMIFS('Wind Proxy'!$H$8:$H$19,'Wind Proxy'!$A$8:$A$19,'Estimator'!$B$4,'Wind Proxy'!$B$8:$B$19,C2965)</x:f>
        <x:v>0.13757861635220128</x:v>
      </x:c>
    </x:row>
    <x:row r="2966">
      <x:c r="A2966" s="379" t="n">
        <x:v>48617</x:v>
      </x:c>
      <x:c r="B2966" s="380" t="n">
        <x:v>2033</x:v>
      </x:c>
      <x:c r="C2966" s="380" t="n">
        <x:v>2</x:v>
      </x:c>
      <x:c r="D2966" s="380" t="str">
        <x:v>Feb</x:v>
      </x:c>
      <x:c r="E2966" s="380" t="n">
        <x:v>7</x:v>
      </x:c>
      <x:c r="F2966" s="380" t="n">
        <x:v>1</x:v>
      </x:c>
      <x:c r="G2966" s="380" t="n">
        <x:f>--(F2966&lt;='Estimator'!$B$7)</x:f>
        <x:v>1</x:v>
      </x:c>
      <x:c r="H2966" s="381" t="n">
        <x:f>SUMIFS('Climate Data'!$G$7:$G$366,'Climate Data'!$A$7:$A$366,'Estimator'!$B$4,'Climate Data'!$B$7:$B$366,C2966)</x:f>
        <x:v>0.23056278464541316</x:v>
      </x:c>
      <x:c r="I2966" s="382" t="n">
        <x:f>SUMIFS('Climate Data'!$H$7:$H$366,'Climate Data'!$A$7:$A$366,'Estimator'!$B$4,'Climate Data'!$B$7:$B$366,C2966)</x:f>
        <x:v>9.682010582010582</x:v>
      </x:c>
      <x:c r="J2966" s="381" t="n">
        <x:f>SUMIFS('Wind Proxy'!$H$8:$H$19,'Wind Proxy'!$A$8:$A$19,'Estimator'!$B$4,'Wind Proxy'!$B$8:$B$19,C2966)</x:f>
        <x:v>0.13757861635220128</x:v>
      </x:c>
    </x:row>
    <x:row r="2967">
      <x:c r="A2967" s="379" t="n">
        <x:v>48618</x:v>
      </x:c>
      <x:c r="B2967" s="380" t="n">
        <x:v>2033</x:v>
      </x:c>
      <x:c r="C2967" s="380" t="n">
        <x:v>2</x:v>
      </x:c>
      <x:c r="D2967" s="380" t="str">
        <x:v>Feb</x:v>
      </x:c>
      <x:c r="E2967" s="380" t="n">
        <x:v>8</x:v>
      </x:c>
      <x:c r="F2967" s="380" t="n">
        <x:v>2</x:v>
      </x:c>
      <x:c r="G2967" s="380" t="n">
        <x:f>--(F2967&lt;='Estimator'!$B$7)</x:f>
        <x:v>1</x:v>
      </x:c>
      <x:c r="H2967" s="381" t="n">
        <x:f>SUMIFS('Climate Data'!$G$7:$G$366,'Climate Data'!$A$7:$A$366,'Estimator'!$B$4,'Climate Data'!$B$7:$B$366,C2967)</x:f>
        <x:v>0.23056278464541316</x:v>
      </x:c>
      <x:c r="I2967" s="382" t="n">
        <x:f>SUMIFS('Climate Data'!$H$7:$H$366,'Climate Data'!$A$7:$A$366,'Estimator'!$B$4,'Climate Data'!$B$7:$B$366,C2967)</x:f>
        <x:v>9.682010582010582</x:v>
      </x:c>
      <x:c r="J2967" s="381" t="n">
        <x:f>SUMIFS('Wind Proxy'!$H$8:$H$19,'Wind Proxy'!$A$8:$A$19,'Estimator'!$B$4,'Wind Proxy'!$B$8:$B$19,C2967)</x:f>
        <x:v>0.13757861635220128</x:v>
      </x:c>
    </x:row>
    <x:row r="2968">
      <x:c r="A2968" s="379" t="n">
        <x:v>48619</x:v>
      </x:c>
      <x:c r="B2968" s="380" t="n">
        <x:v>2033</x:v>
      </x:c>
      <x:c r="C2968" s="380" t="n">
        <x:v>2</x:v>
      </x:c>
      <x:c r="D2968" s="380" t="str">
        <x:v>Feb</x:v>
      </x:c>
      <x:c r="E2968" s="380" t="n">
        <x:v>9</x:v>
      </x:c>
      <x:c r="F2968" s="380" t="n">
        <x:v>3</x:v>
      </x:c>
      <x:c r="G2968" s="380" t="n">
        <x:f>--(F2968&lt;='Estimator'!$B$7)</x:f>
        <x:v>1</x:v>
      </x:c>
      <x:c r="H2968" s="381" t="n">
        <x:f>SUMIFS('Climate Data'!$G$7:$G$366,'Climate Data'!$A$7:$A$366,'Estimator'!$B$4,'Climate Data'!$B$7:$B$366,C2968)</x:f>
        <x:v>0.23056278464541316</x:v>
      </x:c>
      <x:c r="I2968" s="382" t="n">
        <x:f>SUMIFS('Climate Data'!$H$7:$H$366,'Climate Data'!$A$7:$A$366,'Estimator'!$B$4,'Climate Data'!$B$7:$B$366,C2968)</x:f>
        <x:v>9.682010582010582</x:v>
      </x:c>
      <x:c r="J2968" s="381" t="n">
        <x:f>SUMIFS('Wind Proxy'!$H$8:$H$19,'Wind Proxy'!$A$8:$A$19,'Estimator'!$B$4,'Wind Proxy'!$B$8:$B$19,C2968)</x:f>
        <x:v>0.13757861635220128</x:v>
      </x:c>
    </x:row>
    <x:row r="2969">
      <x:c r="A2969" s="379" t="n">
        <x:v>48620</x:v>
      </x:c>
      <x:c r="B2969" s="380" t="n">
        <x:v>2033</x:v>
      </x:c>
      <x:c r="C2969" s="380" t="n">
        <x:v>2</x:v>
      </x:c>
      <x:c r="D2969" s="380" t="str">
        <x:v>Feb</x:v>
      </x:c>
      <x:c r="E2969" s="380" t="n">
        <x:v>10</x:v>
      </x:c>
      <x:c r="F2969" s="380" t="n">
        <x:v>4</x:v>
      </x:c>
      <x:c r="G2969" s="380" t="n">
        <x:f>--(F2969&lt;='Estimator'!$B$7)</x:f>
        <x:v>1</x:v>
      </x:c>
      <x:c r="H2969" s="381" t="n">
        <x:f>SUMIFS('Climate Data'!$G$7:$G$366,'Climate Data'!$A$7:$A$366,'Estimator'!$B$4,'Climate Data'!$B$7:$B$366,C2969)</x:f>
        <x:v>0.23056278464541316</x:v>
      </x:c>
      <x:c r="I2969" s="382" t="n">
        <x:f>SUMIFS('Climate Data'!$H$7:$H$366,'Climate Data'!$A$7:$A$366,'Estimator'!$B$4,'Climate Data'!$B$7:$B$366,C2969)</x:f>
        <x:v>9.682010582010582</x:v>
      </x:c>
      <x:c r="J2969" s="381" t="n">
        <x:f>SUMIFS('Wind Proxy'!$H$8:$H$19,'Wind Proxy'!$A$8:$A$19,'Estimator'!$B$4,'Wind Proxy'!$B$8:$B$19,C2969)</x:f>
        <x:v>0.13757861635220128</x:v>
      </x:c>
    </x:row>
    <x:row r="2970">
      <x:c r="A2970" s="379" t="n">
        <x:v>48621</x:v>
      </x:c>
      <x:c r="B2970" s="380" t="n">
        <x:v>2033</x:v>
      </x:c>
      <x:c r="C2970" s="380" t="n">
        <x:v>2</x:v>
      </x:c>
      <x:c r="D2970" s="380" t="str">
        <x:v>Feb</x:v>
      </x:c>
      <x:c r="E2970" s="380" t="n">
        <x:v>11</x:v>
      </x:c>
      <x:c r="F2970" s="380" t="n">
        <x:v>5</x:v>
      </x:c>
      <x:c r="G2970" s="380" t="n">
        <x:f>--(F2970&lt;='Estimator'!$B$7)</x:f>
        <x:v>1</x:v>
      </x:c>
      <x:c r="H2970" s="381" t="n">
        <x:f>SUMIFS('Climate Data'!$G$7:$G$366,'Climate Data'!$A$7:$A$366,'Estimator'!$B$4,'Climate Data'!$B$7:$B$366,C2970)</x:f>
        <x:v>0.23056278464541316</x:v>
      </x:c>
      <x:c r="I2970" s="382" t="n">
        <x:f>SUMIFS('Climate Data'!$H$7:$H$366,'Climate Data'!$A$7:$A$366,'Estimator'!$B$4,'Climate Data'!$B$7:$B$366,C2970)</x:f>
        <x:v>9.682010582010582</x:v>
      </x:c>
      <x:c r="J2970" s="381" t="n">
        <x:f>SUMIFS('Wind Proxy'!$H$8:$H$19,'Wind Proxy'!$A$8:$A$19,'Estimator'!$B$4,'Wind Proxy'!$B$8:$B$19,C2970)</x:f>
        <x:v>0.13757861635220128</x:v>
      </x:c>
    </x:row>
    <x:row r="2971">
      <x:c r="A2971" s="379" t="n">
        <x:v>48622</x:v>
      </x:c>
      <x:c r="B2971" s="380" t="n">
        <x:v>2033</x:v>
      </x:c>
      <x:c r="C2971" s="380" t="n">
        <x:v>2</x:v>
      </x:c>
      <x:c r="D2971" s="380" t="str">
        <x:v>Feb</x:v>
      </x:c>
      <x:c r="E2971" s="380" t="n">
        <x:v>12</x:v>
      </x:c>
      <x:c r="F2971" s="380" t="n">
        <x:v>6</x:v>
      </x:c>
      <x:c r="G2971" s="380" t="n">
        <x:f>--(F2971&lt;='Estimator'!$B$7)</x:f>
        <x:v>0</x:v>
      </x:c>
      <x:c r="H2971" s="381" t="n">
        <x:f>SUMIFS('Climate Data'!$G$7:$G$366,'Climate Data'!$A$7:$A$366,'Estimator'!$B$4,'Climate Data'!$B$7:$B$366,C2971)</x:f>
        <x:v>0.23056278464541316</x:v>
      </x:c>
      <x:c r="I2971" s="382" t="n">
        <x:f>SUMIFS('Climate Data'!$H$7:$H$366,'Climate Data'!$A$7:$A$366,'Estimator'!$B$4,'Climate Data'!$B$7:$B$366,C2971)</x:f>
        <x:v>9.682010582010582</x:v>
      </x:c>
      <x:c r="J2971" s="381" t="n">
        <x:f>SUMIFS('Wind Proxy'!$H$8:$H$19,'Wind Proxy'!$A$8:$A$19,'Estimator'!$B$4,'Wind Proxy'!$B$8:$B$19,C2971)</x:f>
        <x:v>0.13757861635220128</x:v>
      </x:c>
    </x:row>
    <x:row r="2972">
      <x:c r="A2972" s="379" t="n">
        <x:v>48623</x:v>
      </x:c>
      <x:c r="B2972" s="380" t="n">
        <x:v>2033</x:v>
      </x:c>
      <x:c r="C2972" s="380" t="n">
        <x:v>2</x:v>
      </x:c>
      <x:c r="D2972" s="380" t="str">
        <x:v>Feb</x:v>
      </x:c>
      <x:c r="E2972" s="380" t="n">
        <x:v>13</x:v>
      </x:c>
      <x:c r="F2972" s="380" t="n">
        <x:v>7</x:v>
      </x:c>
      <x:c r="G2972" s="380" t="n">
        <x:f>--(F2972&lt;='Estimator'!$B$7)</x:f>
        <x:v>0</x:v>
      </x:c>
      <x:c r="H2972" s="381" t="n">
        <x:f>SUMIFS('Climate Data'!$G$7:$G$366,'Climate Data'!$A$7:$A$366,'Estimator'!$B$4,'Climate Data'!$B$7:$B$366,C2972)</x:f>
        <x:v>0.23056278464541316</x:v>
      </x:c>
      <x:c r="I2972" s="382" t="n">
        <x:f>SUMIFS('Climate Data'!$H$7:$H$366,'Climate Data'!$A$7:$A$366,'Estimator'!$B$4,'Climate Data'!$B$7:$B$366,C2972)</x:f>
        <x:v>9.682010582010582</x:v>
      </x:c>
      <x:c r="J2972" s="381" t="n">
        <x:f>SUMIFS('Wind Proxy'!$H$8:$H$19,'Wind Proxy'!$A$8:$A$19,'Estimator'!$B$4,'Wind Proxy'!$B$8:$B$19,C2972)</x:f>
        <x:v>0.13757861635220128</x:v>
      </x:c>
    </x:row>
    <x:row r="2973">
      <x:c r="A2973" s="379" t="n">
        <x:v>48624</x:v>
      </x:c>
      <x:c r="B2973" s="380" t="n">
        <x:v>2033</x:v>
      </x:c>
      <x:c r="C2973" s="380" t="n">
        <x:v>2</x:v>
      </x:c>
      <x:c r="D2973" s="380" t="str">
        <x:v>Feb</x:v>
      </x:c>
      <x:c r="E2973" s="380" t="n">
        <x:v>14</x:v>
      </x:c>
      <x:c r="F2973" s="380" t="n">
        <x:v>1</x:v>
      </x:c>
      <x:c r="G2973" s="380" t="n">
        <x:f>--(F2973&lt;='Estimator'!$B$7)</x:f>
        <x:v>1</x:v>
      </x:c>
      <x:c r="H2973" s="381" t="n">
        <x:f>SUMIFS('Climate Data'!$G$7:$G$366,'Climate Data'!$A$7:$A$366,'Estimator'!$B$4,'Climate Data'!$B$7:$B$366,C2973)</x:f>
        <x:v>0.23056278464541316</x:v>
      </x:c>
      <x:c r="I2973" s="382" t="n">
        <x:f>SUMIFS('Climate Data'!$H$7:$H$366,'Climate Data'!$A$7:$A$366,'Estimator'!$B$4,'Climate Data'!$B$7:$B$366,C2973)</x:f>
        <x:v>9.682010582010582</x:v>
      </x:c>
      <x:c r="J2973" s="381" t="n">
        <x:f>SUMIFS('Wind Proxy'!$H$8:$H$19,'Wind Proxy'!$A$8:$A$19,'Estimator'!$B$4,'Wind Proxy'!$B$8:$B$19,C2973)</x:f>
        <x:v>0.13757861635220128</x:v>
      </x:c>
    </x:row>
    <x:row r="2974">
      <x:c r="A2974" s="379" t="n">
        <x:v>48625</x:v>
      </x:c>
      <x:c r="B2974" s="380" t="n">
        <x:v>2033</x:v>
      </x:c>
      <x:c r="C2974" s="380" t="n">
        <x:v>2</x:v>
      </x:c>
      <x:c r="D2974" s="380" t="str">
        <x:v>Feb</x:v>
      </x:c>
      <x:c r="E2974" s="380" t="n">
        <x:v>15</x:v>
      </x:c>
      <x:c r="F2974" s="380" t="n">
        <x:v>2</x:v>
      </x:c>
      <x:c r="G2974" s="380" t="n">
        <x:f>--(F2974&lt;='Estimator'!$B$7)</x:f>
        <x:v>1</x:v>
      </x:c>
      <x:c r="H2974" s="381" t="n">
        <x:f>SUMIFS('Climate Data'!$G$7:$G$366,'Climate Data'!$A$7:$A$366,'Estimator'!$B$4,'Climate Data'!$B$7:$B$366,C2974)</x:f>
        <x:v>0.23056278464541316</x:v>
      </x:c>
      <x:c r="I2974" s="382" t="n">
        <x:f>SUMIFS('Climate Data'!$H$7:$H$366,'Climate Data'!$A$7:$A$366,'Estimator'!$B$4,'Climate Data'!$B$7:$B$366,C2974)</x:f>
        <x:v>9.682010582010582</x:v>
      </x:c>
      <x:c r="J2974" s="381" t="n">
        <x:f>SUMIFS('Wind Proxy'!$H$8:$H$19,'Wind Proxy'!$A$8:$A$19,'Estimator'!$B$4,'Wind Proxy'!$B$8:$B$19,C2974)</x:f>
        <x:v>0.13757861635220128</x:v>
      </x:c>
    </x:row>
    <x:row r="2975">
      <x:c r="A2975" s="379" t="n">
        <x:v>48626</x:v>
      </x:c>
      <x:c r="B2975" s="380" t="n">
        <x:v>2033</x:v>
      </x:c>
      <x:c r="C2975" s="380" t="n">
        <x:v>2</x:v>
      </x:c>
      <x:c r="D2975" s="380" t="str">
        <x:v>Feb</x:v>
      </x:c>
      <x:c r="E2975" s="380" t="n">
        <x:v>16</x:v>
      </x:c>
      <x:c r="F2975" s="380" t="n">
        <x:v>3</x:v>
      </x:c>
      <x:c r="G2975" s="380" t="n">
        <x:f>--(F2975&lt;='Estimator'!$B$7)</x:f>
        <x:v>1</x:v>
      </x:c>
      <x:c r="H2975" s="381" t="n">
        <x:f>SUMIFS('Climate Data'!$G$7:$G$366,'Climate Data'!$A$7:$A$366,'Estimator'!$B$4,'Climate Data'!$B$7:$B$366,C2975)</x:f>
        <x:v>0.23056278464541316</x:v>
      </x:c>
      <x:c r="I2975" s="382" t="n">
        <x:f>SUMIFS('Climate Data'!$H$7:$H$366,'Climate Data'!$A$7:$A$366,'Estimator'!$B$4,'Climate Data'!$B$7:$B$366,C2975)</x:f>
        <x:v>9.682010582010582</x:v>
      </x:c>
      <x:c r="J2975" s="381" t="n">
        <x:f>SUMIFS('Wind Proxy'!$H$8:$H$19,'Wind Proxy'!$A$8:$A$19,'Estimator'!$B$4,'Wind Proxy'!$B$8:$B$19,C2975)</x:f>
        <x:v>0.13757861635220128</x:v>
      </x:c>
    </x:row>
    <x:row r="2976">
      <x:c r="A2976" s="379" t="n">
        <x:v>48627</x:v>
      </x:c>
      <x:c r="B2976" s="380" t="n">
        <x:v>2033</x:v>
      </x:c>
      <x:c r="C2976" s="380" t="n">
        <x:v>2</x:v>
      </x:c>
      <x:c r="D2976" s="380" t="str">
        <x:v>Feb</x:v>
      </x:c>
      <x:c r="E2976" s="380" t="n">
        <x:v>17</x:v>
      </x:c>
      <x:c r="F2976" s="380" t="n">
        <x:v>4</x:v>
      </x:c>
      <x:c r="G2976" s="380" t="n">
        <x:f>--(F2976&lt;='Estimator'!$B$7)</x:f>
        <x:v>1</x:v>
      </x:c>
      <x:c r="H2976" s="381" t="n">
        <x:f>SUMIFS('Climate Data'!$G$7:$G$366,'Climate Data'!$A$7:$A$366,'Estimator'!$B$4,'Climate Data'!$B$7:$B$366,C2976)</x:f>
        <x:v>0.23056278464541316</x:v>
      </x:c>
      <x:c r="I2976" s="382" t="n">
        <x:f>SUMIFS('Climate Data'!$H$7:$H$366,'Climate Data'!$A$7:$A$366,'Estimator'!$B$4,'Climate Data'!$B$7:$B$366,C2976)</x:f>
        <x:v>9.682010582010582</x:v>
      </x:c>
      <x:c r="J2976" s="381" t="n">
        <x:f>SUMIFS('Wind Proxy'!$H$8:$H$19,'Wind Proxy'!$A$8:$A$19,'Estimator'!$B$4,'Wind Proxy'!$B$8:$B$19,C2976)</x:f>
        <x:v>0.13757861635220128</x:v>
      </x:c>
    </x:row>
    <x:row r="2977">
      <x:c r="A2977" s="379" t="n">
        <x:v>48628</x:v>
      </x:c>
      <x:c r="B2977" s="380" t="n">
        <x:v>2033</x:v>
      </x:c>
      <x:c r="C2977" s="380" t="n">
        <x:v>2</x:v>
      </x:c>
      <x:c r="D2977" s="380" t="str">
        <x:v>Feb</x:v>
      </x:c>
      <x:c r="E2977" s="380" t="n">
        <x:v>18</x:v>
      </x:c>
      <x:c r="F2977" s="380" t="n">
        <x:v>5</x:v>
      </x:c>
      <x:c r="G2977" s="380" t="n">
        <x:f>--(F2977&lt;='Estimator'!$B$7)</x:f>
        <x:v>1</x:v>
      </x:c>
      <x:c r="H2977" s="381" t="n">
        <x:f>SUMIFS('Climate Data'!$G$7:$G$366,'Climate Data'!$A$7:$A$366,'Estimator'!$B$4,'Climate Data'!$B$7:$B$366,C2977)</x:f>
        <x:v>0.23056278464541316</x:v>
      </x:c>
      <x:c r="I2977" s="382" t="n">
        <x:f>SUMIFS('Climate Data'!$H$7:$H$366,'Climate Data'!$A$7:$A$366,'Estimator'!$B$4,'Climate Data'!$B$7:$B$366,C2977)</x:f>
        <x:v>9.682010582010582</x:v>
      </x:c>
      <x:c r="J2977" s="381" t="n">
        <x:f>SUMIFS('Wind Proxy'!$H$8:$H$19,'Wind Proxy'!$A$8:$A$19,'Estimator'!$B$4,'Wind Proxy'!$B$8:$B$19,C2977)</x:f>
        <x:v>0.13757861635220128</x:v>
      </x:c>
    </x:row>
    <x:row r="2978">
      <x:c r="A2978" s="379" t="n">
        <x:v>48629</x:v>
      </x:c>
      <x:c r="B2978" s="380" t="n">
        <x:v>2033</x:v>
      </x:c>
      <x:c r="C2978" s="380" t="n">
        <x:v>2</x:v>
      </x:c>
      <x:c r="D2978" s="380" t="str">
        <x:v>Feb</x:v>
      </x:c>
      <x:c r="E2978" s="380" t="n">
        <x:v>19</x:v>
      </x:c>
      <x:c r="F2978" s="380" t="n">
        <x:v>6</x:v>
      </x:c>
      <x:c r="G2978" s="380" t="n">
        <x:f>--(F2978&lt;='Estimator'!$B$7)</x:f>
        <x:v>0</x:v>
      </x:c>
      <x:c r="H2978" s="381" t="n">
        <x:f>SUMIFS('Climate Data'!$G$7:$G$366,'Climate Data'!$A$7:$A$366,'Estimator'!$B$4,'Climate Data'!$B$7:$B$366,C2978)</x:f>
        <x:v>0.23056278464541316</x:v>
      </x:c>
      <x:c r="I2978" s="382" t="n">
        <x:f>SUMIFS('Climate Data'!$H$7:$H$366,'Climate Data'!$A$7:$A$366,'Estimator'!$B$4,'Climate Data'!$B$7:$B$366,C2978)</x:f>
        <x:v>9.682010582010582</x:v>
      </x:c>
      <x:c r="J2978" s="381" t="n">
        <x:f>SUMIFS('Wind Proxy'!$H$8:$H$19,'Wind Proxy'!$A$8:$A$19,'Estimator'!$B$4,'Wind Proxy'!$B$8:$B$19,C2978)</x:f>
        <x:v>0.13757861635220128</x:v>
      </x:c>
    </x:row>
    <x:row r="2979">
      <x:c r="A2979" s="379" t="n">
        <x:v>48630</x:v>
      </x:c>
      <x:c r="B2979" s="380" t="n">
        <x:v>2033</x:v>
      </x:c>
      <x:c r="C2979" s="380" t="n">
        <x:v>2</x:v>
      </x:c>
      <x:c r="D2979" s="380" t="str">
        <x:v>Feb</x:v>
      </x:c>
      <x:c r="E2979" s="380" t="n">
        <x:v>20</x:v>
      </x:c>
      <x:c r="F2979" s="380" t="n">
        <x:v>7</x:v>
      </x:c>
      <x:c r="G2979" s="380" t="n">
        <x:f>--(F2979&lt;='Estimator'!$B$7)</x:f>
        <x:v>0</x:v>
      </x:c>
      <x:c r="H2979" s="381" t="n">
        <x:f>SUMIFS('Climate Data'!$G$7:$G$366,'Climate Data'!$A$7:$A$366,'Estimator'!$B$4,'Climate Data'!$B$7:$B$366,C2979)</x:f>
        <x:v>0.23056278464541316</x:v>
      </x:c>
      <x:c r="I2979" s="382" t="n">
        <x:f>SUMIFS('Climate Data'!$H$7:$H$366,'Climate Data'!$A$7:$A$366,'Estimator'!$B$4,'Climate Data'!$B$7:$B$366,C2979)</x:f>
        <x:v>9.682010582010582</x:v>
      </x:c>
      <x:c r="J2979" s="381" t="n">
        <x:f>SUMIFS('Wind Proxy'!$H$8:$H$19,'Wind Proxy'!$A$8:$A$19,'Estimator'!$B$4,'Wind Proxy'!$B$8:$B$19,C2979)</x:f>
        <x:v>0.13757861635220128</x:v>
      </x:c>
    </x:row>
    <x:row r="2980">
      <x:c r="A2980" s="379" t="n">
        <x:v>48631</x:v>
      </x:c>
      <x:c r="B2980" s="380" t="n">
        <x:v>2033</x:v>
      </x:c>
      <x:c r="C2980" s="380" t="n">
        <x:v>2</x:v>
      </x:c>
      <x:c r="D2980" s="380" t="str">
        <x:v>Feb</x:v>
      </x:c>
      <x:c r="E2980" s="380" t="n">
        <x:v>21</x:v>
      </x:c>
      <x:c r="F2980" s="380" t="n">
        <x:v>1</x:v>
      </x:c>
      <x:c r="G2980" s="380" t="n">
        <x:f>--(F2980&lt;='Estimator'!$B$7)</x:f>
        <x:v>1</x:v>
      </x:c>
      <x:c r="H2980" s="381" t="n">
        <x:f>SUMIFS('Climate Data'!$G$7:$G$366,'Climate Data'!$A$7:$A$366,'Estimator'!$B$4,'Climate Data'!$B$7:$B$366,C2980)</x:f>
        <x:v>0.23056278464541316</x:v>
      </x:c>
      <x:c r="I2980" s="382" t="n">
        <x:f>SUMIFS('Climate Data'!$H$7:$H$366,'Climate Data'!$A$7:$A$366,'Estimator'!$B$4,'Climate Data'!$B$7:$B$366,C2980)</x:f>
        <x:v>9.682010582010582</x:v>
      </x:c>
      <x:c r="J2980" s="381" t="n">
        <x:f>SUMIFS('Wind Proxy'!$H$8:$H$19,'Wind Proxy'!$A$8:$A$19,'Estimator'!$B$4,'Wind Proxy'!$B$8:$B$19,C2980)</x:f>
        <x:v>0.13757861635220128</x:v>
      </x:c>
    </x:row>
    <x:row r="2981">
      <x:c r="A2981" s="379" t="n">
        <x:v>48632</x:v>
      </x:c>
      <x:c r="B2981" s="380" t="n">
        <x:v>2033</x:v>
      </x:c>
      <x:c r="C2981" s="380" t="n">
        <x:v>2</x:v>
      </x:c>
      <x:c r="D2981" s="380" t="str">
        <x:v>Feb</x:v>
      </x:c>
      <x:c r="E2981" s="380" t="n">
        <x:v>22</x:v>
      </x:c>
      <x:c r="F2981" s="380" t="n">
        <x:v>2</x:v>
      </x:c>
      <x:c r="G2981" s="380" t="n">
        <x:f>--(F2981&lt;='Estimator'!$B$7)</x:f>
        <x:v>1</x:v>
      </x:c>
      <x:c r="H2981" s="381" t="n">
        <x:f>SUMIFS('Climate Data'!$G$7:$G$366,'Climate Data'!$A$7:$A$366,'Estimator'!$B$4,'Climate Data'!$B$7:$B$366,C2981)</x:f>
        <x:v>0.23056278464541316</x:v>
      </x:c>
      <x:c r="I2981" s="382" t="n">
        <x:f>SUMIFS('Climate Data'!$H$7:$H$366,'Climate Data'!$A$7:$A$366,'Estimator'!$B$4,'Climate Data'!$B$7:$B$366,C2981)</x:f>
        <x:v>9.682010582010582</x:v>
      </x:c>
      <x:c r="J2981" s="381" t="n">
        <x:f>SUMIFS('Wind Proxy'!$H$8:$H$19,'Wind Proxy'!$A$8:$A$19,'Estimator'!$B$4,'Wind Proxy'!$B$8:$B$19,C2981)</x:f>
        <x:v>0.13757861635220128</x:v>
      </x:c>
    </x:row>
    <x:row r="2982">
      <x:c r="A2982" s="379" t="n">
        <x:v>48633</x:v>
      </x:c>
      <x:c r="B2982" s="380" t="n">
        <x:v>2033</x:v>
      </x:c>
      <x:c r="C2982" s="380" t="n">
        <x:v>2</x:v>
      </x:c>
      <x:c r="D2982" s="380" t="str">
        <x:v>Feb</x:v>
      </x:c>
      <x:c r="E2982" s="380" t="n">
        <x:v>23</x:v>
      </x:c>
      <x:c r="F2982" s="380" t="n">
        <x:v>3</x:v>
      </x:c>
      <x:c r="G2982" s="380" t="n">
        <x:f>--(F2982&lt;='Estimator'!$B$7)</x:f>
        <x:v>1</x:v>
      </x:c>
      <x:c r="H2982" s="381" t="n">
        <x:f>SUMIFS('Climate Data'!$G$7:$G$366,'Climate Data'!$A$7:$A$366,'Estimator'!$B$4,'Climate Data'!$B$7:$B$366,C2982)</x:f>
        <x:v>0.23056278464541316</x:v>
      </x:c>
      <x:c r="I2982" s="382" t="n">
        <x:f>SUMIFS('Climate Data'!$H$7:$H$366,'Climate Data'!$A$7:$A$366,'Estimator'!$B$4,'Climate Data'!$B$7:$B$366,C2982)</x:f>
        <x:v>9.682010582010582</x:v>
      </x:c>
      <x:c r="J2982" s="381" t="n">
        <x:f>SUMIFS('Wind Proxy'!$H$8:$H$19,'Wind Proxy'!$A$8:$A$19,'Estimator'!$B$4,'Wind Proxy'!$B$8:$B$19,C2982)</x:f>
        <x:v>0.13757861635220128</x:v>
      </x:c>
    </x:row>
    <x:row r="2983">
      <x:c r="A2983" s="379" t="n">
        <x:v>48634</x:v>
      </x:c>
      <x:c r="B2983" s="380" t="n">
        <x:v>2033</x:v>
      </x:c>
      <x:c r="C2983" s="380" t="n">
        <x:v>2</x:v>
      </x:c>
      <x:c r="D2983" s="380" t="str">
        <x:v>Feb</x:v>
      </x:c>
      <x:c r="E2983" s="380" t="n">
        <x:v>24</x:v>
      </x:c>
      <x:c r="F2983" s="380" t="n">
        <x:v>4</x:v>
      </x:c>
      <x:c r="G2983" s="380" t="n">
        <x:f>--(F2983&lt;='Estimator'!$B$7)</x:f>
        <x:v>1</x:v>
      </x:c>
      <x:c r="H2983" s="381" t="n">
        <x:f>SUMIFS('Climate Data'!$G$7:$G$366,'Climate Data'!$A$7:$A$366,'Estimator'!$B$4,'Climate Data'!$B$7:$B$366,C2983)</x:f>
        <x:v>0.23056278464541316</x:v>
      </x:c>
      <x:c r="I2983" s="382" t="n">
        <x:f>SUMIFS('Climate Data'!$H$7:$H$366,'Climate Data'!$A$7:$A$366,'Estimator'!$B$4,'Climate Data'!$B$7:$B$366,C2983)</x:f>
        <x:v>9.682010582010582</x:v>
      </x:c>
      <x:c r="J2983" s="381" t="n">
        <x:f>SUMIFS('Wind Proxy'!$H$8:$H$19,'Wind Proxy'!$A$8:$A$19,'Estimator'!$B$4,'Wind Proxy'!$B$8:$B$19,C2983)</x:f>
        <x:v>0.13757861635220128</x:v>
      </x:c>
    </x:row>
    <x:row r="2984">
      <x:c r="A2984" s="379" t="n">
        <x:v>48635</x:v>
      </x:c>
      <x:c r="B2984" s="380" t="n">
        <x:v>2033</x:v>
      </x:c>
      <x:c r="C2984" s="380" t="n">
        <x:v>2</x:v>
      </x:c>
      <x:c r="D2984" s="380" t="str">
        <x:v>Feb</x:v>
      </x:c>
      <x:c r="E2984" s="380" t="n">
        <x:v>25</x:v>
      </x:c>
      <x:c r="F2984" s="380" t="n">
        <x:v>5</x:v>
      </x:c>
      <x:c r="G2984" s="380" t="n">
        <x:f>--(F2984&lt;='Estimator'!$B$7)</x:f>
        <x:v>1</x:v>
      </x:c>
      <x:c r="H2984" s="381" t="n">
        <x:f>SUMIFS('Climate Data'!$G$7:$G$366,'Climate Data'!$A$7:$A$366,'Estimator'!$B$4,'Climate Data'!$B$7:$B$366,C2984)</x:f>
        <x:v>0.23056278464541316</x:v>
      </x:c>
      <x:c r="I2984" s="382" t="n">
        <x:f>SUMIFS('Climate Data'!$H$7:$H$366,'Climate Data'!$A$7:$A$366,'Estimator'!$B$4,'Climate Data'!$B$7:$B$366,C2984)</x:f>
        <x:v>9.682010582010582</x:v>
      </x:c>
      <x:c r="J2984" s="381" t="n">
        <x:f>SUMIFS('Wind Proxy'!$H$8:$H$19,'Wind Proxy'!$A$8:$A$19,'Estimator'!$B$4,'Wind Proxy'!$B$8:$B$19,C2984)</x:f>
        <x:v>0.13757861635220128</x:v>
      </x:c>
    </x:row>
    <x:row r="2985">
      <x:c r="A2985" s="379" t="n">
        <x:v>48636</x:v>
      </x:c>
      <x:c r="B2985" s="380" t="n">
        <x:v>2033</x:v>
      </x:c>
      <x:c r="C2985" s="380" t="n">
        <x:v>2</x:v>
      </x:c>
      <x:c r="D2985" s="380" t="str">
        <x:v>Feb</x:v>
      </x:c>
      <x:c r="E2985" s="380" t="n">
        <x:v>26</x:v>
      </x:c>
      <x:c r="F2985" s="380" t="n">
        <x:v>6</x:v>
      </x:c>
      <x:c r="G2985" s="380" t="n">
        <x:f>--(F2985&lt;='Estimator'!$B$7)</x:f>
        <x:v>0</x:v>
      </x:c>
      <x:c r="H2985" s="381" t="n">
        <x:f>SUMIFS('Climate Data'!$G$7:$G$366,'Climate Data'!$A$7:$A$366,'Estimator'!$B$4,'Climate Data'!$B$7:$B$366,C2985)</x:f>
        <x:v>0.23056278464541316</x:v>
      </x:c>
      <x:c r="I2985" s="382" t="n">
        <x:f>SUMIFS('Climate Data'!$H$7:$H$366,'Climate Data'!$A$7:$A$366,'Estimator'!$B$4,'Climate Data'!$B$7:$B$366,C2985)</x:f>
        <x:v>9.682010582010582</x:v>
      </x:c>
      <x:c r="J2985" s="381" t="n">
        <x:f>SUMIFS('Wind Proxy'!$H$8:$H$19,'Wind Proxy'!$A$8:$A$19,'Estimator'!$B$4,'Wind Proxy'!$B$8:$B$19,C2985)</x:f>
        <x:v>0.13757861635220128</x:v>
      </x:c>
    </x:row>
    <x:row r="2986">
      <x:c r="A2986" s="379" t="n">
        <x:v>48637</x:v>
      </x:c>
      <x:c r="B2986" s="380" t="n">
        <x:v>2033</x:v>
      </x:c>
      <x:c r="C2986" s="380" t="n">
        <x:v>2</x:v>
      </x:c>
      <x:c r="D2986" s="380" t="str">
        <x:v>Feb</x:v>
      </x:c>
      <x:c r="E2986" s="380" t="n">
        <x:v>27</x:v>
      </x:c>
      <x:c r="F2986" s="380" t="n">
        <x:v>7</x:v>
      </x:c>
      <x:c r="G2986" s="380" t="n">
        <x:f>--(F2986&lt;='Estimator'!$B$7)</x:f>
        <x:v>0</x:v>
      </x:c>
      <x:c r="H2986" s="381" t="n">
        <x:f>SUMIFS('Climate Data'!$G$7:$G$366,'Climate Data'!$A$7:$A$366,'Estimator'!$B$4,'Climate Data'!$B$7:$B$366,C2986)</x:f>
        <x:v>0.23056278464541316</x:v>
      </x:c>
      <x:c r="I2986" s="382" t="n">
        <x:f>SUMIFS('Climate Data'!$H$7:$H$366,'Climate Data'!$A$7:$A$366,'Estimator'!$B$4,'Climate Data'!$B$7:$B$366,C2986)</x:f>
        <x:v>9.682010582010582</x:v>
      </x:c>
      <x:c r="J2986" s="381" t="n">
        <x:f>SUMIFS('Wind Proxy'!$H$8:$H$19,'Wind Proxy'!$A$8:$A$19,'Estimator'!$B$4,'Wind Proxy'!$B$8:$B$19,C2986)</x:f>
        <x:v>0.13757861635220128</x:v>
      </x:c>
    </x:row>
    <x:row r="2987">
      <x:c r="A2987" s="379" t="n">
        <x:v>48638</x:v>
      </x:c>
      <x:c r="B2987" s="380" t="n">
        <x:v>2033</x:v>
      </x:c>
      <x:c r="C2987" s="380" t="n">
        <x:v>2</x:v>
      </x:c>
      <x:c r="D2987" s="380" t="str">
        <x:v>Feb</x:v>
      </x:c>
      <x:c r="E2987" s="380" t="n">
        <x:v>28</x:v>
      </x:c>
      <x:c r="F2987" s="380" t="n">
        <x:v>1</x:v>
      </x:c>
      <x:c r="G2987" s="380" t="n">
        <x:f>--(F2987&lt;='Estimator'!$B$7)</x:f>
        <x:v>1</x:v>
      </x:c>
      <x:c r="H2987" s="381" t="n">
        <x:f>SUMIFS('Climate Data'!$G$7:$G$366,'Climate Data'!$A$7:$A$366,'Estimator'!$B$4,'Climate Data'!$B$7:$B$366,C2987)</x:f>
        <x:v>0.23056278464541316</x:v>
      </x:c>
      <x:c r="I2987" s="382" t="n">
        <x:f>SUMIFS('Climate Data'!$H$7:$H$366,'Climate Data'!$A$7:$A$366,'Estimator'!$B$4,'Climate Data'!$B$7:$B$366,C2987)</x:f>
        <x:v>9.682010582010582</x:v>
      </x:c>
      <x:c r="J2987" s="381" t="n">
        <x:f>SUMIFS('Wind Proxy'!$H$8:$H$19,'Wind Proxy'!$A$8:$A$19,'Estimator'!$B$4,'Wind Proxy'!$B$8:$B$19,C2987)</x:f>
        <x:v>0.13757861635220128</x:v>
      </x:c>
    </x:row>
    <x:row r="2988">
      <x:c r="A2988" s="379" t="n">
        <x:v>48639</x:v>
      </x:c>
      <x:c r="B2988" s="380" t="n">
        <x:v>2033</x:v>
      </x:c>
      <x:c r="C2988" s="380" t="n">
        <x:v>3</x:v>
      </x:c>
      <x:c r="D2988" s="380" t="str">
        <x:v>Mar</x:v>
      </x:c>
      <x:c r="E2988" s="380" t="n">
        <x:v>1</x:v>
      </x:c>
      <x:c r="F2988" s="380" t="n">
        <x:v>2</x:v>
      </x:c>
      <x:c r="G2988" s="380" t="n">
        <x:f>--(F2988&lt;='Estimator'!$B$7)</x:f>
        <x:v>1</x:v>
      </x:c>
      <x:c r="H2988" s="381" t="n">
        <x:f>SUMIFS('Climate Data'!$G$7:$G$366,'Climate Data'!$A$7:$A$366,'Estimator'!$B$4,'Climate Data'!$B$7:$B$366,C2988)</x:f>
        <x:v>0.24916573971078979</x:v>
      </x:c>
      <x:c r="I2988" s="382" t="n">
        <x:f>SUMIFS('Climate Data'!$H$7:$H$366,'Climate Data'!$A$7:$A$366,'Estimator'!$B$4,'Climate Data'!$B$7:$B$366,C2988)</x:f>
        <x:v>9.709821428571429</x:v>
      </x:c>
      <x:c r="J2988" s="381" t="n">
        <x:f>SUMIFS('Wind Proxy'!$H$8:$H$19,'Wind Proxy'!$A$8:$A$19,'Estimator'!$B$4,'Wind Proxy'!$B$8:$B$19,C2988)</x:f>
        <x:v>0.11350059737156513</x:v>
      </x:c>
    </x:row>
    <x:row r="2989">
      <x:c r="A2989" s="379" t="n">
        <x:v>48640</x:v>
      </x:c>
      <x:c r="B2989" s="380" t="n">
        <x:v>2033</x:v>
      </x:c>
      <x:c r="C2989" s="380" t="n">
        <x:v>3</x:v>
      </x:c>
      <x:c r="D2989" s="380" t="str">
        <x:v>Mar</x:v>
      </x:c>
      <x:c r="E2989" s="380" t="n">
        <x:v>2</x:v>
      </x:c>
      <x:c r="F2989" s="380" t="n">
        <x:v>3</x:v>
      </x:c>
      <x:c r="G2989" s="380" t="n">
        <x:f>--(F2989&lt;='Estimator'!$B$7)</x:f>
        <x:v>1</x:v>
      </x:c>
      <x:c r="H2989" s="381" t="n">
        <x:f>SUMIFS('Climate Data'!$G$7:$G$366,'Climate Data'!$A$7:$A$366,'Estimator'!$B$4,'Climate Data'!$B$7:$B$366,C2989)</x:f>
        <x:v>0.24916573971078979</x:v>
      </x:c>
      <x:c r="I2989" s="382" t="n">
        <x:f>SUMIFS('Climate Data'!$H$7:$H$366,'Climate Data'!$A$7:$A$366,'Estimator'!$B$4,'Climate Data'!$B$7:$B$366,C2989)</x:f>
        <x:v>9.709821428571429</x:v>
      </x:c>
      <x:c r="J2989" s="381" t="n">
        <x:f>SUMIFS('Wind Proxy'!$H$8:$H$19,'Wind Proxy'!$A$8:$A$19,'Estimator'!$B$4,'Wind Proxy'!$B$8:$B$19,C2989)</x:f>
        <x:v>0.11350059737156513</x:v>
      </x:c>
    </x:row>
    <x:row r="2990">
      <x:c r="A2990" s="379" t="n">
        <x:v>48641</x:v>
      </x:c>
      <x:c r="B2990" s="380" t="n">
        <x:v>2033</x:v>
      </x:c>
      <x:c r="C2990" s="380" t="n">
        <x:v>3</x:v>
      </x:c>
      <x:c r="D2990" s="380" t="str">
        <x:v>Mar</x:v>
      </x:c>
      <x:c r="E2990" s="380" t="n">
        <x:v>3</x:v>
      </x:c>
      <x:c r="F2990" s="380" t="n">
        <x:v>4</x:v>
      </x:c>
      <x:c r="G2990" s="380" t="n">
        <x:f>--(F2990&lt;='Estimator'!$B$7)</x:f>
        <x:v>1</x:v>
      </x:c>
      <x:c r="H2990" s="381" t="n">
        <x:f>SUMIFS('Climate Data'!$G$7:$G$366,'Climate Data'!$A$7:$A$366,'Estimator'!$B$4,'Climate Data'!$B$7:$B$366,C2990)</x:f>
        <x:v>0.24916573971078979</x:v>
      </x:c>
      <x:c r="I2990" s="382" t="n">
        <x:f>SUMIFS('Climate Data'!$H$7:$H$366,'Climate Data'!$A$7:$A$366,'Estimator'!$B$4,'Climate Data'!$B$7:$B$366,C2990)</x:f>
        <x:v>9.709821428571429</x:v>
      </x:c>
      <x:c r="J2990" s="381" t="n">
        <x:f>SUMIFS('Wind Proxy'!$H$8:$H$19,'Wind Proxy'!$A$8:$A$19,'Estimator'!$B$4,'Wind Proxy'!$B$8:$B$19,C2990)</x:f>
        <x:v>0.11350059737156513</x:v>
      </x:c>
    </x:row>
    <x:row r="2991">
      <x:c r="A2991" s="379" t="n">
        <x:v>48642</x:v>
      </x:c>
      <x:c r="B2991" s="380" t="n">
        <x:v>2033</x:v>
      </x:c>
      <x:c r="C2991" s="380" t="n">
        <x:v>3</x:v>
      </x:c>
      <x:c r="D2991" s="380" t="str">
        <x:v>Mar</x:v>
      </x:c>
      <x:c r="E2991" s="380" t="n">
        <x:v>4</x:v>
      </x:c>
      <x:c r="F2991" s="380" t="n">
        <x:v>5</x:v>
      </x:c>
      <x:c r="G2991" s="380" t="n">
        <x:f>--(F2991&lt;='Estimator'!$B$7)</x:f>
        <x:v>1</x:v>
      </x:c>
      <x:c r="H2991" s="381" t="n">
        <x:f>SUMIFS('Climate Data'!$G$7:$G$366,'Climate Data'!$A$7:$A$366,'Estimator'!$B$4,'Climate Data'!$B$7:$B$366,C2991)</x:f>
        <x:v>0.24916573971078979</x:v>
      </x:c>
      <x:c r="I2991" s="382" t="n">
        <x:f>SUMIFS('Climate Data'!$H$7:$H$366,'Climate Data'!$A$7:$A$366,'Estimator'!$B$4,'Climate Data'!$B$7:$B$366,C2991)</x:f>
        <x:v>9.709821428571429</x:v>
      </x:c>
      <x:c r="J2991" s="381" t="n">
        <x:f>SUMIFS('Wind Proxy'!$H$8:$H$19,'Wind Proxy'!$A$8:$A$19,'Estimator'!$B$4,'Wind Proxy'!$B$8:$B$19,C2991)</x:f>
        <x:v>0.11350059737156513</x:v>
      </x:c>
    </x:row>
    <x:row r="2992">
      <x:c r="A2992" s="379" t="n">
        <x:v>48643</x:v>
      </x:c>
      <x:c r="B2992" s="380" t="n">
        <x:v>2033</x:v>
      </x:c>
      <x:c r="C2992" s="380" t="n">
        <x:v>3</x:v>
      </x:c>
      <x:c r="D2992" s="380" t="str">
        <x:v>Mar</x:v>
      </x:c>
      <x:c r="E2992" s="380" t="n">
        <x:v>5</x:v>
      </x:c>
      <x:c r="F2992" s="380" t="n">
        <x:v>6</x:v>
      </x:c>
      <x:c r="G2992" s="380" t="n">
        <x:f>--(F2992&lt;='Estimator'!$B$7)</x:f>
        <x:v>0</x:v>
      </x:c>
      <x:c r="H2992" s="381" t="n">
        <x:f>SUMIFS('Climate Data'!$G$7:$G$366,'Climate Data'!$A$7:$A$366,'Estimator'!$B$4,'Climate Data'!$B$7:$B$366,C2992)</x:f>
        <x:v>0.24916573971078979</x:v>
      </x:c>
      <x:c r="I2992" s="382" t="n">
        <x:f>SUMIFS('Climate Data'!$H$7:$H$366,'Climate Data'!$A$7:$A$366,'Estimator'!$B$4,'Climate Data'!$B$7:$B$366,C2992)</x:f>
        <x:v>9.709821428571429</x:v>
      </x:c>
      <x:c r="J2992" s="381" t="n">
        <x:f>SUMIFS('Wind Proxy'!$H$8:$H$19,'Wind Proxy'!$A$8:$A$19,'Estimator'!$B$4,'Wind Proxy'!$B$8:$B$19,C2992)</x:f>
        <x:v>0.11350059737156513</x:v>
      </x:c>
    </x:row>
    <x:row r="2993">
      <x:c r="A2993" s="379" t="n">
        <x:v>48644</x:v>
      </x:c>
      <x:c r="B2993" s="380" t="n">
        <x:v>2033</x:v>
      </x:c>
      <x:c r="C2993" s="380" t="n">
        <x:v>3</x:v>
      </x:c>
      <x:c r="D2993" s="380" t="str">
        <x:v>Mar</x:v>
      </x:c>
      <x:c r="E2993" s="380" t="n">
        <x:v>6</x:v>
      </x:c>
      <x:c r="F2993" s="380" t="n">
        <x:v>7</x:v>
      </x:c>
      <x:c r="G2993" s="380" t="n">
        <x:f>--(F2993&lt;='Estimator'!$B$7)</x:f>
        <x:v>0</x:v>
      </x:c>
      <x:c r="H2993" s="381" t="n">
        <x:f>SUMIFS('Climate Data'!$G$7:$G$366,'Climate Data'!$A$7:$A$366,'Estimator'!$B$4,'Climate Data'!$B$7:$B$366,C2993)</x:f>
        <x:v>0.24916573971078979</x:v>
      </x:c>
      <x:c r="I2993" s="382" t="n">
        <x:f>SUMIFS('Climate Data'!$H$7:$H$366,'Climate Data'!$A$7:$A$366,'Estimator'!$B$4,'Climate Data'!$B$7:$B$366,C2993)</x:f>
        <x:v>9.709821428571429</x:v>
      </x:c>
      <x:c r="J2993" s="381" t="n">
        <x:f>SUMIFS('Wind Proxy'!$H$8:$H$19,'Wind Proxy'!$A$8:$A$19,'Estimator'!$B$4,'Wind Proxy'!$B$8:$B$19,C2993)</x:f>
        <x:v>0.11350059737156513</x:v>
      </x:c>
    </x:row>
    <x:row r="2994">
      <x:c r="A2994" s="379" t="n">
        <x:v>48645</x:v>
      </x:c>
      <x:c r="B2994" s="380" t="n">
        <x:v>2033</x:v>
      </x:c>
      <x:c r="C2994" s="380" t="n">
        <x:v>3</x:v>
      </x:c>
      <x:c r="D2994" s="380" t="str">
        <x:v>Mar</x:v>
      </x:c>
      <x:c r="E2994" s="380" t="n">
        <x:v>7</x:v>
      </x:c>
      <x:c r="F2994" s="380" t="n">
        <x:v>1</x:v>
      </x:c>
      <x:c r="G2994" s="380" t="n">
        <x:f>--(F2994&lt;='Estimator'!$B$7)</x:f>
        <x:v>1</x:v>
      </x:c>
      <x:c r="H2994" s="381" t="n">
        <x:f>SUMIFS('Climate Data'!$G$7:$G$366,'Climate Data'!$A$7:$A$366,'Estimator'!$B$4,'Climate Data'!$B$7:$B$366,C2994)</x:f>
        <x:v>0.24916573971078979</x:v>
      </x:c>
      <x:c r="I2994" s="382" t="n">
        <x:f>SUMIFS('Climate Data'!$H$7:$H$366,'Climate Data'!$A$7:$A$366,'Estimator'!$B$4,'Climate Data'!$B$7:$B$366,C2994)</x:f>
        <x:v>9.709821428571429</x:v>
      </x:c>
      <x:c r="J2994" s="381" t="n">
        <x:f>SUMIFS('Wind Proxy'!$H$8:$H$19,'Wind Proxy'!$A$8:$A$19,'Estimator'!$B$4,'Wind Proxy'!$B$8:$B$19,C2994)</x:f>
        <x:v>0.11350059737156513</x:v>
      </x:c>
    </x:row>
    <x:row r="2995">
      <x:c r="A2995" s="379" t="n">
        <x:v>48646</x:v>
      </x:c>
      <x:c r="B2995" s="380" t="n">
        <x:v>2033</x:v>
      </x:c>
      <x:c r="C2995" s="380" t="n">
        <x:v>3</x:v>
      </x:c>
      <x:c r="D2995" s="380" t="str">
        <x:v>Mar</x:v>
      </x:c>
      <x:c r="E2995" s="380" t="n">
        <x:v>8</x:v>
      </x:c>
      <x:c r="F2995" s="380" t="n">
        <x:v>2</x:v>
      </x:c>
      <x:c r="G2995" s="380" t="n">
        <x:f>--(F2995&lt;='Estimator'!$B$7)</x:f>
        <x:v>1</x:v>
      </x:c>
      <x:c r="H2995" s="381" t="n">
        <x:f>SUMIFS('Climate Data'!$G$7:$G$366,'Climate Data'!$A$7:$A$366,'Estimator'!$B$4,'Climate Data'!$B$7:$B$366,C2995)</x:f>
        <x:v>0.24916573971078979</x:v>
      </x:c>
      <x:c r="I2995" s="382" t="n">
        <x:f>SUMIFS('Climate Data'!$H$7:$H$366,'Climate Data'!$A$7:$A$366,'Estimator'!$B$4,'Climate Data'!$B$7:$B$366,C2995)</x:f>
        <x:v>9.709821428571429</x:v>
      </x:c>
      <x:c r="J2995" s="381" t="n">
        <x:f>SUMIFS('Wind Proxy'!$H$8:$H$19,'Wind Proxy'!$A$8:$A$19,'Estimator'!$B$4,'Wind Proxy'!$B$8:$B$19,C2995)</x:f>
        <x:v>0.11350059737156513</x:v>
      </x:c>
    </x:row>
    <x:row r="2996">
      <x:c r="A2996" s="379" t="n">
        <x:v>48647</x:v>
      </x:c>
      <x:c r="B2996" s="380" t="n">
        <x:v>2033</x:v>
      </x:c>
      <x:c r="C2996" s="380" t="n">
        <x:v>3</x:v>
      </x:c>
      <x:c r="D2996" s="380" t="str">
        <x:v>Mar</x:v>
      </x:c>
      <x:c r="E2996" s="380" t="n">
        <x:v>9</x:v>
      </x:c>
      <x:c r="F2996" s="380" t="n">
        <x:v>3</x:v>
      </x:c>
      <x:c r="G2996" s="380" t="n">
        <x:f>--(F2996&lt;='Estimator'!$B$7)</x:f>
        <x:v>1</x:v>
      </x:c>
      <x:c r="H2996" s="381" t="n">
        <x:f>SUMIFS('Climate Data'!$G$7:$G$366,'Climate Data'!$A$7:$A$366,'Estimator'!$B$4,'Climate Data'!$B$7:$B$366,C2996)</x:f>
        <x:v>0.24916573971078979</x:v>
      </x:c>
      <x:c r="I2996" s="382" t="n">
        <x:f>SUMIFS('Climate Data'!$H$7:$H$366,'Climate Data'!$A$7:$A$366,'Estimator'!$B$4,'Climate Data'!$B$7:$B$366,C2996)</x:f>
        <x:v>9.709821428571429</x:v>
      </x:c>
      <x:c r="J2996" s="381" t="n">
        <x:f>SUMIFS('Wind Proxy'!$H$8:$H$19,'Wind Proxy'!$A$8:$A$19,'Estimator'!$B$4,'Wind Proxy'!$B$8:$B$19,C2996)</x:f>
        <x:v>0.11350059737156513</x:v>
      </x:c>
    </x:row>
    <x:row r="2997">
      <x:c r="A2997" s="379" t="n">
        <x:v>48648</x:v>
      </x:c>
      <x:c r="B2997" s="380" t="n">
        <x:v>2033</x:v>
      </x:c>
      <x:c r="C2997" s="380" t="n">
        <x:v>3</x:v>
      </x:c>
      <x:c r="D2997" s="380" t="str">
        <x:v>Mar</x:v>
      </x:c>
      <x:c r="E2997" s="380" t="n">
        <x:v>10</x:v>
      </x:c>
      <x:c r="F2997" s="380" t="n">
        <x:v>4</x:v>
      </x:c>
      <x:c r="G2997" s="380" t="n">
        <x:f>--(F2997&lt;='Estimator'!$B$7)</x:f>
        <x:v>1</x:v>
      </x:c>
      <x:c r="H2997" s="381" t="n">
        <x:f>SUMIFS('Climate Data'!$G$7:$G$366,'Climate Data'!$A$7:$A$366,'Estimator'!$B$4,'Climate Data'!$B$7:$B$366,C2997)</x:f>
        <x:v>0.24916573971078979</x:v>
      </x:c>
      <x:c r="I2997" s="382" t="n">
        <x:f>SUMIFS('Climate Data'!$H$7:$H$366,'Climate Data'!$A$7:$A$366,'Estimator'!$B$4,'Climate Data'!$B$7:$B$366,C2997)</x:f>
        <x:v>9.709821428571429</x:v>
      </x:c>
      <x:c r="J2997" s="381" t="n">
        <x:f>SUMIFS('Wind Proxy'!$H$8:$H$19,'Wind Proxy'!$A$8:$A$19,'Estimator'!$B$4,'Wind Proxy'!$B$8:$B$19,C2997)</x:f>
        <x:v>0.11350059737156513</x:v>
      </x:c>
    </x:row>
    <x:row r="2998">
      <x:c r="A2998" s="379" t="n">
        <x:v>48649</x:v>
      </x:c>
      <x:c r="B2998" s="380" t="n">
        <x:v>2033</x:v>
      </x:c>
      <x:c r="C2998" s="380" t="n">
        <x:v>3</x:v>
      </x:c>
      <x:c r="D2998" s="380" t="str">
        <x:v>Mar</x:v>
      </x:c>
      <x:c r="E2998" s="380" t="n">
        <x:v>11</x:v>
      </x:c>
      <x:c r="F2998" s="380" t="n">
        <x:v>5</x:v>
      </x:c>
      <x:c r="G2998" s="380" t="n">
        <x:f>--(F2998&lt;='Estimator'!$B$7)</x:f>
        <x:v>1</x:v>
      </x:c>
      <x:c r="H2998" s="381" t="n">
        <x:f>SUMIFS('Climate Data'!$G$7:$G$366,'Climate Data'!$A$7:$A$366,'Estimator'!$B$4,'Climate Data'!$B$7:$B$366,C2998)</x:f>
        <x:v>0.24916573971078979</x:v>
      </x:c>
      <x:c r="I2998" s="382" t="n">
        <x:f>SUMIFS('Climate Data'!$H$7:$H$366,'Climate Data'!$A$7:$A$366,'Estimator'!$B$4,'Climate Data'!$B$7:$B$366,C2998)</x:f>
        <x:v>9.709821428571429</x:v>
      </x:c>
      <x:c r="J2998" s="381" t="n">
        <x:f>SUMIFS('Wind Proxy'!$H$8:$H$19,'Wind Proxy'!$A$8:$A$19,'Estimator'!$B$4,'Wind Proxy'!$B$8:$B$19,C2998)</x:f>
        <x:v>0.11350059737156513</x:v>
      </x:c>
    </x:row>
    <x:row r="2999">
      <x:c r="A2999" s="379" t="n">
        <x:v>48650</x:v>
      </x:c>
      <x:c r="B2999" s="380" t="n">
        <x:v>2033</x:v>
      </x:c>
      <x:c r="C2999" s="380" t="n">
        <x:v>3</x:v>
      </x:c>
      <x:c r="D2999" s="380" t="str">
        <x:v>Mar</x:v>
      </x:c>
      <x:c r="E2999" s="380" t="n">
        <x:v>12</x:v>
      </x:c>
      <x:c r="F2999" s="380" t="n">
        <x:v>6</x:v>
      </x:c>
      <x:c r="G2999" s="380" t="n">
        <x:f>--(F2999&lt;='Estimator'!$B$7)</x:f>
        <x:v>0</x:v>
      </x:c>
      <x:c r="H2999" s="381" t="n">
        <x:f>SUMIFS('Climate Data'!$G$7:$G$366,'Climate Data'!$A$7:$A$366,'Estimator'!$B$4,'Climate Data'!$B$7:$B$366,C2999)</x:f>
        <x:v>0.24916573971078979</x:v>
      </x:c>
      <x:c r="I2999" s="382" t="n">
        <x:f>SUMIFS('Climate Data'!$H$7:$H$366,'Climate Data'!$A$7:$A$366,'Estimator'!$B$4,'Climate Data'!$B$7:$B$366,C2999)</x:f>
        <x:v>9.709821428571429</x:v>
      </x:c>
      <x:c r="J2999" s="381" t="n">
        <x:f>SUMIFS('Wind Proxy'!$H$8:$H$19,'Wind Proxy'!$A$8:$A$19,'Estimator'!$B$4,'Wind Proxy'!$B$8:$B$19,C2999)</x:f>
        <x:v>0.11350059737156513</x:v>
      </x:c>
    </x:row>
    <x:row r="3000">
      <x:c r="A3000" s="379" t="n">
        <x:v>48651</x:v>
      </x:c>
      <x:c r="B3000" s="380" t="n">
        <x:v>2033</x:v>
      </x:c>
      <x:c r="C3000" s="380" t="n">
        <x:v>3</x:v>
      </x:c>
      <x:c r="D3000" s="380" t="str">
        <x:v>Mar</x:v>
      </x:c>
      <x:c r="E3000" s="380" t="n">
        <x:v>13</x:v>
      </x:c>
      <x:c r="F3000" s="380" t="n">
        <x:v>7</x:v>
      </x:c>
      <x:c r="G3000" s="380" t="n">
        <x:f>--(F3000&lt;='Estimator'!$B$7)</x:f>
        <x:v>0</x:v>
      </x:c>
      <x:c r="H3000" s="381" t="n">
        <x:f>SUMIFS('Climate Data'!$G$7:$G$366,'Climate Data'!$A$7:$A$366,'Estimator'!$B$4,'Climate Data'!$B$7:$B$366,C3000)</x:f>
        <x:v>0.24916573971078979</x:v>
      </x:c>
      <x:c r="I3000" s="382" t="n">
        <x:f>SUMIFS('Climate Data'!$H$7:$H$366,'Climate Data'!$A$7:$A$366,'Estimator'!$B$4,'Climate Data'!$B$7:$B$366,C3000)</x:f>
        <x:v>9.709821428571429</x:v>
      </x:c>
      <x:c r="J3000" s="381" t="n">
        <x:f>SUMIFS('Wind Proxy'!$H$8:$H$19,'Wind Proxy'!$A$8:$A$19,'Estimator'!$B$4,'Wind Proxy'!$B$8:$B$19,C3000)</x:f>
        <x:v>0.11350059737156513</x:v>
      </x:c>
    </x:row>
    <x:row r="3001">
      <x:c r="A3001" s="379" t="n">
        <x:v>48652</x:v>
      </x:c>
      <x:c r="B3001" s="380" t="n">
        <x:v>2033</x:v>
      </x:c>
      <x:c r="C3001" s="380" t="n">
        <x:v>3</x:v>
      </x:c>
      <x:c r="D3001" s="380" t="str">
        <x:v>Mar</x:v>
      </x:c>
      <x:c r="E3001" s="380" t="n">
        <x:v>14</x:v>
      </x:c>
      <x:c r="F3001" s="380" t="n">
        <x:v>1</x:v>
      </x:c>
      <x:c r="G3001" s="380" t="n">
        <x:f>--(F3001&lt;='Estimator'!$B$7)</x:f>
        <x:v>1</x:v>
      </x:c>
      <x:c r="H3001" s="381" t="n">
        <x:f>SUMIFS('Climate Data'!$G$7:$G$366,'Climate Data'!$A$7:$A$366,'Estimator'!$B$4,'Climate Data'!$B$7:$B$366,C3001)</x:f>
        <x:v>0.24916573971078979</x:v>
      </x:c>
      <x:c r="I3001" s="382" t="n">
        <x:f>SUMIFS('Climate Data'!$H$7:$H$366,'Climate Data'!$A$7:$A$366,'Estimator'!$B$4,'Climate Data'!$B$7:$B$366,C3001)</x:f>
        <x:v>9.709821428571429</x:v>
      </x:c>
      <x:c r="J3001" s="381" t="n">
        <x:f>SUMIFS('Wind Proxy'!$H$8:$H$19,'Wind Proxy'!$A$8:$A$19,'Estimator'!$B$4,'Wind Proxy'!$B$8:$B$19,C3001)</x:f>
        <x:v>0.11350059737156513</x:v>
      </x:c>
    </x:row>
    <x:row r="3002">
      <x:c r="A3002" s="379" t="n">
        <x:v>48653</x:v>
      </x:c>
      <x:c r="B3002" s="380" t="n">
        <x:v>2033</x:v>
      </x:c>
      <x:c r="C3002" s="380" t="n">
        <x:v>3</x:v>
      </x:c>
      <x:c r="D3002" s="380" t="str">
        <x:v>Mar</x:v>
      </x:c>
      <x:c r="E3002" s="380" t="n">
        <x:v>15</x:v>
      </x:c>
      <x:c r="F3002" s="380" t="n">
        <x:v>2</x:v>
      </x:c>
      <x:c r="G3002" s="380" t="n">
        <x:f>--(F3002&lt;='Estimator'!$B$7)</x:f>
        <x:v>1</x:v>
      </x:c>
      <x:c r="H3002" s="381" t="n">
        <x:f>SUMIFS('Climate Data'!$G$7:$G$366,'Climate Data'!$A$7:$A$366,'Estimator'!$B$4,'Climate Data'!$B$7:$B$366,C3002)</x:f>
        <x:v>0.24916573971078979</x:v>
      </x:c>
      <x:c r="I3002" s="382" t="n">
        <x:f>SUMIFS('Climate Data'!$H$7:$H$366,'Climate Data'!$A$7:$A$366,'Estimator'!$B$4,'Climate Data'!$B$7:$B$366,C3002)</x:f>
        <x:v>9.709821428571429</x:v>
      </x:c>
      <x:c r="J3002" s="381" t="n">
        <x:f>SUMIFS('Wind Proxy'!$H$8:$H$19,'Wind Proxy'!$A$8:$A$19,'Estimator'!$B$4,'Wind Proxy'!$B$8:$B$19,C3002)</x:f>
        <x:v>0.11350059737156513</x:v>
      </x:c>
    </x:row>
    <x:row r="3003">
      <x:c r="A3003" s="379" t="n">
        <x:v>48654</x:v>
      </x:c>
      <x:c r="B3003" s="380" t="n">
        <x:v>2033</x:v>
      </x:c>
      <x:c r="C3003" s="380" t="n">
        <x:v>3</x:v>
      </x:c>
      <x:c r="D3003" s="380" t="str">
        <x:v>Mar</x:v>
      </x:c>
      <x:c r="E3003" s="380" t="n">
        <x:v>16</x:v>
      </x:c>
      <x:c r="F3003" s="380" t="n">
        <x:v>3</x:v>
      </x:c>
      <x:c r="G3003" s="380" t="n">
        <x:f>--(F3003&lt;='Estimator'!$B$7)</x:f>
        <x:v>1</x:v>
      </x:c>
      <x:c r="H3003" s="381" t="n">
        <x:f>SUMIFS('Climate Data'!$G$7:$G$366,'Climate Data'!$A$7:$A$366,'Estimator'!$B$4,'Climate Data'!$B$7:$B$366,C3003)</x:f>
        <x:v>0.24916573971078979</x:v>
      </x:c>
      <x:c r="I3003" s="382" t="n">
        <x:f>SUMIFS('Climate Data'!$H$7:$H$366,'Climate Data'!$A$7:$A$366,'Estimator'!$B$4,'Climate Data'!$B$7:$B$366,C3003)</x:f>
        <x:v>9.709821428571429</x:v>
      </x:c>
      <x:c r="J3003" s="381" t="n">
        <x:f>SUMIFS('Wind Proxy'!$H$8:$H$19,'Wind Proxy'!$A$8:$A$19,'Estimator'!$B$4,'Wind Proxy'!$B$8:$B$19,C3003)</x:f>
        <x:v>0.11350059737156513</x:v>
      </x:c>
    </x:row>
    <x:row r="3004">
      <x:c r="A3004" s="379" t="n">
        <x:v>48655</x:v>
      </x:c>
      <x:c r="B3004" s="380" t="n">
        <x:v>2033</x:v>
      </x:c>
      <x:c r="C3004" s="380" t="n">
        <x:v>3</x:v>
      </x:c>
      <x:c r="D3004" s="380" t="str">
        <x:v>Mar</x:v>
      </x:c>
      <x:c r="E3004" s="380" t="n">
        <x:v>17</x:v>
      </x:c>
      <x:c r="F3004" s="380" t="n">
        <x:v>4</x:v>
      </x:c>
      <x:c r="G3004" s="380" t="n">
        <x:f>--(F3004&lt;='Estimator'!$B$7)</x:f>
        <x:v>1</x:v>
      </x:c>
      <x:c r="H3004" s="381" t="n">
        <x:f>SUMIFS('Climate Data'!$G$7:$G$366,'Climate Data'!$A$7:$A$366,'Estimator'!$B$4,'Climate Data'!$B$7:$B$366,C3004)</x:f>
        <x:v>0.24916573971078979</x:v>
      </x:c>
      <x:c r="I3004" s="382" t="n">
        <x:f>SUMIFS('Climate Data'!$H$7:$H$366,'Climate Data'!$A$7:$A$366,'Estimator'!$B$4,'Climate Data'!$B$7:$B$366,C3004)</x:f>
        <x:v>9.709821428571429</x:v>
      </x:c>
      <x:c r="J3004" s="381" t="n">
        <x:f>SUMIFS('Wind Proxy'!$H$8:$H$19,'Wind Proxy'!$A$8:$A$19,'Estimator'!$B$4,'Wind Proxy'!$B$8:$B$19,C3004)</x:f>
        <x:v>0.11350059737156513</x:v>
      </x:c>
    </x:row>
    <x:row r="3005">
      <x:c r="A3005" s="379" t="n">
        <x:v>48656</x:v>
      </x:c>
      <x:c r="B3005" s="380" t="n">
        <x:v>2033</x:v>
      </x:c>
      <x:c r="C3005" s="380" t="n">
        <x:v>3</x:v>
      </x:c>
      <x:c r="D3005" s="380" t="str">
        <x:v>Mar</x:v>
      </x:c>
      <x:c r="E3005" s="380" t="n">
        <x:v>18</x:v>
      </x:c>
      <x:c r="F3005" s="380" t="n">
        <x:v>5</x:v>
      </x:c>
      <x:c r="G3005" s="380" t="n">
        <x:f>--(F3005&lt;='Estimator'!$B$7)</x:f>
        <x:v>1</x:v>
      </x:c>
      <x:c r="H3005" s="381" t="n">
        <x:f>SUMIFS('Climate Data'!$G$7:$G$366,'Climate Data'!$A$7:$A$366,'Estimator'!$B$4,'Climate Data'!$B$7:$B$366,C3005)</x:f>
        <x:v>0.24916573971078979</x:v>
      </x:c>
      <x:c r="I3005" s="382" t="n">
        <x:f>SUMIFS('Climate Data'!$H$7:$H$366,'Climate Data'!$A$7:$A$366,'Estimator'!$B$4,'Climate Data'!$B$7:$B$366,C3005)</x:f>
        <x:v>9.709821428571429</x:v>
      </x:c>
      <x:c r="J3005" s="381" t="n">
        <x:f>SUMIFS('Wind Proxy'!$H$8:$H$19,'Wind Proxy'!$A$8:$A$19,'Estimator'!$B$4,'Wind Proxy'!$B$8:$B$19,C3005)</x:f>
        <x:v>0.11350059737156513</x:v>
      </x:c>
    </x:row>
    <x:row r="3006">
      <x:c r="A3006" s="379" t="n">
        <x:v>48657</x:v>
      </x:c>
      <x:c r="B3006" s="380" t="n">
        <x:v>2033</x:v>
      </x:c>
      <x:c r="C3006" s="380" t="n">
        <x:v>3</x:v>
      </x:c>
      <x:c r="D3006" s="380" t="str">
        <x:v>Mar</x:v>
      </x:c>
      <x:c r="E3006" s="380" t="n">
        <x:v>19</x:v>
      </x:c>
      <x:c r="F3006" s="380" t="n">
        <x:v>6</x:v>
      </x:c>
      <x:c r="G3006" s="380" t="n">
        <x:f>--(F3006&lt;='Estimator'!$B$7)</x:f>
        <x:v>0</x:v>
      </x:c>
      <x:c r="H3006" s="381" t="n">
        <x:f>SUMIFS('Climate Data'!$G$7:$G$366,'Climate Data'!$A$7:$A$366,'Estimator'!$B$4,'Climate Data'!$B$7:$B$366,C3006)</x:f>
        <x:v>0.24916573971078979</x:v>
      </x:c>
      <x:c r="I3006" s="382" t="n">
        <x:f>SUMIFS('Climate Data'!$H$7:$H$366,'Climate Data'!$A$7:$A$366,'Estimator'!$B$4,'Climate Data'!$B$7:$B$366,C3006)</x:f>
        <x:v>9.709821428571429</x:v>
      </x:c>
      <x:c r="J3006" s="381" t="n">
        <x:f>SUMIFS('Wind Proxy'!$H$8:$H$19,'Wind Proxy'!$A$8:$A$19,'Estimator'!$B$4,'Wind Proxy'!$B$8:$B$19,C3006)</x:f>
        <x:v>0.11350059737156513</x:v>
      </x:c>
    </x:row>
    <x:row r="3007">
      <x:c r="A3007" s="379" t="n">
        <x:v>48658</x:v>
      </x:c>
      <x:c r="B3007" s="380" t="n">
        <x:v>2033</x:v>
      </x:c>
      <x:c r="C3007" s="380" t="n">
        <x:v>3</x:v>
      </x:c>
      <x:c r="D3007" s="380" t="str">
        <x:v>Mar</x:v>
      </x:c>
      <x:c r="E3007" s="380" t="n">
        <x:v>20</x:v>
      </x:c>
      <x:c r="F3007" s="380" t="n">
        <x:v>7</x:v>
      </x:c>
      <x:c r="G3007" s="380" t="n">
        <x:f>--(F3007&lt;='Estimator'!$B$7)</x:f>
        <x:v>0</x:v>
      </x:c>
      <x:c r="H3007" s="381" t="n">
        <x:f>SUMIFS('Climate Data'!$G$7:$G$366,'Climate Data'!$A$7:$A$366,'Estimator'!$B$4,'Climate Data'!$B$7:$B$366,C3007)</x:f>
        <x:v>0.24916573971078979</x:v>
      </x:c>
      <x:c r="I3007" s="382" t="n">
        <x:f>SUMIFS('Climate Data'!$H$7:$H$366,'Climate Data'!$A$7:$A$366,'Estimator'!$B$4,'Climate Data'!$B$7:$B$366,C3007)</x:f>
        <x:v>9.709821428571429</x:v>
      </x:c>
      <x:c r="J3007" s="381" t="n">
        <x:f>SUMIFS('Wind Proxy'!$H$8:$H$19,'Wind Proxy'!$A$8:$A$19,'Estimator'!$B$4,'Wind Proxy'!$B$8:$B$19,C3007)</x:f>
        <x:v>0.11350059737156513</x:v>
      </x:c>
    </x:row>
    <x:row r="3008">
      <x:c r="A3008" s="379" t="n">
        <x:v>48659</x:v>
      </x:c>
      <x:c r="B3008" s="380" t="n">
        <x:v>2033</x:v>
      </x:c>
      <x:c r="C3008" s="380" t="n">
        <x:v>3</x:v>
      </x:c>
      <x:c r="D3008" s="380" t="str">
        <x:v>Mar</x:v>
      </x:c>
      <x:c r="E3008" s="380" t="n">
        <x:v>21</x:v>
      </x:c>
      <x:c r="F3008" s="380" t="n">
        <x:v>1</x:v>
      </x:c>
      <x:c r="G3008" s="380" t="n">
        <x:f>--(F3008&lt;='Estimator'!$B$7)</x:f>
        <x:v>1</x:v>
      </x:c>
      <x:c r="H3008" s="381" t="n">
        <x:f>SUMIFS('Climate Data'!$G$7:$G$366,'Climate Data'!$A$7:$A$366,'Estimator'!$B$4,'Climate Data'!$B$7:$B$366,C3008)</x:f>
        <x:v>0.24916573971078979</x:v>
      </x:c>
      <x:c r="I3008" s="382" t="n">
        <x:f>SUMIFS('Climate Data'!$H$7:$H$366,'Climate Data'!$A$7:$A$366,'Estimator'!$B$4,'Climate Data'!$B$7:$B$366,C3008)</x:f>
        <x:v>9.709821428571429</x:v>
      </x:c>
      <x:c r="J3008" s="381" t="n">
        <x:f>SUMIFS('Wind Proxy'!$H$8:$H$19,'Wind Proxy'!$A$8:$A$19,'Estimator'!$B$4,'Wind Proxy'!$B$8:$B$19,C3008)</x:f>
        <x:v>0.11350059737156513</x:v>
      </x:c>
    </x:row>
    <x:row r="3009">
      <x:c r="A3009" s="379" t="n">
        <x:v>48660</x:v>
      </x:c>
      <x:c r="B3009" s="380" t="n">
        <x:v>2033</x:v>
      </x:c>
      <x:c r="C3009" s="380" t="n">
        <x:v>3</x:v>
      </x:c>
      <x:c r="D3009" s="380" t="str">
        <x:v>Mar</x:v>
      </x:c>
      <x:c r="E3009" s="380" t="n">
        <x:v>22</x:v>
      </x:c>
      <x:c r="F3009" s="380" t="n">
        <x:v>2</x:v>
      </x:c>
      <x:c r="G3009" s="380" t="n">
        <x:f>--(F3009&lt;='Estimator'!$B$7)</x:f>
        <x:v>1</x:v>
      </x:c>
      <x:c r="H3009" s="381" t="n">
        <x:f>SUMIFS('Climate Data'!$G$7:$G$366,'Climate Data'!$A$7:$A$366,'Estimator'!$B$4,'Climate Data'!$B$7:$B$366,C3009)</x:f>
        <x:v>0.24916573971078979</x:v>
      </x:c>
      <x:c r="I3009" s="382" t="n">
        <x:f>SUMIFS('Climate Data'!$H$7:$H$366,'Climate Data'!$A$7:$A$366,'Estimator'!$B$4,'Climate Data'!$B$7:$B$366,C3009)</x:f>
        <x:v>9.709821428571429</x:v>
      </x:c>
      <x:c r="J3009" s="381" t="n">
        <x:f>SUMIFS('Wind Proxy'!$H$8:$H$19,'Wind Proxy'!$A$8:$A$19,'Estimator'!$B$4,'Wind Proxy'!$B$8:$B$19,C3009)</x:f>
        <x:v>0.11350059737156513</x:v>
      </x:c>
    </x:row>
    <x:row r="3010">
      <x:c r="A3010" s="379" t="n">
        <x:v>48661</x:v>
      </x:c>
      <x:c r="B3010" s="380" t="n">
        <x:v>2033</x:v>
      </x:c>
      <x:c r="C3010" s="380" t="n">
        <x:v>3</x:v>
      </x:c>
      <x:c r="D3010" s="380" t="str">
        <x:v>Mar</x:v>
      </x:c>
      <x:c r="E3010" s="380" t="n">
        <x:v>23</x:v>
      </x:c>
      <x:c r="F3010" s="380" t="n">
        <x:v>3</x:v>
      </x:c>
      <x:c r="G3010" s="380" t="n">
        <x:f>--(F3010&lt;='Estimator'!$B$7)</x:f>
        <x:v>1</x:v>
      </x:c>
      <x:c r="H3010" s="381" t="n">
        <x:f>SUMIFS('Climate Data'!$G$7:$G$366,'Climate Data'!$A$7:$A$366,'Estimator'!$B$4,'Climate Data'!$B$7:$B$366,C3010)</x:f>
        <x:v>0.24916573971078979</x:v>
      </x:c>
      <x:c r="I3010" s="382" t="n">
        <x:f>SUMIFS('Climate Data'!$H$7:$H$366,'Climate Data'!$A$7:$A$366,'Estimator'!$B$4,'Climate Data'!$B$7:$B$366,C3010)</x:f>
        <x:v>9.709821428571429</x:v>
      </x:c>
      <x:c r="J3010" s="381" t="n">
        <x:f>SUMIFS('Wind Proxy'!$H$8:$H$19,'Wind Proxy'!$A$8:$A$19,'Estimator'!$B$4,'Wind Proxy'!$B$8:$B$19,C3010)</x:f>
        <x:v>0.11350059737156513</x:v>
      </x:c>
    </x:row>
    <x:row r="3011">
      <x:c r="A3011" s="379" t="n">
        <x:v>48662</x:v>
      </x:c>
      <x:c r="B3011" s="380" t="n">
        <x:v>2033</x:v>
      </x:c>
      <x:c r="C3011" s="380" t="n">
        <x:v>3</x:v>
      </x:c>
      <x:c r="D3011" s="380" t="str">
        <x:v>Mar</x:v>
      </x:c>
      <x:c r="E3011" s="380" t="n">
        <x:v>24</x:v>
      </x:c>
      <x:c r="F3011" s="380" t="n">
        <x:v>4</x:v>
      </x:c>
      <x:c r="G3011" s="380" t="n">
        <x:f>--(F3011&lt;='Estimator'!$B$7)</x:f>
        <x:v>1</x:v>
      </x:c>
      <x:c r="H3011" s="381" t="n">
        <x:f>SUMIFS('Climate Data'!$G$7:$G$366,'Climate Data'!$A$7:$A$366,'Estimator'!$B$4,'Climate Data'!$B$7:$B$366,C3011)</x:f>
        <x:v>0.24916573971078979</x:v>
      </x:c>
      <x:c r="I3011" s="382" t="n">
        <x:f>SUMIFS('Climate Data'!$H$7:$H$366,'Climate Data'!$A$7:$A$366,'Estimator'!$B$4,'Climate Data'!$B$7:$B$366,C3011)</x:f>
        <x:v>9.709821428571429</x:v>
      </x:c>
      <x:c r="J3011" s="381" t="n">
        <x:f>SUMIFS('Wind Proxy'!$H$8:$H$19,'Wind Proxy'!$A$8:$A$19,'Estimator'!$B$4,'Wind Proxy'!$B$8:$B$19,C3011)</x:f>
        <x:v>0.11350059737156513</x:v>
      </x:c>
    </x:row>
    <x:row r="3012">
      <x:c r="A3012" s="379" t="n">
        <x:v>48663</x:v>
      </x:c>
      <x:c r="B3012" s="380" t="n">
        <x:v>2033</x:v>
      </x:c>
      <x:c r="C3012" s="380" t="n">
        <x:v>3</x:v>
      </x:c>
      <x:c r="D3012" s="380" t="str">
        <x:v>Mar</x:v>
      </x:c>
      <x:c r="E3012" s="380" t="n">
        <x:v>25</x:v>
      </x:c>
      <x:c r="F3012" s="380" t="n">
        <x:v>5</x:v>
      </x:c>
      <x:c r="G3012" s="380" t="n">
        <x:f>--(F3012&lt;='Estimator'!$B$7)</x:f>
        <x:v>1</x:v>
      </x:c>
      <x:c r="H3012" s="381" t="n">
        <x:f>SUMIFS('Climate Data'!$G$7:$G$366,'Climate Data'!$A$7:$A$366,'Estimator'!$B$4,'Climate Data'!$B$7:$B$366,C3012)</x:f>
        <x:v>0.24916573971078979</x:v>
      </x:c>
      <x:c r="I3012" s="382" t="n">
        <x:f>SUMIFS('Climate Data'!$H$7:$H$366,'Climate Data'!$A$7:$A$366,'Estimator'!$B$4,'Climate Data'!$B$7:$B$366,C3012)</x:f>
        <x:v>9.709821428571429</x:v>
      </x:c>
      <x:c r="J3012" s="381" t="n">
        <x:f>SUMIFS('Wind Proxy'!$H$8:$H$19,'Wind Proxy'!$A$8:$A$19,'Estimator'!$B$4,'Wind Proxy'!$B$8:$B$19,C3012)</x:f>
        <x:v>0.11350059737156513</x:v>
      </x:c>
    </x:row>
    <x:row r="3013">
      <x:c r="A3013" s="379" t="n">
        <x:v>48664</x:v>
      </x:c>
      <x:c r="B3013" s="380" t="n">
        <x:v>2033</x:v>
      </x:c>
      <x:c r="C3013" s="380" t="n">
        <x:v>3</x:v>
      </x:c>
      <x:c r="D3013" s="380" t="str">
        <x:v>Mar</x:v>
      </x:c>
      <x:c r="E3013" s="380" t="n">
        <x:v>26</x:v>
      </x:c>
      <x:c r="F3013" s="380" t="n">
        <x:v>6</x:v>
      </x:c>
      <x:c r="G3013" s="380" t="n">
        <x:f>--(F3013&lt;='Estimator'!$B$7)</x:f>
        <x:v>0</x:v>
      </x:c>
      <x:c r="H3013" s="381" t="n">
        <x:f>SUMIFS('Climate Data'!$G$7:$G$366,'Climate Data'!$A$7:$A$366,'Estimator'!$B$4,'Climate Data'!$B$7:$B$366,C3013)</x:f>
        <x:v>0.24916573971078979</x:v>
      </x:c>
      <x:c r="I3013" s="382" t="n">
        <x:f>SUMIFS('Climate Data'!$H$7:$H$366,'Climate Data'!$A$7:$A$366,'Estimator'!$B$4,'Climate Data'!$B$7:$B$366,C3013)</x:f>
        <x:v>9.709821428571429</x:v>
      </x:c>
      <x:c r="J3013" s="381" t="n">
        <x:f>SUMIFS('Wind Proxy'!$H$8:$H$19,'Wind Proxy'!$A$8:$A$19,'Estimator'!$B$4,'Wind Proxy'!$B$8:$B$19,C3013)</x:f>
        <x:v>0.11350059737156513</x:v>
      </x:c>
    </x:row>
    <x:row r="3014">
      <x:c r="A3014" s="379" t="n">
        <x:v>48665</x:v>
      </x:c>
      <x:c r="B3014" s="380" t="n">
        <x:v>2033</x:v>
      </x:c>
      <x:c r="C3014" s="380" t="n">
        <x:v>3</x:v>
      </x:c>
      <x:c r="D3014" s="380" t="str">
        <x:v>Mar</x:v>
      </x:c>
      <x:c r="E3014" s="380" t="n">
        <x:v>27</x:v>
      </x:c>
      <x:c r="F3014" s="380" t="n">
        <x:v>7</x:v>
      </x:c>
      <x:c r="G3014" s="380" t="n">
        <x:f>--(F3014&lt;='Estimator'!$B$7)</x:f>
        <x:v>0</x:v>
      </x:c>
      <x:c r="H3014" s="381" t="n">
        <x:f>SUMIFS('Climate Data'!$G$7:$G$366,'Climate Data'!$A$7:$A$366,'Estimator'!$B$4,'Climate Data'!$B$7:$B$366,C3014)</x:f>
        <x:v>0.24916573971078979</x:v>
      </x:c>
      <x:c r="I3014" s="382" t="n">
        <x:f>SUMIFS('Climate Data'!$H$7:$H$366,'Climate Data'!$A$7:$A$366,'Estimator'!$B$4,'Climate Data'!$B$7:$B$366,C3014)</x:f>
        <x:v>9.709821428571429</x:v>
      </x:c>
      <x:c r="J3014" s="381" t="n">
        <x:f>SUMIFS('Wind Proxy'!$H$8:$H$19,'Wind Proxy'!$A$8:$A$19,'Estimator'!$B$4,'Wind Proxy'!$B$8:$B$19,C3014)</x:f>
        <x:v>0.11350059737156513</x:v>
      </x:c>
    </x:row>
    <x:row r="3015">
      <x:c r="A3015" s="379" t="n">
        <x:v>48666</x:v>
      </x:c>
      <x:c r="B3015" s="380" t="n">
        <x:v>2033</x:v>
      </x:c>
      <x:c r="C3015" s="380" t="n">
        <x:v>3</x:v>
      </x:c>
      <x:c r="D3015" s="380" t="str">
        <x:v>Mar</x:v>
      </x:c>
      <x:c r="E3015" s="380" t="n">
        <x:v>28</x:v>
      </x:c>
      <x:c r="F3015" s="380" t="n">
        <x:v>1</x:v>
      </x:c>
      <x:c r="G3015" s="380" t="n">
        <x:f>--(F3015&lt;='Estimator'!$B$7)</x:f>
        <x:v>1</x:v>
      </x:c>
      <x:c r="H3015" s="381" t="n">
        <x:f>SUMIFS('Climate Data'!$G$7:$G$366,'Climate Data'!$A$7:$A$366,'Estimator'!$B$4,'Climate Data'!$B$7:$B$366,C3015)</x:f>
        <x:v>0.24916573971078979</x:v>
      </x:c>
      <x:c r="I3015" s="382" t="n">
        <x:f>SUMIFS('Climate Data'!$H$7:$H$366,'Climate Data'!$A$7:$A$366,'Estimator'!$B$4,'Climate Data'!$B$7:$B$366,C3015)</x:f>
        <x:v>9.709821428571429</x:v>
      </x:c>
      <x:c r="J3015" s="381" t="n">
        <x:f>SUMIFS('Wind Proxy'!$H$8:$H$19,'Wind Proxy'!$A$8:$A$19,'Estimator'!$B$4,'Wind Proxy'!$B$8:$B$19,C3015)</x:f>
        <x:v>0.11350059737156513</x:v>
      </x:c>
    </x:row>
    <x:row r="3016">
      <x:c r="A3016" s="379" t="n">
        <x:v>48667</x:v>
      </x:c>
      <x:c r="B3016" s="380" t="n">
        <x:v>2033</x:v>
      </x:c>
      <x:c r="C3016" s="380" t="n">
        <x:v>3</x:v>
      </x:c>
      <x:c r="D3016" s="380" t="str">
        <x:v>Mar</x:v>
      </x:c>
      <x:c r="E3016" s="380" t="n">
        <x:v>29</x:v>
      </x:c>
      <x:c r="F3016" s="380" t="n">
        <x:v>2</x:v>
      </x:c>
      <x:c r="G3016" s="380" t="n">
        <x:f>--(F3016&lt;='Estimator'!$B$7)</x:f>
        <x:v>1</x:v>
      </x:c>
      <x:c r="H3016" s="381" t="n">
        <x:f>SUMIFS('Climate Data'!$G$7:$G$366,'Climate Data'!$A$7:$A$366,'Estimator'!$B$4,'Climate Data'!$B$7:$B$366,C3016)</x:f>
        <x:v>0.24916573971078979</x:v>
      </x:c>
      <x:c r="I3016" s="382" t="n">
        <x:f>SUMIFS('Climate Data'!$H$7:$H$366,'Climate Data'!$A$7:$A$366,'Estimator'!$B$4,'Climate Data'!$B$7:$B$366,C3016)</x:f>
        <x:v>9.709821428571429</x:v>
      </x:c>
      <x:c r="J3016" s="381" t="n">
        <x:f>SUMIFS('Wind Proxy'!$H$8:$H$19,'Wind Proxy'!$A$8:$A$19,'Estimator'!$B$4,'Wind Proxy'!$B$8:$B$19,C3016)</x:f>
        <x:v>0.11350059737156513</x:v>
      </x:c>
    </x:row>
    <x:row r="3017">
      <x:c r="A3017" s="379" t="n">
        <x:v>48668</x:v>
      </x:c>
      <x:c r="B3017" s="380" t="n">
        <x:v>2033</x:v>
      </x:c>
      <x:c r="C3017" s="380" t="n">
        <x:v>3</x:v>
      </x:c>
      <x:c r="D3017" s="380" t="str">
        <x:v>Mar</x:v>
      </x:c>
      <x:c r="E3017" s="380" t="n">
        <x:v>30</x:v>
      </x:c>
      <x:c r="F3017" s="380" t="n">
        <x:v>3</x:v>
      </x:c>
      <x:c r="G3017" s="380" t="n">
        <x:f>--(F3017&lt;='Estimator'!$B$7)</x:f>
        <x:v>1</x:v>
      </x:c>
      <x:c r="H3017" s="381" t="n">
        <x:f>SUMIFS('Climate Data'!$G$7:$G$366,'Climate Data'!$A$7:$A$366,'Estimator'!$B$4,'Climate Data'!$B$7:$B$366,C3017)</x:f>
        <x:v>0.24916573971078979</x:v>
      </x:c>
      <x:c r="I3017" s="382" t="n">
        <x:f>SUMIFS('Climate Data'!$H$7:$H$366,'Climate Data'!$A$7:$A$366,'Estimator'!$B$4,'Climate Data'!$B$7:$B$366,C3017)</x:f>
        <x:v>9.709821428571429</x:v>
      </x:c>
      <x:c r="J3017" s="381" t="n">
        <x:f>SUMIFS('Wind Proxy'!$H$8:$H$19,'Wind Proxy'!$A$8:$A$19,'Estimator'!$B$4,'Wind Proxy'!$B$8:$B$19,C3017)</x:f>
        <x:v>0.11350059737156513</x:v>
      </x:c>
    </x:row>
    <x:row r="3018">
      <x:c r="A3018" s="379" t="n">
        <x:v>48669</x:v>
      </x:c>
      <x:c r="B3018" s="380" t="n">
        <x:v>2033</x:v>
      </x:c>
      <x:c r="C3018" s="380" t="n">
        <x:v>3</x:v>
      </x:c>
      <x:c r="D3018" s="380" t="str">
        <x:v>Mar</x:v>
      </x:c>
      <x:c r="E3018" s="380" t="n">
        <x:v>31</x:v>
      </x:c>
      <x:c r="F3018" s="380" t="n">
        <x:v>4</x:v>
      </x:c>
      <x:c r="G3018" s="380" t="n">
        <x:f>--(F3018&lt;='Estimator'!$B$7)</x:f>
        <x:v>1</x:v>
      </x:c>
      <x:c r="H3018" s="381" t="n">
        <x:f>SUMIFS('Climate Data'!$G$7:$G$366,'Climate Data'!$A$7:$A$366,'Estimator'!$B$4,'Climate Data'!$B$7:$B$366,C3018)</x:f>
        <x:v>0.24916573971078979</x:v>
      </x:c>
      <x:c r="I3018" s="382" t="n">
        <x:f>SUMIFS('Climate Data'!$H$7:$H$366,'Climate Data'!$A$7:$A$366,'Estimator'!$B$4,'Climate Data'!$B$7:$B$366,C3018)</x:f>
        <x:v>9.709821428571429</x:v>
      </x:c>
      <x:c r="J3018" s="381" t="n">
        <x:f>SUMIFS('Wind Proxy'!$H$8:$H$19,'Wind Proxy'!$A$8:$A$19,'Estimator'!$B$4,'Wind Proxy'!$B$8:$B$19,C3018)</x:f>
        <x:v>0.11350059737156513</x:v>
      </x:c>
    </x:row>
    <x:row r="3019">
      <x:c r="A3019" s="379" t="n">
        <x:v>48670</x:v>
      </x:c>
      <x:c r="B3019" s="380" t="n">
        <x:v>2033</x:v>
      </x:c>
      <x:c r="C3019" s="380" t="n">
        <x:v>4</x:v>
      </x:c>
      <x:c r="D3019" s="380" t="str">
        <x:v>Apr</x:v>
      </x:c>
      <x:c r="E3019" s="380" t="n">
        <x:v>1</x:v>
      </x:c>
      <x:c r="F3019" s="380" t="n">
        <x:v>5</x:v>
      </x:c>
      <x:c r="G3019" s="380" t="n">
        <x:f>--(F3019&lt;='Estimator'!$B$7)</x:f>
        <x:v>1</x:v>
      </x:c>
      <x:c r="H3019" s="381" t="n">
        <x:f>SUMIFS('Climate Data'!$G$7:$G$366,'Climate Data'!$A$7:$A$366,'Estimator'!$B$4,'Climate Data'!$B$7:$B$366,C3019)</x:f>
        <x:v>0.32023809523809527</x:v>
      </x:c>
      <x:c r="I3019" s="382" t="n">
        <x:f>SUMIFS('Climate Data'!$H$7:$H$366,'Climate Data'!$A$7:$A$366,'Estimator'!$B$4,'Climate Data'!$B$7:$B$366,C3019)</x:f>
        <x:v>9.066171003717471</x:v>
      </x:c>
      <x:c r="J3019" s="381" t="n">
        <x:f>SUMIFS('Wind Proxy'!$H$8:$H$19,'Wind Proxy'!$A$8:$A$19,'Estimator'!$B$4,'Wind Proxy'!$B$8:$B$19,C3019)</x:f>
        <x:v>0.11728395061728397</x:v>
      </x:c>
    </x:row>
    <x:row r="3020">
      <x:c r="A3020" s="379" t="n">
        <x:v>48671</x:v>
      </x:c>
      <x:c r="B3020" s="380" t="n">
        <x:v>2033</x:v>
      </x:c>
      <x:c r="C3020" s="380" t="n">
        <x:v>4</x:v>
      </x:c>
      <x:c r="D3020" s="380" t="str">
        <x:v>Apr</x:v>
      </x:c>
      <x:c r="E3020" s="380" t="n">
        <x:v>2</x:v>
      </x:c>
      <x:c r="F3020" s="380" t="n">
        <x:v>6</x:v>
      </x:c>
      <x:c r="G3020" s="380" t="n">
        <x:f>--(F3020&lt;='Estimator'!$B$7)</x:f>
        <x:v>0</x:v>
      </x:c>
      <x:c r="H3020" s="381" t="n">
        <x:f>SUMIFS('Climate Data'!$G$7:$G$366,'Climate Data'!$A$7:$A$366,'Estimator'!$B$4,'Climate Data'!$B$7:$B$366,C3020)</x:f>
        <x:v>0.32023809523809527</x:v>
      </x:c>
      <x:c r="I3020" s="382" t="n">
        <x:f>SUMIFS('Climate Data'!$H$7:$H$366,'Climate Data'!$A$7:$A$366,'Estimator'!$B$4,'Climate Data'!$B$7:$B$366,C3020)</x:f>
        <x:v>9.066171003717471</x:v>
      </x:c>
      <x:c r="J3020" s="381" t="n">
        <x:f>SUMIFS('Wind Proxy'!$H$8:$H$19,'Wind Proxy'!$A$8:$A$19,'Estimator'!$B$4,'Wind Proxy'!$B$8:$B$19,C3020)</x:f>
        <x:v>0.11728395061728397</x:v>
      </x:c>
    </x:row>
    <x:row r="3021">
      <x:c r="A3021" s="379" t="n">
        <x:v>48672</x:v>
      </x:c>
      <x:c r="B3021" s="380" t="n">
        <x:v>2033</x:v>
      </x:c>
      <x:c r="C3021" s="380" t="n">
        <x:v>4</x:v>
      </x:c>
      <x:c r="D3021" s="380" t="str">
        <x:v>Apr</x:v>
      </x:c>
      <x:c r="E3021" s="380" t="n">
        <x:v>3</x:v>
      </x:c>
      <x:c r="F3021" s="380" t="n">
        <x:v>7</x:v>
      </x:c>
      <x:c r="G3021" s="380" t="n">
        <x:f>--(F3021&lt;='Estimator'!$B$7)</x:f>
        <x:v>0</x:v>
      </x:c>
      <x:c r="H3021" s="381" t="n">
        <x:f>SUMIFS('Climate Data'!$G$7:$G$366,'Climate Data'!$A$7:$A$366,'Estimator'!$B$4,'Climate Data'!$B$7:$B$366,C3021)</x:f>
        <x:v>0.32023809523809527</x:v>
      </x:c>
      <x:c r="I3021" s="382" t="n">
        <x:f>SUMIFS('Climate Data'!$H$7:$H$366,'Climate Data'!$A$7:$A$366,'Estimator'!$B$4,'Climate Data'!$B$7:$B$366,C3021)</x:f>
        <x:v>9.066171003717471</x:v>
      </x:c>
      <x:c r="J3021" s="381" t="n">
        <x:f>SUMIFS('Wind Proxy'!$H$8:$H$19,'Wind Proxy'!$A$8:$A$19,'Estimator'!$B$4,'Wind Proxy'!$B$8:$B$19,C3021)</x:f>
        <x:v>0.11728395061728397</x:v>
      </x:c>
    </x:row>
    <x:row r="3022">
      <x:c r="A3022" s="379" t="n">
        <x:v>48673</x:v>
      </x:c>
      <x:c r="B3022" s="380" t="n">
        <x:v>2033</x:v>
      </x:c>
      <x:c r="C3022" s="380" t="n">
        <x:v>4</x:v>
      </x:c>
      <x:c r="D3022" s="380" t="str">
        <x:v>Apr</x:v>
      </x:c>
      <x:c r="E3022" s="380" t="n">
        <x:v>4</x:v>
      </x:c>
      <x:c r="F3022" s="380" t="n">
        <x:v>1</x:v>
      </x:c>
      <x:c r="G3022" s="380" t="n">
        <x:f>--(F3022&lt;='Estimator'!$B$7)</x:f>
        <x:v>1</x:v>
      </x:c>
      <x:c r="H3022" s="381" t="n">
        <x:f>SUMIFS('Climate Data'!$G$7:$G$366,'Climate Data'!$A$7:$A$366,'Estimator'!$B$4,'Climate Data'!$B$7:$B$366,C3022)</x:f>
        <x:v>0.32023809523809527</x:v>
      </x:c>
      <x:c r="I3022" s="382" t="n">
        <x:f>SUMIFS('Climate Data'!$H$7:$H$366,'Climate Data'!$A$7:$A$366,'Estimator'!$B$4,'Climate Data'!$B$7:$B$366,C3022)</x:f>
        <x:v>9.066171003717471</x:v>
      </x:c>
      <x:c r="J3022" s="381" t="n">
        <x:f>SUMIFS('Wind Proxy'!$H$8:$H$19,'Wind Proxy'!$A$8:$A$19,'Estimator'!$B$4,'Wind Proxy'!$B$8:$B$19,C3022)</x:f>
        <x:v>0.11728395061728397</x:v>
      </x:c>
    </x:row>
    <x:row r="3023">
      <x:c r="A3023" s="379" t="n">
        <x:v>48674</x:v>
      </x:c>
      <x:c r="B3023" s="380" t="n">
        <x:v>2033</x:v>
      </x:c>
      <x:c r="C3023" s="380" t="n">
        <x:v>4</x:v>
      </x:c>
      <x:c r="D3023" s="380" t="str">
        <x:v>Apr</x:v>
      </x:c>
      <x:c r="E3023" s="380" t="n">
        <x:v>5</x:v>
      </x:c>
      <x:c r="F3023" s="380" t="n">
        <x:v>2</x:v>
      </x:c>
      <x:c r="G3023" s="380" t="n">
        <x:f>--(F3023&lt;='Estimator'!$B$7)</x:f>
        <x:v>1</x:v>
      </x:c>
      <x:c r="H3023" s="381" t="n">
        <x:f>SUMIFS('Climate Data'!$G$7:$G$366,'Climate Data'!$A$7:$A$366,'Estimator'!$B$4,'Climate Data'!$B$7:$B$366,C3023)</x:f>
        <x:v>0.32023809523809527</x:v>
      </x:c>
      <x:c r="I3023" s="382" t="n">
        <x:f>SUMIFS('Climate Data'!$H$7:$H$366,'Climate Data'!$A$7:$A$366,'Estimator'!$B$4,'Climate Data'!$B$7:$B$366,C3023)</x:f>
        <x:v>9.066171003717471</x:v>
      </x:c>
      <x:c r="J3023" s="381" t="n">
        <x:f>SUMIFS('Wind Proxy'!$H$8:$H$19,'Wind Proxy'!$A$8:$A$19,'Estimator'!$B$4,'Wind Proxy'!$B$8:$B$19,C3023)</x:f>
        <x:v>0.11728395061728397</x:v>
      </x:c>
    </x:row>
    <x:row r="3024">
      <x:c r="A3024" s="379" t="n">
        <x:v>48675</x:v>
      </x:c>
      <x:c r="B3024" s="380" t="n">
        <x:v>2033</x:v>
      </x:c>
      <x:c r="C3024" s="380" t="n">
        <x:v>4</x:v>
      </x:c>
      <x:c r="D3024" s="380" t="str">
        <x:v>Apr</x:v>
      </x:c>
      <x:c r="E3024" s="380" t="n">
        <x:v>6</x:v>
      </x:c>
      <x:c r="F3024" s="380" t="n">
        <x:v>3</x:v>
      </x:c>
      <x:c r="G3024" s="380" t="n">
        <x:f>--(F3024&lt;='Estimator'!$B$7)</x:f>
        <x:v>1</x:v>
      </x:c>
      <x:c r="H3024" s="381" t="n">
        <x:f>SUMIFS('Climate Data'!$G$7:$G$366,'Climate Data'!$A$7:$A$366,'Estimator'!$B$4,'Climate Data'!$B$7:$B$366,C3024)</x:f>
        <x:v>0.32023809523809527</x:v>
      </x:c>
      <x:c r="I3024" s="382" t="n">
        <x:f>SUMIFS('Climate Data'!$H$7:$H$366,'Climate Data'!$A$7:$A$366,'Estimator'!$B$4,'Climate Data'!$B$7:$B$366,C3024)</x:f>
        <x:v>9.066171003717471</x:v>
      </x:c>
      <x:c r="J3024" s="381" t="n">
        <x:f>SUMIFS('Wind Proxy'!$H$8:$H$19,'Wind Proxy'!$A$8:$A$19,'Estimator'!$B$4,'Wind Proxy'!$B$8:$B$19,C3024)</x:f>
        <x:v>0.11728395061728397</x:v>
      </x:c>
    </x:row>
    <x:row r="3025">
      <x:c r="A3025" s="379" t="n">
        <x:v>48676</x:v>
      </x:c>
      <x:c r="B3025" s="380" t="n">
        <x:v>2033</x:v>
      </x:c>
      <x:c r="C3025" s="380" t="n">
        <x:v>4</x:v>
      </x:c>
      <x:c r="D3025" s="380" t="str">
        <x:v>Apr</x:v>
      </x:c>
      <x:c r="E3025" s="380" t="n">
        <x:v>7</x:v>
      </x:c>
      <x:c r="F3025" s="380" t="n">
        <x:v>4</x:v>
      </x:c>
      <x:c r="G3025" s="380" t="n">
        <x:f>--(F3025&lt;='Estimator'!$B$7)</x:f>
        <x:v>1</x:v>
      </x:c>
      <x:c r="H3025" s="381" t="n">
        <x:f>SUMIFS('Climate Data'!$G$7:$G$366,'Climate Data'!$A$7:$A$366,'Estimator'!$B$4,'Climate Data'!$B$7:$B$366,C3025)</x:f>
        <x:v>0.32023809523809527</x:v>
      </x:c>
      <x:c r="I3025" s="382" t="n">
        <x:f>SUMIFS('Climate Data'!$H$7:$H$366,'Climate Data'!$A$7:$A$366,'Estimator'!$B$4,'Climate Data'!$B$7:$B$366,C3025)</x:f>
        <x:v>9.066171003717471</x:v>
      </x:c>
      <x:c r="J3025" s="381" t="n">
        <x:f>SUMIFS('Wind Proxy'!$H$8:$H$19,'Wind Proxy'!$A$8:$A$19,'Estimator'!$B$4,'Wind Proxy'!$B$8:$B$19,C3025)</x:f>
        <x:v>0.11728395061728397</x:v>
      </x:c>
    </x:row>
    <x:row r="3026">
      <x:c r="A3026" s="379" t="n">
        <x:v>48677</x:v>
      </x:c>
      <x:c r="B3026" s="380" t="n">
        <x:v>2033</x:v>
      </x:c>
      <x:c r="C3026" s="380" t="n">
        <x:v>4</x:v>
      </x:c>
      <x:c r="D3026" s="380" t="str">
        <x:v>Apr</x:v>
      </x:c>
      <x:c r="E3026" s="380" t="n">
        <x:v>8</x:v>
      </x:c>
      <x:c r="F3026" s="380" t="n">
        <x:v>5</x:v>
      </x:c>
      <x:c r="G3026" s="380" t="n">
        <x:f>--(F3026&lt;='Estimator'!$B$7)</x:f>
        <x:v>1</x:v>
      </x:c>
      <x:c r="H3026" s="381" t="n">
        <x:f>SUMIFS('Climate Data'!$G$7:$G$366,'Climate Data'!$A$7:$A$366,'Estimator'!$B$4,'Climate Data'!$B$7:$B$366,C3026)</x:f>
        <x:v>0.32023809523809527</x:v>
      </x:c>
      <x:c r="I3026" s="382" t="n">
        <x:f>SUMIFS('Climate Data'!$H$7:$H$366,'Climate Data'!$A$7:$A$366,'Estimator'!$B$4,'Climate Data'!$B$7:$B$366,C3026)</x:f>
        <x:v>9.066171003717471</x:v>
      </x:c>
      <x:c r="J3026" s="381" t="n">
        <x:f>SUMIFS('Wind Proxy'!$H$8:$H$19,'Wind Proxy'!$A$8:$A$19,'Estimator'!$B$4,'Wind Proxy'!$B$8:$B$19,C3026)</x:f>
        <x:v>0.11728395061728397</x:v>
      </x:c>
    </x:row>
    <x:row r="3027">
      <x:c r="A3027" s="379" t="n">
        <x:v>48678</x:v>
      </x:c>
      <x:c r="B3027" s="380" t="n">
        <x:v>2033</x:v>
      </x:c>
      <x:c r="C3027" s="380" t="n">
        <x:v>4</x:v>
      </x:c>
      <x:c r="D3027" s="380" t="str">
        <x:v>Apr</x:v>
      </x:c>
      <x:c r="E3027" s="380" t="n">
        <x:v>9</x:v>
      </x:c>
      <x:c r="F3027" s="380" t="n">
        <x:v>6</x:v>
      </x:c>
      <x:c r="G3027" s="380" t="n">
        <x:f>--(F3027&lt;='Estimator'!$B$7)</x:f>
        <x:v>0</x:v>
      </x:c>
      <x:c r="H3027" s="381" t="n">
        <x:f>SUMIFS('Climate Data'!$G$7:$G$366,'Climate Data'!$A$7:$A$366,'Estimator'!$B$4,'Climate Data'!$B$7:$B$366,C3027)</x:f>
        <x:v>0.32023809523809527</x:v>
      </x:c>
      <x:c r="I3027" s="382" t="n">
        <x:f>SUMIFS('Climate Data'!$H$7:$H$366,'Climate Data'!$A$7:$A$366,'Estimator'!$B$4,'Climate Data'!$B$7:$B$366,C3027)</x:f>
        <x:v>9.066171003717471</x:v>
      </x:c>
      <x:c r="J3027" s="381" t="n">
        <x:f>SUMIFS('Wind Proxy'!$H$8:$H$19,'Wind Proxy'!$A$8:$A$19,'Estimator'!$B$4,'Wind Proxy'!$B$8:$B$19,C3027)</x:f>
        <x:v>0.11728395061728397</x:v>
      </x:c>
    </x:row>
    <x:row r="3028">
      <x:c r="A3028" s="379" t="n">
        <x:v>48679</x:v>
      </x:c>
      <x:c r="B3028" s="380" t="n">
        <x:v>2033</x:v>
      </x:c>
      <x:c r="C3028" s="380" t="n">
        <x:v>4</x:v>
      </x:c>
      <x:c r="D3028" s="380" t="str">
        <x:v>Apr</x:v>
      </x:c>
      <x:c r="E3028" s="380" t="n">
        <x:v>10</x:v>
      </x:c>
      <x:c r="F3028" s="380" t="n">
        <x:v>7</x:v>
      </x:c>
      <x:c r="G3028" s="380" t="n">
        <x:f>--(F3028&lt;='Estimator'!$B$7)</x:f>
        <x:v>0</x:v>
      </x:c>
      <x:c r="H3028" s="381" t="n">
        <x:f>SUMIFS('Climate Data'!$G$7:$G$366,'Climate Data'!$A$7:$A$366,'Estimator'!$B$4,'Climate Data'!$B$7:$B$366,C3028)</x:f>
        <x:v>0.32023809523809527</x:v>
      </x:c>
      <x:c r="I3028" s="382" t="n">
        <x:f>SUMIFS('Climate Data'!$H$7:$H$366,'Climate Data'!$A$7:$A$366,'Estimator'!$B$4,'Climate Data'!$B$7:$B$366,C3028)</x:f>
        <x:v>9.066171003717471</x:v>
      </x:c>
      <x:c r="J3028" s="381" t="n">
        <x:f>SUMIFS('Wind Proxy'!$H$8:$H$19,'Wind Proxy'!$A$8:$A$19,'Estimator'!$B$4,'Wind Proxy'!$B$8:$B$19,C3028)</x:f>
        <x:v>0.11728395061728397</x:v>
      </x:c>
    </x:row>
    <x:row r="3029">
      <x:c r="A3029" s="379" t="n">
        <x:v>48680</x:v>
      </x:c>
      <x:c r="B3029" s="380" t="n">
        <x:v>2033</x:v>
      </x:c>
      <x:c r="C3029" s="380" t="n">
        <x:v>4</x:v>
      </x:c>
      <x:c r="D3029" s="380" t="str">
        <x:v>Apr</x:v>
      </x:c>
      <x:c r="E3029" s="380" t="n">
        <x:v>11</x:v>
      </x:c>
      <x:c r="F3029" s="380" t="n">
        <x:v>1</x:v>
      </x:c>
      <x:c r="G3029" s="380" t="n">
        <x:f>--(F3029&lt;='Estimator'!$B$7)</x:f>
        <x:v>1</x:v>
      </x:c>
      <x:c r="H3029" s="381" t="n">
        <x:f>SUMIFS('Climate Data'!$G$7:$G$366,'Climate Data'!$A$7:$A$366,'Estimator'!$B$4,'Climate Data'!$B$7:$B$366,C3029)</x:f>
        <x:v>0.32023809523809527</x:v>
      </x:c>
      <x:c r="I3029" s="382" t="n">
        <x:f>SUMIFS('Climate Data'!$H$7:$H$366,'Climate Data'!$A$7:$A$366,'Estimator'!$B$4,'Climate Data'!$B$7:$B$366,C3029)</x:f>
        <x:v>9.066171003717471</x:v>
      </x:c>
      <x:c r="J3029" s="381" t="n">
        <x:f>SUMIFS('Wind Proxy'!$H$8:$H$19,'Wind Proxy'!$A$8:$A$19,'Estimator'!$B$4,'Wind Proxy'!$B$8:$B$19,C3029)</x:f>
        <x:v>0.11728395061728397</x:v>
      </x:c>
    </x:row>
    <x:row r="3030">
      <x:c r="A3030" s="379" t="n">
        <x:v>48681</x:v>
      </x:c>
      <x:c r="B3030" s="380" t="n">
        <x:v>2033</x:v>
      </x:c>
      <x:c r="C3030" s="380" t="n">
        <x:v>4</x:v>
      </x:c>
      <x:c r="D3030" s="380" t="str">
        <x:v>Apr</x:v>
      </x:c>
      <x:c r="E3030" s="380" t="n">
        <x:v>12</x:v>
      </x:c>
      <x:c r="F3030" s="380" t="n">
        <x:v>2</x:v>
      </x:c>
      <x:c r="G3030" s="380" t="n">
        <x:f>--(F3030&lt;='Estimator'!$B$7)</x:f>
        <x:v>1</x:v>
      </x:c>
      <x:c r="H3030" s="381" t="n">
        <x:f>SUMIFS('Climate Data'!$G$7:$G$366,'Climate Data'!$A$7:$A$366,'Estimator'!$B$4,'Climate Data'!$B$7:$B$366,C3030)</x:f>
        <x:v>0.32023809523809527</x:v>
      </x:c>
      <x:c r="I3030" s="382" t="n">
        <x:f>SUMIFS('Climate Data'!$H$7:$H$366,'Climate Data'!$A$7:$A$366,'Estimator'!$B$4,'Climate Data'!$B$7:$B$366,C3030)</x:f>
        <x:v>9.066171003717471</x:v>
      </x:c>
      <x:c r="J3030" s="381" t="n">
        <x:f>SUMIFS('Wind Proxy'!$H$8:$H$19,'Wind Proxy'!$A$8:$A$19,'Estimator'!$B$4,'Wind Proxy'!$B$8:$B$19,C3030)</x:f>
        <x:v>0.11728395061728397</x:v>
      </x:c>
    </x:row>
    <x:row r="3031">
      <x:c r="A3031" s="379" t="n">
        <x:v>48682</x:v>
      </x:c>
      <x:c r="B3031" s="380" t="n">
        <x:v>2033</x:v>
      </x:c>
      <x:c r="C3031" s="380" t="n">
        <x:v>4</x:v>
      </x:c>
      <x:c r="D3031" s="380" t="str">
        <x:v>Apr</x:v>
      </x:c>
      <x:c r="E3031" s="380" t="n">
        <x:v>13</x:v>
      </x:c>
      <x:c r="F3031" s="380" t="n">
        <x:v>3</x:v>
      </x:c>
      <x:c r="G3031" s="380" t="n">
        <x:f>--(F3031&lt;='Estimator'!$B$7)</x:f>
        <x:v>1</x:v>
      </x:c>
      <x:c r="H3031" s="381" t="n">
        <x:f>SUMIFS('Climate Data'!$G$7:$G$366,'Climate Data'!$A$7:$A$366,'Estimator'!$B$4,'Climate Data'!$B$7:$B$366,C3031)</x:f>
        <x:v>0.32023809523809527</x:v>
      </x:c>
      <x:c r="I3031" s="382" t="n">
        <x:f>SUMIFS('Climate Data'!$H$7:$H$366,'Climate Data'!$A$7:$A$366,'Estimator'!$B$4,'Climate Data'!$B$7:$B$366,C3031)</x:f>
        <x:v>9.066171003717471</x:v>
      </x:c>
      <x:c r="J3031" s="381" t="n">
        <x:f>SUMIFS('Wind Proxy'!$H$8:$H$19,'Wind Proxy'!$A$8:$A$19,'Estimator'!$B$4,'Wind Proxy'!$B$8:$B$19,C3031)</x:f>
        <x:v>0.11728395061728397</x:v>
      </x:c>
    </x:row>
    <x:row r="3032">
      <x:c r="A3032" s="379" t="n">
        <x:v>48683</x:v>
      </x:c>
      <x:c r="B3032" s="380" t="n">
        <x:v>2033</x:v>
      </x:c>
      <x:c r="C3032" s="380" t="n">
        <x:v>4</x:v>
      </x:c>
      <x:c r="D3032" s="380" t="str">
        <x:v>Apr</x:v>
      </x:c>
      <x:c r="E3032" s="380" t="n">
        <x:v>14</x:v>
      </x:c>
      <x:c r="F3032" s="380" t="n">
        <x:v>4</x:v>
      </x:c>
      <x:c r="G3032" s="380" t="n">
        <x:f>--(F3032&lt;='Estimator'!$B$7)</x:f>
        <x:v>1</x:v>
      </x:c>
      <x:c r="H3032" s="381" t="n">
        <x:f>SUMIFS('Climate Data'!$G$7:$G$366,'Climate Data'!$A$7:$A$366,'Estimator'!$B$4,'Climate Data'!$B$7:$B$366,C3032)</x:f>
        <x:v>0.32023809523809527</x:v>
      </x:c>
      <x:c r="I3032" s="382" t="n">
        <x:f>SUMIFS('Climate Data'!$H$7:$H$366,'Climate Data'!$A$7:$A$366,'Estimator'!$B$4,'Climate Data'!$B$7:$B$366,C3032)</x:f>
        <x:v>9.066171003717471</x:v>
      </x:c>
      <x:c r="J3032" s="381" t="n">
        <x:f>SUMIFS('Wind Proxy'!$H$8:$H$19,'Wind Proxy'!$A$8:$A$19,'Estimator'!$B$4,'Wind Proxy'!$B$8:$B$19,C3032)</x:f>
        <x:v>0.11728395061728397</x:v>
      </x:c>
    </x:row>
    <x:row r="3033">
      <x:c r="A3033" s="379" t="n">
        <x:v>48684</x:v>
      </x:c>
      <x:c r="B3033" s="380" t="n">
        <x:v>2033</x:v>
      </x:c>
      <x:c r="C3033" s="380" t="n">
        <x:v>4</x:v>
      </x:c>
      <x:c r="D3033" s="380" t="str">
        <x:v>Apr</x:v>
      </x:c>
      <x:c r="E3033" s="380" t="n">
        <x:v>15</x:v>
      </x:c>
      <x:c r="F3033" s="380" t="n">
        <x:v>5</x:v>
      </x:c>
      <x:c r="G3033" s="380" t="n">
        <x:f>--(F3033&lt;='Estimator'!$B$7)</x:f>
        <x:v>1</x:v>
      </x:c>
      <x:c r="H3033" s="381" t="n">
        <x:f>SUMIFS('Climate Data'!$G$7:$G$366,'Climate Data'!$A$7:$A$366,'Estimator'!$B$4,'Climate Data'!$B$7:$B$366,C3033)</x:f>
        <x:v>0.32023809523809527</x:v>
      </x:c>
      <x:c r="I3033" s="382" t="n">
        <x:f>SUMIFS('Climate Data'!$H$7:$H$366,'Climate Data'!$A$7:$A$366,'Estimator'!$B$4,'Climate Data'!$B$7:$B$366,C3033)</x:f>
        <x:v>9.066171003717471</x:v>
      </x:c>
      <x:c r="J3033" s="381" t="n">
        <x:f>SUMIFS('Wind Proxy'!$H$8:$H$19,'Wind Proxy'!$A$8:$A$19,'Estimator'!$B$4,'Wind Proxy'!$B$8:$B$19,C3033)</x:f>
        <x:v>0.11728395061728397</x:v>
      </x:c>
    </x:row>
    <x:row r="3034">
      <x:c r="A3034" s="379" t="n">
        <x:v>48685</x:v>
      </x:c>
      <x:c r="B3034" s="380" t="n">
        <x:v>2033</x:v>
      </x:c>
      <x:c r="C3034" s="380" t="n">
        <x:v>4</x:v>
      </x:c>
      <x:c r="D3034" s="380" t="str">
        <x:v>Apr</x:v>
      </x:c>
      <x:c r="E3034" s="380" t="n">
        <x:v>16</x:v>
      </x:c>
      <x:c r="F3034" s="380" t="n">
        <x:v>6</x:v>
      </x:c>
      <x:c r="G3034" s="380" t="n">
        <x:f>--(F3034&lt;='Estimator'!$B$7)</x:f>
        <x:v>0</x:v>
      </x:c>
      <x:c r="H3034" s="381" t="n">
        <x:f>SUMIFS('Climate Data'!$G$7:$G$366,'Climate Data'!$A$7:$A$366,'Estimator'!$B$4,'Climate Data'!$B$7:$B$366,C3034)</x:f>
        <x:v>0.32023809523809527</x:v>
      </x:c>
      <x:c r="I3034" s="382" t="n">
        <x:f>SUMIFS('Climate Data'!$H$7:$H$366,'Climate Data'!$A$7:$A$366,'Estimator'!$B$4,'Climate Data'!$B$7:$B$366,C3034)</x:f>
        <x:v>9.066171003717471</x:v>
      </x:c>
      <x:c r="J3034" s="381" t="n">
        <x:f>SUMIFS('Wind Proxy'!$H$8:$H$19,'Wind Proxy'!$A$8:$A$19,'Estimator'!$B$4,'Wind Proxy'!$B$8:$B$19,C3034)</x:f>
        <x:v>0.11728395061728397</x:v>
      </x:c>
    </x:row>
    <x:row r="3035">
      <x:c r="A3035" s="379" t="n">
        <x:v>48686</x:v>
      </x:c>
      <x:c r="B3035" s="380" t="n">
        <x:v>2033</x:v>
      </x:c>
      <x:c r="C3035" s="380" t="n">
        <x:v>4</x:v>
      </x:c>
      <x:c r="D3035" s="380" t="str">
        <x:v>Apr</x:v>
      </x:c>
      <x:c r="E3035" s="380" t="n">
        <x:v>17</x:v>
      </x:c>
      <x:c r="F3035" s="380" t="n">
        <x:v>7</x:v>
      </x:c>
      <x:c r="G3035" s="380" t="n">
        <x:f>--(F3035&lt;='Estimator'!$B$7)</x:f>
        <x:v>0</x:v>
      </x:c>
      <x:c r="H3035" s="381" t="n">
        <x:f>SUMIFS('Climate Data'!$G$7:$G$366,'Climate Data'!$A$7:$A$366,'Estimator'!$B$4,'Climate Data'!$B$7:$B$366,C3035)</x:f>
        <x:v>0.32023809523809527</x:v>
      </x:c>
      <x:c r="I3035" s="382" t="n">
        <x:f>SUMIFS('Climate Data'!$H$7:$H$366,'Climate Data'!$A$7:$A$366,'Estimator'!$B$4,'Climate Data'!$B$7:$B$366,C3035)</x:f>
        <x:v>9.066171003717471</x:v>
      </x:c>
      <x:c r="J3035" s="381" t="n">
        <x:f>SUMIFS('Wind Proxy'!$H$8:$H$19,'Wind Proxy'!$A$8:$A$19,'Estimator'!$B$4,'Wind Proxy'!$B$8:$B$19,C3035)</x:f>
        <x:v>0.11728395061728397</x:v>
      </x:c>
    </x:row>
    <x:row r="3036">
      <x:c r="A3036" s="379" t="n">
        <x:v>48687</x:v>
      </x:c>
      <x:c r="B3036" s="380" t="n">
        <x:v>2033</x:v>
      </x:c>
      <x:c r="C3036" s="380" t="n">
        <x:v>4</x:v>
      </x:c>
      <x:c r="D3036" s="380" t="str">
        <x:v>Apr</x:v>
      </x:c>
      <x:c r="E3036" s="380" t="n">
        <x:v>18</x:v>
      </x:c>
      <x:c r="F3036" s="380" t="n">
        <x:v>1</x:v>
      </x:c>
      <x:c r="G3036" s="380" t="n">
        <x:f>--(F3036&lt;='Estimator'!$B$7)</x:f>
        <x:v>1</x:v>
      </x:c>
      <x:c r="H3036" s="381" t="n">
        <x:f>SUMIFS('Climate Data'!$G$7:$G$366,'Climate Data'!$A$7:$A$366,'Estimator'!$B$4,'Climate Data'!$B$7:$B$366,C3036)</x:f>
        <x:v>0.32023809523809527</x:v>
      </x:c>
      <x:c r="I3036" s="382" t="n">
        <x:f>SUMIFS('Climate Data'!$H$7:$H$366,'Climate Data'!$A$7:$A$366,'Estimator'!$B$4,'Climate Data'!$B$7:$B$366,C3036)</x:f>
        <x:v>9.066171003717471</x:v>
      </x:c>
      <x:c r="J3036" s="381" t="n">
        <x:f>SUMIFS('Wind Proxy'!$H$8:$H$19,'Wind Proxy'!$A$8:$A$19,'Estimator'!$B$4,'Wind Proxy'!$B$8:$B$19,C3036)</x:f>
        <x:v>0.11728395061728397</x:v>
      </x:c>
    </x:row>
    <x:row r="3037">
      <x:c r="A3037" s="379" t="n">
        <x:v>48688</x:v>
      </x:c>
      <x:c r="B3037" s="380" t="n">
        <x:v>2033</x:v>
      </x:c>
      <x:c r="C3037" s="380" t="n">
        <x:v>4</x:v>
      </x:c>
      <x:c r="D3037" s="380" t="str">
        <x:v>Apr</x:v>
      </x:c>
      <x:c r="E3037" s="380" t="n">
        <x:v>19</x:v>
      </x:c>
      <x:c r="F3037" s="380" t="n">
        <x:v>2</x:v>
      </x:c>
      <x:c r="G3037" s="380" t="n">
        <x:f>--(F3037&lt;='Estimator'!$B$7)</x:f>
        <x:v>1</x:v>
      </x:c>
      <x:c r="H3037" s="381" t="n">
        <x:f>SUMIFS('Climate Data'!$G$7:$G$366,'Climate Data'!$A$7:$A$366,'Estimator'!$B$4,'Climate Data'!$B$7:$B$366,C3037)</x:f>
        <x:v>0.32023809523809527</x:v>
      </x:c>
      <x:c r="I3037" s="382" t="n">
        <x:f>SUMIFS('Climate Data'!$H$7:$H$366,'Climate Data'!$A$7:$A$366,'Estimator'!$B$4,'Climate Data'!$B$7:$B$366,C3037)</x:f>
        <x:v>9.066171003717471</x:v>
      </x:c>
      <x:c r="J3037" s="381" t="n">
        <x:f>SUMIFS('Wind Proxy'!$H$8:$H$19,'Wind Proxy'!$A$8:$A$19,'Estimator'!$B$4,'Wind Proxy'!$B$8:$B$19,C3037)</x:f>
        <x:v>0.11728395061728397</x:v>
      </x:c>
    </x:row>
    <x:row r="3038">
      <x:c r="A3038" s="379" t="n">
        <x:v>48689</x:v>
      </x:c>
      <x:c r="B3038" s="380" t="n">
        <x:v>2033</x:v>
      </x:c>
      <x:c r="C3038" s="380" t="n">
        <x:v>4</x:v>
      </x:c>
      <x:c r="D3038" s="380" t="str">
        <x:v>Apr</x:v>
      </x:c>
      <x:c r="E3038" s="380" t="n">
        <x:v>20</x:v>
      </x:c>
      <x:c r="F3038" s="380" t="n">
        <x:v>3</x:v>
      </x:c>
      <x:c r="G3038" s="380" t="n">
        <x:f>--(F3038&lt;='Estimator'!$B$7)</x:f>
        <x:v>1</x:v>
      </x:c>
      <x:c r="H3038" s="381" t="n">
        <x:f>SUMIFS('Climate Data'!$G$7:$G$366,'Climate Data'!$A$7:$A$366,'Estimator'!$B$4,'Climate Data'!$B$7:$B$366,C3038)</x:f>
        <x:v>0.32023809523809527</x:v>
      </x:c>
      <x:c r="I3038" s="382" t="n">
        <x:f>SUMIFS('Climate Data'!$H$7:$H$366,'Climate Data'!$A$7:$A$366,'Estimator'!$B$4,'Climate Data'!$B$7:$B$366,C3038)</x:f>
        <x:v>9.066171003717471</x:v>
      </x:c>
      <x:c r="J3038" s="381" t="n">
        <x:f>SUMIFS('Wind Proxy'!$H$8:$H$19,'Wind Proxy'!$A$8:$A$19,'Estimator'!$B$4,'Wind Proxy'!$B$8:$B$19,C3038)</x:f>
        <x:v>0.11728395061728397</x:v>
      </x:c>
    </x:row>
    <x:row r="3039">
      <x:c r="A3039" s="379" t="n">
        <x:v>48690</x:v>
      </x:c>
      <x:c r="B3039" s="380" t="n">
        <x:v>2033</x:v>
      </x:c>
      <x:c r="C3039" s="380" t="n">
        <x:v>4</x:v>
      </x:c>
      <x:c r="D3039" s="380" t="str">
        <x:v>Apr</x:v>
      </x:c>
      <x:c r="E3039" s="380" t="n">
        <x:v>21</x:v>
      </x:c>
      <x:c r="F3039" s="380" t="n">
        <x:v>4</x:v>
      </x:c>
      <x:c r="G3039" s="380" t="n">
        <x:f>--(F3039&lt;='Estimator'!$B$7)</x:f>
        <x:v>1</x:v>
      </x:c>
      <x:c r="H3039" s="381" t="n">
        <x:f>SUMIFS('Climate Data'!$G$7:$G$366,'Climate Data'!$A$7:$A$366,'Estimator'!$B$4,'Climate Data'!$B$7:$B$366,C3039)</x:f>
        <x:v>0.32023809523809527</x:v>
      </x:c>
      <x:c r="I3039" s="382" t="n">
        <x:f>SUMIFS('Climate Data'!$H$7:$H$366,'Climate Data'!$A$7:$A$366,'Estimator'!$B$4,'Climate Data'!$B$7:$B$366,C3039)</x:f>
        <x:v>9.066171003717471</x:v>
      </x:c>
      <x:c r="J3039" s="381" t="n">
        <x:f>SUMIFS('Wind Proxy'!$H$8:$H$19,'Wind Proxy'!$A$8:$A$19,'Estimator'!$B$4,'Wind Proxy'!$B$8:$B$19,C3039)</x:f>
        <x:v>0.11728395061728397</x:v>
      </x:c>
    </x:row>
    <x:row r="3040">
      <x:c r="A3040" s="379" t="n">
        <x:v>48691</x:v>
      </x:c>
      <x:c r="B3040" s="380" t="n">
        <x:v>2033</x:v>
      </x:c>
      <x:c r="C3040" s="380" t="n">
        <x:v>4</x:v>
      </x:c>
      <x:c r="D3040" s="380" t="str">
        <x:v>Apr</x:v>
      </x:c>
      <x:c r="E3040" s="380" t="n">
        <x:v>22</x:v>
      </x:c>
      <x:c r="F3040" s="380" t="n">
        <x:v>5</x:v>
      </x:c>
      <x:c r="G3040" s="380" t="n">
        <x:f>--(F3040&lt;='Estimator'!$B$7)</x:f>
        <x:v>1</x:v>
      </x:c>
      <x:c r="H3040" s="381" t="n">
        <x:f>SUMIFS('Climate Data'!$G$7:$G$366,'Climate Data'!$A$7:$A$366,'Estimator'!$B$4,'Climate Data'!$B$7:$B$366,C3040)</x:f>
        <x:v>0.32023809523809527</x:v>
      </x:c>
      <x:c r="I3040" s="382" t="n">
        <x:f>SUMIFS('Climate Data'!$H$7:$H$366,'Climate Data'!$A$7:$A$366,'Estimator'!$B$4,'Climate Data'!$B$7:$B$366,C3040)</x:f>
        <x:v>9.066171003717471</x:v>
      </x:c>
      <x:c r="J3040" s="381" t="n">
        <x:f>SUMIFS('Wind Proxy'!$H$8:$H$19,'Wind Proxy'!$A$8:$A$19,'Estimator'!$B$4,'Wind Proxy'!$B$8:$B$19,C3040)</x:f>
        <x:v>0.11728395061728397</x:v>
      </x:c>
    </x:row>
    <x:row r="3041">
      <x:c r="A3041" s="379" t="n">
        <x:v>48692</x:v>
      </x:c>
      <x:c r="B3041" s="380" t="n">
        <x:v>2033</x:v>
      </x:c>
      <x:c r="C3041" s="380" t="n">
        <x:v>4</x:v>
      </x:c>
      <x:c r="D3041" s="380" t="str">
        <x:v>Apr</x:v>
      </x:c>
      <x:c r="E3041" s="380" t="n">
        <x:v>23</x:v>
      </x:c>
      <x:c r="F3041" s="380" t="n">
        <x:v>6</x:v>
      </x:c>
      <x:c r="G3041" s="380" t="n">
        <x:f>--(F3041&lt;='Estimator'!$B$7)</x:f>
        <x:v>0</x:v>
      </x:c>
      <x:c r="H3041" s="381" t="n">
        <x:f>SUMIFS('Climate Data'!$G$7:$G$366,'Climate Data'!$A$7:$A$366,'Estimator'!$B$4,'Climate Data'!$B$7:$B$366,C3041)</x:f>
        <x:v>0.32023809523809527</x:v>
      </x:c>
      <x:c r="I3041" s="382" t="n">
        <x:f>SUMIFS('Climate Data'!$H$7:$H$366,'Climate Data'!$A$7:$A$366,'Estimator'!$B$4,'Climate Data'!$B$7:$B$366,C3041)</x:f>
        <x:v>9.066171003717471</x:v>
      </x:c>
      <x:c r="J3041" s="381" t="n">
        <x:f>SUMIFS('Wind Proxy'!$H$8:$H$19,'Wind Proxy'!$A$8:$A$19,'Estimator'!$B$4,'Wind Proxy'!$B$8:$B$19,C3041)</x:f>
        <x:v>0.11728395061728397</x:v>
      </x:c>
    </x:row>
    <x:row r="3042">
      <x:c r="A3042" s="379" t="n">
        <x:v>48693</x:v>
      </x:c>
      <x:c r="B3042" s="380" t="n">
        <x:v>2033</x:v>
      </x:c>
      <x:c r="C3042" s="380" t="n">
        <x:v>4</x:v>
      </x:c>
      <x:c r="D3042" s="380" t="str">
        <x:v>Apr</x:v>
      </x:c>
      <x:c r="E3042" s="380" t="n">
        <x:v>24</x:v>
      </x:c>
      <x:c r="F3042" s="380" t="n">
        <x:v>7</x:v>
      </x:c>
      <x:c r="G3042" s="380" t="n">
        <x:f>--(F3042&lt;='Estimator'!$B$7)</x:f>
        <x:v>0</x:v>
      </x:c>
      <x:c r="H3042" s="381" t="n">
        <x:f>SUMIFS('Climate Data'!$G$7:$G$366,'Climate Data'!$A$7:$A$366,'Estimator'!$B$4,'Climate Data'!$B$7:$B$366,C3042)</x:f>
        <x:v>0.32023809523809527</x:v>
      </x:c>
      <x:c r="I3042" s="382" t="n">
        <x:f>SUMIFS('Climate Data'!$H$7:$H$366,'Climate Data'!$A$7:$A$366,'Estimator'!$B$4,'Climate Data'!$B$7:$B$366,C3042)</x:f>
        <x:v>9.066171003717471</x:v>
      </x:c>
      <x:c r="J3042" s="381" t="n">
        <x:f>SUMIFS('Wind Proxy'!$H$8:$H$19,'Wind Proxy'!$A$8:$A$19,'Estimator'!$B$4,'Wind Proxy'!$B$8:$B$19,C3042)</x:f>
        <x:v>0.11728395061728397</x:v>
      </x:c>
    </x:row>
    <x:row r="3043">
      <x:c r="A3043" s="379" t="n">
        <x:v>48694</x:v>
      </x:c>
      <x:c r="B3043" s="380" t="n">
        <x:v>2033</x:v>
      </x:c>
      <x:c r="C3043" s="380" t="n">
        <x:v>4</x:v>
      </x:c>
      <x:c r="D3043" s="380" t="str">
        <x:v>Apr</x:v>
      </x:c>
      <x:c r="E3043" s="380" t="n">
        <x:v>25</x:v>
      </x:c>
      <x:c r="F3043" s="380" t="n">
        <x:v>1</x:v>
      </x:c>
      <x:c r="G3043" s="380" t="n">
        <x:f>--(F3043&lt;='Estimator'!$B$7)</x:f>
        <x:v>1</x:v>
      </x:c>
      <x:c r="H3043" s="381" t="n">
        <x:f>SUMIFS('Climate Data'!$G$7:$G$366,'Climate Data'!$A$7:$A$366,'Estimator'!$B$4,'Climate Data'!$B$7:$B$366,C3043)</x:f>
        <x:v>0.32023809523809527</x:v>
      </x:c>
      <x:c r="I3043" s="382" t="n">
        <x:f>SUMIFS('Climate Data'!$H$7:$H$366,'Climate Data'!$A$7:$A$366,'Estimator'!$B$4,'Climate Data'!$B$7:$B$366,C3043)</x:f>
        <x:v>9.066171003717471</x:v>
      </x:c>
      <x:c r="J3043" s="381" t="n">
        <x:f>SUMIFS('Wind Proxy'!$H$8:$H$19,'Wind Proxy'!$A$8:$A$19,'Estimator'!$B$4,'Wind Proxy'!$B$8:$B$19,C3043)</x:f>
        <x:v>0.11728395061728397</x:v>
      </x:c>
    </x:row>
    <x:row r="3044">
      <x:c r="A3044" s="379" t="n">
        <x:v>48695</x:v>
      </x:c>
      <x:c r="B3044" s="380" t="n">
        <x:v>2033</x:v>
      </x:c>
      <x:c r="C3044" s="380" t="n">
        <x:v>4</x:v>
      </x:c>
      <x:c r="D3044" s="380" t="str">
        <x:v>Apr</x:v>
      </x:c>
      <x:c r="E3044" s="380" t="n">
        <x:v>26</x:v>
      </x:c>
      <x:c r="F3044" s="380" t="n">
        <x:v>2</x:v>
      </x:c>
      <x:c r="G3044" s="380" t="n">
        <x:f>--(F3044&lt;='Estimator'!$B$7)</x:f>
        <x:v>1</x:v>
      </x:c>
      <x:c r="H3044" s="381" t="n">
        <x:f>SUMIFS('Climate Data'!$G$7:$G$366,'Climate Data'!$A$7:$A$366,'Estimator'!$B$4,'Climate Data'!$B$7:$B$366,C3044)</x:f>
        <x:v>0.32023809523809527</x:v>
      </x:c>
      <x:c r="I3044" s="382" t="n">
        <x:f>SUMIFS('Climate Data'!$H$7:$H$366,'Climate Data'!$A$7:$A$366,'Estimator'!$B$4,'Climate Data'!$B$7:$B$366,C3044)</x:f>
        <x:v>9.066171003717471</x:v>
      </x:c>
      <x:c r="J3044" s="381" t="n">
        <x:f>SUMIFS('Wind Proxy'!$H$8:$H$19,'Wind Proxy'!$A$8:$A$19,'Estimator'!$B$4,'Wind Proxy'!$B$8:$B$19,C3044)</x:f>
        <x:v>0.11728395061728397</x:v>
      </x:c>
    </x:row>
    <x:row r="3045">
      <x:c r="A3045" s="379" t="n">
        <x:v>48696</x:v>
      </x:c>
      <x:c r="B3045" s="380" t="n">
        <x:v>2033</x:v>
      </x:c>
      <x:c r="C3045" s="380" t="n">
        <x:v>4</x:v>
      </x:c>
      <x:c r="D3045" s="380" t="str">
        <x:v>Apr</x:v>
      </x:c>
      <x:c r="E3045" s="380" t="n">
        <x:v>27</x:v>
      </x:c>
      <x:c r="F3045" s="380" t="n">
        <x:v>3</x:v>
      </x:c>
      <x:c r="G3045" s="380" t="n">
        <x:f>--(F3045&lt;='Estimator'!$B$7)</x:f>
        <x:v>1</x:v>
      </x:c>
      <x:c r="H3045" s="381" t="n">
        <x:f>SUMIFS('Climate Data'!$G$7:$G$366,'Climate Data'!$A$7:$A$366,'Estimator'!$B$4,'Climate Data'!$B$7:$B$366,C3045)</x:f>
        <x:v>0.32023809523809527</x:v>
      </x:c>
      <x:c r="I3045" s="382" t="n">
        <x:f>SUMIFS('Climate Data'!$H$7:$H$366,'Climate Data'!$A$7:$A$366,'Estimator'!$B$4,'Climate Data'!$B$7:$B$366,C3045)</x:f>
        <x:v>9.066171003717471</x:v>
      </x:c>
      <x:c r="J3045" s="381" t="n">
        <x:f>SUMIFS('Wind Proxy'!$H$8:$H$19,'Wind Proxy'!$A$8:$A$19,'Estimator'!$B$4,'Wind Proxy'!$B$8:$B$19,C3045)</x:f>
        <x:v>0.11728395061728397</x:v>
      </x:c>
    </x:row>
    <x:row r="3046">
      <x:c r="A3046" s="379" t="n">
        <x:v>48697</x:v>
      </x:c>
      <x:c r="B3046" s="380" t="n">
        <x:v>2033</x:v>
      </x:c>
      <x:c r="C3046" s="380" t="n">
        <x:v>4</x:v>
      </x:c>
      <x:c r="D3046" s="380" t="str">
        <x:v>Apr</x:v>
      </x:c>
      <x:c r="E3046" s="380" t="n">
        <x:v>28</x:v>
      </x:c>
      <x:c r="F3046" s="380" t="n">
        <x:v>4</x:v>
      </x:c>
      <x:c r="G3046" s="380" t="n">
        <x:f>--(F3046&lt;='Estimator'!$B$7)</x:f>
        <x:v>1</x:v>
      </x:c>
      <x:c r="H3046" s="381" t="n">
        <x:f>SUMIFS('Climate Data'!$G$7:$G$366,'Climate Data'!$A$7:$A$366,'Estimator'!$B$4,'Climate Data'!$B$7:$B$366,C3046)</x:f>
        <x:v>0.32023809523809527</x:v>
      </x:c>
      <x:c r="I3046" s="382" t="n">
        <x:f>SUMIFS('Climate Data'!$H$7:$H$366,'Climate Data'!$A$7:$A$366,'Estimator'!$B$4,'Climate Data'!$B$7:$B$366,C3046)</x:f>
        <x:v>9.066171003717471</x:v>
      </x:c>
      <x:c r="J3046" s="381" t="n">
        <x:f>SUMIFS('Wind Proxy'!$H$8:$H$19,'Wind Proxy'!$A$8:$A$19,'Estimator'!$B$4,'Wind Proxy'!$B$8:$B$19,C3046)</x:f>
        <x:v>0.11728395061728397</x:v>
      </x:c>
    </x:row>
    <x:row r="3047">
      <x:c r="A3047" s="379" t="n">
        <x:v>48698</x:v>
      </x:c>
      <x:c r="B3047" s="380" t="n">
        <x:v>2033</x:v>
      </x:c>
      <x:c r="C3047" s="380" t="n">
        <x:v>4</x:v>
      </x:c>
      <x:c r="D3047" s="380" t="str">
        <x:v>Apr</x:v>
      </x:c>
      <x:c r="E3047" s="380" t="n">
        <x:v>29</x:v>
      </x:c>
      <x:c r="F3047" s="380" t="n">
        <x:v>5</x:v>
      </x:c>
      <x:c r="G3047" s="380" t="n">
        <x:f>--(F3047&lt;='Estimator'!$B$7)</x:f>
        <x:v>1</x:v>
      </x:c>
      <x:c r="H3047" s="381" t="n">
        <x:f>SUMIFS('Climate Data'!$G$7:$G$366,'Climate Data'!$A$7:$A$366,'Estimator'!$B$4,'Climate Data'!$B$7:$B$366,C3047)</x:f>
        <x:v>0.32023809523809527</x:v>
      </x:c>
      <x:c r="I3047" s="382" t="n">
        <x:f>SUMIFS('Climate Data'!$H$7:$H$366,'Climate Data'!$A$7:$A$366,'Estimator'!$B$4,'Climate Data'!$B$7:$B$366,C3047)</x:f>
        <x:v>9.066171003717471</x:v>
      </x:c>
      <x:c r="J3047" s="381" t="n">
        <x:f>SUMIFS('Wind Proxy'!$H$8:$H$19,'Wind Proxy'!$A$8:$A$19,'Estimator'!$B$4,'Wind Proxy'!$B$8:$B$19,C3047)</x:f>
        <x:v>0.11728395061728397</x:v>
      </x:c>
    </x:row>
    <x:row r="3048">
      <x:c r="A3048" s="379" t="n">
        <x:v>48699</x:v>
      </x:c>
      <x:c r="B3048" s="380" t="n">
        <x:v>2033</x:v>
      </x:c>
      <x:c r="C3048" s="380" t="n">
        <x:v>4</x:v>
      </x:c>
      <x:c r="D3048" s="380" t="str">
        <x:v>Apr</x:v>
      </x:c>
      <x:c r="E3048" s="380" t="n">
        <x:v>30</x:v>
      </x:c>
      <x:c r="F3048" s="380" t="n">
        <x:v>6</x:v>
      </x:c>
      <x:c r="G3048" s="380" t="n">
        <x:f>--(F3048&lt;='Estimator'!$B$7)</x:f>
        <x:v>0</x:v>
      </x:c>
      <x:c r="H3048" s="381" t="n">
        <x:f>SUMIFS('Climate Data'!$G$7:$G$366,'Climate Data'!$A$7:$A$366,'Estimator'!$B$4,'Climate Data'!$B$7:$B$366,C3048)</x:f>
        <x:v>0.32023809523809527</x:v>
      </x:c>
      <x:c r="I3048" s="382" t="n">
        <x:f>SUMIFS('Climate Data'!$H$7:$H$366,'Climate Data'!$A$7:$A$366,'Estimator'!$B$4,'Climate Data'!$B$7:$B$366,C3048)</x:f>
        <x:v>9.066171003717471</x:v>
      </x:c>
      <x:c r="J3048" s="381" t="n">
        <x:f>SUMIFS('Wind Proxy'!$H$8:$H$19,'Wind Proxy'!$A$8:$A$19,'Estimator'!$B$4,'Wind Proxy'!$B$8:$B$19,C3048)</x:f>
        <x:v>0.11728395061728397</x:v>
      </x:c>
    </x:row>
    <x:row r="3049">
      <x:c r="A3049" s="379" t="n">
        <x:v>48700</x:v>
      </x:c>
      <x:c r="B3049" s="380" t="n">
        <x:v>2033</x:v>
      </x:c>
      <x:c r="C3049" s="380" t="n">
        <x:v>5</x:v>
      </x:c>
      <x:c r="D3049" s="380" t="str">
        <x:v>May</x:v>
      </x:c>
      <x:c r="E3049" s="380" t="n">
        <x:v>1</x:v>
      </x:c>
      <x:c r="F3049" s="380" t="n">
        <x:v>7</x:v>
      </x:c>
      <x:c r="G3049" s="380" t="n">
        <x:f>--(F3049&lt;='Estimator'!$B$7)</x:f>
        <x:v>0</x:v>
      </x:c>
      <x:c r="H3049" s="381" t="n">
        <x:f>SUMIFS('Climate Data'!$G$7:$G$366,'Climate Data'!$A$7:$A$366,'Estimator'!$B$4,'Climate Data'!$B$7:$B$366,C3049)</x:f>
        <x:v>0.41935483870967744</x:v>
      </x:c>
      <x:c r="I3049" s="382" t="n">
        <x:f>SUMIFS('Climate Data'!$H$7:$H$366,'Climate Data'!$A$7:$A$366,'Estimator'!$B$4,'Climate Data'!$B$7:$B$366,C3049)</x:f>
        <x:v>9.215384615384615</x:v>
      </x:c>
      <x:c r="J3049" s="381" t="n">
        <x:f>SUMIFS('Wind Proxy'!$H$8:$H$19,'Wind Proxy'!$A$8:$A$19,'Estimator'!$B$4,'Wind Proxy'!$B$8:$B$19,C3049)</x:f>
        <x:v>0.11350059737156513</x:v>
      </x:c>
    </x:row>
    <x:row r="3050">
      <x:c r="A3050" s="379" t="n">
        <x:v>48701</x:v>
      </x:c>
      <x:c r="B3050" s="380" t="n">
        <x:v>2033</x:v>
      </x:c>
      <x:c r="C3050" s="380" t="n">
        <x:v>5</x:v>
      </x:c>
      <x:c r="D3050" s="380" t="str">
        <x:v>May</x:v>
      </x:c>
      <x:c r="E3050" s="380" t="n">
        <x:v>2</x:v>
      </x:c>
      <x:c r="F3050" s="380" t="n">
        <x:v>1</x:v>
      </x:c>
      <x:c r="G3050" s="380" t="n">
        <x:f>--(F3050&lt;='Estimator'!$B$7)</x:f>
        <x:v>1</x:v>
      </x:c>
      <x:c r="H3050" s="381" t="n">
        <x:f>SUMIFS('Climate Data'!$G$7:$G$366,'Climate Data'!$A$7:$A$366,'Estimator'!$B$4,'Climate Data'!$B$7:$B$366,C3050)</x:f>
        <x:v>0.41935483870967744</x:v>
      </x:c>
      <x:c r="I3050" s="382" t="n">
        <x:f>SUMIFS('Climate Data'!$H$7:$H$366,'Climate Data'!$A$7:$A$366,'Estimator'!$B$4,'Climate Data'!$B$7:$B$366,C3050)</x:f>
        <x:v>9.215384615384615</x:v>
      </x:c>
      <x:c r="J3050" s="381" t="n">
        <x:f>SUMIFS('Wind Proxy'!$H$8:$H$19,'Wind Proxy'!$A$8:$A$19,'Estimator'!$B$4,'Wind Proxy'!$B$8:$B$19,C3050)</x:f>
        <x:v>0.11350059737156513</x:v>
      </x:c>
    </x:row>
    <x:row r="3051">
      <x:c r="A3051" s="379" t="n">
        <x:v>48702</x:v>
      </x:c>
      <x:c r="B3051" s="380" t="n">
        <x:v>2033</x:v>
      </x:c>
      <x:c r="C3051" s="380" t="n">
        <x:v>5</x:v>
      </x:c>
      <x:c r="D3051" s="380" t="str">
        <x:v>May</x:v>
      </x:c>
      <x:c r="E3051" s="380" t="n">
        <x:v>3</x:v>
      </x:c>
      <x:c r="F3051" s="380" t="n">
        <x:v>2</x:v>
      </x:c>
      <x:c r="G3051" s="380" t="n">
        <x:f>--(F3051&lt;='Estimator'!$B$7)</x:f>
        <x:v>1</x:v>
      </x:c>
      <x:c r="H3051" s="381" t="n">
        <x:f>SUMIFS('Climate Data'!$G$7:$G$366,'Climate Data'!$A$7:$A$366,'Estimator'!$B$4,'Climate Data'!$B$7:$B$366,C3051)</x:f>
        <x:v>0.41935483870967744</x:v>
      </x:c>
      <x:c r="I3051" s="382" t="n">
        <x:f>SUMIFS('Climate Data'!$H$7:$H$366,'Climate Data'!$A$7:$A$366,'Estimator'!$B$4,'Climate Data'!$B$7:$B$366,C3051)</x:f>
        <x:v>9.215384615384615</x:v>
      </x:c>
      <x:c r="J3051" s="381" t="n">
        <x:f>SUMIFS('Wind Proxy'!$H$8:$H$19,'Wind Proxy'!$A$8:$A$19,'Estimator'!$B$4,'Wind Proxy'!$B$8:$B$19,C3051)</x:f>
        <x:v>0.11350059737156513</x:v>
      </x:c>
    </x:row>
    <x:row r="3052">
      <x:c r="A3052" s="379" t="n">
        <x:v>48703</x:v>
      </x:c>
      <x:c r="B3052" s="380" t="n">
        <x:v>2033</x:v>
      </x:c>
      <x:c r="C3052" s="380" t="n">
        <x:v>5</x:v>
      </x:c>
      <x:c r="D3052" s="380" t="str">
        <x:v>May</x:v>
      </x:c>
      <x:c r="E3052" s="380" t="n">
        <x:v>4</x:v>
      </x:c>
      <x:c r="F3052" s="380" t="n">
        <x:v>3</x:v>
      </x:c>
      <x:c r="G3052" s="380" t="n">
        <x:f>--(F3052&lt;='Estimator'!$B$7)</x:f>
        <x:v>1</x:v>
      </x:c>
      <x:c r="H3052" s="381" t="n">
        <x:f>SUMIFS('Climate Data'!$G$7:$G$366,'Climate Data'!$A$7:$A$366,'Estimator'!$B$4,'Climate Data'!$B$7:$B$366,C3052)</x:f>
        <x:v>0.41935483870967744</x:v>
      </x:c>
      <x:c r="I3052" s="382" t="n">
        <x:f>SUMIFS('Climate Data'!$H$7:$H$366,'Climate Data'!$A$7:$A$366,'Estimator'!$B$4,'Climate Data'!$B$7:$B$366,C3052)</x:f>
        <x:v>9.215384615384615</x:v>
      </x:c>
      <x:c r="J3052" s="381" t="n">
        <x:f>SUMIFS('Wind Proxy'!$H$8:$H$19,'Wind Proxy'!$A$8:$A$19,'Estimator'!$B$4,'Wind Proxy'!$B$8:$B$19,C3052)</x:f>
        <x:v>0.11350059737156513</x:v>
      </x:c>
    </x:row>
    <x:row r="3053">
      <x:c r="A3053" s="379" t="n">
        <x:v>48704</x:v>
      </x:c>
      <x:c r="B3053" s="380" t="n">
        <x:v>2033</x:v>
      </x:c>
      <x:c r="C3053" s="380" t="n">
        <x:v>5</x:v>
      </x:c>
      <x:c r="D3053" s="380" t="str">
        <x:v>May</x:v>
      </x:c>
      <x:c r="E3053" s="380" t="n">
        <x:v>5</x:v>
      </x:c>
      <x:c r="F3053" s="380" t="n">
        <x:v>4</x:v>
      </x:c>
      <x:c r="G3053" s="380" t="n">
        <x:f>--(F3053&lt;='Estimator'!$B$7)</x:f>
        <x:v>1</x:v>
      </x:c>
      <x:c r="H3053" s="381" t="n">
        <x:f>SUMIFS('Climate Data'!$G$7:$G$366,'Climate Data'!$A$7:$A$366,'Estimator'!$B$4,'Climate Data'!$B$7:$B$366,C3053)</x:f>
        <x:v>0.41935483870967744</x:v>
      </x:c>
      <x:c r="I3053" s="382" t="n">
        <x:f>SUMIFS('Climate Data'!$H$7:$H$366,'Climate Data'!$A$7:$A$366,'Estimator'!$B$4,'Climate Data'!$B$7:$B$366,C3053)</x:f>
        <x:v>9.215384615384615</x:v>
      </x:c>
      <x:c r="J3053" s="381" t="n">
        <x:f>SUMIFS('Wind Proxy'!$H$8:$H$19,'Wind Proxy'!$A$8:$A$19,'Estimator'!$B$4,'Wind Proxy'!$B$8:$B$19,C3053)</x:f>
        <x:v>0.11350059737156513</x:v>
      </x:c>
    </x:row>
    <x:row r="3054">
      <x:c r="A3054" s="379" t="n">
        <x:v>48705</x:v>
      </x:c>
      <x:c r="B3054" s="380" t="n">
        <x:v>2033</x:v>
      </x:c>
      <x:c r="C3054" s="380" t="n">
        <x:v>5</x:v>
      </x:c>
      <x:c r="D3054" s="380" t="str">
        <x:v>May</x:v>
      </x:c>
      <x:c r="E3054" s="380" t="n">
        <x:v>6</x:v>
      </x:c>
      <x:c r="F3054" s="380" t="n">
        <x:v>5</x:v>
      </x:c>
      <x:c r="G3054" s="380" t="n">
        <x:f>--(F3054&lt;='Estimator'!$B$7)</x:f>
        <x:v>1</x:v>
      </x:c>
      <x:c r="H3054" s="381" t="n">
        <x:f>SUMIFS('Climate Data'!$G$7:$G$366,'Climate Data'!$A$7:$A$366,'Estimator'!$B$4,'Climate Data'!$B$7:$B$366,C3054)</x:f>
        <x:v>0.41935483870967744</x:v>
      </x:c>
      <x:c r="I3054" s="382" t="n">
        <x:f>SUMIFS('Climate Data'!$H$7:$H$366,'Climate Data'!$A$7:$A$366,'Estimator'!$B$4,'Climate Data'!$B$7:$B$366,C3054)</x:f>
        <x:v>9.215384615384615</x:v>
      </x:c>
      <x:c r="J3054" s="381" t="n">
        <x:f>SUMIFS('Wind Proxy'!$H$8:$H$19,'Wind Proxy'!$A$8:$A$19,'Estimator'!$B$4,'Wind Proxy'!$B$8:$B$19,C3054)</x:f>
        <x:v>0.11350059737156513</x:v>
      </x:c>
    </x:row>
    <x:row r="3055">
      <x:c r="A3055" s="379" t="n">
        <x:v>48706</x:v>
      </x:c>
      <x:c r="B3055" s="380" t="n">
        <x:v>2033</x:v>
      </x:c>
      <x:c r="C3055" s="380" t="n">
        <x:v>5</x:v>
      </x:c>
      <x:c r="D3055" s="380" t="str">
        <x:v>May</x:v>
      </x:c>
      <x:c r="E3055" s="380" t="n">
        <x:v>7</x:v>
      </x:c>
      <x:c r="F3055" s="380" t="n">
        <x:v>6</x:v>
      </x:c>
      <x:c r="G3055" s="380" t="n">
        <x:f>--(F3055&lt;='Estimator'!$B$7)</x:f>
        <x:v>0</x:v>
      </x:c>
      <x:c r="H3055" s="381" t="n">
        <x:f>SUMIFS('Climate Data'!$G$7:$G$366,'Climate Data'!$A$7:$A$366,'Estimator'!$B$4,'Climate Data'!$B$7:$B$366,C3055)</x:f>
        <x:v>0.41935483870967744</x:v>
      </x:c>
      <x:c r="I3055" s="382" t="n">
        <x:f>SUMIFS('Climate Data'!$H$7:$H$366,'Climate Data'!$A$7:$A$366,'Estimator'!$B$4,'Climate Data'!$B$7:$B$366,C3055)</x:f>
        <x:v>9.215384615384615</x:v>
      </x:c>
      <x:c r="J3055" s="381" t="n">
        <x:f>SUMIFS('Wind Proxy'!$H$8:$H$19,'Wind Proxy'!$A$8:$A$19,'Estimator'!$B$4,'Wind Proxy'!$B$8:$B$19,C3055)</x:f>
        <x:v>0.11350059737156513</x:v>
      </x:c>
    </x:row>
    <x:row r="3056">
      <x:c r="A3056" s="379" t="n">
        <x:v>48707</x:v>
      </x:c>
      <x:c r="B3056" s="380" t="n">
        <x:v>2033</x:v>
      </x:c>
      <x:c r="C3056" s="380" t="n">
        <x:v>5</x:v>
      </x:c>
      <x:c r="D3056" s="380" t="str">
        <x:v>May</x:v>
      </x:c>
      <x:c r="E3056" s="380" t="n">
        <x:v>8</x:v>
      </x:c>
      <x:c r="F3056" s="380" t="n">
        <x:v>7</x:v>
      </x:c>
      <x:c r="G3056" s="380" t="n">
        <x:f>--(F3056&lt;='Estimator'!$B$7)</x:f>
        <x:v>0</x:v>
      </x:c>
      <x:c r="H3056" s="381" t="n">
        <x:f>SUMIFS('Climate Data'!$G$7:$G$366,'Climate Data'!$A$7:$A$366,'Estimator'!$B$4,'Climate Data'!$B$7:$B$366,C3056)</x:f>
        <x:v>0.41935483870967744</x:v>
      </x:c>
      <x:c r="I3056" s="382" t="n">
        <x:f>SUMIFS('Climate Data'!$H$7:$H$366,'Climate Data'!$A$7:$A$366,'Estimator'!$B$4,'Climate Data'!$B$7:$B$366,C3056)</x:f>
        <x:v>9.215384615384615</x:v>
      </x:c>
      <x:c r="J3056" s="381" t="n">
        <x:f>SUMIFS('Wind Proxy'!$H$8:$H$19,'Wind Proxy'!$A$8:$A$19,'Estimator'!$B$4,'Wind Proxy'!$B$8:$B$19,C3056)</x:f>
        <x:v>0.11350059737156513</x:v>
      </x:c>
    </x:row>
    <x:row r="3057">
      <x:c r="A3057" s="379" t="n">
        <x:v>48708</x:v>
      </x:c>
      <x:c r="B3057" s="380" t="n">
        <x:v>2033</x:v>
      </x:c>
      <x:c r="C3057" s="380" t="n">
        <x:v>5</x:v>
      </x:c>
      <x:c r="D3057" s="380" t="str">
        <x:v>May</x:v>
      </x:c>
      <x:c r="E3057" s="380" t="n">
        <x:v>9</x:v>
      </x:c>
      <x:c r="F3057" s="380" t="n">
        <x:v>1</x:v>
      </x:c>
      <x:c r="G3057" s="380" t="n">
        <x:f>--(F3057&lt;='Estimator'!$B$7)</x:f>
        <x:v>1</x:v>
      </x:c>
      <x:c r="H3057" s="381" t="n">
        <x:f>SUMIFS('Climate Data'!$G$7:$G$366,'Climate Data'!$A$7:$A$366,'Estimator'!$B$4,'Climate Data'!$B$7:$B$366,C3057)</x:f>
        <x:v>0.41935483870967744</x:v>
      </x:c>
      <x:c r="I3057" s="382" t="n">
        <x:f>SUMIFS('Climate Data'!$H$7:$H$366,'Climate Data'!$A$7:$A$366,'Estimator'!$B$4,'Climate Data'!$B$7:$B$366,C3057)</x:f>
        <x:v>9.215384615384615</x:v>
      </x:c>
      <x:c r="J3057" s="381" t="n">
        <x:f>SUMIFS('Wind Proxy'!$H$8:$H$19,'Wind Proxy'!$A$8:$A$19,'Estimator'!$B$4,'Wind Proxy'!$B$8:$B$19,C3057)</x:f>
        <x:v>0.11350059737156513</x:v>
      </x:c>
    </x:row>
    <x:row r="3058">
      <x:c r="A3058" s="379" t="n">
        <x:v>48709</x:v>
      </x:c>
      <x:c r="B3058" s="380" t="n">
        <x:v>2033</x:v>
      </x:c>
      <x:c r="C3058" s="380" t="n">
        <x:v>5</x:v>
      </x:c>
      <x:c r="D3058" s="380" t="str">
        <x:v>May</x:v>
      </x:c>
      <x:c r="E3058" s="380" t="n">
        <x:v>10</x:v>
      </x:c>
      <x:c r="F3058" s="380" t="n">
        <x:v>2</x:v>
      </x:c>
      <x:c r="G3058" s="380" t="n">
        <x:f>--(F3058&lt;='Estimator'!$B$7)</x:f>
        <x:v>1</x:v>
      </x:c>
      <x:c r="H3058" s="381" t="n">
        <x:f>SUMIFS('Climate Data'!$G$7:$G$366,'Climate Data'!$A$7:$A$366,'Estimator'!$B$4,'Climate Data'!$B$7:$B$366,C3058)</x:f>
        <x:v>0.41935483870967744</x:v>
      </x:c>
      <x:c r="I3058" s="382" t="n">
        <x:f>SUMIFS('Climate Data'!$H$7:$H$366,'Climate Data'!$A$7:$A$366,'Estimator'!$B$4,'Climate Data'!$B$7:$B$366,C3058)</x:f>
        <x:v>9.215384615384615</x:v>
      </x:c>
      <x:c r="J3058" s="381" t="n">
        <x:f>SUMIFS('Wind Proxy'!$H$8:$H$19,'Wind Proxy'!$A$8:$A$19,'Estimator'!$B$4,'Wind Proxy'!$B$8:$B$19,C3058)</x:f>
        <x:v>0.11350059737156513</x:v>
      </x:c>
    </x:row>
    <x:row r="3059">
      <x:c r="A3059" s="379" t="n">
        <x:v>48710</x:v>
      </x:c>
      <x:c r="B3059" s="380" t="n">
        <x:v>2033</x:v>
      </x:c>
      <x:c r="C3059" s="380" t="n">
        <x:v>5</x:v>
      </x:c>
      <x:c r="D3059" s="380" t="str">
        <x:v>May</x:v>
      </x:c>
      <x:c r="E3059" s="380" t="n">
        <x:v>11</x:v>
      </x:c>
      <x:c r="F3059" s="380" t="n">
        <x:v>3</x:v>
      </x:c>
      <x:c r="G3059" s="380" t="n">
        <x:f>--(F3059&lt;='Estimator'!$B$7)</x:f>
        <x:v>1</x:v>
      </x:c>
      <x:c r="H3059" s="381" t="n">
        <x:f>SUMIFS('Climate Data'!$G$7:$G$366,'Climate Data'!$A$7:$A$366,'Estimator'!$B$4,'Climate Data'!$B$7:$B$366,C3059)</x:f>
        <x:v>0.41935483870967744</x:v>
      </x:c>
      <x:c r="I3059" s="382" t="n">
        <x:f>SUMIFS('Climate Data'!$H$7:$H$366,'Climate Data'!$A$7:$A$366,'Estimator'!$B$4,'Climate Data'!$B$7:$B$366,C3059)</x:f>
        <x:v>9.215384615384615</x:v>
      </x:c>
      <x:c r="J3059" s="381" t="n">
        <x:f>SUMIFS('Wind Proxy'!$H$8:$H$19,'Wind Proxy'!$A$8:$A$19,'Estimator'!$B$4,'Wind Proxy'!$B$8:$B$19,C3059)</x:f>
        <x:v>0.11350059737156513</x:v>
      </x:c>
    </x:row>
    <x:row r="3060">
      <x:c r="A3060" s="379" t="n">
        <x:v>48711</x:v>
      </x:c>
      <x:c r="B3060" s="380" t="n">
        <x:v>2033</x:v>
      </x:c>
      <x:c r="C3060" s="380" t="n">
        <x:v>5</x:v>
      </x:c>
      <x:c r="D3060" s="380" t="str">
        <x:v>May</x:v>
      </x:c>
      <x:c r="E3060" s="380" t="n">
        <x:v>12</x:v>
      </x:c>
      <x:c r="F3060" s="380" t="n">
        <x:v>4</x:v>
      </x:c>
      <x:c r="G3060" s="380" t="n">
        <x:f>--(F3060&lt;='Estimator'!$B$7)</x:f>
        <x:v>1</x:v>
      </x:c>
      <x:c r="H3060" s="381" t="n">
        <x:f>SUMIFS('Climate Data'!$G$7:$G$366,'Climate Data'!$A$7:$A$366,'Estimator'!$B$4,'Climate Data'!$B$7:$B$366,C3060)</x:f>
        <x:v>0.41935483870967744</x:v>
      </x:c>
      <x:c r="I3060" s="382" t="n">
        <x:f>SUMIFS('Climate Data'!$H$7:$H$366,'Climate Data'!$A$7:$A$366,'Estimator'!$B$4,'Climate Data'!$B$7:$B$366,C3060)</x:f>
        <x:v>9.215384615384615</x:v>
      </x:c>
      <x:c r="J3060" s="381" t="n">
        <x:f>SUMIFS('Wind Proxy'!$H$8:$H$19,'Wind Proxy'!$A$8:$A$19,'Estimator'!$B$4,'Wind Proxy'!$B$8:$B$19,C3060)</x:f>
        <x:v>0.11350059737156513</x:v>
      </x:c>
    </x:row>
    <x:row r="3061">
      <x:c r="A3061" s="379" t="n">
        <x:v>48712</x:v>
      </x:c>
      <x:c r="B3061" s="380" t="n">
        <x:v>2033</x:v>
      </x:c>
      <x:c r="C3061" s="380" t="n">
        <x:v>5</x:v>
      </x:c>
      <x:c r="D3061" s="380" t="str">
        <x:v>May</x:v>
      </x:c>
      <x:c r="E3061" s="380" t="n">
        <x:v>13</x:v>
      </x:c>
      <x:c r="F3061" s="380" t="n">
        <x:v>5</x:v>
      </x:c>
      <x:c r="G3061" s="380" t="n">
        <x:f>--(F3061&lt;='Estimator'!$B$7)</x:f>
        <x:v>1</x:v>
      </x:c>
      <x:c r="H3061" s="381" t="n">
        <x:f>SUMIFS('Climate Data'!$G$7:$G$366,'Climate Data'!$A$7:$A$366,'Estimator'!$B$4,'Climate Data'!$B$7:$B$366,C3061)</x:f>
        <x:v>0.41935483870967744</x:v>
      </x:c>
      <x:c r="I3061" s="382" t="n">
        <x:f>SUMIFS('Climate Data'!$H$7:$H$366,'Climate Data'!$A$7:$A$366,'Estimator'!$B$4,'Climate Data'!$B$7:$B$366,C3061)</x:f>
        <x:v>9.215384615384615</x:v>
      </x:c>
      <x:c r="J3061" s="381" t="n">
        <x:f>SUMIFS('Wind Proxy'!$H$8:$H$19,'Wind Proxy'!$A$8:$A$19,'Estimator'!$B$4,'Wind Proxy'!$B$8:$B$19,C3061)</x:f>
        <x:v>0.11350059737156513</x:v>
      </x:c>
    </x:row>
    <x:row r="3062">
      <x:c r="A3062" s="379" t="n">
        <x:v>48713</x:v>
      </x:c>
      <x:c r="B3062" s="380" t="n">
        <x:v>2033</x:v>
      </x:c>
      <x:c r="C3062" s="380" t="n">
        <x:v>5</x:v>
      </x:c>
      <x:c r="D3062" s="380" t="str">
        <x:v>May</x:v>
      </x:c>
      <x:c r="E3062" s="380" t="n">
        <x:v>14</x:v>
      </x:c>
      <x:c r="F3062" s="380" t="n">
        <x:v>6</x:v>
      </x:c>
      <x:c r="G3062" s="380" t="n">
        <x:f>--(F3062&lt;='Estimator'!$B$7)</x:f>
        <x:v>0</x:v>
      </x:c>
      <x:c r="H3062" s="381" t="n">
        <x:f>SUMIFS('Climate Data'!$G$7:$G$366,'Climate Data'!$A$7:$A$366,'Estimator'!$B$4,'Climate Data'!$B$7:$B$366,C3062)</x:f>
        <x:v>0.41935483870967744</x:v>
      </x:c>
      <x:c r="I3062" s="382" t="n">
        <x:f>SUMIFS('Climate Data'!$H$7:$H$366,'Climate Data'!$A$7:$A$366,'Estimator'!$B$4,'Climate Data'!$B$7:$B$366,C3062)</x:f>
        <x:v>9.215384615384615</x:v>
      </x:c>
      <x:c r="J3062" s="381" t="n">
        <x:f>SUMIFS('Wind Proxy'!$H$8:$H$19,'Wind Proxy'!$A$8:$A$19,'Estimator'!$B$4,'Wind Proxy'!$B$8:$B$19,C3062)</x:f>
        <x:v>0.11350059737156513</x:v>
      </x:c>
    </x:row>
    <x:row r="3063">
      <x:c r="A3063" s="379" t="n">
        <x:v>48714</x:v>
      </x:c>
      <x:c r="B3063" s="380" t="n">
        <x:v>2033</x:v>
      </x:c>
      <x:c r="C3063" s="380" t="n">
        <x:v>5</x:v>
      </x:c>
      <x:c r="D3063" s="380" t="str">
        <x:v>May</x:v>
      </x:c>
      <x:c r="E3063" s="380" t="n">
        <x:v>15</x:v>
      </x:c>
      <x:c r="F3063" s="380" t="n">
        <x:v>7</x:v>
      </x:c>
      <x:c r="G3063" s="380" t="n">
        <x:f>--(F3063&lt;='Estimator'!$B$7)</x:f>
        <x:v>0</x:v>
      </x:c>
      <x:c r="H3063" s="381" t="n">
        <x:f>SUMIFS('Climate Data'!$G$7:$G$366,'Climate Data'!$A$7:$A$366,'Estimator'!$B$4,'Climate Data'!$B$7:$B$366,C3063)</x:f>
        <x:v>0.41935483870967744</x:v>
      </x:c>
      <x:c r="I3063" s="382" t="n">
        <x:f>SUMIFS('Climate Data'!$H$7:$H$366,'Climate Data'!$A$7:$A$366,'Estimator'!$B$4,'Climate Data'!$B$7:$B$366,C3063)</x:f>
        <x:v>9.215384615384615</x:v>
      </x:c>
      <x:c r="J3063" s="381" t="n">
        <x:f>SUMIFS('Wind Proxy'!$H$8:$H$19,'Wind Proxy'!$A$8:$A$19,'Estimator'!$B$4,'Wind Proxy'!$B$8:$B$19,C3063)</x:f>
        <x:v>0.11350059737156513</x:v>
      </x:c>
    </x:row>
    <x:row r="3064">
      <x:c r="A3064" s="379" t="n">
        <x:v>48715</x:v>
      </x:c>
      <x:c r="B3064" s="380" t="n">
        <x:v>2033</x:v>
      </x:c>
      <x:c r="C3064" s="380" t="n">
        <x:v>5</x:v>
      </x:c>
      <x:c r="D3064" s="380" t="str">
        <x:v>May</x:v>
      </x:c>
      <x:c r="E3064" s="380" t="n">
        <x:v>16</x:v>
      </x:c>
      <x:c r="F3064" s="380" t="n">
        <x:v>1</x:v>
      </x:c>
      <x:c r="G3064" s="380" t="n">
        <x:f>--(F3064&lt;='Estimator'!$B$7)</x:f>
        <x:v>1</x:v>
      </x:c>
      <x:c r="H3064" s="381" t="n">
        <x:f>SUMIFS('Climate Data'!$G$7:$G$366,'Climate Data'!$A$7:$A$366,'Estimator'!$B$4,'Climate Data'!$B$7:$B$366,C3064)</x:f>
        <x:v>0.41935483870967744</x:v>
      </x:c>
      <x:c r="I3064" s="382" t="n">
        <x:f>SUMIFS('Climate Data'!$H$7:$H$366,'Climate Data'!$A$7:$A$366,'Estimator'!$B$4,'Climate Data'!$B$7:$B$366,C3064)</x:f>
        <x:v>9.215384615384615</x:v>
      </x:c>
      <x:c r="J3064" s="381" t="n">
        <x:f>SUMIFS('Wind Proxy'!$H$8:$H$19,'Wind Proxy'!$A$8:$A$19,'Estimator'!$B$4,'Wind Proxy'!$B$8:$B$19,C3064)</x:f>
        <x:v>0.11350059737156513</x:v>
      </x:c>
    </x:row>
    <x:row r="3065">
      <x:c r="A3065" s="379" t="n">
        <x:v>48716</x:v>
      </x:c>
      <x:c r="B3065" s="380" t="n">
        <x:v>2033</x:v>
      </x:c>
      <x:c r="C3065" s="380" t="n">
        <x:v>5</x:v>
      </x:c>
      <x:c r="D3065" s="380" t="str">
        <x:v>May</x:v>
      </x:c>
      <x:c r="E3065" s="380" t="n">
        <x:v>17</x:v>
      </x:c>
      <x:c r="F3065" s="380" t="n">
        <x:v>2</x:v>
      </x:c>
      <x:c r="G3065" s="380" t="n">
        <x:f>--(F3065&lt;='Estimator'!$B$7)</x:f>
        <x:v>1</x:v>
      </x:c>
      <x:c r="H3065" s="381" t="n">
        <x:f>SUMIFS('Climate Data'!$G$7:$G$366,'Climate Data'!$A$7:$A$366,'Estimator'!$B$4,'Climate Data'!$B$7:$B$366,C3065)</x:f>
        <x:v>0.41935483870967744</x:v>
      </x:c>
      <x:c r="I3065" s="382" t="n">
        <x:f>SUMIFS('Climate Data'!$H$7:$H$366,'Climate Data'!$A$7:$A$366,'Estimator'!$B$4,'Climate Data'!$B$7:$B$366,C3065)</x:f>
        <x:v>9.215384615384615</x:v>
      </x:c>
      <x:c r="J3065" s="381" t="n">
        <x:f>SUMIFS('Wind Proxy'!$H$8:$H$19,'Wind Proxy'!$A$8:$A$19,'Estimator'!$B$4,'Wind Proxy'!$B$8:$B$19,C3065)</x:f>
        <x:v>0.11350059737156513</x:v>
      </x:c>
    </x:row>
    <x:row r="3066">
      <x:c r="A3066" s="379" t="n">
        <x:v>48717</x:v>
      </x:c>
      <x:c r="B3066" s="380" t="n">
        <x:v>2033</x:v>
      </x:c>
      <x:c r="C3066" s="380" t="n">
        <x:v>5</x:v>
      </x:c>
      <x:c r="D3066" s="380" t="str">
        <x:v>May</x:v>
      </x:c>
      <x:c r="E3066" s="380" t="n">
        <x:v>18</x:v>
      </x:c>
      <x:c r="F3066" s="380" t="n">
        <x:v>3</x:v>
      </x:c>
      <x:c r="G3066" s="380" t="n">
        <x:f>--(F3066&lt;='Estimator'!$B$7)</x:f>
        <x:v>1</x:v>
      </x:c>
      <x:c r="H3066" s="381" t="n">
        <x:f>SUMIFS('Climate Data'!$G$7:$G$366,'Climate Data'!$A$7:$A$366,'Estimator'!$B$4,'Climate Data'!$B$7:$B$366,C3066)</x:f>
        <x:v>0.41935483870967744</x:v>
      </x:c>
      <x:c r="I3066" s="382" t="n">
        <x:f>SUMIFS('Climate Data'!$H$7:$H$366,'Climate Data'!$A$7:$A$366,'Estimator'!$B$4,'Climate Data'!$B$7:$B$366,C3066)</x:f>
        <x:v>9.215384615384615</x:v>
      </x:c>
      <x:c r="J3066" s="381" t="n">
        <x:f>SUMIFS('Wind Proxy'!$H$8:$H$19,'Wind Proxy'!$A$8:$A$19,'Estimator'!$B$4,'Wind Proxy'!$B$8:$B$19,C3066)</x:f>
        <x:v>0.11350059737156513</x:v>
      </x:c>
    </x:row>
    <x:row r="3067">
      <x:c r="A3067" s="379" t="n">
        <x:v>48718</x:v>
      </x:c>
      <x:c r="B3067" s="380" t="n">
        <x:v>2033</x:v>
      </x:c>
      <x:c r="C3067" s="380" t="n">
        <x:v>5</x:v>
      </x:c>
      <x:c r="D3067" s="380" t="str">
        <x:v>May</x:v>
      </x:c>
      <x:c r="E3067" s="380" t="n">
        <x:v>19</x:v>
      </x:c>
      <x:c r="F3067" s="380" t="n">
        <x:v>4</x:v>
      </x:c>
      <x:c r="G3067" s="380" t="n">
        <x:f>--(F3067&lt;='Estimator'!$B$7)</x:f>
        <x:v>1</x:v>
      </x:c>
      <x:c r="H3067" s="381" t="n">
        <x:f>SUMIFS('Climate Data'!$G$7:$G$366,'Climate Data'!$A$7:$A$366,'Estimator'!$B$4,'Climate Data'!$B$7:$B$366,C3067)</x:f>
        <x:v>0.41935483870967744</x:v>
      </x:c>
      <x:c r="I3067" s="382" t="n">
        <x:f>SUMIFS('Climate Data'!$H$7:$H$366,'Climate Data'!$A$7:$A$366,'Estimator'!$B$4,'Climate Data'!$B$7:$B$366,C3067)</x:f>
        <x:v>9.215384615384615</x:v>
      </x:c>
      <x:c r="J3067" s="381" t="n">
        <x:f>SUMIFS('Wind Proxy'!$H$8:$H$19,'Wind Proxy'!$A$8:$A$19,'Estimator'!$B$4,'Wind Proxy'!$B$8:$B$19,C3067)</x:f>
        <x:v>0.11350059737156513</x:v>
      </x:c>
    </x:row>
    <x:row r="3068">
      <x:c r="A3068" s="379" t="n">
        <x:v>48719</x:v>
      </x:c>
      <x:c r="B3068" s="380" t="n">
        <x:v>2033</x:v>
      </x:c>
      <x:c r="C3068" s="380" t="n">
        <x:v>5</x:v>
      </x:c>
      <x:c r="D3068" s="380" t="str">
        <x:v>May</x:v>
      </x:c>
      <x:c r="E3068" s="380" t="n">
        <x:v>20</x:v>
      </x:c>
      <x:c r="F3068" s="380" t="n">
        <x:v>5</x:v>
      </x:c>
      <x:c r="G3068" s="380" t="n">
        <x:f>--(F3068&lt;='Estimator'!$B$7)</x:f>
        <x:v>1</x:v>
      </x:c>
      <x:c r="H3068" s="381" t="n">
        <x:f>SUMIFS('Climate Data'!$G$7:$G$366,'Climate Data'!$A$7:$A$366,'Estimator'!$B$4,'Climate Data'!$B$7:$B$366,C3068)</x:f>
        <x:v>0.41935483870967744</x:v>
      </x:c>
      <x:c r="I3068" s="382" t="n">
        <x:f>SUMIFS('Climate Data'!$H$7:$H$366,'Climate Data'!$A$7:$A$366,'Estimator'!$B$4,'Climate Data'!$B$7:$B$366,C3068)</x:f>
        <x:v>9.215384615384615</x:v>
      </x:c>
      <x:c r="J3068" s="381" t="n">
        <x:f>SUMIFS('Wind Proxy'!$H$8:$H$19,'Wind Proxy'!$A$8:$A$19,'Estimator'!$B$4,'Wind Proxy'!$B$8:$B$19,C3068)</x:f>
        <x:v>0.11350059737156513</x:v>
      </x:c>
    </x:row>
    <x:row r="3069">
      <x:c r="A3069" s="379" t="n">
        <x:v>48720</x:v>
      </x:c>
      <x:c r="B3069" s="380" t="n">
        <x:v>2033</x:v>
      </x:c>
      <x:c r="C3069" s="380" t="n">
        <x:v>5</x:v>
      </x:c>
      <x:c r="D3069" s="380" t="str">
        <x:v>May</x:v>
      </x:c>
      <x:c r="E3069" s="380" t="n">
        <x:v>21</x:v>
      </x:c>
      <x:c r="F3069" s="380" t="n">
        <x:v>6</x:v>
      </x:c>
      <x:c r="G3069" s="380" t="n">
        <x:f>--(F3069&lt;='Estimator'!$B$7)</x:f>
        <x:v>0</x:v>
      </x:c>
      <x:c r="H3069" s="381" t="n">
        <x:f>SUMIFS('Climate Data'!$G$7:$G$366,'Climate Data'!$A$7:$A$366,'Estimator'!$B$4,'Climate Data'!$B$7:$B$366,C3069)</x:f>
        <x:v>0.41935483870967744</x:v>
      </x:c>
      <x:c r="I3069" s="382" t="n">
        <x:f>SUMIFS('Climate Data'!$H$7:$H$366,'Climate Data'!$A$7:$A$366,'Estimator'!$B$4,'Climate Data'!$B$7:$B$366,C3069)</x:f>
        <x:v>9.215384615384615</x:v>
      </x:c>
      <x:c r="J3069" s="381" t="n">
        <x:f>SUMIFS('Wind Proxy'!$H$8:$H$19,'Wind Proxy'!$A$8:$A$19,'Estimator'!$B$4,'Wind Proxy'!$B$8:$B$19,C3069)</x:f>
        <x:v>0.11350059737156513</x:v>
      </x:c>
    </x:row>
    <x:row r="3070">
      <x:c r="A3070" s="379" t="n">
        <x:v>48721</x:v>
      </x:c>
      <x:c r="B3070" s="380" t="n">
        <x:v>2033</x:v>
      </x:c>
      <x:c r="C3070" s="380" t="n">
        <x:v>5</x:v>
      </x:c>
      <x:c r="D3070" s="380" t="str">
        <x:v>May</x:v>
      </x:c>
      <x:c r="E3070" s="380" t="n">
        <x:v>22</x:v>
      </x:c>
      <x:c r="F3070" s="380" t="n">
        <x:v>7</x:v>
      </x:c>
      <x:c r="G3070" s="380" t="n">
        <x:f>--(F3070&lt;='Estimator'!$B$7)</x:f>
        <x:v>0</x:v>
      </x:c>
      <x:c r="H3070" s="381" t="n">
        <x:f>SUMIFS('Climate Data'!$G$7:$G$366,'Climate Data'!$A$7:$A$366,'Estimator'!$B$4,'Climate Data'!$B$7:$B$366,C3070)</x:f>
        <x:v>0.41935483870967744</x:v>
      </x:c>
      <x:c r="I3070" s="382" t="n">
        <x:f>SUMIFS('Climate Data'!$H$7:$H$366,'Climate Data'!$A$7:$A$366,'Estimator'!$B$4,'Climate Data'!$B$7:$B$366,C3070)</x:f>
        <x:v>9.215384615384615</x:v>
      </x:c>
      <x:c r="J3070" s="381" t="n">
        <x:f>SUMIFS('Wind Proxy'!$H$8:$H$19,'Wind Proxy'!$A$8:$A$19,'Estimator'!$B$4,'Wind Proxy'!$B$8:$B$19,C3070)</x:f>
        <x:v>0.11350059737156513</x:v>
      </x:c>
    </x:row>
    <x:row r="3071">
      <x:c r="A3071" s="379" t="n">
        <x:v>48722</x:v>
      </x:c>
      <x:c r="B3071" s="380" t="n">
        <x:v>2033</x:v>
      </x:c>
      <x:c r="C3071" s="380" t="n">
        <x:v>5</x:v>
      </x:c>
      <x:c r="D3071" s="380" t="str">
        <x:v>May</x:v>
      </x:c>
      <x:c r="E3071" s="380" t="n">
        <x:v>23</x:v>
      </x:c>
      <x:c r="F3071" s="380" t="n">
        <x:v>1</x:v>
      </x:c>
      <x:c r="G3071" s="380" t="n">
        <x:f>--(F3071&lt;='Estimator'!$B$7)</x:f>
        <x:v>1</x:v>
      </x:c>
      <x:c r="H3071" s="381" t="n">
        <x:f>SUMIFS('Climate Data'!$G$7:$G$366,'Climate Data'!$A$7:$A$366,'Estimator'!$B$4,'Climate Data'!$B$7:$B$366,C3071)</x:f>
        <x:v>0.41935483870967744</x:v>
      </x:c>
      <x:c r="I3071" s="382" t="n">
        <x:f>SUMIFS('Climate Data'!$H$7:$H$366,'Climate Data'!$A$7:$A$366,'Estimator'!$B$4,'Climate Data'!$B$7:$B$366,C3071)</x:f>
        <x:v>9.215384615384615</x:v>
      </x:c>
      <x:c r="J3071" s="381" t="n">
        <x:f>SUMIFS('Wind Proxy'!$H$8:$H$19,'Wind Proxy'!$A$8:$A$19,'Estimator'!$B$4,'Wind Proxy'!$B$8:$B$19,C3071)</x:f>
        <x:v>0.11350059737156513</x:v>
      </x:c>
    </x:row>
    <x:row r="3072">
      <x:c r="A3072" s="379" t="n">
        <x:v>48723</x:v>
      </x:c>
      <x:c r="B3072" s="380" t="n">
        <x:v>2033</x:v>
      </x:c>
      <x:c r="C3072" s="380" t="n">
        <x:v>5</x:v>
      </x:c>
      <x:c r="D3072" s="380" t="str">
        <x:v>May</x:v>
      </x:c>
      <x:c r="E3072" s="380" t="n">
        <x:v>24</x:v>
      </x:c>
      <x:c r="F3072" s="380" t="n">
        <x:v>2</x:v>
      </x:c>
      <x:c r="G3072" s="380" t="n">
        <x:f>--(F3072&lt;='Estimator'!$B$7)</x:f>
        <x:v>1</x:v>
      </x:c>
      <x:c r="H3072" s="381" t="n">
        <x:f>SUMIFS('Climate Data'!$G$7:$G$366,'Climate Data'!$A$7:$A$366,'Estimator'!$B$4,'Climate Data'!$B$7:$B$366,C3072)</x:f>
        <x:v>0.41935483870967744</x:v>
      </x:c>
      <x:c r="I3072" s="382" t="n">
        <x:f>SUMIFS('Climate Data'!$H$7:$H$366,'Climate Data'!$A$7:$A$366,'Estimator'!$B$4,'Climate Data'!$B$7:$B$366,C3072)</x:f>
        <x:v>9.215384615384615</x:v>
      </x:c>
      <x:c r="J3072" s="381" t="n">
        <x:f>SUMIFS('Wind Proxy'!$H$8:$H$19,'Wind Proxy'!$A$8:$A$19,'Estimator'!$B$4,'Wind Proxy'!$B$8:$B$19,C3072)</x:f>
        <x:v>0.11350059737156513</x:v>
      </x:c>
    </x:row>
    <x:row r="3073">
      <x:c r="A3073" s="379" t="n">
        <x:v>48724</x:v>
      </x:c>
      <x:c r="B3073" s="380" t="n">
        <x:v>2033</x:v>
      </x:c>
      <x:c r="C3073" s="380" t="n">
        <x:v>5</x:v>
      </x:c>
      <x:c r="D3073" s="380" t="str">
        <x:v>May</x:v>
      </x:c>
      <x:c r="E3073" s="380" t="n">
        <x:v>25</x:v>
      </x:c>
      <x:c r="F3073" s="380" t="n">
        <x:v>3</x:v>
      </x:c>
      <x:c r="G3073" s="380" t="n">
        <x:f>--(F3073&lt;='Estimator'!$B$7)</x:f>
        <x:v>1</x:v>
      </x:c>
      <x:c r="H3073" s="381" t="n">
        <x:f>SUMIFS('Climate Data'!$G$7:$G$366,'Climate Data'!$A$7:$A$366,'Estimator'!$B$4,'Climate Data'!$B$7:$B$366,C3073)</x:f>
        <x:v>0.41935483870967744</x:v>
      </x:c>
      <x:c r="I3073" s="382" t="n">
        <x:f>SUMIFS('Climate Data'!$H$7:$H$366,'Climate Data'!$A$7:$A$366,'Estimator'!$B$4,'Climate Data'!$B$7:$B$366,C3073)</x:f>
        <x:v>9.215384615384615</x:v>
      </x:c>
      <x:c r="J3073" s="381" t="n">
        <x:f>SUMIFS('Wind Proxy'!$H$8:$H$19,'Wind Proxy'!$A$8:$A$19,'Estimator'!$B$4,'Wind Proxy'!$B$8:$B$19,C3073)</x:f>
        <x:v>0.11350059737156513</x:v>
      </x:c>
    </x:row>
    <x:row r="3074">
      <x:c r="A3074" s="379" t="n">
        <x:v>48725</x:v>
      </x:c>
      <x:c r="B3074" s="380" t="n">
        <x:v>2033</x:v>
      </x:c>
      <x:c r="C3074" s="380" t="n">
        <x:v>5</x:v>
      </x:c>
      <x:c r="D3074" s="380" t="str">
        <x:v>May</x:v>
      </x:c>
      <x:c r="E3074" s="380" t="n">
        <x:v>26</x:v>
      </x:c>
      <x:c r="F3074" s="380" t="n">
        <x:v>4</x:v>
      </x:c>
      <x:c r="G3074" s="380" t="n">
        <x:f>--(F3074&lt;='Estimator'!$B$7)</x:f>
        <x:v>1</x:v>
      </x:c>
      <x:c r="H3074" s="381" t="n">
        <x:f>SUMIFS('Climate Data'!$G$7:$G$366,'Climate Data'!$A$7:$A$366,'Estimator'!$B$4,'Climate Data'!$B$7:$B$366,C3074)</x:f>
        <x:v>0.41935483870967744</x:v>
      </x:c>
      <x:c r="I3074" s="382" t="n">
        <x:f>SUMIFS('Climate Data'!$H$7:$H$366,'Climate Data'!$A$7:$A$366,'Estimator'!$B$4,'Climate Data'!$B$7:$B$366,C3074)</x:f>
        <x:v>9.215384615384615</x:v>
      </x:c>
      <x:c r="J3074" s="381" t="n">
        <x:f>SUMIFS('Wind Proxy'!$H$8:$H$19,'Wind Proxy'!$A$8:$A$19,'Estimator'!$B$4,'Wind Proxy'!$B$8:$B$19,C3074)</x:f>
        <x:v>0.11350059737156513</x:v>
      </x:c>
    </x:row>
    <x:row r="3075">
      <x:c r="A3075" s="379" t="n">
        <x:v>48726</x:v>
      </x:c>
      <x:c r="B3075" s="380" t="n">
        <x:v>2033</x:v>
      </x:c>
      <x:c r="C3075" s="380" t="n">
        <x:v>5</x:v>
      </x:c>
      <x:c r="D3075" s="380" t="str">
        <x:v>May</x:v>
      </x:c>
      <x:c r="E3075" s="380" t="n">
        <x:v>27</x:v>
      </x:c>
      <x:c r="F3075" s="380" t="n">
        <x:v>5</x:v>
      </x:c>
      <x:c r="G3075" s="380" t="n">
        <x:f>--(F3075&lt;='Estimator'!$B$7)</x:f>
        <x:v>1</x:v>
      </x:c>
      <x:c r="H3075" s="381" t="n">
        <x:f>SUMIFS('Climate Data'!$G$7:$G$366,'Climate Data'!$A$7:$A$366,'Estimator'!$B$4,'Climate Data'!$B$7:$B$366,C3075)</x:f>
        <x:v>0.41935483870967744</x:v>
      </x:c>
      <x:c r="I3075" s="382" t="n">
        <x:f>SUMIFS('Climate Data'!$H$7:$H$366,'Climate Data'!$A$7:$A$366,'Estimator'!$B$4,'Climate Data'!$B$7:$B$366,C3075)</x:f>
        <x:v>9.215384615384615</x:v>
      </x:c>
      <x:c r="J3075" s="381" t="n">
        <x:f>SUMIFS('Wind Proxy'!$H$8:$H$19,'Wind Proxy'!$A$8:$A$19,'Estimator'!$B$4,'Wind Proxy'!$B$8:$B$19,C3075)</x:f>
        <x:v>0.11350059737156513</x:v>
      </x:c>
    </x:row>
    <x:row r="3076">
      <x:c r="A3076" s="379" t="n">
        <x:v>48727</x:v>
      </x:c>
      <x:c r="B3076" s="380" t="n">
        <x:v>2033</x:v>
      </x:c>
      <x:c r="C3076" s="380" t="n">
        <x:v>5</x:v>
      </x:c>
      <x:c r="D3076" s="380" t="str">
        <x:v>May</x:v>
      </x:c>
      <x:c r="E3076" s="380" t="n">
        <x:v>28</x:v>
      </x:c>
      <x:c r="F3076" s="380" t="n">
        <x:v>6</x:v>
      </x:c>
      <x:c r="G3076" s="380" t="n">
        <x:f>--(F3076&lt;='Estimator'!$B$7)</x:f>
        <x:v>0</x:v>
      </x:c>
      <x:c r="H3076" s="381" t="n">
        <x:f>SUMIFS('Climate Data'!$G$7:$G$366,'Climate Data'!$A$7:$A$366,'Estimator'!$B$4,'Climate Data'!$B$7:$B$366,C3076)</x:f>
        <x:v>0.41935483870967744</x:v>
      </x:c>
      <x:c r="I3076" s="382" t="n">
        <x:f>SUMIFS('Climate Data'!$H$7:$H$366,'Climate Data'!$A$7:$A$366,'Estimator'!$B$4,'Climate Data'!$B$7:$B$366,C3076)</x:f>
        <x:v>9.215384615384615</x:v>
      </x:c>
      <x:c r="J3076" s="381" t="n">
        <x:f>SUMIFS('Wind Proxy'!$H$8:$H$19,'Wind Proxy'!$A$8:$A$19,'Estimator'!$B$4,'Wind Proxy'!$B$8:$B$19,C3076)</x:f>
        <x:v>0.11350059737156513</x:v>
      </x:c>
    </x:row>
    <x:row r="3077">
      <x:c r="A3077" s="379" t="n">
        <x:v>48728</x:v>
      </x:c>
      <x:c r="B3077" s="380" t="n">
        <x:v>2033</x:v>
      </x:c>
      <x:c r="C3077" s="380" t="n">
        <x:v>5</x:v>
      </x:c>
      <x:c r="D3077" s="380" t="str">
        <x:v>May</x:v>
      </x:c>
      <x:c r="E3077" s="380" t="n">
        <x:v>29</x:v>
      </x:c>
      <x:c r="F3077" s="380" t="n">
        <x:v>7</x:v>
      </x:c>
      <x:c r="G3077" s="380" t="n">
        <x:f>--(F3077&lt;='Estimator'!$B$7)</x:f>
        <x:v>0</x:v>
      </x:c>
      <x:c r="H3077" s="381" t="n">
        <x:f>SUMIFS('Climate Data'!$G$7:$G$366,'Climate Data'!$A$7:$A$366,'Estimator'!$B$4,'Climate Data'!$B$7:$B$366,C3077)</x:f>
        <x:v>0.41935483870967744</x:v>
      </x:c>
      <x:c r="I3077" s="382" t="n">
        <x:f>SUMIFS('Climate Data'!$H$7:$H$366,'Climate Data'!$A$7:$A$366,'Estimator'!$B$4,'Climate Data'!$B$7:$B$366,C3077)</x:f>
        <x:v>9.215384615384615</x:v>
      </x:c>
      <x:c r="J3077" s="381" t="n">
        <x:f>SUMIFS('Wind Proxy'!$H$8:$H$19,'Wind Proxy'!$A$8:$A$19,'Estimator'!$B$4,'Wind Proxy'!$B$8:$B$19,C3077)</x:f>
        <x:v>0.11350059737156513</x:v>
      </x:c>
    </x:row>
    <x:row r="3078">
      <x:c r="A3078" s="379" t="n">
        <x:v>48729</x:v>
      </x:c>
      <x:c r="B3078" s="380" t="n">
        <x:v>2033</x:v>
      </x:c>
      <x:c r="C3078" s="380" t="n">
        <x:v>5</x:v>
      </x:c>
      <x:c r="D3078" s="380" t="str">
        <x:v>May</x:v>
      </x:c>
      <x:c r="E3078" s="380" t="n">
        <x:v>30</x:v>
      </x:c>
      <x:c r="F3078" s="380" t="n">
        <x:v>1</x:v>
      </x:c>
      <x:c r="G3078" s="380" t="n">
        <x:f>--(F3078&lt;='Estimator'!$B$7)</x:f>
        <x:v>1</x:v>
      </x:c>
      <x:c r="H3078" s="381" t="n">
        <x:f>SUMIFS('Climate Data'!$G$7:$G$366,'Climate Data'!$A$7:$A$366,'Estimator'!$B$4,'Climate Data'!$B$7:$B$366,C3078)</x:f>
        <x:v>0.41935483870967744</x:v>
      </x:c>
      <x:c r="I3078" s="382" t="n">
        <x:f>SUMIFS('Climate Data'!$H$7:$H$366,'Climate Data'!$A$7:$A$366,'Estimator'!$B$4,'Climate Data'!$B$7:$B$366,C3078)</x:f>
        <x:v>9.215384615384615</x:v>
      </x:c>
      <x:c r="J3078" s="381" t="n">
        <x:f>SUMIFS('Wind Proxy'!$H$8:$H$19,'Wind Proxy'!$A$8:$A$19,'Estimator'!$B$4,'Wind Proxy'!$B$8:$B$19,C3078)</x:f>
        <x:v>0.11350059737156513</x:v>
      </x:c>
    </x:row>
    <x:row r="3079">
      <x:c r="A3079" s="379" t="n">
        <x:v>48730</x:v>
      </x:c>
      <x:c r="B3079" s="380" t="n">
        <x:v>2033</x:v>
      </x:c>
      <x:c r="C3079" s="380" t="n">
        <x:v>5</x:v>
      </x:c>
      <x:c r="D3079" s="380" t="str">
        <x:v>May</x:v>
      </x:c>
      <x:c r="E3079" s="380" t="n">
        <x:v>31</x:v>
      </x:c>
      <x:c r="F3079" s="380" t="n">
        <x:v>2</x:v>
      </x:c>
      <x:c r="G3079" s="380" t="n">
        <x:f>--(F3079&lt;='Estimator'!$B$7)</x:f>
        <x:v>1</x:v>
      </x:c>
      <x:c r="H3079" s="381" t="n">
        <x:f>SUMIFS('Climate Data'!$G$7:$G$366,'Climate Data'!$A$7:$A$366,'Estimator'!$B$4,'Climate Data'!$B$7:$B$366,C3079)</x:f>
        <x:v>0.41935483870967744</x:v>
      </x:c>
      <x:c r="I3079" s="382" t="n">
        <x:f>SUMIFS('Climate Data'!$H$7:$H$366,'Climate Data'!$A$7:$A$366,'Estimator'!$B$4,'Climate Data'!$B$7:$B$366,C3079)</x:f>
        <x:v>9.215384615384615</x:v>
      </x:c>
      <x:c r="J3079" s="381" t="n">
        <x:f>SUMIFS('Wind Proxy'!$H$8:$H$19,'Wind Proxy'!$A$8:$A$19,'Estimator'!$B$4,'Wind Proxy'!$B$8:$B$19,C3079)</x:f>
        <x:v>0.11350059737156513</x:v>
      </x:c>
    </x:row>
    <x:row r="3080">
      <x:c r="A3080" s="379" t="n">
        <x:v>48731</x:v>
      </x:c>
      <x:c r="B3080" s="380" t="n">
        <x:v>2033</x:v>
      </x:c>
      <x:c r="C3080" s="380" t="n">
        <x:v>6</x:v>
      </x:c>
      <x:c r="D3080" s="380" t="str">
        <x:v>Jun</x:v>
      </x:c>
      <x:c r="E3080" s="380" t="n">
        <x:v>1</x:v>
      </x:c>
      <x:c r="F3080" s="380" t="n">
        <x:v>3</x:v>
      </x:c>
      <x:c r="G3080" s="380" t="n">
        <x:f>--(F3080&lt;='Estimator'!$B$7)</x:f>
        <x:v>1</x:v>
      </x:c>
      <x:c r="H3080" s="381" t="n">
        <x:f>SUMIFS('Climate Data'!$G$7:$G$366,'Climate Data'!$A$7:$A$366,'Estimator'!$B$4,'Climate Data'!$B$7:$B$366,C3080)</x:f>
        <x:v>0.475</x:v>
      </x:c>
      <x:c r="I3080" s="382" t="n">
        <x:f>SUMIFS('Climate Data'!$H$7:$H$366,'Climate Data'!$A$7:$A$366,'Estimator'!$B$4,'Climate Data'!$B$7:$B$366,C3080)</x:f>
        <x:v>8.378947368421054</x:v>
      </x:c>
      <x:c r="J3080" s="381" t="n">
        <x:f>SUMIFS('Wind Proxy'!$H$8:$H$19,'Wind Proxy'!$A$8:$A$19,'Estimator'!$B$4,'Wind Proxy'!$B$8:$B$19,C3080)</x:f>
        <x:v>0.14197530864197533</x:v>
      </x:c>
    </x:row>
    <x:row r="3081">
      <x:c r="A3081" s="379" t="n">
        <x:v>48732</x:v>
      </x:c>
      <x:c r="B3081" s="380" t="n">
        <x:v>2033</x:v>
      </x:c>
      <x:c r="C3081" s="380" t="n">
        <x:v>6</x:v>
      </x:c>
      <x:c r="D3081" s="380" t="str">
        <x:v>Jun</x:v>
      </x:c>
      <x:c r="E3081" s="380" t="n">
        <x:v>2</x:v>
      </x:c>
      <x:c r="F3081" s="380" t="n">
        <x:v>4</x:v>
      </x:c>
      <x:c r="G3081" s="380" t="n">
        <x:f>--(F3081&lt;='Estimator'!$B$7)</x:f>
        <x:v>1</x:v>
      </x:c>
      <x:c r="H3081" s="381" t="n">
        <x:f>SUMIFS('Climate Data'!$G$7:$G$366,'Climate Data'!$A$7:$A$366,'Estimator'!$B$4,'Climate Data'!$B$7:$B$366,C3081)</x:f>
        <x:v>0.475</x:v>
      </x:c>
      <x:c r="I3081" s="382" t="n">
        <x:f>SUMIFS('Climate Data'!$H$7:$H$366,'Climate Data'!$A$7:$A$366,'Estimator'!$B$4,'Climate Data'!$B$7:$B$366,C3081)</x:f>
        <x:v>8.378947368421054</x:v>
      </x:c>
      <x:c r="J3081" s="381" t="n">
        <x:f>SUMIFS('Wind Proxy'!$H$8:$H$19,'Wind Proxy'!$A$8:$A$19,'Estimator'!$B$4,'Wind Proxy'!$B$8:$B$19,C3081)</x:f>
        <x:v>0.14197530864197533</x:v>
      </x:c>
    </x:row>
    <x:row r="3082">
      <x:c r="A3082" s="379" t="n">
        <x:v>48733</x:v>
      </x:c>
      <x:c r="B3082" s="380" t="n">
        <x:v>2033</x:v>
      </x:c>
      <x:c r="C3082" s="380" t="n">
        <x:v>6</x:v>
      </x:c>
      <x:c r="D3082" s="380" t="str">
        <x:v>Jun</x:v>
      </x:c>
      <x:c r="E3082" s="380" t="n">
        <x:v>3</x:v>
      </x:c>
      <x:c r="F3082" s="380" t="n">
        <x:v>5</x:v>
      </x:c>
      <x:c r="G3082" s="380" t="n">
        <x:f>--(F3082&lt;='Estimator'!$B$7)</x:f>
        <x:v>1</x:v>
      </x:c>
      <x:c r="H3082" s="381" t="n">
        <x:f>SUMIFS('Climate Data'!$G$7:$G$366,'Climate Data'!$A$7:$A$366,'Estimator'!$B$4,'Climate Data'!$B$7:$B$366,C3082)</x:f>
        <x:v>0.475</x:v>
      </x:c>
      <x:c r="I3082" s="382" t="n">
        <x:f>SUMIFS('Climate Data'!$H$7:$H$366,'Climate Data'!$A$7:$A$366,'Estimator'!$B$4,'Climate Data'!$B$7:$B$366,C3082)</x:f>
        <x:v>8.378947368421054</x:v>
      </x:c>
      <x:c r="J3082" s="381" t="n">
        <x:f>SUMIFS('Wind Proxy'!$H$8:$H$19,'Wind Proxy'!$A$8:$A$19,'Estimator'!$B$4,'Wind Proxy'!$B$8:$B$19,C3082)</x:f>
        <x:v>0.14197530864197533</x:v>
      </x:c>
    </x:row>
    <x:row r="3083">
      <x:c r="A3083" s="379" t="n">
        <x:v>48734</x:v>
      </x:c>
      <x:c r="B3083" s="380" t="n">
        <x:v>2033</x:v>
      </x:c>
      <x:c r="C3083" s="380" t="n">
        <x:v>6</x:v>
      </x:c>
      <x:c r="D3083" s="380" t="str">
        <x:v>Jun</x:v>
      </x:c>
      <x:c r="E3083" s="380" t="n">
        <x:v>4</x:v>
      </x:c>
      <x:c r="F3083" s="380" t="n">
        <x:v>6</x:v>
      </x:c>
      <x:c r="G3083" s="380" t="n">
        <x:f>--(F3083&lt;='Estimator'!$B$7)</x:f>
        <x:v>0</x:v>
      </x:c>
      <x:c r="H3083" s="381" t="n">
        <x:f>SUMIFS('Climate Data'!$G$7:$G$366,'Climate Data'!$A$7:$A$366,'Estimator'!$B$4,'Climate Data'!$B$7:$B$366,C3083)</x:f>
        <x:v>0.475</x:v>
      </x:c>
      <x:c r="I3083" s="382" t="n">
        <x:f>SUMIFS('Climate Data'!$H$7:$H$366,'Climate Data'!$A$7:$A$366,'Estimator'!$B$4,'Climate Data'!$B$7:$B$366,C3083)</x:f>
        <x:v>8.378947368421054</x:v>
      </x:c>
      <x:c r="J3083" s="381" t="n">
        <x:f>SUMIFS('Wind Proxy'!$H$8:$H$19,'Wind Proxy'!$A$8:$A$19,'Estimator'!$B$4,'Wind Proxy'!$B$8:$B$19,C3083)</x:f>
        <x:v>0.14197530864197533</x:v>
      </x:c>
    </x:row>
    <x:row r="3084">
      <x:c r="A3084" s="379" t="n">
        <x:v>48735</x:v>
      </x:c>
      <x:c r="B3084" s="380" t="n">
        <x:v>2033</x:v>
      </x:c>
      <x:c r="C3084" s="380" t="n">
        <x:v>6</x:v>
      </x:c>
      <x:c r="D3084" s="380" t="str">
        <x:v>Jun</x:v>
      </x:c>
      <x:c r="E3084" s="380" t="n">
        <x:v>5</x:v>
      </x:c>
      <x:c r="F3084" s="380" t="n">
        <x:v>7</x:v>
      </x:c>
      <x:c r="G3084" s="380" t="n">
        <x:f>--(F3084&lt;='Estimator'!$B$7)</x:f>
        <x:v>0</x:v>
      </x:c>
      <x:c r="H3084" s="381" t="n">
        <x:f>SUMIFS('Climate Data'!$G$7:$G$366,'Climate Data'!$A$7:$A$366,'Estimator'!$B$4,'Climate Data'!$B$7:$B$366,C3084)</x:f>
        <x:v>0.475</x:v>
      </x:c>
      <x:c r="I3084" s="382" t="n">
        <x:f>SUMIFS('Climate Data'!$H$7:$H$366,'Climate Data'!$A$7:$A$366,'Estimator'!$B$4,'Climate Data'!$B$7:$B$366,C3084)</x:f>
        <x:v>8.378947368421054</x:v>
      </x:c>
      <x:c r="J3084" s="381" t="n">
        <x:f>SUMIFS('Wind Proxy'!$H$8:$H$19,'Wind Proxy'!$A$8:$A$19,'Estimator'!$B$4,'Wind Proxy'!$B$8:$B$19,C3084)</x:f>
        <x:v>0.14197530864197533</x:v>
      </x:c>
    </x:row>
    <x:row r="3085">
      <x:c r="A3085" s="379" t="n">
        <x:v>48736</x:v>
      </x:c>
      <x:c r="B3085" s="380" t="n">
        <x:v>2033</x:v>
      </x:c>
      <x:c r="C3085" s="380" t="n">
        <x:v>6</x:v>
      </x:c>
      <x:c r="D3085" s="380" t="str">
        <x:v>Jun</x:v>
      </x:c>
      <x:c r="E3085" s="380" t="n">
        <x:v>6</x:v>
      </x:c>
      <x:c r="F3085" s="380" t="n">
        <x:v>1</x:v>
      </x:c>
      <x:c r="G3085" s="380" t="n">
        <x:f>--(F3085&lt;='Estimator'!$B$7)</x:f>
        <x:v>1</x:v>
      </x:c>
      <x:c r="H3085" s="381" t="n">
        <x:f>SUMIFS('Climate Data'!$G$7:$G$366,'Climate Data'!$A$7:$A$366,'Estimator'!$B$4,'Climate Data'!$B$7:$B$366,C3085)</x:f>
        <x:v>0.475</x:v>
      </x:c>
      <x:c r="I3085" s="382" t="n">
        <x:f>SUMIFS('Climate Data'!$H$7:$H$366,'Climate Data'!$A$7:$A$366,'Estimator'!$B$4,'Climate Data'!$B$7:$B$366,C3085)</x:f>
        <x:v>8.378947368421054</x:v>
      </x:c>
      <x:c r="J3085" s="381" t="n">
        <x:f>SUMIFS('Wind Proxy'!$H$8:$H$19,'Wind Proxy'!$A$8:$A$19,'Estimator'!$B$4,'Wind Proxy'!$B$8:$B$19,C3085)</x:f>
        <x:v>0.14197530864197533</x:v>
      </x:c>
    </x:row>
    <x:row r="3086">
      <x:c r="A3086" s="379" t="n">
        <x:v>48737</x:v>
      </x:c>
      <x:c r="B3086" s="380" t="n">
        <x:v>2033</x:v>
      </x:c>
      <x:c r="C3086" s="380" t="n">
        <x:v>6</x:v>
      </x:c>
      <x:c r="D3086" s="380" t="str">
        <x:v>Jun</x:v>
      </x:c>
      <x:c r="E3086" s="380" t="n">
        <x:v>7</x:v>
      </x:c>
      <x:c r="F3086" s="380" t="n">
        <x:v>2</x:v>
      </x:c>
      <x:c r="G3086" s="380" t="n">
        <x:f>--(F3086&lt;='Estimator'!$B$7)</x:f>
        <x:v>1</x:v>
      </x:c>
      <x:c r="H3086" s="381" t="n">
        <x:f>SUMIFS('Climate Data'!$G$7:$G$366,'Climate Data'!$A$7:$A$366,'Estimator'!$B$4,'Climate Data'!$B$7:$B$366,C3086)</x:f>
        <x:v>0.475</x:v>
      </x:c>
      <x:c r="I3086" s="382" t="n">
        <x:f>SUMIFS('Climate Data'!$H$7:$H$366,'Climate Data'!$A$7:$A$366,'Estimator'!$B$4,'Climate Data'!$B$7:$B$366,C3086)</x:f>
        <x:v>8.378947368421054</x:v>
      </x:c>
      <x:c r="J3086" s="381" t="n">
        <x:f>SUMIFS('Wind Proxy'!$H$8:$H$19,'Wind Proxy'!$A$8:$A$19,'Estimator'!$B$4,'Wind Proxy'!$B$8:$B$19,C3086)</x:f>
        <x:v>0.14197530864197533</x:v>
      </x:c>
    </x:row>
    <x:row r="3087">
      <x:c r="A3087" s="379" t="n">
        <x:v>48738</x:v>
      </x:c>
      <x:c r="B3087" s="380" t="n">
        <x:v>2033</x:v>
      </x:c>
      <x:c r="C3087" s="380" t="n">
        <x:v>6</x:v>
      </x:c>
      <x:c r="D3087" s="380" t="str">
        <x:v>Jun</x:v>
      </x:c>
      <x:c r="E3087" s="380" t="n">
        <x:v>8</x:v>
      </x:c>
      <x:c r="F3087" s="380" t="n">
        <x:v>3</x:v>
      </x:c>
      <x:c r="G3087" s="380" t="n">
        <x:f>--(F3087&lt;='Estimator'!$B$7)</x:f>
        <x:v>1</x:v>
      </x:c>
      <x:c r="H3087" s="381" t="n">
        <x:f>SUMIFS('Climate Data'!$G$7:$G$366,'Climate Data'!$A$7:$A$366,'Estimator'!$B$4,'Climate Data'!$B$7:$B$366,C3087)</x:f>
        <x:v>0.475</x:v>
      </x:c>
      <x:c r="I3087" s="382" t="n">
        <x:f>SUMIFS('Climate Data'!$H$7:$H$366,'Climate Data'!$A$7:$A$366,'Estimator'!$B$4,'Climate Data'!$B$7:$B$366,C3087)</x:f>
        <x:v>8.378947368421054</x:v>
      </x:c>
      <x:c r="J3087" s="381" t="n">
        <x:f>SUMIFS('Wind Proxy'!$H$8:$H$19,'Wind Proxy'!$A$8:$A$19,'Estimator'!$B$4,'Wind Proxy'!$B$8:$B$19,C3087)</x:f>
        <x:v>0.14197530864197533</x:v>
      </x:c>
    </x:row>
    <x:row r="3088">
      <x:c r="A3088" s="379" t="n">
        <x:v>48739</x:v>
      </x:c>
      <x:c r="B3088" s="380" t="n">
        <x:v>2033</x:v>
      </x:c>
      <x:c r="C3088" s="380" t="n">
        <x:v>6</x:v>
      </x:c>
      <x:c r="D3088" s="380" t="str">
        <x:v>Jun</x:v>
      </x:c>
      <x:c r="E3088" s="380" t="n">
        <x:v>9</x:v>
      </x:c>
      <x:c r="F3088" s="380" t="n">
        <x:v>4</x:v>
      </x:c>
      <x:c r="G3088" s="380" t="n">
        <x:f>--(F3088&lt;='Estimator'!$B$7)</x:f>
        <x:v>1</x:v>
      </x:c>
      <x:c r="H3088" s="381" t="n">
        <x:f>SUMIFS('Climate Data'!$G$7:$G$366,'Climate Data'!$A$7:$A$366,'Estimator'!$B$4,'Climate Data'!$B$7:$B$366,C3088)</x:f>
        <x:v>0.475</x:v>
      </x:c>
      <x:c r="I3088" s="382" t="n">
        <x:f>SUMIFS('Climate Data'!$H$7:$H$366,'Climate Data'!$A$7:$A$366,'Estimator'!$B$4,'Climate Data'!$B$7:$B$366,C3088)</x:f>
        <x:v>8.378947368421054</x:v>
      </x:c>
      <x:c r="J3088" s="381" t="n">
        <x:f>SUMIFS('Wind Proxy'!$H$8:$H$19,'Wind Proxy'!$A$8:$A$19,'Estimator'!$B$4,'Wind Proxy'!$B$8:$B$19,C3088)</x:f>
        <x:v>0.14197530864197533</x:v>
      </x:c>
    </x:row>
    <x:row r="3089">
      <x:c r="A3089" s="379" t="n">
        <x:v>48740</x:v>
      </x:c>
      <x:c r="B3089" s="380" t="n">
        <x:v>2033</x:v>
      </x:c>
      <x:c r="C3089" s="380" t="n">
        <x:v>6</x:v>
      </x:c>
      <x:c r="D3089" s="380" t="str">
        <x:v>Jun</x:v>
      </x:c>
      <x:c r="E3089" s="380" t="n">
        <x:v>10</x:v>
      </x:c>
      <x:c r="F3089" s="380" t="n">
        <x:v>5</x:v>
      </x:c>
      <x:c r="G3089" s="380" t="n">
        <x:f>--(F3089&lt;='Estimator'!$B$7)</x:f>
        <x:v>1</x:v>
      </x:c>
      <x:c r="H3089" s="381" t="n">
        <x:f>SUMIFS('Climate Data'!$G$7:$G$366,'Climate Data'!$A$7:$A$366,'Estimator'!$B$4,'Climate Data'!$B$7:$B$366,C3089)</x:f>
        <x:v>0.475</x:v>
      </x:c>
      <x:c r="I3089" s="382" t="n">
        <x:f>SUMIFS('Climate Data'!$H$7:$H$366,'Climate Data'!$A$7:$A$366,'Estimator'!$B$4,'Climate Data'!$B$7:$B$366,C3089)</x:f>
        <x:v>8.378947368421054</x:v>
      </x:c>
      <x:c r="J3089" s="381" t="n">
        <x:f>SUMIFS('Wind Proxy'!$H$8:$H$19,'Wind Proxy'!$A$8:$A$19,'Estimator'!$B$4,'Wind Proxy'!$B$8:$B$19,C3089)</x:f>
        <x:v>0.14197530864197533</x:v>
      </x:c>
    </x:row>
    <x:row r="3090">
      <x:c r="A3090" s="379" t="n">
        <x:v>48741</x:v>
      </x:c>
      <x:c r="B3090" s="380" t="n">
        <x:v>2033</x:v>
      </x:c>
      <x:c r="C3090" s="380" t="n">
        <x:v>6</x:v>
      </x:c>
      <x:c r="D3090" s="380" t="str">
        <x:v>Jun</x:v>
      </x:c>
      <x:c r="E3090" s="380" t="n">
        <x:v>11</x:v>
      </x:c>
      <x:c r="F3090" s="380" t="n">
        <x:v>6</x:v>
      </x:c>
      <x:c r="G3090" s="380" t="n">
        <x:f>--(F3090&lt;='Estimator'!$B$7)</x:f>
        <x:v>0</x:v>
      </x:c>
      <x:c r="H3090" s="381" t="n">
        <x:f>SUMIFS('Climate Data'!$G$7:$G$366,'Climate Data'!$A$7:$A$366,'Estimator'!$B$4,'Climate Data'!$B$7:$B$366,C3090)</x:f>
        <x:v>0.475</x:v>
      </x:c>
      <x:c r="I3090" s="382" t="n">
        <x:f>SUMIFS('Climate Data'!$H$7:$H$366,'Climate Data'!$A$7:$A$366,'Estimator'!$B$4,'Climate Data'!$B$7:$B$366,C3090)</x:f>
        <x:v>8.378947368421054</x:v>
      </x:c>
      <x:c r="J3090" s="381" t="n">
        <x:f>SUMIFS('Wind Proxy'!$H$8:$H$19,'Wind Proxy'!$A$8:$A$19,'Estimator'!$B$4,'Wind Proxy'!$B$8:$B$19,C3090)</x:f>
        <x:v>0.14197530864197533</x:v>
      </x:c>
    </x:row>
    <x:row r="3091">
      <x:c r="A3091" s="379" t="n">
        <x:v>48742</x:v>
      </x:c>
      <x:c r="B3091" s="380" t="n">
        <x:v>2033</x:v>
      </x:c>
      <x:c r="C3091" s="380" t="n">
        <x:v>6</x:v>
      </x:c>
      <x:c r="D3091" s="380" t="str">
        <x:v>Jun</x:v>
      </x:c>
      <x:c r="E3091" s="380" t="n">
        <x:v>12</x:v>
      </x:c>
      <x:c r="F3091" s="380" t="n">
        <x:v>7</x:v>
      </x:c>
      <x:c r="G3091" s="380" t="n">
        <x:f>--(F3091&lt;='Estimator'!$B$7)</x:f>
        <x:v>0</x:v>
      </x:c>
      <x:c r="H3091" s="381" t="n">
        <x:f>SUMIFS('Climate Data'!$G$7:$G$366,'Climate Data'!$A$7:$A$366,'Estimator'!$B$4,'Climate Data'!$B$7:$B$366,C3091)</x:f>
        <x:v>0.475</x:v>
      </x:c>
      <x:c r="I3091" s="382" t="n">
        <x:f>SUMIFS('Climate Data'!$H$7:$H$366,'Climate Data'!$A$7:$A$366,'Estimator'!$B$4,'Climate Data'!$B$7:$B$366,C3091)</x:f>
        <x:v>8.378947368421054</x:v>
      </x:c>
      <x:c r="J3091" s="381" t="n">
        <x:f>SUMIFS('Wind Proxy'!$H$8:$H$19,'Wind Proxy'!$A$8:$A$19,'Estimator'!$B$4,'Wind Proxy'!$B$8:$B$19,C3091)</x:f>
        <x:v>0.14197530864197533</x:v>
      </x:c>
    </x:row>
    <x:row r="3092">
      <x:c r="A3092" s="379" t="n">
        <x:v>48743</x:v>
      </x:c>
      <x:c r="B3092" s="380" t="n">
        <x:v>2033</x:v>
      </x:c>
      <x:c r="C3092" s="380" t="n">
        <x:v>6</x:v>
      </x:c>
      <x:c r="D3092" s="380" t="str">
        <x:v>Jun</x:v>
      </x:c>
      <x:c r="E3092" s="380" t="n">
        <x:v>13</x:v>
      </x:c>
      <x:c r="F3092" s="380" t="n">
        <x:v>1</x:v>
      </x:c>
      <x:c r="G3092" s="380" t="n">
        <x:f>--(F3092&lt;='Estimator'!$B$7)</x:f>
        <x:v>1</x:v>
      </x:c>
      <x:c r="H3092" s="381" t="n">
        <x:f>SUMIFS('Climate Data'!$G$7:$G$366,'Climate Data'!$A$7:$A$366,'Estimator'!$B$4,'Climate Data'!$B$7:$B$366,C3092)</x:f>
        <x:v>0.475</x:v>
      </x:c>
      <x:c r="I3092" s="382" t="n">
        <x:f>SUMIFS('Climate Data'!$H$7:$H$366,'Climate Data'!$A$7:$A$366,'Estimator'!$B$4,'Climate Data'!$B$7:$B$366,C3092)</x:f>
        <x:v>8.378947368421054</x:v>
      </x:c>
      <x:c r="J3092" s="381" t="n">
        <x:f>SUMIFS('Wind Proxy'!$H$8:$H$19,'Wind Proxy'!$A$8:$A$19,'Estimator'!$B$4,'Wind Proxy'!$B$8:$B$19,C3092)</x:f>
        <x:v>0.14197530864197533</x:v>
      </x:c>
    </x:row>
    <x:row r="3093">
      <x:c r="A3093" s="379" t="n">
        <x:v>48744</x:v>
      </x:c>
      <x:c r="B3093" s="380" t="n">
        <x:v>2033</x:v>
      </x:c>
      <x:c r="C3093" s="380" t="n">
        <x:v>6</x:v>
      </x:c>
      <x:c r="D3093" s="380" t="str">
        <x:v>Jun</x:v>
      </x:c>
      <x:c r="E3093" s="380" t="n">
        <x:v>14</x:v>
      </x:c>
      <x:c r="F3093" s="380" t="n">
        <x:v>2</x:v>
      </x:c>
      <x:c r="G3093" s="380" t="n">
        <x:f>--(F3093&lt;='Estimator'!$B$7)</x:f>
        <x:v>1</x:v>
      </x:c>
      <x:c r="H3093" s="381" t="n">
        <x:f>SUMIFS('Climate Data'!$G$7:$G$366,'Climate Data'!$A$7:$A$366,'Estimator'!$B$4,'Climate Data'!$B$7:$B$366,C3093)</x:f>
        <x:v>0.475</x:v>
      </x:c>
      <x:c r="I3093" s="382" t="n">
        <x:f>SUMIFS('Climate Data'!$H$7:$H$366,'Climate Data'!$A$7:$A$366,'Estimator'!$B$4,'Climate Data'!$B$7:$B$366,C3093)</x:f>
        <x:v>8.378947368421054</x:v>
      </x:c>
      <x:c r="J3093" s="381" t="n">
        <x:f>SUMIFS('Wind Proxy'!$H$8:$H$19,'Wind Proxy'!$A$8:$A$19,'Estimator'!$B$4,'Wind Proxy'!$B$8:$B$19,C3093)</x:f>
        <x:v>0.14197530864197533</x:v>
      </x:c>
    </x:row>
    <x:row r="3094">
      <x:c r="A3094" s="379" t="n">
        <x:v>48745</x:v>
      </x:c>
      <x:c r="B3094" s="380" t="n">
        <x:v>2033</x:v>
      </x:c>
      <x:c r="C3094" s="380" t="n">
        <x:v>6</x:v>
      </x:c>
      <x:c r="D3094" s="380" t="str">
        <x:v>Jun</x:v>
      </x:c>
      <x:c r="E3094" s="380" t="n">
        <x:v>15</x:v>
      </x:c>
      <x:c r="F3094" s="380" t="n">
        <x:v>3</x:v>
      </x:c>
      <x:c r="G3094" s="380" t="n">
        <x:f>--(F3094&lt;='Estimator'!$B$7)</x:f>
        <x:v>1</x:v>
      </x:c>
      <x:c r="H3094" s="381" t="n">
        <x:f>SUMIFS('Climate Data'!$G$7:$G$366,'Climate Data'!$A$7:$A$366,'Estimator'!$B$4,'Climate Data'!$B$7:$B$366,C3094)</x:f>
        <x:v>0.475</x:v>
      </x:c>
      <x:c r="I3094" s="382" t="n">
        <x:f>SUMIFS('Climate Data'!$H$7:$H$366,'Climate Data'!$A$7:$A$366,'Estimator'!$B$4,'Climate Data'!$B$7:$B$366,C3094)</x:f>
        <x:v>8.378947368421054</x:v>
      </x:c>
      <x:c r="J3094" s="381" t="n">
        <x:f>SUMIFS('Wind Proxy'!$H$8:$H$19,'Wind Proxy'!$A$8:$A$19,'Estimator'!$B$4,'Wind Proxy'!$B$8:$B$19,C3094)</x:f>
        <x:v>0.14197530864197533</x:v>
      </x:c>
    </x:row>
    <x:row r="3095">
      <x:c r="A3095" s="379" t="n">
        <x:v>48746</x:v>
      </x:c>
      <x:c r="B3095" s="380" t="n">
        <x:v>2033</x:v>
      </x:c>
      <x:c r="C3095" s="380" t="n">
        <x:v>6</x:v>
      </x:c>
      <x:c r="D3095" s="380" t="str">
        <x:v>Jun</x:v>
      </x:c>
      <x:c r="E3095" s="380" t="n">
        <x:v>16</x:v>
      </x:c>
      <x:c r="F3095" s="380" t="n">
        <x:v>4</x:v>
      </x:c>
      <x:c r="G3095" s="380" t="n">
        <x:f>--(F3095&lt;='Estimator'!$B$7)</x:f>
        <x:v>1</x:v>
      </x:c>
      <x:c r="H3095" s="381" t="n">
        <x:f>SUMIFS('Climate Data'!$G$7:$G$366,'Climate Data'!$A$7:$A$366,'Estimator'!$B$4,'Climate Data'!$B$7:$B$366,C3095)</x:f>
        <x:v>0.475</x:v>
      </x:c>
      <x:c r="I3095" s="382" t="n">
        <x:f>SUMIFS('Climate Data'!$H$7:$H$366,'Climate Data'!$A$7:$A$366,'Estimator'!$B$4,'Climate Data'!$B$7:$B$366,C3095)</x:f>
        <x:v>8.378947368421054</x:v>
      </x:c>
      <x:c r="J3095" s="381" t="n">
        <x:f>SUMIFS('Wind Proxy'!$H$8:$H$19,'Wind Proxy'!$A$8:$A$19,'Estimator'!$B$4,'Wind Proxy'!$B$8:$B$19,C3095)</x:f>
        <x:v>0.14197530864197533</x:v>
      </x:c>
    </x:row>
    <x:row r="3096">
      <x:c r="A3096" s="379" t="n">
        <x:v>48747</x:v>
      </x:c>
      <x:c r="B3096" s="380" t="n">
        <x:v>2033</x:v>
      </x:c>
      <x:c r="C3096" s="380" t="n">
        <x:v>6</x:v>
      </x:c>
      <x:c r="D3096" s="380" t="str">
        <x:v>Jun</x:v>
      </x:c>
      <x:c r="E3096" s="380" t="n">
        <x:v>17</x:v>
      </x:c>
      <x:c r="F3096" s="380" t="n">
        <x:v>5</x:v>
      </x:c>
      <x:c r="G3096" s="380" t="n">
        <x:f>--(F3096&lt;='Estimator'!$B$7)</x:f>
        <x:v>1</x:v>
      </x:c>
      <x:c r="H3096" s="381" t="n">
        <x:f>SUMIFS('Climate Data'!$G$7:$G$366,'Climate Data'!$A$7:$A$366,'Estimator'!$B$4,'Climate Data'!$B$7:$B$366,C3096)</x:f>
        <x:v>0.475</x:v>
      </x:c>
      <x:c r="I3096" s="382" t="n">
        <x:f>SUMIFS('Climate Data'!$H$7:$H$366,'Climate Data'!$A$7:$A$366,'Estimator'!$B$4,'Climate Data'!$B$7:$B$366,C3096)</x:f>
        <x:v>8.378947368421054</x:v>
      </x:c>
      <x:c r="J3096" s="381" t="n">
        <x:f>SUMIFS('Wind Proxy'!$H$8:$H$19,'Wind Proxy'!$A$8:$A$19,'Estimator'!$B$4,'Wind Proxy'!$B$8:$B$19,C3096)</x:f>
        <x:v>0.14197530864197533</x:v>
      </x:c>
    </x:row>
    <x:row r="3097">
      <x:c r="A3097" s="379" t="n">
        <x:v>48748</x:v>
      </x:c>
      <x:c r="B3097" s="380" t="n">
        <x:v>2033</x:v>
      </x:c>
      <x:c r="C3097" s="380" t="n">
        <x:v>6</x:v>
      </x:c>
      <x:c r="D3097" s="380" t="str">
        <x:v>Jun</x:v>
      </x:c>
      <x:c r="E3097" s="380" t="n">
        <x:v>18</x:v>
      </x:c>
      <x:c r="F3097" s="380" t="n">
        <x:v>6</x:v>
      </x:c>
      <x:c r="G3097" s="380" t="n">
        <x:f>--(F3097&lt;='Estimator'!$B$7)</x:f>
        <x:v>0</x:v>
      </x:c>
      <x:c r="H3097" s="381" t="n">
        <x:f>SUMIFS('Climate Data'!$G$7:$G$366,'Climate Data'!$A$7:$A$366,'Estimator'!$B$4,'Climate Data'!$B$7:$B$366,C3097)</x:f>
        <x:v>0.475</x:v>
      </x:c>
      <x:c r="I3097" s="382" t="n">
        <x:f>SUMIFS('Climate Data'!$H$7:$H$366,'Climate Data'!$A$7:$A$366,'Estimator'!$B$4,'Climate Data'!$B$7:$B$366,C3097)</x:f>
        <x:v>8.378947368421054</x:v>
      </x:c>
      <x:c r="J3097" s="381" t="n">
        <x:f>SUMIFS('Wind Proxy'!$H$8:$H$19,'Wind Proxy'!$A$8:$A$19,'Estimator'!$B$4,'Wind Proxy'!$B$8:$B$19,C3097)</x:f>
        <x:v>0.14197530864197533</x:v>
      </x:c>
    </x:row>
    <x:row r="3098">
      <x:c r="A3098" s="379" t="n">
        <x:v>48749</x:v>
      </x:c>
      <x:c r="B3098" s="380" t="n">
        <x:v>2033</x:v>
      </x:c>
      <x:c r="C3098" s="380" t="n">
        <x:v>6</x:v>
      </x:c>
      <x:c r="D3098" s="380" t="str">
        <x:v>Jun</x:v>
      </x:c>
      <x:c r="E3098" s="380" t="n">
        <x:v>19</x:v>
      </x:c>
      <x:c r="F3098" s="380" t="n">
        <x:v>7</x:v>
      </x:c>
      <x:c r="G3098" s="380" t="n">
        <x:f>--(F3098&lt;='Estimator'!$B$7)</x:f>
        <x:v>0</x:v>
      </x:c>
      <x:c r="H3098" s="381" t="n">
        <x:f>SUMIFS('Climate Data'!$G$7:$G$366,'Climate Data'!$A$7:$A$366,'Estimator'!$B$4,'Climate Data'!$B$7:$B$366,C3098)</x:f>
        <x:v>0.475</x:v>
      </x:c>
      <x:c r="I3098" s="382" t="n">
        <x:f>SUMIFS('Climate Data'!$H$7:$H$366,'Climate Data'!$A$7:$A$366,'Estimator'!$B$4,'Climate Data'!$B$7:$B$366,C3098)</x:f>
        <x:v>8.378947368421054</x:v>
      </x:c>
      <x:c r="J3098" s="381" t="n">
        <x:f>SUMIFS('Wind Proxy'!$H$8:$H$19,'Wind Proxy'!$A$8:$A$19,'Estimator'!$B$4,'Wind Proxy'!$B$8:$B$19,C3098)</x:f>
        <x:v>0.14197530864197533</x:v>
      </x:c>
    </x:row>
    <x:row r="3099">
      <x:c r="A3099" s="379" t="n">
        <x:v>48750</x:v>
      </x:c>
      <x:c r="B3099" s="380" t="n">
        <x:v>2033</x:v>
      </x:c>
      <x:c r="C3099" s="380" t="n">
        <x:v>6</x:v>
      </x:c>
      <x:c r="D3099" s="380" t="str">
        <x:v>Jun</x:v>
      </x:c>
      <x:c r="E3099" s="380" t="n">
        <x:v>20</x:v>
      </x:c>
      <x:c r="F3099" s="380" t="n">
        <x:v>1</x:v>
      </x:c>
      <x:c r="G3099" s="380" t="n">
        <x:f>--(F3099&lt;='Estimator'!$B$7)</x:f>
        <x:v>1</x:v>
      </x:c>
      <x:c r="H3099" s="381" t="n">
        <x:f>SUMIFS('Climate Data'!$G$7:$G$366,'Climate Data'!$A$7:$A$366,'Estimator'!$B$4,'Climate Data'!$B$7:$B$366,C3099)</x:f>
        <x:v>0.475</x:v>
      </x:c>
      <x:c r="I3099" s="382" t="n">
        <x:f>SUMIFS('Climate Data'!$H$7:$H$366,'Climate Data'!$A$7:$A$366,'Estimator'!$B$4,'Climate Data'!$B$7:$B$366,C3099)</x:f>
        <x:v>8.378947368421054</x:v>
      </x:c>
      <x:c r="J3099" s="381" t="n">
        <x:f>SUMIFS('Wind Proxy'!$H$8:$H$19,'Wind Proxy'!$A$8:$A$19,'Estimator'!$B$4,'Wind Proxy'!$B$8:$B$19,C3099)</x:f>
        <x:v>0.14197530864197533</x:v>
      </x:c>
    </x:row>
    <x:row r="3100">
      <x:c r="A3100" s="379" t="n">
        <x:v>48751</x:v>
      </x:c>
      <x:c r="B3100" s="380" t="n">
        <x:v>2033</x:v>
      </x:c>
      <x:c r="C3100" s="380" t="n">
        <x:v>6</x:v>
      </x:c>
      <x:c r="D3100" s="380" t="str">
        <x:v>Jun</x:v>
      </x:c>
      <x:c r="E3100" s="380" t="n">
        <x:v>21</x:v>
      </x:c>
      <x:c r="F3100" s="380" t="n">
        <x:v>2</x:v>
      </x:c>
      <x:c r="G3100" s="380" t="n">
        <x:f>--(F3100&lt;='Estimator'!$B$7)</x:f>
        <x:v>1</x:v>
      </x:c>
      <x:c r="H3100" s="381" t="n">
        <x:f>SUMIFS('Climate Data'!$G$7:$G$366,'Climate Data'!$A$7:$A$366,'Estimator'!$B$4,'Climate Data'!$B$7:$B$366,C3100)</x:f>
        <x:v>0.475</x:v>
      </x:c>
      <x:c r="I3100" s="382" t="n">
        <x:f>SUMIFS('Climate Data'!$H$7:$H$366,'Climate Data'!$A$7:$A$366,'Estimator'!$B$4,'Climate Data'!$B$7:$B$366,C3100)</x:f>
        <x:v>8.378947368421054</x:v>
      </x:c>
      <x:c r="J3100" s="381" t="n">
        <x:f>SUMIFS('Wind Proxy'!$H$8:$H$19,'Wind Proxy'!$A$8:$A$19,'Estimator'!$B$4,'Wind Proxy'!$B$8:$B$19,C3100)</x:f>
        <x:v>0.14197530864197533</x:v>
      </x:c>
    </x:row>
    <x:row r="3101">
      <x:c r="A3101" s="379" t="n">
        <x:v>48752</x:v>
      </x:c>
      <x:c r="B3101" s="380" t="n">
        <x:v>2033</x:v>
      </x:c>
      <x:c r="C3101" s="380" t="n">
        <x:v>6</x:v>
      </x:c>
      <x:c r="D3101" s="380" t="str">
        <x:v>Jun</x:v>
      </x:c>
      <x:c r="E3101" s="380" t="n">
        <x:v>22</x:v>
      </x:c>
      <x:c r="F3101" s="380" t="n">
        <x:v>3</x:v>
      </x:c>
      <x:c r="G3101" s="380" t="n">
        <x:f>--(F3101&lt;='Estimator'!$B$7)</x:f>
        <x:v>1</x:v>
      </x:c>
      <x:c r="H3101" s="381" t="n">
        <x:f>SUMIFS('Climate Data'!$G$7:$G$366,'Climate Data'!$A$7:$A$366,'Estimator'!$B$4,'Climate Data'!$B$7:$B$366,C3101)</x:f>
        <x:v>0.475</x:v>
      </x:c>
      <x:c r="I3101" s="382" t="n">
        <x:f>SUMIFS('Climate Data'!$H$7:$H$366,'Climate Data'!$A$7:$A$366,'Estimator'!$B$4,'Climate Data'!$B$7:$B$366,C3101)</x:f>
        <x:v>8.378947368421054</x:v>
      </x:c>
      <x:c r="J3101" s="381" t="n">
        <x:f>SUMIFS('Wind Proxy'!$H$8:$H$19,'Wind Proxy'!$A$8:$A$19,'Estimator'!$B$4,'Wind Proxy'!$B$8:$B$19,C3101)</x:f>
        <x:v>0.14197530864197533</x:v>
      </x:c>
    </x:row>
    <x:row r="3102">
      <x:c r="A3102" s="379" t="n">
        <x:v>48753</x:v>
      </x:c>
      <x:c r="B3102" s="380" t="n">
        <x:v>2033</x:v>
      </x:c>
      <x:c r="C3102" s="380" t="n">
        <x:v>6</x:v>
      </x:c>
      <x:c r="D3102" s="380" t="str">
        <x:v>Jun</x:v>
      </x:c>
      <x:c r="E3102" s="380" t="n">
        <x:v>23</x:v>
      </x:c>
      <x:c r="F3102" s="380" t="n">
        <x:v>4</x:v>
      </x:c>
      <x:c r="G3102" s="380" t="n">
        <x:f>--(F3102&lt;='Estimator'!$B$7)</x:f>
        <x:v>1</x:v>
      </x:c>
      <x:c r="H3102" s="381" t="n">
        <x:f>SUMIFS('Climate Data'!$G$7:$G$366,'Climate Data'!$A$7:$A$366,'Estimator'!$B$4,'Climate Data'!$B$7:$B$366,C3102)</x:f>
        <x:v>0.475</x:v>
      </x:c>
      <x:c r="I3102" s="382" t="n">
        <x:f>SUMIFS('Climate Data'!$H$7:$H$366,'Climate Data'!$A$7:$A$366,'Estimator'!$B$4,'Climate Data'!$B$7:$B$366,C3102)</x:f>
        <x:v>8.378947368421054</x:v>
      </x:c>
      <x:c r="J3102" s="381" t="n">
        <x:f>SUMIFS('Wind Proxy'!$H$8:$H$19,'Wind Proxy'!$A$8:$A$19,'Estimator'!$B$4,'Wind Proxy'!$B$8:$B$19,C3102)</x:f>
        <x:v>0.14197530864197533</x:v>
      </x:c>
    </x:row>
    <x:row r="3103">
      <x:c r="A3103" s="379" t="n">
        <x:v>48754</x:v>
      </x:c>
      <x:c r="B3103" s="380" t="n">
        <x:v>2033</x:v>
      </x:c>
      <x:c r="C3103" s="380" t="n">
        <x:v>6</x:v>
      </x:c>
      <x:c r="D3103" s="380" t="str">
        <x:v>Jun</x:v>
      </x:c>
      <x:c r="E3103" s="380" t="n">
        <x:v>24</x:v>
      </x:c>
      <x:c r="F3103" s="380" t="n">
        <x:v>5</x:v>
      </x:c>
      <x:c r="G3103" s="380" t="n">
        <x:f>--(F3103&lt;='Estimator'!$B$7)</x:f>
        <x:v>1</x:v>
      </x:c>
      <x:c r="H3103" s="381" t="n">
        <x:f>SUMIFS('Climate Data'!$G$7:$G$366,'Climate Data'!$A$7:$A$366,'Estimator'!$B$4,'Climate Data'!$B$7:$B$366,C3103)</x:f>
        <x:v>0.475</x:v>
      </x:c>
      <x:c r="I3103" s="382" t="n">
        <x:f>SUMIFS('Climate Data'!$H$7:$H$366,'Climate Data'!$A$7:$A$366,'Estimator'!$B$4,'Climate Data'!$B$7:$B$366,C3103)</x:f>
        <x:v>8.378947368421054</x:v>
      </x:c>
      <x:c r="J3103" s="381" t="n">
        <x:f>SUMIFS('Wind Proxy'!$H$8:$H$19,'Wind Proxy'!$A$8:$A$19,'Estimator'!$B$4,'Wind Proxy'!$B$8:$B$19,C3103)</x:f>
        <x:v>0.14197530864197533</x:v>
      </x:c>
    </x:row>
    <x:row r="3104">
      <x:c r="A3104" s="379" t="n">
        <x:v>48755</x:v>
      </x:c>
      <x:c r="B3104" s="380" t="n">
        <x:v>2033</x:v>
      </x:c>
      <x:c r="C3104" s="380" t="n">
        <x:v>6</x:v>
      </x:c>
      <x:c r="D3104" s="380" t="str">
        <x:v>Jun</x:v>
      </x:c>
      <x:c r="E3104" s="380" t="n">
        <x:v>25</x:v>
      </x:c>
      <x:c r="F3104" s="380" t="n">
        <x:v>6</x:v>
      </x:c>
      <x:c r="G3104" s="380" t="n">
        <x:f>--(F3104&lt;='Estimator'!$B$7)</x:f>
        <x:v>0</x:v>
      </x:c>
      <x:c r="H3104" s="381" t="n">
        <x:f>SUMIFS('Climate Data'!$G$7:$G$366,'Climate Data'!$A$7:$A$366,'Estimator'!$B$4,'Climate Data'!$B$7:$B$366,C3104)</x:f>
        <x:v>0.475</x:v>
      </x:c>
      <x:c r="I3104" s="382" t="n">
        <x:f>SUMIFS('Climate Data'!$H$7:$H$366,'Climate Data'!$A$7:$A$366,'Estimator'!$B$4,'Climate Data'!$B$7:$B$366,C3104)</x:f>
        <x:v>8.378947368421054</x:v>
      </x:c>
      <x:c r="J3104" s="381" t="n">
        <x:f>SUMIFS('Wind Proxy'!$H$8:$H$19,'Wind Proxy'!$A$8:$A$19,'Estimator'!$B$4,'Wind Proxy'!$B$8:$B$19,C3104)</x:f>
        <x:v>0.14197530864197533</x:v>
      </x:c>
    </x:row>
    <x:row r="3105">
      <x:c r="A3105" s="379" t="n">
        <x:v>48756</x:v>
      </x:c>
      <x:c r="B3105" s="380" t="n">
        <x:v>2033</x:v>
      </x:c>
      <x:c r="C3105" s="380" t="n">
        <x:v>6</x:v>
      </x:c>
      <x:c r="D3105" s="380" t="str">
        <x:v>Jun</x:v>
      </x:c>
      <x:c r="E3105" s="380" t="n">
        <x:v>26</x:v>
      </x:c>
      <x:c r="F3105" s="380" t="n">
        <x:v>7</x:v>
      </x:c>
      <x:c r="G3105" s="380" t="n">
        <x:f>--(F3105&lt;='Estimator'!$B$7)</x:f>
        <x:v>0</x:v>
      </x:c>
      <x:c r="H3105" s="381" t="n">
        <x:f>SUMIFS('Climate Data'!$G$7:$G$366,'Climate Data'!$A$7:$A$366,'Estimator'!$B$4,'Climate Data'!$B$7:$B$366,C3105)</x:f>
        <x:v>0.475</x:v>
      </x:c>
      <x:c r="I3105" s="382" t="n">
        <x:f>SUMIFS('Climate Data'!$H$7:$H$366,'Climate Data'!$A$7:$A$366,'Estimator'!$B$4,'Climate Data'!$B$7:$B$366,C3105)</x:f>
        <x:v>8.378947368421054</x:v>
      </x:c>
      <x:c r="J3105" s="381" t="n">
        <x:f>SUMIFS('Wind Proxy'!$H$8:$H$19,'Wind Proxy'!$A$8:$A$19,'Estimator'!$B$4,'Wind Proxy'!$B$8:$B$19,C3105)</x:f>
        <x:v>0.14197530864197533</x:v>
      </x:c>
    </x:row>
    <x:row r="3106">
      <x:c r="A3106" s="379" t="n">
        <x:v>48757</x:v>
      </x:c>
      <x:c r="B3106" s="380" t="n">
        <x:v>2033</x:v>
      </x:c>
      <x:c r="C3106" s="380" t="n">
        <x:v>6</x:v>
      </x:c>
      <x:c r="D3106" s="380" t="str">
        <x:v>Jun</x:v>
      </x:c>
      <x:c r="E3106" s="380" t="n">
        <x:v>27</x:v>
      </x:c>
      <x:c r="F3106" s="380" t="n">
        <x:v>1</x:v>
      </x:c>
      <x:c r="G3106" s="380" t="n">
        <x:f>--(F3106&lt;='Estimator'!$B$7)</x:f>
        <x:v>1</x:v>
      </x:c>
      <x:c r="H3106" s="381" t="n">
        <x:f>SUMIFS('Climate Data'!$G$7:$G$366,'Climate Data'!$A$7:$A$366,'Estimator'!$B$4,'Climate Data'!$B$7:$B$366,C3106)</x:f>
        <x:v>0.475</x:v>
      </x:c>
      <x:c r="I3106" s="382" t="n">
        <x:f>SUMIFS('Climate Data'!$H$7:$H$366,'Climate Data'!$A$7:$A$366,'Estimator'!$B$4,'Climate Data'!$B$7:$B$366,C3106)</x:f>
        <x:v>8.378947368421054</x:v>
      </x:c>
      <x:c r="J3106" s="381" t="n">
        <x:f>SUMIFS('Wind Proxy'!$H$8:$H$19,'Wind Proxy'!$A$8:$A$19,'Estimator'!$B$4,'Wind Proxy'!$B$8:$B$19,C3106)</x:f>
        <x:v>0.14197530864197533</x:v>
      </x:c>
    </x:row>
    <x:row r="3107">
      <x:c r="A3107" s="379" t="n">
        <x:v>48758</x:v>
      </x:c>
      <x:c r="B3107" s="380" t="n">
        <x:v>2033</x:v>
      </x:c>
      <x:c r="C3107" s="380" t="n">
        <x:v>6</x:v>
      </x:c>
      <x:c r="D3107" s="380" t="str">
        <x:v>Jun</x:v>
      </x:c>
      <x:c r="E3107" s="380" t="n">
        <x:v>28</x:v>
      </x:c>
      <x:c r="F3107" s="380" t="n">
        <x:v>2</x:v>
      </x:c>
      <x:c r="G3107" s="380" t="n">
        <x:f>--(F3107&lt;='Estimator'!$B$7)</x:f>
        <x:v>1</x:v>
      </x:c>
      <x:c r="H3107" s="381" t="n">
        <x:f>SUMIFS('Climate Data'!$G$7:$G$366,'Climate Data'!$A$7:$A$366,'Estimator'!$B$4,'Climate Data'!$B$7:$B$366,C3107)</x:f>
        <x:v>0.475</x:v>
      </x:c>
      <x:c r="I3107" s="382" t="n">
        <x:f>SUMIFS('Climate Data'!$H$7:$H$366,'Climate Data'!$A$7:$A$366,'Estimator'!$B$4,'Climate Data'!$B$7:$B$366,C3107)</x:f>
        <x:v>8.378947368421054</x:v>
      </x:c>
      <x:c r="J3107" s="381" t="n">
        <x:f>SUMIFS('Wind Proxy'!$H$8:$H$19,'Wind Proxy'!$A$8:$A$19,'Estimator'!$B$4,'Wind Proxy'!$B$8:$B$19,C3107)</x:f>
        <x:v>0.14197530864197533</x:v>
      </x:c>
    </x:row>
    <x:row r="3108">
      <x:c r="A3108" s="379" t="n">
        <x:v>48759</x:v>
      </x:c>
      <x:c r="B3108" s="380" t="n">
        <x:v>2033</x:v>
      </x:c>
      <x:c r="C3108" s="380" t="n">
        <x:v>6</x:v>
      </x:c>
      <x:c r="D3108" s="380" t="str">
        <x:v>Jun</x:v>
      </x:c>
      <x:c r="E3108" s="380" t="n">
        <x:v>29</x:v>
      </x:c>
      <x:c r="F3108" s="380" t="n">
        <x:v>3</x:v>
      </x:c>
      <x:c r="G3108" s="380" t="n">
        <x:f>--(F3108&lt;='Estimator'!$B$7)</x:f>
        <x:v>1</x:v>
      </x:c>
      <x:c r="H3108" s="381" t="n">
        <x:f>SUMIFS('Climate Data'!$G$7:$G$366,'Climate Data'!$A$7:$A$366,'Estimator'!$B$4,'Climate Data'!$B$7:$B$366,C3108)</x:f>
        <x:v>0.475</x:v>
      </x:c>
      <x:c r="I3108" s="382" t="n">
        <x:f>SUMIFS('Climate Data'!$H$7:$H$366,'Climate Data'!$A$7:$A$366,'Estimator'!$B$4,'Climate Data'!$B$7:$B$366,C3108)</x:f>
        <x:v>8.378947368421054</x:v>
      </x:c>
      <x:c r="J3108" s="381" t="n">
        <x:f>SUMIFS('Wind Proxy'!$H$8:$H$19,'Wind Proxy'!$A$8:$A$19,'Estimator'!$B$4,'Wind Proxy'!$B$8:$B$19,C3108)</x:f>
        <x:v>0.14197530864197533</x:v>
      </x:c>
    </x:row>
    <x:row r="3109">
      <x:c r="A3109" s="379" t="n">
        <x:v>48760</x:v>
      </x:c>
      <x:c r="B3109" s="380" t="n">
        <x:v>2033</x:v>
      </x:c>
      <x:c r="C3109" s="380" t="n">
        <x:v>6</x:v>
      </x:c>
      <x:c r="D3109" s="380" t="str">
        <x:v>Jun</x:v>
      </x:c>
      <x:c r="E3109" s="380" t="n">
        <x:v>30</x:v>
      </x:c>
      <x:c r="F3109" s="380" t="n">
        <x:v>4</x:v>
      </x:c>
      <x:c r="G3109" s="380" t="n">
        <x:f>--(F3109&lt;='Estimator'!$B$7)</x:f>
        <x:v>1</x:v>
      </x:c>
      <x:c r="H3109" s="381" t="n">
        <x:f>SUMIFS('Climate Data'!$G$7:$G$366,'Climate Data'!$A$7:$A$366,'Estimator'!$B$4,'Climate Data'!$B$7:$B$366,C3109)</x:f>
        <x:v>0.475</x:v>
      </x:c>
      <x:c r="I3109" s="382" t="n">
        <x:f>SUMIFS('Climate Data'!$H$7:$H$366,'Climate Data'!$A$7:$A$366,'Estimator'!$B$4,'Climate Data'!$B$7:$B$366,C3109)</x:f>
        <x:v>8.378947368421054</x:v>
      </x:c>
      <x:c r="J3109" s="381" t="n">
        <x:f>SUMIFS('Wind Proxy'!$H$8:$H$19,'Wind Proxy'!$A$8:$A$19,'Estimator'!$B$4,'Wind Proxy'!$B$8:$B$19,C3109)</x:f>
        <x:v>0.14197530864197533</x:v>
      </x:c>
    </x:row>
    <x:row r="3110">
      <x:c r="A3110" s="379" t="n">
        <x:v>48761</x:v>
      </x:c>
      <x:c r="B3110" s="380" t="n">
        <x:v>2033</x:v>
      </x:c>
      <x:c r="C3110" s="380" t="n">
        <x:v>7</x:v>
      </x:c>
      <x:c r="D3110" s="380" t="str">
        <x:v>Jul</x:v>
      </x:c>
      <x:c r="E3110" s="380" t="n">
        <x:v>1</x:v>
      </x:c>
      <x:c r="F3110" s="380" t="n">
        <x:v>5</x:v>
      </x:c>
      <x:c r="G3110" s="380" t="n">
        <x:f>--(F3110&lt;='Estimator'!$B$7)</x:f>
        <x:v>1</x:v>
      </x:c>
      <x:c r="H3110" s="381" t="n">
        <x:f>SUMIFS('Climate Data'!$G$7:$G$366,'Climate Data'!$A$7:$A$366,'Estimator'!$B$4,'Climate Data'!$B$7:$B$366,C3110)</x:f>
        <x:v>0.49078341013824883</x:v>
      </x:c>
      <x:c r="I3110" s="382" t="n">
        <x:f>SUMIFS('Climate Data'!$H$7:$H$366,'Climate Data'!$A$7:$A$366,'Estimator'!$B$4,'Climate Data'!$B$7:$B$366,C3110)</x:f>
        <x:v>8.998122065727701</x:v>
      </x:c>
      <x:c r="J3110" s="381" t="n">
        <x:f>SUMIFS('Wind Proxy'!$H$8:$H$19,'Wind Proxy'!$A$8:$A$19,'Estimator'!$B$4,'Wind Proxy'!$B$8:$B$19,C3110)</x:f>
        <x:v>0.13739545997610514</x:v>
      </x:c>
    </x:row>
    <x:row r="3111">
      <x:c r="A3111" s="379" t="n">
        <x:v>48762</x:v>
      </x:c>
      <x:c r="B3111" s="380" t="n">
        <x:v>2033</x:v>
      </x:c>
      <x:c r="C3111" s="380" t="n">
        <x:v>7</x:v>
      </x:c>
      <x:c r="D3111" s="380" t="str">
        <x:v>Jul</x:v>
      </x:c>
      <x:c r="E3111" s="380" t="n">
        <x:v>2</x:v>
      </x:c>
      <x:c r="F3111" s="380" t="n">
        <x:v>6</x:v>
      </x:c>
      <x:c r="G3111" s="380" t="n">
        <x:f>--(F3111&lt;='Estimator'!$B$7)</x:f>
        <x:v>0</x:v>
      </x:c>
      <x:c r="H3111" s="381" t="n">
        <x:f>SUMIFS('Climate Data'!$G$7:$G$366,'Climate Data'!$A$7:$A$366,'Estimator'!$B$4,'Climate Data'!$B$7:$B$366,C3111)</x:f>
        <x:v>0.49078341013824883</x:v>
      </x:c>
      <x:c r="I3111" s="382" t="n">
        <x:f>SUMIFS('Climate Data'!$H$7:$H$366,'Climate Data'!$A$7:$A$366,'Estimator'!$B$4,'Climate Data'!$B$7:$B$366,C3111)</x:f>
        <x:v>8.998122065727701</x:v>
      </x:c>
      <x:c r="J3111" s="381" t="n">
        <x:f>SUMIFS('Wind Proxy'!$H$8:$H$19,'Wind Proxy'!$A$8:$A$19,'Estimator'!$B$4,'Wind Proxy'!$B$8:$B$19,C3111)</x:f>
        <x:v>0.13739545997610514</x:v>
      </x:c>
    </x:row>
    <x:row r="3112">
      <x:c r="A3112" s="379" t="n">
        <x:v>48763</x:v>
      </x:c>
      <x:c r="B3112" s="380" t="n">
        <x:v>2033</x:v>
      </x:c>
      <x:c r="C3112" s="380" t="n">
        <x:v>7</x:v>
      </x:c>
      <x:c r="D3112" s="380" t="str">
        <x:v>Jul</x:v>
      </x:c>
      <x:c r="E3112" s="380" t="n">
        <x:v>3</x:v>
      </x:c>
      <x:c r="F3112" s="380" t="n">
        <x:v>7</x:v>
      </x:c>
      <x:c r="G3112" s="380" t="n">
        <x:f>--(F3112&lt;='Estimator'!$B$7)</x:f>
        <x:v>0</x:v>
      </x:c>
      <x:c r="H3112" s="381" t="n">
        <x:f>SUMIFS('Climate Data'!$G$7:$G$366,'Climate Data'!$A$7:$A$366,'Estimator'!$B$4,'Climate Data'!$B$7:$B$366,C3112)</x:f>
        <x:v>0.49078341013824883</x:v>
      </x:c>
      <x:c r="I3112" s="382" t="n">
        <x:f>SUMIFS('Climate Data'!$H$7:$H$366,'Climate Data'!$A$7:$A$366,'Estimator'!$B$4,'Climate Data'!$B$7:$B$366,C3112)</x:f>
        <x:v>8.998122065727701</x:v>
      </x:c>
      <x:c r="J3112" s="381" t="n">
        <x:f>SUMIFS('Wind Proxy'!$H$8:$H$19,'Wind Proxy'!$A$8:$A$19,'Estimator'!$B$4,'Wind Proxy'!$B$8:$B$19,C3112)</x:f>
        <x:v>0.13739545997610514</x:v>
      </x:c>
    </x:row>
    <x:row r="3113">
      <x:c r="A3113" s="379" t="n">
        <x:v>48764</x:v>
      </x:c>
      <x:c r="B3113" s="380" t="n">
        <x:v>2033</x:v>
      </x:c>
      <x:c r="C3113" s="380" t="n">
        <x:v>7</x:v>
      </x:c>
      <x:c r="D3113" s="380" t="str">
        <x:v>Jul</x:v>
      </x:c>
      <x:c r="E3113" s="380" t="n">
        <x:v>4</x:v>
      </x:c>
      <x:c r="F3113" s="380" t="n">
        <x:v>1</x:v>
      </x:c>
      <x:c r="G3113" s="380" t="n">
        <x:f>--(F3113&lt;='Estimator'!$B$7)</x:f>
        <x:v>1</x:v>
      </x:c>
      <x:c r="H3113" s="381" t="n">
        <x:f>SUMIFS('Climate Data'!$G$7:$G$366,'Climate Data'!$A$7:$A$366,'Estimator'!$B$4,'Climate Data'!$B$7:$B$366,C3113)</x:f>
        <x:v>0.49078341013824883</x:v>
      </x:c>
      <x:c r="I3113" s="382" t="n">
        <x:f>SUMIFS('Climate Data'!$H$7:$H$366,'Climate Data'!$A$7:$A$366,'Estimator'!$B$4,'Climate Data'!$B$7:$B$366,C3113)</x:f>
        <x:v>8.998122065727701</x:v>
      </x:c>
      <x:c r="J3113" s="381" t="n">
        <x:f>SUMIFS('Wind Proxy'!$H$8:$H$19,'Wind Proxy'!$A$8:$A$19,'Estimator'!$B$4,'Wind Proxy'!$B$8:$B$19,C3113)</x:f>
        <x:v>0.13739545997610514</x:v>
      </x:c>
    </x:row>
    <x:row r="3114">
      <x:c r="A3114" s="379" t="n">
        <x:v>48765</x:v>
      </x:c>
      <x:c r="B3114" s="380" t="n">
        <x:v>2033</x:v>
      </x:c>
      <x:c r="C3114" s="380" t="n">
        <x:v>7</x:v>
      </x:c>
      <x:c r="D3114" s="380" t="str">
        <x:v>Jul</x:v>
      </x:c>
      <x:c r="E3114" s="380" t="n">
        <x:v>5</x:v>
      </x:c>
      <x:c r="F3114" s="380" t="n">
        <x:v>2</x:v>
      </x:c>
      <x:c r="G3114" s="380" t="n">
        <x:f>--(F3114&lt;='Estimator'!$B$7)</x:f>
        <x:v>1</x:v>
      </x:c>
      <x:c r="H3114" s="381" t="n">
        <x:f>SUMIFS('Climate Data'!$G$7:$G$366,'Climate Data'!$A$7:$A$366,'Estimator'!$B$4,'Climate Data'!$B$7:$B$366,C3114)</x:f>
        <x:v>0.49078341013824883</x:v>
      </x:c>
      <x:c r="I3114" s="382" t="n">
        <x:f>SUMIFS('Climate Data'!$H$7:$H$366,'Climate Data'!$A$7:$A$366,'Estimator'!$B$4,'Climate Data'!$B$7:$B$366,C3114)</x:f>
        <x:v>8.998122065727701</x:v>
      </x:c>
      <x:c r="J3114" s="381" t="n">
        <x:f>SUMIFS('Wind Proxy'!$H$8:$H$19,'Wind Proxy'!$A$8:$A$19,'Estimator'!$B$4,'Wind Proxy'!$B$8:$B$19,C3114)</x:f>
        <x:v>0.13739545997610514</x:v>
      </x:c>
    </x:row>
    <x:row r="3115">
      <x:c r="A3115" s="379" t="n">
        <x:v>48766</x:v>
      </x:c>
      <x:c r="B3115" s="380" t="n">
        <x:v>2033</x:v>
      </x:c>
      <x:c r="C3115" s="380" t="n">
        <x:v>7</x:v>
      </x:c>
      <x:c r="D3115" s="380" t="str">
        <x:v>Jul</x:v>
      </x:c>
      <x:c r="E3115" s="380" t="n">
        <x:v>6</x:v>
      </x:c>
      <x:c r="F3115" s="380" t="n">
        <x:v>3</x:v>
      </x:c>
      <x:c r="G3115" s="380" t="n">
        <x:f>--(F3115&lt;='Estimator'!$B$7)</x:f>
        <x:v>1</x:v>
      </x:c>
      <x:c r="H3115" s="381" t="n">
        <x:f>SUMIFS('Climate Data'!$G$7:$G$366,'Climate Data'!$A$7:$A$366,'Estimator'!$B$4,'Climate Data'!$B$7:$B$366,C3115)</x:f>
        <x:v>0.49078341013824883</x:v>
      </x:c>
      <x:c r="I3115" s="382" t="n">
        <x:f>SUMIFS('Climate Data'!$H$7:$H$366,'Climate Data'!$A$7:$A$366,'Estimator'!$B$4,'Climate Data'!$B$7:$B$366,C3115)</x:f>
        <x:v>8.998122065727701</x:v>
      </x:c>
      <x:c r="J3115" s="381" t="n">
        <x:f>SUMIFS('Wind Proxy'!$H$8:$H$19,'Wind Proxy'!$A$8:$A$19,'Estimator'!$B$4,'Wind Proxy'!$B$8:$B$19,C3115)</x:f>
        <x:v>0.13739545997610514</x:v>
      </x:c>
    </x:row>
    <x:row r="3116">
      <x:c r="A3116" s="379" t="n">
        <x:v>48767</x:v>
      </x:c>
      <x:c r="B3116" s="380" t="n">
        <x:v>2033</x:v>
      </x:c>
      <x:c r="C3116" s="380" t="n">
        <x:v>7</x:v>
      </x:c>
      <x:c r="D3116" s="380" t="str">
        <x:v>Jul</x:v>
      </x:c>
      <x:c r="E3116" s="380" t="n">
        <x:v>7</x:v>
      </x:c>
      <x:c r="F3116" s="380" t="n">
        <x:v>4</x:v>
      </x:c>
      <x:c r="G3116" s="380" t="n">
        <x:f>--(F3116&lt;='Estimator'!$B$7)</x:f>
        <x:v>1</x:v>
      </x:c>
      <x:c r="H3116" s="381" t="n">
        <x:f>SUMIFS('Climate Data'!$G$7:$G$366,'Climate Data'!$A$7:$A$366,'Estimator'!$B$4,'Climate Data'!$B$7:$B$366,C3116)</x:f>
        <x:v>0.49078341013824883</x:v>
      </x:c>
      <x:c r="I3116" s="382" t="n">
        <x:f>SUMIFS('Climate Data'!$H$7:$H$366,'Climate Data'!$A$7:$A$366,'Estimator'!$B$4,'Climate Data'!$B$7:$B$366,C3116)</x:f>
        <x:v>8.998122065727701</x:v>
      </x:c>
      <x:c r="J3116" s="381" t="n">
        <x:f>SUMIFS('Wind Proxy'!$H$8:$H$19,'Wind Proxy'!$A$8:$A$19,'Estimator'!$B$4,'Wind Proxy'!$B$8:$B$19,C3116)</x:f>
        <x:v>0.13739545997610514</x:v>
      </x:c>
    </x:row>
    <x:row r="3117">
      <x:c r="A3117" s="379" t="n">
        <x:v>48768</x:v>
      </x:c>
      <x:c r="B3117" s="380" t="n">
        <x:v>2033</x:v>
      </x:c>
      <x:c r="C3117" s="380" t="n">
        <x:v>7</x:v>
      </x:c>
      <x:c r="D3117" s="380" t="str">
        <x:v>Jul</x:v>
      </x:c>
      <x:c r="E3117" s="380" t="n">
        <x:v>8</x:v>
      </x:c>
      <x:c r="F3117" s="380" t="n">
        <x:v>5</x:v>
      </x:c>
      <x:c r="G3117" s="380" t="n">
        <x:f>--(F3117&lt;='Estimator'!$B$7)</x:f>
        <x:v>1</x:v>
      </x:c>
      <x:c r="H3117" s="381" t="n">
        <x:f>SUMIFS('Climate Data'!$G$7:$G$366,'Climate Data'!$A$7:$A$366,'Estimator'!$B$4,'Climate Data'!$B$7:$B$366,C3117)</x:f>
        <x:v>0.49078341013824883</x:v>
      </x:c>
      <x:c r="I3117" s="382" t="n">
        <x:f>SUMIFS('Climate Data'!$H$7:$H$366,'Climate Data'!$A$7:$A$366,'Estimator'!$B$4,'Climate Data'!$B$7:$B$366,C3117)</x:f>
        <x:v>8.998122065727701</x:v>
      </x:c>
      <x:c r="J3117" s="381" t="n">
        <x:f>SUMIFS('Wind Proxy'!$H$8:$H$19,'Wind Proxy'!$A$8:$A$19,'Estimator'!$B$4,'Wind Proxy'!$B$8:$B$19,C3117)</x:f>
        <x:v>0.13739545997610514</x:v>
      </x:c>
    </x:row>
    <x:row r="3118">
      <x:c r="A3118" s="379" t="n">
        <x:v>48769</x:v>
      </x:c>
      <x:c r="B3118" s="380" t="n">
        <x:v>2033</x:v>
      </x:c>
      <x:c r="C3118" s="380" t="n">
        <x:v>7</x:v>
      </x:c>
      <x:c r="D3118" s="380" t="str">
        <x:v>Jul</x:v>
      </x:c>
      <x:c r="E3118" s="380" t="n">
        <x:v>9</x:v>
      </x:c>
      <x:c r="F3118" s="380" t="n">
        <x:v>6</x:v>
      </x:c>
      <x:c r="G3118" s="380" t="n">
        <x:f>--(F3118&lt;='Estimator'!$B$7)</x:f>
        <x:v>0</x:v>
      </x:c>
      <x:c r="H3118" s="381" t="n">
        <x:f>SUMIFS('Climate Data'!$G$7:$G$366,'Climate Data'!$A$7:$A$366,'Estimator'!$B$4,'Climate Data'!$B$7:$B$366,C3118)</x:f>
        <x:v>0.49078341013824883</x:v>
      </x:c>
      <x:c r="I3118" s="382" t="n">
        <x:f>SUMIFS('Climate Data'!$H$7:$H$366,'Climate Data'!$A$7:$A$366,'Estimator'!$B$4,'Climate Data'!$B$7:$B$366,C3118)</x:f>
        <x:v>8.998122065727701</x:v>
      </x:c>
      <x:c r="J3118" s="381" t="n">
        <x:f>SUMIFS('Wind Proxy'!$H$8:$H$19,'Wind Proxy'!$A$8:$A$19,'Estimator'!$B$4,'Wind Proxy'!$B$8:$B$19,C3118)</x:f>
        <x:v>0.13739545997610514</x:v>
      </x:c>
    </x:row>
    <x:row r="3119">
      <x:c r="A3119" s="379" t="n">
        <x:v>48770</x:v>
      </x:c>
      <x:c r="B3119" s="380" t="n">
        <x:v>2033</x:v>
      </x:c>
      <x:c r="C3119" s="380" t="n">
        <x:v>7</x:v>
      </x:c>
      <x:c r="D3119" s="380" t="str">
        <x:v>Jul</x:v>
      </x:c>
      <x:c r="E3119" s="380" t="n">
        <x:v>10</x:v>
      </x:c>
      <x:c r="F3119" s="380" t="n">
        <x:v>7</x:v>
      </x:c>
      <x:c r="G3119" s="380" t="n">
        <x:f>--(F3119&lt;='Estimator'!$B$7)</x:f>
        <x:v>0</x:v>
      </x:c>
      <x:c r="H3119" s="381" t="n">
        <x:f>SUMIFS('Climate Data'!$G$7:$G$366,'Climate Data'!$A$7:$A$366,'Estimator'!$B$4,'Climate Data'!$B$7:$B$366,C3119)</x:f>
        <x:v>0.49078341013824883</x:v>
      </x:c>
      <x:c r="I3119" s="382" t="n">
        <x:f>SUMIFS('Climate Data'!$H$7:$H$366,'Climate Data'!$A$7:$A$366,'Estimator'!$B$4,'Climate Data'!$B$7:$B$366,C3119)</x:f>
        <x:v>8.998122065727701</x:v>
      </x:c>
      <x:c r="J3119" s="381" t="n">
        <x:f>SUMIFS('Wind Proxy'!$H$8:$H$19,'Wind Proxy'!$A$8:$A$19,'Estimator'!$B$4,'Wind Proxy'!$B$8:$B$19,C3119)</x:f>
        <x:v>0.13739545997610514</x:v>
      </x:c>
    </x:row>
    <x:row r="3120">
      <x:c r="A3120" s="379" t="n">
        <x:v>48771</x:v>
      </x:c>
      <x:c r="B3120" s="380" t="n">
        <x:v>2033</x:v>
      </x:c>
      <x:c r="C3120" s="380" t="n">
        <x:v>7</x:v>
      </x:c>
      <x:c r="D3120" s="380" t="str">
        <x:v>Jul</x:v>
      </x:c>
      <x:c r="E3120" s="380" t="n">
        <x:v>11</x:v>
      </x:c>
      <x:c r="F3120" s="380" t="n">
        <x:v>1</x:v>
      </x:c>
      <x:c r="G3120" s="380" t="n">
        <x:f>--(F3120&lt;='Estimator'!$B$7)</x:f>
        <x:v>1</x:v>
      </x:c>
      <x:c r="H3120" s="381" t="n">
        <x:f>SUMIFS('Climate Data'!$G$7:$G$366,'Climate Data'!$A$7:$A$366,'Estimator'!$B$4,'Climate Data'!$B$7:$B$366,C3120)</x:f>
        <x:v>0.49078341013824883</x:v>
      </x:c>
      <x:c r="I3120" s="382" t="n">
        <x:f>SUMIFS('Climate Data'!$H$7:$H$366,'Climate Data'!$A$7:$A$366,'Estimator'!$B$4,'Climate Data'!$B$7:$B$366,C3120)</x:f>
        <x:v>8.998122065727701</x:v>
      </x:c>
      <x:c r="J3120" s="381" t="n">
        <x:f>SUMIFS('Wind Proxy'!$H$8:$H$19,'Wind Proxy'!$A$8:$A$19,'Estimator'!$B$4,'Wind Proxy'!$B$8:$B$19,C3120)</x:f>
        <x:v>0.13739545997610514</x:v>
      </x:c>
    </x:row>
    <x:row r="3121">
      <x:c r="A3121" s="379" t="n">
        <x:v>48772</x:v>
      </x:c>
      <x:c r="B3121" s="380" t="n">
        <x:v>2033</x:v>
      </x:c>
      <x:c r="C3121" s="380" t="n">
        <x:v>7</x:v>
      </x:c>
      <x:c r="D3121" s="380" t="str">
        <x:v>Jul</x:v>
      </x:c>
      <x:c r="E3121" s="380" t="n">
        <x:v>12</x:v>
      </x:c>
      <x:c r="F3121" s="380" t="n">
        <x:v>2</x:v>
      </x:c>
      <x:c r="G3121" s="380" t="n">
        <x:f>--(F3121&lt;='Estimator'!$B$7)</x:f>
        <x:v>1</x:v>
      </x:c>
      <x:c r="H3121" s="381" t="n">
        <x:f>SUMIFS('Climate Data'!$G$7:$G$366,'Climate Data'!$A$7:$A$366,'Estimator'!$B$4,'Climate Data'!$B$7:$B$366,C3121)</x:f>
        <x:v>0.49078341013824883</x:v>
      </x:c>
      <x:c r="I3121" s="382" t="n">
        <x:f>SUMIFS('Climate Data'!$H$7:$H$366,'Climate Data'!$A$7:$A$366,'Estimator'!$B$4,'Climate Data'!$B$7:$B$366,C3121)</x:f>
        <x:v>8.998122065727701</x:v>
      </x:c>
      <x:c r="J3121" s="381" t="n">
        <x:f>SUMIFS('Wind Proxy'!$H$8:$H$19,'Wind Proxy'!$A$8:$A$19,'Estimator'!$B$4,'Wind Proxy'!$B$8:$B$19,C3121)</x:f>
        <x:v>0.13739545997610514</x:v>
      </x:c>
    </x:row>
    <x:row r="3122">
      <x:c r="A3122" s="379" t="n">
        <x:v>48773</x:v>
      </x:c>
      <x:c r="B3122" s="380" t="n">
        <x:v>2033</x:v>
      </x:c>
      <x:c r="C3122" s="380" t="n">
        <x:v>7</x:v>
      </x:c>
      <x:c r="D3122" s="380" t="str">
        <x:v>Jul</x:v>
      </x:c>
      <x:c r="E3122" s="380" t="n">
        <x:v>13</x:v>
      </x:c>
      <x:c r="F3122" s="380" t="n">
        <x:v>3</x:v>
      </x:c>
      <x:c r="G3122" s="380" t="n">
        <x:f>--(F3122&lt;='Estimator'!$B$7)</x:f>
        <x:v>1</x:v>
      </x:c>
      <x:c r="H3122" s="381" t="n">
        <x:f>SUMIFS('Climate Data'!$G$7:$G$366,'Climate Data'!$A$7:$A$366,'Estimator'!$B$4,'Climate Data'!$B$7:$B$366,C3122)</x:f>
        <x:v>0.49078341013824883</x:v>
      </x:c>
      <x:c r="I3122" s="382" t="n">
        <x:f>SUMIFS('Climate Data'!$H$7:$H$366,'Climate Data'!$A$7:$A$366,'Estimator'!$B$4,'Climate Data'!$B$7:$B$366,C3122)</x:f>
        <x:v>8.998122065727701</x:v>
      </x:c>
      <x:c r="J3122" s="381" t="n">
        <x:f>SUMIFS('Wind Proxy'!$H$8:$H$19,'Wind Proxy'!$A$8:$A$19,'Estimator'!$B$4,'Wind Proxy'!$B$8:$B$19,C3122)</x:f>
        <x:v>0.13739545997610514</x:v>
      </x:c>
    </x:row>
    <x:row r="3123">
      <x:c r="A3123" s="379" t="n">
        <x:v>48774</x:v>
      </x:c>
      <x:c r="B3123" s="380" t="n">
        <x:v>2033</x:v>
      </x:c>
      <x:c r="C3123" s="380" t="n">
        <x:v>7</x:v>
      </x:c>
      <x:c r="D3123" s="380" t="str">
        <x:v>Jul</x:v>
      </x:c>
      <x:c r="E3123" s="380" t="n">
        <x:v>14</x:v>
      </x:c>
      <x:c r="F3123" s="380" t="n">
        <x:v>4</x:v>
      </x:c>
      <x:c r="G3123" s="380" t="n">
        <x:f>--(F3123&lt;='Estimator'!$B$7)</x:f>
        <x:v>1</x:v>
      </x:c>
      <x:c r="H3123" s="381" t="n">
        <x:f>SUMIFS('Climate Data'!$G$7:$G$366,'Climate Data'!$A$7:$A$366,'Estimator'!$B$4,'Climate Data'!$B$7:$B$366,C3123)</x:f>
        <x:v>0.49078341013824883</x:v>
      </x:c>
      <x:c r="I3123" s="382" t="n">
        <x:f>SUMIFS('Climate Data'!$H$7:$H$366,'Climate Data'!$A$7:$A$366,'Estimator'!$B$4,'Climate Data'!$B$7:$B$366,C3123)</x:f>
        <x:v>8.998122065727701</x:v>
      </x:c>
      <x:c r="J3123" s="381" t="n">
        <x:f>SUMIFS('Wind Proxy'!$H$8:$H$19,'Wind Proxy'!$A$8:$A$19,'Estimator'!$B$4,'Wind Proxy'!$B$8:$B$19,C3123)</x:f>
        <x:v>0.13739545997610514</x:v>
      </x:c>
    </x:row>
    <x:row r="3124">
      <x:c r="A3124" s="379" t="n">
        <x:v>48775</x:v>
      </x:c>
      <x:c r="B3124" s="380" t="n">
        <x:v>2033</x:v>
      </x:c>
      <x:c r="C3124" s="380" t="n">
        <x:v>7</x:v>
      </x:c>
      <x:c r="D3124" s="380" t="str">
        <x:v>Jul</x:v>
      </x:c>
      <x:c r="E3124" s="380" t="n">
        <x:v>15</x:v>
      </x:c>
      <x:c r="F3124" s="380" t="n">
        <x:v>5</x:v>
      </x:c>
      <x:c r="G3124" s="380" t="n">
        <x:f>--(F3124&lt;='Estimator'!$B$7)</x:f>
        <x:v>1</x:v>
      </x:c>
      <x:c r="H3124" s="381" t="n">
        <x:f>SUMIFS('Climate Data'!$G$7:$G$366,'Climate Data'!$A$7:$A$366,'Estimator'!$B$4,'Climate Data'!$B$7:$B$366,C3124)</x:f>
        <x:v>0.49078341013824883</x:v>
      </x:c>
      <x:c r="I3124" s="382" t="n">
        <x:f>SUMIFS('Climate Data'!$H$7:$H$366,'Climate Data'!$A$7:$A$366,'Estimator'!$B$4,'Climate Data'!$B$7:$B$366,C3124)</x:f>
        <x:v>8.998122065727701</x:v>
      </x:c>
      <x:c r="J3124" s="381" t="n">
        <x:f>SUMIFS('Wind Proxy'!$H$8:$H$19,'Wind Proxy'!$A$8:$A$19,'Estimator'!$B$4,'Wind Proxy'!$B$8:$B$19,C3124)</x:f>
        <x:v>0.13739545997610514</x:v>
      </x:c>
    </x:row>
    <x:row r="3125">
      <x:c r="A3125" s="379" t="n">
        <x:v>48776</x:v>
      </x:c>
      <x:c r="B3125" s="380" t="n">
        <x:v>2033</x:v>
      </x:c>
      <x:c r="C3125" s="380" t="n">
        <x:v>7</x:v>
      </x:c>
      <x:c r="D3125" s="380" t="str">
        <x:v>Jul</x:v>
      </x:c>
      <x:c r="E3125" s="380" t="n">
        <x:v>16</x:v>
      </x:c>
      <x:c r="F3125" s="380" t="n">
        <x:v>6</x:v>
      </x:c>
      <x:c r="G3125" s="380" t="n">
        <x:f>--(F3125&lt;='Estimator'!$B$7)</x:f>
        <x:v>0</x:v>
      </x:c>
      <x:c r="H3125" s="381" t="n">
        <x:f>SUMIFS('Climate Data'!$G$7:$G$366,'Climate Data'!$A$7:$A$366,'Estimator'!$B$4,'Climate Data'!$B$7:$B$366,C3125)</x:f>
        <x:v>0.49078341013824883</x:v>
      </x:c>
      <x:c r="I3125" s="382" t="n">
        <x:f>SUMIFS('Climate Data'!$H$7:$H$366,'Climate Data'!$A$7:$A$366,'Estimator'!$B$4,'Climate Data'!$B$7:$B$366,C3125)</x:f>
        <x:v>8.998122065727701</x:v>
      </x:c>
      <x:c r="J3125" s="381" t="n">
        <x:f>SUMIFS('Wind Proxy'!$H$8:$H$19,'Wind Proxy'!$A$8:$A$19,'Estimator'!$B$4,'Wind Proxy'!$B$8:$B$19,C3125)</x:f>
        <x:v>0.13739545997610514</x:v>
      </x:c>
    </x:row>
    <x:row r="3126">
      <x:c r="A3126" s="379" t="n">
        <x:v>48777</x:v>
      </x:c>
      <x:c r="B3126" s="380" t="n">
        <x:v>2033</x:v>
      </x:c>
      <x:c r="C3126" s="380" t="n">
        <x:v>7</x:v>
      </x:c>
      <x:c r="D3126" s="380" t="str">
        <x:v>Jul</x:v>
      </x:c>
      <x:c r="E3126" s="380" t="n">
        <x:v>17</x:v>
      </x:c>
      <x:c r="F3126" s="380" t="n">
        <x:v>7</x:v>
      </x:c>
      <x:c r="G3126" s="380" t="n">
        <x:f>--(F3126&lt;='Estimator'!$B$7)</x:f>
        <x:v>0</x:v>
      </x:c>
      <x:c r="H3126" s="381" t="n">
        <x:f>SUMIFS('Climate Data'!$G$7:$G$366,'Climate Data'!$A$7:$A$366,'Estimator'!$B$4,'Climate Data'!$B$7:$B$366,C3126)</x:f>
        <x:v>0.49078341013824883</x:v>
      </x:c>
      <x:c r="I3126" s="382" t="n">
        <x:f>SUMIFS('Climate Data'!$H$7:$H$366,'Climate Data'!$A$7:$A$366,'Estimator'!$B$4,'Climate Data'!$B$7:$B$366,C3126)</x:f>
        <x:v>8.998122065727701</x:v>
      </x:c>
      <x:c r="J3126" s="381" t="n">
        <x:f>SUMIFS('Wind Proxy'!$H$8:$H$19,'Wind Proxy'!$A$8:$A$19,'Estimator'!$B$4,'Wind Proxy'!$B$8:$B$19,C3126)</x:f>
        <x:v>0.13739545997610514</x:v>
      </x:c>
    </x:row>
    <x:row r="3127">
      <x:c r="A3127" s="379" t="n">
        <x:v>48778</x:v>
      </x:c>
      <x:c r="B3127" s="380" t="n">
        <x:v>2033</x:v>
      </x:c>
      <x:c r="C3127" s="380" t="n">
        <x:v>7</x:v>
      </x:c>
      <x:c r="D3127" s="380" t="str">
        <x:v>Jul</x:v>
      </x:c>
      <x:c r="E3127" s="380" t="n">
        <x:v>18</x:v>
      </x:c>
      <x:c r="F3127" s="380" t="n">
        <x:v>1</x:v>
      </x:c>
      <x:c r="G3127" s="380" t="n">
        <x:f>--(F3127&lt;='Estimator'!$B$7)</x:f>
        <x:v>1</x:v>
      </x:c>
      <x:c r="H3127" s="381" t="n">
        <x:f>SUMIFS('Climate Data'!$G$7:$G$366,'Climate Data'!$A$7:$A$366,'Estimator'!$B$4,'Climate Data'!$B$7:$B$366,C3127)</x:f>
        <x:v>0.49078341013824883</x:v>
      </x:c>
      <x:c r="I3127" s="382" t="n">
        <x:f>SUMIFS('Climate Data'!$H$7:$H$366,'Climate Data'!$A$7:$A$366,'Estimator'!$B$4,'Climate Data'!$B$7:$B$366,C3127)</x:f>
        <x:v>8.998122065727701</x:v>
      </x:c>
      <x:c r="J3127" s="381" t="n">
        <x:f>SUMIFS('Wind Proxy'!$H$8:$H$19,'Wind Proxy'!$A$8:$A$19,'Estimator'!$B$4,'Wind Proxy'!$B$8:$B$19,C3127)</x:f>
        <x:v>0.13739545997610514</x:v>
      </x:c>
    </x:row>
    <x:row r="3128">
      <x:c r="A3128" s="379" t="n">
        <x:v>48779</x:v>
      </x:c>
      <x:c r="B3128" s="380" t="n">
        <x:v>2033</x:v>
      </x:c>
      <x:c r="C3128" s="380" t="n">
        <x:v>7</x:v>
      </x:c>
      <x:c r="D3128" s="380" t="str">
        <x:v>Jul</x:v>
      </x:c>
      <x:c r="E3128" s="380" t="n">
        <x:v>19</x:v>
      </x:c>
      <x:c r="F3128" s="380" t="n">
        <x:v>2</x:v>
      </x:c>
      <x:c r="G3128" s="380" t="n">
        <x:f>--(F3128&lt;='Estimator'!$B$7)</x:f>
        <x:v>1</x:v>
      </x:c>
      <x:c r="H3128" s="381" t="n">
        <x:f>SUMIFS('Climate Data'!$G$7:$G$366,'Climate Data'!$A$7:$A$366,'Estimator'!$B$4,'Climate Data'!$B$7:$B$366,C3128)</x:f>
        <x:v>0.49078341013824883</x:v>
      </x:c>
      <x:c r="I3128" s="382" t="n">
        <x:f>SUMIFS('Climate Data'!$H$7:$H$366,'Climate Data'!$A$7:$A$366,'Estimator'!$B$4,'Climate Data'!$B$7:$B$366,C3128)</x:f>
        <x:v>8.998122065727701</x:v>
      </x:c>
      <x:c r="J3128" s="381" t="n">
        <x:f>SUMIFS('Wind Proxy'!$H$8:$H$19,'Wind Proxy'!$A$8:$A$19,'Estimator'!$B$4,'Wind Proxy'!$B$8:$B$19,C3128)</x:f>
        <x:v>0.13739545997610514</x:v>
      </x:c>
    </x:row>
    <x:row r="3129">
      <x:c r="A3129" s="379" t="n">
        <x:v>48780</x:v>
      </x:c>
      <x:c r="B3129" s="380" t="n">
        <x:v>2033</x:v>
      </x:c>
      <x:c r="C3129" s="380" t="n">
        <x:v>7</x:v>
      </x:c>
      <x:c r="D3129" s="380" t="str">
        <x:v>Jul</x:v>
      </x:c>
      <x:c r="E3129" s="380" t="n">
        <x:v>20</x:v>
      </x:c>
      <x:c r="F3129" s="380" t="n">
        <x:v>3</x:v>
      </x:c>
      <x:c r="G3129" s="380" t="n">
        <x:f>--(F3129&lt;='Estimator'!$B$7)</x:f>
        <x:v>1</x:v>
      </x:c>
      <x:c r="H3129" s="381" t="n">
        <x:f>SUMIFS('Climate Data'!$G$7:$G$366,'Climate Data'!$A$7:$A$366,'Estimator'!$B$4,'Climate Data'!$B$7:$B$366,C3129)</x:f>
        <x:v>0.49078341013824883</x:v>
      </x:c>
      <x:c r="I3129" s="382" t="n">
        <x:f>SUMIFS('Climate Data'!$H$7:$H$366,'Climate Data'!$A$7:$A$366,'Estimator'!$B$4,'Climate Data'!$B$7:$B$366,C3129)</x:f>
        <x:v>8.998122065727701</x:v>
      </x:c>
      <x:c r="J3129" s="381" t="n">
        <x:f>SUMIFS('Wind Proxy'!$H$8:$H$19,'Wind Proxy'!$A$8:$A$19,'Estimator'!$B$4,'Wind Proxy'!$B$8:$B$19,C3129)</x:f>
        <x:v>0.13739545997610514</x:v>
      </x:c>
    </x:row>
    <x:row r="3130">
      <x:c r="A3130" s="379" t="n">
        <x:v>48781</x:v>
      </x:c>
      <x:c r="B3130" s="380" t="n">
        <x:v>2033</x:v>
      </x:c>
      <x:c r="C3130" s="380" t="n">
        <x:v>7</x:v>
      </x:c>
      <x:c r="D3130" s="380" t="str">
        <x:v>Jul</x:v>
      </x:c>
      <x:c r="E3130" s="380" t="n">
        <x:v>21</x:v>
      </x:c>
      <x:c r="F3130" s="380" t="n">
        <x:v>4</x:v>
      </x:c>
      <x:c r="G3130" s="380" t="n">
        <x:f>--(F3130&lt;='Estimator'!$B$7)</x:f>
        <x:v>1</x:v>
      </x:c>
      <x:c r="H3130" s="381" t="n">
        <x:f>SUMIFS('Climate Data'!$G$7:$G$366,'Climate Data'!$A$7:$A$366,'Estimator'!$B$4,'Climate Data'!$B$7:$B$366,C3130)</x:f>
        <x:v>0.49078341013824883</x:v>
      </x:c>
      <x:c r="I3130" s="382" t="n">
        <x:f>SUMIFS('Climate Data'!$H$7:$H$366,'Climate Data'!$A$7:$A$366,'Estimator'!$B$4,'Climate Data'!$B$7:$B$366,C3130)</x:f>
        <x:v>8.998122065727701</x:v>
      </x:c>
      <x:c r="J3130" s="381" t="n">
        <x:f>SUMIFS('Wind Proxy'!$H$8:$H$19,'Wind Proxy'!$A$8:$A$19,'Estimator'!$B$4,'Wind Proxy'!$B$8:$B$19,C3130)</x:f>
        <x:v>0.13739545997610514</x:v>
      </x:c>
    </x:row>
    <x:row r="3131">
      <x:c r="A3131" s="379" t="n">
        <x:v>48782</x:v>
      </x:c>
      <x:c r="B3131" s="380" t="n">
        <x:v>2033</x:v>
      </x:c>
      <x:c r="C3131" s="380" t="n">
        <x:v>7</x:v>
      </x:c>
      <x:c r="D3131" s="380" t="str">
        <x:v>Jul</x:v>
      </x:c>
      <x:c r="E3131" s="380" t="n">
        <x:v>22</x:v>
      </x:c>
      <x:c r="F3131" s="380" t="n">
        <x:v>5</x:v>
      </x:c>
      <x:c r="G3131" s="380" t="n">
        <x:f>--(F3131&lt;='Estimator'!$B$7)</x:f>
        <x:v>1</x:v>
      </x:c>
      <x:c r="H3131" s="381" t="n">
        <x:f>SUMIFS('Climate Data'!$G$7:$G$366,'Climate Data'!$A$7:$A$366,'Estimator'!$B$4,'Climate Data'!$B$7:$B$366,C3131)</x:f>
        <x:v>0.49078341013824883</x:v>
      </x:c>
      <x:c r="I3131" s="382" t="n">
        <x:f>SUMIFS('Climate Data'!$H$7:$H$366,'Climate Data'!$A$7:$A$366,'Estimator'!$B$4,'Climate Data'!$B$7:$B$366,C3131)</x:f>
        <x:v>8.998122065727701</x:v>
      </x:c>
      <x:c r="J3131" s="381" t="n">
        <x:f>SUMIFS('Wind Proxy'!$H$8:$H$19,'Wind Proxy'!$A$8:$A$19,'Estimator'!$B$4,'Wind Proxy'!$B$8:$B$19,C3131)</x:f>
        <x:v>0.13739545997610514</x:v>
      </x:c>
    </x:row>
    <x:row r="3132">
      <x:c r="A3132" s="379" t="n">
        <x:v>48783</x:v>
      </x:c>
      <x:c r="B3132" s="380" t="n">
        <x:v>2033</x:v>
      </x:c>
      <x:c r="C3132" s="380" t="n">
        <x:v>7</x:v>
      </x:c>
      <x:c r="D3132" s="380" t="str">
        <x:v>Jul</x:v>
      </x:c>
      <x:c r="E3132" s="380" t="n">
        <x:v>23</x:v>
      </x:c>
      <x:c r="F3132" s="380" t="n">
        <x:v>6</x:v>
      </x:c>
      <x:c r="G3132" s="380" t="n">
        <x:f>--(F3132&lt;='Estimator'!$B$7)</x:f>
        <x:v>0</x:v>
      </x:c>
      <x:c r="H3132" s="381" t="n">
        <x:f>SUMIFS('Climate Data'!$G$7:$G$366,'Climate Data'!$A$7:$A$366,'Estimator'!$B$4,'Climate Data'!$B$7:$B$366,C3132)</x:f>
        <x:v>0.49078341013824883</x:v>
      </x:c>
      <x:c r="I3132" s="382" t="n">
        <x:f>SUMIFS('Climate Data'!$H$7:$H$366,'Climate Data'!$A$7:$A$366,'Estimator'!$B$4,'Climate Data'!$B$7:$B$366,C3132)</x:f>
        <x:v>8.998122065727701</x:v>
      </x:c>
      <x:c r="J3132" s="381" t="n">
        <x:f>SUMIFS('Wind Proxy'!$H$8:$H$19,'Wind Proxy'!$A$8:$A$19,'Estimator'!$B$4,'Wind Proxy'!$B$8:$B$19,C3132)</x:f>
        <x:v>0.13739545997610514</x:v>
      </x:c>
    </x:row>
    <x:row r="3133">
      <x:c r="A3133" s="379" t="n">
        <x:v>48784</x:v>
      </x:c>
      <x:c r="B3133" s="380" t="n">
        <x:v>2033</x:v>
      </x:c>
      <x:c r="C3133" s="380" t="n">
        <x:v>7</x:v>
      </x:c>
      <x:c r="D3133" s="380" t="str">
        <x:v>Jul</x:v>
      </x:c>
      <x:c r="E3133" s="380" t="n">
        <x:v>24</x:v>
      </x:c>
      <x:c r="F3133" s="380" t="n">
        <x:v>7</x:v>
      </x:c>
      <x:c r="G3133" s="380" t="n">
        <x:f>--(F3133&lt;='Estimator'!$B$7)</x:f>
        <x:v>0</x:v>
      </x:c>
      <x:c r="H3133" s="381" t="n">
        <x:f>SUMIFS('Climate Data'!$G$7:$G$366,'Climate Data'!$A$7:$A$366,'Estimator'!$B$4,'Climate Data'!$B$7:$B$366,C3133)</x:f>
        <x:v>0.49078341013824883</x:v>
      </x:c>
      <x:c r="I3133" s="382" t="n">
        <x:f>SUMIFS('Climate Data'!$H$7:$H$366,'Climate Data'!$A$7:$A$366,'Estimator'!$B$4,'Climate Data'!$B$7:$B$366,C3133)</x:f>
        <x:v>8.998122065727701</x:v>
      </x:c>
      <x:c r="J3133" s="381" t="n">
        <x:f>SUMIFS('Wind Proxy'!$H$8:$H$19,'Wind Proxy'!$A$8:$A$19,'Estimator'!$B$4,'Wind Proxy'!$B$8:$B$19,C3133)</x:f>
        <x:v>0.13739545997610514</x:v>
      </x:c>
    </x:row>
    <x:row r="3134">
      <x:c r="A3134" s="379" t="n">
        <x:v>48785</x:v>
      </x:c>
      <x:c r="B3134" s="380" t="n">
        <x:v>2033</x:v>
      </x:c>
      <x:c r="C3134" s="380" t="n">
        <x:v>7</x:v>
      </x:c>
      <x:c r="D3134" s="380" t="str">
        <x:v>Jul</x:v>
      </x:c>
      <x:c r="E3134" s="380" t="n">
        <x:v>25</x:v>
      </x:c>
      <x:c r="F3134" s="380" t="n">
        <x:v>1</x:v>
      </x:c>
      <x:c r="G3134" s="380" t="n">
        <x:f>--(F3134&lt;='Estimator'!$B$7)</x:f>
        <x:v>1</x:v>
      </x:c>
      <x:c r="H3134" s="381" t="n">
        <x:f>SUMIFS('Climate Data'!$G$7:$G$366,'Climate Data'!$A$7:$A$366,'Estimator'!$B$4,'Climate Data'!$B$7:$B$366,C3134)</x:f>
        <x:v>0.49078341013824883</x:v>
      </x:c>
      <x:c r="I3134" s="382" t="n">
        <x:f>SUMIFS('Climate Data'!$H$7:$H$366,'Climate Data'!$A$7:$A$366,'Estimator'!$B$4,'Climate Data'!$B$7:$B$366,C3134)</x:f>
        <x:v>8.998122065727701</x:v>
      </x:c>
      <x:c r="J3134" s="381" t="n">
        <x:f>SUMIFS('Wind Proxy'!$H$8:$H$19,'Wind Proxy'!$A$8:$A$19,'Estimator'!$B$4,'Wind Proxy'!$B$8:$B$19,C3134)</x:f>
        <x:v>0.13739545997610514</x:v>
      </x:c>
    </x:row>
    <x:row r="3135">
      <x:c r="A3135" s="379" t="n">
        <x:v>48786</x:v>
      </x:c>
      <x:c r="B3135" s="380" t="n">
        <x:v>2033</x:v>
      </x:c>
      <x:c r="C3135" s="380" t="n">
        <x:v>7</x:v>
      </x:c>
      <x:c r="D3135" s="380" t="str">
        <x:v>Jul</x:v>
      </x:c>
      <x:c r="E3135" s="380" t="n">
        <x:v>26</x:v>
      </x:c>
      <x:c r="F3135" s="380" t="n">
        <x:v>2</x:v>
      </x:c>
      <x:c r="G3135" s="380" t="n">
        <x:f>--(F3135&lt;='Estimator'!$B$7)</x:f>
        <x:v>1</x:v>
      </x:c>
      <x:c r="H3135" s="381" t="n">
        <x:f>SUMIFS('Climate Data'!$G$7:$G$366,'Climate Data'!$A$7:$A$366,'Estimator'!$B$4,'Climate Data'!$B$7:$B$366,C3135)</x:f>
        <x:v>0.49078341013824883</x:v>
      </x:c>
      <x:c r="I3135" s="382" t="n">
        <x:f>SUMIFS('Climate Data'!$H$7:$H$366,'Climate Data'!$A$7:$A$366,'Estimator'!$B$4,'Climate Data'!$B$7:$B$366,C3135)</x:f>
        <x:v>8.998122065727701</x:v>
      </x:c>
      <x:c r="J3135" s="381" t="n">
        <x:f>SUMIFS('Wind Proxy'!$H$8:$H$19,'Wind Proxy'!$A$8:$A$19,'Estimator'!$B$4,'Wind Proxy'!$B$8:$B$19,C3135)</x:f>
        <x:v>0.13739545997610514</x:v>
      </x:c>
    </x:row>
    <x:row r="3136">
      <x:c r="A3136" s="379" t="n">
        <x:v>48787</x:v>
      </x:c>
      <x:c r="B3136" s="380" t="n">
        <x:v>2033</x:v>
      </x:c>
      <x:c r="C3136" s="380" t="n">
        <x:v>7</x:v>
      </x:c>
      <x:c r="D3136" s="380" t="str">
        <x:v>Jul</x:v>
      </x:c>
      <x:c r="E3136" s="380" t="n">
        <x:v>27</x:v>
      </x:c>
      <x:c r="F3136" s="380" t="n">
        <x:v>3</x:v>
      </x:c>
      <x:c r="G3136" s="380" t="n">
        <x:f>--(F3136&lt;='Estimator'!$B$7)</x:f>
        <x:v>1</x:v>
      </x:c>
      <x:c r="H3136" s="381" t="n">
        <x:f>SUMIFS('Climate Data'!$G$7:$G$366,'Climate Data'!$A$7:$A$366,'Estimator'!$B$4,'Climate Data'!$B$7:$B$366,C3136)</x:f>
        <x:v>0.49078341013824883</x:v>
      </x:c>
      <x:c r="I3136" s="382" t="n">
        <x:f>SUMIFS('Climate Data'!$H$7:$H$366,'Climate Data'!$A$7:$A$366,'Estimator'!$B$4,'Climate Data'!$B$7:$B$366,C3136)</x:f>
        <x:v>8.998122065727701</x:v>
      </x:c>
      <x:c r="J3136" s="381" t="n">
        <x:f>SUMIFS('Wind Proxy'!$H$8:$H$19,'Wind Proxy'!$A$8:$A$19,'Estimator'!$B$4,'Wind Proxy'!$B$8:$B$19,C3136)</x:f>
        <x:v>0.13739545997610514</x:v>
      </x:c>
    </x:row>
    <x:row r="3137">
      <x:c r="A3137" s="379" t="n">
        <x:v>48788</x:v>
      </x:c>
      <x:c r="B3137" s="380" t="n">
        <x:v>2033</x:v>
      </x:c>
      <x:c r="C3137" s="380" t="n">
        <x:v>7</x:v>
      </x:c>
      <x:c r="D3137" s="380" t="str">
        <x:v>Jul</x:v>
      </x:c>
      <x:c r="E3137" s="380" t="n">
        <x:v>28</x:v>
      </x:c>
      <x:c r="F3137" s="380" t="n">
        <x:v>4</x:v>
      </x:c>
      <x:c r="G3137" s="380" t="n">
        <x:f>--(F3137&lt;='Estimator'!$B$7)</x:f>
        <x:v>1</x:v>
      </x:c>
      <x:c r="H3137" s="381" t="n">
        <x:f>SUMIFS('Climate Data'!$G$7:$G$366,'Climate Data'!$A$7:$A$366,'Estimator'!$B$4,'Climate Data'!$B$7:$B$366,C3137)</x:f>
        <x:v>0.49078341013824883</x:v>
      </x:c>
      <x:c r="I3137" s="382" t="n">
        <x:f>SUMIFS('Climate Data'!$H$7:$H$366,'Climate Data'!$A$7:$A$366,'Estimator'!$B$4,'Climate Data'!$B$7:$B$366,C3137)</x:f>
        <x:v>8.998122065727701</x:v>
      </x:c>
      <x:c r="J3137" s="381" t="n">
        <x:f>SUMIFS('Wind Proxy'!$H$8:$H$19,'Wind Proxy'!$A$8:$A$19,'Estimator'!$B$4,'Wind Proxy'!$B$8:$B$19,C3137)</x:f>
        <x:v>0.13739545997610514</x:v>
      </x:c>
    </x:row>
    <x:row r="3138">
      <x:c r="A3138" s="379" t="n">
        <x:v>48789</x:v>
      </x:c>
      <x:c r="B3138" s="380" t="n">
        <x:v>2033</x:v>
      </x:c>
      <x:c r="C3138" s="380" t="n">
        <x:v>7</x:v>
      </x:c>
      <x:c r="D3138" s="380" t="str">
        <x:v>Jul</x:v>
      </x:c>
      <x:c r="E3138" s="380" t="n">
        <x:v>29</x:v>
      </x:c>
      <x:c r="F3138" s="380" t="n">
        <x:v>5</x:v>
      </x:c>
      <x:c r="G3138" s="380" t="n">
        <x:f>--(F3138&lt;='Estimator'!$B$7)</x:f>
        <x:v>1</x:v>
      </x:c>
      <x:c r="H3138" s="381" t="n">
        <x:f>SUMIFS('Climate Data'!$G$7:$G$366,'Climate Data'!$A$7:$A$366,'Estimator'!$B$4,'Climate Data'!$B$7:$B$366,C3138)</x:f>
        <x:v>0.49078341013824883</x:v>
      </x:c>
      <x:c r="I3138" s="382" t="n">
        <x:f>SUMIFS('Climate Data'!$H$7:$H$366,'Climate Data'!$A$7:$A$366,'Estimator'!$B$4,'Climate Data'!$B$7:$B$366,C3138)</x:f>
        <x:v>8.998122065727701</x:v>
      </x:c>
      <x:c r="J3138" s="381" t="n">
        <x:f>SUMIFS('Wind Proxy'!$H$8:$H$19,'Wind Proxy'!$A$8:$A$19,'Estimator'!$B$4,'Wind Proxy'!$B$8:$B$19,C3138)</x:f>
        <x:v>0.13739545997610514</x:v>
      </x:c>
    </x:row>
    <x:row r="3139">
      <x:c r="A3139" s="379" t="n">
        <x:v>48790</x:v>
      </x:c>
      <x:c r="B3139" s="380" t="n">
        <x:v>2033</x:v>
      </x:c>
      <x:c r="C3139" s="380" t="n">
        <x:v>7</x:v>
      </x:c>
      <x:c r="D3139" s="380" t="str">
        <x:v>Jul</x:v>
      </x:c>
      <x:c r="E3139" s="380" t="n">
        <x:v>30</x:v>
      </x:c>
      <x:c r="F3139" s="380" t="n">
        <x:v>6</x:v>
      </x:c>
      <x:c r="G3139" s="380" t="n">
        <x:f>--(F3139&lt;='Estimator'!$B$7)</x:f>
        <x:v>0</x:v>
      </x:c>
      <x:c r="H3139" s="381" t="n">
        <x:f>SUMIFS('Climate Data'!$G$7:$G$366,'Climate Data'!$A$7:$A$366,'Estimator'!$B$4,'Climate Data'!$B$7:$B$366,C3139)</x:f>
        <x:v>0.49078341013824883</x:v>
      </x:c>
      <x:c r="I3139" s="382" t="n">
        <x:f>SUMIFS('Climate Data'!$H$7:$H$366,'Climate Data'!$A$7:$A$366,'Estimator'!$B$4,'Climate Data'!$B$7:$B$366,C3139)</x:f>
        <x:v>8.998122065727701</x:v>
      </x:c>
      <x:c r="J3139" s="381" t="n">
        <x:f>SUMIFS('Wind Proxy'!$H$8:$H$19,'Wind Proxy'!$A$8:$A$19,'Estimator'!$B$4,'Wind Proxy'!$B$8:$B$19,C3139)</x:f>
        <x:v>0.13739545997610514</x:v>
      </x:c>
    </x:row>
    <x:row r="3140">
      <x:c r="A3140" s="379" t="n">
        <x:v>48791</x:v>
      </x:c>
      <x:c r="B3140" s="380" t="n">
        <x:v>2033</x:v>
      </x:c>
      <x:c r="C3140" s="380" t="n">
        <x:v>7</x:v>
      </x:c>
      <x:c r="D3140" s="380" t="str">
        <x:v>Jul</x:v>
      </x:c>
      <x:c r="E3140" s="380" t="n">
        <x:v>31</x:v>
      </x:c>
      <x:c r="F3140" s="380" t="n">
        <x:v>7</x:v>
      </x:c>
      <x:c r="G3140" s="380" t="n">
        <x:f>--(F3140&lt;='Estimator'!$B$7)</x:f>
        <x:v>0</x:v>
      </x:c>
      <x:c r="H3140" s="381" t="n">
        <x:f>SUMIFS('Climate Data'!$G$7:$G$366,'Climate Data'!$A$7:$A$366,'Estimator'!$B$4,'Climate Data'!$B$7:$B$366,C3140)</x:f>
        <x:v>0.49078341013824883</x:v>
      </x:c>
      <x:c r="I3140" s="382" t="n">
        <x:f>SUMIFS('Climate Data'!$H$7:$H$366,'Climate Data'!$A$7:$A$366,'Estimator'!$B$4,'Climate Data'!$B$7:$B$366,C3140)</x:f>
        <x:v>8.998122065727701</x:v>
      </x:c>
      <x:c r="J3140" s="381" t="n">
        <x:f>SUMIFS('Wind Proxy'!$H$8:$H$19,'Wind Proxy'!$A$8:$A$19,'Estimator'!$B$4,'Wind Proxy'!$B$8:$B$19,C3140)</x:f>
        <x:v>0.13739545997610514</x:v>
      </x:c>
    </x:row>
    <x:row r="3141">
      <x:c r="A3141" s="379" t="n">
        <x:v>48792</x:v>
      </x:c>
      <x:c r="B3141" s="380" t="n">
        <x:v>2033</x:v>
      </x:c>
      <x:c r="C3141" s="380" t="n">
        <x:v>8</x:v>
      </x:c>
      <x:c r="D3141" s="380" t="str">
        <x:v>Aug</x:v>
      </x:c>
      <x:c r="E3141" s="380" t="n">
        <x:v>1</x:v>
      </x:c>
      <x:c r="F3141" s="380" t="n">
        <x:v>1</x:v>
      </x:c>
      <x:c r="G3141" s="380" t="n">
        <x:f>--(F3141&lt;='Estimator'!$B$7)</x:f>
        <x:v>1</x:v>
      </x:c>
      <x:c r="H3141" s="381" t="n">
        <x:f>SUMIFS('Climate Data'!$G$7:$G$366,'Climate Data'!$A$7:$A$366,'Estimator'!$B$4,'Climate Data'!$B$7:$B$366,C3141)</x:f>
        <x:v>0.47274749721913234</x:v>
      </x:c>
      <x:c r="I3141" s="382" t="n">
        <x:f>SUMIFS('Climate Data'!$H$7:$H$366,'Climate Data'!$A$7:$A$366,'Estimator'!$B$4,'Climate Data'!$B$7:$B$366,C3141)</x:f>
        <x:v>7.9971764705882356</x:v>
      </x:c>
      <x:c r="J3141" s="381" t="n">
        <x:f>SUMIFS('Wind Proxy'!$H$8:$H$19,'Wind Proxy'!$A$8:$A$19,'Estimator'!$B$4,'Wind Proxy'!$B$8:$B$19,C3141)</x:f>
        <x:v>0.13739545997610514</x:v>
      </x:c>
    </x:row>
    <x:row r="3142">
      <x:c r="A3142" s="379" t="n">
        <x:v>48793</x:v>
      </x:c>
      <x:c r="B3142" s="380" t="n">
        <x:v>2033</x:v>
      </x:c>
      <x:c r="C3142" s="380" t="n">
        <x:v>8</x:v>
      </x:c>
      <x:c r="D3142" s="380" t="str">
        <x:v>Aug</x:v>
      </x:c>
      <x:c r="E3142" s="380" t="n">
        <x:v>2</x:v>
      </x:c>
      <x:c r="F3142" s="380" t="n">
        <x:v>2</x:v>
      </x:c>
      <x:c r="G3142" s="380" t="n">
        <x:f>--(F3142&lt;='Estimator'!$B$7)</x:f>
        <x:v>1</x:v>
      </x:c>
      <x:c r="H3142" s="381" t="n">
        <x:f>SUMIFS('Climate Data'!$G$7:$G$366,'Climate Data'!$A$7:$A$366,'Estimator'!$B$4,'Climate Data'!$B$7:$B$366,C3142)</x:f>
        <x:v>0.47274749721913234</x:v>
      </x:c>
      <x:c r="I3142" s="382" t="n">
        <x:f>SUMIFS('Climate Data'!$H$7:$H$366,'Climate Data'!$A$7:$A$366,'Estimator'!$B$4,'Climate Data'!$B$7:$B$366,C3142)</x:f>
        <x:v>7.9971764705882356</x:v>
      </x:c>
      <x:c r="J3142" s="381" t="n">
        <x:f>SUMIFS('Wind Proxy'!$H$8:$H$19,'Wind Proxy'!$A$8:$A$19,'Estimator'!$B$4,'Wind Proxy'!$B$8:$B$19,C3142)</x:f>
        <x:v>0.13739545997610514</x:v>
      </x:c>
    </x:row>
    <x:row r="3143">
      <x:c r="A3143" s="379" t="n">
        <x:v>48794</x:v>
      </x:c>
      <x:c r="B3143" s="380" t="n">
        <x:v>2033</x:v>
      </x:c>
      <x:c r="C3143" s="380" t="n">
        <x:v>8</x:v>
      </x:c>
      <x:c r="D3143" s="380" t="str">
        <x:v>Aug</x:v>
      </x:c>
      <x:c r="E3143" s="380" t="n">
        <x:v>3</x:v>
      </x:c>
      <x:c r="F3143" s="380" t="n">
        <x:v>3</x:v>
      </x:c>
      <x:c r="G3143" s="380" t="n">
        <x:f>--(F3143&lt;='Estimator'!$B$7)</x:f>
        <x:v>1</x:v>
      </x:c>
      <x:c r="H3143" s="381" t="n">
        <x:f>SUMIFS('Climate Data'!$G$7:$G$366,'Climate Data'!$A$7:$A$366,'Estimator'!$B$4,'Climate Data'!$B$7:$B$366,C3143)</x:f>
        <x:v>0.47274749721913234</x:v>
      </x:c>
      <x:c r="I3143" s="382" t="n">
        <x:f>SUMIFS('Climate Data'!$H$7:$H$366,'Climate Data'!$A$7:$A$366,'Estimator'!$B$4,'Climate Data'!$B$7:$B$366,C3143)</x:f>
        <x:v>7.9971764705882356</x:v>
      </x:c>
      <x:c r="J3143" s="381" t="n">
        <x:f>SUMIFS('Wind Proxy'!$H$8:$H$19,'Wind Proxy'!$A$8:$A$19,'Estimator'!$B$4,'Wind Proxy'!$B$8:$B$19,C3143)</x:f>
        <x:v>0.13739545997610514</x:v>
      </x:c>
    </x:row>
    <x:row r="3144">
      <x:c r="A3144" s="379" t="n">
        <x:v>48795</x:v>
      </x:c>
      <x:c r="B3144" s="380" t="n">
        <x:v>2033</x:v>
      </x:c>
      <x:c r="C3144" s="380" t="n">
        <x:v>8</x:v>
      </x:c>
      <x:c r="D3144" s="380" t="str">
        <x:v>Aug</x:v>
      </x:c>
      <x:c r="E3144" s="380" t="n">
        <x:v>4</x:v>
      </x:c>
      <x:c r="F3144" s="380" t="n">
        <x:v>4</x:v>
      </x:c>
      <x:c r="G3144" s="380" t="n">
        <x:f>--(F3144&lt;='Estimator'!$B$7)</x:f>
        <x:v>1</x:v>
      </x:c>
      <x:c r="H3144" s="381" t="n">
        <x:f>SUMIFS('Climate Data'!$G$7:$G$366,'Climate Data'!$A$7:$A$366,'Estimator'!$B$4,'Climate Data'!$B$7:$B$366,C3144)</x:f>
        <x:v>0.47274749721913234</x:v>
      </x:c>
      <x:c r="I3144" s="382" t="n">
        <x:f>SUMIFS('Climate Data'!$H$7:$H$366,'Climate Data'!$A$7:$A$366,'Estimator'!$B$4,'Climate Data'!$B$7:$B$366,C3144)</x:f>
        <x:v>7.9971764705882356</x:v>
      </x:c>
      <x:c r="J3144" s="381" t="n">
        <x:f>SUMIFS('Wind Proxy'!$H$8:$H$19,'Wind Proxy'!$A$8:$A$19,'Estimator'!$B$4,'Wind Proxy'!$B$8:$B$19,C3144)</x:f>
        <x:v>0.13739545997610514</x:v>
      </x:c>
    </x:row>
    <x:row r="3145">
      <x:c r="A3145" s="379" t="n">
        <x:v>48796</x:v>
      </x:c>
      <x:c r="B3145" s="380" t="n">
        <x:v>2033</x:v>
      </x:c>
      <x:c r="C3145" s="380" t="n">
        <x:v>8</x:v>
      </x:c>
      <x:c r="D3145" s="380" t="str">
        <x:v>Aug</x:v>
      </x:c>
      <x:c r="E3145" s="380" t="n">
        <x:v>5</x:v>
      </x:c>
      <x:c r="F3145" s="380" t="n">
        <x:v>5</x:v>
      </x:c>
      <x:c r="G3145" s="380" t="n">
        <x:f>--(F3145&lt;='Estimator'!$B$7)</x:f>
        <x:v>1</x:v>
      </x:c>
      <x:c r="H3145" s="381" t="n">
        <x:f>SUMIFS('Climate Data'!$G$7:$G$366,'Climate Data'!$A$7:$A$366,'Estimator'!$B$4,'Climate Data'!$B$7:$B$366,C3145)</x:f>
        <x:v>0.47274749721913234</x:v>
      </x:c>
      <x:c r="I3145" s="382" t="n">
        <x:f>SUMIFS('Climate Data'!$H$7:$H$366,'Climate Data'!$A$7:$A$366,'Estimator'!$B$4,'Climate Data'!$B$7:$B$366,C3145)</x:f>
        <x:v>7.9971764705882356</x:v>
      </x:c>
      <x:c r="J3145" s="381" t="n">
        <x:f>SUMIFS('Wind Proxy'!$H$8:$H$19,'Wind Proxy'!$A$8:$A$19,'Estimator'!$B$4,'Wind Proxy'!$B$8:$B$19,C3145)</x:f>
        <x:v>0.13739545997610514</x:v>
      </x:c>
    </x:row>
    <x:row r="3146">
      <x:c r="A3146" s="379" t="n">
        <x:v>48797</x:v>
      </x:c>
      <x:c r="B3146" s="380" t="n">
        <x:v>2033</x:v>
      </x:c>
      <x:c r="C3146" s="380" t="n">
        <x:v>8</x:v>
      </x:c>
      <x:c r="D3146" s="380" t="str">
        <x:v>Aug</x:v>
      </x:c>
      <x:c r="E3146" s="380" t="n">
        <x:v>6</x:v>
      </x:c>
      <x:c r="F3146" s="380" t="n">
        <x:v>6</x:v>
      </x:c>
      <x:c r="G3146" s="380" t="n">
        <x:f>--(F3146&lt;='Estimator'!$B$7)</x:f>
        <x:v>0</x:v>
      </x:c>
      <x:c r="H3146" s="381" t="n">
        <x:f>SUMIFS('Climate Data'!$G$7:$G$366,'Climate Data'!$A$7:$A$366,'Estimator'!$B$4,'Climate Data'!$B$7:$B$366,C3146)</x:f>
        <x:v>0.47274749721913234</x:v>
      </x:c>
      <x:c r="I3146" s="382" t="n">
        <x:f>SUMIFS('Climate Data'!$H$7:$H$366,'Climate Data'!$A$7:$A$366,'Estimator'!$B$4,'Climate Data'!$B$7:$B$366,C3146)</x:f>
        <x:v>7.9971764705882356</x:v>
      </x:c>
      <x:c r="J3146" s="381" t="n">
        <x:f>SUMIFS('Wind Proxy'!$H$8:$H$19,'Wind Proxy'!$A$8:$A$19,'Estimator'!$B$4,'Wind Proxy'!$B$8:$B$19,C3146)</x:f>
        <x:v>0.13739545997610514</x:v>
      </x:c>
    </x:row>
    <x:row r="3147">
      <x:c r="A3147" s="379" t="n">
        <x:v>48798</x:v>
      </x:c>
      <x:c r="B3147" s="380" t="n">
        <x:v>2033</x:v>
      </x:c>
      <x:c r="C3147" s="380" t="n">
        <x:v>8</x:v>
      </x:c>
      <x:c r="D3147" s="380" t="str">
        <x:v>Aug</x:v>
      </x:c>
      <x:c r="E3147" s="380" t="n">
        <x:v>7</x:v>
      </x:c>
      <x:c r="F3147" s="380" t="n">
        <x:v>7</x:v>
      </x:c>
      <x:c r="G3147" s="380" t="n">
        <x:f>--(F3147&lt;='Estimator'!$B$7)</x:f>
        <x:v>0</x:v>
      </x:c>
      <x:c r="H3147" s="381" t="n">
        <x:f>SUMIFS('Climate Data'!$G$7:$G$366,'Climate Data'!$A$7:$A$366,'Estimator'!$B$4,'Climate Data'!$B$7:$B$366,C3147)</x:f>
        <x:v>0.47274749721913234</x:v>
      </x:c>
      <x:c r="I3147" s="382" t="n">
        <x:f>SUMIFS('Climate Data'!$H$7:$H$366,'Climate Data'!$A$7:$A$366,'Estimator'!$B$4,'Climate Data'!$B$7:$B$366,C3147)</x:f>
        <x:v>7.9971764705882356</x:v>
      </x:c>
      <x:c r="J3147" s="381" t="n">
        <x:f>SUMIFS('Wind Proxy'!$H$8:$H$19,'Wind Proxy'!$A$8:$A$19,'Estimator'!$B$4,'Wind Proxy'!$B$8:$B$19,C3147)</x:f>
        <x:v>0.13739545997610514</x:v>
      </x:c>
    </x:row>
    <x:row r="3148">
      <x:c r="A3148" s="379" t="n">
        <x:v>48799</x:v>
      </x:c>
      <x:c r="B3148" s="380" t="n">
        <x:v>2033</x:v>
      </x:c>
      <x:c r="C3148" s="380" t="n">
        <x:v>8</x:v>
      </x:c>
      <x:c r="D3148" s="380" t="str">
        <x:v>Aug</x:v>
      </x:c>
      <x:c r="E3148" s="380" t="n">
        <x:v>8</x:v>
      </x:c>
      <x:c r="F3148" s="380" t="n">
        <x:v>1</x:v>
      </x:c>
      <x:c r="G3148" s="380" t="n">
        <x:f>--(F3148&lt;='Estimator'!$B$7)</x:f>
        <x:v>1</x:v>
      </x:c>
      <x:c r="H3148" s="381" t="n">
        <x:f>SUMIFS('Climate Data'!$G$7:$G$366,'Climate Data'!$A$7:$A$366,'Estimator'!$B$4,'Climate Data'!$B$7:$B$366,C3148)</x:f>
        <x:v>0.47274749721913234</x:v>
      </x:c>
      <x:c r="I3148" s="382" t="n">
        <x:f>SUMIFS('Climate Data'!$H$7:$H$366,'Climate Data'!$A$7:$A$366,'Estimator'!$B$4,'Climate Data'!$B$7:$B$366,C3148)</x:f>
        <x:v>7.9971764705882356</x:v>
      </x:c>
      <x:c r="J3148" s="381" t="n">
        <x:f>SUMIFS('Wind Proxy'!$H$8:$H$19,'Wind Proxy'!$A$8:$A$19,'Estimator'!$B$4,'Wind Proxy'!$B$8:$B$19,C3148)</x:f>
        <x:v>0.13739545997610514</x:v>
      </x:c>
    </x:row>
    <x:row r="3149">
      <x:c r="A3149" s="379" t="n">
        <x:v>48800</x:v>
      </x:c>
      <x:c r="B3149" s="380" t="n">
        <x:v>2033</x:v>
      </x:c>
      <x:c r="C3149" s="380" t="n">
        <x:v>8</x:v>
      </x:c>
      <x:c r="D3149" s="380" t="str">
        <x:v>Aug</x:v>
      </x:c>
      <x:c r="E3149" s="380" t="n">
        <x:v>9</x:v>
      </x:c>
      <x:c r="F3149" s="380" t="n">
        <x:v>2</x:v>
      </x:c>
      <x:c r="G3149" s="380" t="n">
        <x:f>--(F3149&lt;='Estimator'!$B$7)</x:f>
        <x:v>1</x:v>
      </x:c>
      <x:c r="H3149" s="381" t="n">
        <x:f>SUMIFS('Climate Data'!$G$7:$G$366,'Climate Data'!$A$7:$A$366,'Estimator'!$B$4,'Climate Data'!$B$7:$B$366,C3149)</x:f>
        <x:v>0.47274749721913234</x:v>
      </x:c>
      <x:c r="I3149" s="382" t="n">
        <x:f>SUMIFS('Climate Data'!$H$7:$H$366,'Climate Data'!$A$7:$A$366,'Estimator'!$B$4,'Climate Data'!$B$7:$B$366,C3149)</x:f>
        <x:v>7.9971764705882356</x:v>
      </x:c>
      <x:c r="J3149" s="381" t="n">
        <x:f>SUMIFS('Wind Proxy'!$H$8:$H$19,'Wind Proxy'!$A$8:$A$19,'Estimator'!$B$4,'Wind Proxy'!$B$8:$B$19,C3149)</x:f>
        <x:v>0.13739545997610514</x:v>
      </x:c>
    </x:row>
    <x:row r="3150">
      <x:c r="A3150" s="379" t="n">
        <x:v>48801</x:v>
      </x:c>
      <x:c r="B3150" s="380" t="n">
        <x:v>2033</x:v>
      </x:c>
      <x:c r="C3150" s="380" t="n">
        <x:v>8</x:v>
      </x:c>
      <x:c r="D3150" s="380" t="str">
        <x:v>Aug</x:v>
      </x:c>
      <x:c r="E3150" s="380" t="n">
        <x:v>10</x:v>
      </x:c>
      <x:c r="F3150" s="380" t="n">
        <x:v>3</x:v>
      </x:c>
      <x:c r="G3150" s="380" t="n">
        <x:f>--(F3150&lt;='Estimator'!$B$7)</x:f>
        <x:v>1</x:v>
      </x:c>
      <x:c r="H3150" s="381" t="n">
        <x:f>SUMIFS('Climate Data'!$G$7:$G$366,'Climate Data'!$A$7:$A$366,'Estimator'!$B$4,'Climate Data'!$B$7:$B$366,C3150)</x:f>
        <x:v>0.47274749721913234</x:v>
      </x:c>
      <x:c r="I3150" s="382" t="n">
        <x:f>SUMIFS('Climate Data'!$H$7:$H$366,'Climate Data'!$A$7:$A$366,'Estimator'!$B$4,'Climate Data'!$B$7:$B$366,C3150)</x:f>
        <x:v>7.9971764705882356</x:v>
      </x:c>
      <x:c r="J3150" s="381" t="n">
        <x:f>SUMIFS('Wind Proxy'!$H$8:$H$19,'Wind Proxy'!$A$8:$A$19,'Estimator'!$B$4,'Wind Proxy'!$B$8:$B$19,C3150)</x:f>
        <x:v>0.13739545997610514</x:v>
      </x:c>
    </x:row>
    <x:row r="3151">
      <x:c r="A3151" s="379" t="n">
        <x:v>48802</x:v>
      </x:c>
      <x:c r="B3151" s="380" t="n">
        <x:v>2033</x:v>
      </x:c>
      <x:c r="C3151" s="380" t="n">
        <x:v>8</x:v>
      </x:c>
      <x:c r="D3151" s="380" t="str">
        <x:v>Aug</x:v>
      </x:c>
      <x:c r="E3151" s="380" t="n">
        <x:v>11</x:v>
      </x:c>
      <x:c r="F3151" s="380" t="n">
        <x:v>4</x:v>
      </x:c>
      <x:c r="G3151" s="380" t="n">
        <x:f>--(F3151&lt;='Estimator'!$B$7)</x:f>
        <x:v>1</x:v>
      </x:c>
      <x:c r="H3151" s="381" t="n">
        <x:f>SUMIFS('Climate Data'!$G$7:$G$366,'Climate Data'!$A$7:$A$366,'Estimator'!$B$4,'Climate Data'!$B$7:$B$366,C3151)</x:f>
        <x:v>0.47274749721913234</x:v>
      </x:c>
      <x:c r="I3151" s="382" t="n">
        <x:f>SUMIFS('Climate Data'!$H$7:$H$366,'Climate Data'!$A$7:$A$366,'Estimator'!$B$4,'Climate Data'!$B$7:$B$366,C3151)</x:f>
        <x:v>7.9971764705882356</x:v>
      </x:c>
      <x:c r="J3151" s="381" t="n">
        <x:f>SUMIFS('Wind Proxy'!$H$8:$H$19,'Wind Proxy'!$A$8:$A$19,'Estimator'!$B$4,'Wind Proxy'!$B$8:$B$19,C3151)</x:f>
        <x:v>0.13739545997610514</x:v>
      </x:c>
    </x:row>
    <x:row r="3152">
      <x:c r="A3152" s="379" t="n">
        <x:v>48803</x:v>
      </x:c>
      <x:c r="B3152" s="380" t="n">
        <x:v>2033</x:v>
      </x:c>
      <x:c r="C3152" s="380" t="n">
        <x:v>8</x:v>
      </x:c>
      <x:c r="D3152" s="380" t="str">
        <x:v>Aug</x:v>
      </x:c>
      <x:c r="E3152" s="380" t="n">
        <x:v>12</x:v>
      </x:c>
      <x:c r="F3152" s="380" t="n">
        <x:v>5</x:v>
      </x:c>
      <x:c r="G3152" s="380" t="n">
        <x:f>--(F3152&lt;='Estimator'!$B$7)</x:f>
        <x:v>1</x:v>
      </x:c>
      <x:c r="H3152" s="381" t="n">
        <x:f>SUMIFS('Climate Data'!$G$7:$G$366,'Climate Data'!$A$7:$A$366,'Estimator'!$B$4,'Climate Data'!$B$7:$B$366,C3152)</x:f>
        <x:v>0.47274749721913234</x:v>
      </x:c>
      <x:c r="I3152" s="382" t="n">
        <x:f>SUMIFS('Climate Data'!$H$7:$H$366,'Climate Data'!$A$7:$A$366,'Estimator'!$B$4,'Climate Data'!$B$7:$B$366,C3152)</x:f>
        <x:v>7.9971764705882356</x:v>
      </x:c>
      <x:c r="J3152" s="381" t="n">
        <x:f>SUMIFS('Wind Proxy'!$H$8:$H$19,'Wind Proxy'!$A$8:$A$19,'Estimator'!$B$4,'Wind Proxy'!$B$8:$B$19,C3152)</x:f>
        <x:v>0.13739545997610514</x:v>
      </x:c>
    </x:row>
    <x:row r="3153">
      <x:c r="A3153" s="379" t="n">
        <x:v>48804</x:v>
      </x:c>
      <x:c r="B3153" s="380" t="n">
        <x:v>2033</x:v>
      </x:c>
      <x:c r="C3153" s="380" t="n">
        <x:v>8</x:v>
      </x:c>
      <x:c r="D3153" s="380" t="str">
        <x:v>Aug</x:v>
      </x:c>
      <x:c r="E3153" s="380" t="n">
        <x:v>13</x:v>
      </x:c>
      <x:c r="F3153" s="380" t="n">
        <x:v>6</x:v>
      </x:c>
      <x:c r="G3153" s="380" t="n">
        <x:f>--(F3153&lt;='Estimator'!$B$7)</x:f>
        <x:v>0</x:v>
      </x:c>
      <x:c r="H3153" s="381" t="n">
        <x:f>SUMIFS('Climate Data'!$G$7:$G$366,'Climate Data'!$A$7:$A$366,'Estimator'!$B$4,'Climate Data'!$B$7:$B$366,C3153)</x:f>
        <x:v>0.47274749721913234</x:v>
      </x:c>
      <x:c r="I3153" s="382" t="n">
        <x:f>SUMIFS('Climate Data'!$H$7:$H$366,'Climate Data'!$A$7:$A$366,'Estimator'!$B$4,'Climate Data'!$B$7:$B$366,C3153)</x:f>
        <x:v>7.9971764705882356</x:v>
      </x:c>
      <x:c r="J3153" s="381" t="n">
        <x:f>SUMIFS('Wind Proxy'!$H$8:$H$19,'Wind Proxy'!$A$8:$A$19,'Estimator'!$B$4,'Wind Proxy'!$B$8:$B$19,C3153)</x:f>
        <x:v>0.13739545997610514</x:v>
      </x:c>
    </x:row>
    <x:row r="3154">
      <x:c r="A3154" s="379" t="n">
        <x:v>48805</x:v>
      </x:c>
      <x:c r="B3154" s="380" t="n">
        <x:v>2033</x:v>
      </x:c>
      <x:c r="C3154" s="380" t="n">
        <x:v>8</x:v>
      </x:c>
      <x:c r="D3154" s="380" t="str">
        <x:v>Aug</x:v>
      </x:c>
      <x:c r="E3154" s="380" t="n">
        <x:v>14</x:v>
      </x:c>
      <x:c r="F3154" s="380" t="n">
        <x:v>7</x:v>
      </x:c>
      <x:c r="G3154" s="380" t="n">
        <x:f>--(F3154&lt;='Estimator'!$B$7)</x:f>
        <x:v>0</x:v>
      </x:c>
      <x:c r="H3154" s="381" t="n">
        <x:f>SUMIFS('Climate Data'!$G$7:$G$366,'Climate Data'!$A$7:$A$366,'Estimator'!$B$4,'Climate Data'!$B$7:$B$366,C3154)</x:f>
        <x:v>0.47274749721913234</x:v>
      </x:c>
      <x:c r="I3154" s="382" t="n">
        <x:f>SUMIFS('Climate Data'!$H$7:$H$366,'Climate Data'!$A$7:$A$366,'Estimator'!$B$4,'Climate Data'!$B$7:$B$366,C3154)</x:f>
        <x:v>7.9971764705882356</x:v>
      </x:c>
      <x:c r="J3154" s="381" t="n">
        <x:f>SUMIFS('Wind Proxy'!$H$8:$H$19,'Wind Proxy'!$A$8:$A$19,'Estimator'!$B$4,'Wind Proxy'!$B$8:$B$19,C3154)</x:f>
        <x:v>0.13739545997610514</x:v>
      </x:c>
    </x:row>
    <x:row r="3155">
      <x:c r="A3155" s="379" t="n">
        <x:v>48806</x:v>
      </x:c>
      <x:c r="B3155" s="380" t="n">
        <x:v>2033</x:v>
      </x:c>
      <x:c r="C3155" s="380" t="n">
        <x:v>8</x:v>
      </x:c>
      <x:c r="D3155" s="380" t="str">
        <x:v>Aug</x:v>
      </x:c>
      <x:c r="E3155" s="380" t="n">
        <x:v>15</x:v>
      </x:c>
      <x:c r="F3155" s="380" t="n">
        <x:v>1</x:v>
      </x:c>
      <x:c r="G3155" s="380" t="n">
        <x:f>--(F3155&lt;='Estimator'!$B$7)</x:f>
        <x:v>1</x:v>
      </x:c>
      <x:c r="H3155" s="381" t="n">
        <x:f>SUMIFS('Climate Data'!$G$7:$G$366,'Climate Data'!$A$7:$A$366,'Estimator'!$B$4,'Climate Data'!$B$7:$B$366,C3155)</x:f>
        <x:v>0.47274749721913234</x:v>
      </x:c>
      <x:c r="I3155" s="382" t="n">
        <x:f>SUMIFS('Climate Data'!$H$7:$H$366,'Climate Data'!$A$7:$A$366,'Estimator'!$B$4,'Climate Data'!$B$7:$B$366,C3155)</x:f>
        <x:v>7.9971764705882356</x:v>
      </x:c>
      <x:c r="J3155" s="381" t="n">
        <x:f>SUMIFS('Wind Proxy'!$H$8:$H$19,'Wind Proxy'!$A$8:$A$19,'Estimator'!$B$4,'Wind Proxy'!$B$8:$B$19,C3155)</x:f>
        <x:v>0.13739545997610514</x:v>
      </x:c>
    </x:row>
    <x:row r="3156">
      <x:c r="A3156" s="379" t="n">
        <x:v>48807</x:v>
      </x:c>
      <x:c r="B3156" s="380" t="n">
        <x:v>2033</x:v>
      </x:c>
      <x:c r="C3156" s="380" t="n">
        <x:v>8</x:v>
      </x:c>
      <x:c r="D3156" s="380" t="str">
        <x:v>Aug</x:v>
      </x:c>
      <x:c r="E3156" s="380" t="n">
        <x:v>16</x:v>
      </x:c>
      <x:c r="F3156" s="380" t="n">
        <x:v>2</x:v>
      </x:c>
      <x:c r="G3156" s="380" t="n">
        <x:f>--(F3156&lt;='Estimator'!$B$7)</x:f>
        <x:v>1</x:v>
      </x:c>
      <x:c r="H3156" s="381" t="n">
        <x:f>SUMIFS('Climate Data'!$G$7:$G$366,'Climate Data'!$A$7:$A$366,'Estimator'!$B$4,'Climate Data'!$B$7:$B$366,C3156)</x:f>
        <x:v>0.47274749721913234</x:v>
      </x:c>
      <x:c r="I3156" s="382" t="n">
        <x:f>SUMIFS('Climate Data'!$H$7:$H$366,'Climate Data'!$A$7:$A$366,'Estimator'!$B$4,'Climate Data'!$B$7:$B$366,C3156)</x:f>
        <x:v>7.9971764705882356</x:v>
      </x:c>
      <x:c r="J3156" s="381" t="n">
        <x:f>SUMIFS('Wind Proxy'!$H$8:$H$19,'Wind Proxy'!$A$8:$A$19,'Estimator'!$B$4,'Wind Proxy'!$B$8:$B$19,C3156)</x:f>
        <x:v>0.13739545997610514</x:v>
      </x:c>
    </x:row>
    <x:row r="3157">
      <x:c r="A3157" s="379" t="n">
        <x:v>48808</x:v>
      </x:c>
      <x:c r="B3157" s="380" t="n">
        <x:v>2033</x:v>
      </x:c>
      <x:c r="C3157" s="380" t="n">
        <x:v>8</x:v>
      </x:c>
      <x:c r="D3157" s="380" t="str">
        <x:v>Aug</x:v>
      </x:c>
      <x:c r="E3157" s="380" t="n">
        <x:v>17</x:v>
      </x:c>
      <x:c r="F3157" s="380" t="n">
        <x:v>3</x:v>
      </x:c>
      <x:c r="G3157" s="380" t="n">
        <x:f>--(F3157&lt;='Estimator'!$B$7)</x:f>
        <x:v>1</x:v>
      </x:c>
      <x:c r="H3157" s="381" t="n">
        <x:f>SUMIFS('Climate Data'!$G$7:$G$366,'Climate Data'!$A$7:$A$366,'Estimator'!$B$4,'Climate Data'!$B$7:$B$366,C3157)</x:f>
        <x:v>0.47274749721913234</x:v>
      </x:c>
      <x:c r="I3157" s="382" t="n">
        <x:f>SUMIFS('Climate Data'!$H$7:$H$366,'Climate Data'!$A$7:$A$366,'Estimator'!$B$4,'Climate Data'!$B$7:$B$366,C3157)</x:f>
        <x:v>7.9971764705882356</x:v>
      </x:c>
      <x:c r="J3157" s="381" t="n">
        <x:f>SUMIFS('Wind Proxy'!$H$8:$H$19,'Wind Proxy'!$A$8:$A$19,'Estimator'!$B$4,'Wind Proxy'!$B$8:$B$19,C3157)</x:f>
        <x:v>0.13739545997610514</x:v>
      </x:c>
    </x:row>
    <x:row r="3158">
      <x:c r="A3158" s="379" t="n">
        <x:v>48809</x:v>
      </x:c>
      <x:c r="B3158" s="380" t="n">
        <x:v>2033</x:v>
      </x:c>
      <x:c r="C3158" s="380" t="n">
        <x:v>8</x:v>
      </x:c>
      <x:c r="D3158" s="380" t="str">
        <x:v>Aug</x:v>
      </x:c>
      <x:c r="E3158" s="380" t="n">
        <x:v>18</x:v>
      </x:c>
      <x:c r="F3158" s="380" t="n">
        <x:v>4</x:v>
      </x:c>
      <x:c r="G3158" s="380" t="n">
        <x:f>--(F3158&lt;='Estimator'!$B$7)</x:f>
        <x:v>1</x:v>
      </x:c>
      <x:c r="H3158" s="381" t="n">
        <x:f>SUMIFS('Climate Data'!$G$7:$G$366,'Climate Data'!$A$7:$A$366,'Estimator'!$B$4,'Climate Data'!$B$7:$B$366,C3158)</x:f>
        <x:v>0.47274749721913234</x:v>
      </x:c>
      <x:c r="I3158" s="382" t="n">
        <x:f>SUMIFS('Climate Data'!$H$7:$H$366,'Climate Data'!$A$7:$A$366,'Estimator'!$B$4,'Climate Data'!$B$7:$B$366,C3158)</x:f>
        <x:v>7.9971764705882356</x:v>
      </x:c>
      <x:c r="J3158" s="381" t="n">
        <x:f>SUMIFS('Wind Proxy'!$H$8:$H$19,'Wind Proxy'!$A$8:$A$19,'Estimator'!$B$4,'Wind Proxy'!$B$8:$B$19,C3158)</x:f>
        <x:v>0.13739545997610514</x:v>
      </x:c>
    </x:row>
    <x:row r="3159">
      <x:c r="A3159" s="379" t="n">
        <x:v>48810</x:v>
      </x:c>
      <x:c r="B3159" s="380" t="n">
        <x:v>2033</x:v>
      </x:c>
      <x:c r="C3159" s="380" t="n">
        <x:v>8</x:v>
      </x:c>
      <x:c r="D3159" s="380" t="str">
        <x:v>Aug</x:v>
      </x:c>
      <x:c r="E3159" s="380" t="n">
        <x:v>19</x:v>
      </x:c>
      <x:c r="F3159" s="380" t="n">
        <x:v>5</x:v>
      </x:c>
      <x:c r="G3159" s="380" t="n">
        <x:f>--(F3159&lt;='Estimator'!$B$7)</x:f>
        <x:v>1</x:v>
      </x:c>
      <x:c r="H3159" s="381" t="n">
        <x:f>SUMIFS('Climate Data'!$G$7:$G$366,'Climate Data'!$A$7:$A$366,'Estimator'!$B$4,'Climate Data'!$B$7:$B$366,C3159)</x:f>
        <x:v>0.47274749721913234</x:v>
      </x:c>
      <x:c r="I3159" s="382" t="n">
        <x:f>SUMIFS('Climate Data'!$H$7:$H$366,'Climate Data'!$A$7:$A$366,'Estimator'!$B$4,'Climate Data'!$B$7:$B$366,C3159)</x:f>
        <x:v>7.9971764705882356</x:v>
      </x:c>
      <x:c r="J3159" s="381" t="n">
        <x:f>SUMIFS('Wind Proxy'!$H$8:$H$19,'Wind Proxy'!$A$8:$A$19,'Estimator'!$B$4,'Wind Proxy'!$B$8:$B$19,C3159)</x:f>
        <x:v>0.13739545997610514</x:v>
      </x:c>
    </x:row>
    <x:row r="3160">
      <x:c r="A3160" s="379" t="n">
        <x:v>48811</x:v>
      </x:c>
      <x:c r="B3160" s="380" t="n">
        <x:v>2033</x:v>
      </x:c>
      <x:c r="C3160" s="380" t="n">
        <x:v>8</x:v>
      </x:c>
      <x:c r="D3160" s="380" t="str">
        <x:v>Aug</x:v>
      </x:c>
      <x:c r="E3160" s="380" t="n">
        <x:v>20</x:v>
      </x:c>
      <x:c r="F3160" s="380" t="n">
        <x:v>6</x:v>
      </x:c>
      <x:c r="G3160" s="380" t="n">
        <x:f>--(F3160&lt;='Estimator'!$B$7)</x:f>
        <x:v>0</x:v>
      </x:c>
      <x:c r="H3160" s="381" t="n">
        <x:f>SUMIFS('Climate Data'!$G$7:$G$366,'Climate Data'!$A$7:$A$366,'Estimator'!$B$4,'Climate Data'!$B$7:$B$366,C3160)</x:f>
        <x:v>0.47274749721913234</x:v>
      </x:c>
      <x:c r="I3160" s="382" t="n">
        <x:f>SUMIFS('Climate Data'!$H$7:$H$366,'Climate Data'!$A$7:$A$366,'Estimator'!$B$4,'Climate Data'!$B$7:$B$366,C3160)</x:f>
        <x:v>7.9971764705882356</x:v>
      </x:c>
      <x:c r="J3160" s="381" t="n">
        <x:f>SUMIFS('Wind Proxy'!$H$8:$H$19,'Wind Proxy'!$A$8:$A$19,'Estimator'!$B$4,'Wind Proxy'!$B$8:$B$19,C3160)</x:f>
        <x:v>0.13739545997610514</x:v>
      </x:c>
    </x:row>
    <x:row r="3161">
      <x:c r="A3161" s="379" t="n">
        <x:v>48812</x:v>
      </x:c>
      <x:c r="B3161" s="380" t="n">
        <x:v>2033</x:v>
      </x:c>
      <x:c r="C3161" s="380" t="n">
        <x:v>8</x:v>
      </x:c>
      <x:c r="D3161" s="380" t="str">
        <x:v>Aug</x:v>
      </x:c>
      <x:c r="E3161" s="380" t="n">
        <x:v>21</x:v>
      </x:c>
      <x:c r="F3161" s="380" t="n">
        <x:v>7</x:v>
      </x:c>
      <x:c r="G3161" s="380" t="n">
        <x:f>--(F3161&lt;='Estimator'!$B$7)</x:f>
        <x:v>0</x:v>
      </x:c>
      <x:c r="H3161" s="381" t="n">
        <x:f>SUMIFS('Climate Data'!$G$7:$G$366,'Climate Data'!$A$7:$A$366,'Estimator'!$B$4,'Climate Data'!$B$7:$B$366,C3161)</x:f>
        <x:v>0.47274749721913234</x:v>
      </x:c>
      <x:c r="I3161" s="382" t="n">
        <x:f>SUMIFS('Climate Data'!$H$7:$H$366,'Climate Data'!$A$7:$A$366,'Estimator'!$B$4,'Climate Data'!$B$7:$B$366,C3161)</x:f>
        <x:v>7.9971764705882356</x:v>
      </x:c>
      <x:c r="J3161" s="381" t="n">
        <x:f>SUMIFS('Wind Proxy'!$H$8:$H$19,'Wind Proxy'!$A$8:$A$19,'Estimator'!$B$4,'Wind Proxy'!$B$8:$B$19,C3161)</x:f>
        <x:v>0.13739545997610514</x:v>
      </x:c>
    </x:row>
    <x:row r="3162">
      <x:c r="A3162" s="379" t="n">
        <x:v>48813</x:v>
      </x:c>
      <x:c r="B3162" s="380" t="n">
        <x:v>2033</x:v>
      </x:c>
      <x:c r="C3162" s="380" t="n">
        <x:v>8</x:v>
      </x:c>
      <x:c r="D3162" s="380" t="str">
        <x:v>Aug</x:v>
      </x:c>
      <x:c r="E3162" s="380" t="n">
        <x:v>22</x:v>
      </x:c>
      <x:c r="F3162" s="380" t="n">
        <x:v>1</x:v>
      </x:c>
      <x:c r="G3162" s="380" t="n">
        <x:f>--(F3162&lt;='Estimator'!$B$7)</x:f>
        <x:v>1</x:v>
      </x:c>
      <x:c r="H3162" s="381" t="n">
        <x:f>SUMIFS('Climate Data'!$G$7:$G$366,'Climate Data'!$A$7:$A$366,'Estimator'!$B$4,'Climate Data'!$B$7:$B$366,C3162)</x:f>
        <x:v>0.47274749721913234</x:v>
      </x:c>
      <x:c r="I3162" s="382" t="n">
        <x:f>SUMIFS('Climate Data'!$H$7:$H$366,'Climate Data'!$A$7:$A$366,'Estimator'!$B$4,'Climate Data'!$B$7:$B$366,C3162)</x:f>
        <x:v>7.9971764705882356</x:v>
      </x:c>
      <x:c r="J3162" s="381" t="n">
        <x:f>SUMIFS('Wind Proxy'!$H$8:$H$19,'Wind Proxy'!$A$8:$A$19,'Estimator'!$B$4,'Wind Proxy'!$B$8:$B$19,C3162)</x:f>
        <x:v>0.13739545997610514</x:v>
      </x:c>
    </x:row>
    <x:row r="3163">
      <x:c r="A3163" s="379" t="n">
        <x:v>48814</x:v>
      </x:c>
      <x:c r="B3163" s="380" t="n">
        <x:v>2033</x:v>
      </x:c>
      <x:c r="C3163" s="380" t="n">
        <x:v>8</x:v>
      </x:c>
      <x:c r="D3163" s="380" t="str">
        <x:v>Aug</x:v>
      </x:c>
      <x:c r="E3163" s="380" t="n">
        <x:v>23</x:v>
      </x:c>
      <x:c r="F3163" s="380" t="n">
        <x:v>2</x:v>
      </x:c>
      <x:c r="G3163" s="380" t="n">
        <x:f>--(F3163&lt;='Estimator'!$B$7)</x:f>
        <x:v>1</x:v>
      </x:c>
      <x:c r="H3163" s="381" t="n">
        <x:f>SUMIFS('Climate Data'!$G$7:$G$366,'Climate Data'!$A$7:$A$366,'Estimator'!$B$4,'Climate Data'!$B$7:$B$366,C3163)</x:f>
        <x:v>0.47274749721913234</x:v>
      </x:c>
      <x:c r="I3163" s="382" t="n">
        <x:f>SUMIFS('Climate Data'!$H$7:$H$366,'Climate Data'!$A$7:$A$366,'Estimator'!$B$4,'Climate Data'!$B$7:$B$366,C3163)</x:f>
        <x:v>7.9971764705882356</x:v>
      </x:c>
      <x:c r="J3163" s="381" t="n">
        <x:f>SUMIFS('Wind Proxy'!$H$8:$H$19,'Wind Proxy'!$A$8:$A$19,'Estimator'!$B$4,'Wind Proxy'!$B$8:$B$19,C3163)</x:f>
        <x:v>0.13739545997610514</x:v>
      </x:c>
    </x:row>
    <x:row r="3164">
      <x:c r="A3164" s="379" t="n">
        <x:v>48815</x:v>
      </x:c>
      <x:c r="B3164" s="380" t="n">
        <x:v>2033</x:v>
      </x:c>
      <x:c r="C3164" s="380" t="n">
        <x:v>8</x:v>
      </x:c>
      <x:c r="D3164" s="380" t="str">
        <x:v>Aug</x:v>
      </x:c>
      <x:c r="E3164" s="380" t="n">
        <x:v>24</x:v>
      </x:c>
      <x:c r="F3164" s="380" t="n">
        <x:v>3</x:v>
      </x:c>
      <x:c r="G3164" s="380" t="n">
        <x:f>--(F3164&lt;='Estimator'!$B$7)</x:f>
        <x:v>1</x:v>
      </x:c>
      <x:c r="H3164" s="381" t="n">
        <x:f>SUMIFS('Climate Data'!$G$7:$G$366,'Climate Data'!$A$7:$A$366,'Estimator'!$B$4,'Climate Data'!$B$7:$B$366,C3164)</x:f>
        <x:v>0.47274749721913234</x:v>
      </x:c>
      <x:c r="I3164" s="382" t="n">
        <x:f>SUMIFS('Climate Data'!$H$7:$H$366,'Climate Data'!$A$7:$A$366,'Estimator'!$B$4,'Climate Data'!$B$7:$B$366,C3164)</x:f>
        <x:v>7.9971764705882356</x:v>
      </x:c>
      <x:c r="J3164" s="381" t="n">
        <x:f>SUMIFS('Wind Proxy'!$H$8:$H$19,'Wind Proxy'!$A$8:$A$19,'Estimator'!$B$4,'Wind Proxy'!$B$8:$B$19,C3164)</x:f>
        <x:v>0.13739545997610514</x:v>
      </x:c>
    </x:row>
    <x:row r="3165">
      <x:c r="A3165" s="379" t="n">
        <x:v>48816</x:v>
      </x:c>
      <x:c r="B3165" s="380" t="n">
        <x:v>2033</x:v>
      </x:c>
      <x:c r="C3165" s="380" t="n">
        <x:v>8</x:v>
      </x:c>
      <x:c r="D3165" s="380" t="str">
        <x:v>Aug</x:v>
      </x:c>
      <x:c r="E3165" s="380" t="n">
        <x:v>25</x:v>
      </x:c>
      <x:c r="F3165" s="380" t="n">
        <x:v>4</x:v>
      </x:c>
      <x:c r="G3165" s="380" t="n">
        <x:f>--(F3165&lt;='Estimator'!$B$7)</x:f>
        <x:v>1</x:v>
      </x:c>
      <x:c r="H3165" s="381" t="n">
        <x:f>SUMIFS('Climate Data'!$G$7:$G$366,'Climate Data'!$A$7:$A$366,'Estimator'!$B$4,'Climate Data'!$B$7:$B$366,C3165)</x:f>
        <x:v>0.47274749721913234</x:v>
      </x:c>
      <x:c r="I3165" s="382" t="n">
        <x:f>SUMIFS('Climate Data'!$H$7:$H$366,'Climate Data'!$A$7:$A$366,'Estimator'!$B$4,'Climate Data'!$B$7:$B$366,C3165)</x:f>
        <x:v>7.9971764705882356</x:v>
      </x:c>
      <x:c r="J3165" s="381" t="n">
        <x:f>SUMIFS('Wind Proxy'!$H$8:$H$19,'Wind Proxy'!$A$8:$A$19,'Estimator'!$B$4,'Wind Proxy'!$B$8:$B$19,C3165)</x:f>
        <x:v>0.13739545997610514</x:v>
      </x:c>
    </x:row>
    <x:row r="3166">
      <x:c r="A3166" s="379" t="n">
        <x:v>48817</x:v>
      </x:c>
      <x:c r="B3166" s="380" t="n">
        <x:v>2033</x:v>
      </x:c>
      <x:c r="C3166" s="380" t="n">
        <x:v>8</x:v>
      </x:c>
      <x:c r="D3166" s="380" t="str">
        <x:v>Aug</x:v>
      </x:c>
      <x:c r="E3166" s="380" t="n">
        <x:v>26</x:v>
      </x:c>
      <x:c r="F3166" s="380" t="n">
        <x:v>5</x:v>
      </x:c>
      <x:c r="G3166" s="380" t="n">
        <x:f>--(F3166&lt;='Estimator'!$B$7)</x:f>
        <x:v>1</x:v>
      </x:c>
      <x:c r="H3166" s="381" t="n">
        <x:f>SUMIFS('Climate Data'!$G$7:$G$366,'Climate Data'!$A$7:$A$366,'Estimator'!$B$4,'Climate Data'!$B$7:$B$366,C3166)</x:f>
        <x:v>0.47274749721913234</x:v>
      </x:c>
      <x:c r="I3166" s="382" t="n">
        <x:f>SUMIFS('Climate Data'!$H$7:$H$366,'Climate Data'!$A$7:$A$366,'Estimator'!$B$4,'Climate Data'!$B$7:$B$366,C3166)</x:f>
        <x:v>7.9971764705882356</x:v>
      </x:c>
      <x:c r="J3166" s="381" t="n">
        <x:f>SUMIFS('Wind Proxy'!$H$8:$H$19,'Wind Proxy'!$A$8:$A$19,'Estimator'!$B$4,'Wind Proxy'!$B$8:$B$19,C3166)</x:f>
        <x:v>0.13739545997610514</x:v>
      </x:c>
    </x:row>
    <x:row r="3167">
      <x:c r="A3167" s="379" t="n">
        <x:v>48818</x:v>
      </x:c>
      <x:c r="B3167" s="380" t="n">
        <x:v>2033</x:v>
      </x:c>
      <x:c r="C3167" s="380" t="n">
        <x:v>8</x:v>
      </x:c>
      <x:c r="D3167" s="380" t="str">
        <x:v>Aug</x:v>
      </x:c>
      <x:c r="E3167" s="380" t="n">
        <x:v>27</x:v>
      </x:c>
      <x:c r="F3167" s="380" t="n">
        <x:v>6</x:v>
      </x:c>
      <x:c r="G3167" s="380" t="n">
        <x:f>--(F3167&lt;='Estimator'!$B$7)</x:f>
        <x:v>0</x:v>
      </x:c>
      <x:c r="H3167" s="381" t="n">
        <x:f>SUMIFS('Climate Data'!$G$7:$G$366,'Climate Data'!$A$7:$A$366,'Estimator'!$B$4,'Climate Data'!$B$7:$B$366,C3167)</x:f>
        <x:v>0.47274749721913234</x:v>
      </x:c>
      <x:c r="I3167" s="382" t="n">
        <x:f>SUMIFS('Climate Data'!$H$7:$H$366,'Climate Data'!$A$7:$A$366,'Estimator'!$B$4,'Climate Data'!$B$7:$B$366,C3167)</x:f>
        <x:v>7.9971764705882356</x:v>
      </x:c>
      <x:c r="J3167" s="381" t="n">
        <x:f>SUMIFS('Wind Proxy'!$H$8:$H$19,'Wind Proxy'!$A$8:$A$19,'Estimator'!$B$4,'Wind Proxy'!$B$8:$B$19,C3167)</x:f>
        <x:v>0.13739545997610514</x:v>
      </x:c>
    </x:row>
    <x:row r="3168">
      <x:c r="A3168" s="379" t="n">
        <x:v>48819</x:v>
      </x:c>
      <x:c r="B3168" s="380" t="n">
        <x:v>2033</x:v>
      </x:c>
      <x:c r="C3168" s="380" t="n">
        <x:v>8</x:v>
      </x:c>
      <x:c r="D3168" s="380" t="str">
        <x:v>Aug</x:v>
      </x:c>
      <x:c r="E3168" s="380" t="n">
        <x:v>28</x:v>
      </x:c>
      <x:c r="F3168" s="380" t="n">
        <x:v>7</x:v>
      </x:c>
      <x:c r="G3168" s="380" t="n">
        <x:f>--(F3168&lt;='Estimator'!$B$7)</x:f>
        <x:v>0</x:v>
      </x:c>
      <x:c r="H3168" s="381" t="n">
        <x:f>SUMIFS('Climate Data'!$G$7:$G$366,'Climate Data'!$A$7:$A$366,'Estimator'!$B$4,'Climate Data'!$B$7:$B$366,C3168)</x:f>
        <x:v>0.47274749721913234</x:v>
      </x:c>
      <x:c r="I3168" s="382" t="n">
        <x:f>SUMIFS('Climate Data'!$H$7:$H$366,'Climate Data'!$A$7:$A$366,'Estimator'!$B$4,'Climate Data'!$B$7:$B$366,C3168)</x:f>
        <x:v>7.9971764705882356</x:v>
      </x:c>
      <x:c r="J3168" s="381" t="n">
        <x:f>SUMIFS('Wind Proxy'!$H$8:$H$19,'Wind Proxy'!$A$8:$A$19,'Estimator'!$B$4,'Wind Proxy'!$B$8:$B$19,C3168)</x:f>
        <x:v>0.13739545997610514</x:v>
      </x:c>
    </x:row>
    <x:row r="3169">
      <x:c r="A3169" s="379" t="n">
        <x:v>48820</x:v>
      </x:c>
      <x:c r="B3169" s="380" t="n">
        <x:v>2033</x:v>
      </x:c>
      <x:c r="C3169" s="380" t="n">
        <x:v>8</x:v>
      </x:c>
      <x:c r="D3169" s="380" t="str">
        <x:v>Aug</x:v>
      </x:c>
      <x:c r="E3169" s="380" t="n">
        <x:v>29</x:v>
      </x:c>
      <x:c r="F3169" s="380" t="n">
        <x:v>1</x:v>
      </x:c>
      <x:c r="G3169" s="380" t="n">
        <x:f>--(F3169&lt;='Estimator'!$B$7)</x:f>
        <x:v>1</x:v>
      </x:c>
      <x:c r="H3169" s="381" t="n">
        <x:f>SUMIFS('Climate Data'!$G$7:$G$366,'Climate Data'!$A$7:$A$366,'Estimator'!$B$4,'Climate Data'!$B$7:$B$366,C3169)</x:f>
        <x:v>0.47274749721913234</x:v>
      </x:c>
      <x:c r="I3169" s="382" t="n">
        <x:f>SUMIFS('Climate Data'!$H$7:$H$366,'Climate Data'!$A$7:$A$366,'Estimator'!$B$4,'Climate Data'!$B$7:$B$366,C3169)</x:f>
        <x:v>7.9971764705882356</x:v>
      </x:c>
      <x:c r="J3169" s="381" t="n">
        <x:f>SUMIFS('Wind Proxy'!$H$8:$H$19,'Wind Proxy'!$A$8:$A$19,'Estimator'!$B$4,'Wind Proxy'!$B$8:$B$19,C3169)</x:f>
        <x:v>0.13739545997610514</x:v>
      </x:c>
    </x:row>
    <x:row r="3170">
      <x:c r="A3170" s="379" t="n">
        <x:v>48821</x:v>
      </x:c>
      <x:c r="B3170" s="380" t="n">
        <x:v>2033</x:v>
      </x:c>
      <x:c r="C3170" s="380" t="n">
        <x:v>8</x:v>
      </x:c>
      <x:c r="D3170" s="380" t="str">
        <x:v>Aug</x:v>
      </x:c>
      <x:c r="E3170" s="380" t="n">
        <x:v>30</x:v>
      </x:c>
      <x:c r="F3170" s="380" t="n">
        <x:v>2</x:v>
      </x:c>
      <x:c r="G3170" s="380" t="n">
        <x:f>--(F3170&lt;='Estimator'!$B$7)</x:f>
        <x:v>1</x:v>
      </x:c>
      <x:c r="H3170" s="381" t="n">
        <x:f>SUMIFS('Climate Data'!$G$7:$G$366,'Climate Data'!$A$7:$A$366,'Estimator'!$B$4,'Climate Data'!$B$7:$B$366,C3170)</x:f>
        <x:v>0.47274749721913234</x:v>
      </x:c>
      <x:c r="I3170" s="382" t="n">
        <x:f>SUMIFS('Climate Data'!$H$7:$H$366,'Climate Data'!$A$7:$A$366,'Estimator'!$B$4,'Climate Data'!$B$7:$B$366,C3170)</x:f>
        <x:v>7.9971764705882356</x:v>
      </x:c>
      <x:c r="J3170" s="381" t="n">
        <x:f>SUMIFS('Wind Proxy'!$H$8:$H$19,'Wind Proxy'!$A$8:$A$19,'Estimator'!$B$4,'Wind Proxy'!$B$8:$B$19,C3170)</x:f>
        <x:v>0.13739545997610514</x:v>
      </x:c>
    </x:row>
    <x:row r="3171">
      <x:c r="A3171" s="379" t="n">
        <x:v>48822</x:v>
      </x:c>
      <x:c r="B3171" s="380" t="n">
        <x:v>2033</x:v>
      </x:c>
      <x:c r="C3171" s="380" t="n">
        <x:v>8</x:v>
      </x:c>
      <x:c r="D3171" s="380" t="str">
        <x:v>Aug</x:v>
      </x:c>
      <x:c r="E3171" s="380" t="n">
        <x:v>31</x:v>
      </x:c>
      <x:c r="F3171" s="380" t="n">
        <x:v>3</x:v>
      </x:c>
      <x:c r="G3171" s="380" t="n">
        <x:f>--(F3171&lt;='Estimator'!$B$7)</x:f>
        <x:v>1</x:v>
      </x:c>
      <x:c r="H3171" s="381" t="n">
        <x:f>SUMIFS('Climate Data'!$G$7:$G$366,'Climate Data'!$A$7:$A$366,'Estimator'!$B$4,'Climate Data'!$B$7:$B$366,C3171)</x:f>
        <x:v>0.47274749721913234</x:v>
      </x:c>
      <x:c r="I3171" s="382" t="n">
        <x:f>SUMIFS('Climate Data'!$H$7:$H$366,'Climate Data'!$A$7:$A$366,'Estimator'!$B$4,'Climate Data'!$B$7:$B$366,C3171)</x:f>
        <x:v>7.9971764705882356</x:v>
      </x:c>
      <x:c r="J3171" s="381" t="n">
        <x:f>SUMIFS('Wind Proxy'!$H$8:$H$19,'Wind Proxy'!$A$8:$A$19,'Estimator'!$B$4,'Wind Proxy'!$B$8:$B$19,C3171)</x:f>
        <x:v>0.13739545997610514</x:v>
      </x:c>
    </x:row>
    <x:row r="3172">
      <x:c r="A3172" s="379" t="n">
        <x:v>48823</x:v>
      </x:c>
      <x:c r="B3172" s="380" t="n">
        <x:v>2033</x:v>
      </x:c>
      <x:c r="C3172" s="380" t="n">
        <x:v>9</x:v>
      </x:c>
      <x:c r="D3172" s="380" t="str">
        <x:v>Sep</x:v>
      </x:c>
      <x:c r="E3172" s="380" t="n">
        <x:v>1</x:v>
      </x:c>
      <x:c r="F3172" s="380" t="n">
        <x:v>4</x:v>
      </x:c>
      <x:c r="G3172" s="380" t="n">
        <x:f>--(F3172&lt;='Estimator'!$B$7)</x:f>
        <x:v>1</x:v>
      </x:c>
      <x:c r="H3172" s="381" t="n">
        <x:f>SUMIFS('Climate Data'!$G$7:$G$366,'Climate Data'!$A$7:$A$366,'Estimator'!$B$4,'Climate Data'!$B$7:$B$366,C3172)</x:f>
        <x:v>0.4160919540229885</x:v>
      </x:c>
      <x:c r="I3172" s="382" t="n">
        <x:f>SUMIFS('Climate Data'!$H$7:$H$366,'Climate Data'!$A$7:$A$366,'Estimator'!$B$4,'Climate Data'!$B$7:$B$366,C3172)</x:f>
        <x:v>8.019060773480662</x:v>
      </x:c>
      <x:c r="J3172" s="381" t="n">
        <x:f>SUMIFS('Wind Proxy'!$H$8:$H$19,'Wind Proxy'!$A$8:$A$19,'Estimator'!$B$4,'Wind Proxy'!$B$8:$B$19,C3172)</x:f>
        <x:v>0.22222222222222224</x:v>
      </x:c>
    </x:row>
    <x:row r="3173">
      <x:c r="A3173" s="379" t="n">
        <x:v>48824</x:v>
      </x:c>
      <x:c r="B3173" s="380" t="n">
        <x:v>2033</x:v>
      </x:c>
      <x:c r="C3173" s="380" t="n">
        <x:v>9</x:v>
      </x:c>
      <x:c r="D3173" s="380" t="str">
        <x:v>Sep</x:v>
      </x:c>
      <x:c r="E3173" s="380" t="n">
        <x:v>2</x:v>
      </x:c>
      <x:c r="F3173" s="380" t="n">
        <x:v>5</x:v>
      </x:c>
      <x:c r="G3173" s="380" t="n">
        <x:f>--(F3173&lt;='Estimator'!$B$7)</x:f>
        <x:v>1</x:v>
      </x:c>
      <x:c r="H3173" s="381" t="n">
        <x:f>SUMIFS('Climate Data'!$G$7:$G$366,'Climate Data'!$A$7:$A$366,'Estimator'!$B$4,'Climate Data'!$B$7:$B$366,C3173)</x:f>
        <x:v>0.4160919540229885</x:v>
      </x:c>
      <x:c r="I3173" s="382" t="n">
        <x:f>SUMIFS('Climate Data'!$H$7:$H$366,'Climate Data'!$A$7:$A$366,'Estimator'!$B$4,'Climate Data'!$B$7:$B$366,C3173)</x:f>
        <x:v>8.019060773480662</x:v>
      </x:c>
      <x:c r="J3173" s="381" t="n">
        <x:f>SUMIFS('Wind Proxy'!$H$8:$H$19,'Wind Proxy'!$A$8:$A$19,'Estimator'!$B$4,'Wind Proxy'!$B$8:$B$19,C3173)</x:f>
        <x:v>0.22222222222222224</x:v>
      </x:c>
    </x:row>
    <x:row r="3174">
      <x:c r="A3174" s="379" t="n">
        <x:v>48825</x:v>
      </x:c>
      <x:c r="B3174" s="380" t="n">
        <x:v>2033</x:v>
      </x:c>
      <x:c r="C3174" s="380" t="n">
        <x:v>9</x:v>
      </x:c>
      <x:c r="D3174" s="380" t="str">
        <x:v>Sep</x:v>
      </x:c>
      <x:c r="E3174" s="380" t="n">
        <x:v>3</x:v>
      </x:c>
      <x:c r="F3174" s="380" t="n">
        <x:v>6</x:v>
      </x:c>
      <x:c r="G3174" s="380" t="n">
        <x:f>--(F3174&lt;='Estimator'!$B$7)</x:f>
        <x:v>0</x:v>
      </x:c>
      <x:c r="H3174" s="381" t="n">
        <x:f>SUMIFS('Climate Data'!$G$7:$G$366,'Climate Data'!$A$7:$A$366,'Estimator'!$B$4,'Climate Data'!$B$7:$B$366,C3174)</x:f>
        <x:v>0.4160919540229885</x:v>
      </x:c>
      <x:c r="I3174" s="382" t="n">
        <x:f>SUMIFS('Climate Data'!$H$7:$H$366,'Climate Data'!$A$7:$A$366,'Estimator'!$B$4,'Climate Data'!$B$7:$B$366,C3174)</x:f>
        <x:v>8.019060773480662</x:v>
      </x:c>
      <x:c r="J3174" s="381" t="n">
        <x:f>SUMIFS('Wind Proxy'!$H$8:$H$19,'Wind Proxy'!$A$8:$A$19,'Estimator'!$B$4,'Wind Proxy'!$B$8:$B$19,C3174)</x:f>
        <x:v>0.22222222222222224</x:v>
      </x:c>
    </x:row>
    <x:row r="3175">
      <x:c r="A3175" s="379" t="n">
        <x:v>48826</x:v>
      </x:c>
      <x:c r="B3175" s="380" t="n">
        <x:v>2033</x:v>
      </x:c>
      <x:c r="C3175" s="380" t="n">
        <x:v>9</x:v>
      </x:c>
      <x:c r="D3175" s="380" t="str">
        <x:v>Sep</x:v>
      </x:c>
      <x:c r="E3175" s="380" t="n">
        <x:v>4</x:v>
      </x:c>
      <x:c r="F3175" s="380" t="n">
        <x:v>7</x:v>
      </x:c>
      <x:c r="G3175" s="380" t="n">
        <x:f>--(F3175&lt;='Estimator'!$B$7)</x:f>
        <x:v>0</x:v>
      </x:c>
      <x:c r="H3175" s="381" t="n">
        <x:f>SUMIFS('Climate Data'!$G$7:$G$366,'Climate Data'!$A$7:$A$366,'Estimator'!$B$4,'Climate Data'!$B$7:$B$366,C3175)</x:f>
        <x:v>0.4160919540229885</x:v>
      </x:c>
      <x:c r="I3175" s="382" t="n">
        <x:f>SUMIFS('Climate Data'!$H$7:$H$366,'Climate Data'!$A$7:$A$366,'Estimator'!$B$4,'Climate Data'!$B$7:$B$366,C3175)</x:f>
        <x:v>8.019060773480662</x:v>
      </x:c>
      <x:c r="J3175" s="381" t="n">
        <x:f>SUMIFS('Wind Proxy'!$H$8:$H$19,'Wind Proxy'!$A$8:$A$19,'Estimator'!$B$4,'Wind Proxy'!$B$8:$B$19,C3175)</x:f>
        <x:v>0.22222222222222224</x:v>
      </x:c>
    </x:row>
    <x:row r="3176">
      <x:c r="A3176" s="379" t="n">
        <x:v>48827</x:v>
      </x:c>
      <x:c r="B3176" s="380" t="n">
        <x:v>2033</x:v>
      </x:c>
      <x:c r="C3176" s="380" t="n">
        <x:v>9</x:v>
      </x:c>
      <x:c r="D3176" s="380" t="str">
        <x:v>Sep</x:v>
      </x:c>
      <x:c r="E3176" s="380" t="n">
        <x:v>5</x:v>
      </x:c>
      <x:c r="F3176" s="380" t="n">
        <x:v>1</x:v>
      </x:c>
      <x:c r="G3176" s="380" t="n">
        <x:f>--(F3176&lt;='Estimator'!$B$7)</x:f>
        <x:v>1</x:v>
      </x:c>
      <x:c r="H3176" s="381" t="n">
        <x:f>SUMIFS('Climate Data'!$G$7:$G$366,'Climate Data'!$A$7:$A$366,'Estimator'!$B$4,'Climate Data'!$B$7:$B$366,C3176)</x:f>
        <x:v>0.4160919540229885</x:v>
      </x:c>
      <x:c r="I3176" s="382" t="n">
        <x:f>SUMIFS('Climate Data'!$H$7:$H$366,'Climate Data'!$A$7:$A$366,'Estimator'!$B$4,'Climate Data'!$B$7:$B$366,C3176)</x:f>
        <x:v>8.019060773480662</x:v>
      </x:c>
      <x:c r="J3176" s="381" t="n">
        <x:f>SUMIFS('Wind Proxy'!$H$8:$H$19,'Wind Proxy'!$A$8:$A$19,'Estimator'!$B$4,'Wind Proxy'!$B$8:$B$19,C3176)</x:f>
        <x:v>0.22222222222222224</x:v>
      </x:c>
    </x:row>
    <x:row r="3177">
      <x:c r="A3177" s="379" t="n">
        <x:v>48828</x:v>
      </x:c>
      <x:c r="B3177" s="380" t="n">
        <x:v>2033</x:v>
      </x:c>
      <x:c r="C3177" s="380" t="n">
        <x:v>9</x:v>
      </x:c>
      <x:c r="D3177" s="380" t="str">
        <x:v>Sep</x:v>
      </x:c>
      <x:c r="E3177" s="380" t="n">
        <x:v>6</x:v>
      </x:c>
      <x:c r="F3177" s="380" t="n">
        <x:v>2</x:v>
      </x:c>
      <x:c r="G3177" s="380" t="n">
        <x:f>--(F3177&lt;='Estimator'!$B$7)</x:f>
        <x:v>1</x:v>
      </x:c>
      <x:c r="H3177" s="381" t="n">
        <x:f>SUMIFS('Climate Data'!$G$7:$G$366,'Climate Data'!$A$7:$A$366,'Estimator'!$B$4,'Climate Data'!$B$7:$B$366,C3177)</x:f>
        <x:v>0.4160919540229885</x:v>
      </x:c>
      <x:c r="I3177" s="382" t="n">
        <x:f>SUMIFS('Climate Data'!$H$7:$H$366,'Climate Data'!$A$7:$A$366,'Estimator'!$B$4,'Climate Data'!$B$7:$B$366,C3177)</x:f>
        <x:v>8.019060773480662</x:v>
      </x:c>
      <x:c r="J3177" s="381" t="n">
        <x:f>SUMIFS('Wind Proxy'!$H$8:$H$19,'Wind Proxy'!$A$8:$A$19,'Estimator'!$B$4,'Wind Proxy'!$B$8:$B$19,C3177)</x:f>
        <x:v>0.22222222222222224</x:v>
      </x:c>
    </x:row>
    <x:row r="3178">
      <x:c r="A3178" s="379" t="n">
        <x:v>48829</x:v>
      </x:c>
      <x:c r="B3178" s="380" t="n">
        <x:v>2033</x:v>
      </x:c>
      <x:c r="C3178" s="380" t="n">
        <x:v>9</x:v>
      </x:c>
      <x:c r="D3178" s="380" t="str">
        <x:v>Sep</x:v>
      </x:c>
      <x:c r="E3178" s="380" t="n">
        <x:v>7</x:v>
      </x:c>
      <x:c r="F3178" s="380" t="n">
        <x:v>3</x:v>
      </x:c>
      <x:c r="G3178" s="380" t="n">
        <x:f>--(F3178&lt;='Estimator'!$B$7)</x:f>
        <x:v>1</x:v>
      </x:c>
      <x:c r="H3178" s="381" t="n">
        <x:f>SUMIFS('Climate Data'!$G$7:$G$366,'Climate Data'!$A$7:$A$366,'Estimator'!$B$4,'Climate Data'!$B$7:$B$366,C3178)</x:f>
        <x:v>0.4160919540229885</x:v>
      </x:c>
      <x:c r="I3178" s="382" t="n">
        <x:f>SUMIFS('Climate Data'!$H$7:$H$366,'Climate Data'!$A$7:$A$366,'Estimator'!$B$4,'Climate Data'!$B$7:$B$366,C3178)</x:f>
        <x:v>8.019060773480662</x:v>
      </x:c>
      <x:c r="J3178" s="381" t="n">
        <x:f>SUMIFS('Wind Proxy'!$H$8:$H$19,'Wind Proxy'!$A$8:$A$19,'Estimator'!$B$4,'Wind Proxy'!$B$8:$B$19,C3178)</x:f>
        <x:v>0.22222222222222224</x:v>
      </x:c>
    </x:row>
    <x:row r="3179">
      <x:c r="A3179" s="379" t="n">
        <x:v>48830</x:v>
      </x:c>
      <x:c r="B3179" s="380" t="n">
        <x:v>2033</x:v>
      </x:c>
      <x:c r="C3179" s="380" t="n">
        <x:v>9</x:v>
      </x:c>
      <x:c r="D3179" s="380" t="str">
        <x:v>Sep</x:v>
      </x:c>
      <x:c r="E3179" s="380" t="n">
        <x:v>8</x:v>
      </x:c>
      <x:c r="F3179" s="380" t="n">
        <x:v>4</x:v>
      </x:c>
      <x:c r="G3179" s="380" t="n">
        <x:f>--(F3179&lt;='Estimator'!$B$7)</x:f>
        <x:v>1</x:v>
      </x:c>
      <x:c r="H3179" s="381" t="n">
        <x:f>SUMIFS('Climate Data'!$G$7:$G$366,'Climate Data'!$A$7:$A$366,'Estimator'!$B$4,'Climate Data'!$B$7:$B$366,C3179)</x:f>
        <x:v>0.4160919540229885</x:v>
      </x:c>
      <x:c r="I3179" s="382" t="n">
        <x:f>SUMIFS('Climate Data'!$H$7:$H$366,'Climate Data'!$A$7:$A$366,'Estimator'!$B$4,'Climate Data'!$B$7:$B$366,C3179)</x:f>
        <x:v>8.019060773480662</x:v>
      </x:c>
      <x:c r="J3179" s="381" t="n">
        <x:f>SUMIFS('Wind Proxy'!$H$8:$H$19,'Wind Proxy'!$A$8:$A$19,'Estimator'!$B$4,'Wind Proxy'!$B$8:$B$19,C3179)</x:f>
        <x:v>0.22222222222222224</x:v>
      </x:c>
    </x:row>
    <x:row r="3180">
      <x:c r="A3180" s="379" t="n">
        <x:v>48831</x:v>
      </x:c>
      <x:c r="B3180" s="380" t="n">
        <x:v>2033</x:v>
      </x:c>
      <x:c r="C3180" s="380" t="n">
        <x:v>9</x:v>
      </x:c>
      <x:c r="D3180" s="380" t="str">
        <x:v>Sep</x:v>
      </x:c>
      <x:c r="E3180" s="380" t="n">
        <x:v>9</x:v>
      </x:c>
      <x:c r="F3180" s="380" t="n">
        <x:v>5</x:v>
      </x:c>
      <x:c r="G3180" s="380" t="n">
        <x:f>--(F3180&lt;='Estimator'!$B$7)</x:f>
        <x:v>1</x:v>
      </x:c>
      <x:c r="H3180" s="381" t="n">
        <x:f>SUMIFS('Climate Data'!$G$7:$G$366,'Climate Data'!$A$7:$A$366,'Estimator'!$B$4,'Climate Data'!$B$7:$B$366,C3180)</x:f>
        <x:v>0.4160919540229885</x:v>
      </x:c>
      <x:c r="I3180" s="382" t="n">
        <x:f>SUMIFS('Climate Data'!$H$7:$H$366,'Climate Data'!$A$7:$A$366,'Estimator'!$B$4,'Climate Data'!$B$7:$B$366,C3180)</x:f>
        <x:v>8.019060773480662</x:v>
      </x:c>
      <x:c r="J3180" s="381" t="n">
        <x:f>SUMIFS('Wind Proxy'!$H$8:$H$19,'Wind Proxy'!$A$8:$A$19,'Estimator'!$B$4,'Wind Proxy'!$B$8:$B$19,C3180)</x:f>
        <x:v>0.22222222222222224</x:v>
      </x:c>
    </x:row>
    <x:row r="3181">
      <x:c r="A3181" s="379" t="n">
        <x:v>48832</x:v>
      </x:c>
      <x:c r="B3181" s="380" t="n">
        <x:v>2033</x:v>
      </x:c>
      <x:c r="C3181" s="380" t="n">
        <x:v>9</x:v>
      </x:c>
      <x:c r="D3181" s="380" t="str">
        <x:v>Sep</x:v>
      </x:c>
      <x:c r="E3181" s="380" t="n">
        <x:v>10</x:v>
      </x:c>
      <x:c r="F3181" s="380" t="n">
        <x:v>6</x:v>
      </x:c>
      <x:c r="G3181" s="380" t="n">
        <x:f>--(F3181&lt;='Estimator'!$B$7)</x:f>
        <x:v>0</x:v>
      </x:c>
      <x:c r="H3181" s="381" t="n">
        <x:f>SUMIFS('Climate Data'!$G$7:$G$366,'Climate Data'!$A$7:$A$366,'Estimator'!$B$4,'Climate Data'!$B$7:$B$366,C3181)</x:f>
        <x:v>0.4160919540229885</x:v>
      </x:c>
      <x:c r="I3181" s="382" t="n">
        <x:f>SUMIFS('Climate Data'!$H$7:$H$366,'Climate Data'!$A$7:$A$366,'Estimator'!$B$4,'Climate Data'!$B$7:$B$366,C3181)</x:f>
        <x:v>8.019060773480662</x:v>
      </x:c>
      <x:c r="J3181" s="381" t="n">
        <x:f>SUMIFS('Wind Proxy'!$H$8:$H$19,'Wind Proxy'!$A$8:$A$19,'Estimator'!$B$4,'Wind Proxy'!$B$8:$B$19,C3181)</x:f>
        <x:v>0.22222222222222224</x:v>
      </x:c>
    </x:row>
    <x:row r="3182">
      <x:c r="A3182" s="379" t="n">
        <x:v>48833</x:v>
      </x:c>
      <x:c r="B3182" s="380" t="n">
        <x:v>2033</x:v>
      </x:c>
      <x:c r="C3182" s="380" t="n">
        <x:v>9</x:v>
      </x:c>
      <x:c r="D3182" s="380" t="str">
        <x:v>Sep</x:v>
      </x:c>
      <x:c r="E3182" s="380" t="n">
        <x:v>11</x:v>
      </x:c>
      <x:c r="F3182" s="380" t="n">
        <x:v>7</x:v>
      </x:c>
      <x:c r="G3182" s="380" t="n">
        <x:f>--(F3182&lt;='Estimator'!$B$7)</x:f>
        <x:v>0</x:v>
      </x:c>
      <x:c r="H3182" s="381" t="n">
        <x:f>SUMIFS('Climate Data'!$G$7:$G$366,'Climate Data'!$A$7:$A$366,'Estimator'!$B$4,'Climate Data'!$B$7:$B$366,C3182)</x:f>
        <x:v>0.4160919540229885</x:v>
      </x:c>
      <x:c r="I3182" s="382" t="n">
        <x:f>SUMIFS('Climate Data'!$H$7:$H$366,'Climate Data'!$A$7:$A$366,'Estimator'!$B$4,'Climate Data'!$B$7:$B$366,C3182)</x:f>
        <x:v>8.019060773480662</x:v>
      </x:c>
      <x:c r="J3182" s="381" t="n">
        <x:f>SUMIFS('Wind Proxy'!$H$8:$H$19,'Wind Proxy'!$A$8:$A$19,'Estimator'!$B$4,'Wind Proxy'!$B$8:$B$19,C3182)</x:f>
        <x:v>0.22222222222222224</x:v>
      </x:c>
    </x:row>
    <x:row r="3183">
      <x:c r="A3183" s="379" t="n">
        <x:v>48834</x:v>
      </x:c>
      <x:c r="B3183" s="380" t="n">
        <x:v>2033</x:v>
      </x:c>
      <x:c r="C3183" s="380" t="n">
        <x:v>9</x:v>
      </x:c>
      <x:c r="D3183" s="380" t="str">
        <x:v>Sep</x:v>
      </x:c>
      <x:c r="E3183" s="380" t="n">
        <x:v>12</x:v>
      </x:c>
      <x:c r="F3183" s="380" t="n">
        <x:v>1</x:v>
      </x:c>
      <x:c r="G3183" s="380" t="n">
        <x:f>--(F3183&lt;='Estimator'!$B$7)</x:f>
        <x:v>1</x:v>
      </x:c>
      <x:c r="H3183" s="381" t="n">
        <x:f>SUMIFS('Climate Data'!$G$7:$G$366,'Climate Data'!$A$7:$A$366,'Estimator'!$B$4,'Climate Data'!$B$7:$B$366,C3183)</x:f>
        <x:v>0.4160919540229885</x:v>
      </x:c>
      <x:c r="I3183" s="382" t="n">
        <x:f>SUMIFS('Climate Data'!$H$7:$H$366,'Climate Data'!$A$7:$A$366,'Estimator'!$B$4,'Climate Data'!$B$7:$B$366,C3183)</x:f>
        <x:v>8.019060773480662</x:v>
      </x:c>
      <x:c r="J3183" s="381" t="n">
        <x:f>SUMIFS('Wind Proxy'!$H$8:$H$19,'Wind Proxy'!$A$8:$A$19,'Estimator'!$B$4,'Wind Proxy'!$B$8:$B$19,C3183)</x:f>
        <x:v>0.22222222222222224</x:v>
      </x:c>
    </x:row>
    <x:row r="3184">
      <x:c r="A3184" s="379" t="n">
        <x:v>48835</x:v>
      </x:c>
      <x:c r="B3184" s="380" t="n">
        <x:v>2033</x:v>
      </x:c>
      <x:c r="C3184" s="380" t="n">
        <x:v>9</x:v>
      </x:c>
      <x:c r="D3184" s="380" t="str">
        <x:v>Sep</x:v>
      </x:c>
      <x:c r="E3184" s="380" t="n">
        <x:v>13</x:v>
      </x:c>
      <x:c r="F3184" s="380" t="n">
        <x:v>2</x:v>
      </x:c>
      <x:c r="G3184" s="380" t="n">
        <x:f>--(F3184&lt;='Estimator'!$B$7)</x:f>
        <x:v>1</x:v>
      </x:c>
      <x:c r="H3184" s="381" t="n">
        <x:f>SUMIFS('Climate Data'!$G$7:$G$366,'Climate Data'!$A$7:$A$366,'Estimator'!$B$4,'Climate Data'!$B$7:$B$366,C3184)</x:f>
        <x:v>0.4160919540229885</x:v>
      </x:c>
      <x:c r="I3184" s="382" t="n">
        <x:f>SUMIFS('Climate Data'!$H$7:$H$366,'Climate Data'!$A$7:$A$366,'Estimator'!$B$4,'Climate Data'!$B$7:$B$366,C3184)</x:f>
        <x:v>8.019060773480662</x:v>
      </x:c>
      <x:c r="J3184" s="381" t="n">
        <x:f>SUMIFS('Wind Proxy'!$H$8:$H$19,'Wind Proxy'!$A$8:$A$19,'Estimator'!$B$4,'Wind Proxy'!$B$8:$B$19,C3184)</x:f>
        <x:v>0.22222222222222224</x:v>
      </x:c>
    </x:row>
    <x:row r="3185">
      <x:c r="A3185" s="379" t="n">
        <x:v>48836</x:v>
      </x:c>
      <x:c r="B3185" s="380" t="n">
        <x:v>2033</x:v>
      </x:c>
      <x:c r="C3185" s="380" t="n">
        <x:v>9</x:v>
      </x:c>
      <x:c r="D3185" s="380" t="str">
        <x:v>Sep</x:v>
      </x:c>
      <x:c r="E3185" s="380" t="n">
        <x:v>14</x:v>
      </x:c>
      <x:c r="F3185" s="380" t="n">
        <x:v>3</x:v>
      </x:c>
      <x:c r="G3185" s="380" t="n">
        <x:f>--(F3185&lt;='Estimator'!$B$7)</x:f>
        <x:v>1</x:v>
      </x:c>
      <x:c r="H3185" s="381" t="n">
        <x:f>SUMIFS('Climate Data'!$G$7:$G$366,'Climate Data'!$A$7:$A$366,'Estimator'!$B$4,'Climate Data'!$B$7:$B$366,C3185)</x:f>
        <x:v>0.4160919540229885</x:v>
      </x:c>
      <x:c r="I3185" s="382" t="n">
        <x:f>SUMIFS('Climate Data'!$H$7:$H$366,'Climate Data'!$A$7:$A$366,'Estimator'!$B$4,'Climate Data'!$B$7:$B$366,C3185)</x:f>
        <x:v>8.019060773480662</x:v>
      </x:c>
      <x:c r="J3185" s="381" t="n">
        <x:f>SUMIFS('Wind Proxy'!$H$8:$H$19,'Wind Proxy'!$A$8:$A$19,'Estimator'!$B$4,'Wind Proxy'!$B$8:$B$19,C3185)</x:f>
        <x:v>0.22222222222222224</x:v>
      </x:c>
    </x:row>
    <x:row r="3186">
      <x:c r="A3186" s="379" t="n">
        <x:v>48837</x:v>
      </x:c>
      <x:c r="B3186" s="380" t="n">
        <x:v>2033</x:v>
      </x:c>
      <x:c r="C3186" s="380" t="n">
        <x:v>9</x:v>
      </x:c>
      <x:c r="D3186" s="380" t="str">
        <x:v>Sep</x:v>
      </x:c>
      <x:c r="E3186" s="380" t="n">
        <x:v>15</x:v>
      </x:c>
      <x:c r="F3186" s="380" t="n">
        <x:v>4</x:v>
      </x:c>
      <x:c r="G3186" s="380" t="n">
        <x:f>--(F3186&lt;='Estimator'!$B$7)</x:f>
        <x:v>1</x:v>
      </x:c>
      <x:c r="H3186" s="381" t="n">
        <x:f>SUMIFS('Climate Data'!$G$7:$G$366,'Climate Data'!$A$7:$A$366,'Estimator'!$B$4,'Climate Data'!$B$7:$B$366,C3186)</x:f>
        <x:v>0.4160919540229885</x:v>
      </x:c>
      <x:c r="I3186" s="382" t="n">
        <x:f>SUMIFS('Climate Data'!$H$7:$H$366,'Climate Data'!$A$7:$A$366,'Estimator'!$B$4,'Climate Data'!$B$7:$B$366,C3186)</x:f>
        <x:v>8.019060773480662</x:v>
      </x:c>
      <x:c r="J3186" s="381" t="n">
        <x:f>SUMIFS('Wind Proxy'!$H$8:$H$19,'Wind Proxy'!$A$8:$A$19,'Estimator'!$B$4,'Wind Proxy'!$B$8:$B$19,C3186)</x:f>
        <x:v>0.22222222222222224</x:v>
      </x:c>
    </x:row>
    <x:row r="3187">
      <x:c r="A3187" s="379" t="n">
        <x:v>48838</x:v>
      </x:c>
      <x:c r="B3187" s="380" t="n">
        <x:v>2033</x:v>
      </x:c>
      <x:c r="C3187" s="380" t="n">
        <x:v>9</x:v>
      </x:c>
      <x:c r="D3187" s="380" t="str">
        <x:v>Sep</x:v>
      </x:c>
      <x:c r="E3187" s="380" t="n">
        <x:v>16</x:v>
      </x:c>
      <x:c r="F3187" s="380" t="n">
        <x:v>5</x:v>
      </x:c>
      <x:c r="G3187" s="380" t="n">
        <x:f>--(F3187&lt;='Estimator'!$B$7)</x:f>
        <x:v>1</x:v>
      </x:c>
      <x:c r="H3187" s="381" t="n">
        <x:f>SUMIFS('Climate Data'!$G$7:$G$366,'Climate Data'!$A$7:$A$366,'Estimator'!$B$4,'Climate Data'!$B$7:$B$366,C3187)</x:f>
        <x:v>0.4160919540229885</x:v>
      </x:c>
      <x:c r="I3187" s="382" t="n">
        <x:f>SUMIFS('Climate Data'!$H$7:$H$366,'Climate Data'!$A$7:$A$366,'Estimator'!$B$4,'Climate Data'!$B$7:$B$366,C3187)</x:f>
        <x:v>8.019060773480662</x:v>
      </x:c>
      <x:c r="J3187" s="381" t="n">
        <x:f>SUMIFS('Wind Proxy'!$H$8:$H$19,'Wind Proxy'!$A$8:$A$19,'Estimator'!$B$4,'Wind Proxy'!$B$8:$B$19,C3187)</x:f>
        <x:v>0.22222222222222224</x:v>
      </x:c>
    </x:row>
    <x:row r="3188">
      <x:c r="A3188" s="379" t="n">
        <x:v>48839</x:v>
      </x:c>
      <x:c r="B3188" s="380" t="n">
        <x:v>2033</x:v>
      </x:c>
      <x:c r="C3188" s="380" t="n">
        <x:v>9</x:v>
      </x:c>
      <x:c r="D3188" s="380" t="str">
        <x:v>Sep</x:v>
      </x:c>
      <x:c r="E3188" s="380" t="n">
        <x:v>17</x:v>
      </x:c>
      <x:c r="F3188" s="380" t="n">
        <x:v>6</x:v>
      </x:c>
      <x:c r="G3188" s="380" t="n">
        <x:f>--(F3188&lt;='Estimator'!$B$7)</x:f>
        <x:v>0</x:v>
      </x:c>
      <x:c r="H3188" s="381" t="n">
        <x:f>SUMIFS('Climate Data'!$G$7:$G$366,'Climate Data'!$A$7:$A$366,'Estimator'!$B$4,'Climate Data'!$B$7:$B$366,C3188)</x:f>
        <x:v>0.4160919540229885</x:v>
      </x:c>
      <x:c r="I3188" s="382" t="n">
        <x:f>SUMIFS('Climate Data'!$H$7:$H$366,'Climate Data'!$A$7:$A$366,'Estimator'!$B$4,'Climate Data'!$B$7:$B$366,C3188)</x:f>
        <x:v>8.019060773480662</x:v>
      </x:c>
      <x:c r="J3188" s="381" t="n">
        <x:f>SUMIFS('Wind Proxy'!$H$8:$H$19,'Wind Proxy'!$A$8:$A$19,'Estimator'!$B$4,'Wind Proxy'!$B$8:$B$19,C3188)</x:f>
        <x:v>0.22222222222222224</x:v>
      </x:c>
    </x:row>
    <x:row r="3189">
      <x:c r="A3189" s="379" t="n">
        <x:v>48840</x:v>
      </x:c>
      <x:c r="B3189" s="380" t="n">
        <x:v>2033</x:v>
      </x:c>
      <x:c r="C3189" s="380" t="n">
        <x:v>9</x:v>
      </x:c>
      <x:c r="D3189" s="380" t="str">
        <x:v>Sep</x:v>
      </x:c>
      <x:c r="E3189" s="380" t="n">
        <x:v>18</x:v>
      </x:c>
      <x:c r="F3189" s="380" t="n">
        <x:v>7</x:v>
      </x:c>
      <x:c r="G3189" s="380" t="n">
        <x:f>--(F3189&lt;='Estimator'!$B$7)</x:f>
        <x:v>0</x:v>
      </x:c>
      <x:c r="H3189" s="381" t="n">
        <x:f>SUMIFS('Climate Data'!$G$7:$G$366,'Climate Data'!$A$7:$A$366,'Estimator'!$B$4,'Climate Data'!$B$7:$B$366,C3189)</x:f>
        <x:v>0.4160919540229885</x:v>
      </x:c>
      <x:c r="I3189" s="382" t="n">
        <x:f>SUMIFS('Climate Data'!$H$7:$H$366,'Climate Data'!$A$7:$A$366,'Estimator'!$B$4,'Climate Data'!$B$7:$B$366,C3189)</x:f>
        <x:v>8.019060773480662</x:v>
      </x:c>
      <x:c r="J3189" s="381" t="n">
        <x:f>SUMIFS('Wind Proxy'!$H$8:$H$19,'Wind Proxy'!$A$8:$A$19,'Estimator'!$B$4,'Wind Proxy'!$B$8:$B$19,C3189)</x:f>
        <x:v>0.22222222222222224</x:v>
      </x:c>
    </x:row>
    <x:row r="3190">
      <x:c r="A3190" s="379" t="n">
        <x:v>48841</x:v>
      </x:c>
      <x:c r="B3190" s="380" t="n">
        <x:v>2033</x:v>
      </x:c>
      <x:c r="C3190" s="380" t="n">
        <x:v>9</x:v>
      </x:c>
      <x:c r="D3190" s="380" t="str">
        <x:v>Sep</x:v>
      </x:c>
      <x:c r="E3190" s="380" t="n">
        <x:v>19</x:v>
      </x:c>
      <x:c r="F3190" s="380" t="n">
        <x:v>1</x:v>
      </x:c>
      <x:c r="G3190" s="380" t="n">
        <x:f>--(F3190&lt;='Estimator'!$B$7)</x:f>
        <x:v>1</x:v>
      </x:c>
      <x:c r="H3190" s="381" t="n">
        <x:f>SUMIFS('Climate Data'!$G$7:$G$366,'Climate Data'!$A$7:$A$366,'Estimator'!$B$4,'Climate Data'!$B$7:$B$366,C3190)</x:f>
        <x:v>0.4160919540229885</x:v>
      </x:c>
      <x:c r="I3190" s="382" t="n">
        <x:f>SUMIFS('Climate Data'!$H$7:$H$366,'Climate Data'!$A$7:$A$366,'Estimator'!$B$4,'Climate Data'!$B$7:$B$366,C3190)</x:f>
        <x:v>8.019060773480662</x:v>
      </x:c>
      <x:c r="J3190" s="381" t="n">
        <x:f>SUMIFS('Wind Proxy'!$H$8:$H$19,'Wind Proxy'!$A$8:$A$19,'Estimator'!$B$4,'Wind Proxy'!$B$8:$B$19,C3190)</x:f>
        <x:v>0.22222222222222224</x:v>
      </x:c>
    </x:row>
    <x:row r="3191">
      <x:c r="A3191" s="379" t="n">
        <x:v>48842</x:v>
      </x:c>
      <x:c r="B3191" s="380" t="n">
        <x:v>2033</x:v>
      </x:c>
      <x:c r="C3191" s="380" t="n">
        <x:v>9</x:v>
      </x:c>
      <x:c r="D3191" s="380" t="str">
        <x:v>Sep</x:v>
      </x:c>
      <x:c r="E3191" s="380" t="n">
        <x:v>20</x:v>
      </x:c>
      <x:c r="F3191" s="380" t="n">
        <x:v>2</x:v>
      </x:c>
      <x:c r="G3191" s="380" t="n">
        <x:f>--(F3191&lt;='Estimator'!$B$7)</x:f>
        <x:v>1</x:v>
      </x:c>
      <x:c r="H3191" s="381" t="n">
        <x:f>SUMIFS('Climate Data'!$G$7:$G$366,'Climate Data'!$A$7:$A$366,'Estimator'!$B$4,'Climate Data'!$B$7:$B$366,C3191)</x:f>
        <x:v>0.4160919540229885</x:v>
      </x:c>
      <x:c r="I3191" s="382" t="n">
        <x:f>SUMIFS('Climate Data'!$H$7:$H$366,'Climate Data'!$A$7:$A$366,'Estimator'!$B$4,'Climate Data'!$B$7:$B$366,C3191)</x:f>
        <x:v>8.019060773480662</x:v>
      </x:c>
      <x:c r="J3191" s="381" t="n">
        <x:f>SUMIFS('Wind Proxy'!$H$8:$H$19,'Wind Proxy'!$A$8:$A$19,'Estimator'!$B$4,'Wind Proxy'!$B$8:$B$19,C3191)</x:f>
        <x:v>0.22222222222222224</x:v>
      </x:c>
    </x:row>
    <x:row r="3192">
      <x:c r="A3192" s="379" t="n">
        <x:v>48843</x:v>
      </x:c>
      <x:c r="B3192" s="380" t="n">
        <x:v>2033</x:v>
      </x:c>
      <x:c r="C3192" s="380" t="n">
        <x:v>9</x:v>
      </x:c>
      <x:c r="D3192" s="380" t="str">
        <x:v>Sep</x:v>
      </x:c>
      <x:c r="E3192" s="380" t="n">
        <x:v>21</x:v>
      </x:c>
      <x:c r="F3192" s="380" t="n">
        <x:v>3</x:v>
      </x:c>
      <x:c r="G3192" s="380" t="n">
        <x:f>--(F3192&lt;='Estimator'!$B$7)</x:f>
        <x:v>1</x:v>
      </x:c>
      <x:c r="H3192" s="381" t="n">
        <x:f>SUMIFS('Climate Data'!$G$7:$G$366,'Climate Data'!$A$7:$A$366,'Estimator'!$B$4,'Climate Data'!$B$7:$B$366,C3192)</x:f>
        <x:v>0.4160919540229885</x:v>
      </x:c>
      <x:c r="I3192" s="382" t="n">
        <x:f>SUMIFS('Climate Data'!$H$7:$H$366,'Climate Data'!$A$7:$A$366,'Estimator'!$B$4,'Climate Data'!$B$7:$B$366,C3192)</x:f>
        <x:v>8.019060773480662</x:v>
      </x:c>
      <x:c r="J3192" s="381" t="n">
        <x:f>SUMIFS('Wind Proxy'!$H$8:$H$19,'Wind Proxy'!$A$8:$A$19,'Estimator'!$B$4,'Wind Proxy'!$B$8:$B$19,C3192)</x:f>
        <x:v>0.22222222222222224</x:v>
      </x:c>
    </x:row>
    <x:row r="3193">
      <x:c r="A3193" s="379" t="n">
        <x:v>48844</x:v>
      </x:c>
      <x:c r="B3193" s="380" t="n">
        <x:v>2033</x:v>
      </x:c>
      <x:c r="C3193" s="380" t="n">
        <x:v>9</x:v>
      </x:c>
      <x:c r="D3193" s="380" t="str">
        <x:v>Sep</x:v>
      </x:c>
      <x:c r="E3193" s="380" t="n">
        <x:v>22</x:v>
      </x:c>
      <x:c r="F3193" s="380" t="n">
        <x:v>4</x:v>
      </x:c>
      <x:c r="G3193" s="380" t="n">
        <x:f>--(F3193&lt;='Estimator'!$B$7)</x:f>
        <x:v>1</x:v>
      </x:c>
      <x:c r="H3193" s="381" t="n">
        <x:f>SUMIFS('Climate Data'!$G$7:$G$366,'Climate Data'!$A$7:$A$366,'Estimator'!$B$4,'Climate Data'!$B$7:$B$366,C3193)</x:f>
        <x:v>0.4160919540229885</x:v>
      </x:c>
      <x:c r="I3193" s="382" t="n">
        <x:f>SUMIFS('Climate Data'!$H$7:$H$366,'Climate Data'!$A$7:$A$366,'Estimator'!$B$4,'Climate Data'!$B$7:$B$366,C3193)</x:f>
        <x:v>8.019060773480662</x:v>
      </x:c>
      <x:c r="J3193" s="381" t="n">
        <x:f>SUMIFS('Wind Proxy'!$H$8:$H$19,'Wind Proxy'!$A$8:$A$19,'Estimator'!$B$4,'Wind Proxy'!$B$8:$B$19,C3193)</x:f>
        <x:v>0.22222222222222224</x:v>
      </x:c>
    </x:row>
    <x:row r="3194">
      <x:c r="A3194" s="379" t="n">
        <x:v>48845</x:v>
      </x:c>
      <x:c r="B3194" s="380" t="n">
        <x:v>2033</x:v>
      </x:c>
      <x:c r="C3194" s="380" t="n">
        <x:v>9</x:v>
      </x:c>
      <x:c r="D3194" s="380" t="str">
        <x:v>Sep</x:v>
      </x:c>
      <x:c r="E3194" s="380" t="n">
        <x:v>23</x:v>
      </x:c>
      <x:c r="F3194" s="380" t="n">
        <x:v>5</x:v>
      </x:c>
      <x:c r="G3194" s="380" t="n">
        <x:f>--(F3194&lt;='Estimator'!$B$7)</x:f>
        <x:v>1</x:v>
      </x:c>
      <x:c r="H3194" s="381" t="n">
        <x:f>SUMIFS('Climate Data'!$G$7:$G$366,'Climate Data'!$A$7:$A$366,'Estimator'!$B$4,'Climate Data'!$B$7:$B$366,C3194)</x:f>
        <x:v>0.4160919540229885</x:v>
      </x:c>
      <x:c r="I3194" s="382" t="n">
        <x:f>SUMIFS('Climate Data'!$H$7:$H$366,'Climate Data'!$A$7:$A$366,'Estimator'!$B$4,'Climate Data'!$B$7:$B$366,C3194)</x:f>
        <x:v>8.019060773480662</x:v>
      </x:c>
      <x:c r="J3194" s="381" t="n">
        <x:f>SUMIFS('Wind Proxy'!$H$8:$H$19,'Wind Proxy'!$A$8:$A$19,'Estimator'!$B$4,'Wind Proxy'!$B$8:$B$19,C3194)</x:f>
        <x:v>0.22222222222222224</x:v>
      </x:c>
    </x:row>
    <x:row r="3195">
      <x:c r="A3195" s="379" t="n">
        <x:v>48846</x:v>
      </x:c>
      <x:c r="B3195" s="380" t="n">
        <x:v>2033</x:v>
      </x:c>
      <x:c r="C3195" s="380" t="n">
        <x:v>9</x:v>
      </x:c>
      <x:c r="D3195" s="380" t="str">
        <x:v>Sep</x:v>
      </x:c>
      <x:c r="E3195" s="380" t="n">
        <x:v>24</x:v>
      </x:c>
      <x:c r="F3195" s="380" t="n">
        <x:v>6</x:v>
      </x:c>
      <x:c r="G3195" s="380" t="n">
        <x:f>--(F3195&lt;='Estimator'!$B$7)</x:f>
        <x:v>0</x:v>
      </x:c>
      <x:c r="H3195" s="381" t="n">
        <x:f>SUMIFS('Climate Data'!$G$7:$G$366,'Climate Data'!$A$7:$A$366,'Estimator'!$B$4,'Climate Data'!$B$7:$B$366,C3195)</x:f>
        <x:v>0.4160919540229885</x:v>
      </x:c>
      <x:c r="I3195" s="382" t="n">
        <x:f>SUMIFS('Climate Data'!$H$7:$H$366,'Climate Data'!$A$7:$A$366,'Estimator'!$B$4,'Climate Data'!$B$7:$B$366,C3195)</x:f>
        <x:v>8.019060773480662</x:v>
      </x:c>
      <x:c r="J3195" s="381" t="n">
        <x:f>SUMIFS('Wind Proxy'!$H$8:$H$19,'Wind Proxy'!$A$8:$A$19,'Estimator'!$B$4,'Wind Proxy'!$B$8:$B$19,C3195)</x:f>
        <x:v>0.22222222222222224</x:v>
      </x:c>
    </x:row>
    <x:row r="3196">
      <x:c r="A3196" s="379" t="n">
        <x:v>48847</x:v>
      </x:c>
      <x:c r="B3196" s="380" t="n">
        <x:v>2033</x:v>
      </x:c>
      <x:c r="C3196" s="380" t="n">
        <x:v>9</x:v>
      </x:c>
      <x:c r="D3196" s="380" t="str">
        <x:v>Sep</x:v>
      </x:c>
      <x:c r="E3196" s="380" t="n">
        <x:v>25</x:v>
      </x:c>
      <x:c r="F3196" s="380" t="n">
        <x:v>7</x:v>
      </x:c>
      <x:c r="G3196" s="380" t="n">
        <x:f>--(F3196&lt;='Estimator'!$B$7)</x:f>
        <x:v>0</x:v>
      </x:c>
      <x:c r="H3196" s="381" t="n">
        <x:f>SUMIFS('Climate Data'!$G$7:$G$366,'Climate Data'!$A$7:$A$366,'Estimator'!$B$4,'Climate Data'!$B$7:$B$366,C3196)</x:f>
        <x:v>0.4160919540229885</x:v>
      </x:c>
      <x:c r="I3196" s="382" t="n">
        <x:f>SUMIFS('Climate Data'!$H$7:$H$366,'Climate Data'!$A$7:$A$366,'Estimator'!$B$4,'Climate Data'!$B$7:$B$366,C3196)</x:f>
        <x:v>8.019060773480662</x:v>
      </x:c>
      <x:c r="J3196" s="381" t="n">
        <x:f>SUMIFS('Wind Proxy'!$H$8:$H$19,'Wind Proxy'!$A$8:$A$19,'Estimator'!$B$4,'Wind Proxy'!$B$8:$B$19,C3196)</x:f>
        <x:v>0.22222222222222224</x:v>
      </x:c>
    </x:row>
    <x:row r="3197">
      <x:c r="A3197" s="379" t="n">
        <x:v>48848</x:v>
      </x:c>
      <x:c r="B3197" s="380" t="n">
        <x:v>2033</x:v>
      </x:c>
      <x:c r="C3197" s="380" t="n">
        <x:v>9</x:v>
      </x:c>
      <x:c r="D3197" s="380" t="str">
        <x:v>Sep</x:v>
      </x:c>
      <x:c r="E3197" s="380" t="n">
        <x:v>26</x:v>
      </x:c>
      <x:c r="F3197" s="380" t="n">
        <x:v>1</x:v>
      </x:c>
      <x:c r="G3197" s="380" t="n">
        <x:f>--(F3197&lt;='Estimator'!$B$7)</x:f>
        <x:v>1</x:v>
      </x:c>
      <x:c r="H3197" s="381" t="n">
        <x:f>SUMIFS('Climate Data'!$G$7:$G$366,'Climate Data'!$A$7:$A$366,'Estimator'!$B$4,'Climate Data'!$B$7:$B$366,C3197)</x:f>
        <x:v>0.4160919540229885</x:v>
      </x:c>
      <x:c r="I3197" s="382" t="n">
        <x:f>SUMIFS('Climate Data'!$H$7:$H$366,'Climate Data'!$A$7:$A$366,'Estimator'!$B$4,'Climate Data'!$B$7:$B$366,C3197)</x:f>
        <x:v>8.019060773480662</x:v>
      </x:c>
      <x:c r="J3197" s="381" t="n">
        <x:f>SUMIFS('Wind Proxy'!$H$8:$H$19,'Wind Proxy'!$A$8:$A$19,'Estimator'!$B$4,'Wind Proxy'!$B$8:$B$19,C3197)</x:f>
        <x:v>0.22222222222222224</x:v>
      </x:c>
    </x:row>
    <x:row r="3198">
      <x:c r="A3198" s="379" t="n">
        <x:v>48849</x:v>
      </x:c>
      <x:c r="B3198" s="380" t="n">
        <x:v>2033</x:v>
      </x:c>
      <x:c r="C3198" s="380" t="n">
        <x:v>9</x:v>
      </x:c>
      <x:c r="D3198" s="380" t="str">
        <x:v>Sep</x:v>
      </x:c>
      <x:c r="E3198" s="380" t="n">
        <x:v>27</x:v>
      </x:c>
      <x:c r="F3198" s="380" t="n">
        <x:v>2</x:v>
      </x:c>
      <x:c r="G3198" s="380" t="n">
        <x:f>--(F3198&lt;='Estimator'!$B$7)</x:f>
        <x:v>1</x:v>
      </x:c>
      <x:c r="H3198" s="381" t="n">
        <x:f>SUMIFS('Climate Data'!$G$7:$G$366,'Climate Data'!$A$7:$A$366,'Estimator'!$B$4,'Climate Data'!$B$7:$B$366,C3198)</x:f>
        <x:v>0.4160919540229885</x:v>
      </x:c>
      <x:c r="I3198" s="382" t="n">
        <x:f>SUMIFS('Climate Data'!$H$7:$H$366,'Climate Data'!$A$7:$A$366,'Estimator'!$B$4,'Climate Data'!$B$7:$B$366,C3198)</x:f>
        <x:v>8.019060773480662</x:v>
      </x:c>
      <x:c r="J3198" s="381" t="n">
        <x:f>SUMIFS('Wind Proxy'!$H$8:$H$19,'Wind Proxy'!$A$8:$A$19,'Estimator'!$B$4,'Wind Proxy'!$B$8:$B$19,C3198)</x:f>
        <x:v>0.22222222222222224</x:v>
      </x:c>
    </x:row>
    <x:row r="3199">
      <x:c r="A3199" s="379" t="n">
        <x:v>48850</x:v>
      </x:c>
      <x:c r="B3199" s="380" t="n">
        <x:v>2033</x:v>
      </x:c>
      <x:c r="C3199" s="380" t="n">
        <x:v>9</x:v>
      </x:c>
      <x:c r="D3199" s="380" t="str">
        <x:v>Sep</x:v>
      </x:c>
      <x:c r="E3199" s="380" t="n">
        <x:v>28</x:v>
      </x:c>
      <x:c r="F3199" s="380" t="n">
        <x:v>3</x:v>
      </x:c>
      <x:c r="G3199" s="380" t="n">
        <x:f>--(F3199&lt;='Estimator'!$B$7)</x:f>
        <x:v>1</x:v>
      </x:c>
      <x:c r="H3199" s="381" t="n">
        <x:f>SUMIFS('Climate Data'!$G$7:$G$366,'Climate Data'!$A$7:$A$366,'Estimator'!$B$4,'Climate Data'!$B$7:$B$366,C3199)</x:f>
        <x:v>0.4160919540229885</x:v>
      </x:c>
      <x:c r="I3199" s="382" t="n">
        <x:f>SUMIFS('Climate Data'!$H$7:$H$366,'Climate Data'!$A$7:$A$366,'Estimator'!$B$4,'Climate Data'!$B$7:$B$366,C3199)</x:f>
        <x:v>8.019060773480662</x:v>
      </x:c>
      <x:c r="J3199" s="381" t="n">
        <x:f>SUMIFS('Wind Proxy'!$H$8:$H$19,'Wind Proxy'!$A$8:$A$19,'Estimator'!$B$4,'Wind Proxy'!$B$8:$B$19,C3199)</x:f>
        <x:v>0.22222222222222224</x:v>
      </x:c>
    </x:row>
    <x:row r="3200">
      <x:c r="A3200" s="379" t="n">
        <x:v>48851</x:v>
      </x:c>
      <x:c r="B3200" s="380" t="n">
        <x:v>2033</x:v>
      </x:c>
      <x:c r="C3200" s="380" t="n">
        <x:v>9</x:v>
      </x:c>
      <x:c r="D3200" s="380" t="str">
        <x:v>Sep</x:v>
      </x:c>
      <x:c r="E3200" s="380" t="n">
        <x:v>29</x:v>
      </x:c>
      <x:c r="F3200" s="380" t="n">
        <x:v>4</x:v>
      </x:c>
      <x:c r="G3200" s="380" t="n">
        <x:f>--(F3200&lt;='Estimator'!$B$7)</x:f>
        <x:v>1</x:v>
      </x:c>
      <x:c r="H3200" s="381" t="n">
        <x:f>SUMIFS('Climate Data'!$G$7:$G$366,'Climate Data'!$A$7:$A$366,'Estimator'!$B$4,'Climate Data'!$B$7:$B$366,C3200)</x:f>
        <x:v>0.4160919540229885</x:v>
      </x:c>
      <x:c r="I3200" s="382" t="n">
        <x:f>SUMIFS('Climate Data'!$H$7:$H$366,'Climate Data'!$A$7:$A$366,'Estimator'!$B$4,'Climate Data'!$B$7:$B$366,C3200)</x:f>
        <x:v>8.019060773480662</x:v>
      </x:c>
      <x:c r="J3200" s="381" t="n">
        <x:f>SUMIFS('Wind Proxy'!$H$8:$H$19,'Wind Proxy'!$A$8:$A$19,'Estimator'!$B$4,'Wind Proxy'!$B$8:$B$19,C3200)</x:f>
        <x:v>0.22222222222222224</x:v>
      </x:c>
    </x:row>
    <x:row r="3201">
      <x:c r="A3201" s="379" t="n">
        <x:v>48852</x:v>
      </x:c>
      <x:c r="B3201" s="380" t="n">
        <x:v>2033</x:v>
      </x:c>
      <x:c r="C3201" s="380" t="n">
        <x:v>9</x:v>
      </x:c>
      <x:c r="D3201" s="380" t="str">
        <x:v>Sep</x:v>
      </x:c>
      <x:c r="E3201" s="380" t="n">
        <x:v>30</x:v>
      </x:c>
      <x:c r="F3201" s="380" t="n">
        <x:v>5</x:v>
      </x:c>
      <x:c r="G3201" s="380" t="n">
        <x:f>--(F3201&lt;='Estimator'!$B$7)</x:f>
        <x:v>1</x:v>
      </x:c>
      <x:c r="H3201" s="381" t="n">
        <x:f>SUMIFS('Climate Data'!$G$7:$G$366,'Climate Data'!$A$7:$A$366,'Estimator'!$B$4,'Climate Data'!$B$7:$B$366,C3201)</x:f>
        <x:v>0.4160919540229885</x:v>
      </x:c>
      <x:c r="I3201" s="382" t="n">
        <x:f>SUMIFS('Climate Data'!$H$7:$H$366,'Climate Data'!$A$7:$A$366,'Estimator'!$B$4,'Climate Data'!$B$7:$B$366,C3201)</x:f>
        <x:v>8.019060773480662</x:v>
      </x:c>
      <x:c r="J3201" s="381" t="n">
        <x:f>SUMIFS('Wind Proxy'!$H$8:$H$19,'Wind Proxy'!$A$8:$A$19,'Estimator'!$B$4,'Wind Proxy'!$B$8:$B$19,C3201)</x:f>
        <x:v>0.22222222222222224</x:v>
      </x:c>
    </x:row>
    <x:row r="3202">
      <x:c r="A3202" s="379" t="n">
        <x:v>48853</x:v>
      </x:c>
      <x:c r="B3202" s="380" t="n">
        <x:v>2033</x:v>
      </x:c>
      <x:c r="C3202" s="380" t="n">
        <x:v>10</x:v>
      </x:c>
      <x:c r="D3202" s="380" t="str">
        <x:v>Oct</x:v>
      </x:c>
      <x:c r="E3202" s="380" t="n">
        <x:v>1</x:v>
      </x:c>
      <x:c r="F3202" s="380" t="n">
        <x:v>6</x:v>
      </x:c>
      <x:c r="G3202" s="380" t="n">
        <x:f>--(F3202&lt;='Estimator'!$B$7)</x:f>
        <x:v>0</x:v>
      </x:c>
      <x:c r="H3202" s="381" t="n">
        <x:f>SUMIFS('Climate Data'!$G$7:$G$366,'Climate Data'!$A$7:$A$366,'Estimator'!$B$4,'Climate Data'!$B$7:$B$366,C3202)</x:f>
        <x:v>0.3721198156682028</x:v>
      </x:c>
      <x:c r="I3202" s="382" t="n">
        <x:f>SUMIFS('Climate Data'!$H$7:$H$366,'Climate Data'!$A$7:$A$366,'Estimator'!$B$4,'Climate Data'!$B$7:$B$366,C3202)</x:f>
        <x:v>7.940557275541795</x:v>
      </x:c>
      <x:c r="J3202" s="381" t="n">
        <x:f>SUMIFS('Wind Proxy'!$H$8:$H$19,'Wind Proxy'!$A$8:$A$19,'Estimator'!$B$4,'Wind Proxy'!$B$8:$B$19,C3202)</x:f>
        <x:v>0.21505376344086022</x:v>
      </x:c>
    </x:row>
    <x:row r="3203">
      <x:c r="A3203" s="379" t="n">
        <x:v>48854</x:v>
      </x:c>
      <x:c r="B3203" s="380" t="n">
        <x:v>2033</x:v>
      </x:c>
      <x:c r="C3203" s="380" t="n">
        <x:v>10</x:v>
      </x:c>
      <x:c r="D3203" s="380" t="str">
        <x:v>Oct</x:v>
      </x:c>
      <x:c r="E3203" s="380" t="n">
        <x:v>2</x:v>
      </x:c>
      <x:c r="F3203" s="380" t="n">
        <x:v>7</x:v>
      </x:c>
      <x:c r="G3203" s="380" t="n">
        <x:f>--(F3203&lt;='Estimator'!$B$7)</x:f>
        <x:v>0</x:v>
      </x:c>
      <x:c r="H3203" s="381" t="n">
        <x:f>SUMIFS('Climate Data'!$G$7:$G$366,'Climate Data'!$A$7:$A$366,'Estimator'!$B$4,'Climate Data'!$B$7:$B$366,C3203)</x:f>
        <x:v>0.3721198156682028</x:v>
      </x:c>
      <x:c r="I3203" s="382" t="n">
        <x:f>SUMIFS('Climate Data'!$H$7:$H$366,'Climate Data'!$A$7:$A$366,'Estimator'!$B$4,'Climate Data'!$B$7:$B$366,C3203)</x:f>
        <x:v>7.940557275541795</x:v>
      </x:c>
      <x:c r="J3203" s="381" t="n">
        <x:f>SUMIFS('Wind Proxy'!$H$8:$H$19,'Wind Proxy'!$A$8:$A$19,'Estimator'!$B$4,'Wind Proxy'!$B$8:$B$19,C3203)</x:f>
        <x:v>0.21505376344086022</x:v>
      </x:c>
    </x:row>
    <x:row r="3204">
      <x:c r="A3204" s="379" t="n">
        <x:v>48855</x:v>
      </x:c>
      <x:c r="B3204" s="380" t="n">
        <x:v>2033</x:v>
      </x:c>
      <x:c r="C3204" s="380" t="n">
        <x:v>10</x:v>
      </x:c>
      <x:c r="D3204" s="380" t="str">
        <x:v>Oct</x:v>
      </x:c>
      <x:c r="E3204" s="380" t="n">
        <x:v>3</x:v>
      </x:c>
      <x:c r="F3204" s="380" t="n">
        <x:v>1</x:v>
      </x:c>
      <x:c r="G3204" s="380" t="n">
        <x:f>--(F3204&lt;='Estimator'!$B$7)</x:f>
        <x:v>1</x:v>
      </x:c>
      <x:c r="H3204" s="381" t="n">
        <x:f>SUMIFS('Climate Data'!$G$7:$G$366,'Climate Data'!$A$7:$A$366,'Estimator'!$B$4,'Climate Data'!$B$7:$B$366,C3204)</x:f>
        <x:v>0.3721198156682028</x:v>
      </x:c>
      <x:c r="I3204" s="382" t="n">
        <x:f>SUMIFS('Climate Data'!$H$7:$H$366,'Climate Data'!$A$7:$A$366,'Estimator'!$B$4,'Climate Data'!$B$7:$B$366,C3204)</x:f>
        <x:v>7.940557275541795</x:v>
      </x:c>
      <x:c r="J3204" s="381" t="n">
        <x:f>SUMIFS('Wind Proxy'!$H$8:$H$19,'Wind Proxy'!$A$8:$A$19,'Estimator'!$B$4,'Wind Proxy'!$B$8:$B$19,C3204)</x:f>
        <x:v>0.21505376344086022</x:v>
      </x:c>
    </x:row>
    <x:row r="3205">
      <x:c r="A3205" s="379" t="n">
        <x:v>48856</x:v>
      </x:c>
      <x:c r="B3205" s="380" t="n">
        <x:v>2033</x:v>
      </x:c>
      <x:c r="C3205" s="380" t="n">
        <x:v>10</x:v>
      </x:c>
      <x:c r="D3205" s="380" t="str">
        <x:v>Oct</x:v>
      </x:c>
      <x:c r="E3205" s="380" t="n">
        <x:v>4</x:v>
      </x:c>
      <x:c r="F3205" s="380" t="n">
        <x:v>2</x:v>
      </x:c>
      <x:c r="G3205" s="380" t="n">
        <x:f>--(F3205&lt;='Estimator'!$B$7)</x:f>
        <x:v>1</x:v>
      </x:c>
      <x:c r="H3205" s="381" t="n">
        <x:f>SUMIFS('Climate Data'!$G$7:$G$366,'Climate Data'!$A$7:$A$366,'Estimator'!$B$4,'Climate Data'!$B$7:$B$366,C3205)</x:f>
        <x:v>0.3721198156682028</x:v>
      </x:c>
      <x:c r="I3205" s="382" t="n">
        <x:f>SUMIFS('Climate Data'!$H$7:$H$366,'Climate Data'!$A$7:$A$366,'Estimator'!$B$4,'Climate Data'!$B$7:$B$366,C3205)</x:f>
        <x:v>7.940557275541795</x:v>
      </x:c>
      <x:c r="J3205" s="381" t="n">
        <x:f>SUMIFS('Wind Proxy'!$H$8:$H$19,'Wind Proxy'!$A$8:$A$19,'Estimator'!$B$4,'Wind Proxy'!$B$8:$B$19,C3205)</x:f>
        <x:v>0.21505376344086022</x:v>
      </x:c>
    </x:row>
    <x:row r="3206">
      <x:c r="A3206" s="379" t="n">
        <x:v>48857</x:v>
      </x:c>
      <x:c r="B3206" s="380" t="n">
        <x:v>2033</x:v>
      </x:c>
      <x:c r="C3206" s="380" t="n">
        <x:v>10</x:v>
      </x:c>
      <x:c r="D3206" s="380" t="str">
        <x:v>Oct</x:v>
      </x:c>
      <x:c r="E3206" s="380" t="n">
        <x:v>5</x:v>
      </x:c>
      <x:c r="F3206" s="380" t="n">
        <x:v>3</x:v>
      </x:c>
      <x:c r="G3206" s="380" t="n">
        <x:f>--(F3206&lt;='Estimator'!$B$7)</x:f>
        <x:v>1</x:v>
      </x:c>
      <x:c r="H3206" s="381" t="n">
        <x:f>SUMIFS('Climate Data'!$G$7:$G$366,'Climate Data'!$A$7:$A$366,'Estimator'!$B$4,'Climate Data'!$B$7:$B$366,C3206)</x:f>
        <x:v>0.3721198156682028</x:v>
      </x:c>
      <x:c r="I3206" s="382" t="n">
        <x:f>SUMIFS('Climate Data'!$H$7:$H$366,'Climate Data'!$A$7:$A$366,'Estimator'!$B$4,'Climate Data'!$B$7:$B$366,C3206)</x:f>
        <x:v>7.940557275541795</x:v>
      </x:c>
      <x:c r="J3206" s="381" t="n">
        <x:f>SUMIFS('Wind Proxy'!$H$8:$H$19,'Wind Proxy'!$A$8:$A$19,'Estimator'!$B$4,'Wind Proxy'!$B$8:$B$19,C3206)</x:f>
        <x:v>0.21505376344086022</x:v>
      </x:c>
    </x:row>
    <x:row r="3207">
      <x:c r="A3207" s="379" t="n">
        <x:v>48858</x:v>
      </x:c>
      <x:c r="B3207" s="380" t="n">
        <x:v>2033</x:v>
      </x:c>
      <x:c r="C3207" s="380" t="n">
        <x:v>10</x:v>
      </x:c>
      <x:c r="D3207" s="380" t="str">
        <x:v>Oct</x:v>
      </x:c>
      <x:c r="E3207" s="380" t="n">
        <x:v>6</x:v>
      </x:c>
      <x:c r="F3207" s="380" t="n">
        <x:v>4</x:v>
      </x:c>
      <x:c r="G3207" s="380" t="n">
        <x:f>--(F3207&lt;='Estimator'!$B$7)</x:f>
        <x:v>1</x:v>
      </x:c>
      <x:c r="H3207" s="381" t="n">
        <x:f>SUMIFS('Climate Data'!$G$7:$G$366,'Climate Data'!$A$7:$A$366,'Estimator'!$B$4,'Climate Data'!$B$7:$B$366,C3207)</x:f>
        <x:v>0.3721198156682028</x:v>
      </x:c>
      <x:c r="I3207" s="382" t="n">
        <x:f>SUMIFS('Climate Data'!$H$7:$H$366,'Climate Data'!$A$7:$A$366,'Estimator'!$B$4,'Climate Data'!$B$7:$B$366,C3207)</x:f>
        <x:v>7.940557275541795</x:v>
      </x:c>
      <x:c r="J3207" s="381" t="n">
        <x:f>SUMIFS('Wind Proxy'!$H$8:$H$19,'Wind Proxy'!$A$8:$A$19,'Estimator'!$B$4,'Wind Proxy'!$B$8:$B$19,C3207)</x:f>
        <x:v>0.21505376344086022</x:v>
      </x:c>
    </x:row>
    <x:row r="3208">
      <x:c r="A3208" s="379" t="n">
        <x:v>48859</x:v>
      </x:c>
      <x:c r="B3208" s="380" t="n">
        <x:v>2033</x:v>
      </x:c>
      <x:c r="C3208" s="380" t="n">
        <x:v>10</x:v>
      </x:c>
      <x:c r="D3208" s="380" t="str">
        <x:v>Oct</x:v>
      </x:c>
      <x:c r="E3208" s="380" t="n">
        <x:v>7</x:v>
      </x:c>
      <x:c r="F3208" s="380" t="n">
        <x:v>5</x:v>
      </x:c>
      <x:c r="G3208" s="380" t="n">
        <x:f>--(F3208&lt;='Estimator'!$B$7)</x:f>
        <x:v>1</x:v>
      </x:c>
      <x:c r="H3208" s="381" t="n">
        <x:f>SUMIFS('Climate Data'!$G$7:$G$366,'Climate Data'!$A$7:$A$366,'Estimator'!$B$4,'Climate Data'!$B$7:$B$366,C3208)</x:f>
        <x:v>0.3721198156682028</x:v>
      </x:c>
      <x:c r="I3208" s="382" t="n">
        <x:f>SUMIFS('Climate Data'!$H$7:$H$366,'Climate Data'!$A$7:$A$366,'Estimator'!$B$4,'Climate Data'!$B$7:$B$366,C3208)</x:f>
        <x:v>7.940557275541795</x:v>
      </x:c>
      <x:c r="J3208" s="381" t="n">
        <x:f>SUMIFS('Wind Proxy'!$H$8:$H$19,'Wind Proxy'!$A$8:$A$19,'Estimator'!$B$4,'Wind Proxy'!$B$8:$B$19,C3208)</x:f>
        <x:v>0.21505376344086022</x:v>
      </x:c>
    </x:row>
    <x:row r="3209">
      <x:c r="A3209" s="379" t="n">
        <x:v>48860</x:v>
      </x:c>
      <x:c r="B3209" s="380" t="n">
        <x:v>2033</x:v>
      </x:c>
      <x:c r="C3209" s="380" t="n">
        <x:v>10</x:v>
      </x:c>
      <x:c r="D3209" s="380" t="str">
        <x:v>Oct</x:v>
      </x:c>
      <x:c r="E3209" s="380" t="n">
        <x:v>8</x:v>
      </x:c>
      <x:c r="F3209" s="380" t="n">
        <x:v>6</x:v>
      </x:c>
      <x:c r="G3209" s="380" t="n">
        <x:f>--(F3209&lt;='Estimator'!$B$7)</x:f>
        <x:v>0</x:v>
      </x:c>
      <x:c r="H3209" s="381" t="n">
        <x:f>SUMIFS('Climate Data'!$G$7:$G$366,'Climate Data'!$A$7:$A$366,'Estimator'!$B$4,'Climate Data'!$B$7:$B$366,C3209)</x:f>
        <x:v>0.3721198156682028</x:v>
      </x:c>
      <x:c r="I3209" s="382" t="n">
        <x:f>SUMIFS('Climate Data'!$H$7:$H$366,'Climate Data'!$A$7:$A$366,'Estimator'!$B$4,'Climate Data'!$B$7:$B$366,C3209)</x:f>
        <x:v>7.940557275541795</x:v>
      </x:c>
      <x:c r="J3209" s="381" t="n">
        <x:f>SUMIFS('Wind Proxy'!$H$8:$H$19,'Wind Proxy'!$A$8:$A$19,'Estimator'!$B$4,'Wind Proxy'!$B$8:$B$19,C3209)</x:f>
        <x:v>0.21505376344086022</x:v>
      </x:c>
    </x:row>
    <x:row r="3210">
      <x:c r="A3210" s="379" t="n">
        <x:v>48861</x:v>
      </x:c>
      <x:c r="B3210" s="380" t="n">
        <x:v>2033</x:v>
      </x:c>
      <x:c r="C3210" s="380" t="n">
        <x:v>10</x:v>
      </x:c>
      <x:c r="D3210" s="380" t="str">
        <x:v>Oct</x:v>
      </x:c>
      <x:c r="E3210" s="380" t="n">
        <x:v>9</x:v>
      </x:c>
      <x:c r="F3210" s="380" t="n">
        <x:v>7</x:v>
      </x:c>
      <x:c r="G3210" s="380" t="n">
        <x:f>--(F3210&lt;='Estimator'!$B$7)</x:f>
        <x:v>0</x:v>
      </x:c>
      <x:c r="H3210" s="381" t="n">
        <x:f>SUMIFS('Climate Data'!$G$7:$G$366,'Climate Data'!$A$7:$A$366,'Estimator'!$B$4,'Climate Data'!$B$7:$B$366,C3210)</x:f>
        <x:v>0.3721198156682028</x:v>
      </x:c>
      <x:c r="I3210" s="382" t="n">
        <x:f>SUMIFS('Climate Data'!$H$7:$H$366,'Climate Data'!$A$7:$A$366,'Estimator'!$B$4,'Climate Data'!$B$7:$B$366,C3210)</x:f>
        <x:v>7.940557275541795</x:v>
      </x:c>
      <x:c r="J3210" s="381" t="n">
        <x:f>SUMIFS('Wind Proxy'!$H$8:$H$19,'Wind Proxy'!$A$8:$A$19,'Estimator'!$B$4,'Wind Proxy'!$B$8:$B$19,C3210)</x:f>
        <x:v>0.21505376344086022</x:v>
      </x:c>
    </x:row>
    <x:row r="3211">
      <x:c r="A3211" s="379" t="n">
        <x:v>48862</x:v>
      </x:c>
      <x:c r="B3211" s="380" t="n">
        <x:v>2033</x:v>
      </x:c>
      <x:c r="C3211" s="380" t="n">
        <x:v>10</x:v>
      </x:c>
      <x:c r="D3211" s="380" t="str">
        <x:v>Oct</x:v>
      </x:c>
      <x:c r="E3211" s="380" t="n">
        <x:v>10</x:v>
      </x:c>
      <x:c r="F3211" s="380" t="n">
        <x:v>1</x:v>
      </x:c>
      <x:c r="G3211" s="380" t="n">
        <x:f>--(F3211&lt;='Estimator'!$B$7)</x:f>
        <x:v>1</x:v>
      </x:c>
      <x:c r="H3211" s="381" t="n">
        <x:f>SUMIFS('Climate Data'!$G$7:$G$366,'Climate Data'!$A$7:$A$366,'Estimator'!$B$4,'Climate Data'!$B$7:$B$366,C3211)</x:f>
        <x:v>0.3721198156682028</x:v>
      </x:c>
      <x:c r="I3211" s="382" t="n">
        <x:f>SUMIFS('Climate Data'!$H$7:$H$366,'Climate Data'!$A$7:$A$366,'Estimator'!$B$4,'Climate Data'!$B$7:$B$366,C3211)</x:f>
        <x:v>7.940557275541795</x:v>
      </x:c>
      <x:c r="J3211" s="381" t="n">
        <x:f>SUMIFS('Wind Proxy'!$H$8:$H$19,'Wind Proxy'!$A$8:$A$19,'Estimator'!$B$4,'Wind Proxy'!$B$8:$B$19,C3211)</x:f>
        <x:v>0.21505376344086022</x:v>
      </x:c>
    </x:row>
    <x:row r="3212">
      <x:c r="A3212" s="379" t="n">
        <x:v>48863</x:v>
      </x:c>
      <x:c r="B3212" s="380" t="n">
        <x:v>2033</x:v>
      </x:c>
      <x:c r="C3212" s="380" t="n">
        <x:v>10</x:v>
      </x:c>
      <x:c r="D3212" s="380" t="str">
        <x:v>Oct</x:v>
      </x:c>
      <x:c r="E3212" s="380" t="n">
        <x:v>11</x:v>
      </x:c>
      <x:c r="F3212" s="380" t="n">
        <x:v>2</x:v>
      </x:c>
      <x:c r="G3212" s="380" t="n">
        <x:f>--(F3212&lt;='Estimator'!$B$7)</x:f>
        <x:v>1</x:v>
      </x:c>
      <x:c r="H3212" s="381" t="n">
        <x:f>SUMIFS('Climate Data'!$G$7:$G$366,'Climate Data'!$A$7:$A$366,'Estimator'!$B$4,'Climate Data'!$B$7:$B$366,C3212)</x:f>
        <x:v>0.3721198156682028</x:v>
      </x:c>
      <x:c r="I3212" s="382" t="n">
        <x:f>SUMIFS('Climate Data'!$H$7:$H$366,'Climate Data'!$A$7:$A$366,'Estimator'!$B$4,'Climate Data'!$B$7:$B$366,C3212)</x:f>
        <x:v>7.940557275541795</x:v>
      </x:c>
      <x:c r="J3212" s="381" t="n">
        <x:f>SUMIFS('Wind Proxy'!$H$8:$H$19,'Wind Proxy'!$A$8:$A$19,'Estimator'!$B$4,'Wind Proxy'!$B$8:$B$19,C3212)</x:f>
        <x:v>0.21505376344086022</x:v>
      </x:c>
    </x:row>
    <x:row r="3213">
      <x:c r="A3213" s="379" t="n">
        <x:v>48864</x:v>
      </x:c>
      <x:c r="B3213" s="380" t="n">
        <x:v>2033</x:v>
      </x:c>
      <x:c r="C3213" s="380" t="n">
        <x:v>10</x:v>
      </x:c>
      <x:c r="D3213" s="380" t="str">
        <x:v>Oct</x:v>
      </x:c>
      <x:c r="E3213" s="380" t="n">
        <x:v>12</x:v>
      </x:c>
      <x:c r="F3213" s="380" t="n">
        <x:v>3</x:v>
      </x:c>
      <x:c r="G3213" s="380" t="n">
        <x:f>--(F3213&lt;='Estimator'!$B$7)</x:f>
        <x:v>1</x:v>
      </x:c>
      <x:c r="H3213" s="381" t="n">
        <x:f>SUMIFS('Climate Data'!$G$7:$G$366,'Climate Data'!$A$7:$A$366,'Estimator'!$B$4,'Climate Data'!$B$7:$B$366,C3213)</x:f>
        <x:v>0.3721198156682028</x:v>
      </x:c>
      <x:c r="I3213" s="382" t="n">
        <x:f>SUMIFS('Climate Data'!$H$7:$H$366,'Climate Data'!$A$7:$A$366,'Estimator'!$B$4,'Climate Data'!$B$7:$B$366,C3213)</x:f>
        <x:v>7.940557275541795</x:v>
      </x:c>
      <x:c r="J3213" s="381" t="n">
        <x:f>SUMIFS('Wind Proxy'!$H$8:$H$19,'Wind Proxy'!$A$8:$A$19,'Estimator'!$B$4,'Wind Proxy'!$B$8:$B$19,C3213)</x:f>
        <x:v>0.21505376344086022</x:v>
      </x:c>
    </x:row>
    <x:row r="3214">
      <x:c r="A3214" s="379" t="n">
        <x:v>48865</x:v>
      </x:c>
      <x:c r="B3214" s="380" t="n">
        <x:v>2033</x:v>
      </x:c>
      <x:c r="C3214" s="380" t="n">
        <x:v>10</x:v>
      </x:c>
      <x:c r="D3214" s="380" t="str">
        <x:v>Oct</x:v>
      </x:c>
      <x:c r="E3214" s="380" t="n">
        <x:v>13</x:v>
      </x:c>
      <x:c r="F3214" s="380" t="n">
        <x:v>4</x:v>
      </x:c>
      <x:c r="G3214" s="380" t="n">
        <x:f>--(F3214&lt;='Estimator'!$B$7)</x:f>
        <x:v>1</x:v>
      </x:c>
      <x:c r="H3214" s="381" t="n">
        <x:f>SUMIFS('Climate Data'!$G$7:$G$366,'Climate Data'!$A$7:$A$366,'Estimator'!$B$4,'Climate Data'!$B$7:$B$366,C3214)</x:f>
        <x:v>0.3721198156682028</x:v>
      </x:c>
      <x:c r="I3214" s="382" t="n">
        <x:f>SUMIFS('Climate Data'!$H$7:$H$366,'Climate Data'!$A$7:$A$366,'Estimator'!$B$4,'Climate Data'!$B$7:$B$366,C3214)</x:f>
        <x:v>7.940557275541795</x:v>
      </x:c>
      <x:c r="J3214" s="381" t="n">
        <x:f>SUMIFS('Wind Proxy'!$H$8:$H$19,'Wind Proxy'!$A$8:$A$19,'Estimator'!$B$4,'Wind Proxy'!$B$8:$B$19,C3214)</x:f>
        <x:v>0.21505376344086022</x:v>
      </x:c>
    </x:row>
    <x:row r="3215">
      <x:c r="A3215" s="379" t="n">
        <x:v>48866</x:v>
      </x:c>
      <x:c r="B3215" s="380" t="n">
        <x:v>2033</x:v>
      </x:c>
      <x:c r="C3215" s="380" t="n">
        <x:v>10</x:v>
      </x:c>
      <x:c r="D3215" s="380" t="str">
        <x:v>Oct</x:v>
      </x:c>
      <x:c r="E3215" s="380" t="n">
        <x:v>14</x:v>
      </x:c>
      <x:c r="F3215" s="380" t="n">
        <x:v>5</x:v>
      </x:c>
      <x:c r="G3215" s="380" t="n">
        <x:f>--(F3215&lt;='Estimator'!$B$7)</x:f>
        <x:v>1</x:v>
      </x:c>
      <x:c r="H3215" s="381" t="n">
        <x:f>SUMIFS('Climate Data'!$G$7:$G$366,'Climate Data'!$A$7:$A$366,'Estimator'!$B$4,'Climate Data'!$B$7:$B$366,C3215)</x:f>
        <x:v>0.3721198156682028</x:v>
      </x:c>
      <x:c r="I3215" s="382" t="n">
        <x:f>SUMIFS('Climate Data'!$H$7:$H$366,'Climate Data'!$A$7:$A$366,'Estimator'!$B$4,'Climate Data'!$B$7:$B$366,C3215)</x:f>
        <x:v>7.940557275541795</x:v>
      </x:c>
      <x:c r="J3215" s="381" t="n">
        <x:f>SUMIFS('Wind Proxy'!$H$8:$H$19,'Wind Proxy'!$A$8:$A$19,'Estimator'!$B$4,'Wind Proxy'!$B$8:$B$19,C3215)</x:f>
        <x:v>0.21505376344086022</x:v>
      </x:c>
    </x:row>
    <x:row r="3216">
      <x:c r="A3216" s="379" t="n">
        <x:v>48867</x:v>
      </x:c>
      <x:c r="B3216" s="380" t="n">
        <x:v>2033</x:v>
      </x:c>
      <x:c r="C3216" s="380" t="n">
        <x:v>10</x:v>
      </x:c>
      <x:c r="D3216" s="380" t="str">
        <x:v>Oct</x:v>
      </x:c>
      <x:c r="E3216" s="380" t="n">
        <x:v>15</x:v>
      </x:c>
      <x:c r="F3216" s="380" t="n">
        <x:v>6</x:v>
      </x:c>
      <x:c r="G3216" s="380" t="n">
        <x:f>--(F3216&lt;='Estimator'!$B$7)</x:f>
        <x:v>0</x:v>
      </x:c>
      <x:c r="H3216" s="381" t="n">
        <x:f>SUMIFS('Climate Data'!$G$7:$G$366,'Climate Data'!$A$7:$A$366,'Estimator'!$B$4,'Climate Data'!$B$7:$B$366,C3216)</x:f>
        <x:v>0.3721198156682028</x:v>
      </x:c>
      <x:c r="I3216" s="382" t="n">
        <x:f>SUMIFS('Climate Data'!$H$7:$H$366,'Climate Data'!$A$7:$A$366,'Estimator'!$B$4,'Climate Data'!$B$7:$B$366,C3216)</x:f>
        <x:v>7.940557275541795</x:v>
      </x:c>
      <x:c r="J3216" s="381" t="n">
        <x:f>SUMIFS('Wind Proxy'!$H$8:$H$19,'Wind Proxy'!$A$8:$A$19,'Estimator'!$B$4,'Wind Proxy'!$B$8:$B$19,C3216)</x:f>
        <x:v>0.21505376344086022</x:v>
      </x:c>
    </x:row>
    <x:row r="3217">
      <x:c r="A3217" s="379" t="n">
        <x:v>48868</x:v>
      </x:c>
      <x:c r="B3217" s="380" t="n">
        <x:v>2033</x:v>
      </x:c>
      <x:c r="C3217" s="380" t="n">
        <x:v>10</x:v>
      </x:c>
      <x:c r="D3217" s="380" t="str">
        <x:v>Oct</x:v>
      </x:c>
      <x:c r="E3217" s="380" t="n">
        <x:v>16</x:v>
      </x:c>
      <x:c r="F3217" s="380" t="n">
        <x:v>7</x:v>
      </x:c>
      <x:c r="G3217" s="380" t="n">
        <x:f>--(F3217&lt;='Estimator'!$B$7)</x:f>
        <x:v>0</x:v>
      </x:c>
      <x:c r="H3217" s="381" t="n">
        <x:f>SUMIFS('Climate Data'!$G$7:$G$366,'Climate Data'!$A$7:$A$366,'Estimator'!$B$4,'Climate Data'!$B$7:$B$366,C3217)</x:f>
        <x:v>0.3721198156682028</x:v>
      </x:c>
      <x:c r="I3217" s="382" t="n">
        <x:f>SUMIFS('Climate Data'!$H$7:$H$366,'Climate Data'!$A$7:$A$366,'Estimator'!$B$4,'Climate Data'!$B$7:$B$366,C3217)</x:f>
        <x:v>7.940557275541795</x:v>
      </x:c>
      <x:c r="J3217" s="381" t="n">
        <x:f>SUMIFS('Wind Proxy'!$H$8:$H$19,'Wind Proxy'!$A$8:$A$19,'Estimator'!$B$4,'Wind Proxy'!$B$8:$B$19,C3217)</x:f>
        <x:v>0.21505376344086022</x:v>
      </x:c>
    </x:row>
    <x:row r="3218">
      <x:c r="A3218" s="379" t="n">
        <x:v>48869</x:v>
      </x:c>
      <x:c r="B3218" s="380" t="n">
        <x:v>2033</x:v>
      </x:c>
      <x:c r="C3218" s="380" t="n">
        <x:v>10</x:v>
      </x:c>
      <x:c r="D3218" s="380" t="str">
        <x:v>Oct</x:v>
      </x:c>
      <x:c r="E3218" s="380" t="n">
        <x:v>17</x:v>
      </x:c>
      <x:c r="F3218" s="380" t="n">
        <x:v>1</x:v>
      </x:c>
      <x:c r="G3218" s="380" t="n">
        <x:f>--(F3218&lt;='Estimator'!$B$7)</x:f>
        <x:v>1</x:v>
      </x:c>
      <x:c r="H3218" s="381" t="n">
        <x:f>SUMIFS('Climate Data'!$G$7:$G$366,'Climate Data'!$A$7:$A$366,'Estimator'!$B$4,'Climate Data'!$B$7:$B$366,C3218)</x:f>
        <x:v>0.3721198156682028</x:v>
      </x:c>
      <x:c r="I3218" s="382" t="n">
        <x:f>SUMIFS('Climate Data'!$H$7:$H$366,'Climate Data'!$A$7:$A$366,'Estimator'!$B$4,'Climate Data'!$B$7:$B$366,C3218)</x:f>
        <x:v>7.940557275541795</x:v>
      </x:c>
      <x:c r="J3218" s="381" t="n">
        <x:f>SUMIFS('Wind Proxy'!$H$8:$H$19,'Wind Proxy'!$A$8:$A$19,'Estimator'!$B$4,'Wind Proxy'!$B$8:$B$19,C3218)</x:f>
        <x:v>0.21505376344086022</x:v>
      </x:c>
    </x:row>
    <x:row r="3219">
      <x:c r="A3219" s="379" t="n">
        <x:v>48870</x:v>
      </x:c>
      <x:c r="B3219" s="380" t="n">
        <x:v>2033</x:v>
      </x:c>
      <x:c r="C3219" s="380" t="n">
        <x:v>10</x:v>
      </x:c>
      <x:c r="D3219" s="380" t="str">
        <x:v>Oct</x:v>
      </x:c>
      <x:c r="E3219" s="380" t="n">
        <x:v>18</x:v>
      </x:c>
      <x:c r="F3219" s="380" t="n">
        <x:v>2</x:v>
      </x:c>
      <x:c r="G3219" s="380" t="n">
        <x:f>--(F3219&lt;='Estimator'!$B$7)</x:f>
        <x:v>1</x:v>
      </x:c>
      <x:c r="H3219" s="381" t="n">
        <x:f>SUMIFS('Climate Data'!$G$7:$G$366,'Climate Data'!$A$7:$A$366,'Estimator'!$B$4,'Climate Data'!$B$7:$B$366,C3219)</x:f>
        <x:v>0.3721198156682028</x:v>
      </x:c>
      <x:c r="I3219" s="382" t="n">
        <x:f>SUMIFS('Climate Data'!$H$7:$H$366,'Climate Data'!$A$7:$A$366,'Estimator'!$B$4,'Climate Data'!$B$7:$B$366,C3219)</x:f>
        <x:v>7.940557275541795</x:v>
      </x:c>
      <x:c r="J3219" s="381" t="n">
        <x:f>SUMIFS('Wind Proxy'!$H$8:$H$19,'Wind Proxy'!$A$8:$A$19,'Estimator'!$B$4,'Wind Proxy'!$B$8:$B$19,C3219)</x:f>
        <x:v>0.21505376344086022</x:v>
      </x:c>
    </x:row>
    <x:row r="3220">
      <x:c r="A3220" s="379" t="n">
        <x:v>48871</x:v>
      </x:c>
      <x:c r="B3220" s="380" t="n">
        <x:v>2033</x:v>
      </x:c>
      <x:c r="C3220" s="380" t="n">
        <x:v>10</x:v>
      </x:c>
      <x:c r="D3220" s="380" t="str">
        <x:v>Oct</x:v>
      </x:c>
      <x:c r="E3220" s="380" t="n">
        <x:v>19</x:v>
      </x:c>
      <x:c r="F3220" s="380" t="n">
        <x:v>3</x:v>
      </x:c>
      <x:c r="G3220" s="380" t="n">
        <x:f>--(F3220&lt;='Estimator'!$B$7)</x:f>
        <x:v>1</x:v>
      </x:c>
      <x:c r="H3220" s="381" t="n">
        <x:f>SUMIFS('Climate Data'!$G$7:$G$366,'Climate Data'!$A$7:$A$366,'Estimator'!$B$4,'Climate Data'!$B$7:$B$366,C3220)</x:f>
        <x:v>0.3721198156682028</x:v>
      </x:c>
      <x:c r="I3220" s="382" t="n">
        <x:f>SUMIFS('Climate Data'!$H$7:$H$366,'Climate Data'!$A$7:$A$366,'Estimator'!$B$4,'Climate Data'!$B$7:$B$366,C3220)</x:f>
        <x:v>7.940557275541795</x:v>
      </x:c>
      <x:c r="J3220" s="381" t="n">
        <x:f>SUMIFS('Wind Proxy'!$H$8:$H$19,'Wind Proxy'!$A$8:$A$19,'Estimator'!$B$4,'Wind Proxy'!$B$8:$B$19,C3220)</x:f>
        <x:v>0.21505376344086022</x:v>
      </x:c>
    </x:row>
    <x:row r="3221">
      <x:c r="A3221" s="379" t="n">
        <x:v>48872</x:v>
      </x:c>
      <x:c r="B3221" s="380" t="n">
        <x:v>2033</x:v>
      </x:c>
      <x:c r="C3221" s="380" t="n">
        <x:v>10</x:v>
      </x:c>
      <x:c r="D3221" s="380" t="str">
        <x:v>Oct</x:v>
      </x:c>
      <x:c r="E3221" s="380" t="n">
        <x:v>20</x:v>
      </x:c>
      <x:c r="F3221" s="380" t="n">
        <x:v>4</x:v>
      </x:c>
      <x:c r="G3221" s="380" t="n">
        <x:f>--(F3221&lt;='Estimator'!$B$7)</x:f>
        <x:v>1</x:v>
      </x:c>
      <x:c r="H3221" s="381" t="n">
        <x:f>SUMIFS('Climate Data'!$G$7:$G$366,'Climate Data'!$A$7:$A$366,'Estimator'!$B$4,'Climate Data'!$B$7:$B$366,C3221)</x:f>
        <x:v>0.3721198156682028</x:v>
      </x:c>
      <x:c r="I3221" s="382" t="n">
        <x:f>SUMIFS('Climate Data'!$H$7:$H$366,'Climate Data'!$A$7:$A$366,'Estimator'!$B$4,'Climate Data'!$B$7:$B$366,C3221)</x:f>
        <x:v>7.940557275541795</x:v>
      </x:c>
      <x:c r="J3221" s="381" t="n">
        <x:f>SUMIFS('Wind Proxy'!$H$8:$H$19,'Wind Proxy'!$A$8:$A$19,'Estimator'!$B$4,'Wind Proxy'!$B$8:$B$19,C3221)</x:f>
        <x:v>0.21505376344086022</x:v>
      </x:c>
    </x:row>
    <x:row r="3222">
      <x:c r="A3222" s="379" t="n">
        <x:v>48873</x:v>
      </x:c>
      <x:c r="B3222" s="380" t="n">
        <x:v>2033</x:v>
      </x:c>
      <x:c r="C3222" s="380" t="n">
        <x:v>10</x:v>
      </x:c>
      <x:c r="D3222" s="380" t="str">
        <x:v>Oct</x:v>
      </x:c>
      <x:c r="E3222" s="380" t="n">
        <x:v>21</x:v>
      </x:c>
      <x:c r="F3222" s="380" t="n">
        <x:v>5</x:v>
      </x:c>
      <x:c r="G3222" s="380" t="n">
        <x:f>--(F3222&lt;='Estimator'!$B$7)</x:f>
        <x:v>1</x:v>
      </x:c>
      <x:c r="H3222" s="381" t="n">
        <x:f>SUMIFS('Climate Data'!$G$7:$G$366,'Climate Data'!$A$7:$A$366,'Estimator'!$B$4,'Climate Data'!$B$7:$B$366,C3222)</x:f>
        <x:v>0.3721198156682028</x:v>
      </x:c>
      <x:c r="I3222" s="382" t="n">
        <x:f>SUMIFS('Climate Data'!$H$7:$H$366,'Climate Data'!$A$7:$A$366,'Estimator'!$B$4,'Climate Data'!$B$7:$B$366,C3222)</x:f>
        <x:v>7.940557275541795</x:v>
      </x:c>
      <x:c r="J3222" s="381" t="n">
        <x:f>SUMIFS('Wind Proxy'!$H$8:$H$19,'Wind Proxy'!$A$8:$A$19,'Estimator'!$B$4,'Wind Proxy'!$B$8:$B$19,C3222)</x:f>
        <x:v>0.21505376344086022</x:v>
      </x:c>
    </x:row>
    <x:row r="3223">
      <x:c r="A3223" s="379" t="n">
        <x:v>48874</x:v>
      </x:c>
      <x:c r="B3223" s="380" t="n">
        <x:v>2033</x:v>
      </x:c>
      <x:c r="C3223" s="380" t="n">
        <x:v>10</x:v>
      </x:c>
      <x:c r="D3223" s="380" t="str">
        <x:v>Oct</x:v>
      </x:c>
      <x:c r="E3223" s="380" t="n">
        <x:v>22</x:v>
      </x:c>
      <x:c r="F3223" s="380" t="n">
        <x:v>6</x:v>
      </x:c>
      <x:c r="G3223" s="380" t="n">
        <x:f>--(F3223&lt;='Estimator'!$B$7)</x:f>
        <x:v>0</x:v>
      </x:c>
      <x:c r="H3223" s="381" t="n">
        <x:f>SUMIFS('Climate Data'!$G$7:$G$366,'Climate Data'!$A$7:$A$366,'Estimator'!$B$4,'Climate Data'!$B$7:$B$366,C3223)</x:f>
        <x:v>0.3721198156682028</x:v>
      </x:c>
      <x:c r="I3223" s="382" t="n">
        <x:f>SUMIFS('Climate Data'!$H$7:$H$366,'Climate Data'!$A$7:$A$366,'Estimator'!$B$4,'Climate Data'!$B$7:$B$366,C3223)</x:f>
        <x:v>7.940557275541795</x:v>
      </x:c>
      <x:c r="J3223" s="381" t="n">
        <x:f>SUMIFS('Wind Proxy'!$H$8:$H$19,'Wind Proxy'!$A$8:$A$19,'Estimator'!$B$4,'Wind Proxy'!$B$8:$B$19,C3223)</x:f>
        <x:v>0.21505376344086022</x:v>
      </x:c>
    </x:row>
    <x:row r="3224">
      <x:c r="A3224" s="379" t="n">
        <x:v>48875</x:v>
      </x:c>
      <x:c r="B3224" s="380" t="n">
        <x:v>2033</x:v>
      </x:c>
      <x:c r="C3224" s="380" t="n">
        <x:v>10</x:v>
      </x:c>
      <x:c r="D3224" s="380" t="str">
        <x:v>Oct</x:v>
      </x:c>
      <x:c r="E3224" s="380" t="n">
        <x:v>23</x:v>
      </x:c>
      <x:c r="F3224" s="380" t="n">
        <x:v>7</x:v>
      </x:c>
      <x:c r="G3224" s="380" t="n">
        <x:f>--(F3224&lt;='Estimator'!$B$7)</x:f>
        <x:v>0</x:v>
      </x:c>
      <x:c r="H3224" s="381" t="n">
        <x:f>SUMIFS('Climate Data'!$G$7:$G$366,'Climate Data'!$A$7:$A$366,'Estimator'!$B$4,'Climate Data'!$B$7:$B$366,C3224)</x:f>
        <x:v>0.3721198156682028</x:v>
      </x:c>
      <x:c r="I3224" s="382" t="n">
        <x:f>SUMIFS('Climate Data'!$H$7:$H$366,'Climate Data'!$A$7:$A$366,'Estimator'!$B$4,'Climate Data'!$B$7:$B$366,C3224)</x:f>
        <x:v>7.940557275541795</x:v>
      </x:c>
      <x:c r="J3224" s="381" t="n">
        <x:f>SUMIFS('Wind Proxy'!$H$8:$H$19,'Wind Proxy'!$A$8:$A$19,'Estimator'!$B$4,'Wind Proxy'!$B$8:$B$19,C3224)</x:f>
        <x:v>0.21505376344086022</x:v>
      </x:c>
    </x:row>
    <x:row r="3225">
      <x:c r="A3225" s="379" t="n">
        <x:v>48876</x:v>
      </x:c>
      <x:c r="B3225" s="380" t="n">
        <x:v>2033</x:v>
      </x:c>
      <x:c r="C3225" s="380" t="n">
        <x:v>10</x:v>
      </x:c>
      <x:c r="D3225" s="380" t="str">
        <x:v>Oct</x:v>
      </x:c>
      <x:c r="E3225" s="380" t="n">
        <x:v>24</x:v>
      </x:c>
      <x:c r="F3225" s="380" t="n">
        <x:v>1</x:v>
      </x:c>
      <x:c r="G3225" s="380" t="n">
        <x:f>--(F3225&lt;='Estimator'!$B$7)</x:f>
        <x:v>1</x:v>
      </x:c>
      <x:c r="H3225" s="381" t="n">
        <x:f>SUMIFS('Climate Data'!$G$7:$G$366,'Climate Data'!$A$7:$A$366,'Estimator'!$B$4,'Climate Data'!$B$7:$B$366,C3225)</x:f>
        <x:v>0.3721198156682028</x:v>
      </x:c>
      <x:c r="I3225" s="382" t="n">
        <x:f>SUMIFS('Climate Data'!$H$7:$H$366,'Climate Data'!$A$7:$A$366,'Estimator'!$B$4,'Climate Data'!$B$7:$B$366,C3225)</x:f>
        <x:v>7.940557275541795</x:v>
      </x:c>
      <x:c r="J3225" s="381" t="n">
        <x:f>SUMIFS('Wind Proxy'!$H$8:$H$19,'Wind Proxy'!$A$8:$A$19,'Estimator'!$B$4,'Wind Proxy'!$B$8:$B$19,C3225)</x:f>
        <x:v>0.21505376344086022</x:v>
      </x:c>
    </x:row>
    <x:row r="3226">
      <x:c r="A3226" s="379" t="n">
        <x:v>48877</x:v>
      </x:c>
      <x:c r="B3226" s="380" t="n">
        <x:v>2033</x:v>
      </x:c>
      <x:c r="C3226" s="380" t="n">
        <x:v>10</x:v>
      </x:c>
      <x:c r="D3226" s="380" t="str">
        <x:v>Oct</x:v>
      </x:c>
      <x:c r="E3226" s="380" t="n">
        <x:v>25</x:v>
      </x:c>
      <x:c r="F3226" s="380" t="n">
        <x:v>2</x:v>
      </x:c>
      <x:c r="G3226" s="380" t="n">
        <x:f>--(F3226&lt;='Estimator'!$B$7)</x:f>
        <x:v>1</x:v>
      </x:c>
      <x:c r="H3226" s="381" t="n">
        <x:f>SUMIFS('Climate Data'!$G$7:$G$366,'Climate Data'!$A$7:$A$366,'Estimator'!$B$4,'Climate Data'!$B$7:$B$366,C3226)</x:f>
        <x:v>0.3721198156682028</x:v>
      </x:c>
      <x:c r="I3226" s="382" t="n">
        <x:f>SUMIFS('Climate Data'!$H$7:$H$366,'Climate Data'!$A$7:$A$366,'Estimator'!$B$4,'Climate Data'!$B$7:$B$366,C3226)</x:f>
        <x:v>7.940557275541795</x:v>
      </x:c>
      <x:c r="J3226" s="381" t="n">
        <x:f>SUMIFS('Wind Proxy'!$H$8:$H$19,'Wind Proxy'!$A$8:$A$19,'Estimator'!$B$4,'Wind Proxy'!$B$8:$B$19,C3226)</x:f>
        <x:v>0.21505376344086022</x:v>
      </x:c>
    </x:row>
    <x:row r="3227">
      <x:c r="A3227" s="379" t="n">
        <x:v>48878</x:v>
      </x:c>
      <x:c r="B3227" s="380" t="n">
        <x:v>2033</x:v>
      </x:c>
      <x:c r="C3227" s="380" t="n">
        <x:v>10</x:v>
      </x:c>
      <x:c r="D3227" s="380" t="str">
        <x:v>Oct</x:v>
      </x:c>
      <x:c r="E3227" s="380" t="n">
        <x:v>26</x:v>
      </x:c>
      <x:c r="F3227" s="380" t="n">
        <x:v>3</x:v>
      </x:c>
      <x:c r="G3227" s="380" t="n">
        <x:f>--(F3227&lt;='Estimator'!$B$7)</x:f>
        <x:v>1</x:v>
      </x:c>
      <x:c r="H3227" s="381" t="n">
        <x:f>SUMIFS('Climate Data'!$G$7:$G$366,'Climate Data'!$A$7:$A$366,'Estimator'!$B$4,'Climate Data'!$B$7:$B$366,C3227)</x:f>
        <x:v>0.3721198156682028</x:v>
      </x:c>
      <x:c r="I3227" s="382" t="n">
        <x:f>SUMIFS('Climate Data'!$H$7:$H$366,'Climate Data'!$A$7:$A$366,'Estimator'!$B$4,'Climate Data'!$B$7:$B$366,C3227)</x:f>
        <x:v>7.940557275541795</x:v>
      </x:c>
      <x:c r="J3227" s="381" t="n">
        <x:f>SUMIFS('Wind Proxy'!$H$8:$H$19,'Wind Proxy'!$A$8:$A$19,'Estimator'!$B$4,'Wind Proxy'!$B$8:$B$19,C3227)</x:f>
        <x:v>0.21505376344086022</x:v>
      </x:c>
    </x:row>
    <x:row r="3228">
      <x:c r="A3228" s="379" t="n">
        <x:v>48879</x:v>
      </x:c>
      <x:c r="B3228" s="380" t="n">
        <x:v>2033</x:v>
      </x:c>
      <x:c r="C3228" s="380" t="n">
        <x:v>10</x:v>
      </x:c>
      <x:c r="D3228" s="380" t="str">
        <x:v>Oct</x:v>
      </x:c>
      <x:c r="E3228" s="380" t="n">
        <x:v>27</x:v>
      </x:c>
      <x:c r="F3228" s="380" t="n">
        <x:v>4</x:v>
      </x:c>
      <x:c r="G3228" s="380" t="n">
        <x:f>--(F3228&lt;='Estimator'!$B$7)</x:f>
        <x:v>1</x:v>
      </x:c>
      <x:c r="H3228" s="381" t="n">
        <x:f>SUMIFS('Climate Data'!$G$7:$G$366,'Climate Data'!$A$7:$A$366,'Estimator'!$B$4,'Climate Data'!$B$7:$B$366,C3228)</x:f>
        <x:v>0.3721198156682028</x:v>
      </x:c>
      <x:c r="I3228" s="382" t="n">
        <x:f>SUMIFS('Climate Data'!$H$7:$H$366,'Climate Data'!$A$7:$A$366,'Estimator'!$B$4,'Climate Data'!$B$7:$B$366,C3228)</x:f>
        <x:v>7.940557275541795</x:v>
      </x:c>
      <x:c r="J3228" s="381" t="n">
        <x:f>SUMIFS('Wind Proxy'!$H$8:$H$19,'Wind Proxy'!$A$8:$A$19,'Estimator'!$B$4,'Wind Proxy'!$B$8:$B$19,C3228)</x:f>
        <x:v>0.21505376344086022</x:v>
      </x:c>
    </x:row>
    <x:row r="3229">
      <x:c r="A3229" s="379" t="n">
        <x:v>48880</x:v>
      </x:c>
      <x:c r="B3229" s="380" t="n">
        <x:v>2033</x:v>
      </x:c>
      <x:c r="C3229" s="380" t="n">
        <x:v>10</x:v>
      </x:c>
      <x:c r="D3229" s="380" t="str">
        <x:v>Oct</x:v>
      </x:c>
      <x:c r="E3229" s="380" t="n">
        <x:v>28</x:v>
      </x:c>
      <x:c r="F3229" s="380" t="n">
        <x:v>5</x:v>
      </x:c>
      <x:c r="G3229" s="380" t="n">
        <x:f>--(F3229&lt;='Estimator'!$B$7)</x:f>
        <x:v>1</x:v>
      </x:c>
      <x:c r="H3229" s="381" t="n">
        <x:f>SUMIFS('Climate Data'!$G$7:$G$366,'Climate Data'!$A$7:$A$366,'Estimator'!$B$4,'Climate Data'!$B$7:$B$366,C3229)</x:f>
        <x:v>0.3721198156682028</x:v>
      </x:c>
      <x:c r="I3229" s="382" t="n">
        <x:f>SUMIFS('Climate Data'!$H$7:$H$366,'Climate Data'!$A$7:$A$366,'Estimator'!$B$4,'Climate Data'!$B$7:$B$366,C3229)</x:f>
        <x:v>7.940557275541795</x:v>
      </x:c>
      <x:c r="J3229" s="381" t="n">
        <x:f>SUMIFS('Wind Proxy'!$H$8:$H$19,'Wind Proxy'!$A$8:$A$19,'Estimator'!$B$4,'Wind Proxy'!$B$8:$B$19,C3229)</x:f>
        <x:v>0.21505376344086022</x:v>
      </x:c>
    </x:row>
    <x:row r="3230">
      <x:c r="A3230" s="379" t="n">
        <x:v>48881</x:v>
      </x:c>
      <x:c r="B3230" s="380" t="n">
        <x:v>2033</x:v>
      </x:c>
      <x:c r="C3230" s="380" t="n">
        <x:v>10</x:v>
      </x:c>
      <x:c r="D3230" s="380" t="str">
        <x:v>Oct</x:v>
      </x:c>
      <x:c r="E3230" s="380" t="n">
        <x:v>29</x:v>
      </x:c>
      <x:c r="F3230" s="380" t="n">
        <x:v>6</x:v>
      </x:c>
      <x:c r="G3230" s="380" t="n">
        <x:f>--(F3230&lt;='Estimator'!$B$7)</x:f>
        <x:v>0</x:v>
      </x:c>
      <x:c r="H3230" s="381" t="n">
        <x:f>SUMIFS('Climate Data'!$G$7:$G$366,'Climate Data'!$A$7:$A$366,'Estimator'!$B$4,'Climate Data'!$B$7:$B$366,C3230)</x:f>
        <x:v>0.3721198156682028</x:v>
      </x:c>
      <x:c r="I3230" s="382" t="n">
        <x:f>SUMIFS('Climate Data'!$H$7:$H$366,'Climate Data'!$A$7:$A$366,'Estimator'!$B$4,'Climate Data'!$B$7:$B$366,C3230)</x:f>
        <x:v>7.940557275541795</x:v>
      </x:c>
      <x:c r="J3230" s="381" t="n">
        <x:f>SUMIFS('Wind Proxy'!$H$8:$H$19,'Wind Proxy'!$A$8:$A$19,'Estimator'!$B$4,'Wind Proxy'!$B$8:$B$19,C3230)</x:f>
        <x:v>0.21505376344086022</x:v>
      </x:c>
    </x:row>
    <x:row r="3231">
      <x:c r="A3231" s="379" t="n">
        <x:v>48882</x:v>
      </x:c>
      <x:c r="B3231" s="380" t="n">
        <x:v>2033</x:v>
      </x:c>
      <x:c r="C3231" s="380" t="n">
        <x:v>10</x:v>
      </x:c>
      <x:c r="D3231" s="380" t="str">
        <x:v>Oct</x:v>
      </x:c>
      <x:c r="E3231" s="380" t="n">
        <x:v>30</x:v>
      </x:c>
      <x:c r="F3231" s="380" t="n">
        <x:v>7</x:v>
      </x:c>
      <x:c r="G3231" s="380" t="n">
        <x:f>--(F3231&lt;='Estimator'!$B$7)</x:f>
        <x:v>0</x:v>
      </x:c>
      <x:c r="H3231" s="381" t="n">
        <x:f>SUMIFS('Climate Data'!$G$7:$G$366,'Climate Data'!$A$7:$A$366,'Estimator'!$B$4,'Climate Data'!$B$7:$B$366,C3231)</x:f>
        <x:v>0.3721198156682028</x:v>
      </x:c>
      <x:c r="I3231" s="382" t="n">
        <x:f>SUMIFS('Climate Data'!$H$7:$H$366,'Climate Data'!$A$7:$A$366,'Estimator'!$B$4,'Climate Data'!$B$7:$B$366,C3231)</x:f>
        <x:v>7.940557275541795</x:v>
      </x:c>
      <x:c r="J3231" s="381" t="n">
        <x:f>SUMIFS('Wind Proxy'!$H$8:$H$19,'Wind Proxy'!$A$8:$A$19,'Estimator'!$B$4,'Wind Proxy'!$B$8:$B$19,C3231)</x:f>
        <x:v>0.21505376344086022</x:v>
      </x:c>
    </x:row>
    <x:row r="3232">
      <x:c r="A3232" s="379" t="n">
        <x:v>48883</x:v>
      </x:c>
      <x:c r="B3232" s="380" t="n">
        <x:v>2033</x:v>
      </x:c>
      <x:c r="C3232" s="380" t="n">
        <x:v>10</x:v>
      </x:c>
      <x:c r="D3232" s="380" t="str">
        <x:v>Oct</x:v>
      </x:c>
      <x:c r="E3232" s="380" t="n">
        <x:v>31</x:v>
      </x:c>
      <x:c r="F3232" s="380" t="n">
        <x:v>1</x:v>
      </x:c>
      <x:c r="G3232" s="380" t="n">
        <x:f>--(F3232&lt;='Estimator'!$B$7)</x:f>
        <x:v>1</x:v>
      </x:c>
      <x:c r="H3232" s="381" t="n">
        <x:f>SUMIFS('Climate Data'!$G$7:$G$366,'Climate Data'!$A$7:$A$366,'Estimator'!$B$4,'Climate Data'!$B$7:$B$366,C3232)</x:f>
        <x:v>0.3721198156682028</x:v>
      </x:c>
      <x:c r="I3232" s="382" t="n">
        <x:f>SUMIFS('Climate Data'!$H$7:$H$366,'Climate Data'!$A$7:$A$366,'Estimator'!$B$4,'Climate Data'!$B$7:$B$366,C3232)</x:f>
        <x:v>7.940557275541795</x:v>
      </x:c>
      <x:c r="J3232" s="381" t="n">
        <x:f>SUMIFS('Wind Proxy'!$H$8:$H$19,'Wind Proxy'!$A$8:$A$19,'Estimator'!$B$4,'Wind Proxy'!$B$8:$B$19,C3232)</x:f>
        <x:v>0.21505376344086022</x:v>
      </x:c>
    </x:row>
    <x:row r="3233">
      <x:c r="A3233" s="379" t="n">
        <x:v>48884</x:v>
      </x:c>
      <x:c r="B3233" s="380" t="n">
        <x:v>2033</x:v>
      </x:c>
      <x:c r="C3233" s="380" t="n">
        <x:v>11</x:v>
      </x:c>
      <x:c r="D3233" s="380" t="str">
        <x:v>Nov</x:v>
      </x:c>
      <x:c r="E3233" s="380" t="n">
        <x:v>1</x:v>
      </x:c>
      <x:c r="F3233" s="380" t="n">
        <x:v>2</x:v>
      </x:c>
      <x:c r="G3233" s="380" t="n">
        <x:f>--(F3233&lt;='Estimator'!$B$7)</x:f>
        <x:v>1</x:v>
      </x:c>
      <x:c r="H3233" s="381" t="n">
        <x:f>SUMIFS('Climate Data'!$G$7:$G$366,'Climate Data'!$A$7:$A$366,'Estimator'!$B$4,'Climate Data'!$B$7:$B$366,C3233)</x:f>
        <x:v>0.3111111111111111</x:v>
      </x:c>
      <x:c r="I3233" s="382" t="n">
        <x:f>SUMIFS('Climate Data'!$H$7:$H$366,'Climate Data'!$A$7:$A$366,'Estimator'!$B$4,'Climate Data'!$B$7:$B$366,C3233)</x:f>
        <x:v>7.382142857142857</x:v>
      </x:c>
      <x:c r="J3233" s="381" t="n">
        <x:f>SUMIFS('Wind Proxy'!$H$8:$H$19,'Wind Proxy'!$A$8:$A$19,'Estimator'!$B$4,'Wind Proxy'!$B$8:$B$19,C3233)</x:f>
        <x:v>0.22222222222222224</x:v>
      </x:c>
    </x:row>
    <x:row r="3234">
      <x:c r="A3234" s="379" t="n">
        <x:v>48885</x:v>
      </x:c>
      <x:c r="B3234" s="380" t="n">
        <x:v>2033</x:v>
      </x:c>
      <x:c r="C3234" s="380" t="n">
        <x:v>11</x:v>
      </x:c>
      <x:c r="D3234" s="380" t="str">
        <x:v>Nov</x:v>
      </x:c>
      <x:c r="E3234" s="380" t="n">
        <x:v>2</x:v>
      </x:c>
      <x:c r="F3234" s="380" t="n">
        <x:v>3</x:v>
      </x:c>
      <x:c r="G3234" s="380" t="n">
        <x:f>--(F3234&lt;='Estimator'!$B$7)</x:f>
        <x:v>1</x:v>
      </x:c>
      <x:c r="H3234" s="381" t="n">
        <x:f>SUMIFS('Climate Data'!$G$7:$G$366,'Climate Data'!$A$7:$A$366,'Estimator'!$B$4,'Climate Data'!$B$7:$B$366,C3234)</x:f>
        <x:v>0.3111111111111111</x:v>
      </x:c>
      <x:c r="I3234" s="382" t="n">
        <x:f>SUMIFS('Climate Data'!$H$7:$H$366,'Climate Data'!$A$7:$A$366,'Estimator'!$B$4,'Climate Data'!$B$7:$B$366,C3234)</x:f>
        <x:v>7.382142857142857</x:v>
      </x:c>
      <x:c r="J3234" s="381" t="n">
        <x:f>SUMIFS('Wind Proxy'!$H$8:$H$19,'Wind Proxy'!$A$8:$A$19,'Estimator'!$B$4,'Wind Proxy'!$B$8:$B$19,C3234)</x:f>
        <x:v>0.22222222222222224</x:v>
      </x:c>
    </x:row>
    <x:row r="3235">
      <x:c r="A3235" s="379" t="n">
        <x:v>48886</x:v>
      </x:c>
      <x:c r="B3235" s="380" t="n">
        <x:v>2033</x:v>
      </x:c>
      <x:c r="C3235" s="380" t="n">
        <x:v>11</x:v>
      </x:c>
      <x:c r="D3235" s="380" t="str">
        <x:v>Nov</x:v>
      </x:c>
      <x:c r="E3235" s="380" t="n">
        <x:v>3</x:v>
      </x:c>
      <x:c r="F3235" s="380" t="n">
        <x:v>4</x:v>
      </x:c>
      <x:c r="G3235" s="380" t="n">
        <x:f>--(F3235&lt;='Estimator'!$B$7)</x:f>
        <x:v>1</x:v>
      </x:c>
      <x:c r="H3235" s="381" t="n">
        <x:f>SUMIFS('Climate Data'!$G$7:$G$366,'Climate Data'!$A$7:$A$366,'Estimator'!$B$4,'Climate Data'!$B$7:$B$366,C3235)</x:f>
        <x:v>0.3111111111111111</x:v>
      </x:c>
      <x:c r="I3235" s="382" t="n">
        <x:f>SUMIFS('Climate Data'!$H$7:$H$366,'Climate Data'!$A$7:$A$366,'Estimator'!$B$4,'Climate Data'!$B$7:$B$366,C3235)</x:f>
        <x:v>7.382142857142857</x:v>
      </x:c>
      <x:c r="J3235" s="381" t="n">
        <x:f>SUMIFS('Wind Proxy'!$H$8:$H$19,'Wind Proxy'!$A$8:$A$19,'Estimator'!$B$4,'Wind Proxy'!$B$8:$B$19,C3235)</x:f>
        <x:v>0.22222222222222224</x:v>
      </x:c>
    </x:row>
    <x:row r="3236">
      <x:c r="A3236" s="379" t="n">
        <x:v>48887</x:v>
      </x:c>
      <x:c r="B3236" s="380" t="n">
        <x:v>2033</x:v>
      </x:c>
      <x:c r="C3236" s="380" t="n">
        <x:v>11</x:v>
      </x:c>
      <x:c r="D3236" s="380" t="str">
        <x:v>Nov</x:v>
      </x:c>
      <x:c r="E3236" s="380" t="n">
        <x:v>4</x:v>
      </x:c>
      <x:c r="F3236" s="380" t="n">
        <x:v>5</x:v>
      </x:c>
      <x:c r="G3236" s="380" t="n">
        <x:f>--(F3236&lt;='Estimator'!$B$7)</x:f>
        <x:v>1</x:v>
      </x:c>
      <x:c r="H3236" s="381" t="n">
        <x:f>SUMIFS('Climate Data'!$G$7:$G$366,'Climate Data'!$A$7:$A$366,'Estimator'!$B$4,'Climate Data'!$B$7:$B$366,C3236)</x:f>
        <x:v>0.3111111111111111</x:v>
      </x:c>
      <x:c r="I3236" s="382" t="n">
        <x:f>SUMIFS('Climate Data'!$H$7:$H$366,'Climate Data'!$A$7:$A$366,'Estimator'!$B$4,'Climate Data'!$B$7:$B$366,C3236)</x:f>
        <x:v>7.382142857142857</x:v>
      </x:c>
      <x:c r="J3236" s="381" t="n">
        <x:f>SUMIFS('Wind Proxy'!$H$8:$H$19,'Wind Proxy'!$A$8:$A$19,'Estimator'!$B$4,'Wind Proxy'!$B$8:$B$19,C3236)</x:f>
        <x:v>0.22222222222222224</x:v>
      </x:c>
    </x:row>
    <x:row r="3237">
      <x:c r="A3237" s="379" t="n">
        <x:v>48888</x:v>
      </x:c>
      <x:c r="B3237" s="380" t="n">
        <x:v>2033</x:v>
      </x:c>
      <x:c r="C3237" s="380" t="n">
        <x:v>11</x:v>
      </x:c>
      <x:c r="D3237" s="380" t="str">
        <x:v>Nov</x:v>
      </x:c>
      <x:c r="E3237" s="380" t="n">
        <x:v>5</x:v>
      </x:c>
      <x:c r="F3237" s="380" t="n">
        <x:v>6</x:v>
      </x:c>
      <x:c r="G3237" s="380" t="n">
        <x:f>--(F3237&lt;='Estimator'!$B$7)</x:f>
        <x:v>0</x:v>
      </x:c>
      <x:c r="H3237" s="381" t="n">
        <x:f>SUMIFS('Climate Data'!$G$7:$G$366,'Climate Data'!$A$7:$A$366,'Estimator'!$B$4,'Climate Data'!$B$7:$B$366,C3237)</x:f>
        <x:v>0.3111111111111111</x:v>
      </x:c>
      <x:c r="I3237" s="382" t="n">
        <x:f>SUMIFS('Climate Data'!$H$7:$H$366,'Climate Data'!$A$7:$A$366,'Estimator'!$B$4,'Climate Data'!$B$7:$B$366,C3237)</x:f>
        <x:v>7.382142857142857</x:v>
      </x:c>
      <x:c r="J3237" s="381" t="n">
        <x:f>SUMIFS('Wind Proxy'!$H$8:$H$19,'Wind Proxy'!$A$8:$A$19,'Estimator'!$B$4,'Wind Proxy'!$B$8:$B$19,C3237)</x:f>
        <x:v>0.22222222222222224</x:v>
      </x:c>
    </x:row>
    <x:row r="3238">
      <x:c r="A3238" s="379" t="n">
        <x:v>48889</x:v>
      </x:c>
      <x:c r="B3238" s="380" t="n">
        <x:v>2033</x:v>
      </x:c>
      <x:c r="C3238" s="380" t="n">
        <x:v>11</x:v>
      </x:c>
      <x:c r="D3238" s="380" t="str">
        <x:v>Nov</x:v>
      </x:c>
      <x:c r="E3238" s="380" t="n">
        <x:v>6</x:v>
      </x:c>
      <x:c r="F3238" s="380" t="n">
        <x:v>7</x:v>
      </x:c>
      <x:c r="G3238" s="380" t="n">
        <x:f>--(F3238&lt;='Estimator'!$B$7)</x:f>
        <x:v>0</x:v>
      </x:c>
      <x:c r="H3238" s="381" t="n">
        <x:f>SUMIFS('Climate Data'!$G$7:$G$366,'Climate Data'!$A$7:$A$366,'Estimator'!$B$4,'Climate Data'!$B$7:$B$366,C3238)</x:f>
        <x:v>0.3111111111111111</x:v>
      </x:c>
      <x:c r="I3238" s="382" t="n">
        <x:f>SUMIFS('Climate Data'!$H$7:$H$366,'Climate Data'!$A$7:$A$366,'Estimator'!$B$4,'Climate Data'!$B$7:$B$366,C3238)</x:f>
        <x:v>7.382142857142857</x:v>
      </x:c>
      <x:c r="J3238" s="381" t="n">
        <x:f>SUMIFS('Wind Proxy'!$H$8:$H$19,'Wind Proxy'!$A$8:$A$19,'Estimator'!$B$4,'Wind Proxy'!$B$8:$B$19,C3238)</x:f>
        <x:v>0.22222222222222224</x:v>
      </x:c>
    </x:row>
    <x:row r="3239">
      <x:c r="A3239" s="379" t="n">
        <x:v>48890</x:v>
      </x:c>
      <x:c r="B3239" s="380" t="n">
        <x:v>2033</x:v>
      </x:c>
      <x:c r="C3239" s="380" t="n">
        <x:v>11</x:v>
      </x:c>
      <x:c r="D3239" s="380" t="str">
        <x:v>Nov</x:v>
      </x:c>
      <x:c r="E3239" s="380" t="n">
        <x:v>7</x:v>
      </x:c>
      <x:c r="F3239" s="380" t="n">
        <x:v>1</x:v>
      </x:c>
      <x:c r="G3239" s="380" t="n">
        <x:f>--(F3239&lt;='Estimator'!$B$7)</x:f>
        <x:v>1</x:v>
      </x:c>
      <x:c r="H3239" s="381" t="n">
        <x:f>SUMIFS('Climate Data'!$G$7:$G$366,'Climate Data'!$A$7:$A$366,'Estimator'!$B$4,'Climate Data'!$B$7:$B$366,C3239)</x:f>
        <x:v>0.3111111111111111</x:v>
      </x:c>
      <x:c r="I3239" s="382" t="n">
        <x:f>SUMIFS('Climate Data'!$H$7:$H$366,'Climate Data'!$A$7:$A$366,'Estimator'!$B$4,'Climate Data'!$B$7:$B$366,C3239)</x:f>
        <x:v>7.382142857142857</x:v>
      </x:c>
      <x:c r="J3239" s="381" t="n">
        <x:f>SUMIFS('Wind Proxy'!$H$8:$H$19,'Wind Proxy'!$A$8:$A$19,'Estimator'!$B$4,'Wind Proxy'!$B$8:$B$19,C3239)</x:f>
        <x:v>0.22222222222222224</x:v>
      </x:c>
    </x:row>
    <x:row r="3240">
      <x:c r="A3240" s="379" t="n">
        <x:v>48891</x:v>
      </x:c>
      <x:c r="B3240" s="380" t="n">
        <x:v>2033</x:v>
      </x:c>
      <x:c r="C3240" s="380" t="n">
        <x:v>11</x:v>
      </x:c>
      <x:c r="D3240" s="380" t="str">
        <x:v>Nov</x:v>
      </x:c>
      <x:c r="E3240" s="380" t="n">
        <x:v>8</x:v>
      </x:c>
      <x:c r="F3240" s="380" t="n">
        <x:v>2</x:v>
      </x:c>
      <x:c r="G3240" s="380" t="n">
        <x:f>--(F3240&lt;='Estimator'!$B$7)</x:f>
        <x:v>1</x:v>
      </x:c>
      <x:c r="H3240" s="381" t="n">
        <x:f>SUMIFS('Climate Data'!$G$7:$G$366,'Climate Data'!$A$7:$A$366,'Estimator'!$B$4,'Climate Data'!$B$7:$B$366,C3240)</x:f>
        <x:v>0.3111111111111111</x:v>
      </x:c>
      <x:c r="I3240" s="382" t="n">
        <x:f>SUMIFS('Climate Data'!$H$7:$H$366,'Climate Data'!$A$7:$A$366,'Estimator'!$B$4,'Climate Data'!$B$7:$B$366,C3240)</x:f>
        <x:v>7.382142857142857</x:v>
      </x:c>
      <x:c r="J3240" s="381" t="n">
        <x:f>SUMIFS('Wind Proxy'!$H$8:$H$19,'Wind Proxy'!$A$8:$A$19,'Estimator'!$B$4,'Wind Proxy'!$B$8:$B$19,C3240)</x:f>
        <x:v>0.22222222222222224</x:v>
      </x:c>
    </x:row>
    <x:row r="3241">
      <x:c r="A3241" s="379" t="n">
        <x:v>48892</x:v>
      </x:c>
      <x:c r="B3241" s="380" t="n">
        <x:v>2033</x:v>
      </x:c>
      <x:c r="C3241" s="380" t="n">
        <x:v>11</x:v>
      </x:c>
      <x:c r="D3241" s="380" t="str">
        <x:v>Nov</x:v>
      </x:c>
      <x:c r="E3241" s="380" t="n">
        <x:v>9</x:v>
      </x:c>
      <x:c r="F3241" s="380" t="n">
        <x:v>3</x:v>
      </x:c>
      <x:c r="G3241" s="380" t="n">
        <x:f>--(F3241&lt;='Estimator'!$B$7)</x:f>
        <x:v>1</x:v>
      </x:c>
      <x:c r="H3241" s="381" t="n">
        <x:f>SUMIFS('Climate Data'!$G$7:$G$366,'Climate Data'!$A$7:$A$366,'Estimator'!$B$4,'Climate Data'!$B$7:$B$366,C3241)</x:f>
        <x:v>0.3111111111111111</x:v>
      </x:c>
      <x:c r="I3241" s="382" t="n">
        <x:f>SUMIFS('Climate Data'!$H$7:$H$366,'Climate Data'!$A$7:$A$366,'Estimator'!$B$4,'Climate Data'!$B$7:$B$366,C3241)</x:f>
        <x:v>7.382142857142857</x:v>
      </x:c>
      <x:c r="J3241" s="381" t="n">
        <x:f>SUMIFS('Wind Proxy'!$H$8:$H$19,'Wind Proxy'!$A$8:$A$19,'Estimator'!$B$4,'Wind Proxy'!$B$8:$B$19,C3241)</x:f>
        <x:v>0.22222222222222224</x:v>
      </x:c>
    </x:row>
    <x:row r="3242">
      <x:c r="A3242" s="379" t="n">
        <x:v>48893</x:v>
      </x:c>
      <x:c r="B3242" s="380" t="n">
        <x:v>2033</x:v>
      </x:c>
      <x:c r="C3242" s="380" t="n">
        <x:v>11</x:v>
      </x:c>
      <x:c r="D3242" s="380" t="str">
        <x:v>Nov</x:v>
      </x:c>
      <x:c r="E3242" s="380" t="n">
        <x:v>10</x:v>
      </x:c>
      <x:c r="F3242" s="380" t="n">
        <x:v>4</x:v>
      </x:c>
      <x:c r="G3242" s="380" t="n">
        <x:f>--(F3242&lt;='Estimator'!$B$7)</x:f>
        <x:v>1</x:v>
      </x:c>
      <x:c r="H3242" s="381" t="n">
        <x:f>SUMIFS('Climate Data'!$G$7:$G$366,'Climate Data'!$A$7:$A$366,'Estimator'!$B$4,'Climate Data'!$B$7:$B$366,C3242)</x:f>
        <x:v>0.3111111111111111</x:v>
      </x:c>
      <x:c r="I3242" s="382" t="n">
        <x:f>SUMIFS('Climate Data'!$H$7:$H$366,'Climate Data'!$A$7:$A$366,'Estimator'!$B$4,'Climate Data'!$B$7:$B$366,C3242)</x:f>
        <x:v>7.382142857142857</x:v>
      </x:c>
      <x:c r="J3242" s="381" t="n">
        <x:f>SUMIFS('Wind Proxy'!$H$8:$H$19,'Wind Proxy'!$A$8:$A$19,'Estimator'!$B$4,'Wind Proxy'!$B$8:$B$19,C3242)</x:f>
        <x:v>0.22222222222222224</x:v>
      </x:c>
    </x:row>
    <x:row r="3243">
      <x:c r="A3243" s="379" t="n">
        <x:v>48894</x:v>
      </x:c>
      <x:c r="B3243" s="380" t="n">
        <x:v>2033</x:v>
      </x:c>
      <x:c r="C3243" s="380" t="n">
        <x:v>11</x:v>
      </x:c>
      <x:c r="D3243" s="380" t="str">
        <x:v>Nov</x:v>
      </x:c>
      <x:c r="E3243" s="380" t="n">
        <x:v>11</x:v>
      </x:c>
      <x:c r="F3243" s="380" t="n">
        <x:v>5</x:v>
      </x:c>
      <x:c r="G3243" s="380" t="n">
        <x:f>--(F3243&lt;='Estimator'!$B$7)</x:f>
        <x:v>1</x:v>
      </x:c>
      <x:c r="H3243" s="381" t="n">
        <x:f>SUMIFS('Climate Data'!$G$7:$G$366,'Climate Data'!$A$7:$A$366,'Estimator'!$B$4,'Climate Data'!$B$7:$B$366,C3243)</x:f>
        <x:v>0.3111111111111111</x:v>
      </x:c>
      <x:c r="I3243" s="382" t="n">
        <x:f>SUMIFS('Climate Data'!$H$7:$H$366,'Climate Data'!$A$7:$A$366,'Estimator'!$B$4,'Climate Data'!$B$7:$B$366,C3243)</x:f>
        <x:v>7.382142857142857</x:v>
      </x:c>
      <x:c r="J3243" s="381" t="n">
        <x:f>SUMIFS('Wind Proxy'!$H$8:$H$19,'Wind Proxy'!$A$8:$A$19,'Estimator'!$B$4,'Wind Proxy'!$B$8:$B$19,C3243)</x:f>
        <x:v>0.22222222222222224</x:v>
      </x:c>
    </x:row>
    <x:row r="3244">
      <x:c r="A3244" s="379" t="n">
        <x:v>48895</x:v>
      </x:c>
      <x:c r="B3244" s="380" t="n">
        <x:v>2033</x:v>
      </x:c>
      <x:c r="C3244" s="380" t="n">
        <x:v>11</x:v>
      </x:c>
      <x:c r="D3244" s="380" t="str">
        <x:v>Nov</x:v>
      </x:c>
      <x:c r="E3244" s="380" t="n">
        <x:v>12</x:v>
      </x:c>
      <x:c r="F3244" s="380" t="n">
        <x:v>6</x:v>
      </x:c>
      <x:c r="G3244" s="380" t="n">
        <x:f>--(F3244&lt;='Estimator'!$B$7)</x:f>
        <x:v>0</x:v>
      </x:c>
      <x:c r="H3244" s="381" t="n">
        <x:f>SUMIFS('Climate Data'!$G$7:$G$366,'Climate Data'!$A$7:$A$366,'Estimator'!$B$4,'Climate Data'!$B$7:$B$366,C3244)</x:f>
        <x:v>0.3111111111111111</x:v>
      </x:c>
      <x:c r="I3244" s="382" t="n">
        <x:f>SUMIFS('Climate Data'!$H$7:$H$366,'Climate Data'!$A$7:$A$366,'Estimator'!$B$4,'Climate Data'!$B$7:$B$366,C3244)</x:f>
        <x:v>7.382142857142857</x:v>
      </x:c>
      <x:c r="J3244" s="381" t="n">
        <x:f>SUMIFS('Wind Proxy'!$H$8:$H$19,'Wind Proxy'!$A$8:$A$19,'Estimator'!$B$4,'Wind Proxy'!$B$8:$B$19,C3244)</x:f>
        <x:v>0.22222222222222224</x:v>
      </x:c>
    </x:row>
    <x:row r="3245">
      <x:c r="A3245" s="379" t="n">
        <x:v>48896</x:v>
      </x:c>
      <x:c r="B3245" s="380" t="n">
        <x:v>2033</x:v>
      </x:c>
      <x:c r="C3245" s="380" t="n">
        <x:v>11</x:v>
      </x:c>
      <x:c r="D3245" s="380" t="str">
        <x:v>Nov</x:v>
      </x:c>
      <x:c r="E3245" s="380" t="n">
        <x:v>13</x:v>
      </x:c>
      <x:c r="F3245" s="380" t="n">
        <x:v>7</x:v>
      </x:c>
      <x:c r="G3245" s="380" t="n">
        <x:f>--(F3245&lt;='Estimator'!$B$7)</x:f>
        <x:v>0</x:v>
      </x:c>
      <x:c r="H3245" s="381" t="n">
        <x:f>SUMIFS('Climate Data'!$G$7:$G$366,'Climate Data'!$A$7:$A$366,'Estimator'!$B$4,'Climate Data'!$B$7:$B$366,C3245)</x:f>
        <x:v>0.3111111111111111</x:v>
      </x:c>
      <x:c r="I3245" s="382" t="n">
        <x:f>SUMIFS('Climate Data'!$H$7:$H$366,'Climate Data'!$A$7:$A$366,'Estimator'!$B$4,'Climate Data'!$B$7:$B$366,C3245)</x:f>
        <x:v>7.382142857142857</x:v>
      </x:c>
      <x:c r="J3245" s="381" t="n">
        <x:f>SUMIFS('Wind Proxy'!$H$8:$H$19,'Wind Proxy'!$A$8:$A$19,'Estimator'!$B$4,'Wind Proxy'!$B$8:$B$19,C3245)</x:f>
        <x:v>0.22222222222222224</x:v>
      </x:c>
    </x:row>
    <x:row r="3246">
      <x:c r="A3246" s="379" t="n">
        <x:v>48897</x:v>
      </x:c>
      <x:c r="B3246" s="380" t="n">
        <x:v>2033</x:v>
      </x:c>
      <x:c r="C3246" s="380" t="n">
        <x:v>11</x:v>
      </x:c>
      <x:c r="D3246" s="380" t="str">
        <x:v>Nov</x:v>
      </x:c>
      <x:c r="E3246" s="380" t="n">
        <x:v>14</x:v>
      </x:c>
      <x:c r="F3246" s="380" t="n">
        <x:v>1</x:v>
      </x:c>
      <x:c r="G3246" s="380" t="n">
        <x:f>--(F3246&lt;='Estimator'!$B$7)</x:f>
        <x:v>1</x:v>
      </x:c>
      <x:c r="H3246" s="381" t="n">
        <x:f>SUMIFS('Climate Data'!$G$7:$G$366,'Climate Data'!$A$7:$A$366,'Estimator'!$B$4,'Climate Data'!$B$7:$B$366,C3246)</x:f>
        <x:v>0.3111111111111111</x:v>
      </x:c>
      <x:c r="I3246" s="382" t="n">
        <x:f>SUMIFS('Climate Data'!$H$7:$H$366,'Climate Data'!$A$7:$A$366,'Estimator'!$B$4,'Climate Data'!$B$7:$B$366,C3246)</x:f>
        <x:v>7.382142857142857</x:v>
      </x:c>
      <x:c r="J3246" s="381" t="n">
        <x:f>SUMIFS('Wind Proxy'!$H$8:$H$19,'Wind Proxy'!$A$8:$A$19,'Estimator'!$B$4,'Wind Proxy'!$B$8:$B$19,C3246)</x:f>
        <x:v>0.22222222222222224</x:v>
      </x:c>
    </x:row>
    <x:row r="3247">
      <x:c r="A3247" s="379" t="n">
        <x:v>48898</x:v>
      </x:c>
      <x:c r="B3247" s="380" t="n">
        <x:v>2033</x:v>
      </x:c>
      <x:c r="C3247" s="380" t="n">
        <x:v>11</x:v>
      </x:c>
      <x:c r="D3247" s="380" t="str">
        <x:v>Nov</x:v>
      </x:c>
      <x:c r="E3247" s="380" t="n">
        <x:v>15</x:v>
      </x:c>
      <x:c r="F3247" s="380" t="n">
        <x:v>2</x:v>
      </x:c>
      <x:c r="G3247" s="380" t="n">
        <x:f>--(F3247&lt;='Estimator'!$B$7)</x:f>
        <x:v>1</x:v>
      </x:c>
      <x:c r="H3247" s="381" t="n">
        <x:f>SUMIFS('Climate Data'!$G$7:$G$366,'Climate Data'!$A$7:$A$366,'Estimator'!$B$4,'Climate Data'!$B$7:$B$366,C3247)</x:f>
        <x:v>0.3111111111111111</x:v>
      </x:c>
      <x:c r="I3247" s="382" t="n">
        <x:f>SUMIFS('Climate Data'!$H$7:$H$366,'Climate Data'!$A$7:$A$366,'Estimator'!$B$4,'Climate Data'!$B$7:$B$366,C3247)</x:f>
        <x:v>7.382142857142857</x:v>
      </x:c>
      <x:c r="J3247" s="381" t="n">
        <x:f>SUMIFS('Wind Proxy'!$H$8:$H$19,'Wind Proxy'!$A$8:$A$19,'Estimator'!$B$4,'Wind Proxy'!$B$8:$B$19,C3247)</x:f>
        <x:v>0.22222222222222224</x:v>
      </x:c>
    </x:row>
    <x:row r="3248">
      <x:c r="A3248" s="379" t="n">
        <x:v>48899</x:v>
      </x:c>
      <x:c r="B3248" s="380" t="n">
        <x:v>2033</x:v>
      </x:c>
      <x:c r="C3248" s="380" t="n">
        <x:v>11</x:v>
      </x:c>
      <x:c r="D3248" s="380" t="str">
        <x:v>Nov</x:v>
      </x:c>
      <x:c r="E3248" s="380" t="n">
        <x:v>16</x:v>
      </x:c>
      <x:c r="F3248" s="380" t="n">
        <x:v>3</x:v>
      </x:c>
      <x:c r="G3248" s="380" t="n">
        <x:f>--(F3248&lt;='Estimator'!$B$7)</x:f>
        <x:v>1</x:v>
      </x:c>
      <x:c r="H3248" s="381" t="n">
        <x:f>SUMIFS('Climate Data'!$G$7:$G$366,'Climate Data'!$A$7:$A$366,'Estimator'!$B$4,'Climate Data'!$B$7:$B$366,C3248)</x:f>
        <x:v>0.3111111111111111</x:v>
      </x:c>
      <x:c r="I3248" s="382" t="n">
        <x:f>SUMIFS('Climate Data'!$H$7:$H$366,'Climate Data'!$A$7:$A$366,'Estimator'!$B$4,'Climate Data'!$B$7:$B$366,C3248)</x:f>
        <x:v>7.382142857142857</x:v>
      </x:c>
      <x:c r="J3248" s="381" t="n">
        <x:f>SUMIFS('Wind Proxy'!$H$8:$H$19,'Wind Proxy'!$A$8:$A$19,'Estimator'!$B$4,'Wind Proxy'!$B$8:$B$19,C3248)</x:f>
        <x:v>0.22222222222222224</x:v>
      </x:c>
    </x:row>
    <x:row r="3249">
      <x:c r="A3249" s="379" t="n">
        <x:v>48900</x:v>
      </x:c>
      <x:c r="B3249" s="380" t="n">
        <x:v>2033</x:v>
      </x:c>
      <x:c r="C3249" s="380" t="n">
        <x:v>11</x:v>
      </x:c>
      <x:c r="D3249" s="380" t="str">
        <x:v>Nov</x:v>
      </x:c>
      <x:c r="E3249" s="380" t="n">
        <x:v>17</x:v>
      </x:c>
      <x:c r="F3249" s="380" t="n">
        <x:v>4</x:v>
      </x:c>
      <x:c r="G3249" s="380" t="n">
        <x:f>--(F3249&lt;='Estimator'!$B$7)</x:f>
        <x:v>1</x:v>
      </x:c>
      <x:c r="H3249" s="381" t="n">
        <x:f>SUMIFS('Climate Data'!$G$7:$G$366,'Climate Data'!$A$7:$A$366,'Estimator'!$B$4,'Climate Data'!$B$7:$B$366,C3249)</x:f>
        <x:v>0.3111111111111111</x:v>
      </x:c>
      <x:c r="I3249" s="382" t="n">
        <x:f>SUMIFS('Climate Data'!$H$7:$H$366,'Climate Data'!$A$7:$A$366,'Estimator'!$B$4,'Climate Data'!$B$7:$B$366,C3249)</x:f>
        <x:v>7.382142857142857</x:v>
      </x:c>
      <x:c r="J3249" s="381" t="n">
        <x:f>SUMIFS('Wind Proxy'!$H$8:$H$19,'Wind Proxy'!$A$8:$A$19,'Estimator'!$B$4,'Wind Proxy'!$B$8:$B$19,C3249)</x:f>
        <x:v>0.22222222222222224</x:v>
      </x:c>
    </x:row>
    <x:row r="3250">
      <x:c r="A3250" s="379" t="n">
        <x:v>48901</x:v>
      </x:c>
      <x:c r="B3250" s="380" t="n">
        <x:v>2033</x:v>
      </x:c>
      <x:c r="C3250" s="380" t="n">
        <x:v>11</x:v>
      </x:c>
      <x:c r="D3250" s="380" t="str">
        <x:v>Nov</x:v>
      </x:c>
      <x:c r="E3250" s="380" t="n">
        <x:v>18</x:v>
      </x:c>
      <x:c r="F3250" s="380" t="n">
        <x:v>5</x:v>
      </x:c>
      <x:c r="G3250" s="380" t="n">
        <x:f>--(F3250&lt;='Estimator'!$B$7)</x:f>
        <x:v>1</x:v>
      </x:c>
      <x:c r="H3250" s="381" t="n">
        <x:f>SUMIFS('Climate Data'!$G$7:$G$366,'Climate Data'!$A$7:$A$366,'Estimator'!$B$4,'Climate Data'!$B$7:$B$366,C3250)</x:f>
        <x:v>0.3111111111111111</x:v>
      </x:c>
      <x:c r="I3250" s="382" t="n">
        <x:f>SUMIFS('Climate Data'!$H$7:$H$366,'Climate Data'!$A$7:$A$366,'Estimator'!$B$4,'Climate Data'!$B$7:$B$366,C3250)</x:f>
        <x:v>7.382142857142857</x:v>
      </x:c>
      <x:c r="J3250" s="381" t="n">
        <x:f>SUMIFS('Wind Proxy'!$H$8:$H$19,'Wind Proxy'!$A$8:$A$19,'Estimator'!$B$4,'Wind Proxy'!$B$8:$B$19,C3250)</x:f>
        <x:v>0.22222222222222224</x:v>
      </x:c>
    </x:row>
    <x:row r="3251">
      <x:c r="A3251" s="379" t="n">
        <x:v>48902</x:v>
      </x:c>
      <x:c r="B3251" s="380" t="n">
        <x:v>2033</x:v>
      </x:c>
      <x:c r="C3251" s="380" t="n">
        <x:v>11</x:v>
      </x:c>
      <x:c r="D3251" s="380" t="str">
        <x:v>Nov</x:v>
      </x:c>
      <x:c r="E3251" s="380" t="n">
        <x:v>19</x:v>
      </x:c>
      <x:c r="F3251" s="380" t="n">
        <x:v>6</x:v>
      </x:c>
      <x:c r="G3251" s="380" t="n">
        <x:f>--(F3251&lt;='Estimator'!$B$7)</x:f>
        <x:v>0</x:v>
      </x:c>
      <x:c r="H3251" s="381" t="n">
        <x:f>SUMIFS('Climate Data'!$G$7:$G$366,'Climate Data'!$A$7:$A$366,'Estimator'!$B$4,'Climate Data'!$B$7:$B$366,C3251)</x:f>
        <x:v>0.3111111111111111</x:v>
      </x:c>
      <x:c r="I3251" s="382" t="n">
        <x:f>SUMIFS('Climate Data'!$H$7:$H$366,'Climate Data'!$A$7:$A$366,'Estimator'!$B$4,'Climate Data'!$B$7:$B$366,C3251)</x:f>
        <x:v>7.382142857142857</x:v>
      </x:c>
      <x:c r="J3251" s="381" t="n">
        <x:f>SUMIFS('Wind Proxy'!$H$8:$H$19,'Wind Proxy'!$A$8:$A$19,'Estimator'!$B$4,'Wind Proxy'!$B$8:$B$19,C3251)</x:f>
        <x:v>0.22222222222222224</x:v>
      </x:c>
    </x:row>
    <x:row r="3252">
      <x:c r="A3252" s="379" t="n">
        <x:v>48903</x:v>
      </x:c>
      <x:c r="B3252" s="380" t="n">
        <x:v>2033</x:v>
      </x:c>
      <x:c r="C3252" s="380" t="n">
        <x:v>11</x:v>
      </x:c>
      <x:c r="D3252" s="380" t="str">
        <x:v>Nov</x:v>
      </x:c>
      <x:c r="E3252" s="380" t="n">
        <x:v>20</x:v>
      </x:c>
      <x:c r="F3252" s="380" t="n">
        <x:v>7</x:v>
      </x:c>
      <x:c r="G3252" s="380" t="n">
        <x:f>--(F3252&lt;='Estimator'!$B$7)</x:f>
        <x:v>0</x:v>
      </x:c>
      <x:c r="H3252" s="381" t="n">
        <x:f>SUMIFS('Climate Data'!$G$7:$G$366,'Climate Data'!$A$7:$A$366,'Estimator'!$B$4,'Climate Data'!$B$7:$B$366,C3252)</x:f>
        <x:v>0.3111111111111111</x:v>
      </x:c>
      <x:c r="I3252" s="382" t="n">
        <x:f>SUMIFS('Climate Data'!$H$7:$H$366,'Climate Data'!$A$7:$A$366,'Estimator'!$B$4,'Climate Data'!$B$7:$B$366,C3252)</x:f>
        <x:v>7.382142857142857</x:v>
      </x:c>
      <x:c r="J3252" s="381" t="n">
        <x:f>SUMIFS('Wind Proxy'!$H$8:$H$19,'Wind Proxy'!$A$8:$A$19,'Estimator'!$B$4,'Wind Proxy'!$B$8:$B$19,C3252)</x:f>
        <x:v>0.22222222222222224</x:v>
      </x:c>
    </x:row>
    <x:row r="3253">
      <x:c r="A3253" s="379" t="n">
        <x:v>48904</x:v>
      </x:c>
      <x:c r="B3253" s="380" t="n">
        <x:v>2033</x:v>
      </x:c>
      <x:c r="C3253" s="380" t="n">
        <x:v>11</x:v>
      </x:c>
      <x:c r="D3253" s="380" t="str">
        <x:v>Nov</x:v>
      </x:c>
      <x:c r="E3253" s="380" t="n">
        <x:v>21</x:v>
      </x:c>
      <x:c r="F3253" s="380" t="n">
        <x:v>1</x:v>
      </x:c>
      <x:c r="G3253" s="380" t="n">
        <x:f>--(F3253&lt;='Estimator'!$B$7)</x:f>
        <x:v>1</x:v>
      </x:c>
      <x:c r="H3253" s="381" t="n">
        <x:f>SUMIFS('Climate Data'!$G$7:$G$366,'Climate Data'!$A$7:$A$366,'Estimator'!$B$4,'Climate Data'!$B$7:$B$366,C3253)</x:f>
        <x:v>0.3111111111111111</x:v>
      </x:c>
      <x:c r="I3253" s="382" t="n">
        <x:f>SUMIFS('Climate Data'!$H$7:$H$366,'Climate Data'!$A$7:$A$366,'Estimator'!$B$4,'Climate Data'!$B$7:$B$366,C3253)</x:f>
        <x:v>7.382142857142857</x:v>
      </x:c>
      <x:c r="J3253" s="381" t="n">
        <x:f>SUMIFS('Wind Proxy'!$H$8:$H$19,'Wind Proxy'!$A$8:$A$19,'Estimator'!$B$4,'Wind Proxy'!$B$8:$B$19,C3253)</x:f>
        <x:v>0.22222222222222224</x:v>
      </x:c>
    </x:row>
    <x:row r="3254">
      <x:c r="A3254" s="379" t="n">
        <x:v>48905</x:v>
      </x:c>
      <x:c r="B3254" s="380" t="n">
        <x:v>2033</x:v>
      </x:c>
      <x:c r="C3254" s="380" t="n">
        <x:v>11</x:v>
      </x:c>
      <x:c r="D3254" s="380" t="str">
        <x:v>Nov</x:v>
      </x:c>
      <x:c r="E3254" s="380" t="n">
        <x:v>22</x:v>
      </x:c>
      <x:c r="F3254" s="380" t="n">
        <x:v>2</x:v>
      </x:c>
      <x:c r="G3254" s="380" t="n">
        <x:f>--(F3254&lt;='Estimator'!$B$7)</x:f>
        <x:v>1</x:v>
      </x:c>
      <x:c r="H3254" s="381" t="n">
        <x:f>SUMIFS('Climate Data'!$G$7:$G$366,'Climate Data'!$A$7:$A$366,'Estimator'!$B$4,'Climate Data'!$B$7:$B$366,C3254)</x:f>
        <x:v>0.3111111111111111</x:v>
      </x:c>
      <x:c r="I3254" s="382" t="n">
        <x:f>SUMIFS('Climate Data'!$H$7:$H$366,'Climate Data'!$A$7:$A$366,'Estimator'!$B$4,'Climate Data'!$B$7:$B$366,C3254)</x:f>
        <x:v>7.382142857142857</x:v>
      </x:c>
      <x:c r="J3254" s="381" t="n">
        <x:f>SUMIFS('Wind Proxy'!$H$8:$H$19,'Wind Proxy'!$A$8:$A$19,'Estimator'!$B$4,'Wind Proxy'!$B$8:$B$19,C3254)</x:f>
        <x:v>0.22222222222222224</x:v>
      </x:c>
    </x:row>
    <x:row r="3255">
      <x:c r="A3255" s="379" t="n">
        <x:v>48906</x:v>
      </x:c>
      <x:c r="B3255" s="380" t="n">
        <x:v>2033</x:v>
      </x:c>
      <x:c r="C3255" s="380" t="n">
        <x:v>11</x:v>
      </x:c>
      <x:c r="D3255" s="380" t="str">
        <x:v>Nov</x:v>
      </x:c>
      <x:c r="E3255" s="380" t="n">
        <x:v>23</x:v>
      </x:c>
      <x:c r="F3255" s="380" t="n">
        <x:v>3</x:v>
      </x:c>
      <x:c r="G3255" s="380" t="n">
        <x:f>--(F3255&lt;='Estimator'!$B$7)</x:f>
        <x:v>1</x:v>
      </x:c>
      <x:c r="H3255" s="381" t="n">
        <x:f>SUMIFS('Climate Data'!$G$7:$G$366,'Climate Data'!$A$7:$A$366,'Estimator'!$B$4,'Climate Data'!$B$7:$B$366,C3255)</x:f>
        <x:v>0.3111111111111111</x:v>
      </x:c>
      <x:c r="I3255" s="382" t="n">
        <x:f>SUMIFS('Climate Data'!$H$7:$H$366,'Climate Data'!$A$7:$A$366,'Estimator'!$B$4,'Climate Data'!$B$7:$B$366,C3255)</x:f>
        <x:v>7.382142857142857</x:v>
      </x:c>
      <x:c r="J3255" s="381" t="n">
        <x:f>SUMIFS('Wind Proxy'!$H$8:$H$19,'Wind Proxy'!$A$8:$A$19,'Estimator'!$B$4,'Wind Proxy'!$B$8:$B$19,C3255)</x:f>
        <x:v>0.22222222222222224</x:v>
      </x:c>
    </x:row>
    <x:row r="3256">
      <x:c r="A3256" s="379" t="n">
        <x:v>48907</x:v>
      </x:c>
      <x:c r="B3256" s="380" t="n">
        <x:v>2033</x:v>
      </x:c>
      <x:c r="C3256" s="380" t="n">
        <x:v>11</x:v>
      </x:c>
      <x:c r="D3256" s="380" t="str">
        <x:v>Nov</x:v>
      </x:c>
      <x:c r="E3256" s="380" t="n">
        <x:v>24</x:v>
      </x:c>
      <x:c r="F3256" s="380" t="n">
        <x:v>4</x:v>
      </x:c>
      <x:c r="G3256" s="380" t="n">
        <x:f>--(F3256&lt;='Estimator'!$B$7)</x:f>
        <x:v>1</x:v>
      </x:c>
      <x:c r="H3256" s="381" t="n">
        <x:f>SUMIFS('Climate Data'!$G$7:$G$366,'Climate Data'!$A$7:$A$366,'Estimator'!$B$4,'Climate Data'!$B$7:$B$366,C3256)</x:f>
        <x:v>0.3111111111111111</x:v>
      </x:c>
      <x:c r="I3256" s="382" t="n">
        <x:f>SUMIFS('Climate Data'!$H$7:$H$366,'Climate Data'!$A$7:$A$366,'Estimator'!$B$4,'Climate Data'!$B$7:$B$366,C3256)</x:f>
        <x:v>7.382142857142857</x:v>
      </x:c>
      <x:c r="J3256" s="381" t="n">
        <x:f>SUMIFS('Wind Proxy'!$H$8:$H$19,'Wind Proxy'!$A$8:$A$19,'Estimator'!$B$4,'Wind Proxy'!$B$8:$B$19,C3256)</x:f>
        <x:v>0.22222222222222224</x:v>
      </x:c>
    </x:row>
    <x:row r="3257">
      <x:c r="A3257" s="379" t="n">
        <x:v>48908</x:v>
      </x:c>
      <x:c r="B3257" s="380" t="n">
        <x:v>2033</x:v>
      </x:c>
      <x:c r="C3257" s="380" t="n">
        <x:v>11</x:v>
      </x:c>
      <x:c r="D3257" s="380" t="str">
        <x:v>Nov</x:v>
      </x:c>
      <x:c r="E3257" s="380" t="n">
        <x:v>25</x:v>
      </x:c>
      <x:c r="F3257" s="380" t="n">
        <x:v>5</x:v>
      </x:c>
      <x:c r="G3257" s="380" t="n">
        <x:f>--(F3257&lt;='Estimator'!$B$7)</x:f>
        <x:v>1</x:v>
      </x:c>
      <x:c r="H3257" s="381" t="n">
        <x:f>SUMIFS('Climate Data'!$G$7:$G$366,'Climate Data'!$A$7:$A$366,'Estimator'!$B$4,'Climate Data'!$B$7:$B$366,C3257)</x:f>
        <x:v>0.3111111111111111</x:v>
      </x:c>
      <x:c r="I3257" s="382" t="n">
        <x:f>SUMIFS('Climate Data'!$H$7:$H$366,'Climate Data'!$A$7:$A$366,'Estimator'!$B$4,'Climate Data'!$B$7:$B$366,C3257)</x:f>
        <x:v>7.382142857142857</x:v>
      </x:c>
      <x:c r="J3257" s="381" t="n">
        <x:f>SUMIFS('Wind Proxy'!$H$8:$H$19,'Wind Proxy'!$A$8:$A$19,'Estimator'!$B$4,'Wind Proxy'!$B$8:$B$19,C3257)</x:f>
        <x:v>0.22222222222222224</x:v>
      </x:c>
    </x:row>
    <x:row r="3258">
      <x:c r="A3258" s="379" t="n">
        <x:v>48909</x:v>
      </x:c>
      <x:c r="B3258" s="380" t="n">
        <x:v>2033</x:v>
      </x:c>
      <x:c r="C3258" s="380" t="n">
        <x:v>11</x:v>
      </x:c>
      <x:c r="D3258" s="380" t="str">
        <x:v>Nov</x:v>
      </x:c>
      <x:c r="E3258" s="380" t="n">
        <x:v>26</x:v>
      </x:c>
      <x:c r="F3258" s="380" t="n">
        <x:v>6</x:v>
      </x:c>
      <x:c r="G3258" s="380" t="n">
        <x:f>--(F3258&lt;='Estimator'!$B$7)</x:f>
        <x:v>0</x:v>
      </x:c>
      <x:c r="H3258" s="381" t="n">
        <x:f>SUMIFS('Climate Data'!$G$7:$G$366,'Climate Data'!$A$7:$A$366,'Estimator'!$B$4,'Climate Data'!$B$7:$B$366,C3258)</x:f>
        <x:v>0.3111111111111111</x:v>
      </x:c>
      <x:c r="I3258" s="382" t="n">
        <x:f>SUMIFS('Climate Data'!$H$7:$H$366,'Climate Data'!$A$7:$A$366,'Estimator'!$B$4,'Climate Data'!$B$7:$B$366,C3258)</x:f>
        <x:v>7.382142857142857</x:v>
      </x:c>
      <x:c r="J3258" s="381" t="n">
        <x:f>SUMIFS('Wind Proxy'!$H$8:$H$19,'Wind Proxy'!$A$8:$A$19,'Estimator'!$B$4,'Wind Proxy'!$B$8:$B$19,C3258)</x:f>
        <x:v>0.22222222222222224</x:v>
      </x:c>
    </x:row>
    <x:row r="3259">
      <x:c r="A3259" s="379" t="n">
        <x:v>48910</x:v>
      </x:c>
      <x:c r="B3259" s="380" t="n">
        <x:v>2033</x:v>
      </x:c>
      <x:c r="C3259" s="380" t="n">
        <x:v>11</x:v>
      </x:c>
      <x:c r="D3259" s="380" t="str">
        <x:v>Nov</x:v>
      </x:c>
      <x:c r="E3259" s="380" t="n">
        <x:v>27</x:v>
      </x:c>
      <x:c r="F3259" s="380" t="n">
        <x:v>7</x:v>
      </x:c>
      <x:c r="G3259" s="380" t="n">
        <x:f>--(F3259&lt;='Estimator'!$B$7)</x:f>
        <x:v>0</x:v>
      </x:c>
      <x:c r="H3259" s="381" t="n">
        <x:f>SUMIFS('Climate Data'!$G$7:$G$366,'Climate Data'!$A$7:$A$366,'Estimator'!$B$4,'Climate Data'!$B$7:$B$366,C3259)</x:f>
        <x:v>0.3111111111111111</x:v>
      </x:c>
      <x:c r="I3259" s="382" t="n">
        <x:f>SUMIFS('Climate Data'!$H$7:$H$366,'Climate Data'!$A$7:$A$366,'Estimator'!$B$4,'Climate Data'!$B$7:$B$366,C3259)</x:f>
        <x:v>7.382142857142857</x:v>
      </x:c>
      <x:c r="J3259" s="381" t="n">
        <x:f>SUMIFS('Wind Proxy'!$H$8:$H$19,'Wind Proxy'!$A$8:$A$19,'Estimator'!$B$4,'Wind Proxy'!$B$8:$B$19,C3259)</x:f>
        <x:v>0.22222222222222224</x:v>
      </x:c>
    </x:row>
    <x:row r="3260">
      <x:c r="A3260" s="379" t="n">
        <x:v>48911</x:v>
      </x:c>
      <x:c r="B3260" s="380" t="n">
        <x:v>2033</x:v>
      </x:c>
      <x:c r="C3260" s="380" t="n">
        <x:v>11</x:v>
      </x:c>
      <x:c r="D3260" s="380" t="str">
        <x:v>Nov</x:v>
      </x:c>
      <x:c r="E3260" s="380" t="n">
        <x:v>28</x:v>
      </x:c>
      <x:c r="F3260" s="380" t="n">
        <x:v>1</x:v>
      </x:c>
      <x:c r="G3260" s="380" t="n">
        <x:f>--(F3260&lt;='Estimator'!$B$7)</x:f>
        <x:v>1</x:v>
      </x:c>
      <x:c r="H3260" s="381" t="n">
        <x:f>SUMIFS('Climate Data'!$G$7:$G$366,'Climate Data'!$A$7:$A$366,'Estimator'!$B$4,'Climate Data'!$B$7:$B$366,C3260)</x:f>
        <x:v>0.3111111111111111</x:v>
      </x:c>
      <x:c r="I3260" s="382" t="n">
        <x:f>SUMIFS('Climate Data'!$H$7:$H$366,'Climate Data'!$A$7:$A$366,'Estimator'!$B$4,'Climate Data'!$B$7:$B$366,C3260)</x:f>
        <x:v>7.382142857142857</x:v>
      </x:c>
      <x:c r="J3260" s="381" t="n">
        <x:f>SUMIFS('Wind Proxy'!$H$8:$H$19,'Wind Proxy'!$A$8:$A$19,'Estimator'!$B$4,'Wind Proxy'!$B$8:$B$19,C3260)</x:f>
        <x:v>0.22222222222222224</x:v>
      </x:c>
    </x:row>
    <x:row r="3261">
      <x:c r="A3261" s="379" t="n">
        <x:v>48912</x:v>
      </x:c>
      <x:c r="B3261" s="380" t="n">
        <x:v>2033</x:v>
      </x:c>
      <x:c r="C3261" s="380" t="n">
        <x:v>11</x:v>
      </x:c>
      <x:c r="D3261" s="380" t="str">
        <x:v>Nov</x:v>
      </x:c>
      <x:c r="E3261" s="380" t="n">
        <x:v>29</x:v>
      </x:c>
      <x:c r="F3261" s="380" t="n">
        <x:v>2</x:v>
      </x:c>
      <x:c r="G3261" s="380" t="n">
        <x:f>--(F3261&lt;='Estimator'!$B$7)</x:f>
        <x:v>1</x:v>
      </x:c>
      <x:c r="H3261" s="381" t="n">
        <x:f>SUMIFS('Climate Data'!$G$7:$G$366,'Climate Data'!$A$7:$A$366,'Estimator'!$B$4,'Climate Data'!$B$7:$B$366,C3261)</x:f>
        <x:v>0.3111111111111111</x:v>
      </x:c>
      <x:c r="I3261" s="382" t="n">
        <x:f>SUMIFS('Climate Data'!$H$7:$H$366,'Climate Data'!$A$7:$A$366,'Estimator'!$B$4,'Climate Data'!$B$7:$B$366,C3261)</x:f>
        <x:v>7.382142857142857</x:v>
      </x:c>
      <x:c r="J3261" s="381" t="n">
        <x:f>SUMIFS('Wind Proxy'!$H$8:$H$19,'Wind Proxy'!$A$8:$A$19,'Estimator'!$B$4,'Wind Proxy'!$B$8:$B$19,C3261)</x:f>
        <x:v>0.22222222222222224</x:v>
      </x:c>
    </x:row>
    <x:row r="3262">
      <x:c r="A3262" s="379" t="n">
        <x:v>48913</x:v>
      </x:c>
      <x:c r="B3262" s="380" t="n">
        <x:v>2033</x:v>
      </x:c>
      <x:c r="C3262" s="380" t="n">
        <x:v>11</x:v>
      </x:c>
      <x:c r="D3262" s="380" t="str">
        <x:v>Nov</x:v>
      </x:c>
      <x:c r="E3262" s="380" t="n">
        <x:v>30</x:v>
      </x:c>
      <x:c r="F3262" s="380" t="n">
        <x:v>3</x:v>
      </x:c>
      <x:c r="G3262" s="380" t="n">
        <x:f>--(F3262&lt;='Estimator'!$B$7)</x:f>
        <x:v>1</x:v>
      </x:c>
      <x:c r="H3262" s="381" t="n">
        <x:f>SUMIFS('Climate Data'!$G$7:$G$366,'Climate Data'!$A$7:$A$366,'Estimator'!$B$4,'Climate Data'!$B$7:$B$366,C3262)</x:f>
        <x:v>0.3111111111111111</x:v>
      </x:c>
      <x:c r="I3262" s="382" t="n">
        <x:f>SUMIFS('Climate Data'!$H$7:$H$366,'Climate Data'!$A$7:$A$366,'Estimator'!$B$4,'Climate Data'!$B$7:$B$366,C3262)</x:f>
        <x:v>7.382142857142857</x:v>
      </x:c>
      <x:c r="J3262" s="381" t="n">
        <x:f>SUMIFS('Wind Proxy'!$H$8:$H$19,'Wind Proxy'!$A$8:$A$19,'Estimator'!$B$4,'Wind Proxy'!$B$8:$B$19,C3262)</x:f>
        <x:v>0.22222222222222224</x:v>
      </x:c>
    </x:row>
    <x:row r="3263">
      <x:c r="A3263" s="379" t="n">
        <x:v>48914</x:v>
      </x:c>
      <x:c r="B3263" s="380" t="n">
        <x:v>2033</x:v>
      </x:c>
      <x:c r="C3263" s="380" t="n">
        <x:v>12</x:v>
      </x:c>
      <x:c r="D3263" s="380" t="str">
        <x:v>Dec</x:v>
      </x:c>
      <x:c r="E3263" s="380" t="n">
        <x:v>1</x:v>
      </x:c>
      <x:c r="F3263" s="380" t="n">
        <x:v>4</x:v>
      </x:c>
      <x:c r="G3263" s="380" t="n">
        <x:f>--(F3263&lt;='Estimator'!$B$7)</x:f>
        <x:v>1</x:v>
      </x:c>
      <x:c r="H3263" s="381" t="n">
        <x:f>SUMIFS('Climate Data'!$G$7:$G$366,'Climate Data'!$A$7:$A$366,'Estimator'!$B$4,'Climate Data'!$B$7:$B$366,C3263)</x:f>
        <x:v>0.2914349276974416</x:v>
      </x:c>
      <x:c r="I3263" s="382" t="n">
        <x:f>SUMIFS('Climate Data'!$H$7:$H$366,'Climate Data'!$A$7:$A$366,'Estimator'!$B$4,'Climate Data'!$B$7:$B$366,C3263)</x:f>
        <x:v>9.043129770992365</x:v>
      </x:c>
      <x:c r="J3263" s="381" t="n">
        <x:f>SUMIFS('Wind Proxy'!$H$8:$H$19,'Wind Proxy'!$A$8:$A$19,'Estimator'!$B$4,'Wind Proxy'!$B$8:$B$19,C3263)</x:f>
        <x:v>0.12544802867383514</x:v>
      </x:c>
    </x:row>
    <x:row r="3264">
      <x:c r="A3264" s="379" t="n">
        <x:v>48915</x:v>
      </x:c>
      <x:c r="B3264" s="380" t="n">
        <x:v>2033</x:v>
      </x:c>
      <x:c r="C3264" s="380" t="n">
        <x:v>12</x:v>
      </x:c>
      <x:c r="D3264" s="380" t="str">
        <x:v>Dec</x:v>
      </x:c>
      <x:c r="E3264" s="380" t="n">
        <x:v>2</x:v>
      </x:c>
      <x:c r="F3264" s="380" t="n">
        <x:v>5</x:v>
      </x:c>
      <x:c r="G3264" s="380" t="n">
        <x:f>--(F3264&lt;='Estimator'!$B$7)</x:f>
        <x:v>1</x:v>
      </x:c>
      <x:c r="H3264" s="381" t="n">
        <x:f>SUMIFS('Climate Data'!$G$7:$G$366,'Climate Data'!$A$7:$A$366,'Estimator'!$B$4,'Climate Data'!$B$7:$B$366,C3264)</x:f>
        <x:v>0.2914349276974416</x:v>
      </x:c>
      <x:c r="I3264" s="382" t="n">
        <x:f>SUMIFS('Climate Data'!$H$7:$H$366,'Climate Data'!$A$7:$A$366,'Estimator'!$B$4,'Climate Data'!$B$7:$B$366,C3264)</x:f>
        <x:v>9.043129770992365</x:v>
      </x:c>
      <x:c r="J3264" s="381" t="n">
        <x:f>SUMIFS('Wind Proxy'!$H$8:$H$19,'Wind Proxy'!$A$8:$A$19,'Estimator'!$B$4,'Wind Proxy'!$B$8:$B$19,C3264)</x:f>
        <x:v>0.12544802867383514</x:v>
      </x:c>
    </x:row>
    <x:row r="3265">
      <x:c r="A3265" s="379" t="n">
        <x:v>48916</x:v>
      </x:c>
      <x:c r="B3265" s="380" t="n">
        <x:v>2033</x:v>
      </x:c>
      <x:c r="C3265" s="380" t="n">
        <x:v>12</x:v>
      </x:c>
      <x:c r="D3265" s="380" t="str">
        <x:v>Dec</x:v>
      </x:c>
      <x:c r="E3265" s="380" t="n">
        <x:v>3</x:v>
      </x:c>
      <x:c r="F3265" s="380" t="n">
        <x:v>6</x:v>
      </x:c>
      <x:c r="G3265" s="380" t="n">
        <x:f>--(F3265&lt;='Estimator'!$B$7)</x:f>
        <x:v>0</x:v>
      </x:c>
      <x:c r="H3265" s="381" t="n">
        <x:f>SUMIFS('Climate Data'!$G$7:$G$366,'Climate Data'!$A$7:$A$366,'Estimator'!$B$4,'Climate Data'!$B$7:$B$366,C3265)</x:f>
        <x:v>0.2914349276974416</x:v>
      </x:c>
      <x:c r="I3265" s="382" t="n">
        <x:f>SUMIFS('Climate Data'!$H$7:$H$366,'Climate Data'!$A$7:$A$366,'Estimator'!$B$4,'Climate Data'!$B$7:$B$366,C3265)</x:f>
        <x:v>9.043129770992365</x:v>
      </x:c>
      <x:c r="J3265" s="381" t="n">
        <x:f>SUMIFS('Wind Proxy'!$H$8:$H$19,'Wind Proxy'!$A$8:$A$19,'Estimator'!$B$4,'Wind Proxy'!$B$8:$B$19,C3265)</x:f>
        <x:v>0.12544802867383514</x:v>
      </x:c>
    </x:row>
    <x:row r="3266">
      <x:c r="A3266" s="379" t="n">
        <x:v>48917</x:v>
      </x:c>
      <x:c r="B3266" s="380" t="n">
        <x:v>2033</x:v>
      </x:c>
      <x:c r="C3266" s="380" t="n">
        <x:v>12</x:v>
      </x:c>
      <x:c r="D3266" s="380" t="str">
        <x:v>Dec</x:v>
      </x:c>
      <x:c r="E3266" s="380" t="n">
        <x:v>4</x:v>
      </x:c>
      <x:c r="F3266" s="380" t="n">
        <x:v>7</x:v>
      </x:c>
      <x:c r="G3266" s="380" t="n">
        <x:f>--(F3266&lt;='Estimator'!$B$7)</x:f>
        <x:v>0</x:v>
      </x:c>
      <x:c r="H3266" s="381" t="n">
        <x:f>SUMIFS('Climate Data'!$G$7:$G$366,'Climate Data'!$A$7:$A$366,'Estimator'!$B$4,'Climate Data'!$B$7:$B$366,C3266)</x:f>
        <x:v>0.2914349276974416</x:v>
      </x:c>
      <x:c r="I3266" s="382" t="n">
        <x:f>SUMIFS('Climate Data'!$H$7:$H$366,'Climate Data'!$A$7:$A$366,'Estimator'!$B$4,'Climate Data'!$B$7:$B$366,C3266)</x:f>
        <x:v>9.043129770992365</x:v>
      </x:c>
      <x:c r="J3266" s="381" t="n">
        <x:f>SUMIFS('Wind Proxy'!$H$8:$H$19,'Wind Proxy'!$A$8:$A$19,'Estimator'!$B$4,'Wind Proxy'!$B$8:$B$19,C3266)</x:f>
        <x:v>0.12544802867383514</x:v>
      </x:c>
    </x:row>
    <x:row r="3267">
      <x:c r="A3267" s="379" t="n">
        <x:v>48918</x:v>
      </x:c>
      <x:c r="B3267" s="380" t="n">
        <x:v>2033</x:v>
      </x:c>
      <x:c r="C3267" s="380" t="n">
        <x:v>12</x:v>
      </x:c>
      <x:c r="D3267" s="380" t="str">
        <x:v>Dec</x:v>
      </x:c>
      <x:c r="E3267" s="380" t="n">
        <x:v>5</x:v>
      </x:c>
      <x:c r="F3267" s="380" t="n">
        <x:v>1</x:v>
      </x:c>
      <x:c r="G3267" s="380" t="n">
        <x:f>--(F3267&lt;='Estimator'!$B$7)</x:f>
        <x:v>1</x:v>
      </x:c>
      <x:c r="H3267" s="381" t="n">
        <x:f>SUMIFS('Climate Data'!$G$7:$G$366,'Climate Data'!$A$7:$A$366,'Estimator'!$B$4,'Climate Data'!$B$7:$B$366,C3267)</x:f>
        <x:v>0.2914349276974416</x:v>
      </x:c>
      <x:c r="I3267" s="382" t="n">
        <x:f>SUMIFS('Climate Data'!$H$7:$H$366,'Climate Data'!$A$7:$A$366,'Estimator'!$B$4,'Climate Data'!$B$7:$B$366,C3267)</x:f>
        <x:v>9.043129770992365</x:v>
      </x:c>
      <x:c r="J3267" s="381" t="n">
        <x:f>SUMIFS('Wind Proxy'!$H$8:$H$19,'Wind Proxy'!$A$8:$A$19,'Estimator'!$B$4,'Wind Proxy'!$B$8:$B$19,C3267)</x:f>
        <x:v>0.12544802867383514</x:v>
      </x:c>
    </x:row>
    <x:row r="3268">
      <x:c r="A3268" s="379" t="n">
        <x:v>48919</x:v>
      </x:c>
      <x:c r="B3268" s="380" t="n">
        <x:v>2033</x:v>
      </x:c>
      <x:c r="C3268" s="380" t="n">
        <x:v>12</x:v>
      </x:c>
      <x:c r="D3268" s="380" t="str">
        <x:v>Dec</x:v>
      </x:c>
      <x:c r="E3268" s="380" t="n">
        <x:v>6</x:v>
      </x:c>
      <x:c r="F3268" s="380" t="n">
        <x:v>2</x:v>
      </x:c>
      <x:c r="G3268" s="380" t="n">
        <x:f>--(F3268&lt;='Estimator'!$B$7)</x:f>
        <x:v>1</x:v>
      </x:c>
      <x:c r="H3268" s="381" t="n">
        <x:f>SUMIFS('Climate Data'!$G$7:$G$366,'Climate Data'!$A$7:$A$366,'Estimator'!$B$4,'Climate Data'!$B$7:$B$366,C3268)</x:f>
        <x:v>0.2914349276974416</x:v>
      </x:c>
      <x:c r="I3268" s="382" t="n">
        <x:f>SUMIFS('Climate Data'!$H$7:$H$366,'Climate Data'!$A$7:$A$366,'Estimator'!$B$4,'Climate Data'!$B$7:$B$366,C3268)</x:f>
        <x:v>9.043129770992365</x:v>
      </x:c>
      <x:c r="J3268" s="381" t="n">
        <x:f>SUMIFS('Wind Proxy'!$H$8:$H$19,'Wind Proxy'!$A$8:$A$19,'Estimator'!$B$4,'Wind Proxy'!$B$8:$B$19,C3268)</x:f>
        <x:v>0.12544802867383514</x:v>
      </x:c>
    </x:row>
    <x:row r="3269">
      <x:c r="A3269" s="379" t="n">
        <x:v>48920</x:v>
      </x:c>
      <x:c r="B3269" s="380" t="n">
        <x:v>2033</x:v>
      </x:c>
      <x:c r="C3269" s="380" t="n">
        <x:v>12</x:v>
      </x:c>
      <x:c r="D3269" s="380" t="str">
        <x:v>Dec</x:v>
      </x:c>
      <x:c r="E3269" s="380" t="n">
        <x:v>7</x:v>
      </x:c>
      <x:c r="F3269" s="380" t="n">
        <x:v>3</x:v>
      </x:c>
      <x:c r="G3269" s="380" t="n">
        <x:f>--(F3269&lt;='Estimator'!$B$7)</x:f>
        <x:v>1</x:v>
      </x:c>
      <x:c r="H3269" s="381" t="n">
        <x:f>SUMIFS('Climate Data'!$G$7:$G$366,'Climate Data'!$A$7:$A$366,'Estimator'!$B$4,'Climate Data'!$B$7:$B$366,C3269)</x:f>
        <x:v>0.2914349276974416</x:v>
      </x:c>
      <x:c r="I3269" s="382" t="n">
        <x:f>SUMIFS('Climate Data'!$H$7:$H$366,'Climate Data'!$A$7:$A$366,'Estimator'!$B$4,'Climate Data'!$B$7:$B$366,C3269)</x:f>
        <x:v>9.043129770992365</x:v>
      </x:c>
      <x:c r="J3269" s="381" t="n">
        <x:f>SUMIFS('Wind Proxy'!$H$8:$H$19,'Wind Proxy'!$A$8:$A$19,'Estimator'!$B$4,'Wind Proxy'!$B$8:$B$19,C3269)</x:f>
        <x:v>0.12544802867383514</x:v>
      </x:c>
    </x:row>
    <x:row r="3270">
      <x:c r="A3270" s="379" t="n">
        <x:v>48921</x:v>
      </x:c>
      <x:c r="B3270" s="380" t="n">
        <x:v>2033</x:v>
      </x:c>
      <x:c r="C3270" s="380" t="n">
        <x:v>12</x:v>
      </x:c>
      <x:c r="D3270" s="380" t="str">
        <x:v>Dec</x:v>
      </x:c>
      <x:c r="E3270" s="380" t="n">
        <x:v>8</x:v>
      </x:c>
      <x:c r="F3270" s="380" t="n">
        <x:v>4</x:v>
      </x:c>
      <x:c r="G3270" s="380" t="n">
        <x:f>--(F3270&lt;='Estimator'!$B$7)</x:f>
        <x:v>1</x:v>
      </x:c>
      <x:c r="H3270" s="381" t="n">
        <x:f>SUMIFS('Climate Data'!$G$7:$G$366,'Climate Data'!$A$7:$A$366,'Estimator'!$B$4,'Climate Data'!$B$7:$B$366,C3270)</x:f>
        <x:v>0.2914349276974416</x:v>
      </x:c>
      <x:c r="I3270" s="382" t="n">
        <x:f>SUMIFS('Climate Data'!$H$7:$H$366,'Climate Data'!$A$7:$A$366,'Estimator'!$B$4,'Climate Data'!$B$7:$B$366,C3270)</x:f>
        <x:v>9.043129770992365</x:v>
      </x:c>
      <x:c r="J3270" s="381" t="n">
        <x:f>SUMIFS('Wind Proxy'!$H$8:$H$19,'Wind Proxy'!$A$8:$A$19,'Estimator'!$B$4,'Wind Proxy'!$B$8:$B$19,C3270)</x:f>
        <x:v>0.12544802867383514</x:v>
      </x:c>
    </x:row>
    <x:row r="3271">
      <x:c r="A3271" s="379" t="n">
        <x:v>48922</x:v>
      </x:c>
      <x:c r="B3271" s="380" t="n">
        <x:v>2033</x:v>
      </x:c>
      <x:c r="C3271" s="380" t="n">
        <x:v>12</x:v>
      </x:c>
      <x:c r="D3271" s="380" t="str">
        <x:v>Dec</x:v>
      </x:c>
      <x:c r="E3271" s="380" t="n">
        <x:v>9</x:v>
      </x:c>
      <x:c r="F3271" s="380" t="n">
        <x:v>5</x:v>
      </x:c>
      <x:c r="G3271" s="380" t="n">
        <x:f>--(F3271&lt;='Estimator'!$B$7)</x:f>
        <x:v>1</x:v>
      </x:c>
      <x:c r="H3271" s="381" t="n">
        <x:f>SUMIFS('Climate Data'!$G$7:$G$366,'Climate Data'!$A$7:$A$366,'Estimator'!$B$4,'Climate Data'!$B$7:$B$366,C3271)</x:f>
        <x:v>0.2914349276974416</x:v>
      </x:c>
      <x:c r="I3271" s="382" t="n">
        <x:f>SUMIFS('Climate Data'!$H$7:$H$366,'Climate Data'!$A$7:$A$366,'Estimator'!$B$4,'Climate Data'!$B$7:$B$366,C3271)</x:f>
        <x:v>9.043129770992365</x:v>
      </x:c>
      <x:c r="J3271" s="381" t="n">
        <x:f>SUMIFS('Wind Proxy'!$H$8:$H$19,'Wind Proxy'!$A$8:$A$19,'Estimator'!$B$4,'Wind Proxy'!$B$8:$B$19,C3271)</x:f>
        <x:v>0.12544802867383514</x:v>
      </x:c>
    </x:row>
    <x:row r="3272">
      <x:c r="A3272" s="379" t="n">
        <x:v>48923</x:v>
      </x:c>
      <x:c r="B3272" s="380" t="n">
        <x:v>2033</x:v>
      </x:c>
      <x:c r="C3272" s="380" t="n">
        <x:v>12</x:v>
      </x:c>
      <x:c r="D3272" s="380" t="str">
        <x:v>Dec</x:v>
      </x:c>
      <x:c r="E3272" s="380" t="n">
        <x:v>10</x:v>
      </x:c>
      <x:c r="F3272" s="380" t="n">
        <x:v>6</x:v>
      </x:c>
      <x:c r="G3272" s="380" t="n">
        <x:f>--(F3272&lt;='Estimator'!$B$7)</x:f>
        <x:v>0</x:v>
      </x:c>
      <x:c r="H3272" s="381" t="n">
        <x:f>SUMIFS('Climate Data'!$G$7:$G$366,'Climate Data'!$A$7:$A$366,'Estimator'!$B$4,'Climate Data'!$B$7:$B$366,C3272)</x:f>
        <x:v>0.2914349276974416</x:v>
      </x:c>
      <x:c r="I3272" s="382" t="n">
        <x:f>SUMIFS('Climate Data'!$H$7:$H$366,'Climate Data'!$A$7:$A$366,'Estimator'!$B$4,'Climate Data'!$B$7:$B$366,C3272)</x:f>
        <x:v>9.043129770992365</x:v>
      </x:c>
      <x:c r="J3272" s="381" t="n">
        <x:f>SUMIFS('Wind Proxy'!$H$8:$H$19,'Wind Proxy'!$A$8:$A$19,'Estimator'!$B$4,'Wind Proxy'!$B$8:$B$19,C3272)</x:f>
        <x:v>0.12544802867383514</x:v>
      </x:c>
    </x:row>
    <x:row r="3273">
      <x:c r="A3273" s="379" t="n">
        <x:v>48924</x:v>
      </x:c>
      <x:c r="B3273" s="380" t="n">
        <x:v>2033</x:v>
      </x:c>
      <x:c r="C3273" s="380" t="n">
        <x:v>12</x:v>
      </x:c>
      <x:c r="D3273" s="380" t="str">
        <x:v>Dec</x:v>
      </x:c>
      <x:c r="E3273" s="380" t="n">
        <x:v>11</x:v>
      </x:c>
      <x:c r="F3273" s="380" t="n">
        <x:v>7</x:v>
      </x:c>
      <x:c r="G3273" s="380" t="n">
        <x:f>--(F3273&lt;='Estimator'!$B$7)</x:f>
        <x:v>0</x:v>
      </x:c>
      <x:c r="H3273" s="381" t="n">
        <x:f>SUMIFS('Climate Data'!$G$7:$G$366,'Climate Data'!$A$7:$A$366,'Estimator'!$B$4,'Climate Data'!$B$7:$B$366,C3273)</x:f>
        <x:v>0.2914349276974416</x:v>
      </x:c>
      <x:c r="I3273" s="382" t="n">
        <x:f>SUMIFS('Climate Data'!$H$7:$H$366,'Climate Data'!$A$7:$A$366,'Estimator'!$B$4,'Climate Data'!$B$7:$B$366,C3273)</x:f>
        <x:v>9.043129770992365</x:v>
      </x:c>
      <x:c r="J3273" s="381" t="n">
        <x:f>SUMIFS('Wind Proxy'!$H$8:$H$19,'Wind Proxy'!$A$8:$A$19,'Estimator'!$B$4,'Wind Proxy'!$B$8:$B$19,C3273)</x:f>
        <x:v>0.12544802867383514</x:v>
      </x:c>
    </x:row>
    <x:row r="3274">
      <x:c r="A3274" s="379" t="n">
        <x:v>48925</x:v>
      </x:c>
      <x:c r="B3274" s="380" t="n">
        <x:v>2033</x:v>
      </x:c>
      <x:c r="C3274" s="380" t="n">
        <x:v>12</x:v>
      </x:c>
      <x:c r="D3274" s="380" t="str">
        <x:v>Dec</x:v>
      </x:c>
      <x:c r="E3274" s="380" t="n">
        <x:v>12</x:v>
      </x:c>
      <x:c r="F3274" s="380" t="n">
        <x:v>1</x:v>
      </x:c>
      <x:c r="G3274" s="380" t="n">
        <x:f>--(F3274&lt;='Estimator'!$B$7)</x:f>
        <x:v>1</x:v>
      </x:c>
      <x:c r="H3274" s="381" t="n">
        <x:f>SUMIFS('Climate Data'!$G$7:$G$366,'Climate Data'!$A$7:$A$366,'Estimator'!$B$4,'Climate Data'!$B$7:$B$366,C3274)</x:f>
        <x:v>0.2914349276974416</x:v>
      </x:c>
      <x:c r="I3274" s="382" t="n">
        <x:f>SUMIFS('Climate Data'!$H$7:$H$366,'Climate Data'!$A$7:$A$366,'Estimator'!$B$4,'Climate Data'!$B$7:$B$366,C3274)</x:f>
        <x:v>9.043129770992365</x:v>
      </x:c>
      <x:c r="J3274" s="381" t="n">
        <x:f>SUMIFS('Wind Proxy'!$H$8:$H$19,'Wind Proxy'!$A$8:$A$19,'Estimator'!$B$4,'Wind Proxy'!$B$8:$B$19,C3274)</x:f>
        <x:v>0.12544802867383514</x:v>
      </x:c>
    </x:row>
    <x:row r="3275">
      <x:c r="A3275" s="379" t="n">
        <x:v>48926</x:v>
      </x:c>
      <x:c r="B3275" s="380" t="n">
        <x:v>2033</x:v>
      </x:c>
      <x:c r="C3275" s="380" t="n">
        <x:v>12</x:v>
      </x:c>
      <x:c r="D3275" s="380" t="str">
        <x:v>Dec</x:v>
      </x:c>
      <x:c r="E3275" s="380" t="n">
        <x:v>13</x:v>
      </x:c>
      <x:c r="F3275" s="380" t="n">
        <x:v>2</x:v>
      </x:c>
      <x:c r="G3275" s="380" t="n">
        <x:f>--(F3275&lt;='Estimator'!$B$7)</x:f>
        <x:v>1</x:v>
      </x:c>
      <x:c r="H3275" s="381" t="n">
        <x:f>SUMIFS('Climate Data'!$G$7:$G$366,'Climate Data'!$A$7:$A$366,'Estimator'!$B$4,'Climate Data'!$B$7:$B$366,C3275)</x:f>
        <x:v>0.2914349276974416</x:v>
      </x:c>
      <x:c r="I3275" s="382" t="n">
        <x:f>SUMIFS('Climate Data'!$H$7:$H$366,'Climate Data'!$A$7:$A$366,'Estimator'!$B$4,'Climate Data'!$B$7:$B$366,C3275)</x:f>
        <x:v>9.043129770992365</x:v>
      </x:c>
      <x:c r="J3275" s="381" t="n">
        <x:f>SUMIFS('Wind Proxy'!$H$8:$H$19,'Wind Proxy'!$A$8:$A$19,'Estimator'!$B$4,'Wind Proxy'!$B$8:$B$19,C3275)</x:f>
        <x:v>0.12544802867383514</x:v>
      </x:c>
    </x:row>
    <x:row r="3276">
      <x:c r="A3276" s="379" t="n">
        <x:v>48927</x:v>
      </x:c>
      <x:c r="B3276" s="380" t="n">
        <x:v>2033</x:v>
      </x:c>
      <x:c r="C3276" s="380" t="n">
        <x:v>12</x:v>
      </x:c>
      <x:c r="D3276" s="380" t="str">
        <x:v>Dec</x:v>
      </x:c>
      <x:c r="E3276" s="380" t="n">
        <x:v>14</x:v>
      </x:c>
      <x:c r="F3276" s="380" t="n">
        <x:v>3</x:v>
      </x:c>
      <x:c r="G3276" s="380" t="n">
        <x:f>--(F3276&lt;='Estimator'!$B$7)</x:f>
        <x:v>1</x:v>
      </x:c>
      <x:c r="H3276" s="381" t="n">
        <x:f>SUMIFS('Climate Data'!$G$7:$G$366,'Climate Data'!$A$7:$A$366,'Estimator'!$B$4,'Climate Data'!$B$7:$B$366,C3276)</x:f>
        <x:v>0.2914349276974416</x:v>
      </x:c>
      <x:c r="I3276" s="382" t="n">
        <x:f>SUMIFS('Climate Data'!$H$7:$H$366,'Climate Data'!$A$7:$A$366,'Estimator'!$B$4,'Climate Data'!$B$7:$B$366,C3276)</x:f>
        <x:v>9.043129770992365</x:v>
      </x:c>
      <x:c r="J3276" s="381" t="n">
        <x:f>SUMIFS('Wind Proxy'!$H$8:$H$19,'Wind Proxy'!$A$8:$A$19,'Estimator'!$B$4,'Wind Proxy'!$B$8:$B$19,C3276)</x:f>
        <x:v>0.12544802867383514</x:v>
      </x:c>
    </x:row>
    <x:row r="3277">
      <x:c r="A3277" s="379" t="n">
        <x:v>48928</x:v>
      </x:c>
      <x:c r="B3277" s="380" t="n">
        <x:v>2033</x:v>
      </x:c>
      <x:c r="C3277" s="380" t="n">
        <x:v>12</x:v>
      </x:c>
      <x:c r="D3277" s="380" t="str">
        <x:v>Dec</x:v>
      </x:c>
      <x:c r="E3277" s="380" t="n">
        <x:v>15</x:v>
      </x:c>
      <x:c r="F3277" s="380" t="n">
        <x:v>4</x:v>
      </x:c>
      <x:c r="G3277" s="380" t="n">
        <x:f>--(F3277&lt;='Estimator'!$B$7)</x:f>
        <x:v>1</x:v>
      </x:c>
      <x:c r="H3277" s="381" t="n">
        <x:f>SUMIFS('Climate Data'!$G$7:$G$366,'Climate Data'!$A$7:$A$366,'Estimator'!$B$4,'Climate Data'!$B$7:$B$366,C3277)</x:f>
        <x:v>0.2914349276974416</x:v>
      </x:c>
      <x:c r="I3277" s="382" t="n">
        <x:f>SUMIFS('Climate Data'!$H$7:$H$366,'Climate Data'!$A$7:$A$366,'Estimator'!$B$4,'Climate Data'!$B$7:$B$366,C3277)</x:f>
        <x:v>9.043129770992365</x:v>
      </x:c>
      <x:c r="J3277" s="381" t="n">
        <x:f>SUMIFS('Wind Proxy'!$H$8:$H$19,'Wind Proxy'!$A$8:$A$19,'Estimator'!$B$4,'Wind Proxy'!$B$8:$B$19,C3277)</x:f>
        <x:v>0.12544802867383514</x:v>
      </x:c>
    </x:row>
    <x:row r="3278">
      <x:c r="A3278" s="379" t="n">
        <x:v>48929</x:v>
      </x:c>
      <x:c r="B3278" s="380" t="n">
        <x:v>2033</x:v>
      </x:c>
      <x:c r="C3278" s="380" t="n">
        <x:v>12</x:v>
      </x:c>
      <x:c r="D3278" s="380" t="str">
        <x:v>Dec</x:v>
      </x:c>
      <x:c r="E3278" s="380" t="n">
        <x:v>16</x:v>
      </x:c>
      <x:c r="F3278" s="380" t="n">
        <x:v>5</x:v>
      </x:c>
      <x:c r="G3278" s="380" t="n">
        <x:f>--(F3278&lt;='Estimator'!$B$7)</x:f>
        <x:v>1</x:v>
      </x:c>
      <x:c r="H3278" s="381" t="n">
        <x:f>SUMIFS('Climate Data'!$G$7:$G$366,'Climate Data'!$A$7:$A$366,'Estimator'!$B$4,'Climate Data'!$B$7:$B$366,C3278)</x:f>
        <x:v>0.2914349276974416</x:v>
      </x:c>
      <x:c r="I3278" s="382" t="n">
        <x:f>SUMIFS('Climate Data'!$H$7:$H$366,'Climate Data'!$A$7:$A$366,'Estimator'!$B$4,'Climate Data'!$B$7:$B$366,C3278)</x:f>
        <x:v>9.043129770992365</x:v>
      </x:c>
      <x:c r="J3278" s="381" t="n">
        <x:f>SUMIFS('Wind Proxy'!$H$8:$H$19,'Wind Proxy'!$A$8:$A$19,'Estimator'!$B$4,'Wind Proxy'!$B$8:$B$19,C3278)</x:f>
        <x:v>0.12544802867383514</x:v>
      </x:c>
    </x:row>
    <x:row r="3279">
      <x:c r="A3279" s="379" t="n">
        <x:v>48930</x:v>
      </x:c>
      <x:c r="B3279" s="380" t="n">
        <x:v>2033</x:v>
      </x:c>
      <x:c r="C3279" s="380" t="n">
        <x:v>12</x:v>
      </x:c>
      <x:c r="D3279" s="380" t="str">
        <x:v>Dec</x:v>
      </x:c>
      <x:c r="E3279" s="380" t="n">
        <x:v>17</x:v>
      </x:c>
      <x:c r="F3279" s="380" t="n">
        <x:v>6</x:v>
      </x:c>
      <x:c r="G3279" s="380" t="n">
        <x:f>--(F3279&lt;='Estimator'!$B$7)</x:f>
        <x:v>0</x:v>
      </x:c>
      <x:c r="H3279" s="381" t="n">
        <x:f>SUMIFS('Climate Data'!$G$7:$G$366,'Climate Data'!$A$7:$A$366,'Estimator'!$B$4,'Climate Data'!$B$7:$B$366,C3279)</x:f>
        <x:v>0.2914349276974416</x:v>
      </x:c>
      <x:c r="I3279" s="382" t="n">
        <x:f>SUMIFS('Climate Data'!$H$7:$H$366,'Climate Data'!$A$7:$A$366,'Estimator'!$B$4,'Climate Data'!$B$7:$B$366,C3279)</x:f>
        <x:v>9.043129770992365</x:v>
      </x:c>
      <x:c r="J3279" s="381" t="n">
        <x:f>SUMIFS('Wind Proxy'!$H$8:$H$19,'Wind Proxy'!$A$8:$A$19,'Estimator'!$B$4,'Wind Proxy'!$B$8:$B$19,C3279)</x:f>
        <x:v>0.12544802867383514</x:v>
      </x:c>
    </x:row>
    <x:row r="3280">
      <x:c r="A3280" s="379" t="n">
        <x:v>48931</x:v>
      </x:c>
      <x:c r="B3280" s="380" t="n">
        <x:v>2033</x:v>
      </x:c>
      <x:c r="C3280" s="380" t="n">
        <x:v>12</x:v>
      </x:c>
      <x:c r="D3280" s="380" t="str">
        <x:v>Dec</x:v>
      </x:c>
      <x:c r="E3280" s="380" t="n">
        <x:v>18</x:v>
      </x:c>
      <x:c r="F3280" s="380" t="n">
        <x:v>7</x:v>
      </x:c>
      <x:c r="G3280" s="380" t="n">
        <x:f>--(F3280&lt;='Estimator'!$B$7)</x:f>
        <x:v>0</x:v>
      </x:c>
      <x:c r="H3280" s="381" t="n">
        <x:f>SUMIFS('Climate Data'!$G$7:$G$366,'Climate Data'!$A$7:$A$366,'Estimator'!$B$4,'Climate Data'!$B$7:$B$366,C3280)</x:f>
        <x:v>0.2914349276974416</x:v>
      </x:c>
      <x:c r="I3280" s="382" t="n">
        <x:f>SUMIFS('Climate Data'!$H$7:$H$366,'Climate Data'!$A$7:$A$366,'Estimator'!$B$4,'Climate Data'!$B$7:$B$366,C3280)</x:f>
        <x:v>9.043129770992365</x:v>
      </x:c>
      <x:c r="J3280" s="381" t="n">
        <x:f>SUMIFS('Wind Proxy'!$H$8:$H$19,'Wind Proxy'!$A$8:$A$19,'Estimator'!$B$4,'Wind Proxy'!$B$8:$B$19,C3280)</x:f>
        <x:v>0.12544802867383514</x:v>
      </x:c>
    </x:row>
    <x:row r="3281">
      <x:c r="A3281" s="379" t="n">
        <x:v>48932</x:v>
      </x:c>
      <x:c r="B3281" s="380" t="n">
        <x:v>2033</x:v>
      </x:c>
      <x:c r="C3281" s="380" t="n">
        <x:v>12</x:v>
      </x:c>
      <x:c r="D3281" s="380" t="str">
        <x:v>Dec</x:v>
      </x:c>
      <x:c r="E3281" s="380" t="n">
        <x:v>19</x:v>
      </x:c>
      <x:c r="F3281" s="380" t="n">
        <x:v>1</x:v>
      </x:c>
      <x:c r="G3281" s="380" t="n">
        <x:f>--(F3281&lt;='Estimator'!$B$7)</x:f>
        <x:v>1</x:v>
      </x:c>
      <x:c r="H3281" s="381" t="n">
        <x:f>SUMIFS('Climate Data'!$G$7:$G$366,'Climate Data'!$A$7:$A$366,'Estimator'!$B$4,'Climate Data'!$B$7:$B$366,C3281)</x:f>
        <x:v>0.2914349276974416</x:v>
      </x:c>
      <x:c r="I3281" s="382" t="n">
        <x:f>SUMIFS('Climate Data'!$H$7:$H$366,'Climate Data'!$A$7:$A$366,'Estimator'!$B$4,'Climate Data'!$B$7:$B$366,C3281)</x:f>
        <x:v>9.043129770992365</x:v>
      </x:c>
      <x:c r="J3281" s="381" t="n">
        <x:f>SUMIFS('Wind Proxy'!$H$8:$H$19,'Wind Proxy'!$A$8:$A$19,'Estimator'!$B$4,'Wind Proxy'!$B$8:$B$19,C3281)</x:f>
        <x:v>0.12544802867383514</x:v>
      </x:c>
    </x:row>
    <x:row r="3282">
      <x:c r="A3282" s="379" t="n">
        <x:v>48933</x:v>
      </x:c>
      <x:c r="B3282" s="380" t="n">
        <x:v>2033</x:v>
      </x:c>
      <x:c r="C3282" s="380" t="n">
        <x:v>12</x:v>
      </x:c>
      <x:c r="D3282" s="380" t="str">
        <x:v>Dec</x:v>
      </x:c>
      <x:c r="E3282" s="380" t="n">
        <x:v>20</x:v>
      </x:c>
      <x:c r="F3282" s="380" t="n">
        <x:v>2</x:v>
      </x:c>
      <x:c r="G3282" s="380" t="n">
        <x:f>--(F3282&lt;='Estimator'!$B$7)</x:f>
        <x:v>1</x:v>
      </x:c>
      <x:c r="H3282" s="381" t="n">
        <x:f>SUMIFS('Climate Data'!$G$7:$G$366,'Climate Data'!$A$7:$A$366,'Estimator'!$B$4,'Climate Data'!$B$7:$B$366,C3282)</x:f>
        <x:v>0.2914349276974416</x:v>
      </x:c>
      <x:c r="I3282" s="382" t="n">
        <x:f>SUMIFS('Climate Data'!$H$7:$H$366,'Climate Data'!$A$7:$A$366,'Estimator'!$B$4,'Climate Data'!$B$7:$B$366,C3282)</x:f>
        <x:v>9.043129770992365</x:v>
      </x:c>
      <x:c r="J3282" s="381" t="n">
        <x:f>SUMIFS('Wind Proxy'!$H$8:$H$19,'Wind Proxy'!$A$8:$A$19,'Estimator'!$B$4,'Wind Proxy'!$B$8:$B$19,C3282)</x:f>
        <x:v>0.12544802867383514</x:v>
      </x:c>
    </x:row>
    <x:row r="3283">
      <x:c r="A3283" s="379" t="n">
        <x:v>48934</x:v>
      </x:c>
      <x:c r="B3283" s="380" t="n">
        <x:v>2033</x:v>
      </x:c>
      <x:c r="C3283" s="380" t="n">
        <x:v>12</x:v>
      </x:c>
      <x:c r="D3283" s="380" t="str">
        <x:v>Dec</x:v>
      </x:c>
      <x:c r="E3283" s="380" t="n">
        <x:v>21</x:v>
      </x:c>
      <x:c r="F3283" s="380" t="n">
        <x:v>3</x:v>
      </x:c>
      <x:c r="G3283" s="380" t="n">
        <x:f>--(F3283&lt;='Estimator'!$B$7)</x:f>
        <x:v>1</x:v>
      </x:c>
      <x:c r="H3283" s="381" t="n">
        <x:f>SUMIFS('Climate Data'!$G$7:$G$366,'Climate Data'!$A$7:$A$366,'Estimator'!$B$4,'Climate Data'!$B$7:$B$366,C3283)</x:f>
        <x:v>0.2914349276974416</x:v>
      </x:c>
      <x:c r="I3283" s="382" t="n">
        <x:f>SUMIFS('Climate Data'!$H$7:$H$366,'Climate Data'!$A$7:$A$366,'Estimator'!$B$4,'Climate Data'!$B$7:$B$366,C3283)</x:f>
        <x:v>9.043129770992365</x:v>
      </x:c>
      <x:c r="J3283" s="381" t="n">
        <x:f>SUMIFS('Wind Proxy'!$H$8:$H$19,'Wind Proxy'!$A$8:$A$19,'Estimator'!$B$4,'Wind Proxy'!$B$8:$B$19,C3283)</x:f>
        <x:v>0.12544802867383514</x:v>
      </x:c>
    </x:row>
    <x:row r="3284">
      <x:c r="A3284" s="379" t="n">
        <x:v>48935</x:v>
      </x:c>
      <x:c r="B3284" s="380" t="n">
        <x:v>2033</x:v>
      </x:c>
      <x:c r="C3284" s="380" t="n">
        <x:v>12</x:v>
      </x:c>
      <x:c r="D3284" s="380" t="str">
        <x:v>Dec</x:v>
      </x:c>
      <x:c r="E3284" s="380" t="n">
        <x:v>22</x:v>
      </x:c>
      <x:c r="F3284" s="380" t="n">
        <x:v>4</x:v>
      </x:c>
      <x:c r="G3284" s="380" t="n">
        <x:f>--(F3284&lt;='Estimator'!$B$7)</x:f>
        <x:v>1</x:v>
      </x:c>
      <x:c r="H3284" s="381" t="n">
        <x:f>SUMIFS('Climate Data'!$G$7:$G$366,'Climate Data'!$A$7:$A$366,'Estimator'!$B$4,'Climate Data'!$B$7:$B$366,C3284)</x:f>
        <x:v>0.2914349276974416</x:v>
      </x:c>
      <x:c r="I3284" s="382" t="n">
        <x:f>SUMIFS('Climate Data'!$H$7:$H$366,'Climate Data'!$A$7:$A$366,'Estimator'!$B$4,'Climate Data'!$B$7:$B$366,C3284)</x:f>
        <x:v>9.043129770992365</x:v>
      </x:c>
      <x:c r="J3284" s="381" t="n">
        <x:f>SUMIFS('Wind Proxy'!$H$8:$H$19,'Wind Proxy'!$A$8:$A$19,'Estimator'!$B$4,'Wind Proxy'!$B$8:$B$19,C3284)</x:f>
        <x:v>0.12544802867383514</x:v>
      </x:c>
    </x:row>
    <x:row r="3285">
      <x:c r="A3285" s="379" t="n">
        <x:v>48936</x:v>
      </x:c>
      <x:c r="B3285" s="380" t="n">
        <x:v>2033</x:v>
      </x:c>
      <x:c r="C3285" s="380" t="n">
        <x:v>12</x:v>
      </x:c>
      <x:c r="D3285" s="380" t="str">
        <x:v>Dec</x:v>
      </x:c>
      <x:c r="E3285" s="380" t="n">
        <x:v>23</x:v>
      </x:c>
      <x:c r="F3285" s="380" t="n">
        <x:v>5</x:v>
      </x:c>
      <x:c r="G3285" s="380" t="n">
        <x:f>--(F3285&lt;='Estimator'!$B$7)</x:f>
        <x:v>1</x:v>
      </x:c>
      <x:c r="H3285" s="381" t="n">
        <x:f>SUMIFS('Climate Data'!$G$7:$G$366,'Climate Data'!$A$7:$A$366,'Estimator'!$B$4,'Climate Data'!$B$7:$B$366,C3285)</x:f>
        <x:v>0.2914349276974416</x:v>
      </x:c>
      <x:c r="I3285" s="382" t="n">
        <x:f>SUMIFS('Climate Data'!$H$7:$H$366,'Climate Data'!$A$7:$A$366,'Estimator'!$B$4,'Climate Data'!$B$7:$B$366,C3285)</x:f>
        <x:v>9.043129770992365</x:v>
      </x:c>
      <x:c r="J3285" s="381" t="n">
        <x:f>SUMIFS('Wind Proxy'!$H$8:$H$19,'Wind Proxy'!$A$8:$A$19,'Estimator'!$B$4,'Wind Proxy'!$B$8:$B$19,C3285)</x:f>
        <x:v>0.12544802867383514</x:v>
      </x:c>
    </x:row>
    <x:row r="3286">
      <x:c r="A3286" s="379" t="n">
        <x:v>48937</x:v>
      </x:c>
      <x:c r="B3286" s="380" t="n">
        <x:v>2033</x:v>
      </x:c>
      <x:c r="C3286" s="380" t="n">
        <x:v>12</x:v>
      </x:c>
      <x:c r="D3286" s="380" t="str">
        <x:v>Dec</x:v>
      </x:c>
      <x:c r="E3286" s="380" t="n">
        <x:v>24</x:v>
      </x:c>
      <x:c r="F3286" s="380" t="n">
        <x:v>6</x:v>
      </x:c>
      <x:c r="G3286" s="380" t="n">
        <x:f>--(F3286&lt;='Estimator'!$B$7)</x:f>
        <x:v>0</x:v>
      </x:c>
      <x:c r="H3286" s="381" t="n">
        <x:f>SUMIFS('Climate Data'!$G$7:$G$366,'Climate Data'!$A$7:$A$366,'Estimator'!$B$4,'Climate Data'!$B$7:$B$366,C3286)</x:f>
        <x:v>0.2914349276974416</x:v>
      </x:c>
      <x:c r="I3286" s="382" t="n">
        <x:f>SUMIFS('Climate Data'!$H$7:$H$366,'Climate Data'!$A$7:$A$366,'Estimator'!$B$4,'Climate Data'!$B$7:$B$366,C3286)</x:f>
        <x:v>9.043129770992365</x:v>
      </x:c>
      <x:c r="J3286" s="381" t="n">
        <x:f>SUMIFS('Wind Proxy'!$H$8:$H$19,'Wind Proxy'!$A$8:$A$19,'Estimator'!$B$4,'Wind Proxy'!$B$8:$B$19,C3286)</x:f>
        <x:v>0.12544802867383514</x:v>
      </x:c>
    </x:row>
    <x:row r="3287">
      <x:c r="A3287" s="379" t="n">
        <x:v>48938</x:v>
      </x:c>
      <x:c r="B3287" s="380" t="n">
        <x:v>2033</x:v>
      </x:c>
      <x:c r="C3287" s="380" t="n">
        <x:v>12</x:v>
      </x:c>
      <x:c r="D3287" s="380" t="str">
        <x:v>Dec</x:v>
      </x:c>
      <x:c r="E3287" s="380" t="n">
        <x:v>25</x:v>
      </x:c>
      <x:c r="F3287" s="380" t="n">
        <x:v>7</x:v>
      </x:c>
      <x:c r="G3287" s="380" t="n">
        <x:f>--(F3287&lt;='Estimator'!$B$7)</x:f>
        <x:v>0</x:v>
      </x:c>
      <x:c r="H3287" s="381" t="n">
        <x:f>SUMIFS('Climate Data'!$G$7:$G$366,'Climate Data'!$A$7:$A$366,'Estimator'!$B$4,'Climate Data'!$B$7:$B$366,C3287)</x:f>
        <x:v>0.2914349276974416</x:v>
      </x:c>
      <x:c r="I3287" s="382" t="n">
        <x:f>SUMIFS('Climate Data'!$H$7:$H$366,'Climate Data'!$A$7:$A$366,'Estimator'!$B$4,'Climate Data'!$B$7:$B$366,C3287)</x:f>
        <x:v>9.043129770992365</x:v>
      </x:c>
      <x:c r="J3287" s="381" t="n">
        <x:f>SUMIFS('Wind Proxy'!$H$8:$H$19,'Wind Proxy'!$A$8:$A$19,'Estimator'!$B$4,'Wind Proxy'!$B$8:$B$19,C3287)</x:f>
        <x:v>0.12544802867383514</x:v>
      </x:c>
    </x:row>
    <x:row r="3288">
      <x:c r="A3288" s="379" t="n">
        <x:v>48939</x:v>
      </x:c>
      <x:c r="B3288" s="380" t="n">
        <x:v>2033</x:v>
      </x:c>
      <x:c r="C3288" s="380" t="n">
        <x:v>12</x:v>
      </x:c>
      <x:c r="D3288" s="380" t="str">
        <x:v>Dec</x:v>
      </x:c>
      <x:c r="E3288" s="380" t="n">
        <x:v>26</x:v>
      </x:c>
      <x:c r="F3288" s="380" t="n">
        <x:v>1</x:v>
      </x:c>
      <x:c r="G3288" s="380" t="n">
        <x:f>--(F3288&lt;='Estimator'!$B$7)</x:f>
        <x:v>1</x:v>
      </x:c>
      <x:c r="H3288" s="381" t="n">
        <x:f>SUMIFS('Climate Data'!$G$7:$G$366,'Climate Data'!$A$7:$A$366,'Estimator'!$B$4,'Climate Data'!$B$7:$B$366,C3288)</x:f>
        <x:v>0.2914349276974416</x:v>
      </x:c>
      <x:c r="I3288" s="382" t="n">
        <x:f>SUMIFS('Climate Data'!$H$7:$H$366,'Climate Data'!$A$7:$A$366,'Estimator'!$B$4,'Climate Data'!$B$7:$B$366,C3288)</x:f>
        <x:v>9.043129770992365</x:v>
      </x:c>
      <x:c r="J3288" s="381" t="n">
        <x:f>SUMIFS('Wind Proxy'!$H$8:$H$19,'Wind Proxy'!$A$8:$A$19,'Estimator'!$B$4,'Wind Proxy'!$B$8:$B$19,C3288)</x:f>
        <x:v>0.12544802867383514</x:v>
      </x:c>
    </x:row>
    <x:row r="3289">
      <x:c r="A3289" s="379" t="n">
        <x:v>48940</x:v>
      </x:c>
      <x:c r="B3289" s="380" t="n">
        <x:v>2033</x:v>
      </x:c>
      <x:c r="C3289" s="380" t="n">
        <x:v>12</x:v>
      </x:c>
      <x:c r="D3289" s="380" t="str">
        <x:v>Dec</x:v>
      </x:c>
      <x:c r="E3289" s="380" t="n">
        <x:v>27</x:v>
      </x:c>
      <x:c r="F3289" s="380" t="n">
        <x:v>2</x:v>
      </x:c>
      <x:c r="G3289" s="380" t="n">
        <x:f>--(F3289&lt;='Estimator'!$B$7)</x:f>
        <x:v>1</x:v>
      </x:c>
      <x:c r="H3289" s="381" t="n">
        <x:f>SUMIFS('Climate Data'!$G$7:$G$366,'Climate Data'!$A$7:$A$366,'Estimator'!$B$4,'Climate Data'!$B$7:$B$366,C3289)</x:f>
        <x:v>0.2914349276974416</x:v>
      </x:c>
      <x:c r="I3289" s="382" t="n">
        <x:f>SUMIFS('Climate Data'!$H$7:$H$366,'Climate Data'!$A$7:$A$366,'Estimator'!$B$4,'Climate Data'!$B$7:$B$366,C3289)</x:f>
        <x:v>9.043129770992365</x:v>
      </x:c>
      <x:c r="J3289" s="381" t="n">
        <x:f>SUMIFS('Wind Proxy'!$H$8:$H$19,'Wind Proxy'!$A$8:$A$19,'Estimator'!$B$4,'Wind Proxy'!$B$8:$B$19,C3289)</x:f>
        <x:v>0.12544802867383514</x:v>
      </x:c>
    </x:row>
    <x:row r="3290">
      <x:c r="A3290" s="379" t="n">
        <x:v>48941</x:v>
      </x:c>
      <x:c r="B3290" s="380" t="n">
        <x:v>2033</x:v>
      </x:c>
      <x:c r="C3290" s="380" t="n">
        <x:v>12</x:v>
      </x:c>
      <x:c r="D3290" s="380" t="str">
        <x:v>Dec</x:v>
      </x:c>
      <x:c r="E3290" s="380" t="n">
        <x:v>28</x:v>
      </x:c>
      <x:c r="F3290" s="380" t="n">
        <x:v>3</x:v>
      </x:c>
      <x:c r="G3290" s="380" t="n">
        <x:f>--(F3290&lt;='Estimator'!$B$7)</x:f>
        <x:v>1</x:v>
      </x:c>
      <x:c r="H3290" s="381" t="n">
        <x:f>SUMIFS('Climate Data'!$G$7:$G$366,'Climate Data'!$A$7:$A$366,'Estimator'!$B$4,'Climate Data'!$B$7:$B$366,C3290)</x:f>
        <x:v>0.2914349276974416</x:v>
      </x:c>
      <x:c r="I3290" s="382" t="n">
        <x:f>SUMIFS('Climate Data'!$H$7:$H$366,'Climate Data'!$A$7:$A$366,'Estimator'!$B$4,'Climate Data'!$B$7:$B$366,C3290)</x:f>
        <x:v>9.043129770992365</x:v>
      </x:c>
      <x:c r="J3290" s="381" t="n">
        <x:f>SUMIFS('Wind Proxy'!$H$8:$H$19,'Wind Proxy'!$A$8:$A$19,'Estimator'!$B$4,'Wind Proxy'!$B$8:$B$19,C3290)</x:f>
        <x:v>0.12544802867383514</x:v>
      </x:c>
    </x:row>
    <x:row r="3291">
      <x:c r="A3291" s="379" t="n">
        <x:v>48942</x:v>
      </x:c>
      <x:c r="B3291" s="380" t="n">
        <x:v>2033</x:v>
      </x:c>
      <x:c r="C3291" s="380" t="n">
        <x:v>12</x:v>
      </x:c>
      <x:c r="D3291" s="380" t="str">
        <x:v>Dec</x:v>
      </x:c>
      <x:c r="E3291" s="380" t="n">
        <x:v>29</x:v>
      </x:c>
      <x:c r="F3291" s="380" t="n">
        <x:v>4</x:v>
      </x:c>
      <x:c r="G3291" s="380" t="n">
        <x:f>--(F3291&lt;='Estimator'!$B$7)</x:f>
        <x:v>1</x:v>
      </x:c>
      <x:c r="H3291" s="381" t="n">
        <x:f>SUMIFS('Climate Data'!$G$7:$G$366,'Climate Data'!$A$7:$A$366,'Estimator'!$B$4,'Climate Data'!$B$7:$B$366,C3291)</x:f>
        <x:v>0.2914349276974416</x:v>
      </x:c>
      <x:c r="I3291" s="382" t="n">
        <x:f>SUMIFS('Climate Data'!$H$7:$H$366,'Climate Data'!$A$7:$A$366,'Estimator'!$B$4,'Climate Data'!$B$7:$B$366,C3291)</x:f>
        <x:v>9.043129770992365</x:v>
      </x:c>
      <x:c r="J3291" s="381" t="n">
        <x:f>SUMIFS('Wind Proxy'!$H$8:$H$19,'Wind Proxy'!$A$8:$A$19,'Estimator'!$B$4,'Wind Proxy'!$B$8:$B$19,C3291)</x:f>
        <x:v>0.12544802867383514</x:v>
      </x:c>
    </x:row>
    <x:row r="3292">
      <x:c r="A3292" s="379" t="n">
        <x:v>48943</x:v>
      </x:c>
      <x:c r="B3292" s="380" t="n">
        <x:v>2033</x:v>
      </x:c>
      <x:c r="C3292" s="380" t="n">
        <x:v>12</x:v>
      </x:c>
      <x:c r="D3292" s="380" t="str">
        <x:v>Dec</x:v>
      </x:c>
      <x:c r="E3292" s="380" t="n">
        <x:v>30</x:v>
      </x:c>
      <x:c r="F3292" s="380" t="n">
        <x:v>5</x:v>
      </x:c>
      <x:c r="G3292" s="380" t="n">
        <x:f>--(F3292&lt;='Estimator'!$B$7)</x:f>
        <x:v>1</x:v>
      </x:c>
      <x:c r="H3292" s="381" t="n">
        <x:f>SUMIFS('Climate Data'!$G$7:$G$366,'Climate Data'!$A$7:$A$366,'Estimator'!$B$4,'Climate Data'!$B$7:$B$366,C3292)</x:f>
        <x:v>0.2914349276974416</x:v>
      </x:c>
      <x:c r="I3292" s="382" t="n">
        <x:f>SUMIFS('Climate Data'!$H$7:$H$366,'Climate Data'!$A$7:$A$366,'Estimator'!$B$4,'Climate Data'!$B$7:$B$366,C3292)</x:f>
        <x:v>9.043129770992365</x:v>
      </x:c>
      <x:c r="J3292" s="381" t="n">
        <x:f>SUMIFS('Wind Proxy'!$H$8:$H$19,'Wind Proxy'!$A$8:$A$19,'Estimator'!$B$4,'Wind Proxy'!$B$8:$B$19,C3292)</x:f>
        <x:v>0.12544802867383514</x:v>
      </x:c>
    </x:row>
    <x:row r="3293">
      <x:c r="A3293" s="379" t="n">
        <x:v>48944</x:v>
      </x:c>
      <x:c r="B3293" s="380" t="n">
        <x:v>2033</x:v>
      </x:c>
      <x:c r="C3293" s="380" t="n">
        <x:v>12</x:v>
      </x:c>
      <x:c r="D3293" s="380" t="str">
        <x:v>Dec</x:v>
      </x:c>
      <x:c r="E3293" s="380" t="n">
        <x:v>31</x:v>
      </x:c>
      <x:c r="F3293" s="380" t="n">
        <x:v>6</x:v>
      </x:c>
      <x:c r="G3293" s="380" t="n">
        <x:f>--(F3293&lt;='Estimator'!$B$7)</x:f>
        <x:v>0</x:v>
      </x:c>
      <x:c r="H3293" s="381" t="n">
        <x:f>SUMIFS('Climate Data'!$G$7:$G$366,'Climate Data'!$A$7:$A$366,'Estimator'!$B$4,'Climate Data'!$B$7:$B$366,C3293)</x:f>
        <x:v>0.2914349276974416</x:v>
      </x:c>
      <x:c r="I3293" s="382" t="n">
        <x:f>SUMIFS('Climate Data'!$H$7:$H$366,'Climate Data'!$A$7:$A$366,'Estimator'!$B$4,'Climate Data'!$B$7:$B$366,C3293)</x:f>
        <x:v>9.043129770992365</x:v>
      </x:c>
      <x:c r="J3293" s="381" t="n">
        <x:f>SUMIFS('Wind Proxy'!$H$8:$H$19,'Wind Proxy'!$A$8:$A$19,'Estimator'!$B$4,'Wind Proxy'!$B$8:$B$19,C3293)</x:f>
        <x:v>0.12544802867383514</x:v>
      </x:c>
    </x:row>
    <x:row r="3294">
      <x:c r="A3294" s="379" t="n">
        <x:v>48945</x:v>
      </x:c>
      <x:c r="B3294" s="380" t="n">
        <x:v>2034</x:v>
      </x:c>
      <x:c r="C3294" s="380" t="n">
        <x:v>1</x:v>
      </x:c>
      <x:c r="D3294" s="380" t="str">
        <x:v>Jan</x:v>
      </x:c>
      <x:c r="E3294" s="380" t="n">
        <x:v>1</x:v>
      </x:c>
      <x:c r="F3294" s="380" t="n">
        <x:v>7</x:v>
      </x:c>
      <x:c r="G3294" s="380" t="n">
        <x:f>--(F3294&lt;='Estimator'!$B$7)</x:f>
        <x:v>0</x:v>
      </x:c>
      <x:c r="H3294" s="381" t="n">
        <x:f>SUMIFS('Climate Data'!$G$7:$G$366,'Climate Data'!$A$7:$A$366,'Estimator'!$B$4,'Climate Data'!$B$7:$B$366,C3294)</x:f>
        <x:v>0.21802002224694106</x:v>
      </x:c>
      <x:c r="I3294" s="382" t="n">
        <x:f>SUMIFS('Climate Data'!$H$7:$H$366,'Climate Data'!$A$7:$A$366,'Estimator'!$B$4,'Climate Data'!$B$7:$B$366,C3294)</x:f>
        <x:v>8.596428571428572</x:v>
      </x:c>
      <x:c r="J3294" s="381" t="n">
        <x:f>SUMIFS('Wind Proxy'!$H$8:$H$19,'Wind Proxy'!$A$8:$A$19,'Estimator'!$B$4,'Wind Proxy'!$B$8:$B$19,C3294)</x:f>
        <x:v>0.12544802867383514</x:v>
      </x:c>
    </x:row>
    <x:row r="3295">
      <x:c r="A3295" s="379" t="n">
        <x:v>48946</x:v>
      </x:c>
      <x:c r="B3295" s="380" t="n">
        <x:v>2034</x:v>
      </x:c>
      <x:c r="C3295" s="380" t="n">
        <x:v>1</x:v>
      </x:c>
      <x:c r="D3295" s="380" t="str">
        <x:v>Jan</x:v>
      </x:c>
      <x:c r="E3295" s="380" t="n">
        <x:v>2</x:v>
      </x:c>
      <x:c r="F3295" s="380" t="n">
        <x:v>1</x:v>
      </x:c>
      <x:c r="G3295" s="380" t="n">
        <x:f>--(F3295&lt;='Estimator'!$B$7)</x:f>
        <x:v>1</x:v>
      </x:c>
      <x:c r="H3295" s="381" t="n">
        <x:f>SUMIFS('Climate Data'!$G$7:$G$366,'Climate Data'!$A$7:$A$366,'Estimator'!$B$4,'Climate Data'!$B$7:$B$366,C3295)</x:f>
        <x:v>0.21802002224694106</x:v>
      </x:c>
      <x:c r="I3295" s="382" t="n">
        <x:f>SUMIFS('Climate Data'!$H$7:$H$366,'Climate Data'!$A$7:$A$366,'Estimator'!$B$4,'Climate Data'!$B$7:$B$366,C3295)</x:f>
        <x:v>8.596428571428572</x:v>
      </x:c>
      <x:c r="J3295" s="381" t="n">
        <x:f>SUMIFS('Wind Proxy'!$H$8:$H$19,'Wind Proxy'!$A$8:$A$19,'Estimator'!$B$4,'Wind Proxy'!$B$8:$B$19,C3295)</x:f>
        <x:v>0.12544802867383514</x:v>
      </x:c>
    </x:row>
    <x:row r="3296">
      <x:c r="A3296" s="379" t="n">
        <x:v>48947</x:v>
      </x:c>
      <x:c r="B3296" s="380" t="n">
        <x:v>2034</x:v>
      </x:c>
      <x:c r="C3296" s="380" t="n">
        <x:v>1</x:v>
      </x:c>
      <x:c r="D3296" s="380" t="str">
        <x:v>Jan</x:v>
      </x:c>
      <x:c r="E3296" s="380" t="n">
        <x:v>3</x:v>
      </x:c>
      <x:c r="F3296" s="380" t="n">
        <x:v>2</x:v>
      </x:c>
      <x:c r="G3296" s="380" t="n">
        <x:f>--(F3296&lt;='Estimator'!$B$7)</x:f>
        <x:v>1</x:v>
      </x:c>
      <x:c r="H3296" s="381" t="n">
        <x:f>SUMIFS('Climate Data'!$G$7:$G$366,'Climate Data'!$A$7:$A$366,'Estimator'!$B$4,'Climate Data'!$B$7:$B$366,C3296)</x:f>
        <x:v>0.21802002224694106</x:v>
      </x:c>
      <x:c r="I3296" s="382" t="n">
        <x:f>SUMIFS('Climate Data'!$H$7:$H$366,'Climate Data'!$A$7:$A$366,'Estimator'!$B$4,'Climate Data'!$B$7:$B$366,C3296)</x:f>
        <x:v>8.596428571428572</x:v>
      </x:c>
      <x:c r="J3296" s="381" t="n">
        <x:f>SUMIFS('Wind Proxy'!$H$8:$H$19,'Wind Proxy'!$A$8:$A$19,'Estimator'!$B$4,'Wind Proxy'!$B$8:$B$19,C3296)</x:f>
        <x:v>0.12544802867383514</x:v>
      </x:c>
    </x:row>
    <x:row r="3297">
      <x:c r="A3297" s="379" t="n">
        <x:v>48948</x:v>
      </x:c>
      <x:c r="B3297" s="380" t="n">
        <x:v>2034</x:v>
      </x:c>
      <x:c r="C3297" s="380" t="n">
        <x:v>1</x:v>
      </x:c>
      <x:c r="D3297" s="380" t="str">
        <x:v>Jan</x:v>
      </x:c>
      <x:c r="E3297" s="380" t="n">
        <x:v>4</x:v>
      </x:c>
      <x:c r="F3297" s="380" t="n">
        <x:v>3</x:v>
      </x:c>
      <x:c r="G3297" s="380" t="n">
        <x:f>--(F3297&lt;='Estimator'!$B$7)</x:f>
        <x:v>1</x:v>
      </x:c>
      <x:c r="H3297" s="381" t="n">
        <x:f>SUMIFS('Climate Data'!$G$7:$G$366,'Climate Data'!$A$7:$A$366,'Estimator'!$B$4,'Climate Data'!$B$7:$B$366,C3297)</x:f>
        <x:v>0.21802002224694106</x:v>
      </x:c>
      <x:c r="I3297" s="382" t="n">
        <x:f>SUMIFS('Climate Data'!$H$7:$H$366,'Climate Data'!$A$7:$A$366,'Estimator'!$B$4,'Climate Data'!$B$7:$B$366,C3297)</x:f>
        <x:v>8.596428571428572</x:v>
      </x:c>
      <x:c r="J3297" s="381" t="n">
        <x:f>SUMIFS('Wind Proxy'!$H$8:$H$19,'Wind Proxy'!$A$8:$A$19,'Estimator'!$B$4,'Wind Proxy'!$B$8:$B$19,C3297)</x:f>
        <x:v>0.12544802867383514</x:v>
      </x:c>
    </x:row>
    <x:row r="3298">
      <x:c r="A3298" s="379" t="n">
        <x:v>48949</x:v>
      </x:c>
      <x:c r="B3298" s="380" t="n">
        <x:v>2034</x:v>
      </x:c>
      <x:c r="C3298" s="380" t="n">
        <x:v>1</x:v>
      </x:c>
      <x:c r="D3298" s="380" t="str">
        <x:v>Jan</x:v>
      </x:c>
      <x:c r="E3298" s="380" t="n">
        <x:v>5</x:v>
      </x:c>
      <x:c r="F3298" s="380" t="n">
        <x:v>4</x:v>
      </x:c>
      <x:c r="G3298" s="380" t="n">
        <x:f>--(F3298&lt;='Estimator'!$B$7)</x:f>
        <x:v>1</x:v>
      </x:c>
      <x:c r="H3298" s="381" t="n">
        <x:f>SUMIFS('Climate Data'!$G$7:$G$366,'Climate Data'!$A$7:$A$366,'Estimator'!$B$4,'Climate Data'!$B$7:$B$366,C3298)</x:f>
        <x:v>0.21802002224694106</x:v>
      </x:c>
      <x:c r="I3298" s="382" t="n">
        <x:f>SUMIFS('Climate Data'!$H$7:$H$366,'Climate Data'!$A$7:$A$366,'Estimator'!$B$4,'Climate Data'!$B$7:$B$366,C3298)</x:f>
        <x:v>8.596428571428572</x:v>
      </x:c>
      <x:c r="J3298" s="381" t="n">
        <x:f>SUMIFS('Wind Proxy'!$H$8:$H$19,'Wind Proxy'!$A$8:$A$19,'Estimator'!$B$4,'Wind Proxy'!$B$8:$B$19,C3298)</x:f>
        <x:v>0.12544802867383514</x:v>
      </x:c>
    </x:row>
    <x:row r="3299">
      <x:c r="A3299" s="379" t="n">
        <x:v>48950</x:v>
      </x:c>
      <x:c r="B3299" s="380" t="n">
        <x:v>2034</x:v>
      </x:c>
      <x:c r="C3299" s="380" t="n">
        <x:v>1</x:v>
      </x:c>
      <x:c r="D3299" s="380" t="str">
        <x:v>Jan</x:v>
      </x:c>
      <x:c r="E3299" s="380" t="n">
        <x:v>6</x:v>
      </x:c>
      <x:c r="F3299" s="380" t="n">
        <x:v>5</x:v>
      </x:c>
      <x:c r="G3299" s="380" t="n">
        <x:f>--(F3299&lt;='Estimator'!$B$7)</x:f>
        <x:v>1</x:v>
      </x:c>
      <x:c r="H3299" s="381" t="n">
        <x:f>SUMIFS('Climate Data'!$G$7:$G$366,'Climate Data'!$A$7:$A$366,'Estimator'!$B$4,'Climate Data'!$B$7:$B$366,C3299)</x:f>
        <x:v>0.21802002224694106</x:v>
      </x:c>
      <x:c r="I3299" s="382" t="n">
        <x:f>SUMIFS('Climate Data'!$H$7:$H$366,'Climate Data'!$A$7:$A$366,'Estimator'!$B$4,'Climate Data'!$B$7:$B$366,C3299)</x:f>
        <x:v>8.596428571428572</x:v>
      </x:c>
      <x:c r="J3299" s="381" t="n">
        <x:f>SUMIFS('Wind Proxy'!$H$8:$H$19,'Wind Proxy'!$A$8:$A$19,'Estimator'!$B$4,'Wind Proxy'!$B$8:$B$19,C3299)</x:f>
        <x:v>0.12544802867383514</x:v>
      </x:c>
    </x:row>
    <x:row r="3300">
      <x:c r="A3300" s="379" t="n">
        <x:v>48951</x:v>
      </x:c>
      <x:c r="B3300" s="380" t="n">
        <x:v>2034</x:v>
      </x:c>
      <x:c r="C3300" s="380" t="n">
        <x:v>1</x:v>
      </x:c>
      <x:c r="D3300" s="380" t="str">
        <x:v>Jan</x:v>
      </x:c>
      <x:c r="E3300" s="380" t="n">
        <x:v>7</x:v>
      </x:c>
      <x:c r="F3300" s="380" t="n">
        <x:v>6</x:v>
      </x:c>
      <x:c r="G3300" s="380" t="n">
        <x:f>--(F3300&lt;='Estimator'!$B$7)</x:f>
        <x:v>0</x:v>
      </x:c>
      <x:c r="H3300" s="381" t="n">
        <x:f>SUMIFS('Climate Data'!$G$7:$G$366,'Climate Data'!$A$7:$A$366,'Estimator'!$B$4,'Climate Data'!$B$7:$B$366,C3300)</x:f>
        <x:v>0.21802002224694106</x:v>
      </x:c>
      <x:c r="I3300" s="382" t="n">
        <x:f>SUMIFS('Climate Data'!$H$7:$H$366,'Climate Data'!$A$7:$A$366,'Estimator'!$B$4,'Climate Data'!$B$7:$B$366,C3300)</x:f>
        <x:v>8.596428571428572</x:v>
      </x:c>
      <x:c r="J3300" s="381" t="n">
        <x:f>SUMIFS('Wind Proxy'!$H$8:$H$19,'Wind Proxy'!$A$8:$A$19,'Estimator'!$B$4,'Wind Proxy'!$B$8:$B$19,C3300)</x:f>
        <x:v>0.12544802867383514</x:v>
      </x:c>
    </x:row>
    <x:row r="3301">
      <x:c r="A3301" s="379" t="n">
        <x:v>48952</x:v>
      </x:c>
      <x:c r="B3301" s="380" t="n">
        <x:v>2034</x:v>
      </x:c>
      <x:c r="C3301" s="380" t="n">
        <x:v>1</x:v>
      </x:c>
      <x:c r="D3301" s="380" t="str">
        <x:v>Jan</x:v>
      </x:c>
      <x:c r="E3301" s="380" t="n">
        <x:v>8</x:v>
      </x:c>
      <x:c r="F3301" s="380" t="n">
        <x:v>7</x:v>
      </x:c>
      <x:c r="G3301" s="380" t="n">
        <x:f>--(F3301&lt;='Estimator'!$B$7)</x:f>
        <x:v>0</x:v>
      </x:c>
      <x:c r="H3301" s="381" t="n">
        <x:f>SUMIFS('Climate Data'!$G$7:$G$366,'Climate Data'!$A$7:$A$366,'Estimator'!$B$4,'Climate Data'!$B$7:$B$366,C3301)</x:f>
        <x:v>0.21802002224694106</x:v>
      </x:c>
      <x:c r="I3301" s="382" t="n">
        <x:f>SUMIFS('Climate Data'!$H$7:$H$366,'Climate Data'!$A$7:$A$366,'Estimator'!$B$4,'Climate Data'!$B$7:$B$366,C3301)</x:f>
        <x:v>8.596428571428572</x:v>
      </x:c>
      <x:c r="J3301" s="381" t="n">
        <x:f>SUMIFS('Wind Proxy'!$H$8:$H$19,'Wind Proxy'!$A$8:$A$19,'Estimator'!$B$4,'Wind Proxy'!$B$8:$B$19,C3301)</x:f>
        <x:v>0.12544802867383514</x:v>
      </x:c>
    </x:row>
    <x:row r="3302">
      <x:c r="A3302" s="379" t="n">
        <x:v>48953</x:v>
      </x:c>
      <x:c r="B3302" s="380" t="n">
        <x:v>2034</x:v>
      </x:c>
      <x:c r="C3302" s="380" t="n">
        <x:v>1</x:v>
      </x:c>
      <x:c r="D3302" s="380" t="str">
        <x:v>Jan</x:v>
      </x:c>
      <x:c r="E3302" s="380" t="n">
        <x:v>9</x:v>
      </x:c>
      <x:c r="F3302" s="380" t="n">
        <x:v>1</x:v>
      </x:c>
      <x:c r="G3302" s="380" t="n">
        <x:f>--(F3302&lt;='Estimator'!$B$7)</x:f>
        <x:v>1</x:v>
      </x:c>
      <x:c r="H3302" s="381" t="n">
        <x:f>SUMIFS('Climate Data'!$G$7:$G$366,'Climate Data'!$A$7:$A$366,'Estimator'!$B$4,'Climate Data'!$B$7:$B$366,C3302)</x:f>
        <x:v>0.21802002224694106</x:v>
      </x:c>
      <x:c r="I3302" s="382" t="n">
        <x:f>SUMIFS('Climate Data'!$H$7:$H$366,'Climate Data'!$A$7:$A$366,'Estimator'!$B$4,'Climate Data'!$B$7:$B$366,C3302)</x:f>
        <x:v>8.596428571428572</x:v>
      </x:c>
      <x:c r="J3302" s="381" t="n">
        <x:f>SUMIFS('Wind Proxy'!$H$8:$H$19,'Wind Proxy'!$A$8:$A$19,'Estimator'!$B$4,'Wind Proxy'!$B$8:$B$19,C3302)</x:f>
        <x:v>0.12544802867383514</x:v>
      </x:c>
    </x:row>
    <x:row r="3303">
      <x:c r="A3303" s="379" t="n">
        <x:v>48954</x:v>
      </x:c>
      <x:c r="B3303" s="380" t="n">
        <x:v>2034</x:v>
      </x:c>
      <x:c r="C3303" s="380" t="n">
        <x:v>1</x:v>
      </x:c>
      <x:c r="D3303" s="380" t="str">
        <x:v>Jan</x:v>
      </x:c>
      <x:c r="E3303" s="380" t="n">
        <x:v>10</x:v>
      </x:c>
      <x:c r="F3303" s="380" t="n">
        <x:v>2</x:v>
      </x:c>
      <x:c r="G3303" s="380" t="n">
        <x:f>--(F3303&lt;='Estimator'!$B$7)</x:f>
        <x:v>1</x:v>
      </x:c>
      <x:c r="H3303" s="381" t="n">
        <x:f>SUMIFS('Climate Data'!$G$7:$G$366,'Climate Data'!$A$7:$A$366,'Estimator'!$B$4,'Climate Data'!$B$7:$B$366,C3303)</x:f>
        <x:v>0.21802002224694106</x:v>
      </x:c>
      <x:c r="I3303" s="382" t="n">
        <x:f>SUMIFS('Climate Data'!$H$7:$H$366,'Climate Data'!$A$7:$A$366,'Estimator'!$B$4,'Climate Data'!$B$7:$B$366,C3303)</x:f>
        <x:v>8.596428571428572</x:v>
      </x:c>
      <x:c r="J3303" s="381" t="n">
        <x:f>SUMIFS('Wind Proxy'!$H$8:$H$19,'Wind Proxy'!$A$8:$A$19,'Estimator'!$B$4,'Wind Proxy'!$B$8:$B$19,C3303)</x:f>
        <x:v>0.12544802867383514</x:v>
      </x:c>
    </x:row>
    <x:row r="3304">
      <x:c r="A3304" s="379" t="n">
        <x:v>48955</x:v>
      </x:c>
      <x:c r="B3304" s="380" t="n">
        <x:v>2034</x:v>
      </x:c>
      <x:c r="C3304" s="380" t="n">
        <x:v>1</x:v>
      </x:c>
      <x:c r="D3304" s="380" t="str">
        <x:v>Jan</x:v>
      </x:c>
      <x:c r="E3304" s="380" t="n">
        <x:v>11</x:v>
      </x:c>
      <x:c r="F3304" s="380" t="n">
        <x:v>3</x:v>
      </x:c>
      <x:c r="G3304" s="380" t="n">
        <x:f>--(F3304&lt;='Estimator'!$B$7)</x:f>
        <x:v>1</x:v>
      </x:c>
      <x:c r="H3304" s="381" t="n">
        <x:f>SUMIFS('Climate Data'!$G$7:$G$366,'Climate Data'!$A$7:$A$366,'Estimator'!$B$4,'Climate Data'!$B$7:$B$366,C3304)</x:f>
        <x:v>0.21802002224694106</x:v>
      </x:c>
      <x:c r="I3304" s="382" t="n">
        <x:f>SUMIFS('Climate Data'!$H$7:$H$366,'Climate Data'!$A$7:$A$366,'Estimator'!$B$4,'Climate Data'!$B$7:$B$366,C3304)</x:f>
        <x:v>8.596428571428572</x:v>
      </x:c>
      <x:c r="J3304" s="381" t="n">
        <x:f>SUMIFS('Wind Proxy'!$H$8:$H$19,'Wind Proxy'!$A$8:$A$19,'Estimator'!$B$4,'Wind Proxy'!$B$8:$B$19,C3304)</x:f>
        <x:v>0.12544802867383514</x:v>
      </x:c>
    </x:row>
    <x:row r="3305">
      <x:c r="A3305" s="379" t="n">
        <x:v>48956</x:v>
      </x:c>
      <x:c r="B3305" s="380" t="n">
        <x:v>2034</x:v>
      </x:c>
      <x:c r="C3305" s="380" t="n">
        <x:v>1</x:v>
      </x:c>
      <x:c r="D3305" s="380" t="str">
        <x:v>Jan</x:v>
      </x:c>
      <x:c r="E3305" s="380" t="n">
        <x:v>12</x:v>
      </x:c>
      <x:c r="F3305" s="380" t="n">
        <x:v>4</x:v>
      </x:c>
      <x:c r="G3305" s="380" t="n">
        <x:f>--(F3305&lt;='Estimator'!$B$7)</x:f>
        <x:v>1</x:v>
      </x:c>
      <x:c r="H3305" s="381" t="n">
        <x:f>SUMIFS('Climate Data'!$G$7:$G$366,'Climate Data'!$A$7:$A$366,'Estimator'!$B$4,'Climate Data'!$B$7:$B$366,C3305)</x:f>
        <x:v>0.21802002224694106</x:v>
      </x:c>
      <x:c r="I3305" s="382" t="n">
        <x:f>SUMIFS('Climate Data'!$H$7:$H$366,'Climate Data'!$A$7:$A$366,'Estimator'!$B$4,'Climate Data'!$B$7:$B$366,C3305)</x:f>
        <x:v>8.596428571428572</x:v>
      </x:c>
      <x:c r="J3305" s="381" t="n">
        <x:f>SUMIFS('Wind Proxy'!$H$8:$H$19,'Wind Proxy'!$A$8:$A$19,'Estimator'!$B$4,'Wind Proxy'!$B$8:$B$19,C3305)</x:f>
        <x:v>0.12544802867383514</x:v>
      </x:c>
    </x:row>
    <x:row r="3306">
      <x:c r="A3306" s="379" t="n">
        <x:v>48957</x:v>
      </x:c>
      <x:c r="B3306" s="380" t="n">
        <x:v>2034</x:v>
      </x:c>
      <x:c r="C3306" s="380" t="n">
        <x:v>1</x:v>
      </x:c>
      <x:c r="D3306" s="380" t="str">
        <x:v>Jan</x:v>
      </x:c>
      <x:c r="E3306" s="380" t="n">
        <x:v>13</x:v>
      </x:c>
      <x:c r="F3306" s="380" t="n">
        <x:v>5</x:v>
      </x:c>
      <x:c r="G3306" s="380" t="n">
        <x:f>--(F3306&lt;='Estimator'!$B$7)</x:f>
        <x:v>1</x:v>
      </x:c>
      <x:c r="H3306" s="381" t="n">
        <x:f>SUMIFS('Climate Data'!$G$7:$G$366,'Climate Data'!$A$7:$A$366,'Estimator'!$B$4,'Climate Data'!$B$7:$B$366,C3306)</x:f>
        <x:v>0.21802002224694106</x:v>
      </x:c>
      <x:c r="I3306" s="382" t="n">
        <x:f>SUMIFS('Climate Data'!$H$7:$H$366,'Climate Data'!$A$7:$A$366,'Estimator'!$B$4,'Climate Data'!$B$7:$B$366,C3306)</x:f>
        <x:v>8.596428571428572</x:v>
      </x:c>
      <x:c r="J3306" s="381" t="n">
        <x:f>SUMIFS('Wind Proxy'!$H$8:$H$19,'Wind Proxy'!$A$8:$A$19,'Estimator'!$B$4,'Wind Proxy'!$B$8:$B$19,C3306)</x:f>
        <x:v>0.12544802867383514</x:v>
      </x:c>
    </x:row>
    <x:row r="3307">
      <x:c r="A3307" s="379" t="n">
        <x:v>48958</x:v>
      </x:c>
      <x:c r="B3307" s="380" t="n">
        <x:v>2034</x:v>
      </x:c>
      <x:c r="C3307" s="380" t="n">
        <x:v>1</x:v>
      </x:c>
      <x:c r="D3307" s="380" t="str">
        <x:v>Jan</x:v>
      </x:c>
      <x:c r="E3307" s="380" t="n">
        <x:v>14</x:v>
      </x:c>
      <x:c r="F3307" s="380" t="n">
        <x:v>6</x:v>
      </x:c>
      <x:c r="G3307" s="380" t="n">
        <x:f>--(F3307&lt;='Estimator'!$B$7)</x:f>
        <x:v>0</x:v>
      </x:c>
      <x:c r="H3307" s="381" t="n">
        <x:f>SUMIFS('Climate Data'!$G$7:$G$366,'Climate Data'!$A$7:$A$366,'Estimator'!$B$4,'Climate Data'!$B$7:$B$366,C3307)</x:f>
        <x:v>0.21802002224694106</x:v>
      </x:c>
      <x:c r="I3307" s="382" t="n">
        <x:f>SUMIFS('Climate Data'!$H$7:$H$366,'Climate Data'!$A$7:$A$366,'Estimator'!$B$4,'Climate Data'!$B$7:$B$366,C3307)</x:f>
        <x:v>8.596428571428572</x:v>
      </x:c>
      <x:c r="J3307" s="381" t="n">
        <x:f>SUMIFS('Wind Proxy'!$H$8:$H$19,'Wind Proxy'!$A$8:$A$19,'Estimator'!$B$4,'Wind Proxy'!$B$8:$B$19,C3307)</x:f>
        <x:v>0.12544802867383514</x:v>
      </x:c>
    </x:row>
    <x:row r="3308">
      <x:c r="A3308" s="379" t="n">
        <x:v>48959</x:v>
      </x:c>
      <x:c r="B3308" s="380" t="n">
        <x:v>2034</x:v>
      </x:c>
      <x:c r="C3308" s="380" t="n">
        <x:v>1</x:v>
      </x:c>
      <x:c r="D3308" s="380" t="str">
        <x:v>Jan</x:v>
      </x:c>
      <x:c r="E3308" s="380" t="n">
        <x:v>15</x:v>
      </x:c>
      <x:c r="F3308" s="380" t="n">
        <x:v>7</x:v>
      </x:c>
      <x:c r="G3308" s="380" t="n">
        <x:f>--(F3308&lt;='Estimator'!$B$7)</x:f>
        <x:v>0</x:v>
      </x:c>
      <x:c r="H3308" s="381" t="n">
        <x:f>SUMIFS('Climate Data'!$G$7:$G$366,'Climate Data'!$A$7:$A$366,'Estimator'!$B$4,'Climate Data'!$B$7:$B$366,C3308)</x:f>
        <x:v>0.21802002224694106</x:v>
      </x:c>
      <x:c r="I3308" s="382" t="n">
        <x:f>SUMIFS('Climate Data'!$H$7:$H$366,'Climate Data'!$A$7:$A$366,'Estimator'!$B$4,'Climate Data'!$B$7:$B$366,C3308)</x:f>
        <x:v>8.596428571428572</x:v>
      </x:c>
      <x:c r="J3308" s="381" t="n">
        <x:f>SUMIFS('Wind Proxy'!$H$8:$H$19,'Wind Proxy'!$A$8:$A$19,'Estimator'!$B$4,'Wind Proxy'!$B$8:$B$19,C3308)</x:f>
        <x:v>0.12544802867383514</x:v>
      </x:c>
    </x:row>
    <x:row r="3309">
      <x:c r="A3309" s="379" t="n">
        <x:v>48960</x:v>
      </x:c>
      <x:c r="B3309" s="380" t="n">
        <x:v>2034</x:v>
      </x:c>
      <x:c r="C3309" s="380" t="n">
        <x:v>1</x:v>
      </x:c>
      <x:c r="D3309" s="380" t="str">
        <x:v>Jan</x:v>
      </x:c>
      <x:c r="E3309" s="380" t="n">
        <x:v>16</x:v>
      </x:c>
      <x:c r="F3309" s="380" t="n">
        <x:v>1</x:v>
      </x:c>
      <x:c r="G3309" s="380" t="n">
        <x:f>--(F3309&lt;='Estimator'!$B$7)</x:f>
        <x:v>1</x:v>
      </x:c>
      <x:c r="H3309" s="381" t="n">
        <x:f>SUMIFS('Climate Data'!$G$7:$G$366,'Climate Data'!$A$7:$A$366,'Estimator'!$B$4,'Climate Data'!$B$7:$B$366,C3309)</x:f>
        <x:v>0.21802002224694106</x:v>
      </x:c>
      <x:c r="I3309" s="382" t="n">
        <x:f>SUMIFS('Climate Data'!$H$7:$H$366,'Climate Data'!$A$7:$A$366,'Estimator'!$B$4,'Climate Data'!$B$7:$B$366,C3309)</x:f>
        <x:v>8.596428571428572</x:v>
      </x:c>
      <x:c r="J3309" s="381" t="n">
        <x:f>SUMIFS('Wind Proxy'!$H$8:$H$19,'Wind Proxy'!$A$8:$A$19,'Estimator'!$B$4,'Wind Proxy'!$B$8:$B$19,C3309)</x:f>
        <x:v>0.12544802867383514</x:v>
      </x:c>
    </x:row>
    <x:row r="3310">
      <x:c r="A3310" s="379" t="n">
        <x:v>48961</x:v>
      </x:c>
      <x:c r="B3310" s="380" t="n">
        <x:v>2034</x:v>
      </x:c>
      <x:c r="C3310" s="380" t="n">
        <x:v>1</x:v>
      </x:c>
      <x:c r="D3310" s="380" t="str">
        <x:v>Jan</x:v>
      </x:c>
      <x:c r="E3310" s="380" t="n">
        <x:v>17</x:v>
      </x:c>
      <x:c r="F3310" s="380" t="n">
        <x:v>2</x:v>
      </x:c>
      <x:c r="G3310" s="380" t="n">
        <x:f>--(F3310&lt;='Estimator'!$B$7)</x:f>
        <x:v>1</x:v>
      </x:c>
      <x:c r="H3310" s="381" t="n">
        <x:f>SUMIFS('Climate Data'!$G$7:$G$366,'Climate Data'!$A$7:$A$366,'Estimator'!$B$4,'Climate Data'!$B$7:$B$366,C3310)</x:f>
        <x:v>0.21802002224694106</x:v>
      </x:c>
      <x:c r="I3310" s="382" t="n">
        <x:f>SUMIFS('Climate Data'!$H$7:$H$366,'Climate Data'!$A$7:$A$366,'Estimator'!$B$4,'Climate Data'!$B$7:$B$366,C3310)</x:f>
        <x:v>8.596428571428572</x:v>
      </x:c>
      <x:c r="J3310" s="381" t="n">
        <x:f>SUMIFS('Wind Proxy'!$H$8:$H$19,'Wind Proxy'!$A$8:$A$19,'Estimator'!$B$4,'Wind Proxy'!$B$8:$B$19,C3310)</x:f>
        <x:v>0.12544802867383514</x:v>
      </x:c>
    </x:row>
    <x:row r="3311">
      <x:c r="A3311" s="379" t="n">
        <x:v>48962</x:v>
      </x:c>
      <x:c r="B3311" s="380" t="n">
        <x:v>2034</x:v>
      </x:c>
      <x:c r="C3311" s="380" t="n">
        <x:v>1</x:v>
      </x:c>
      <x:c r="D3311" s="380" t="str">
        <x:v>Jan</x:v>
      </x:c>
      <x:c r="E3311" s="380" t="n">
        <x:v>18</x:v>
      </x:c>
      <x:c r="F3311" s="380" t="n">
        <x:v>3</x:v>
      </x:c>
      <x:c r="G3311" s="380" t="n">
        <x:f>--(F3311&lt;='Estimator'!$B$7)</x:f>
        <x:v>1</x:v>
      </x:c>
      <x:c r="H3311" s="381" t="n">
        <x:f>SUMIFS('Climate Data'!$G$7:$G$366,'Climate Data'!$A$7:$A$366,'Estimator'!$B$4,'Climate Data'!$B$7:$B$366,C3311)</x:f>
        <x:v>0.21802002224694106</x:v>
      </x:c>
      <x:c r="I3311" s="382" t="n">
        <x:f>SUMIFS('Climate Data'!$H$7:$H$366,'Climate Data'!$A$7:$A$366,'Estimator'!$B$4,'Climate Data'!$B$7:$B$366,C3311)</x:f>
        <x:v>8.596428571428572</x:v>
      </x:c>
      <x:c r="J3311" s="381" t="n">
        <x:f>SUMIFS('Wind Proxy'!$H$8:$H$19,'Wind Proxy'!$A$8:$A$19,'Estimator'!$B$4,'Wind Proxy'!$B$8:$B$19,C3311)</x:f>
        <x:v>0.12544802867383514</x:v>
      </x:c>
    </x:row>
    <x:row r="3312">
      <x:c r="A3312" s="379" t="n">
        <x:v>48963</x:v>
      </x:c>
      <x:c r="B3312" s="380" t="n">
        <x:v>2034</x:v>
      </x:c>
      <x:c r="C3312" s="380" t="n">
        <x:v>1</x:v>
      </x:c>
      <x:c r="D3312" s="380" t="str">
        <x:v>Jan</x:v>
      </x:c>
      <x:c r="E3312" s="380" t="n">
        <x:v>19</x:v>
      </x:c>
      <x:c r="F3312" s="380" t="n">
        <x:v>4</x:v>
      </x:c>
      <x:c r="G3312" s="380" t="n">
        <x:f>--(F3312&lt;='Estimator'!$B$7)</x:f>
        <x:v>1</x:v>
      </x:c>
      <x:c r="H3312" s="381" t="n">
        <x:f>SUMIFS('Climate Data'!$G$7:$G$366,'Climate Data'!$A$7:$A$366,'Estimator'!$B$4,'Climate Data'!$B$7:$B$366,C3312)</x:f>
        <x:v>0.21802002224694106</x:v>
      </x:c>
      <x:c r="I3312" s="382" t="n">
        <x:f>SUMIFS('Climate Data'!$H$7:$H$366,'Climate Data'!$A$7:$A$366,'Estimator'!$B$4,'Climate Data'!$B$7:$B$366,C3312)</x:f>
        <x:v>8.596428571428572</x:v>
      </x:c>
      <x:c r="J3312" s="381" t="n">
        <x:f>SUMIFS('Wind Proxy'!$H$8:$H$19,'Wind Proxy'!$A$8:$A$19,'Estimator'!$B$4,'Wind Proxy'!$B$8:$B$19,C3312)</x:f>
        <x:v>0.12544802867383514</x:v>
      </x:c>
    </x:row>
    <x:row r="3313">
      <x:c r="A3313" s="379" t="n">
        <x:v>48964</x:v>
      </x:c>
      <x:c r="B3313" s="380" t="n">
        <x:v>2034</x:v>
      </x:c>
      <x:c r="C3313" s="380" t="n">
        <x:v>1</x:v>
      </x:c>
      <x:c r="D3313" s="380" t="str">
        <x:v>Jan</x:v>
      </x:c>
      <x:c r="E3313" s="380" t="n">
        <x:v>20</x:v>
      </x:c>
      <x:c r="F3313" s="380" t="n">
        <x:v>5</x:v>
      </x:c>
      <x:c r="G3313" s="380" t="n">
        <x:f>--(F3313&lt;='Estimator'!$B$7)</x:f>
        <x:v>1</x:v>
      </x:c>
      <x:c r="H3313" s="381" t="n">
        <x:f>SUMIFS('Climate Data'!$G$7:$G$366,'Climate Data'!$A$7:$A$366,'Estimator'!$B$4,'Climate Data'!$B$7:$B$366,C3313)</x:f>
        <x:v>0.21802002224694106</x:v>
      </x:c>
      <x:c r="I3313" s="382" t="n">
        <x:f>SUMIFS('Climate Data'!$H$7:$H$366,'Climate Data'!$A$7:$A$366,'Estimator'!$B$4,'Climate Data'!$B$7:$B$366,C3313)</x:f>
        <x:v>8.596428571428572</x:v>
      </x:c>
      <x:c r="J3313" s="381" t="n">
        <x:f>SUMIFS('Wind Proxy'!$H$8:$H$19,'Wind Proxy'!$A$8:$A$19,'Estimator'!$B$4,'Wind Proxy'!$B$8:$B$19,C3313)</x:f>
        <x:v>0.12544802867383514</x:v>
      </x:c>
    </x:row>
    <x:row r="3314">
      <x:c r="A3314" s="379" t="n">
        <x:v>48965</x:v>
      </x:c>
      <x:c r="B3314" s="380" t="n">
        <x:v>2034</x:v>
      </x:c>
      <x:c r="C3314" s="380" t="n">
        <x:v>1</x:v>
      </x:c>
      <x:c r="D3314" s="380" t="str">
        <x:v>Jan</x:v>
      </x:c>
      <x:c r="E3314" s="380" t="n">
        <x:v>21</x:v>
      </x:c>
      <x:c r="F3314" s="380" t="n">
        <x:v>6</x:v>
      </x:c>
      <x:c r="G3314" s="380" t="n">
        <x:f>--(F3314&lt;='Estimator'!$B$7)</x:f>
        <x:v>0</x:v>
      </x:c>
      <x:c r="H3314" s="381" t="n">
        <x:f>SUMIFS('Climate Data'!$G$7:$G$366,'Climate Data'!$A$7:$A$366,'Estimator'!$B$4,'Climate Data'!$B$7:$B$366,C3314)</x:f>
        <x:v>0.21802002224694106</x:v>
      </x:c>
      <x:c r="I3314" s="382" t="n">
        <x:f>SUMIFS('Climate Data'!$H$7:$H$366,'Climate Data'!$A$7:$A$366,'Estimator'!$B$4,'Climate Data'!$B$7:$B$366,C3314)</x:f>
        <x:v>8.596428571428572</x:v>
      </x:c>
      <x:c r="J3314" s="381" t="n">
        <x:f>SUMIFS('Wind Proxy'!$H$8:$H$19,'Wind Proxy'!$A$8:$A$19,'Estimator'!$B$4,'Wind Proxy'!$B$8:$B$19,C3314)</x:f>
        <x:v>0.12544802867383514</x:v>
      </x:c>
    </x:row>
    <x:row r="3315">
      <x:c r="A3315" s="379" t="n">
        <x:v>48966</x:v>
      </x:c>
      <x:c r="B3315" s="380" t="n">
        <x:v>2034</x:v>
      </x:c>
      <x:c r="C3315" s="380" t="n">
        <x:v>1</x:v>
      </x:c>
      <x:c r="D3315" s="380" t="str">
        <x:v>Jan</x:v>
      </x:c>
      <x:c r="E3315" s="380" t="n">
        <x:v>22</x:v>
      </x:c>
      <x:c r="F3315" s="380" t="n">
        <x:v>7</x:v>
      </x:c>
      <x:c r="G3315" s="380" t="n">
        <x:f>--(F3315&lt;='Estimator'!$B$7)</x:f>
        <x:v>0</x:v>
      </x:c>
      <x:c r="H3315" s="381" t="n">
        <x:f>SUMIFS('Climate Data'!$G$7:$G$366,'Climate Data'!$A$7:$A$366,'Estimator'!$B$4,'Climate Data'!$B$7:$B$366,C3315)</x:f>
        <x:v>0.21802002224694106</x:v>
      </x:c>
      <x:c r="I3315" s="382" t="n">
        <x:f>SUMIFS('Climate Data'!$H$7:$H$366,'Climate Data'!$A$7:$A$366,'Estimator'!$B$4,'Climate Data'!$B$7:$B$366,C3315)</x:f>
        <x:v>8.596428571428572</x:v>
      </x:c>
      <x:c r="J3315" s="381" t="n">
        <x:f>SUMIFS('Wind Proxy'!$H$8:$H$19,'Wind Proxy'!$A$8:$A$19,'Estimator'!$B$4,'Wind Proxy'!$B$8:$B$19,C3315)</x:f>
        <x:v>0.12544802867383514</x:v>
      </x:c>
    </x:row>
    <x:row r="3316">
      <x:c r="A3316" s="379" t="n">
        <x:v>48967</x:v>
      </x:c>
      <x:c r="B3316" s="380" t="n">
        <x:v>2034</x:v>
      </x:c>
      <x:c r="C3316" s="380" t="n">
        <x:v>1</x:v>
      </x:c>
      <x:c r="D3316" s="380" t="str">
        <x:v>Jan</x:v>
      </x:c>
      <x:c r="E3316" s="380" t="n">
        <x:v>23</x:v>
      </x:c>
      <x:c r="F3316" s="380" t="n">
        <x:v>1</x:v>
      </x:c>
      <x:c r="G3316" s="380" t="n">
        <x:f>--(F3316&lt;='Estimator'!$B$7)</x:f>
        <x:v>1</x:v>
      </x:c>
      <x:c r="H3316" s="381" t="n">
        <x:f>SUMIFS('Climate Data'!$G$7:$G$366,'Climate Data'!$A$7:$A$366,'Estimator'!$B$4,'Climate Data'!$B$7:$B$366,C3316)</x:f>
        <x:v>0.21802002224694106</x:v>
      </x:c>
      <x:c r="I3316" s="382" t="n">
        <x:f>SUMIFS('Climate Data'!$H$7:$H$366,'Climate Data'!$A$7:$A$366,'Estimator'!$B$4,'Climate Data'!$B$7:$B$366,C3316)</x:f>
        <x:v>8.596428571428572</x:v>
      </x:c>
      <x:c r="J3316" s="381" t="n">
        <x:f>SUMIFS('Wind Proxy'!$H$8:$H$19,'Wind Proxy'!$A$8:$A$19,'Estimator'!$B$4,'Wind Proxy'!$B$8:$B$19,C3316)</x:f>
        <x:v>0.12544802867383514</x:v>
      </x:c>
    </x:row>
    <x:row r="3317">
      <x:c r="A3317" s="379" t="n">
        <x:v>48968</x:v>
      </x:c>
      <x:c r="B3317" s="380" t="n">
        <x:v>2034</x:v>
      </x:c>
      <x:c r="C3317" s="380" t="n">
        <x:v>1</x:v>
      </x:c>
      <x:c r="D3317" s="380" t="str">
        <x:v>Jan</x:v>
      </x:c>
      <x:c r="E3317" s="380" t="n">
        <x:v>24</x:v>
      </x:c>
      <x:c r="F3317" s="380" t="n">
        <x:v>2</x:v>
      </x:c>
      <x:c r="G3317" s="380" t="n">
        <x:f>--(F3317&lt;='Estimator'!$B$7)</x:f>
        <x:v>1</x:v>
      </x:c>
      <x:c r="H3317" s="381" t="n">
        <x:f>SUMIFS('Climate Data'!$G$7:$G$366,'Climate Data'!$A$7:$A$366,'Estimator'!$B$4,'Climate Data'!$B$7:$B$366,C3317)</x:f>
        <x:v>0.21802002224694106</x:v>
      </x:c>
      <x:c r="I3317" s="382" t="n">
        <x:f>SUMIFS('Climate Data'!$H$7:$H$366,'Climate Data'!$A$7:$A$366,'Estimator'!$B$4,'Climate Data'!$B$7:$B$366,C3317)</x:f>
        <x:v>8.596428571428572</x:v>
      </x:c>
      <x:c r="J3317" s="381" t="n">
        <x:f>SUMIFS('Wind Proxy'!$H$8:$H$19,'Wind Proxy'!$A$8:$A$19,'Estimator'!$B$4,'Wind Proxy'!$B$8:$B$19,C3317)</x:f>
        <x:v>0.12544802867383514</x:v>
      </x:c>
    </x:row>
    <x:row r="3318">
      <x:c r="A3318" s="379" t="n">
        <x:v>48969</x:v>
      </x:c>
      <x:c r="B3318" s="380" t="n">
        <x:v>2034</x:v>
      </x:c>
      <x:c r="C3318" s="380" t="n">
        <x:v>1</x:v>
      </x:c>
      <x:c r="D3318" s="380" t="str">
        <x:v>Jan</x:v>
      </x:c>
      <x:c r="E3318" s="380" t="n">
        <x:v>25</x:v>
      </x:c>
      <x:c r="F3318" s="380" t="n">
        <x:v>3</x:v>
      </x:c>
      <x:c r="G3318" s="380" t="n">
        <x:f>--(F3318&lt;='Estimator'!$B$7)</x:f>
        <x:v>1</x:v>
      </x:c>
      <x:c r="H3318" s="381" t="n">
        <x:f>SUMIFS('Climate Data'!$G$7:$G$366,'Climate Data'!$A$7:$A$366,'Estimator'!$B$4,'Climate Data'!$B$7:$B$366,C3318)</x:f>
        <x:v>0.21802002224694106</x:v>
      </x:c>
      <x:c r="I3318" s="382" t="n">
        <x:f>SUMIFS('Climate Data'!$H$7:$H$366,'Climate Data'!$A$7:$A$366,'Estimator'!$B$4,'Climate Data'!$B$7:$B$366,C3318)</x:f>
        <x:v>8.596428571428572</x:v>
      </x:c>
      <x:c r="J3318" s="381" t="n">
        <x:f>SUMIFS('Wind Proxy'!$H$8:$H$19,'Wind Proxy'!$A$8:$A$19,'Estimator'!$B$4,'Wind Proxy'!$B$8:$B$19,C3318)</x:f>
        <x:v>0.12544802867383514</x:v>
      </x:c>
    </x:row>
    <x:row r="3319">
      <x:c r="A3319" s="379" t="n">
        <x:v>48970</x:v>
      </x:c>
      <x:c r="B3319" s="380" t="n">
        <x:v>2034</x:v>
      </x:c>
      <x:c r="C3319" s="380" t="n">
        <x:v>1</x:v>
      </x:c>
      <x:c r="D3319" s="380" t="str">
        <x:v>Jan</x:v>
      </x:c>
      <x:c r="E3319" s="380" t="n">
        <x:v>26</x:v>
      </x:c>
      <x:c r="F3319" s="380" t="n">
        <x:v>4</x:v>
      </x:c>
      <x:c r="G3319" s="380" t="n">
        <x:f>--(F3319&lt;='Estimator'!$B$7)</x:f>
        <x:v>1</x:v>
      </x:c>
      <x:c r="H3319" s="381" t="n">
        <x:f>SUMIFS('Climate Data'!$G$7:$G$366,'Climate Data'!$A$7:$A$366,'Estimator'!$B$4,'Climate Data'!$B$7:$B$366,C3319)</x:f>
        <x:v>0.21802002224694106</x:v>
      </x:c>
      <x:c r="I3319" s="382" t="n">
        <x:f>SUMIFS('Climate Data'!$H$7:$H$366,'Climate Data'!$A$7:$A$366,'Estimator'!$B$4,'Climate Data'!$B$7:$B$366,C3319)</x:f>
        <x:v>8.596428571428572</x:v>
      </x:c>
      <x:c r="J3319" s="381" t="n">
        <x:f>SUMIFS('Wind Proxy'!$H$8:$H$19,'Wind Proxy'!$A$8:$A$19,'Estimator'!$B$4,'Wind Proxy'!$B$8:$B$19,C3319)</x:f>
        <x:v>0.12544802867383514</x:v>
      </x:c>
    </x:row>
    <x:row r="3320">
      <x:c r="A3320" s="379" t="n">
        <x:v>48971</x:v>
      </x:c>
      <x:c r="B3320" s="380" t="n">
        <x:v>2034</x:v>
      </x:c>
      <x:c r="C3320" s="380" t="n">
        <x:v>1</x:v>
      </x:c>
      <x:c r="D3320" s="380" t="str">
        <x:v>Jan</x:v>
      </x:c>
      <x:c r="E3320" s="380" t="n">
        <x:v>27</x:v>
      </x:c>
      <x:c r="F3320" s="380" t="n">
        <x:v>5</x:v>
      </x:c>
      <x:c r="G3320" s="380" t="n">
        <x:f>--(F3320&lt;='Estimator'!$B$7)</x:f>
        <x:v>1</x:v>
      </x:c>
      <x:c r="H3320" s="381" t="n">
        <x:f>SUMIFS('Climate Data'!$G$7:$G$366,'Climate Data'!$A$7:$A$366,'Estimator'!$B$4,'Climate Data'!$B$7:$B$366,C3320)</x:f>
        <x:v>0.21802002224694106</x:v>
      </x:c>
      <x:c r="I3320" s="382" t="n">
        <x:f>SUMIFS('Climate Data'!$H$7:$H$366,'Climate Data'!$A$7:$A$366,'Estimator'!$B$4,'Climate Data'!$B$7:$B$366,C3320)</x:f>
        <x:v>8.596428571428572</x:v>
      </x:c>
      <x:c r="J3320" s="381" t="n">
        <x:f>SUMIFS('Wind Proxy'!$H$8:$H$19,'Wind Proxy'!$A$8:$A$19,'Estimator'!$B$4,'Wind Proxy'!$B$8:$B$19,C3320)</x:f>
        <x:v>0.12544802867383514</x:v>
      </x:c>
    </x:row>
    <x:row r="3321">
      <x:c r="A3321" s="379" t="n">
        <x:v>48972</x:v>
      </x:c>
      <x:c r="B3321" s="380" t="n">
        <x:v>2034</x:v>
      </x:c>
      <x:c r="C3321" s="380" t="n">
        <x:v>1</x:v>
      </x:c>
      <x:c r="D3321" s="380" t="str">
        <x:v>Jan</x:v>
      </x:c>
      <x:c r="E3321" s="380" t="n">
        <x:v>28</x:v>
      </x:c>
      <x:c r="F3321" s="380" t="n">
        <x:v>6</x:v>
      </x:c>
      <x:c r="G3321" s="380" t="n">
        <x:f>--(F3321&lt;='Estimator'!$B$7)</x:f>
        <x:v>0</x:v>
      </x:c>
      <x:c r="H3321" s="381" t="n">
        <x:f>SUMIFS('Climate Data'!$G$7:$G$366,'Climate Data'!$A$7:$A$366,'Estimator'!$B$4,'Climate Data'!$B$7:$B$366,C3321)</x:f>
        <x:v>0.21802002224694106</x:v>
      </x:c>
      <x:c r="I3321" s="382" t="n">
        <x:f>SUMIFS('Climate Data'!$H$7:$H$366,'Climate Data'!$A$7:$A$366,'Estimator'!$B$4,'Climate Data'!$B$7:$B$366,C3321)</x:f>
        <x:v>8.596428571428572</x:v>
      </x:c>
      <x:c r="J3321" s="381" t="n">
        <x:f>SUMIFS('Wind Proxy'!$H$8:$H$19,'Wind Proxy'!$A$8:$A$19,'Estimator'!$B$4,'Wind Proxy'!$B$8:$B$19,C3321)</x:f>
        <x:v>0.12544802867383514</x:v>
      </x:c>
    </x:row>
    <x:row r="3322">
      <x:c r="A3322" s="379" t="n">
        <x:v>48973</x:v>
      </x:c>
      <x:c r="B3322" s="380" t="n">
        <x:v>2034</x:v>
      </x:c>
      <x:c r="C3322" s="380" t="n">
        <x:v>1</x:v>
      </x:c>
      <x:c r="D3322" s="380" t="str">
        <x:v>Jan</x:v>
      </x:c>
      <x:c r="E3322" s="380" t="n">
        <x:v>29</x:v>
      </x:c>
      <x:c r="F3322" s="380" t="n">
        <x:v>7</x:v>
      </x:c>
      <x:c r="G3322" s="380" t="n">
        <x:f>--(F3322&lt;='Estimator'!$B$7)</x:f>
        <x:v>0</x:v>
      </x:c>
      <x:c r="H3322" s="381" t="n">
        <x:f>SUMIFS('Climate Data'!$G$7:$G$366,'Climate Data'!$A$7:$A$366,'Estimator'!$B$4,'Climate Data'!$B$7:$B$366,C3322)</x:f>
        <x:v>0.21802002224694106</x:v>
      </x:c>
      <x:c r="I3322" s="382" t="n">
        <x:f>SUMIFS('Climate Data'!$H$7:$H$366,'Climate Data'!$A$7:$A$366,'Estimator'!$B$4,'Climate Data'!$B$7:$B$366,C3322)</x:f>
        <x:v>8.596428571428572</x:v>
      </x:c>
      <x:c r="J3322" s="381" t="n">
        <x:f>SUMIFS('Wind Proxy'!$H$8:$H$19,'Wind Proxy'!$A$8:$A$19,'Estimator'!$B$4,'Wind Proxy'!$B$8:$B$19,C3322)</x:f>
        <x:v>0.12544802867383514</x:v>
      </x:c>
    </x:row>
    <x:row r="3323">
      <x:c r="A3323" s="379" t="n">
        <x:v>48974</x:v>
      </x:c>
      <x:c r="B3323" s="380" t="n">
        <x:v>2034</x:v>
      </x:c>
      <x:c r="C3323" s="380" t="n">
        <x:v>1</x:v>
      </x:c>
      <x:c r="D3323" s="380" t="str">
        <x:v>Jan</x:v>
      </x:c>
      <x:c r="E3323" s="380" t="n">
        <x:v>30</x:v>
      </x:c>
      <x:c r="F3323" s="380" t="n">
        <x:v>1</x:v>
      </x:c>
      <x:c r="G3323" s="380" t="n">
        <x:f>--(F3323&lt;='Estimator'!$B$7)</x:f>
        <x:v>1</x:v>
      </x:c>
      <x:c r="H3323" s="381" t="n">
        <x:f>SUMIFS('Climate Data'!$G$7:$G$366,'Climate Data'!$A$7:$A$366,'Estimator'!$B$4,'Climate Data'!$B$7:$B$366,C3323)</x:f>
        <x:v>0.21802002224694106</x:v>
      </x:c>
      <x:c r="I3323" s="382" t="n">
        <x:f>SUMIFS('Climate Data'!$H$7:$H$366,'Climate Data'!$A$7:$A$366,'Estimator'!$B$4,'Climate Data'!$B$7:$B$366,C3323)</x:f>
        <x:v>8.596428571428572</x:v>
      </x:c>
      <x:c r="J3323" s="381" t="n">
        <x:f>SUMIFS('Wind Proxy'!$H$8:$H$19,'Wind Proxy'!$A$8:$A$19,'Estimator'!$B$4,'Wind Proxy'!$B$8:$B$19,C3323)</x:f>
        <x:v>0.12544802867383514</x:v>
      </x:c>
    </x:row>
    <x:row r="3324">
      <x:c r="A3324" s="379" t="n">
        <x:v>48975</x:v>
      </x:c>
      <x:c r="B3324" s="380" t="n">
        <x:v>2034</x:v>
      </x:c>
      <x:c r="C3324" s="380" t="n">
        <x:v>1</x:v>
      </x:c>
      <x:c r="D3324" s="380" t="str">
        <x:v>Jan</x:v>
      </x:c>
      <x:c r="E3324" s="380" t="n">
        <x:v>31</x:v>
      </x:c>
      <x:c r="F3324" s="380" t="n">
        <x:v>2</x:v>
      </x:c>
      <x:c r="G3324" s="380" t="n">
        <x:f>--(F3324&lt;='Estimator'!$B$7)</x:f>
        <x:v>1</x:v>
      </x:c>
      <x:c r="H3324" s="381" t="n">
        <x:f>SUMIFS('Climate Data'!$G$7:$G$366,'Climate Data'!$A$7:$A$366,'Estimator'!$B$4,'Climate Data'!$B$7:$B$366,C3324)</x:f>
        <x:v>0.21802002224694106</x:v>
      </x:c>
      <x:c r="I3324" s="382" t="n">
        <x:f>SUMIFS('Climate Data'!$H$7:$H$366,'Climate Data'!$A$7:$A$366,'Estimator'!$B$4,'Climate Data'!$B$7:$B$366,C3324)</x:f>
        <x:v>8.596428571428572</x:v>
      </x:c>
      <x:c r="J3324" s="381" t="n">
        <x:f>SUMIFS('Wind Proxy'!$H$8:$H$19,'Wind Proxy'!$A$8:$A$19,'Estimator'!$B$4,'Wind Proxy'!$B$8:$B$19,C3324)</x:f>
        <x:v>0.12544802867383514</x:v>
      </x:c>
    </x:row>
    <x:row r="3325">
      <x:c r="A3325" s="379" t="n">
        <x:v>48976</x:v>
      </x:c>
      <x:c r="B3325" s="380" t="n">
        <x:v>2034</x:v>
      </x:c>
      <x:c r="C3325" s="380" t="n">
        <x:v>2</x:v>
      </x:c>
      <x:c r="D3325" s="380" t="str">
        <x:v>Feb</x:v>
      </x:c>
      <x:c r="E3325" s="380" t="n">
        <x:v>1</x:v>
      </x:c>
      <x:c r="F3325" s="380" t="n">
        <x:v>3</x:v>
      </x:c>
      <x:c r="G3325" s="380" t="n">
        <x:f>--(F3325&lt;='Estimator'!$B$7)</x:f>
        <x:v>1</x:v>
      </x:c>
      <x:c r="H3325" s="381" t="n">
        <x:f>SUMIFS('Climate Data'!$G$7:$G$366,'Climate Data'!$A$7:$A$366,'Estimator'!$B$4,'Climate Data'!$B$7:$B$366,C3325)</x:f>
        <x:v>0.23056278464541316</x:v>
      </x:c>
      <x:c r="I3325" s="382" t="n">
        <x:f>SUMIFS('Climate Data'!$H$7:$H$366,'Climate Data'!$A$7:$A$366,'Estimator'!$B$4,'Climate Data'!$B$7:$B$366,C3325)</x:f>
        <x:v>9.682010582010582</x:v>
      </x:c>
      <x:c r="J3325" s="381" t="n">
        <x:f>SUMIFS('Wind Proxy'!$H$8:$H$19,'Wind Proxy'!$A$8:$A$19,'Estimator'!$B$4,'Wind Proxy'!$B$8:$B$19,C3325)</x:f>
        <x:v>0.13757861635220128</x:v>
      </x:c>
    </x:row>
    <x:row r="3326">
      <x:c r="A3326" s="379" t="n">
        <x:v>48977</x:v>
      </x:c>
      <x:c r="B3326" s="380" t="n">
        <x:v>2034</x:v>
      </x:c>
      <x:c r="C3326" s="380" t="n">
        <x:v>2</x:v>
      </x:c>
      <x:c r="D3326" s="380" t="str">
        <x:v>Feb</x:v>
      </x:c>
      <x:c r="E3326" s="380" t="n">
        <x:v>2</x:v>
      </x:c>
      <x:c r="F3326" s="380" t="n">
        <x:v>4</x:v>
      </x:c>
      <x:c r="G3326" s="380" t="n">
        <x:f>--(F3326&lt;='Estimator'!$B$7)</x:f>
        <x:v>1</x:v>
      </x:c>
      <x:c r="H3326" s="381" t="n">
        <x:f>SUMIFS('Climate Data'!$G$7:$G$366,'Climate Data'!$A$7:$A$366,'Estimator'!$B$4,'Climate Data'!$B$7:$B$366,C3326)</x:f>
        <x:v>0.23056278464541316</x:v>
      </x:c>
      <x:c r="I3326" s="382" t="n">
        <x:f>SUMIFS('Climate Data'!$H$7:$H$366,'Climate Data'!$A$7:$A$366,'Estimator'!$B$4,'Climate Data'!$B$7:$B$366,C3326)</x:f>
        <x:v>9.682010582010582</x:v>
      </x:c>
      <x:c r="J3326" s="381" t="n">
        <x:f>SUMIFS('Wind Proxy'!$H$8:$H$19,'Wind Proxy'!$A$8:$A$19,'Estimator'!$B$4,'Wind Proxy'!$B$8:$B$19,C3326)</x:f>
        <x:v>0.13757861635220128</x:v>
      </x:c>
    </x:row>
    <x:row r="3327">
      <x:c r="A3327" s="379" t="n">
        <x:v>48978</x:v>
      </x:c>
      <x:c r="B3327" s="380" t="n">
        <x:v>2034</x:v>
      </x:c>
      <x:c r="C3327" s="380" t="n">
        <x:v>2</x:v>
      </x:c>
      <x:c r="D3327" s="380" t="str">
        <x:v>Feb</x:v>
      </x:c>
      <x:c r="E3327" s="380" t="n">
        <x:v>3</x:v>
      </x:c>
      <x:c r="F3327" s="380" t="n">
        <x:v>5</x:v>
      </x:c>
      <x:c r="G3327" s="380" t="n">
        <x:f>--(F3327&lt;='Estimator'!$B$7)</x:f>
        <x:v>1</x:v>
      </x:c>
      <x:c r="H3327" s="381" t="n">
        <x:f>SUMIFS('Climate Data'!$G$7:$G$366,'Climate Data'!$A$7:$A$366,'Estimator'!$B$4,'Climate Data'!$B$7:$B$366,C3327)</x:f>
        <x:v>0.23056278464541316</x:v>
      </x:c>
      <x:c r="I3327" s="382" t="n">
        <x:f>SUMIFS('Climate Data'!$H$7:$H$366,'Climate Data'!$A$7:$A$366,'Estimator'!$B$4,'Climate Data'!$B$7:$B$366,C3327)</x:f>
        <x:v>9.682010582010582</x:v>
      </x:c>
      <x:c r="J3327" s="381" t="n">
        <x:f>SUMIFS('Wind Proxy'!$H$8:$H$19,'Wind Proxy'!$A$8:$A$19,'Estimator'!$B$4,'Wind Proxy'!$B$8:$B$19,C3327)</x:f>
        <x:v>0.13757861635220128</x:v>
      </x:c>
    </x:row>
    <x:row r="3328">
      <x:c r="A3328" s="379" t="n">
        <x:v>48979</x:v>
      </x:c>
      <x:c r="B3328" s="380" t="n">
        <x:v>2034</x:v>
      </x:c>
      <x:c r="C3328" s="380" t="n">
        <x:v>2</x:v>
      </x:c>
      <x:c r="D3328" s="380" t="str">
        <x:v>Feb</x:v>
      </x:c>
      <x:c r="E3328" s="380" t="n">
        <x:v>4</x:v>
      </x:c>
      <x:c r="F3328" s="380" t="n">
        <x:v>6</x:v>
      </x:c>
      <x:c r="G3328" s="380" t="n">
        <x:f>--(F3328&lt;='Estimator'!$B$7)</x:f>
        <x:v>0</x:v>
      </x:c>
      <x:c r="H3328" s="381" t="n">
        <x:f>SUMIFS('Climate Data'!$G$7:$G$366,'Climate Data'!$A$7:$A$366,'Estimator'!$B$4,'Climate Data'!$B$7:$B$366,C3328)</x:f>
        <x:v>0.23056278464541316</x:v>
      </x:c>
      <x:c r="I3328" s="382" t="n">
        <x:f>SUMIFS('Climate Data'!$H$7:$H$366,'Climate Data'!$A$7:$A$366,'Estimator'!$B$4,'Climate Data'!$B$7:$B$366,C3328)</x:f>
        <x:v>9.682010582010582</x:v>
      </x:c>
      <x:c r="J3328" s="381" t="n">
        <x:f>SUMIFS('Wind Proxy'!$H$8:$H$19,'Wind Proxy'!$A$8:$A$19,'Estimator'!$B$4,'Wind Proxy'!$B$8:$B$19,C3328)</x:f>
        <x:v>0.13757861635220128</x:v>
      </x:c>
    </x:row>
    <x:row r="3329">
      <x:c r="A3329" s="379" t="n">
        <x:v>48980</x:v>
      </x:c>
      <x:c r="B3329" s="380" t="n">
        <x:v>2034</x:v>
      </x:c>
      <x:c r="C3329" s="380" t="n">
        <x:v>2</x:v>
      </x:c>
      <x:c r="D3329" s="380" t="str">
        <x:v>Feb</x:v>
      </x:c>
      <x:c r="E3329" s="380" t="n">
        <x:v>5</x:v>
      </x:c>
      <x:c r="F3329" s="380" t="n">
        <x:v>7</x:v>
      </x:c>
      <x:c r="G3329" s="380" t="n">
        <x:f>--(F3329&lt;='Estimator'!$B$7)</x:f>
        <x:v>0</x:v>
      </x:c>
      <x:c r="H3329" s="381" t="n">
        <x:f>SUMIFS('Climate Data'!$G$7:$G$366,'Climate Data'!$A$7:$A$366,'Estimator'!$B$4,'Climate Data'!$B$7:$B$366,C3329)</x:f>
        <x:v>0.23056278464541316</x:v>
      </x:c>
      <x:c r="I3329" s="382" t="n">
        <x:f>SUMIFS('Climate Data'!$H$7:$H$366,'Climate Data'!$A$7:$A$366,'Estimator'!$B$4,'Climate Data'!$B$7:$B$366,C3329)</x:f>
        <x:v>9.682010582010582</x:v>
      </x:c>
      <x:c r="J3329" s="381" t="n">
        <x:f>SUMIFS('Wind Proxy'!$H$8:$H$19,'Wind Proxy'!$A$8:$A$19,'Estimator'!$B$4,'Wind Proxy'!$B$8:$B$19,C3329)</x:f>
        <x:v>0.13757861635220128</x:v>
      </x:c>
    </x:row>
    <x:row r="3330">
      <x:c r="A3330" s="379" t="n">
        <x:v>48981</x:v>
      </x:c>
      <x:c r="B3330" s="380" t="n">
        <x:v>2034</x:v>
      </x:c>
      <x:c r="C3330" s="380" t="n">
        <x:v>2</x:v>
      </x:c>
      <x:c r="D3330" s="380" t="str">
        <x:v>Feb</x:v>
      </x:c>
      <x:c r="E3330" s="380" t="n">
        <x:v>6</x:v>
      </x:c>
      <x:c r="F3330" s="380" t="n">
        <x:v>1</x:v>
      </x:c>
      <x:c r="G3330" s="380" t="n">
        <x:f>--(F3330&lt;='Estimator'!$B$7)</x:f>
        <x:v>1</x:v>
      </x:c>
      <x:c r="H3330" s="381" t="n">
        <x:f>SUMIFS('Climate Data'!$G$7:$G$366,'Climate Data'!$A$7:$A$366,'Estimator'!$B$4,'Climate Data'!$B$7:$B$366,C3330)</x:f>
        <x:v>0.23056278464541316</x:v>
      </x:c>
      <x:c r="I3330" s="382" t="n">
        <x:f>SUMIFS('Climate Data'!$H$7:$H$366,'Climate Data'!$A$7:$A$366,'Estimator'!$B$4,'Climate Data'!$B$7:$B$366,C3330)</x:f>
        <x:v>9.682010582010582</x:v>
      </x:c>
      <x:c r="J3330" s="381" t="n">
        <x:f>SUMIFS('Wind Proxy'!$H$8:$H$19,'Wind Proxy'!$A$8:$A$19,'Estimator'!$B$4,'Wind Proxy'!$B$8:$B$19,C3330)</x:f>
        <x:v>0.13757861635220128</x:v>
      </x:c>
    </x:row>
    <x:row r="3331">
      <x:c r="A3331" s="379" t="n">
        <x:v>48982</x:v>
      </x:c>
      <x:c r="B3331" s="380" t="n">
        <x:v>2034</x:v>
      </x:c>
      <x:c r="C3331" s="380" t="n">
        <x:v>2</x:v>
      </x:c>
      <x:c r="D3331" s="380" t="str">
        <x:v>Feb</x:v>
      </x:c>
      <x:c r="E3331" s="380" t="n">
        <x:v>7</x:v>
      </x:c>
      <x:c r="F3331" s="380" t="n">
        <x:v>2</x:v>
      </x:c>
      <x:c r="G3331" s="380" t="n">
        <x:f>--(F3331&lt;='Estimator'!$B$7)</x:f>
        <x:v>1</x:v>
      </x:c>
      <x:c r="H3331" s="381" t="n">
        <x:f>SUMIFS('Climate Data'!$G$7:$G$366,'Climate Data'!$A$7:$A$366,'Estimator'!$B$4,'Climate Data'!$B$7:$B$366,C3331)</x:f>
        <x:v>0.23056278464541316</x:v>
      </x:c>
      <x:c r="I3331" s="382" t="n">
        <x:f>SUMIFS('Climate Data'!$H$7:$H$366,'Climate Data'!$A$7:$A$366,'Estimator'!$B$4,'Climate Data'!$B$7:$B$366,C3331)</x:f>
        <x:v>9.682010582010582</x:v>
      </x:c>
      <x:c r="J3331" s="381" t="n">
        <x:f>SUMIFS('Wind Proxy'!$H$8:$H$19,'Wind Proxy'!$A$8:$A$19,'Estimator'!$B$4,'Wind Proxy'!$B$8:$B$19,C3331)</x:f>
        <x:v>0.13757861635220128</x:v>
      </x:c>
    </x:row>
    <x:row r="3332">
      <x:c r="A3332" s="379" t="n">
        <x:v>48983</x:v>
      </x:c>
      <x:c r="B3332" s="380" t="n">
        <x:v>2034</x:v>
      </x:c>
      <x:c r="C3332" s="380" t="n">
        <x:v>2</x:v>
      </x:c>
      <x:c r="D3332" s="380" t="str">
        <x:v>Feb</x:v>
      </x:c>
      <x:c r="E3332" s="380" t="n">
        <x:v>8</x:v>
      </x:c>
      <x:c r="F3332" s="380" t="n">
        <x:v>3</x:v>
      </x:c>
      <x:c r="G3332" s="380" t="n">
        <x:f>--(F3332&lt;='Estimator'!$B$7)</x:f>
        <x:v>1</x:v>
      </x:c>
      <x:c r="H3332" s="381" t="n">
        <x:f>SUMIFS('Climate Data'!$G$7:$G$366,'Climate Data'!$A$7:$A$366,'Estimator'!$B$4,'Climate Data'!$B$7:$B$366,C3332)</x:f>
        <x:v>0.23056278464541316</x:v>
      </x:c>
      <x:c r="I3332" s="382" t="n">
        <x:f>SUMIFS('Climate Data'!$H$7:$H$366,'Climate Data'!$A$7:$A$366,'Estimator'!$B$4,'Climate Data'!$B$7:$B$366,C3332)</x:f>
        <x:v>9.682010582010582</x:v>
      </x:c>
      <x:c r="J3332" s="381" t="n">
        <x:f>SUMIFS('Wind Proxy'!$H$8:$H$19,'Wind Proxy'!$A$8:$A$19,'Estimator'!$B$4,'Wind Proxy'!$B$8:$B$19,C3332)</x:f>
        <x:v>0.13757861635220128</x:v>
      </x:c>
    </x:row>
    <x:row r="3333">
      <x:c r="A3333" s="379" t="n">
        <x:v>48984</x:v>
      </x:c>
      <x:c r="B3333" s="380" t="n">
        <x:v>2034</x:v>
      </x:c>
      <x:c r="C3333" s="380" t="n">
        <x:v>2</x:v>
      </x:c>
      <x:c r="D3333" s="380" t="str">
        <x:v>Feb</x:v>
      </x:c>
      <x:c r="E3333" s="380" t="n">
        <x:v>9</x:v>
      </x:c>
      <x:c r="F3333" s="380" t="n">
        <x:v>4</x:v>
      </x:c>
      <x:c r="G3333" s="380" t="n">
        <x:f>--(F3333&lt;='Estimator'!$B$7)</x:f>
        <x:v>1</x:v>
      </x:c>
      <x:c r="H3333" s="381" t="n">
        <x:f>SUMIFS('Climate Data'!$G$7:$G$366,'Climate Data'!$A$7:$A$366,'Estimator'!$B$4,'Climate Data'!$B$7:$B$366,C3333)</x:f>
        <x:v>0.23056278464541316</x:v>
      </x:c>
      <x:c r="I3333" s="382" t="n">
        <x:f>SUMIFS('Climate Data'!$H$7:$H$366,'Climate Data'!$A$7:$A$366,'Estimator'!$B$4,'Climate Data'!$B$7:$B$366,C3333)</x:f>
        <x:v>9.682010582010582</x:v>
      </x:c>
      <x:c r="J3333" s="381" t="n">
        <x:f>SUMIFS('Wind Proxy'!$H$8:$H$19,'Wind Proxy'!$A$8:$A$19,'Estimator'!$B$4,'Wind Proxy'!$B$8:$B$19,C3333)</x:f>
        <x:v>0.13757861635220128</x:v>
      </x:c>
    </x:row>
    <x:row r="3334">
      <x:c r="A3334" s="379" t="n">
        <x:v>48985</x:v>
      </x:c>
      <x:c r="B3334" s="380" t="n">
        <x:v>2034</x:v>
      </x:c>
      <x:c r="C3334" s="380" t="n">
        <x:v>2</x:v>
      </x:c>
      <x:c r="D3334" s="380" t="str">
        <x:v>Feb</x:v>
      </x:c>
      <x:c r="E3334" s="380" t="n">
        <x:v>10</x:v>
      </x:c>
      <x:c r="F3334" s="380" t="n">
        <x:v>5</x:v>
      </x:c>
      <x:c r="G3334" s="380" t="n">
        <x:f>--(F3334&lt;='Estimator'!$B$7)</x:f>
        <x:v>1</x:v>
      </x:c>
      <x:c r="H3334" s="381" t="n">
        <x:f>SUMIFS('Climate Data'!$G$7:$G$366,'Climate Data'!$A$7:$A$366,'Estimator'!$B$4,'Climate Data'!$B$7:$B$366,C3334)</x:f>
        <x:v>0.23056278464541316</x:v>
      </x:c>
      <x:c r="I3334" s="382" t="n">
        <x:f>SUMIFS('Climate Data'!$H$7:$H$366,'Climate Data'!$A$7:$A$366,'Estimator'!$B$4,'Climate Data'!$B$7:$B$366,C3334)</x:f>
        <x:v>9.682010582010582</x:v>
      </x:c>
      <x:c r="J3334" s="381" t="n">
        <x:f>SUMIFS('Wind Proxy'!$H$8:$H$19,'Wind Proxy'!$A$8:$A$19,'Estimator'!$B$4,'Wind Proxy'!$B$8:$B$19,C3334)</x:f>
        <x:v>0.13757861635220128</x:v>
      </x:c>
    </x:row>
    <x:row r="3335">
      <x:c r="A3335" s="379" t="n">
        <x:v>48986</x:v>
      </x:c>
      <x:c r="B3335" s="380" t="n">
        <x:v>2034</x:v>
      </x:c>
      <x:c r="C3335" s="380" t="n">
        <x:v>2</x:v>
      </x:c>
      <x:c r="D3335" s="380" t="str">
        <x:v>Feb</x:v>
      </x:c>
      <x:c r="E3335" s="380" t="n">
        <x:v>11</x:v>
      </x:c>
      <x:c r="F3335" s="380" t="n">
        <x:v>6</x:v>
      </x:c>
      <x:c r="G3335" s="380" t="n">
        <x:f>--(F3335&lt;='Estimator'!$B$7)</x:f>
        <x:v>0</x:v>
      </x:c>
      <x:c r="H3335" s="381" t="n">
        <x:f>SUMIFS('Climate Data'!$G$7:$G$366,'Climate Data'!$A$7:$A$366,'Estimator'!$B$4,'Climate Data'!$B$7:$B$366,C3335)</x:f>
        <x:v>0.23056278464541316</x:v>
      </x:c>
      <x:c r="I3335" s="382" t="n">
        <x:f>SUMIFS('Climate Data'!$H$7:$H$366,'Climate Data'!$A$7:$A$366,'Estimator'!$B$4,'Climate Data'!$B$7:$B$366,C3335)</x:f>
        <x:v>9.682010582010582</x:v>
      </x:c>
      <x:c r="J3335" s="381" t="n">
        <x:f>SUMIFS('Wind Proxy'!$H$8:$H$19,'Wind Proxy'!$A$8:$A$19,'Estimator'!$B$4,'Wind Proxy'!$B$8:$B$19,C3335)</x:f>
        <x:v>0.13757861635220128</x:v>
      </x:c>
    </x:row>
    <x:row r="3336">
      <x:c r="A3336" s="379" t="n">
        <x:v>48987</x:v>
      </x:c>
      <x:c r="B3336" s="380" t="n">
        <x:v>2034</x:v>
      </x:c>
      <x:c r="C3336" s="380" t="n">
        <x:v>2</x:v>
      </x:c>
      <x:c r="D3336" s="380" t="str">
        <x:v>Feb</x:v>
      </x:c>
      <x:c r="E3336" s="380" t="n">
        <x:v>12</x:v>
      </x:c>
      <x:c r="F3336" s="380" t="n">
        <x:v>7</x:v>
      </x:c>
      <x:c r="G3336" s="380" t="n">
        <x:f>--(F3336&lt;='Estimator'!$B$7)</x:f>
        <x:v>0</x:v>
      </x:c>
      <x:c r="H3336" s="381" t="n">
        <x:f>SUMIFS('Climate Data'!$G$7:$G$366,'Climate Data'!$A$7:$A$366,'Estimator'!$B$4,'Climate Data'!$B$7:$B$366,C3336)</x:f>
        <x:v>0.23056278464541316</x:v>
      </x:c>
      <x:c r="I3336" s="382" t="n">
        <x:f>SUMIFS('Climate Data'!$H$7:$H$366,'Climate Data'!$A$7:$A$366,'Estimator'!$B$4,'Climate Data'!$B$7:$B$366,C3336)</x:f>
        <x:v>9.682010582010582</x:v>
      </x:c>
      <x:c r="J3336" s="381" t="n">
        <x:f>SUMIFS('Wind Proxy'!$H$8:$H$19,'Wind Proxy'!$A$8:$A$19,'Estimator'!$B$4,'Wind Proxy'!$B$8:$B$19,C3336)</x:f>
        <x:v>0.13757861635220128</x:v>
      </x:c>
    </x:row>
    <x:row r="3337">
      <x:c r="A3337" s="379" t="n">
        <x:v>48988</x:v>
      </x:c>
      <x:c r="B3337" s="380" t="n">
        <x:v>2034</x:v>
      </x:c>
      <x:c r="C3337" s="380" t="n">
        <x:v>2</x:v>
      </x:c>
      <x:c r="D3337" s="380" t="str">
        <x:v>Feb</x:v>
      </x:c>
      <x:c r="E3337" s="380" t="n">
        <x:v>13</x:v>
      </x:c>
      <x:c r="F3337" s="380" t="n">
        <x:v>1</x:v>
      </x:c>
      <x:c r="G3337" s="380" t="n">
        <x:f>--(F3337&lt;='Estimator'!$B$7)</x:f>
        <x:v>1</x:v>
      </x:c>
      <x:c r="H3337" s="381" t="n">
        <x:f>SUMIFS('Climate Data'!$G$7:$G$366,'Climate Data'!$A$7:$A$366,'Estimator'!$B$4,'Climate Data'!$B$7:$B$366,C3337)</x:f>
        <x:v>0.23056278464541316</x:v>
      </x:c>
      <x:c r="I3337" s="382" t="n">
        <x:f>SUMIFS('Climate Data'!$H$7:$H$366,'Climate Data'!$A$7:$A$366,'Estimator'!$B$4,'Climate Data'!$B$7:$B$366,C3337)</x:f>
        <x:v>9.682010582010582</x:v>
      </x:c>
      <x:c r="J3337" s="381" t="n">
        <x:f>SUMIFS('Wind Proxy'!$H$8:$H$19,'Wind Proxy'!$A$8:$A$19,'Estimator'!$B$4,'Wind Proxy'!$B$8:$B$19,C3337)</x:f>
        <x:v>0.13757861635220128</x:v>
      </x:c>
    </x:row>
    <x:row r="3338">
      <x:c r="A3338" s="379" t="n">
        <x:v>48989</x:v>
      </x:c>
      <x:c r="B3338" s="380" t="n">
        <x:v>2034</x:v>
      </x:c>
      <x:c r="C3338" s="380" t="n">
        <x:v>2</x:v>
      </x:c>
      <x:c r="D3338" s="380" t="str">
        <x:v>Feb</x:v>
      </x:c>
      <x:c r="E3338" s="380" t="n">
        <x:v>14</x:v>
      </x:c>
      <x:c r="F3338" s="380" t="n">
        <x:v>2</x:v>
      </x:c>
      <x:c r="G3338" s="380" t="n">
        <x:f>--(F3338&lt;='Estimator'!$B$7)</x:f>
        <x:v>1</x:v>
      </x:c>
      <x:c r="H3338" s="381" t="n">
        <x:f>SUMIFS('Climate Data'!$G$7:$G$366,'Climate Data'!$A$7:$A$366,'Estimator'!$B$4,'Climate Data'!$B$7:$B$366,C3338)</x:f>
        <x:v>0.23056278464541316</x:v>
      </x:c>
      <x:c r="I3338" s="382" t="n">
        <x:f>SUMIFS('Climate Data'!$H$7:$H$366,'Climate Data'!$A$7:$A$366,'Estimator'!$B$4,'Climate Data'!$B$7:$B$366,C3338)</x:f>
        <x:v>9.682010582010582</x:v>
      </x:c>
      <x:c r="J3338" s="381" t="n">
        <x:f>SUMIFS('Wind Proxy'!$H$8:$H$19,'Wind Proxy'!$A$8:$A$19,'Estimator'!$B$4,'Wind Proxy'!$B$8:$B$19,C3338)</x:f>
        <x:v>0.13757861635220128</x:v>
      </x:c>
    </x:row>
    <x:row r="3339">
      <x:c r="A3339" s="379" t="n">
        <x:v>48990</x:v>
      </x:c>
      <x:c r="B3339" s="380" t="n">
        <x:v>2034</x:v>
      </x:c>
      <x:c r="C3339" s="380" t="n">
        <x:v>2</x:v>
      </x:c>
      <x:c r="D3339" s="380" t="str">
        <x:v>Feb</x:v>
      </x:c>
      <x:c r="E3339" s="380" t="n">
        <x:v>15</x:v>
      </x:c>
      <x:c r="F3339" s="380" t="n">
        <x:v>3</x:v>
      </x:c>
      <x:c r="G3339" s="380" t="n">
        <x:f>--(F3339&lt;='Estimator'!$B$7)</x:f>
        <x:v>1</x:v>
      </x:c>
      <x:c r="H3339" s="381" t="n">
        <x:f>SUMIFS('Climate Data'!$G$7:$G$366,'Climate Data'!$A$7:$A$366,'Estimator'!$B$4,'Climate Data'!$B$7:$B$366,C3339)</x:f>
        <x:v>0.23056278464541316</x:v>
      </x:c>
      <x:c r="I3339" s="382" t="n">
        <x:f>SUMIFS('Climate Data'!$H$7:$H$366,'Climate Data'!$A$7:$A$366,'Estimator'!$B$4,'Climate Data'!$B$7:$B$366,C3339)</x:f>
        <x:v>9.682010582010582</x:v>
      </x:c>
      <x:c r="J3339" s="381" t="n">
        <x:f>SUMIFS('Wind Proxy'!$H$8:$H$19,'Wind Proxy'!$A$8:$A$19,'Estimator'!$B$4,'Wind Proxy'!$B$8:$B$19,C3339)</x:f>
        <x:v>0.13757861635220128</x:v>
      </x:c>
    </x:row>
    <x:row r="3340">
      <x:c r="A3340" s="379" t="n">
        <x:v>48991</x:v>
      </x:c>
      <x:c r="B3340" s="380" t="n">
        <x:v>2034</x:v>
      </x:c>
      <x:c r="C3340" s="380" t="n">
        <x:v>2</x:v>
      </x:c>
      <x:c r="D3340" s="380" t="str">
        <x:v>Feb</x:v>
      </x:c>
      <x:c r="E3340" s="380" t="n">
        <x:v>16</x:v>
      </x:c>
      <x:c r="F3340" s="380" t="n">
        <x:v>4</x:v>
      </x:c>
      <x:c r="G3340" s="380" t="n">
        <x:f>--(F3340&lt;='Estimator'!$B$7)</x:f>
        <x:v>1</x:v>
      </x:c>
      <x:c r="H3340" s="381" t="n">
        <x:f>SUMIFS('Climate Data'!$G$7:$G$366,'Climate Data'!$A$7:$A$366,'Estimator'!$B$4,'Climate Data'!$B$7:$B$366,C3340)</x:f>
        <x:v>0.23056278464541316</x:v>
      </x:c>
      <x:c r="I3340" s="382" t="n">
        <x:f>SUMIFS('Climate Data'!$H$7:$H$366,'Climate Data'!$A$7:$A$366,'Estimator'!$B$4,'Climate Data'!$B$7:$B$366,C3340)</x:f>
        <x:v>9.682010582010582</x:v>
      </x:c>
      <x:c r="J3340" s="381" t="n">
        <x:f>SUMIFS('Wind Proxy'!$H$8:$H$19,'Wind Proxy'!$A$8:$A$19,'Estimator'!$B$4,'Wind Proxy'!$B$8:$B$19,C3340)</x:f>
        <x:v>0.13757861635220128</x:v>
      </x:c>
    </x:row>
    <x:row r="3341">
      <x:c r="A3341" s="379" t="n">
        <x:v>48992</x:v>
      </x:c>
      <x:c r="B3341" s="380" t="n">
        <x:v>2034</x:v>
      </x:c>
      <x:c r="C3341" s="380" t="n">
        <x:v>2</x:v>
      </x:c>
      <x:c r="D3341" s="380" t="str">
        <x:v>Feb</x:v>
      </x:c>
      <x:c r="E3341" s="380" t="n">
        <x:v>17</x:v>
      </x:c>
      <x:c r="F3341" s="380" t="n">
        <x:v>5</x:v>
      </x:c>
      <x:c r="G3341" s="380" t="n">
        <x:f>--(F3341&lt;='Estimator'!$B$7)</x:f>
        <x:v>1</x:v>
      </x:c>
      <x:c r="H3341" s="381" t="n">
        <x:f>SUMIFS('Climate Data'!$G$7:$G$366,'Climate Data'!$A$7:$A$366,'Estimator'!$B$4,'Climate Data'!$B$7:$B$366,C3341)</x:f>
        <x:v>0.23056278464541316</x:v>
      </x:c>
      <x:c r="I3341" s="382" t="n">
        <x:f>SUMIFS('Climate Data'!$H$7:$H$366,'Climate Data'!$A$7:$A$366,'Estimator'!$B$4,'Climate Data'!$B$7:$B$366,C3341)</x:f>
        <x:v>9.682010582010582</x:v>
      </x:c>
      <x:c r="J3341" s="381" t="n">
        <x:f>SUMIFS('Wind Proxy'!$H$8:$H$19,'Wind Proxy'!$A$8:$A$19,'Estimator'!$B$4,'Wind Proxy'!$B$8:$B$19,C3341)</x:f>
        <x:v>0.13757861635220128</x:v>
      </x:c>
    </x:row>
    <x:row r="3342">
      <x:c r="A3342" s="379" t="n">
        <x:v>48993</x:v>
      </x:c>
      <x:c r="B3342" s="380" t="n">
        <x:v>2034</x:v>
      </x:c>
      <x:c r="C3342" s="380" t="n">
        <x:v>2</x:v>
      </x:c>
      <x:c r="D3342" s="380" t="str">
        <x:v>Feb</x:v>
      </x:c>
      <x:c r="E3342" s="380" t="n">
        <x:v>18</x:v>
      </x:c>
      <x:c r="F3342" s="380" t="n">
        <x:v>6</x:v>
      </x:c>
      <x:c r="G3342" s="380" t="n">
        <x:f>--(F3342&lt;='Estimator'!$B$7)</x:f>
        <x:v>0</x:v>
      </x:c>
      <x:c r="H3342" s="381" t="n">
        <x:f>SUMIFS('Climate Data'!$G$7:$G$366,'Climate Data'!$A$7:$A$366,'Estimator'!$B$4,'Climate Data'!$B$7:$B$366,C3342)</x:f>
        <x:v>0.23056278464541316</x:v>
      </x:c>
      <x:c r="I3342" s="382" t="n">
        <x:f>SUMIFS('Climate Data'!$H$7:$H$366,'Climate Data'!$A$7:$A$366,'Estimator'!$B$4,'Climate Data'!$B$7:$B$366,C3342)</x:f>
        <x:v>9.682010582010582</x:v>
      </x:c>
      <x:c r="J3342" s="381" t="n">
        <x:f>SUMIFS('Wind Proxy'!$H$8:$H$19,'Wind Proxy'!$A$8:$A$19,'Estimator'!$B$4,'Wind Proxy'!$B$8:$B$19,C3342)</x:f>
        <x:v>0.13757861635220128</x:v>
      </x:c>
    </x:row>
    <x:row r="3343">
      <x:c r="A3343" s="379" t="n">
        <x:v>48994</x:v>
      </x:c>
      <x:c r="B3343" s="380" t="n">
        <x:v>2034</x:v>
      </x:c>
      <x:c r="C3343" s="380" t="n">
        <x:v>2</x:v>
      </x:c>
      <x:c r="D3343" s="380" t="str">
        <x:v>Feb</x:v>
      </x:c>
      <x:c r="E3343" s="380" t="n">
        <x:v>19</x:v>
      </x:c>
      <x:c r="F3343" s="380" t="n">
        <x:v>7</x:v>
      </x:c>
      <x:c r="G3343" s="380" t="n">
        <x:f>--(F3343&lt;='Estimator'!$B$7)</x:f>
        <x:v>0</x:v>
      </x:c>
      <x:c r="H3343" s="381" t="n">
        <x:f>SUMIFS('Climate Data'!$G$7:$G$366,'Climate Data'!$A$7:$A$366,'Estimator'!$B$4,'Climate Data'!$B$7:$B$366,C3343)</x:f>
        <x:v>0.23056278464541316</x:v>
      </x:c>
      <x:c r="I3343" s="382" t="n">
        <x:f>SUMIFS('Climate Data'!$H$7:$H$366,'Climate Data'!$A$7:$A$366,'Estimator'!$B$4,'Climate Data'!$B$7:$B$366,C3343)</x:f>
        <x:v>9.682010582010582</x:v>
      </x:c>
      <x:c r="J3343" s="381" t="n">
        <x:f>SUMIFS('Wind Proxy'!$H$8:$H$19,'Wind Proxy'!$A$8:$A$19,'Estimator'!$B$4,'Wind Proxy'!$B$8:$B$19,C3343)</x:f>
        <x:v>0.13757861635220128</x:v>
      </x:c>
    </x:row>
    <x:row r="3344">
      <x:c r="A3344" s="379" t="n">
        <x:v>48995</x:v>
      </x:c>
      <x:c r="B3344" s="380" t="n">
        <x:v>2034</x:v>
      </x:c>
      <x:c r="C3344" s="380" t="n">
        <x:v>2</x:v>
      </x:c>
      <x:c r="D3344" s="380" t="str">
        <x:v>Feb</x:v>
      </x:c>
      <x:c r="E3344" s="380" t="n">
        <x:v>20</x:v>
      </x:c>
      <x:c r="F3344" s="380" t="n">
        <x:v>1</x:v>
      </x:c>
      <x:c r="G3344" s="380" t="n">
        <x:f>--(F3344&lt;='Estimator'!$B$7)</x:f>
        <x:v>1</x:v>
      </x:c>
      <x:c r="H3344" s="381" t="n">
        <x:f>SUMIFS('Climate Data'!$G$7:$G$366,'Climate Data'!$A$7:$A$366,'Estimator'!$B$4,'Climate Data'!$B$7:$B$366,C3344)</x:f>
        <x:v>0.23056278464541316</x:v>
      </x:c>
      <x:c r="I3344" s="382" t="n">
        <x:f>SUMIFS('Climate Data'!$H$7:$H$366,'Climate Data'!$A$7:$A$366,'Estimator'!$B$4,'Climate Data'!$B$7:$B$366,C3344)</x:f>
        <x:v>9.682010582010582</x:v>
      </x:c>
      <x:c r="J3344" s="381" t="n">
        <x:f>SUMIFS('Wind Proxy'!$H$8:$H$19,'Wind Proxy'!$A$8:$A$19,'Estimator'!$B$4,'Wind Proxy'!$B$8:$B$19,C3344)</x:f>
        <x:v>0.13757861635220128</x:v>
      </x:c>
    </x:row>
    <x:row r="3345">
      <x:c r="A3345" s="379" t="n">
        <x:v>48996</x:v>
      </x:c>
      <x:c r="B3345" s="380" t="n">
        <x:v>2034</x:v>
      </x:c>
      <x:c r="C3345" s="380" t="n">
        <x:v>2</x:v>
      </x:c>
      <x:c r="D3345" s="380" t="str">
        <x:v>Feb</x:v>
      </x:c>
      <x:c r="E3345" s="380" t="n">
        <x:v>21</x:v>
      </x:c>
      <x:c r="F3345" s="380" t="n">
        <x:v>2</x:v>
      </x:c>
      <x:c r="G3345" s="380" t="n">
        <x:f>--(F3345&lt;='Estimator'!$B$7)</x:f>
        <x:v>1</x:v>
      </x:c>
      <x:c r="H3345" s="381" t="n">
        <x:f>SUMIFS('Climate Data'!$G$7:$G$366,'Climate Data'!$A$7:$A$366,'Estimator'!$B$4,'Climate Data'!$B$7:$B$366,C3345)</x:f>
        <x:v>0.23056278464541316</x:v>
      </x:c>
      <x:c r="I3345" s="382" t="n">
        <x:f>SUMIFS('Climate Data'!$H$7:$H$366,'Climate Data'!$A$7:$A$366,'Estimator'!$B$4,'Climate Data'!$B$7:$B$366,C3345)</x:f>
        <x:v>9.682010582010582</x:v>
      </x:c>
      <x:c r="J3345" s="381" t="n">
        <x:f>SUMIFS('Wind Proxy'!$H$8:$H$19,'Wind Proxy'!$A$8:$A$19,'Estimator'!$B$4,'Wind Proxy'!$B$8:$B$19,C3345)</x:f>
        <x:v>0.13757861635220128</x:v>
      </x:c>
    </x:row>
    <x:row r="3346">
      <x:c r="A3346" s="379" t="n">
        <x:v>48997</x:v>
      </x:c>
      <x:c r="B3346" s="380" t="n">
        <x:v>2034</x:v>
      </x:c>
      <x:c r="C3346" s="380" t="n">
        <x:v>2</x:v>
      </x:c>
      <x:c r="D3346" s="380" t="str">
        <x:v>Feb</x:v>
      </x:c>
      <x:c r="E3346" s="380" t="n">
        <x:v>22</x:v>
      </x:c>
      <x:c r="F3346" s="380" t="n">
        <x:v>3</x:v>
      </x:c>
      <x:c r="G3346" s="380" t="n">
        <x:f>--(F3346&lt;='Estimator'!$B$7)</x:f>
        <x:v>1</x:v>
      </x:c>
      <x:c r="H3346" s="381" t="n">
        <x:f>SUMIFS('Climate Data'!$G$7:$G$366,'Climate Data'!$A$7:$A$366,'Estimator'!$B$4,'Climate Data'!$B$7:$B$366,C3346)</x:f>
        <x:v>0.23056278464541316</x:v>
      </x:c>
      <x:c r="I3346" s="382" t="n">
        <x:f>SUMIFS('Climate Data'!$H$7:$H$366,'Climate Data'!$A$7:$A$366,'Estimator'!$B$4,'Climate Data'!$B$7:$B$366,C3346)</x:f>
        <x:v>9.682010582010582</x:v>
      </x:c>
      <x:c r="J3346" s="381" t="n">
        <x:f>SUMIFS('Wind Proxy'!$H$8:$H$19,'Wind Proxy'!$A$8:$A$19,'Estimator'!$B$4,'Wind Proxy'!$B$8:$B$19,C3346)</x:f>
        <x:v>0.13757861635220128</x:v>
      </x:c>
    </x:row>
    <x:row r="3347">
      <x:c r="A3347" s="379" t="n">
        <x:v>48998</x:v>
      </x:c>
      <x:c r="B3347" s="380" t="n">
        <x:v>2034</x:v>
      </x:c>
      <x:c r="C3347" s="380" t="n">
        <x:v>2</x:v>
      </x:c>
      <x:c r="D3347" s="380" t="str">
        <x:v>Feb</x:v>
      </x:c>
      <x:c r="E3347" s="380" t="n">
        <x:v>23</x:v>
      </x:c>
      <x:c r="F3347" s="380" t="n">
        <x:v>4</x:v>
      </x:c>
      <x:c r="G3347" s="380" t="n">
        <x:f>--(F3347&lt;='Estimator'!$B$7)</x:f>
        <x:v>1</x:v>
      </x:c>
      <x:c r="H3347" s="381" t="n">
        <x:f>SUMIFS('Climate Data'!$G$7:$G$366,'Climate Data'!$A$7:$A$366,'Estimator'!$B$4,'Climate Data'!$B$7:$B$366,C3347)</x:f>
        <x:v>0.23056278464541316</x:v>
      </x:c>
      <x:c r="I3347" s="382" t="n">
        <x:f>SUMIFS('Climate Data'!$H$7:$H$366,'Climate Data'!$A$7:$A$366,'Estimator'!$B$4,'Climate Data'!$B$7:$B$366,C3347)</x:f>
        <x:v>9.682010582010582</x:v>
      </x:c>
      <x:c r="J3347" s="381" t="n">
        <x:f>SUMIFS('Wind Proxy'!$H$8:$H$19,'Wind Proxy'!$A$8:$A$19,'Estimator'!$B$4,'Wind Proxy'!$B$8:$B$19,C3347)</x:f>
        <x:v>0.13757861635220128</x:v>
      </x:c>
    </x:row>
    <x:row r="3348">
      <x:c r="A3348" s="379" t="n">
        <x:v>48999</x:v>
      </x:c>
      <x:c r="B3348" s="380" t="n">
        <x:v>2034</x:v>
      </x:c>
      <x:c r="C3348" s="380" t="n">
        <x:v>2</x:v>
      </x:c>
      <x:c r="D3348" s="380" t="str">
        <x:v>Feb</x:v>
      </x:c>
      <x:c r="E3348" s="380" t="n">
        <x:v>24</x:v>
      </x:c>
      <x:c r="F3348" s="380" t="n">
        <x:v>5</x:v>
      </x:c>
      <x:c r="G3348" s="380" t="n">
        <x:f>--(F3348&lt;='Estimator'!$B$7)</x:f>
        <x:v>1</x:v>
      </x:c>
      <x:c r="H3348" s="381" t="n">
        <x:f>SUMIFS('Climate Data'!$G$7:$G$366,'Climate Data'!$A$7:$A$366,'Estimator'!$B$4,'Climate Data'!$B$7:$B$366,C3348)</x:f>
        <x:v>0.23056278464541316</x:v>
      </x:c>
      <x:c r="I3348" s="382" t="n">
        <x:f>SUMIFS('Climate Data'!$H$7:$H$366,'Climate Data'!$A$7:$A$366,'Estimator'!$B$4,'Climate Data'!$B$7:$B$366,C3348)</x:f>
        <x:v>9.682010582010582</x:v>
      </x:c>
      <x:c r="J3348" s="381" t="n">
        <x:f>SUMIFS('Wind Proxy'!$H$8:$H$19,'Wind Proxy'!$A$8:$A$19,'Estimator'!$B$4,'Wind Proxy'!$B$8:$B$19,C3348)</x:f>
        <x:v>0.13757861635220128</x:v>
      </x:c>
    </x:row>
    <x:row r="3349">
      <x:c r="A3349" s="379" t="n">
        <x:v>49000</x:v>
      </x:c>
      <x:c r="B3349" s="380" t="n">
        <x:v>2034</x:v>
      </x:c>
      <x:c r="C3349" s="380" t="n">
        <x:v>2</x:v>
      </x:c>
      <x:c r="D3349" s="380" t="str">
        <x:v>Feb</x:v>
      </x:c>
      <x:c r="E3349" s="380" t="n">
        <x:v>25</x:v>
      </x:c>
      <x:c r="F3349" s="380" t="n">
        <x:v>6</x:v>
      </x:c>
      <x:c r="G3349" s="380" t="n">
        <x:f>--(F3349&lt;='Estimator'!$B$7)</x:f>
        <x:v>0</x:v>
      </x:c>
      <x:c r="H3349" s="381" t="n">
        <x:f>SUMIFS('Climate Data'!$G$7:$G$366,'Climate Data'!$A$7:$A$366,'Estimator'!$B$4,'Climate Data'!$B$7:$B$366,C3349)</x:f>
        <x:v>0.23056278464541316</x:v>
      </x:c>
      <x:c r="I3349" s="382" t="n">
        <x:f>SUMIFS('Climate Data'!$H$7:$H$366,'Climate Data'!$A$7:$A$366,'Estimator'!$B$4,'Climate Data'!$B$7:$B$366,C3349)</x:f>
        <x:v>9.682010582010582</x:v>
      </x:c>
      <x:c r="J3349" s="381" t="n">
        <x:f>SUMIFS('Wind Proxy'!$H$8:$H$19,'Wind Proxy'!$A$8:$A$19,'Estimator'!$B$4,'Wind Proxy'!$B$8:$B$19,C3349)</x:f>
        <x:v>0.13757861635220128</x:v>
      </x:c>
    </x:row>
    <x:row r="3350">
      <x:c r="A3350" s="379" t="n">
        <x:v>49001</x:v>
      </x:c>
      <x:c r="B3350" s="380" t="n">
        <x:v>2034</x:v>
      </x:c>
      <x:c r="C3350" s="380" t="n">
        <x:v>2</x:v>
      </x:c>
      <x:c r="D3350" s="380" t="str">
        <x:v>Feb</x:v>
      </x:c>
      <x:c r="E3350" s="380" t="n">
        <x:v>26</x:v>
      </x:c>
      <x:c r="F3350" s="380" t="n">
        <x:v>7</x:v>
      </x:c>
      <x:c r="G3350" s="380" t="n">
        <x:f>--(F3350&lt;='Estimator'!$B$7)</x:f>
        <x:v>0</x:v>
      </x:c>
      <x:c r="H3350" s="381" t="n">
        <x:f>SUMIFS('Climate Data'!$G$7:$G$366,'Climate Data'!$A$7:$A$366,'Estimator'!$B$4,'Climate Data'!$B$7:$B$366,C3350)</x:f>
        <x:v>0.23056278464541316</x:v>
      </x:c>
      <x:c r="I3350" s="382" t="n">
        <x:f>SUMIFS('Climate Data'!$H$7:$H$366,'Climate Data'!$A$7:$A$366,'Estimator'!$B$4,'Climate Data'!$B$7:$B$366,C3350)</x:f>
        <x:v>9.682010582010582</x:v>
      </x:c>
      <x:c r="J3350" s="381" t="n">
        <x:f>SUMIFS('Wind Proxy'!$H$8:$H$19,'Wind Proxy'!$A$8:$A$19,'Estimator'!$B$4,'Wind Proxy'!$B$8:$B$19,C3350)</x:f>
        <x:v>0.13757861635220128</x:v>
      </x:c>
    </x:row>
    <x:row r="3351">
      <x:c r="A3351" s="379" t="n">
        <x:v>49002</x:v>
      </x:c>
      <x:c r="B3351" s="380" t="n">
        <x:v>2034</x:v>
      </x:c>
      <x:c r="C3351" s="380" t="n">
        <x:v>2</x:v>
      </x:c>
      <x:c r="D3351" s="380" t="str">
        <x:v>Feb</x:v>
      </x:c>
      <x:c r="E3351" s="380" t="n">
        <x:v>27</x:v>
      </x:c>
      <x:c r="F3351" s="380" t="n">
        <x:v>1</x:v>
      </x:c>
      <x:c r="G3351" s="380" t="n">
        <x:f>--(F3351&lt;='Estimator'!$B$7)</x:f>
        <x:v>1</x:v>
      </x:c>
      <x:c r="H3351" s="381" t="n">
        <x:f>SUMIFS('Climate Data'!$G$7:$G$366,'Climate Data'!$A$7:$A$366,'Estimator'!$B$4,'Climate Data'!$B$7:$B$366,C3351)</x:f>
        <x:v>0.23056278464541316</x:v>
      </x:c>
      <x:c r="I3351" s="382" t="n">
        <x:f>SUMIFS('Climate Data'!$H$7:$H$366,'Climate Data'!$A$7:$A$366,'Estimator'!$B$4,'Climate Data'!$B$7:$B$366,C3351)</x:f>
        <x:v>9.682010582010582</x:v>
      </x:c>
      <x:c r="J3351" s="381" t="n">
        <x:f>SUMIFS('Wind Proxy'!$H$8:$H$19,'Wind Proxy'!$A$8:$A$19,'Estimator'!$B$4,'Wind Proxy'!$B$8:$B$19,C3351)</x:f>
        <x:v>0.13757861635220128</x:v>
      </x:c>
    </x:row>
    <x:row r="3352">
      <x:c r="A3352" s="379" t="n">
        <x:v>49003</x:v>
      </x:c>
      <x:c r="B3352" s="380" t="n">
        <x:v>2034</x:v>
      </x:c>
      <x:c r="C3352" s="380" t="n">
        <x:v>2</x:v>
      </x:c>
      <x:c r="D3352" s="380" t="str">
        <x:v>Feb</x:v>
      </x:c>
      <x:c r="E3352" s="380" t="n">
        <x:v>28</x:v>
      </x:c>
      <x:c r="F3352" s="380" t="n">
        <x:v>2</x:v>
      </x:c>
      <x:c r="G3352" s="380" t="n">
        <x:f>--(F3352&lt;='Estimator'!$B$7)</x:f>
        <x:v>1</x:v>
      </x:c>
      <x:c r="H3352" s="381" t="n">
        <x:f>SUMIFS('Climate Data'!$G$7:$G$366,'Climate Data'!$A$7:$A$366,'Estimator'!$B$4,'Climate Data'!$B$7:$B$366,C3352)</x:f>
        <x:v>0.23056278464541316</x:v>
      </x:c>
      <x:c r="I3352" s="382" t="n">
        <x:f>SUMIFS('Climate Data'!$H$7:$H$366,'Climate Data'!$A$7:$A$366,'Estimator'!$B$4,'Climate Data'!$B$7:$B$366,C3352)</x:f>
        <x:v>9.682010582010582</x:v>
      </x:c>
      <x:c r="J3352" s="381" t="n">
        <x:f>SUMIFS('Wind Proxy'!$H$8:$H$19,'Wind Proxy'!$A$8:$A$19,'Estimator'!$B$4,'Wind Proxy'!$B$8:$B$19,C3352)</x:f>
        <x:v>0.13757861635220128</x:v>
      </x:c>
    </x:row>
    <x:row r="3353">
      <x:c r="A3353" s="379" t="n">
        <x:v>49004</x:v>
      </x:c>
      <x:c r="B3353" s="380" t="n">
        <x:v>2034</x:v>
      </x:c>
      <x:c r="C3353" s="380" t="n">
        <x:v>3</x:v>
      </x:c>
      <x:c r="D3353" s="380" t="str">
        <x:v>Mar</x:v>
      </x:c>
      <x:c r="E3353" s="380" t="n">
        <x:v>1</x:v>
      </x:c>
      <x:c r="F3353" s="380" t="n">
        <x:v>3</x:v>
      </x:c>
      <x:c r="G3353" s="380" t="n">
        <x:f>--(F3353&lt;='Estimator'!$B$7)</x:f>
        <x:v>1</x:v>
      </x:c>
      <x:c r="H3353" s="381" t="n">
        <x:f>SUMIFS('Climate Data'!$G$7:$G$366,'Climate Data'!$A$7:$A$366,'Estimator'!$B$4,'Climate Data'!$B$7:$B$366,C3353)</x:f>
        <x:v>0.24916573971078979</x:v>
      </x:c>
      <x:c r="I3353" s="382" t="n">
        <x:f>SUMIFS('Climate Data'!$H$7:$H$366,'Climate Data'!$A$7:$A$366,'Estimator'!$B$4,'Climate Data'!$B$7:$B$366,C3353)</x:f>
        <x:v>9.709821428571429</x:v>
      </x:c>
      <x:c r="J3353" s="381" t="n">
        <x:f>SUMIFS('Wind Proxy'!$H$8:$H$19,'Wind Proxy'!$A$8:$A$19,'Estimator'!$B$4,'Wind Proxy'!$B$8:$B$19,C3353)</x:f>
        <x:v>0.11350059737156513</x:v>
      </x:c>
    </x:row>
    <x:row r="3354">
      <x:c r="A3354" s="379" t="n">
        <x:v>49005</x:v>
      </x:c>
      <x:c r="B3354" s="380" t="n">
        <x:v>2034</x:v>
      </x:c>
      <x:c r="C3354" s="380" t="n">
        <x:v>3</x:v>
      </x:c>
      <x:c r="D3354" s="380" t="str">
        <x:v>Mar</x:v>
      </x:c>
      <x:c r="E3354" s="380" t="n">
        <x:v>2</x:v>
      </x:c>
      <x:c r="F3354" s="380" t="n">
        <x:v>4</x:v>
      </x:c>
      <x:c r="G3354" s="380" t="n">
        <x:f>--(F3354&lt;='Estimator'!$B$7)</x:f>
        <x:v>1</x:v>
      </x:c>
      <x:c r="H3354" s="381" t="n">
        <x:f>SUMIFS('Climate Data'!$G$7:$G$366,'Climate Data'!$A$7:$A$366,'Estimator'!$B$4,'Climate Data'!$B$7:$B$366,C3354)</x:f>
        <x:v>0.24916573971078979</x:v>
      </x:c>
      <x:c r="I3354" s="382" t="n">
        <x:f>SUMIFS('Climate Data'!$H$7:$H$366,'Climate Data'!$A$7:$A$366,'Estimator'!$B$4,'Climate Data'!$B$7:$B$366,C3354)</x:f>
        <x:v>9.709821428571429</x:v>
      </x:c>
      <x:c r="J3354" s="381" t="n">
        <x:f>SUMIFS('Wind Proxy'!$H$8:$H$19,'Wind Proxy'!$A$8:$A$19,'Estimator'!$B$4,'Wind Proxy'!$B$8:$B$19,C3354)</x:f>
        <x:v>0.11350059737156513</x:v>
      </x:c>
    </x:row>
    <x:row r="3355">
      <x:c r="A3355" s="379" t="n">
        <x:v>49006</x:v>
      </x:c>
      <x:c r="B3355" s="380" t="n">
        <x:v>2034</x:v>
      </x:c>
      <x:c r="C3355" s="380" t="n">
        <x:v>3</x:v>
      </x:c>
      <x:c r="D3355" s="380" t="str">
        <x:v>Mar</x:v>
      </x:c>
      <x:c r="E3355" s="380" t="n">
        <x:v>3</x:v>
      </x:c>
      <x:c r="F3355" s="380" t="n">
        <x:v>5</x:v>
      </x:c>
      <x:c r="G3355" s="380" t="n">
        <x:f>--(F3355&lt;='Estimator'!$B$7)</x:f>
        <x:v>1</x:v>
      </x:c>
      <x:c r="H3355" s="381" t="n">
        <x:f>SUMIFS('Climate Data'!$G$7:$G$366,'Climate Data'!$A$7:$A$366,'Estimator'!$B$4,'Climate Data'!$B$7:$B$366,C3355)</x:f>
        <x:v>0.24916573971078979</x:v>
      </x:c>
      <x:c r="I3355" s="382" t="n">
        <x:f>SUMIFS('Climate Data'!$H$7:$H$366,'Climate Data'!$A$7:$A$366,'Estimator'!$B$4,'Climate Data'!$B$7:$B$366,C3355)</x:f>
        <x:v>9.709821428571429</x:v>
      </x:c>
      <x:c r="J3355" s="381" t="n">
        <x:f>SUMIFS('Wind Proxy'!$H$8:$H$19,'Wind Proxy'!$A$8:$A$19,'Estimator'!$B$4,'Wind Proxy'!$B$8:$B$19,C3355)</x:f>
        <x:v>0.11350059737156513</x:v>
      </x:c>
    </x:row>
    <x:row r="3356">
      <x:c r="A3356" s="379" t="n">
        <x:v>49007</x:v>
      </x:c>
      <x:c r="B3356" s="380" t="n">
        <x:v>2034</x:v>
      </x:c>
      <x:c r="C3356" s="380" t="n">
        <x:v>3</x:v>
      </x:c>
      <x:c r="D3356" s="380" t="str">
        <x:v>Mar</x:v>
      </x:c>
      <x:c r="E3356" s="380" t="n">
        <x:v>4</x:v>
      </x:c>
      <x:c r="F3356" s="380" t="n">
        <x:v>6</x:v>
      </x:c>
      <x:c r="G3356" s="380" t="n">
        <x:f>--(F3356&lt;='Estimator'!$B$7)</x:f>
        <x:v>0</x:v>
      </x:c>
      <x:c r="H3356" s="381" t="n">
        <x:f>SUMIFS('Climate Data'!$G$7:$G$366,'Climate Data'!$A$7:$A$366,'Estimator'!$B$4,'Climate Data'!$B$7:$B$366,C3356)</x:f>
        <x:v>0.24916573971078979</x:v>
      </x:c>
      <x:c r="I3356" s="382" t="n">
        <x:f>SUMIFS('Climate Data'!$H$7:$H$366,'Climate Data'!$A$7:$A$366,'Estimator'!$B$4,'Climate Data'!$B$7:$B$366,C3356)</x:f>
        <x:v>9.709821428571429</x:v>
      </x:c>
      <x:c r="J3356" s="381" t="n">
        <x:f>SUMIFS('Wind Proxy'!$H$8:$H$19,'Wind Proxy'!$A$8:$A$19,'Estimator'!$B$4,'Wind Proxy'!$B$8:$B$19,C3356)</x:f>
        <x:v>0.11350059737156513</x:v>
      </x:c>
    </x:row>
    <x:row r="3357">
      <x:c r="A3357" s="379" t="n">
        <x:v>49008</x:v>
      </x:c>
      <x:c r="B3357" s="380" t="n">
        <x:v>2034</x:v>
      </x:c>
      <x:c r="C3357" s="380" t="n">
        <x:v>3</x:v>
      </x:c>
      <x:c r="D3357" s="380" t="str">
        <x:v>Mar</x:v>
      </x:c>
      <x:c r="E3357" s="380" t="n">
        <x:v>5</x:v>
      </x:c>
      <x:c r="F3357" s="380" t="n">
        <x:v>7</x:v>
      </x:c>
      <x:c r="G3357" s="380" t="n">
        <x:f>--(F3357&lt;='Estimator'!$B$7)</x:f>
        <x:v>0</x:v>
      </x:c>
      <x:c r="H3357" s="381" t="n">
        <x:f>SUMIFS('Climate Data'!$G$7:$G$366,'Climate Data'!$A$7:$A$366,'Estimator'!$B$4,'Climate Data'!$B$7:$B$366,C3357)</x:f>
        <x:v>0.24916573971078979</x:v>
      </x:c>
      <x:c r="I3357" s="382" t="n">
        <x:f>SUMIFS('Climate Data'!$H$7:$H$366,'Climate Data'!$A$7:$A$366,'Estimator'!$B$4,'Climate Data'!$B$7:$B$366,C3357)</x:f>
        <x:v>9.709821428571429</x:v>
      </x:c>
      <x:c r="J3357" s="381" t="n">
        <x:f>SUMIFS('Wind Proxy'!$H$8:$H$19,'Wind Proxy'!$A$8:$A$19,'Estimator'!$B$4,'Wind Proxy'!$B$8:$B$19,C3357)</x:f>
        <x:v>0.11350059737156513</x:v>
      </x:c>
    </x:row>
    <x:row r="3358">
      <x:c r="A3358" s="379" t="n">
        <x:v>49009</x:v>
      </x:c>
      <x:c r="B3358" s="380" t="n">
        <x:v>2034</x:v>
      </x:c>
      <x:c r="C3358" s="380" t="n">
        <x:v>3</x:v>
      </x:c>
      <x:c r="D3358" s="380" t="str">
        <x:v>Mar</x:v>
      </x:c>
      <x:c r="E3358" s="380" t="n">
        <x:v>6</x:v>
      </x:c>
      <x:c r="F3358" s="380" t="n">
        <x:v>1</x:v>
      </x:c>
      <x:c r="G3358" s="380" t="n">
        <x:f>--(F3358&lt;='Estimator'!$B$7)</x:f>
        <x:v>1</x:v>
      </x:c>
      <x:c r="H3358" s="381" t="n">
        <x:f>SUMIFS('Climate Data'!$G$7:$G$366,'Climate Data'!$A$7:$A$366,'Estimator'!$B$4,'Climate Data'!$B$7:$B$366,C3358)</x:f>
        <x:v>0.24916573971078979</x:v>
      </x:c>
      <x:c r="I3358" s="382" t="n">
        <x:f>SUMIFS('Climate Data'!$H$7:$H$366,'Climate Data'!$A$7:$A$366,'Estimator'!$B$4,'Climate Data'!$B$7:$B$366,C3358)</x:f>
        <x:v>9.709821428571429</x:v>
      </x:c>
      <x:c r="J3358" s="381" t="n">
        <x:f>SUMIFS('Wind Proxy'!$H$8:$H$19,'Wind Proxy'!$A$8:$A$19,'Estimator'!$B$4,'Wind Proxy'!$B$8:$B$19,C3358)</x:f>
        <x:v>0.11350059737156513</x:v>
      </x:c>
    </x:row>
    <x:row r="3359">
      <x:c r="A3359" s="379" t="n">
        <x:v>49010</x:v>
      </x:c>
      <x:c r="B3359" s="380" t="n">
        <x:v>2034</x:v>
      </x:c>
      <x:c r="C3359" s="380" t="n">
        <x:v>3</x:v>
      </x:c>
      <x:c r="D3359" s="380" t="str">
        <x:v>Mar</x:v>
      </x:c>
      <x:c r="E3359" s="380" t="n">
        <x:v>7</x:v>
      </x:c>
      <x:c r="F3359" s="380" t="n">
        <x:v>2</x:v>
      </x:c>
      <x:c r="G3359" s="380" t="n">
        <x:f>--(F3359&lt;='Estimator'!$B$7)</x:f>
        <x:v>1</x:v>
      </x:c>
      <x:c r="H3359" s="381" t="n">
        <x:f>SUMIFS('Climate Data'!$G$7:$G$366,'Climate Data'!$A$7:$A$366,'Estimator'!$B$4,'Climate Data'!$B$7:$B$366,C3359)</x:f>
        <x:v>0.24916573971078979</x:v>
      </x:c>
      <x:c r="I3359" s="382" t="n">
        <x:f>SUMIFS('Climate Data'!$H$7:$H$366,'Climate Data'!$A$7:$A$366,'Estimator'!$B$4,'Climate Data'!$B$7:$B$366,C3359)</x:f>
        <x:v>9.709821428571429</x:v>
      </x:c>
      <x:c r="J3359" s="381" t="n">
        <x:f>SUMIFS('Wind Proxy'!$H$8:$H$19,'Wind Proxy'!$A$8:$A$19,'Estimator'!$B$4,'Wind Proxy'!$B$8:$B$19,C3359)</x:f>
        <x:v>0.11350059737156513</x:v>
      </x:c>
    </x:row>
    <x:row r="3360">
      <x:c r="A3360" s="379" t="n">
        <x:v>49011</x:v>
      </x:c>
      <x:c r="B3360" s="380" t="n">
        <x:v>2034</x:v>
      </x:c>
      <x:c r="C3360" s="380" t="n">
        <x:v>3</x:v>
      </x:c>
      <x:c r="D3360" s="380" t="str">
        <x:v>Mar</x:v>
      </x:c>
      <x:c r="E3360" s="380" t="n">
        <x:v>8</x:v>
      </x:c>
      <x:c r="F3360" s="380" t="n">
        <x:v>3</x:v>
      </x:c>
      <x:c r="G3360" s="380" t="n">
        <x:f>--(F3360&lt;='Estimator'!$B$7)</x:f>
        <x:v>1</x:v>
      </x:c>
      <x:c r="H3360" s="381" t="n">
        <x:f>SUMIFS('Climate Data'!$G$7:$G$366,'Climate Data'!$A$7:$A$366,'Estimator'!$B$4,'Climate Data'!$B$7:$B$366,C3360)</x:f>
        <x:v>0.24916573971078979</x:v>
      </x:c>
      <x:c r="I3360" s="382" t="n">
        <x:f>SUMIFS('Climate Data'!$H$7:$H$366,'Climate Data'!$A$7:$A$366,'Estimator'!$B$4,'Climate Data'!$B$7:$B$366,C3360)</x:f>
        <x:v>9.709821428571429</x:v>
      </x:c>
      <x:c r="J3360" s="381" t="n">
        <x:f>SUMIFS('Wind Proxy'!$H$8:$H$19,'Wind Proxy'!$A$8:$A$19,'Estimator'!$B$4,'Wind Proxy'!$B$8:$B$19,C3360)</x:f>
        <x:v>0.11350059737156513</x:v>
      </x:c>
    </x:row>
    <x:row r="3361">
      <x:c r="A3361" s="379" t="n">
        <x:v>49012</x:v>
      </x:c>
      <x:c r="B3361" s="380" t="n">
        <x:v>2034</x:v>
      </x:c>
      <x:c r="C3361" s="380" t="n">
        <x:v>3</x:v>
      </x:c>
      <x:c r="D3361" s="380" t="str">
        <x:v>Mar</x:v>
      </x:c>
      <x:c r="E3361" s="380" t="n">
        <x:v>9</x:v>
      </x:c>
      <x:c r="F3361" s="380" t="n">
        <x:v>4</x:v>
      </x:c>
      <x:c r="G3361" s="380" t="n">
        <x:f>--(F3361&lt;='Estimator'!$B$7)</x:f>
        <x:v>1</x:v>
      </x:c>
      <x:c r="H3361" s="381" t="n">
        <x:f>SUMIFS('Climate Data'!$G$7:$G$366,'Climate Data'!$A$7:$A$366,'Estimator'!$B$4,'Climate Data'!$B$7:$B$366,C3361)</x:f>
        <x:v>0.24916573971078979</x:v>
      </x:c>
      <x:c r="I3361" s="382" t="n">
        <x:f>SUMIFS('Climate Data'!$H$7:$H$366,'Climate Data'!$A$7:$A$366,'Estimator'!$B$4,'Climate Data'!$B$7:$B$366,C3361)</x:f>
        <x:v>9.709821428571429</x:v>
      </x:c>
      <x:c r="J3361" s="381" t="n">
        <x:f>SUMIFS('Wind Proxy'!$H$8:$H$19,'Wind Proxy'!$A$8:$A$19,'Estimator'!$B$4,'Wind Proxy'!$B$8:$B$19,C3361)</x:f>
        <x:v>0.11350059737156513</x:v>
      </x:c>
    </x:row>
    <x:row r="3362">
      <x:c r="A3362" s="379" t="n">
        <x:v>49013</x:v>
      </x:c>
      <x:c r="B3362" s="380" t="n">
        <x:v>2034</x:v>
      </x:c>
      <x:c r="C3362" s="380" t="n">
        <x:v>3</x:v>
      </x:c>
      <x:c r="D3362" s="380" t="str">
        <x:v>Mar</x:v>
      </x:c>
      <x:c r="E3362" s="380" t="n">
        <x:v>10</x:v>
      </x:c>
      <x:c r="F3362" s="380" t="n">
        <x:v>5</x:v>
      </x:c>
      <x:c r="G3362" s="380" t="n">
        <x:f>--(F3362&lt;='Estimator'!$B$7)</x:f>
        <x:v>1</x:v>
      </x:c>
      <x:c r="H3362" s="381" t="n">
        <x:f>SUMIFS('Climate Data'!$G$7:$G$366,'Climate Data'!$A$7:$A$366,'Estimator'!$B$4,'Climate Data'!$B$7:$B$366,C3362)</x:f>
        <x:v>0.24916573971078979</x:v>
      </x:c>
      <x:c r="I3362" s="382" t="n">
        <x:f>SUMIFS('Climate Data'!$H$7:$H$366,'Climate Data'!$A$7:$A$366,'Estimator'!$B$4,'Climate Data'!$B$7:$B$366,C3362)</x:f>
        <x:v>9.709821428571429</x:v>
      </x:c>
      <x:c r="J3362" s="381" t="n">
        <x:f>SUMIFS('Wind Proxy'!$H$8:$H$19,'Wind Proxy'!$A$8:$A$19,'Estimator'!$B$4,'Wind Proxy'!$B$8:$B$19,C3362)</x:f>
        <x:v>0.11350059737156513</x:v>
      </x:c>
    </x:row>
    <x:row r="3363">
      <x:c r="A3363" s="379" t="n">
        <x:v>49014</x:v>
      </x:c>
      <x:c r="B3363" s="380" t="n">
        <x:v>2034</x:v>
      </x:c>
      <x:c r="C3363" s="380" t="n">
        <x:v>3</x:v>
      </x:c>
      <x:c r="D3363" s="380" t="str">
        <x:v>Mar</x:v>
      </x:c>
      <x:c r="E3363" s="380" t="n">
        <x:v>11</x:v>
      </x:c>
      <x:c r="F3363" s="380" t="n">
        <x:v>6</x:v>
      </x:c>
      <x:c r="G3363" s="380" t="n">
        <x:f>--(F3363&lt;='Estimator'!$B$7)</x:f>
        <x:v>0</x:v>
      </x:c>
      <x:c r="H3363" s="381" t="n">
        <x:f>SUMIFS('Climate Data'!$G$7:$G$366,'Climate Data'!$A$7:$A$366,'Estimator'!$B$4,'Climate Data'!$B$7:$B$366,C3363)</x:f>
        <x:v>0.24916573971078979</x:v>
      </x:c>
      <x:c r="I3363" s="382" t="n">
        <x:f>SUMIFS('Climate Data'!$H$7:$H$366,'Climate Data'!$A$7:$A$366,'Estimator'!$B$4,'Climate Data'!$B$7:$B$366,C3363)</x:f>
        <x:v>9.709821428571429</x:v>
      </x:c>
      <x:c r="J3363" s="381" t="n">
        <x:f>SUMIFS('Wind Proxy'!$H$8:$H$19,'Wind Proxy'!$A$8:$A$19,'Estimator'!$B$4,'Wind Proxy'!$B$8:$B$19,C3363)</x:f>
        <x:v>0.11350059737156513</x:v>
      </x:c>
    </x:row>
    <x:row r="3364">
      <x:c r="A3364" s="379" t="n">
        <x:v>49015</x:v>
      </x:c>
      <x:c r="B3364" s="380" t="n">
        <x:v>2034</x:v>
      </x:c>
      <x:c r="C3364" s="380" t="n">
        <x:v>3</x:v>
      </x:c>
      <x:c r="D3364" s="380" t="str">
        <x:v>Mar</x:v>
      </x:c>
      <x:c r="E3364" s="380" t="n">
        <x:v>12</x:v>
      </x:c>
      <x:c r="F3364" s="380" t="n">
        <x:v>7</x:v>
      </x:c>
      <x:c r="G3364" s="380" t="n">
        <x:f>--(F3364&lt;='Estimator'!$B$7)</x:f>
        <x:v>0</x:v>
      </x:c>
      <x:c r="H3364" s="381" t="n">
        <x:f>SUMIFS('Climate Data'!$G$7:$G$366,'Climate Data'!$A$7:$A$366,'Estimator'!$B$4,'Climate Data'!$B$7:$B$366,C3364)</x:f>
        <x:v>0.24916573971078979</x:v>
      </x:c>
      <x:c r="I3364" s="382" t="n">
        <x:f>SUMIFS('Climate Data'!$H$7:$H$366,'Climate Data'!$A$7:$A$366,'Estimator'!$B$4,'Climate Data'!$B$7:$B$366,C3364)</x:f>
        <x:v>9.709821428571429</x:v>
      </x:c>
      <x:c r="J3364" s="381" t="n">
        <x:f>SUMIFS('Wind Proxy'!$H$8:$H$19,'Wind Proxy'!$A$8:$A$19,'Estimator'!$B$4,'Wind Proxy'!$B$8:$B$19,C3364)</x:f>
        <x:v>0.11350059737156513</x:v>
      </x:c>
    </x:row>
    <x:row r="3365">
      <x:c r="A3365" s="379" t="n">
        <x:v>49016</x:v>
      </x:c>
      <x:c r="B3365" s="380" t="n">
        <x:v>2034</x:v>
      </x:c>
      <x:c r="C3365" s="380" t="n">
        <x:v>3</x:v>
      </x:c>
      <x:c r="D3365" s="380" t="str">
        <x:v>Mar</x:v>
      </x:c>
      <x:c r="E3365" s="380" t="n">
        <x:v>13</x:v>
      </x:c>
      <x:c r="F3365" s="380" t="n">
        <x:v>1</x:v>
      </x:c>
      <x:c r="G3365" s="380" t="n">
        <x:f>--(F3365&lt;='Estimator'!$B$7)</x:f>
        <x:v>1</x:v>
      </x:c>
      <x:c r="H3365" s="381" t="n">
        <x:f>SUMIFS('Climate Data'!$G$7:$G$366,'Climate Data'!$A$7:$A$366,'Estimator'!$B$4,'Climate Data'!$B$7:$B$366,C3365)</x:f>
        <x:v>0.24916573971078979</x:v>
      </x:c>
      <x:c r="I3365" s="382" t="n">
        <x:f>SUMIFS('Climate Data'!$H$7:$H$366,'Climate Data'!$A$7:$A$366,'Estimator'!$B$4,'Climate Data'!$B$7:$B$366,C3365)</x:f>
        <x:v>9.709821428571429</x:v>
      </x:c>
      <x:c r="J3365" s="381" t="n">
        <x:f>SUMIFS('Wind Proxy'!$H$8:$H$19,'Wind Proxy'!$A$8:$A$19,'Estimator'!$B$4,'Wind Proxy'!$B$8:$B$19,C3365)</x:f>
        <x:v>0.11350059737156513</x:v>
      </x:c>
    </x:row>
    <x:row r="3366">
      <x:c r="A3366" s="379" t="n">
        <x:v>49017</x:v>
      </x:c>
      <x:c r="B3366" s="380" t="n">
        <x:v>2034</x:v>
      </x:c>
      <x:c r="C3366" s="380" t="n">
        <x:v>3</x:v>
      </x:c>
      <x:c r="D3366" s="380" t="str">
        <x:v>Mar</x:v>
      </x:c>
      <x:c r="E3366" s="380" t="n">
        <x:v>14</x:v>
      </x:c>
      <x:c r="F3366" s="380" t="n">
        <x:v>2</x:v>
      </x:c>
      <x:c r="G3366" s="380" t="n">
        <x:f>--(F3366&lt;='Estimator'!$B$7)</x:f>
        <x:v>1</x:v>
      </x:c>
      <x:c r="H3366" s="381" t="n">
        <x:f>SUMIFS('Climate Data'!$G$7:$G$366,'Climate Data'!$A$7:$A$366,'Estimator'!$B$4,'Climate Data'!$B$7:$B$366,C3366)</x:f>
        <x:v>0.24916573971078979</x:v>
      </x:c>
      <x:c r="I3366" s="382" t="n">
        <x:f>SUMIFS('Climate Data'!$H$7:$H$366,'Climate Data'!$A$7:$A$366,'Estimator'!$B$4,'Climate Data'!$B$7:$B$366,C3366)</x:f>
        <x:v>9.709821428571429</x:v>
      </x:c>
      <x:c r="J3366" s="381" t="n">
        <x:f>SUMIFS('Wind Proxy'!$H$8:$H$19,'Wind Proxy'!$A$8:$A$19,'Estimator'!$B$4,'Wind Proxy'!$B$8:$B$19,C3366)</x:f>
        <x:v>0.11350059737156513</x:v>
      </x:c>
    </x:row>
    <x:row r="3367">
      <x:c r="A3367" s="379" t="n">
        <x:v>49018</x:v>
      </x:c>
      <x:c r="B3367" s="380" t="n">
        <x:v>2034</x:v>
      </x:c>
      <x:c r="C3367" s="380" t="n">
        <x:v>3</x:v>
      </x:c>
      <x:c r="D3367" s="380" t="str">
        <x:v>Mar</x:v>
      </x:c>
      <x:c r="E3367" s="380" t="n">
        <x:v>15</x:v>
      </x:c>
      <x:c r="F3367" s="380" t="n">
        <x:v>3</x:v>
      </x:c>
      <x:c r="G3367" s="380" t="n">
        <x:f>--(F3367&lt;='Estimator'!$B$7)</x:f>
        <x:v>1</x:v>
      </x:c>
      <x:c r="H3367" s="381" t="n">
        <x:f>SUMIFS('Climate Data'!$G$7:$G$366,'Climate Data'!$A$7:$A$366,'Estimator'!$B$4,'Climate Data'!$B$7:$B$366,C3367)</x:f>
        <x:v>0.24916573971078979</x:v>
      </x:c>
      <x:c r="I3367" s="382" t="n">
        <x:f>SUMIFS('Climate Data'!$H$7:$H$366,'Climate Data'!$A$7:$A$366,'Estimator'!$B$4,'Climate Data'!$B$7:$B$366,C3367)</x:f>
        <x:v>9.709821428571429</x:v>
      </x:c>
      <x:c r="J3367" s="381" t="n">
        <x:f>SUMIFS('Wind Proxy'!$H$8:$H$19,'Wind Proxy'!$A$8:$A$19,'Estimator'!$B$4,'Wind Proxy'!$B$8:$B$19,C3367)</x:f>
        <x:v>0.11350059737156513</x:v>
      </x:c>
    </x:row>
    <x:row r="3368">
      <x:c r="A3368" s="379" t="n">
        <x:v>49019</x:v>
      </x:c>
      <x:c r="B3368" s="380" t="n">
        <x:v>2034</x:v>
      </x:c>
      <x:c r="C3368" s="380" t="n">
        <x:v>3</x:v>
      </x:c>
      <x:c r="D3368" s="380" t="str">
        <x:v>Mar</x:v>
      </x:c>
      <x:c r="E3368" s="380" t="n">
        <x:v>16</x:v>
      </x:c>
      <x:c r="F3368" s="380" t="n">
        <x:v>4</x:v>
      </x:c>
      <x:c r="G3368" s="380" t="n">
        <x:f>--(F3368&lt;='Estimator'!$B$7)</x:f>
        <x:v>1</x:v>
      </x:c>
      <x:c r="H3368" s="381" t="n">
        <x:f>SUMIFS('Climate Data'!$G$7:$G$366,'Climate Data'!$A$7:$A$366,'Estimator'!$B$4,'Climate Data'!$B$7:$B$366,C3368)</x:f>
        <x:v>0.24916573971078979</x:v>
      </x:c>
      <x:c r="I3368" s="382" t="n">
        <x:f>SUMIFS('Climate Data'!$H$7:$H$366,'Climate Data'!$A$7:$A$366,'Estimator'!$B$4,'Climate Data'!$B$7:$B$366,C3368)</x:f>
        <x:v>9.709821428571429</x:v>
      </x:c>
      <x:c r="J3368" s="381" t="n">
        <x:f>SUMIFS('Wind Proxy'!$H$8:$H$19,'Wind Proxy'!$A$8:$A$19,'Estimator'!$B$4,'Wind Proxy'!$B$8:$B$19,C3368)</x:f>
        <x:v>0.11350059737156513</x:v>
      </x:c>
    </x:row>
    <x:row r="3369">
      <x:c r="A3369" s="379" t="n">
        <x:v>49020</x:v>
      </x:c>
      <x:c r="B3369" s="380" t="n">
        <x:v>2034</x:v>
      </x:c>
      <x:c r="C3369" s="380" t="n">
        <x:v>3</x:v>
      </x:c>
      <x:c r="D3369" s="380" t="str">
        <x:v>Mar</x:v>
      </x:c>
      <x:c r="E3369" s="380" t="n">
        <x:v>17</x:v>
      </x:c>
      <x:c r="F3369" s="380" t="n">
        <x:v>5</x:v>
      </x:c>
      <x:c r="G3369" s="380" t="n">
        <x:f>--(F3369&lt;='Estimator'!$B$7)</x:f>
        <x:v>1</x:v>
      </x:c>
      <x:c r="H3369" s="381" t="n">
        <x:f>SUMIFS('Climate Data'!$G$7:$G$366,'Climate Data'!$A$7:$A$366,'Estimator'!$B$4,'Climate Data'!$B$7:$B$366,C3369)</x:f>
        <x:v>0.24916573971078979</x:v>
      </x:c>
      <x:c r="I3369" s="382" t="n">
        <x:f>SUMIFS('Climate Data'!$H$7:$H$366,'Climate Data'!$A$7:$A$366,'Estimator'!$B$4,'Climate Data'!$B$7:$B$366,C3369)</x:f>
        <x:v>9.709821428571429</x:v>
      </x:c>
      <x:c r="J3369" s="381" t="n">
        <x:f>SUMIFS('Wind Proxy'!$H$8:$H$19,'Wind Proxy'!$A$8:$A$19,'Estimator'!$B$4,'Wind Proxy'!$B$8:$B$19,C3369)</x:f>
        <x:v>0.11350059737156513</x:v>
      </x:c>
    </x:row>
    <x:row r="3370">
      <x:c r="A3370" s="379" t="n">
        <x:v>49021</x:v>
      </x:c>
      <x:c r="B3370" s="380" t="n">
        <x:v>2034</x:v>
      </x:c>
      <x:c r="C3370" s="380" t="n">
        <x:v>3</x:v>
      </x:c>
      <x:c r="D3370" s="380" t="str">
        <x:v>Mar</x:v>
      </x:c>
      <x:c r="E3370" s="380" t="n">
        <x:v>18</x:v>
      </x:c>
      <x:c r="F3370" s="380" t="n">
        <x:v>6</x:v>
      </x:c>
      <x:c r="G3370" s="380" t="n">
        <x:f>--(F3370&lt;='Estimator'!$B$7)</x:f>
        <x:v>0</x:v>
      </x:c>
      <x:c r="H3370" s="381" t="n">
        <x:f>SUMIFS('Climate Data'!$G$7:$G$366,'Climate Data'!$A$7:$A$366,'Estimator'!$B$4,'Climate Data'!$B$7:$B$366,C3370)</x:f>
        <x:v>0.24916573971078979</x:v>
      </x:c>
      <x:c r="I3370" s="382" t="n">
        <x:f>SUMIFS('Climate Data'!$H$7:$H$366,'Climate Data'!$A$7:$A$366,'Estimator'!$B$4,'Climate Data'!$B$7:$B$366,C3370)</x:f>
        <x:v>9.709821428571429</x:v>
      </x:c>
      <x:c r="J3370" s="381" t="n">
        <x:f>SUMIFS('Wind Proxy'!$H$8:$H$19,'Wind Proxy'!$A$8:$A$19,'Estimator'!$B$4,'Wind Proxy'!$B$8:$B$19,C3370)</x:f>
        <x:v>0.11350059737156513</x:v>
      </x:c>
    </x:row>
    <x:row r="3371">
      <x:c r="A3371" s="379" t="n">
        <x:v>49022</x:v>
      </x:c>
      <x:c r="B3371" s="380" t="n">
        <x:v>2034</x:v>
      </x:c>
      <x:c r="C3371" s="380" t="n">
        <x:v>3</x:v>
      </x:c>
      <x:c r="D3371" s="380" t="str">
        <x:v>Mar</x:v>
      </x:c>
      <x:c r="E3371" s="380" t="n">
        <x:v>19</x:v>
      </x:c>
      <x:c r="F3371" s="380" t="n">
        <x:v>7</x:v>
      </x:c>
      <x:c r="G3371" s="380" t="n">
        <x:f>--(F3371&lt;='Estimator'!$B$7)</x:f>
        <x:v>0</x:v>
      </x:c>
      <x:c r="H3371" s="381" t="n">
        <x:f>SUMIFS('Climate Data'!$G$7:$G$366,'Climate Data'!$A$7:$A$366,'Estimator'!$B$4,'Climate Data'!$B$7:$B$366,C3371)</x:f>
        <x:v>0.24916573971078979</x:v>
      </x:c>
      <x:c r="I3371" s="382" t="n">
        <x:f>SUMIFS('Climate Data'!$H$7:$H$366,'Climate Data'!$A$7:$A$366,'Estimator'!$B$4,'Climate Data'!$B$7:$B$366,C3371)</x:f>
        <x:v>9.709821428571429</x:v>
      </x:c>
      <x:c r="J3371" s="381" t="n">
        <x:f>SUMIFS('Wind Proxy'!$H$8:$H$19,'Wind Proxy'!$A$8:$A$19,'Estimator'!$B$4,'Wind Proxy'!$B$8:$B$19,C3371)</x:f>
        <x:v>0.11350059737156513</x:v>
      </x:c>
    </x:row>
    <x:row r="3372">
      <x:c r="A3372" s="379" t="n">
        <x:v>49023</x:v>
      </x:c>
      <x:c r="B3372" s="380" t="n">
        <x:v>2034</x:v>
      </x:c>
      <x:c r="C3372" s="380" t="n">
        <x:v>3</x:v>
      </x:c>
      <x:c r="D3372" s="380" t="str">
        <x:v>Mar</x:v>
      </x:c>
      <x:c r="E3372" s="380" t="n">
        <x:v>20</x:v>
      </x:c>
      <x:c r="F3372" s="380" t="n">
        <x:v>1</x:v>
      </x:c>
      <x:c r="G3372" s="380" t="n">
        <x:f>--(F3372&lt;='Estimator'!$B$7)</x:f>
        <x:v>1</x:v>
      </x:c>
      <x:c r="H3372" s="381" t="n">
        <x:f>SUMIFS('Climate Data'!$G$7:$G$366,'Climate Data'!$A$7:$A$366,'Estimator'!$B$4,'Climate Data'!$B$7:$B$366,C3372)</x:f>
        <x:v>0.24916573971078979</x:v>
      </x:c>
      <x:c r="I3372" s="382" t="n">
        <x:f>SUMIFS('Climate Data'!$H$7:$H$366,'Climate Data'!$A$7:$A$366,'Estimator'!$B$4,'Climate Data'!$B$7:$B$366,C3372)</x:f>
        <x:v>9.709821428571429</x:v>
      </x:c>
      <x:c r="J3372" s="381" t="n">
        <x:f>SUMIFS('Wind Proxy'!$H$8:$H$19,'Wind Proxy'!$A$8:$A$19,'Estimator'!$B$4,'Wind Proxy'!$B$8:$B$19,C3372)</x:f>
        <x:v>0.11350059737156513</x:v>
      </x:c>
    </x:row>
    <x:row r="3373">
      <x:c r="A3373" s="379" t="n">
        <x:v>49024</x:v>
      </x:c>
      <x:c r="B3373" s="380" t="n">
        <x:v>2034</x:v>
      </x:c>
      <x:c r="C3373" s="380" t="n">
        <x:v>3</x:v>
      </x:c>
      <x:c r="D3373" s="380" t="str">
        <x:v>Mar</x:v>
      </x:c>
      <x:c r="E3373" s="380" t="n">
        <x:v>21</x:v>
      </x:c>
      <x:c r="F3373" s="380" t="n">
        <x:v>2</x:v>
      </x:c>
      <x:c r="G3373" s="380" t="n">
        <x:f>--(F3373&lt;='Estimator'!$B$7)</x:f>
        <x:v>1</x:v>
      </x:c>
      <x:c r="H3373" s="381" t="n">
        <x:f>SUMIFS('Climate Data'!$G$7:$G$366,'Climate Data'!$A$7:$A$366,'Estimator'!$B$4,'Climate Data'!$B$7:$B$366,C3373)</x:f>
        <x:v>0.24916573971078979</x:v>
      </x:c>
      <x:c r="I3373" s="382" t="n">
        <x:f>SUMIFS('Climate Data'!$H$7:$H$366,'Climate Data'!$A$7:$A$366,'Estimator'!$B$4,'Climate Data'!$B$7:$B$366,C3373)</x:f>
        <x:v>9.709821428571429</x:v>
      </x:c>
      <x:c r="J3373" s="381" t="n">
        <x:f>SUMIFS('Wind Proxy'!$H$8:$H$19,'Wind Proxy'!$A$8:$A$19,'Estimator'!$B$4,'Wind Proxy'!$B$8:$B$19,C3373)</x:f>
        <x:v>0.11350059737156513</x:v>
      </x:c>
    </x:row>
    <x:row r="3374">
      <x:c r="A3374" s="379" t="n">
        <x:v>49025</x:v>
      </x:c>
      <x:c r="B3374" s="380" t="n">
        <x:v>2034</x:v>
      </x:c>
      <x:c r="C3374" s="380" t="n">
        <x:v>3</x:v>
      </x:c>
      <x:c r="D3374" s="380" t="str">
        <x:v>Mar</x:v>
      </x:c>
      <x:c r="E3374" s="380" t="n">
        <x:v>22</x:v>
      </x:c>
      <x:c r="F3374" s="380" t="n">
        <x:v>3</x:v>
      </x:c>
      <x:c r="G3374" s="380" t="n">
        <x:f>--(F3374&lt;='Estimator'!$B$7)</x:f>
        <x:v>1</x:v>
      </x:c>
      <x:c r="H3374" s="381" t="n">
        <x:f>SUMIFS('Climate Data'!$G$7:$G$366,'Climate Data'!$A$7:$A$366,'Estimator'!$B$4,'Climate Data'!$B$7:$B$366,C3374)</x:f>
        <x:v>0.24916573971078979</x:v>
      </x:c>
      <x:c r="I3374" s="382" t="n">
        <x:f>SUMIFS('Climate Data'!$H$7:$H$366,'Climate Data'!$A$7:$A$366,'Estimator'!$B$4,'Climate Data'!$B$7:$B$366,C3374)</x:f>
        <x:v>9.709821428571429</x:v>
      </x:c>
      <x:c r="J3374" s="381" t="n">
        <x:f>SUMIFS('Wind Proxy'!$H$8:$H$19,'Wind Proxy'!$A$8:$A$19,'Estimator'!$B$4,'Wind Proxy'!$B$8:$B$19,C3374)</x:f>
        <x:v>0.11350059737156513</x:v>
      </x:c>
    </x:row>
    <x:row r="3375">
      <x:c r="A3375" s="379" t="n">
        <x:v>49026</x:v>
      </x:c>
      <x:c r="B3375" s="380" t="n">
        <x:v>2034</x:v>
      </x:c>
      <x:c r="C3375" s="380" t="n">
        <x:v>3</x:v>
      </x:c>
      <x:c r="D3375" s="380" t="str">
        <x:v>Mar</x:v>
      </x:c>
      <x:c r="E3375" s="380" t="n">
        <x:v>23</x:v>
      </x:c>
      <x:c r="F3375" s="380" t="n">
        <x:v>4</x:v>
      </x:c>
      <x:c r="G3375" s="380" t="n">
        <x:f>--(F3375&lt;='Estimator'!$B$7)</x:f>
        <x:v>1</x:v>
      </x:c>
      <x:c r="H3375" s="381" t="n">
        <x:f>SUMIFS('Climate Data'!$G$7:$G$366,'Climate Data'!$A$7:$A$366,'Estimator'!$B$4,'Climate Data'!$B$7:$B$366,C3375)</x:f>
        <x:v>0.24916573971078979</x:v>
      </x:c>
      <x:c r="I3375" s="382" t="n">
        <x:f>SUMIFS('Climate Data'!$H$7:$H$366,'Climate Data'!$A$7:$A$366,'Estimator'!$B$4,'Climate Data'!$B$7:$B$366,C3375)</x:f>
        <x:v>9.709821428571429</x:v>
      </x:c>
      <x:c r="J3375" s="381" t="n">
        <x:f>SUMIFS('Wind Proxy'!$H$8:$H$19,'Wind Proxy'!$A$8:$A$19,'Estimator'!$B$4,'Wind Proxy'!$B$8:$B$19,C3375)</x:f>
        <x:v>0.11350059737156513</x:v>
      </x:c>
    </x:row>
    <x:row r="3376">
      <x:c r="A3376" s="379" t="n">
        <x:v>49027</x:v>
      </x:c>
      <x:c r="B3376" s="380" t="n">
        <x:v>2034</x:v>
      </x:c>
      <x:c r="C3376" s="380" t="n">
        <x:v>3</x:v>
      </x:c>
      <x:c r="D3376" s="380" t="str">
        <x:v>Mar</x:v>
      </x:c>
      <x:c r="E3376" s="380" t="n">
        <x:v>24</x:v>
      </x:c>
      <x:c r="F3376" s="380" t="n">
        <x:v>5</x:v>
      </x:c>
      <x:c r="G3376" s="380" t="n">
        <x:f>--(F3376&lt;='Estimator'!$B$7)</x:f>
        <x:v>1</x:v>
      </x:c>
      <x:c r="H3376" s="381" t="n">
        <x:f>SUMIFS('Climate Data'!$G$7:$G$366,'Climate Data'!$A$7:$A$366,'Estimator'!$B$4,'Climate Data'!$B$7:$B$366,C3376)</x:f>
        <x:v>0.24916573971078979</x:v>
      </x:c>
      <x:c r="I3376" s="382" t="n">
        <x:f>SUMIFS('Climate Data'!$H$7:$H$366,'Climate Data'!$A$7:$A$366,'Estimator'!$B$4,'Climate Data'!$B$7:$B$366,C3376)</x:f>
        <x:v>9.709821428571429</x:v>
      </x:c>
      <x:c r="J3376" s="381" t="n">
        <x:f>SUMIFS('Wind Proxy'!$H$8:$H$19,'Wind Proxy'!$A$8:$A$19,'Estimator'!$B$4,'Wind Proxy'!$B$8:$B$19,C3376)</x:f>
        <x:v>0.11350059737156513</x:v>
      </x:c>
    </x:row>
    <x:row r="3377">
      <x:c r="A3377" s="379" t="n">
        <x:v>49028</x:v>
      </x:c>
      <x:c r="B3377" s="380" t="n">
        <x:v>2034</x:v>
      </x:c>
      <x:c r="C3377" s="380" t="n">
        <x:v>3</x:v>
      </x:c>
      <x:c r="D3377" s="380" t="str">
        <x:v>Mar</x:v>
      </x:c>
      <x:c r="E3377" s="380" t="n">
        <x:v>25</x:v>
      </x:c>
      <x:c r="F3377" s="380" t="n">
        <x:v>6</x:v>
      </x:c>
      <x:c r="G3377" s="380" t="n">
        <x:f>--(F3377&lt;='Estimator'!$B$7)</x:f>
        <x:v>0</x:v>
      </x:c>
      <x:c r="H3377" s="381" t="n">
        <x:f>SUMIFS('Climate Data'!$G$7:$G$366,'Climate Data'!$A$7:$A$366,'Estimator'!$B$4,'Climate Data'!$B$7:$B$366,C3377)</x:f>
        <x:v>0.24916573971078979</x:v>
      </x:c>
      <x:c r="I3377" s="382" t="n">
        <x:f>SUMIFS('Climate Data'!$H$7:$H$366,'Climate Data'!$A$7:$A$366,'Estimator'!$B$4,'Climate Data'!$B$7:$B$366,C3377)</x:f>
        <x:v>9.709821428571429</x:v>
      </x:c>
      <x:c r="J3377" s="381" t="n">
        <x:f>SUMIFS('Wind Proxy'!$H$8:$H$19,'Wind Proxy'!$A$8:$A$19,'Estimator'!$B$4,'Wind Proxy'!$B$8:$B$19,C3377)</x:f>
        <x:v>0.11350059737156513</x:v>
      </x:c>
    </x:row>
    <x:row r="3378">
      <x:c r="A3378" s="379" t="n">
        <x:v>49029</x:v>
      </x:c>
      <x:c r="B3378" s="380" t="n">
        <x:v>2034</x:v>
      </x:c>
      <x:c r="C3378" s="380" t="n">
        <x:v>3</x:v>
      </x:c>
      <x:c r="D3378" s="380" t="str">
        <x:v>Mar</x:v>
      </x:c>
      <x:c r="E3378" s="380" t="n">
        <x:v>26</x:v>
      </x:c>
      <x:c r="F3378" s="380" t="n">
        <x:v>7</x:v>
      </x:c>
      <x:c r="G3378" s="380" t="n">
        <x:f>--(F3378&lt;='Estimator'!$B$7)</x:f>
        <x:v>0</x:v>
      </x:c>
      <x:c r="H3378" s="381" t="n">
        <x:f>SUMIFS('Climate Data'!$G$7:$G$366,'Climate Data'!$A$7:$A$366,'Estimator'!$B$4,'Climate Data'!$B$7:$B$366,C3378)</x:f>
        <x:v>0.24916573971078979</x:v>
      </x:c>
      <x:c r="I3378" s="382" t="n">
        <x:f>SUMIFS('Climate Data'!$H$7:$H$366,'Climate Data'!$A$7:$A$366,'Estimator'!$B$4,'Climate Data'!$B$7:$B$366,C3378)</x:f>
        <x:v>9.709821428571429</x:v>
      </x:c>
      <x:c r="J3378" s="381" t="n">
        <x:f>SUMIFS('Wind Proxy'!$H$8:$H$19,'Wind Proxy'!$A$8:$A$19,'Estimator'!$B$4,'Wind Proxy'!$B$8:$B$19,C3378)</x:f>
        <x:v>0.11350059737156513</x:v>
      </x:c>
    </x:row>
    <x:row r="3379">
      <x:c r="A3379" s="379" t="n">
        <x:v>49030</x:v>
      </x:c>
      <x:c r="B3379" s="380" t="n">
        <x:v>2034</x:v>
      </x:c>
      <x:c r="C3379" s="380" t="n">
        <x:v>3</x:v>
      </x:c>
      <x:c r="D3379" s="380" t="str">
        <x:v>Mar</x:v>
      </x:c>
      <x:c r="E3379" s="380" t="n">
        <x:v>27</x:v>
      </x:c>
      <x:c r="F3379" s="380" t="n">
        <x:v>1</x:v>
      </x:c>
      <x:c r="G3379" s="380" t="n">
        <x:f>--(F3379&lt;='Estimator'!$B$7)</x:f>
        <x:v>1</x:v>
      </x:c>
      <x:c r="H3379" s="381" t="n">
        <x:f>SUMIFS('Climate Data'!$G$7:$G$366,'Climate Data'!$A$7:$A$366,'Estimator'!$B$4,'Climate Data'!$B$7:$B$366,C3379)</x:f>
        <x:v>0.24916573971078979</x:v>
      </x:c>
      <x:c r="I3379" s="382" t="n">
        <x:f>SUMIFS('Climate Data'!$H$7:$H$366,'Climate Data'!$A$7:$A$366,'Estimator'!$B$4,'Climate Data'!$B$7:$B$366,C3379)</x:f>
        <x:v>9.709821428571429</x:v>
      </x:c>
      <x:c r="J3379" s="381" t="n">
        <x:f>SUMIFS('Wind Proxy'!$H$8:$H$19,'Wind Proxy'!$A$8:$A$19,'Estimator'!$B$4,'Wind Proxy'!$B$8:$B$19,C3379)</x:f>
        <x:v>0.11350059737156513</x:v>
      </x:c>
    </x:row>
    <x:row r="3380">
      <x:c r="A3380" s="379" t="n">
        <x:v>49031</x:v>
      </x:c>
      <x:c r="B3380" s="380" t="n">
        <x:v>2034</x:v>
      </x:c>
      <x:c r="C3380" s="380" t="n">
        <x:v>3</x:v>
      </x:c>
      <x:c r="D3380" s="380" t="str">
        <x:v>Mar</x:v>
      </x:c>
      <x:c r="E3380" s="380" t="n">
        <x:v>28</x:v>
      </x:c>
      <x:c r="F3380" s="380" t="n">
        <x:v>2</x:v>
      </x:c>
      <x:c r="G3380" s="380" t="n">
        <x:f>--(F3380&lt;='Estimator'!$B$7)</x:f>
        <x:v>1</x:v>
      </x:c>
      <x:c r="H3380" s="381" t="n">
        <x:f>SUMIFS('Climate Data'!$G$7:$G$366,'Climate Data'!$A$7:$A$366,'Estimator'!$B$4,'Climate Data'!$B$7:$B$366,C3380)</x:f>
        <x:v>0.24916573971078979</x:v>
      </x:c>
      <x:c r="I3380" s="382" t="n">
        <x:f>SUMIFS('Climate Data'!$H$7:$H$366,'Climate Data'!$A$7:$A$366,'Estimator'!$B$4,'Climate Data'!$B$7:$B$366,C3380)</x:f>
        <x:v>9.709821428571429</x:v>
      </x:c>
      <x:c r="J3380" s="381" t="n">
        <x:f>SUMIFS('Wind Proxy'!$H$8:$H$19,'Wind Proxy'!$A$8:$A$19,'Estimator'!$B$4,'Wind Proxy'!$B$8:$B$19,C3380)</x:f>
        <x:v>0.11350059737156513</x:v>
      </x:c>
    </x:row>
    <x:row r="3381">
      <x:c r="A3381" s="379" t="n">
        <x:v>49032</x:v>
      </x:c>
      <x:c r="B3381" s="380" t="n">
        <x:v>2034</x:v>
      </x:c>
      <x:c r="C3381" s="380" t="n">
        <x:v>3</x:v>
      </x:c>
      <x:c r="D3381" s="380" t="str">
        <x:v>Mar</x:v>
      </x:c>
      <x:c r="E3381" s="380" t="n">
        <x:v>29</x:v>
      </x:c>
      <x:c r="F3381" s="380" t="n">
        <x:v>3</x:v>
      </x:c>
      <x:c r="G3381" s="380" t="n">
        <x:f>--(F3381&lt;='Estimator'!$B$7)</x:f>
        <x:v>1</x:v>
      </x:c>
      <x:c r="H3381" s="381" t="n">
        <x:f>SUMIFS('Climate Data'!$G$7:$G$366,'Climate Data'!$A$7:$A$366,'Estimator'!$B$4,'Climate Data'!$B$7:$B$366,C3381)</x:f>
        <x:v>0.24916573971078979</x:v>
      </x:c>
      <x:c r="I3381" s="382" t="n">
        <x:f>SUMIFS('Climate Data'!$H$7:$H$366,'Climate Data'!$A$7:$A$366,'Estimator'!$B$4,'Climate Data'!$B$7:$B$366,C3381)</x:f>
        <x:v>9.709821428571429</x:v>
      </x:c>
      <x:c r="J3381" s="381" t="n">
        <x:f>SUMIFS('Wind Proxy'!$H$8:$H$19,'Wind Proxy'!$A$8:$A$19,'Estimator'!$B$4,'Wind Proxy'!$B$8:$B$19,C3381)</x:f>
        <x:v>0.11350059737156513</x:v>
      </x:c>
    </x:row>
    <x:row r="3382">
      <x:c r="A3382" s="379" t="n">
        <x:v>49033</x:v>
      </x:c>
      <x:c r="B3382" s="380" t="n">
        <x:v>2034</x:v>
      </x:c>
      <x:c r="C3382" s="380" t="n">
        <x:v>3</x:v>
      </x:c>
      <x:c r="D3382" s="380" t="str">
        <x:v>Mar</x:v>
      </x:c>
      <x:c r="E3382" s="380" t="n">
        <x:v>30</x:v>
      </x:c>
      <x:c r="F3382" s="380" t="n">
        <x:v>4</x:v>
      </x:c>
      <x:c r="G3382" s="380" t="n">
        <x:f>--(F3382&lt;='Estimator'!$B$7)</x:f>
        <x:v>1</x:v>
      </x:c>
      <x:c r="H3382" s="381" t="n">
        <x:f>SUMIFS('Climate Data'!$G$7:$G$366,'Climate Data'!$A$7:$A$366,'Estimator'!$B$4,'Climate Data'!$B$7:$B$366,C3382)</x:f>
        <x:v>0.24916573971078979</x:v>
      </x:c>
      <x:c r="I3382" s="382" t="n">
        <x:f>SUMIFS('Climate Data'!$H$7:$H$366,'Climate Data'!$A$7:$A$366,'Estimator'!$B$4,'Climate Data'!$B$7:$B$366,C3382)</x:f>
        <x:v>9.709821428571429</x:v>
      </x:c>
      <x:c r="J3382" s="381" t="n">
        <x:f>SUMIFS('Wind Proxy'!$H$8:$H$19,'Wind Proxy'!$A$8:$A$19,'Estimator'!$B$4,'Wind Proxy'!$B$8:$B$19,C3382)</x:f>
        <x:v>0.11350059737156513</x:v>
      </x:c>
    </x:row>
    <x:row r="3383">
      <x:c r="A3383" s="379" t="n">
        <x:v>49034</x:v>
      </x:c>
      <x:c r="B3383" s="380" t="n">
        <x:v>2034</x:v>
      </x:c>
      <x:c r="C3383" s="380" t="n">
        <x:v>3</x:v>
      </x:c>
      <x:c r="D3383" s="380" t="str">
        <x:v>Mar</x:v>
      </x:c>
      <x:c r="E3383" s="380" t="n">
        <x:v>31</x:v>
      </x:c>
      <x:c r="F3383" s="380" t="n">
        <x:v>5</x:v>
      </x:c>
      <x:c r="G3383" s="380" t="n">
        <x:f>--(F3383&lt;='Estimator'!$B$7)</x:f>
        <x:v>1</x:v>
      </x:c>
      <x:c r="H3383" s="381" t="n">
        <x:f>SUMIFS('Climate Data'!$G$7:$G$366,'Climate Data'!$A$7:$A$366,'Estimator'!$B$4,'Climate Data'!$B$7:$B$366,C3383)</x:f>
        <x:v>0.24916573971078979</x:v>
      </x:c>
      <x:c r="I3383" s="382" t="n">
        <x:f>SUMIFS('Climate Data'!$H$7:$H$366,'Climate Data'!$A$7:$A$366,'Estimator'!$B$4,'Climate Data'!$B$7:$B$366,C3383)</x:f>
        <x:v>9.709821428571429</x:v>
      </x:c>
      <x:c r="J3383" s="381" t="n">
        <x:f>SUMIFS('Wind Proxy'!$H$8:$H$19,'Wind Proxy'!$A$8:$A$19,'Estimator'!$B$4,'Wind Proxy'!$B$8:$B$19,C3383)</x:f>
        <x:v>0.11350059737156513</x:v>
      </x:c>
    </x:row>
    <x:row r="3384">
      <x:c r="A3384" s="379" t="n">
        <x:v>49035</x:v>
      </x:c>
      <x:c r="B3384" s="380" t="n">
        <x:v>2034</x:v>
      </x:c>
      <x:c r="C3384" s="380" t="n">
        <x:v>4</x:v>
      </x:c>
      <x:c r="D3384" s="380" t="str">
        <x:v>Apr</x:v>
      </x:c>
      <x:c r="E3384" s="380" t="n">
        <x:v>1</x:v>
      </x:c>
      <x:c r="F3384" s="380" t="n">
        <x:v>6</x:v>
      </x:c>
      <x:c r="G3384" s="380" t="n">
        <x:f>--(F3384&lt;='Estimator'!$B$7)</x:f>
        <x:v>0</x:v>
      </x:c>
      <x:c r="H3384" s="381" t="n">
        <x:f>SUMIFS('Climate Data'!$G$7:$G$366,'Climate Data'!$A$7:$A$366,'Estimator'!$B$4,'Climate Data'!$B$7:$B$366,C3384)</x:f>
        <x:v>0.32023809523809527</x:v>
      </x:c>
      <x:c r="I3384" s="382" t="n">
        <x:f>SUMIFS('Climate Data'!$H$7:$H$366,'Climate Data'!$A$7:$A$366,'Estimator'!$B$4,'Climate Data'!$B$7:$B$366,C3384)</x:f>
        <x:v>9.066171003717471</x:v>
      </x:c>
      <x:c r="J3384" s="381" t="n">
        <x:f>SUMIFS('Wind Proxy'!$H$8:$H$19,'Wind Proxy'!$A$8:$A$19,'Estimator'!$B$4,'Wind Proxy'!$B$8:$B$19,C3384)</x:f>
        <x:v>0.11728395061728397</x:v>
      </x:c>
    </x:row>
    <x:row r="3385">
      <x:c r="A3385" s="379" t="n">
        <x:v>49036</x:v>
      </x:c>
      <x:c r="B3385" s="380" t="n">
        <x:v>2034</x:v>
      </x:c>
      <x:c r="C3385" s="380" t="n">
        <x:v>4</x:v>
      </x:c>
      <x:c r="D3385" s="380" t="str">
        <x:v>Apr</x:v>
      </x:c>
      <x:c r="E3385" s="380" t="n">
        <x:v>2</x:v>
      </x:c>
      <x:c r="F3385" s="380" t="n">
        <x:v>7</x:v>
      </x:c>
      <x:c r="G3385" s="380" t="n">
        <x:f>--(F3385&lt;='Estimator'!$B$7)</x:f>
        <x:v>0</x:v>
      </x:c>
      <x:c r="H3385" s="381" t="n">
        <x:f>SUMIFS('Climate Data'!$G$7:$G$366,'Climate Data'!$A$7:$A$366,'Estimator'!$B$4,'Climate Data'!$B$7:$B$366,C3385)</x:f>
        <x:v>0.32023809523809527</x:v>
      </x:c>
      <x:c r="I3385" s="382" t="n">
        <x:f>SUMIFS('Climate Data'!$H$7:$H$366,'Climate Data'!$A$7:$A$366,'Estimator'!$B$4,'Climate Data'!$B$7:$B$366,C3385)</x:f>
        <x:v>9.066171003717471</x:v>
      </x:c>
      <x:c r="J3385" s="381" t="n">
        <x:f>SUMIFS('Wind Proxy'!$H$8:$H$19,'Wind Proxy'!$A$8:$A$19,'Estimator'!$B$4,'Wind Proxy'!$B$8:$B$19,C3385)</x:f>
        <x:v>0.11728395061728397</x:v>
      </x:c>
    </x:row>
    <x:row r="3386">
      <x:c r="A3386" s="379" t="n">
        <x:v>49037</x:v>
      </x:c>
      <x:c r="B3386" s="380" t="n">
        <x:v>2034</x:v>
      </x:c>
      <x:c r="C3386" s="380" t="n">
        <x:v>4</x:v>
      </x:c>
      <x:c r="D3386" s="380" t="str">
        <x:v>Apr</x:v>
      </x:c>
      <x:c r="E3386" s="380" t="n">
        <x:v>3</x:v>
      </x:c>
      <x:c r="F3386" s="380" t="n">
        <x:v>1</x:v>
      </x:c>
      <x:c r="G3386" s="380" t="n">
        <x:f>--(F3386&lt;='Estimator'!$B$7)</x:f>
        <x:v>1</x:v>
      </x:c>
      <x:c r="H3386" s="381" t="n">
        <x:f>SUMIFS('Climate Data'!$G$7:$G$366,'Climate Data'!$A$7:$A$366,'Estimator'!$B$4,'Climate Data'!$B$7:$B$366,C3386)</x:f>
        <x:v>0.32023809523809527</x:v>
      </x:c>
      <x:c r="I3386" s="382" t="n">
        <x:f>SUMIFS('Climate Data'!$H$7:$H$366,'Climate Data'!$A$7:$A$366,'Estimator'!$B$4,'Climate Data'!$B$7:$B$366,C3386)</x:f>
        <x:v>9.066171003717471</x:v>
      </x:c>
      <x:c r="J3386" s="381" t="n">
        <x:f>SUMIFS('Wind Proxy'!$H$8:$H$19,'Wind Proxy'!$A$8:$A$19,'Estimator'!$B$4,'Wind Proxy'!$B$8:$B$19,C3386)</x:f>
        <x:v>0.11728395061728397</x:v>
      </x:c>
    </x:row>
    <x:row r="3387">
      <x:c r="A3387" s="379" t="n">
        <x:v>49038</x:v>
      </x:c>
      <x:c r="B3387" s="380" t="n">
        <x:v>2034</x:v>
      </x:c>
      <x:c r="C3387" s="380" t="n">
        <x:v>4</x:v>
      </x:c>
      <x:c r="D3387" s="380" t="str">
        <x:v>Apr</x:v>
      </x:c>
      <x:c r="E3387" s="380" t="n">
        <x:v>4</x:v>
      </x:c>
      <x:c r="F3387" s="380" t="n">
        <x:v>2</x:v>
      </x:c>
      <x:c r="G3387" s="380" t="n">
        <x:f>--(F3387&lt;='Estimator'!$B$7)</x:f>
        <x:v>1</x:v>
      </x:c>
      <x:c r="H3387" s="381" t="n">
        <x:f>SUMIFS('Climate Data'!$G$7:$G$366,'Climate Data'!$A$7:$A$366,'Estimator'!$B$4,'Climate Data'!$B$7:$B$366,C3387)</x:f>
        <x:v>0.32023809523809527</x:v>
      </x:c>
      <x:c r="I3387" s="382" t="n">
        <x:f>SUMIFS('Climate Data'!$H$7:$H$366,'Climate Data'!$A$7:$A$366,'Estimator'!$B$4,'Climate Data'!$B$7:$B$366,C3387)</x:f>
        <x:v>9.066171003717471</x:v>
      </x:c>
      <x:c r="J3387" s="381" t="n">
        <x:f>SUMIFS('Wind Proxy'!$H$8:$H$19,'Wind Proxy'!$A$8:$A$19,'Estimator'!$B$4,'Wind Proxy'!$B$8:$B$19,C3387)</x:f>
        <x:v>0.11728395061728397</x:v>
      </x:c>
    </x:row>
    <x:row r="3388">
      <x:c r="A3388" s="379" t="n">
        <x:v>49039</x:v>
      </x:c>
      <x:c r="B3388" s="380" t="n">
        <x:v>2034</x:v>
      </x:c>
      <x:c r="C3388" s="380" t="n">
        <x:v>4</x:v>
      </x:c>
      <x:c r="D3388" s="380" t="str">
        <x:v>Apr</x:v>
      </x:c>
      <x:c r="E3388" s="380" t="n">
        <x:v>5</x:v>
      </x:c>
      <x:c r="F3388" s="380" t="n">
        <x:v>3</x:v>
      </x:c>
      <x:c r="G3388" s="380" t="n">
        <x:f>--(F3388&lt;='Estimator'!$B$7)</x:f>
        <x:v>1</x:v>
      </x:c>
      <x:c r="H3388" s="381" t="n">
        <x:f>SUMIFS('Climate Data'!$G$7:$G$366,'Climate Data'!$A$7:$A$366,'Estimator'!$B$4,'Climate Data'!$B$7:$B$366,C3388)</x:f>
        <x:v>0.32023809523809527</x:v>
      </x:c>
      <x:c r="I3388" s="382" t="n">
        <x:f>SUMIFS('Climate Data'!$H$7:$H$366,'Climate Data'!$A$7:$A$366,'Estimator'!$B$4,'Climate Data'!$B$7:$B$366,C3388)</x:f>
        <x:v>9.066171003717471</x:v>
      </x:c>
      <x:c r="J3388" s="381" t="n">
        <x:f>SUMIFS('Wind Proxy'!$H$8:$H$19,'Wind Proxy'!$A$8:$A$19,'Estimator'!$B$4,'Wind Proxy'!$B$8:$B$19,C3388)</x:f>
        <x:v>0.11728395061728397</x:v>
      </x:c>
    </x:row>
    <x:row r="3389">
      <x:c r="A3389" s="379" t="n">
        <x:v>49040</x:v>
      </x:c>
      <x:c r="B3389" s="380" t="n">
        <x:v>2034</x:v>
      </x:c>
      <x:c r="C3389" s="380" t="n">
        <x:v>4</x:v>
      </x:c>
      <x:c r="D3389" s="380" t="str">
        <x:v>Apr</x:v>
      </x:c>
      <x:c r="E3389" s="380" t="n">
        <x:v>6</x:v>
      </x:c>
      <x:c r="F3389" s="380" t="n">
        <x:v>4</x:v>
      </x:c>
      <x:c r="G3389" s="380" t="n">
        <x:f>--(F3389&lt;='Estimator'!$B$7)</x:f>
        <x:v>1</x:v>
      </x:c>
      <x:c r="H3389" s="381" t="n">
        <x:f>SUMIFS('Climate Data'!$G$7:$G$366,'Climate Data'!$A$7:$A$366,'Estimator'!$B$4,'Climate Data'!$B$7:$B$366,C3389)</x:f>
        <x:v>0.32023809523809527</x:v>
      </x:c>
      <x:c r="I3389" s="382" t="n">
        <x:f>SUMIFS('Climate Data'!$H$7:$H$366,'Climate Data'!$A$7:$A$366,'Estimator'!$B$4,'Climate Data'!$B$7:$B$366,C3389)</x:f>
        <x:v>9.066171003717471</x:v>
      </x:c>
      <x:c r="J3389" s="381" t="n">
        <x:f>SUMIFS('Wind Proxy'!$H$8:$H$19,'Wind Proxy'!$A$8:$A$19,'Estimator'!$B$4,'Wind Proxy'!$B$8:$B$19,C3389)</x:f>
        <x:v>0.11728395061728397</x:v>
      </x:c>
    </x:row>
    <x:row r="3390">
      <x:c r="A3390" s="379" t="n">
        <x:v>49041</x:v>
      </x:c>
      <x:c r="B3390" s="380" t="n">
        <x:v>2034</x:v>
      </x:c>
      <x:c r="C3390" s="380" t="n">
        <x:v>4</x:v>
      </x:c>
      <x:c r="D3390" s="380" t="str">
        <x:v>Apr</x:v>
      </x:c>
      <x:c r="E3390" s="380" t="n">
        <x:v>7</x:v>
      </x:c>
      <x:c r="F3390" s="380" t="n">
        <x:v>5</x:v>
      </x:c>
      <x:c r="G3390" s="380" t="n">
        <x:f>--(F3390&lt;='Estimator'!$B$7)</x:f>
        <x:v>1</x:v>
      </x:c>
      <x:c r="H3390" s="381" t="n">
        <x:f>SUMIFS('Climate Data'!$G$7:$G$366,'Climate Data'!$A$7:$A$366,'Estimator'!$B$4,'Climate Data'!$B$7:$B$366,C3390)</x:f>
        <x:v>0.32023809523809527</x:v>
      </x:c>
      <x:c r="I3390" s="382" t="n">
        <x:f>SUMIFS('Climate Data'!$H$7:$H$366,'Climate Data'!$A$7:$A$366,'Estimator'!$B$4,'Climate Data'!$B$7:$B$366,C3390)</x:f>
        <x:v>9.066171003717471</x:v>
      </x:c>
      <x:c r="J3390" s="381" t="n">
        <x:f>SUMIFS('Wind Proxy'!$H$8:$H$19,'Wind Proxy'!$A$8:$A$19,'Estimator'!$B$4,'Wind Proxy'!$B$8:$B$19,C3390)</x:f>
        <x:v>0.11728395061728397</x:v>
      </x:c>
    </x:row>
    <x:row r="3391">
      <x:c r="A3391" s="379" t="n">
        <x:v>49042</x:v>
      </x:c>
      <x:c r="B3391" s="380" t="n">
        <x:v>2034</x:v>
      </x:c>
      <x:c r="C3391" s="380" t="n">
        <x:v>4</x:v>
      </x:c>
      <x:c r="D3391" s="380" t="str">
        <x:v>Apr</x:v>
      </x:c>
      <x:c r="E3391" s="380" t="n">
        <x:v>8</x:v>
      </x:c>
      <x:c r="F3391" s="380" t="n">
        <x:v>6</x:v>
      </x:c>
      <x:c r="G3391" s="380" t="n">
        <x:f>--(F3391&lt;='Estimator'!$B$7)</x:f>
        <x:v>0</x:v>
      </x:c>
      <x:c r="H3391" s="381" t="n">
        <x:f>SUMIFS('Climate Data'!$G$7:$G$366,'Climate Data'!$A$7:$A$366,'Estimator'!$B$4,'Climate Data'!$B$7:$B$366,C3391)</x:f>
        <x:v>0.32023809523809527</x:v>
      </x:c>
      <x:c r="I3391" s="382" t="n">
        <x:f>SUMIFS('Climate Data'!$H$7:$H$366,'Climate Data'!$A$7:$A$366,'Estimator'!$B$4,'Climate Data'!$B$7:$B$366,C3391)</x:f>
        <x:v>9.066171003717471</x:v>
      </x:c>
      <x:c r="J3391" s="381" t="n">
        <x:f>SUMIFS('Wind Proxy'!$H$8:$H$19,'Wind Proxy'!$A$8:$A$19,'Estimator'!$B$4,'Wind Proxy'!$B$8:$B$19,C3391)</x:f>
        <x:v>0.11728395061728397</x:v>
      </x:c>
    </x:row>
    <x:row r="3392">
      <x:c r="A3392" s="379" t="n">
        <x:v>49043</x:v>
      </x:c>
      <x:c r="B3392" s="380" t="n">
        <x:v>2034</x:v>
      </x:c>
      <x:c r="C3392" s="380" t="n">
        <x:v>4</x:v>
      </x:c>
      <x:c r="D3392" s="380" t="str">
        <x:v>Apr</x:v>
      </x:c>
      <x:c r="E3392" s="380" t="n">
        <x:v>9</x:v>
      </x:c>
      <x:c r="F3392" s="380" t="n">
        <x:v>7</x:v>
      </x:c>
      <x:c r="G3392" s="380" t="n">
        <x:f>--(F3392&lt;='Estimator'!$B$7)</x:f>
        <x:v>0</x:v>
      </x:c>
      <x:c r="H3392" s="381" t="n">
        <x:f>SUMIFS('Climate Data'!$G$7:$G$366,'Climate Data'!$A$7:$A$366,'Estimator'!$B$4,'Climate Data'!$B$7:$B$366,C3392)</x:f>
        <x:v>0.32023809523809527</x:v>
      </x:c>
      <x:c r="I3392" s="382" t="n">
        <x:f>SUMIFS('Climate Data'!$H$7:$H$366,'Climate Data'!$A$7:$A$366,'Estimator'!$B$4,'Climate Data'!$B$7:$B$366,C3392)</x:f>
        <x:v>9.066171003717471</x:v>
      </x:c>
      <x:c r="J3392" s="381" t="n">
        <x:f>SUMIFS('Wind Proxy'!$H$8:$H$19,'Wind Proxy'!$A$8:$A$19,'Estimator'!$B$4,'Wind Proxy'!$B$8:$B$19,C3392)</x:f>
        <x:v>0.11728395061728397</x:v>
      </x:c>
    </x:row>
    <x:row r="3393">
      <x:c r="A3393" s="379" t="n">
        <x:v>49044</x:v>
      </x:c>
      <x:c r="B3393" s="380" t="n">
        <x:v>2034</x:v>
      </x:c>
      <x:c r="C3393" s="380" t="n">
        <x:v>4</x:v>
      </x:c>
      <x:c r="D3393" s="380" t="str">
        <x:v>Apr</x:v>
      </x:c>
      <x:c r="E3393" s="380" t="n">
        <x:v>10</x:v>
      </x:c>
      <x:c r="F3393" s="380" t="n">
        <x:v>1</x:v>
      </x:c>
      <x:c r="G3393" s="380" t="n">
        <x:f>--(F3393&lt;='Estimator'!$B$7)</x:f>
        <x:v>1</x:v>
      </x:c>
      <x:c r="H3393" s="381" t="n">
        <x:f>SUMIFS('Climate Data'!$G$7:$G$366,'Climate Data'!$A$7:$A$366,'Estimator'!$B$4,'Climate Data'!$B$7:$B$366,C3393)</x:f>
        <x:v>0.32023809523809527</x:v>
      </x:c>
      <x:c r="I3393" s="382" t="n">
        <x:f>SUMIFS('Climate Data'!$H$7:$H$366,'Climate Data'!$A$7:$A$366,'Estimator'!$B$4,'Climate Data'!$B$7:$B$366,C3393)</x:f>
        <x:v>9.066171003717471</x:v>
      </x:c>
      <x:c r="J3393" s="381" t="n">
        <x:f>SUMIFS('Wind Proxy'!$H$8:$H$19,'Wind Proxy'!$A$8:$A$19,'Estimator'!$B$4,'Wind Proxy'!$B$8:$B$19,C3393)</x:f>
        <x:v>0.11728395061728397</x:v>
      </x:c>
    </x:row>
    <x:row r="3394">
      <x:c r="A3394" s="379" t="n">
        <x:v>49045</x:v>
      </x:c>
      <x:c r="B3394" s="380" t="n">
        <x:v>2034</x:v>
      </x:c>
      <x:c r="C3394" s="380" t="n">
        <x:v>4</x:v>
      </x:c>
      <x:c r="D3394" s="380" t="str">
        <x:v>Apr</x:v>
      </x:c>
      <x:c r="E3394" s="380" t="n">
        <x:v>11</x:v>
      </x:c>
      <x:c r="F3394" s="380" t="n">
        <x:v>2</x:v>
      </x:c>
      <x:c r="G3394" s="380" t="n">
        <x:f>--(F3394&lt;='Estimator'!$B$7)</x:f>
        <x:v>1</x:v>
      </x:c>
      <x:c r="H3394" s="381" t="n">
        <x:f>SUMIFS('Climate Data'!$G$7:$G$366,'Climate Data'!$A$7:$A$366,'Estimator'!$B$4,'Climate Data'!$B$7:$B$366,C3394)</x:f>
        <x:v>0.32023809523809527</x:v>
      </x:c>
      <x:c r="I3394" s="382" t="n">
        <x:f>SUMIFS('Climate Data'!$H$7:$H$366,'Climate Data'!$A$7:$A$366,'Estimator'!$B$4,'Climate Data'!$B$7:$B$366,C3394)</x:f>
        <x:v>9.066171003717471</x:v>
      </x:c>
      <x:c r="J3394" s="381" t="n">
        <x:f>SUMIFS('Wind Proxy'!$H$8:$H$19,'Wind Proxy'!$A$8:$A$19,'Estimator'!$B$4,'Wind Proxy'!$B$8:$B$19,C3394)</x:f>
        <x:v>0.11728395061728397</x:v>
      </x:c>
    </x:row>
    <x:row r="3395">
      <x:c r="A3395" s="379" t="n">
        <x:v>49046</x:v>
      </x:c>
      <x:c r="B3395" s="380" t="n">
        <x:v>2034</x:v>
      </x:c>
      <x:c r="C3395" s="380" t="n">
        <x:v>4</x:v>
      </x:c>
      <x:c r="D3395" s="380" t="str">
        <x:v>Apr</x:v>
      </x:c>
      <x:c r="E3395" s="380" t="n">
        <x:v>12</x:v>
      </x:c>
      <x:c r="F3395" s="380" t="n">
        <x:v>3</x:v>
      </x:c>
      <x:c r="G3395" s="380" t="n">
        <x:f>--(F3395&lt;='Estimator'!$B$7)</x:f>
        <x:v>1</x:v>
      </x:c>
      <x:c r="H3395" s="381" t="n">
        <x:f>SUMIFS('Climate Data'!$G$7:$G$366,'Climate Data'!$A$7:$A$366,'Estimator'!$B$4,'Climate Data'!$B$7:$B$366,C3395)</x:f>
        <x:v>0.32023809523809527</x:v>
      </x:c>
      <x:c r="I3395" s="382" t="n">
        <x:f>SUMIFS('Climate Data'!$H$7:$H$366,'Climate Data'!$A$7:$A$366,'Estimator'!$B$4,'Climate Data'!$B$7:$B$366,C3395)</x:f>
        <x:v>9.066171003717471</x:v>
      </x:c>
      <x:c r="J3395" s="381" t="n">
        <x:f>SUMIFS('Wind Proxy'!$H$8:$H$19,'Wind Proxy'!$A$8:$A$19,'Estimator'!$B$4,'Wind Proxy'!$B$8:$B$19,C3395)</x:f>
        <x:v>0.11728395061728397</x:v>
      </x:c>
    </x:row>
    <x:row r="3396">
      <x:c r="A3396" s="379" t="n">
        <x:v>49047</x:v>
      </x:c>
      <x:c r="B3396" s="380" t="n">
        <x:v>2034</x:v>
      </x:c>
      <x:c r="C3396" s="380" t="n">
        <x:v>4</x:v>
      </x:c>
      <x:c r="D3396" s="380" t="str">
        <x:v>Apr</x:v>
      </x:c>
      <x:c r="E3396" s="380" t="n">
        <x:v>13</x:v>
      </x:c>
      <x:c r="F3396" s="380" t="n">
        <x:v>4</x:v>
      </x:c>
      <x:c r="G3396" s="380" t="n">
        <x:f>--(F3396&lt;='Estimator'!$B$7)</x:f>
        <x:v>1</x:v>
      </x:c>
      <x:c r="H3396" s="381" t="n">
        <x:f>SUMIFS('Climate Data'!$G$7:$G$366,'Climate Data'!$A$7:$A$366,'Estimator'!$B$4,'Climate Data'!$B$7:$B$366,C3396)</x:f>
        <x:v>0.32023809523809527</x:v>
      </x:c>
      <x:c r="I3396" s="382" t="n">
        <x:f>SUMIFS('Climate Data'!$H$7:$H$366,'Climate Data'!$A$7:$A$366,'Estimator'!$B$4,'Climate Data'!$B$7:$B$366,C3396)</x:f>
        <x:v>9.066171003717471</x:v>
      </x:c>
      <x:c r="J3396" s="381" t="n">
        <x:f>SUMIFS('Wind Proxy'!$H$8:$H$19,'Wind Proxy'!$A$8:$A$19,'Estimator'!$B$4,'Wind Proxy'!$B$8:$B$19,C3396)</x:f>
        <x:v>0.11728395061728397</x:v>
      </x:c>
    </x:row>
    <x:row r="3397">
      <x:c r="A3397" s="379" t="n">
        <x:v>49048</x:v>
      </x:c>
      <x:c r="B3397" s="380" t="n">
        <x:v>2034</x:v>
      </x:c>
      <x:c r="C3397" s="380" t="n">
        <x:v>4</x:v>
      </x:c>
      <x:c r="D3397" s="380" t="str">
        <x:v>Apr</x:v>
      </x:c>
      <x:c r="E3397" s="380" t="n">
        <x:v>14</x:v>
      </x:c>
      <x:c r="F3397" s="380" t="n">
        <x:v>5</x:v>
      </x:c>
      <x:c r="G3397" s="380" t="n">
        <x:f>--(F3397&lt;='Estimator'!$B$7)</x:f>
        <x:v>1</x:v>
      </x:c>
      <x:c r="H3397" s="381" t="n">
        <x:f>SUMIFS('Climate Data'!$G$7:$G$366,'Climate Data'!$A$7:$A$366,'Estimator'!$B$4,'Climate Data'!$B$7:$B$366,C3397)</x:f>
        <x:v>0.32023809523809527</x:v>
      </x:c>
      <x:c r="I3397" s="382" t="n">
        <x:f>SUMIFS('Climate Data'!$H$7:$H$366,'Climate Data'!$A$7:$A$366,'Estimator'!$B$4,'Climate Data'!$B$7:$B$366,C3397)</x:f>
        <x:v>9.066171003717471</x:v>
      </x:c>
      <x:c r="J3397" s="381" t="n">
        <x:f>SUMIFS('Wind Proxy'!$H$8:$H$19,'Wind Proxy'!$A$8:$A$19,'Estimator'!$B$4,'Wind Proxy'!$B$8:$B$19,C3397)</x:f>
        <x:v>0.11728395061728397</x:v>
      </x:c>
    </x:row>
    <x:row r="3398">
      <x:c r="A3398" s="379" t="n">
        <x:v>49049</x:v>
      </x:c>
      <x:c r="B3398" s="380" t="n">
        <x:v>2034</x:v>
      </x:c>
      <x:c r="C3398" s="380" t="n">
        <x:v>4</x:v>
      </x:c>
      <x:c r="D3398" s="380" t="str">
        <x:v>Apr</x:v>
      </x:c>
      <x:c r="E3398" s="380" t="n">
        <x:v>15</x:v>
      </x:c>
      <x:c r="F3398" s="380" t="n">
        <x:v>6</x:v>
      </x:c>
      <x:c r="G3398" s="380" t="n">
        <x:f>--(F3398&lt;='Estimator'!$B$7)</x:f>
        <x:v>0</x:v>
      </x:c>
      <x:c r="H3398" s="381" t="n">
        <x:f>SUMIFS('Climate Data'!$G$7:$G$366,'Climate Data'!$A$7:$A$366,'Estimator'!$B$4,'Climate Data'!$B$7:$B$366,C3398)</x:f>
        <x:v>0.32023809523809527</x:v>
      </x:c>
      <x:c r="I3398" s="382" t="n">
        <x:f>SUMIFS('Climate Data'!$H$7:$H$366,'Climate Data'!$A$7:$A$366,'Estimator'!$B$4,'Climate Data'!$B$7:$B$366,C3398)</x:f>
        <x:v>9.066171003717471</x:v>
      </x:c>
      <x:c r="J3398" s="381" t="n">
        <x:f>SUMIFS('Wind Proxy'!$H$8:$H$19,'Wind Proxy'!$A$8:$A$19,'Estimator'!$B$4,'Wind Proxy'!$B$8:$B$19,C3398)</x:f>
        <x:v>0.11728395061728397</x:v>
      </x:c>
    </x:row>
    <x:row r="3399">
      <x:c r="A3399" s="379" t="n">
        <x:v>49050</x:v>
      </x:c>
      <x:c r="B3399" s="380" t="n">
        <x:v>2034</x:v>
      </x:c>
      <x:c r="C3399" s="380" t="n">
        <x:v>4</x:v>
      </x:c>
      <x:c r="D3399" s="380" t="str">
        <x:v>Apr</x:v>
      </x:c>
      <x:c r="E3399" s="380" t="n">
        <x:v>16</x:v>
      </x:c>
      <x:c r="F3399" s="380" t="n">
        <x:v>7</x:v>
      </x:c>
      <x:c r="G3399" s="380" t="n">
        <x:f>--(F3399&lt;='Estimator'!$B$7)</x:f>
        <x:v>0</x:v>
      </x:c>
      <x:c r="H3399" s="381" t="n">
        <x:f>SUMIFS('Climate Data'!$G$7:$G$366,'Climate Data'!$A$7:$A$366,'Estimator'!$B$4,'Climate Data'!$B$7:$B$366,C3399)</x:f>
        <x:v>0.32023809523809527</x:v>
      </x:c>
      <x:c r="I3399" s="382" t="n">
        <x:f>SUMIFS('Climate Data'!$H$7:$H$366,'Climate Data'!$A$7:$A$366,'Estimator'!$B$4,'Climate Data'!$B$7:$B$366,C3399)</x:f>
        <x:v>9.066171003717471</x:v>
      </x:c>
      <x:c r="J3399" s="381" t="n">
        <x:f>SUMIFS('Wind Proxy'!$H$8:$H$19,'Wind Proxy'!$A$8:$A$19,'Estimator'!$B$4,'Wind Proxy'!$B$8:$B$19,C3399)</x:f>
        <x:v>0.11728395061728397</x:v>
      </x:c>
    </x:row>
    <x:row r="3400">
      <x:c r="A3400" s="379" t="n">
        <x:v>49051</x:v>
      </x:c>
      <x:c r="B3400" s="380" t="n">
        <x:v>2034</x:v>
      </x:c>
      <x:c r="C3400" s="380" t="n">
        <x:v>4</x:v>
      </x:c>
      <x:c r="D3400" s="380" t="str">
        <x:v>Apr</x:v>
      </x:c>
      <x:c r="E3400" s="380" t="n">
        <x:v>17</x:v>
      </x:c>
      <x:c r="F3400" s="380" t="n">
        <x:v>1</x:v>
      </x:c>
      <x:c r="G3400" s="380" t="n">
        <x:f>--(F3400&lt;='Estimator'!$B$7)</x:f>
        <x:v>1</x:v>
      </x:c>
      <x:c r="H3400" s="381" t="n">
        <x:f>SUMIFS('Climate Data'!$G$7:$G$366,'Climate Data'!$A$7:$A$366,'Estimator'!$B$4,'Climate Data'!$B$7:$B$366,C3400)</x:f>
        <x:v>0.32023809523809527</x:v>
      </x:c>
      <x:c r="I3400" s="382" t="n">
        <x:f>SUMIFS('Climate Data'!$H$7:$H$366,'Climate Data'!$A$7:$A$366,'Estimator'!$B$4,'Climate Data'!$B$7:$B$366,C3400)</x:f>
        <x:v>9.066171003717471</x:v>
      </x:c>
      <x:c r="J3400" s="381" t="n">
        <x:f>SUMIFS('Wind Proxy'!$H$8:$H$19,'Wind Proxy'!$A$8:$A$19,'Estimator'!$B$4,'Wind Proxy'!$B$8:$B$19,C3400)</x:f>
        <x:v>0.11728395061728397</x:v>
      </x:c>
    </x:row>
    <x:row r="3401">
      <x:c r="A3401" s="379" t="n">
        <x:v>49052</x:v>
      </x:c>
      <x:c r="B3401" s="380" t="n">
        <x:v>2034</x:v>
      </x:c>
      <x:c r="C3401" s="380" t="n">
        <x:v>4</x:v>
      </x:c>
      <x:c r="D3401" s="380" t="str">
        <x:v>Apr</x:v>
      </x:c>
      <x:c r="E3401" s="380" t="n">
        <x:v>18</x:v>
      </x:c>
      <x:c r="F3401" s="380" t="n">
        <x:v>2</x:v>
      </x:c>
      <x:c r="G3401" s="380" t="n">
        <x:f>--(F3401&lt;='Estimator'!$B$7)</x:f>
        <x:v>1</x:v>
      </x:c>
      <x:c r="H3401" s="381" t="n">
        <x:f>SUMIFS('Climate Data'!$G$7:$G$366,'Climate Data'!$A$7:$A$366,'Estimator'!$B$4,'Climate Data'!$B$7:$B$366,C3401)</x:f>
        <x:v>0.32023809523809527</x:v>
      </x:c>
      <x:c r="I3401" s="382" t="n">
        <x:f>SUMIFS('Climate Data'!$H$7:$H$366,'Climate Data'!$A$7:$A$366,'Estimator'!$B$4,'Climate Data'!$B$7:$B$366,C3401)</x:f>
        <x:v>9.066171003717471</x:v>
      </x:c>
      <x:c r="J3401" s="381" t="n">
        <x:f>SUMIFS('Wind Proxy'!$H$8:$H$19,'Wind Proxy'!$A$8:$A$19,'Estimator'!$B$4,'Wind Proxy'!$B$8:$B$19,C3401)</x:f>
        <x:v>0.11728395061728397</x:v>
      </x:c>
    </x:row>
    <x:row r="3402">
      <x:c r="A3402" s="379" t="n">
        <x:v>49053</x:v>
      </x:c>
      <x:c r="B3402" s="380" t="n">
        <x:v>2034</x:v>
      </x:c>
      <x:c r="C3402" s="380" t="n">
        <x:v>4</x:v>
      </x:c>
      <x:c r="D3402" s="380" t="str">
        <x:v>Apr</x:v>
      </x:c>
      <x:c r="E3402" s="380" t="n">
        <x:v>19</x:v>
      </x:c>
      <x:c r="F3402" s="380" t="n">
        <x:v>3</x:v>
      </x:c>
      <x:c r="G3402" s="380" t="n">
        <x:f>--(F3402&lt;='Estimator'!$B$7)</x:f>
        <x:v>1</x:v>
      </x:c>
      <x:c r="H3402" s="381" t="n">
        <x:f>SUMIFS('Climate Data'!$G$7:$G$366,'Climate Data'!$A$7:$A$366,'Estimator'!$B$4,'Climate Data'!$B$7:$B$366,C3402)</x:f>
        <x:v>0.32023809523809527</x:v>
      </x:c>
      <x:c r="I3402" s="382" t="n">
        <x:f>SUMIFS('Climate Data'!$H$7:$H$366,'Climate Data'!$A$7:$A$366,'Estimator'!$B$4,'Climate Data'!$B$7:$B$366,C3402)</x:f>
        <x:v>9.066171003717471</x:v>
      </x:c>
      <x:c r="J3402" s="381" t="n">
        <x:f>SUMIFS('Wind Proxy'!$H$8:$H$19,'Wind Proxy'!$A$8:$A$19,'Estimator'!$B$4,'Wind Proxy'!$B$8:$B$19,C3402)</x:f>
        <x:v>0.11728395061728397</x:v>
      </x:c>
    </x:row>
    <x:row r="3403">
      <x:c r="A3403" s="379" t="n">
        <x:v>49054</x:v>
      </x:c>
      <x:c r="B3403" s="380" t="n">
        <x:v>2034</x:v>
      </x:c>
      <x:c r="C3403" s="380" t="n">
        <x:v>4</x:v>
      </x:c>
      <x:c r="D3403" s="380" t="str">
        <x:v>Apr</x:v>
      </x:c>
      <x:c r="E3403" s="380" t="n">
        <x:v>20</x:v>
      </x:c>
      <x:c r="F3403" s="380" t="n">
        <x:v>4</x:v>
      </x:c>
      <x:c r="G3403" s="380" t="n">
        <x:f>--(F3403&lt;='Estimator'!$B$7)</x:f>
        <x:v>1</x:v>
      </x:c>
      <x:c r="H3403" s="381" t="n">
        <x:f>SUMIFS('Climate Data'!$G$7:$G$366,'Climate Data'!$A$7:$A$366,'Estimator'!$B$4,'Climate Data'!$B$7:$B$366,C3403)</x:f>
        <x:v>0.32023809523809527</x:v>
      </x:c>
      <x:c r="I3403" s="382" t="n">
        <x:f>SUMIFS('Climate Data'!$H$7:$H$366,'Climate Data'!$A$7:$A$366,'Estimator'!$B$4,'Climate Data'!$B$7:$B$366,C3403)</x:f>
        <x:v>9.066171003717471</x:v>
      </x:c>
      <x:c r="J3403" s="381" t="n">
        <x:f>SUMIFS('Wind Proxy'!$H$8:$H$19,'Wind Proxy'!$A$8:$A$19,'Estimator'!$B$4,'Wind Proxy'!$B$8:$B$19,C3403)</x:f>
        <x:v>0.11728395061728397</x:v>
      </x:c>
    </x:row>
    <x:row r="3404">
      <x:c r="A3404" s="379" t="n">
        <x:v>49055</x:v>
      </x:c>
      <x:c r="B3404" s="380" t="n">
        <x:v>2034</x:v>
      </x:c>
      <x:c r="C3404" s="380" t="n">
        <x:v>4</x:v>
      </x:c>
      <x:c r="D3404" s="380" t="str">
        <x:v>Apr</x:v>
      </x:c>
      <x:c r="E3404" s="380" t="n">
        <x:v>21</x:v>
      </x:c>
      <x:c r="F3404" s="380" t="n">
        <x:v>5</x:v>
      </x:c>
      <x:c r="G3404" s="380" t="n">
        <x:f>--(F3404&lt;='Estimator'!$B$7)</x:f>
        <x:v>1</x:v>
      </x:c>
      <x:c r="H3404" s="381" t="n">
        <x:f>SUMIFS('Climate Data'!$G$7:$G$366,'Climate Data'!$A$7:$A$366,'Estimator'!$B$4,'Climate Data'!$B$7:$B$366,C3404)</x:f>
        <x:v>0.32023809523809527</x:v>
      </x:c>
      <x:c r="I3404" s="382" t="n">
        <x:f>SUMIFS('Climate Data'!$H$7:$H$366,'Climate Data'!$A$7:$A$366,'Estimator'!$B$4,'Climate Data'!$B$7:$B$366,C3404)</x:f>
        <x:v>9.066171003717471</x:v>
      </x:c>
      <x:c r="J3404" s="381" t="n">
        <x:f>SUMIFS('Wind Proxy'!$H$8:$H$19,'Wind Proxy'!$A$8:$A$19,'Estimator'!$B$4,'Wind Proxy'!$B$8:$B$19,C3404)</x:f>
        <x:v>0.11728395061728397</x:v>
      </x:c>
    </x:row>
    <x:row r="3405">
      <x:c r="A3405" s="379" t="n">
        <x:v>49056</x:v>
      </x:c>
      <x:c r="B3405" s="380" t="n">
        <x:v>2034</x:v>
      </x:c>
      <x:c r="C3405" s="380" t="n">
        <x:v>4</x:v>
      </x:c>
      <x:c r="D3405" s="380" t="str">
        <x:v>Apr</x:v>
      </x:c>
      <x:c r="E3405" s="380" t="n">
        <x:v>22</x:v>
      </x:c>
      <x:c r="F3405" s="380" t="n">
        <x:v>6</x:v>
      </x:c>
      <x:c r="G3405" s="380" t="n">
        <x:f>--(F3405&lt;='Estimator'!$B$7)</x:f>
        <x:v>0</x:v>
      </x:c>
      <x:c r="H3405" s="381" t="n">
        <x:f>SUMIFS('Climate Data'!$G$7:$G$366,'Climate Data'!$A$7:$A$366,'Estimator'!$B$4,'Climate Data'!$B$7:$B$366,C3405)</x:f>
        <x:v>0.32023809523809527</x:v>
      </x:c>
      <x:c r="I3405" s="382" t="n">
        <x:f>SUMIFS('Climate Data'!$H$7:$H$366,'Climate Data'!$A$7:$A$366,'Estimator'!$B$4,'Climate Data'!$B$7:$B$366,C3405)</x:f>
        <x:v>9.066171003717471</x:v>
      </x:c>
      <x:c r="J3405" s="381" t="n">
        <x:f>SUMIFS('Wind Proxy'!$H$8:$H$19,'Wind Proxy'!$A$8:$A$19,'Estimator'!$B$4,'Wind Proxy'!$B$8:$B$19,C3405)</x:f>
        <x:v>0.11728395061728397</x:v>
      </x:c>
    </x:row>
    <x:row r="3406">
      <x:c r="A3406" s="379" t="n">
        <x:v>49057</x:v>
      </x:c>
      <x:c r="B3406" s="380" t="n">
        <x:v>2034</x:v>
      </x:c>
      <x:c r="C3406" s="380" t="n">
        <x:v>4</x:v>
      </x:c>
      <x:c r="D3406" s="380" t="str">
        <x:v>Apr</x:v>
      </x:c>
      <x:c r="E3406" s="380" t="n">
        <x:v>23</x:v>
      </x:c>
      <x:c r="F3406" s="380" t="n">
        <x:v>7</x:v>
      </x:c>
      <x:c r="G3406" s="380" t="n">
        <x:f>--(F3406&lt;='Estimator'!$B$7)</x:f>
        <x:v>0</x:v>
      </x:c>
      <x:c r="H3406" s="381" t="n">
        <x:f>SUMIFS('Climate Data'!$G$7:$G$366,'Climate Data'!$A$7:$A$366,'Estimator'!$B$4,'Climate Data'!$B$7:$B$366,C3406)</x:f>
        <x:v>0.32023809523809527</x:v>
      </x:c>
      <x:c r="I3406" s="382" t="n">
        <x:f>SUMIFS('Climate Data'!$H$7:$H$366,'Climate Data'!$A$7:$A$366,'Estimator'!$B$4,'Climate Data'!$B$7:$B$366,C3406)</x:f>
        <x:v>9.066171003717471</x:v>
      </x:c>
      <x:c r="J3406" s="381" t="n">
        <x:f>SUMIFS('Wind Proxy'!$H$8:$H$19,'Wind Proxy'!$A$8:$A$19,'Estimator'!$B$4,'Wind Proxy'!$B$8:$B$19,C3406)</x:f>
        <x:v>0.11728395061728397</x:v>
      </x:c>
    </x:row>
    <x:row r="3407">
      <x:c r="A3407" s="379" t="n">
        <x:v>49058</x:v>
      </x:c>
      <x:c r="B3407" s="380" t="n">
        <x:v>2034</x:v>
      </x:c>
      <x:c r="C3407" s="380" t="n">
        <x:v>4</x:v>
      </x:c>
      <x:c r="D3407" s="380" t="str">
        <x:v>Apr</x:v>
      </x:c>
      <x:c r="E3407" s="380" t="n">
        <x:v>24</x:v>
      </x:c>
      <x:c r="F3407" s="380" t="n">
        <x:v>1</x:v>
      </x:c>
      <x:c r="G3407" s="380" t="n">
        <x:f>--(F3407&lt;='Estimator'!$B$7)</x:f>
        <x:v>1</x:v>
      </x:c>
      <x:c r="H3407" s="381" t="n">
        <x:f>SUMIFS('Climate Data'!$G$7:$G$366,'Climate Data'!$A$7:$A$366,'Estimator'!$B$4,'Climate Data'!$B$7:$B$366,C3407)</x:f>
        <x:v>0.32023809523809527</x:v>
      </x:c>
      <x:c r="I3407" s="382" t="n">
        <x:f>SUMIFS('Climate Data'!$H$7:$H$366,'Climate Data'!$A$7:$A$366,'Estimator'!$B$4,'Climate Data'!$B$7:$B$366,C3407)</x:f>
        <x:v>9.066171003717471</x:v>
      </x:c>
      <x:c r="J3407" s="381" t="n">
        <x:f>SUMIFS('Wind Proxy'!$H$8:$H$19,'Wind Proxy'!$A$8:$A$19,'Estimator'!$B$4,'Wind Proxy'!$B$8:$B$19,C3407)</x:f>
        <x:v>0.11728395061728397</x:v>
      </x:c>
    </x:row>
    <x:row r="3408">
      <x:c r="A3408" s="379" t="n">
        <x:v>49059</x:v>
      </x:c>
      <x:c r="B3408" s="380" t="n">
        <x:v>2034</x:v>
      </x:c>
      <x:c r="C3408" s="380" t="n">
        <x:v>4</x:v>
      </x:c>
      <x:c r="D3408" s="380" t="str">
        <x:v>Apr</x:v>
      </x:c>
      <x:c r="E3408" s="380" t="n">
        <x:v>25</x:v>
      </x:c>
      <x:c r="F3408" s="380" t="n">
        <x:v>2</x:v>
      </x:c>
      <x:c r="G3408" s="380" t="n">
        <x:f>--(F3408&lt;='Estimator'!$B$7)</x:f>
        <x:v>1</x:v>
      </x:c>
      <x:c r="H3408" s="381" t="n">
        <x:f>SUMIFS('Climate Data'!$G$7:$G$366,'Climate Data'!$A$7:$A$366,'Estimator'!$B$4,'Climate Data'!$B$7:$B$366,C3408)</x:f>
        <x:v>0.32023809523809527</x:v>
      </x:c>
      <x:c r="I3408" s="382" t="n">
        <x:f>SUMIFS('Climate Data'!$H$7:$H$366,'Climate Data'!$A$7:$A$366,'Estimator'!$B$4,'Climate Data'!$B$7:$B$366,C3408)</x:f>
        <x:v>9.066171003717471</x:v>
      </x:c>
      <x:c r="J3408" s="381" t="n">
        <x:f>SUMIFS('Wind Proxy'!$H$8:$H$19,'Wind Proxy'!$A$8:$A$19,'Estimator'!$B$4,'Wind Proxy'!$B$8:$B$19,C3408)</x:f>
        <x:v>0.11728395061728397</x:v>
      </x:c>
    </x:row>
    <x:row r="3409">
      <x:c r="A3409" s="379" t="n">
        <x:v>49060</x:v>
      </x:c>
      <x:c r="B3409" s="380" t="n">
        <x:v>2034</x:v>
      </x:c>
      <x:c r="C3409" s="380" t="n">
        <x:v>4</x:v>
      </x:c>
      <x:c r="D3409" s="380" t="str">
        <x:v>Apr</x:v>
      </x:c>
      <x:c r="E3409" s="380" t="n">
        <x:v>26</x:v>
      </x:c>
      <x:c r="F3409" s="380" t="n">
        <x:v>3</x:v>
      </x:c>
      <x:c r="G3409" s="380" t="n">
        <x:f>--(F3409&lt;='Estimator'!$B$7)</x:f>
        <x:v>1</x:v>
      </x:c>
      <x:c r="H3409" s="381" t="n">
        <x:f>SUMIFS('Climate Data'!$G$7:$G$366,'Climate Data'!$A$7:$A$366,'Estimator'!$B$4,'Climate Data'!$B$7:$B$366,C3409)</x:f>
        <x:v>0.32023809523809527</x:v>
      </x:c>
      <x:c r="I3409" s="382" t="n">
        <x:f>SUMIFS('Climate Data'!$H$7:$H$366,'Climate Data'!$A$7:$A$366,'Estimator'!$B$4,'Climate Data'!$B$7:$B$366,C3409)</x:f>
        <x:v>9.066171003717471</x:v>
      </x:c>
      <x:c r="J3409" s="381" t="n">
        <x:f>SUMIFS('Wind Proxy'!$H$8:$H$19,'Wind Proxy'!$A$8:$A$19,'Estimator'!$B$4,'Wind Proxy'!$B$8:$B$19,C3409)</x:f>
        <x:v>0.11728395061728397</x:v>
      </x:c>
    </x:row>
    <x:row r="3410">
      <x:c r="A3410" s="379" t="n">
        <x:v>49061</x:v>
      </x:c>
      <x:c r="B3410" s="380" t="n">
        <x:v>2034</x:v>
      </x:c>
      <x:c r="C3410" s="380" t="n">
        <x:v>4</x:v>
      </x:c>
      <x:c r="D3410" s="380" t="str">
        <x:v>Apr</x:v>
      </x:c>
      <x:c r="E3410" s="380" t="n">
        <x:v>27</x:v>
      </x:c>
      <x:c r="F3410" s="380" t="n">
        <x:v>4</x:v>
      </x:c>
      <x:c r="G3410" s="380" t="n">
        <x:f>--(F3410&lt;='Estimator'!$B$7)</x:f>
        <x:v>1</x:v>
      </x:c>
      <x:c r="H3410" s="381" t="n">
        <x:f>SUMIFS('Climate Data'!$G$7:$G$366,'Climate Data'!$A$7:$A$366,'Estimator'!$B$4,'Climate Data'!$B$7:$B$366,C3410)</x:f>
        <x:v>0.32023809523809527</x:v>
      </x:c>
      <x:c r="I3410" s="382" t="n">
        <x:f>SUMIFS('Climate Data'!$H$7:$H$366,'Climate Data'!$A$7:$A$366,'Estimator'!$B$4,'Climate Data'!$B$7:$B$366,C3410)</x:f>
        <x:v>9.066171003717471</x:v>
      </x:c>
      <x:c r="J3410" s="381" t="n">
        <x:f>SUMIFS('Wind Proxy'!$H$8:$H$19,'Wind Proxy'!$A$8:$A$19,'Estimator'!$B$4,'Wind Proxy'!$B$8:$B$19,C3410)</x:f>
        <x:v>0.11728395061728397</x:v>
      </x:c>
    </x:row>
    <x:row r="3411">
      <x:c r="A3411" s="379" t="n">
        <x:v>49062</x:v>
      </x:c>
      <x:c r="B3411" s="380" t="n">
        <x:v>2034</x:v>
      </x:c>
      <x:c r="C3411" s="380" t="n">
        <x:v>4</x:v>
      </x:c>
      <x:c r="D3411" s="380" t="str">
        <x:v>Apr</x:v>
      </x:c>
      <x:c r="E3411" s="380" t="n">
        <x:v>28</x:v>
      </x:c>
      <x:c r="F3411" s="380" t="n">
        <x:v>5</x:v>
      </x:c>
      <x:c r="G3411" s="380" t="n">
        <x:f>--(F3411&lt;='Estimator'!$B$7)</x:f>
        <x:v>1</x:v>
      </x:c>
      <x:c r="H3411" s="381" t="n">
        <x:f>SUMIFS('Climate Data'!$G$7:$G$366,'Climate Data'!$A$7:$A$366,'Estimator'!$B$4,'Climate Data'!$B$7:$B$366,C3411)</x:f>
        <x:v>0.32023809523809527</x:v>
      </x:c>
      <x:c r="I3411" s="382" t="n">
        <x:f>SUMIFS('Climate Data'!$H$7:$H$366,'Climate Data'!$A$7:$A$366,'Estimator'!$B$4,'Climate Data'!$B$7:$B$366,C3411)</x:f>
        <x:v>9.066171003717471</x:v>
      </x:c>
      <x:c r="J3411" s="381" t="n">
        <x:f>SUMIFS('Wind Proxy'!$H$8:$H$19,'Wind Proxy'!$A$8:$A$19,'Estimator'!$B$4,'Wind Proxy'!$B$8:$B$19,C3411)</x:f>
        <x:v>0.11728395061728397</x:v>
      </x:c>
    </x:row>
    <x:row r="3412">
      <x:c r="A3412" s="379" t="n">
        <x:v>49063</x:v>
      </x:c>
      <x:c r="B3412" s="380" t="n">
        <x:v>2034</x:v>
      </x:c>
      <x:c r="C3412" s="380" t="n">
        <x:v>4</x:v>
      </x:c>
      <x:c r="D3412" s="380" t="str">
        <x:v>Apr</x:v>
      </x:c>
      <x:c r="E3412" s="380" t="n">
        <x:v>29</x:v>
      </x:c>
      <x:c r="F3412" s="380" t="n">
        <x:v>6</x:v>
      </x:c>
      <x:c r="G3412" s="380" t="n">
        <x:f>--(F3412&lt;='Estimator'!$B$7)</x:f>
        <x:v>0</x:v>
      </x:c>
      <x:c r="H3412" s="381" t="n">
        <x:f>SUMIFS('Climate Data'!$G$7:$G$366,'Climate Data'!$A$7:$A$366,'Estimator'!$B$4,'Climate Data'!$B$7:$B$366,C3412)</x:f>
        <x:v>0.32023809523809527</x:v>
      </x:c>
      <x:c r="I3412" s="382" t="n">
        <x:f>SUMIFS('Climate Data'!$H$7:$H$366,'Climate Data'!$A$7:$A$366,'Estimator'!$B$4,'Climate Data'!$B$7:$B$366,C3412)</x:f>
        <x:v>9.066171003717471</x:v>
      </x:c>
      <x:c r="J3412" s="381" t="n">
        <x:f>SUMIFS('Wind Proxy'!$H$8:$H$19,'Wind Proxy'!$A$8:$A$19,'Estimator'!$B$4,'Wind Proxy'!$B$8:$B$19,C3412)</x:f>
        <x:v>0.11728395061728397</x:v>
      </x:c>
    </x:row>
    <x:row r="3413">
      <x:c r="A3413" s="379" t="n">
        <x:v>49064</x:v>
      </x:c>
      <x:c r="B3413" s="380" t="n">
        <x:v>2034</x:v>
      </x:c>
      <x:c r="C3413" s="380" t="n">
        <x:v>4</x:v>
      </x:c>
      <x:c r="D3413" s="380" t="str">
        <x:v>Apr</x:v>
      </x:c>
      <x:c r="E3413" s="380" t="n">
        <x:v>30</x:v>
      </x:c>
      <x:c r="F3413" s="380" t="n">
        <x:v>7</x:v>
      </x:c>
      <x:c r="G3413" s="380" t="n">
        <x:f>--(F3413&lt;='Estimator'!$B$7)</x:f>
        <x:v>0</x:v>
      </x:c>
      <x:c r="H3413" s="381" t="n">
        <x:f>SUMIFS('Climate Data'!$G$7:$G$366,'Climate Data'!$A$7:$A$366,'Estimator'!$B$4,'Climate Data'!$B$7:$B$366,C3413)</x:f>
        <x:v>0.32023809523809527</x:v>
      </x:c>
      <x:c r="I3413" s="382" t="n">
        <x:f>SUMIFS('Climate Data'!$H$7:$H$366,'Climate Data'!$A$7:$A$366,'Estimator'!$B$4,'Climate Data'!$B$7:$B$366,C3413)</x:f>
        <x:v>9.066171003717471</x:v>
      </x:c>
      <x:c r="J3413" s="381" t="n">
        <x:f>SUMIFS('Wind Proxy'!$H$8:$H$19,'Wind Proxy'!$A$8:$A$19,'Estimator'!$B$4,'Wind Proxy'!$B$8:$B$19,C3413)</x:f>
        <x:v>0.11728395061728397</x:v>
      </x:c>
    </x:row>
    <x:row r="3414">
      <x:c r="A3414" s="379" t="n">
        <x:v>49065</x:v>
      </x:c>
      <x:c r="B3414" s="380" t="n">
        <x:v>2034</x:v>
      </x:c>
      <x:c r="C3414" s="380" t="n">
        <x:v>5</x:v>
      </x:c>
      <x:c r="D3414" s="380" t="str">
        <x:v>May</x:v>
      </x:c>
      <x:c r="E3414" s="380" t="n">
        <x:v>1</x:v>
      </x:c>
      <x:c r="F3414" s="380" t="n">
        <x:v>1</x:v>
      </x:c>
      <x:c r="G3414" s="380" t="n">
        <x:f>--(F3414&lt;='Estimator'!$B$7)</x:f>
        <x:v>1</x:v>
      </x:c>
      <x:c r="H3414" s="381" t="n">
        <x:f>SUMIFS('Climate Data'!$G$7:$G$366,'Climate Data'!$A$7:$A$366,'Estimator'!$B$4,'Climate Data'!$B$7:$B$366,C3414)</x:f>
        <x:v>0.41935483870967744</x:v>
      </x:c>
      <x:c r="I3414" s="382" t="n">
        <x:f>SUMIFS('Climate Data'!$H$7:$H$366,'Climate Data'!$A$7:$A$366,'Estimator'!$B$4,'Climate Data'!$B$7:$B$366,C3414)</x:f>
        <x:v>9.215384615384615</x:v>
      </x:c>
      <x:c r="J3414" s="381" t="n">
        <x:f>SUMIFS('Wind Proxy'!$H$8:$H$19,'Wind Proxy'!$A$8:$A$19,'Estimator'!$B$4,'Wind Proxy'!$B$8:$B$19,C3414)</x:f>
        <x:v>0.11350059737156513</x:v>
      </x:c>
    </x:row>
    <x:row r="3415">
      <x:c r="A3415" s="379" t="n">
        <x:v>49066</x:v>
      </x:c>
      <x:c r="B3415" s="380" t="n">
        <x:v>2034</x:v>
      </x:c>
      <x:c r="C3415" s="380" t="n">
        <x:v>5</x:v>
      </x:c>
      <x:c r="D3415" s="380" t="str">
        <x:v>May</x:v>
      </x:c>
      <x:c r="E3415" s="380" t="n">
        <x:v>2</x:v>
      </x:c>
      <x:c r="F3415" s="380" t="n">
        <x:v>2</x:v>
      </x:c>
      <x:c r="G3415" s="380" t="n">
        <x:f>--(F3415&lt;='Estimator'!$B$7)</x:f>
        <x:v>1</x:v>
      </x:c>
      <x:c r="H3415" s="381" t="n">
        <x:f>SUMIFS('Climate Data'!$G$7:$G$366,'Climate Data'!$A$7:$A$366,'Estimator'!$B$4,'Climate Data'!$B$7:$B$366,C3415)</x:f>
        <x:v>0.41935483870967744</x:v>
      </x:c>
      <x:c r="I3415" s="382" t="n">
        <x:f>SUMIFS('Climate Data'!$H$7:$H$366,'Climate Data'!$A$7:$A$366,'Estimator'!$B$4,'Climate Data'!$B$7:$B$366,C3415)</x:f>
        <x:v>9.215384615384615</x:v>
      </x:c>
      <x:c r="J3415" s="381" t="n">
        <x:f>SUMIFS('Wind Proxy'!$H$8:$H$19,'Wind Proxy'!$A$8:$A$19,'Estimator'!$B$4,'Wind Proxy'!$B$8:$B$19,C3415)</x:f>
        <x:v>0.11350059737156513</x:v>
      </x:c>
    </x:row>
    <x:row r="3416">
      <x:c r="A3416" s="379" t="n">
        <x:v>49067</x:v>
      </x:c>
      <x:c r="B3416" s="380" t="n">
        <x:v>2034</x:v>
      </x:c>
      <x:c r="C3416" s="380" t="n">
        <x:v>5</x:v>
      </x:c>
      <x:c r="D3416" s="380" t="str">
        <x:v>May</x:v>
      </x:c>
      <x:c r="E3416" s="380" t="n">
        <x:v>3</x:v>
      </x:c>
      <x:c r="F3416" s="380" t="n">
        <x:v>3</x:v>
      </x:c>
      <x:c r="G3416" s="380" t="n">
        <x:f>--(F3416&lt;='Estimator'!$B$7)</x:f>
        <x:v>1</x:v>
      </x:c>
      <x:c r="H3416" s="381" t="n">
        <x:f>SUMIFS('Climate Data'!$G$7:$G$366,'Climate Data'!$A$7:$A$366,'Estimator'!$B$4,'Climate Data'!$B$7:$B$366,C3416)</x:f>
        <x:v>0.41935483870967744</x:v>
      </x:c>
      <x:c r="I3416" s="382" t="n">
        <x:f>SUMIFS('Climate Data'!$H$7:$H$366,'Climate Data'!$A$7:$A$366,'Estimator'!$B$4,'Climate Data'!$B$7:$B$366,C3416)</x:f>
        <x:v>9.215384615384615</x:v>
      </x:c>
      <x:c r="J3416" s="381" t="n">
        <x:f>SUMIFS('Wind Proxy'!$H$8:$H$19,'Wind Proxy'!$A$8:$A$19,'Estimator'!$B$4,'Wind Proxy'!$B$8:$B$19,C3416)</x:f>
        <x:v>0.11350059737156513</x:v>
      </x:c>
    </x:row>
    <x:row r="3417">
      <x:c r="A3417" s="379" t="n">
        <x:v>49068</x:v>
      </x:c>
      <x:c r="B3417" s="380" t="n">
        <x:v>2034</x:v>
      </x:c>
      <x:c r="C3417" s="380" t="n">
        <x:v>5</x:v>
      </x:c>
      <x:c r="D3417" s="380" t="str">
        <x:v>May</x:v>
      </x:c>
      <x:c r="E3417" s="380" t="n">
        <x:v>4</x:v>
      </x:c>
      <x:c r="F3417" s="380" t="n">
        <x:v>4</x:v>
      </x:c>
      <x:c r="G3417" s="380" t="n">
        <x:f>--(F3417&lt;='Estimator'!$B$7)</x:f>
        <x:v>1</x:v>
      </x:c>
      <x:c r="H3417" s="381" t="n">
        <x:f>SUMIFS('Climate Data'!$G$7:$G$366,'Climate Data'!$A$7:$A$366,'Estimator'!$B$4,'Climate Data'!$B$7:$B$366,C3417)</x:f>
        <x:v>0.41935483870967744</x:v>
      </x:c>
      <x:c r="I3417" s="382" t="n">
        <x:f>SUMIFS('Climate Data'!$H$7:$H$366,'Climate Data'!$A$7:$A$366,'Estimator'!$B$4,'Climate Data'!$B$7:$B$366,C3417)</x:f>
        <x:v>9.215384615384615</x:v>
      </x:c>
      <x:c r="J3417" s="381" t="n">
        <x:f>SUMIFS('Wind Proxy'!$H$8:$H$19,'Wind Proxy'!$A$8:$A$19,'Estimator'!$B$4,'Wind Proxy'!$B$8:$B$19,C3417)</x:f>
        <x:v>0.11350059737156513</x:v>
      </x:c>
    </x:row>
    <x:row r="3418">
      <x:c r="A3418" s="379" t="n">
        <x:v>49069</x:v>
      </x:c>
      <x:c r="B3418" s="380" t="n">
        <x:v>2034</x:v>
      </x:c>
      <x:c r="C3418" s="380" t="n">
        <x:v>5</x:v>
      </x:c>
      <x:c r="D3418" s="380" t="str">
        <x:v>May</x:v>
      </x:c>
      <x:c r="E3418" s="380" t="n">
        <x:v>5</x:v>
      </x:c>
      <x:c r="F3418" s="380" t="n">
        <x:v>5</x:v>
      </x:c>
      <x:c r="G3418" s="380" t="n">
        <x:f>--(F3418&lt;='Estimator'!$B$7)</x:f>
        <x:v>1</x:v>
      </x:c>
      <x:c r="H3418" s="381" t="n">
        <x:f>SUMIFS('Climate Data'!$G$7:$G$366,'Climate Data'!$A$7:$A$366,'Estimator'!$B$4,'Climate Data'!$B$7:$B$366,C3418)</x:f>
        <x:v>0.41935483870967744</x:v>
      </x:c>
      <x:c r="I3418" s="382" t="n">
        <x:f>SUMIFS('Climate Data'!$H$7:$H$366,'Climate Data'!$A$7:$A$366,'Estimator'!$B$4,'Climate Data'!$B$7:$B$366,C3418)</x:f>
        <x:v>9.215384615384615</x:v>
      </x:c>
      <x:c r="J3418" s="381" t="n">
        <x:f>SUMIFS('Wind Proxy'!$H$8:$H$19,'Wind Proxy'!$A$8:$A$19,'Estimator'!$B$4,'Wind Proxy'!$B$8:$B$19,C3418)</x:f>
        <x:v>0.11350059737156513</x:v>
      </x:c>
    </x:row>
    <x:row r="3419">
      <x:c r="A3419" s="379" t="n">
        <x:v>49070</x:v>
      </x:c>
      <x:c r="B3419" s="380" t="n">
        <x:v>2034</x:v>
      </x:c>
      <x:c r="C3419" s="380" t="n">
        <x:v>5</x:v>
      </x:c>
      <x:c r="D3419" s="380" t="str">
        <x:v>May</x:v>
      </x:c>
      <x:c r="E3419" s="380" t="n">
        <x:v>6</x:v>
      </x:c>
      <x:c r="F3419" s="380" t="n">
        <x:v>6</x:v>
      </x:c>
      <x:c r="G3419" s="380" t="n">
        <x:f>--(F3419&lt;='Estimator'!$B$7)</x:f>
        <x:v>0</x:v>
      </x:c>
      <x:c r="H3419" s="381" t="n">
        <x:f>SUMIFS('Climate Data'!$G$7:$G$366,'Climate Data'!$A$7:$A$366,'Estimator'!$B$4,'Climate Data'!$B$7:$B$366,C3419)</x:f>
        <x:v>0.41935483870967744</x:v>
      </x:c>
      <x:c r="I3419" s="382" t="n">
        <x:f>SUMIFS('Climate Data'!$H$7:$H$366,'Climate Data'!$A$7:$A$366,'Estimator'!$B$4,'Climate Data'!$B$7:$B$366,C3419)</x:f>
        <x:v>9.215384615384615</x:v>
      </x:c>
      <x:c r="J3419" s="381" t="n">
        <x:f>SUMIFS('Wind Proxy'!$H$8:$H$19,'Wind Proxy'!$A$8:$A$19,'Estimator'!$B$4,'Wind Proxy'!$B$8:$B$19,C3419)</x:f>
        <x:v>0.11350059737156513</x:v>
      </x:c>
    </x:row>
    <x:row r="3420">
      <x:c r="A3420" s="379" t="n">
        <x:v>49071</x:v>
      </x:c>
      <x:c r="B3420" s="380" t="n">
        <x:v>2034</x:v>
      </x:c>
      <x:c r="C3420" s="380" t="n">
        <x:v>5</x:v>
      </x:c>
      <x:c r="D3420" s="380" t="str">
        <x:v>May</x:v>
      </x:c>
      <x:c r="E3420" s="380" t="n">
        <x:v>7</x:v>
      </x:c>
      <x:c r="F3420" s="380" t="n">
        <x:v>7</x:v>
      </x:c>
      <x:c r="G3420" s="380" t="n">
        <x:f>--(F3420&lt;='Estimator'!$B$7)</x:f>
        <x:v>0</x:v>
      </x:c>
      <x:c r="H3420" s="381" t="n">
        <x:f>SUMIFS('Climate Data'!$G$7:$G$366,'Climate Data'!$A$7:$A$366,'Estimator'!$B$4,'Climate Data'!$B$7:$B$366,C3420)</x:f>
        <x:v>0.41935483870967744</x:v>
      </x:c>
      <x:c r="I3420" s="382" t="n">
        <x:f>SUMIFS('Climate Data'!$H$7:$H$366,'Climate Data'!$A$7:$A$366,'Estimator'!$B$4,'Climate Data'!$B$7:$B$366,C3420)</x:f>
        <x:v>9.215384615384615</x:v>
      </x:c>
      <x:c r="J3420" s="381" t="n">
        <x:f>SUMIFS('Wind Proxy'!$H$8:$H$19,'Wind Proxy'!$A$8:$A$19,'Estimator'!$B$4,'Wind Proxy'!$B$8:$B$19,C3420)</x:f>
        <x:v>0.11350059737156513</x:v>
      </x:c>
    </x:row>
    <x:row r="3421">
      <x:c r="A3421" s="379" t="n">
        <x:v>49072</x:v>
      </x:c>
      <x:c r="B3421" s="380" t="n">
        <x:v>2034</x:v>
      </x:c>
      <x:c r="C3421" s="380" t="n">
        <x:v>5</x:v>
      </x:c>
      <x:c r="D3421" s="380" t="str">
        <x:v>May</x:v>
      </x:c>
      <x:c r="E3421" s="380" t="n">
        <x:v>8</x:v>
      </x:c>
      <x:c r="F3421" s="380" t="n">
        <x:v>1</x:v>
      </x:c>
      <x:c r="G3421" s="380" t="n">
        <x:f>--(F3421&lt;='Estimator'!$B$7)</x:f>
        <x:v>1</x:v>
      </x:c>
      <x:c r="H3421" s="381" t="n">
        <x:f>SUMIFS('Climate Data'!$G$7:$G$366,'Climate Data'!$A$7:$A$366,'Estimator'!$B$4,'Climate Data'!$B$7:$B$366,C3421)</x:f>
        <x:v>0.41935483870967744</x:v>
      </x:c>
      <x:c r="I3421" s="382" t="n">
        <x:f>SUMIFS('Climate Data'!$H$7:$H$366,'Climate Data'!$A$7:$A$366,'Estimator'!$B$4,'Climate Data'!$B$7:$B$366,C3421)</x:f>
        <x:v>9.215384615384615</x:v>
      </x:c>
      <x:c r="J3421" s="381" t="n">
        <x:f>SUMIFS('Wind Proxy'!$H$8:$H$19,'Wind Proxy'!$A$8:$A$19,'Estimator'!$B$4,'Wind Proxy'!$B$8:$B$19,C3421)</x:f>
        <x:v>0.11350059737156513</x:v>
      </x:c>
    </x:row>
    <x:row r="3422">
      <x:c r="A3422" s="379" t="n">
        <x:v>49073</x:v>
      </x:c>
      <x:c r="B3422" s="380" t="n">
        <x:v>2034</x:v>
      </x:c>
      <x:c r="C3422" s="380" t="n">
        <x:v>5</x:v>
      </x:c>
      <x:c r="D3422" s="380" t="str">
        <x:v>May</x:v>
      </x:c>
      <x:c r="E3422" s="380" t="n">
        <x:v>9</x:v>
      </x:c>
      <x:c r="F3422" s="380" t="n">
        <x:v>2</x:v>
      </x:c>
      <x:c r="G3422" s="380" t="n">
        <x:f>--(F3422&lt;='Estimator'!$B$7)</x:f>
        <x:v>1</x:v>
      </x:c>
      <x:c r="H3422" s="381" t="n">
        <x:f>SUMIFS('Climate Data'!$G$7:$G$366,'Climate Data'!$A$7:$A$366,'Estimator'!$B$4,'Climate Data'!$B$7:$B$366,C3422)</x:f>
        <x:v>0.41935483870967744</x:v>
      </x:c>
      <x:c r="I3422" s="382" t="n">
        <x:f>SUMIFS('Climate Data'!$H$7:$H$366,'Climate Data'!$A$7:$A$366,'Estimator'!$B$4,'Climate Data'!$B$7:$B$366,C3422)</x:f>
        <x:v>9.215384615384615</x:v>
      </x:c>
      <x:c r="J3422" s="381" t="n">
        <x:f>SUMIFS('Wind Proxy'!$H$8:$H$19,'Wind Proxy'!$A$8:$A$19,'Estimator'!$B$4,'Wind Proxy'!$B$8:$B$19,C3422)</x:f>
        <x:v>0.11350059737156513</x:v>
      </x:c>
    </x:row>
    <x:row r="3423">
      <x:c r="A3423" s="379" t="n">
        <x:v>49074</x:v>
      </x:c>
      <x:c r="B3423" s="380" t="n">
        <x:v>2034</x:v>
      </x:c>
      <x:c r="C3423" s="380" t="n">
        <x:v>5</x:v>
      </x:c>
      <x:c r="D3423" s="380" t="str">
        <x:v>May</x:v>
      </x:c>
      <x:c r="E3423" s="380" t="n">
        <x:v>10</x:v>
      </x:c>
      <x:c r="F3423" s="380" t="n">
        <x:v>3</x:v>
      </x:c>
      <x:c r="G3423" s="380" t="n">
        <x:f>--(F3423&lt;='Estimator'!$B$7)</x:f>
        <x:v>1</x:v>
      </x:c>
      <x:c r="H3423" s="381" t="n">
        <x:f>SUMIFS('Climate Data'!$G$7:$G$366,'Climate Data'!$A$7:$A$366,'Estimator'!$B$4,'Climate Data'!$B$7:$B$366,C3423)</x:f>
        <x:v>0.41935483870967744</x:v>
      </x:c>
      <x:c r="I3423" s="382" t="n">
        <x:f>SUMIFS('Climate Data'!$H$7:$H$366,'Climate Data'!$A$7:$A$366,'Estimator'!$B$4,'Climate Data'!$B$7:$B$366,C3423)</x:f>
        <x:v>9.215384615384615</x:v>
      </x:c>
      <x:c r="J3423" s="381" t="n">
        <x:f>SUMIFS('Wind Proxy'!$H$8:$H$19,'Wind Proxy'!$A$8:$A$19,'Estimator'!$B$4,'Wind Proxy'!$B$8:$B$19,C3423)</x:f>
        <x:v>0.11350059737156513</x:v>
      </x:c>
    </x:row>
    <x:row r="3424">
      <x:c r="A3424" s="379" t="n">
        <x:v>49075</x:v>
      </x:c>
      <x:c r="B3424" s="380" t="n">
        <x:v>2034</x:v>
      </x:c>
      <x:c r="C3424" s="380" t="n">
        <x:v>5</x:v>
      </x:c>
      <x:c r="D3424" s="380" t="str">
        <x:v>May</x:v>
      </x:c>
      <x:c r="E3424" s="380" t="n">
        <x:v>11</x:v>
      </x:c>
      <x:c r="F3424" s="380" t="n">
        <x:v>4</x:v>
      </x:c>
      <x:c r="G3424" s="380" t="n">
        <x:f>--(F3424&lt;='Estimator'!$B$7)</x:f>
        <x:v>1</x:v>
      </x:c>
      <x:c r="H3424" s="381" t="n">
        <x:f>SUMIFS('Climate Data'!$G$7:$G$366,'Climate Data'!$A$7:$A$366,'Estimator'!$B$4,'Climate Data'!$B$7:$B$366,C3424)</x:f>
        <x:v>0.41935483870967744</x:v>
      </x:c>
      <x:c r="I3424" s="382" t="n">
        <x:f>SUMIFS('Climate Data'!$H$7:$H$366,'Climate Data'!$A$7:$A$366,'Estimator'!$B$4,'Climate Data'!$B$7:$B$366,C3424)</x:f>
        <x:v>9.215384615384615</x:v>
      </x:c>
      <x:c r="J3424" s="381" t="n">
        <x:f>SUMIFS('Wind Proxy'!$H$8:$H$19,'Wind Proxy'!$A$8:$A$19,'Estimator'!$B$4,'Wind Proxy'!$B$8:$B$19,C3424)</x:f>
        <x:v>0.11350059737156513</x:v>
      </x:c>
    </x:row>
    <x:row r="3425">
      <x:c r="A3425" s="379" t="n">
        <x:v>49076</x:v>
      </x:c>
      <x:c r="B3425" s="380" t="n">
        <x:v>2034</x:v>
      </x:c>
      <x:c r="C3425" s="380" t="n">
        <x:v>5</x:v>
      </x:c>
      <x:c r="D3425" s="380" t="str">
        <x:v>May</x:v>
      </x:c>
      <x:c r="E3425" s="380" t="n">
        <x:v>12</x:v>
      </x:c>
      <x:c r="F3425" s="380" t="n">
        <x:v>5</x:v>
      </x:c>
      <x:c r="G3425" s="380" t="n">
        <x:f>--(F3425&lt;='Estimator'!$B$7)</x:f>
        <x:v>1</x:v>
      </x:c>
      <x:c r="H3425" s="381" t="n">
        <x:f>SUMIFS('Climate Data'!$G$7:$G$366,'Climate Data'!$A$7:$A$366,'Estimator'!$B$4,'Climate Data'!$B$7:$B$366,C3425)</x:f>
        <x:v>0.41935483870967744</x:v>
      </x:c>
      <x:c r="I3425" s="382" t="n">
        <x:f>SUMIFS('Climate Data'!$H$7:$H$366,'Climate Data'!$A$7:$A$366,'Estimator'!$B$4,'Climate Data'!$B$7:$B$366,C3425)</x:f>
        <x:v>9.215384615384615</x:v>
      </x:c>
      <x:c r="J3425" s="381" t="n">
        <x:f>SUMIFS('Wind Proxy'!$H$8:$H$19,'Wind Proxy'!$A$8:$A$19,'Estimator'!$B$4,'Wind Proxy'!$B$8:$B$19,C3425)</x:f>
        <x:v>0.11350059737156513</x:v>
      </x:c>
    </x:row>
    <x:row r="3426">
      <x:c r="A3426" s="379" t="n">
        <x:v>49077</x:v>
      </x:c>
      <x:c r="B3426" s="380" t="n">
        <x:v>2034</x:v>
      </x:c>
      <x:c r="C3426" s="380" t="n">
        <x:v>5</x:v>
      </x:c>
      <x:c r="D3426" s="380" t="str">
        <x:v>May</x:v>
      </x:c>
      <x:c r="E3426" s="380" t="n">
        <x:v>13</x:v>
      </x:c>
      <x:c r="F3426" s="380" t="n">
        <x:v>6</x:v>
      </x:c>
      <x:c r="G3426" s="380" t="n">
        <x:f>--(F3426&lt;='Estimator'!$B$7)</x:f>
        <x:v>0</x:v>
      </x:c>
      <x:c r="H3426" s="381" t="n">
        <x:f>SUMIFS('Climate Data'!$G$7:$G$366,'Climate Data'!$A$7:$A$366,'Estimator'!$B$4,'Climate Data'!$B$7:$B$366,C3426)</x:f>
        <x:v>0.41935483870967744</x:v>
      </x:c>
      <x:c r="I3426" s="382" t="n">
        <x:f>SUMIFS('Climate Data'!$H$7:$H$366,'Climate Data'!$A$7:$A$366,'Estimator'!$B$4,'Climate Data'!$B$7:$B$366,C3426)</x:f>
        <x:v>9.215384615384615</x:v>
      </x:c>
      <x:c r="J3426" s="381" t="n">
        <x:f>SUMIFS('Wind Proxy'!$H$8:$H$19,'Wind Proxy'!$A$8:$A$19,'Estimator'!$B$4,'Wind Proxy'!$B$8:$B$19,C3426)</x:f>
        <x:v>0.11350059737156513</x:v>
      </x:c>
    </x:row>
    <x:row r="3427">
      <x:c r="A3427" s="379" t="n">
        <x:v>49078</x:v>
      </x:c>
      <x:c r="B3427" s="380" t="n">
        <x:v>2034</x:v>
      </x:c>
      <x:c r="C3427" s="380" t="n">
        <x:v>5</x:v>
      </x:c>
      <x:c r="D3427" s="380" t="str">
        <x:v>May</x:v>
      </x:c>
      <x:c r="E3427" s="380" t="n">
        <x:v>14</x:v>
      </x:c>
      <x:c r="F3427" s="380" t="n">
        <x:v>7</x:v>
      </x:c>
      <x:c r="G3427" s="380" t="n">
        <x:f>--(F3427&lt;='Estimator'!$B$7)</x:f>
        <x:v>0</x:v>
      </x:c>
      <x:c r="H3427" s="381" t="n">
        <x:f>SUMIFS('Climate Data'!$G$7:$G$366,'Climate Data'!$A$7:$A$366,'Estimator'!$B$4,'Climate Data'!$B$7:$B$366,C3427)</x:f>
        <x:v>0.41935483870967744</x:v>
      </x:c>
      <x:c r="I3427" s="382" t="n">
        <x:f>SUMIFS('Climate Data'!$H$7:$H$366,'Climate Data'!$A$7:$A$366,'Estimator'!$B$4,'Climate Data'!$B$7:$B$366,C3427)</x:f>
        <x:v>9.215384615384615</x:v>
      </x:c>
      <x:c r="J3427" s="381" t="n">
        <x:f>SUMIFS('Wind Proxy'!$H$8:$H$19,'Wind Proxy'!$A$8:$A$19,'Estimator'!$B$4,'Wind Proxy'!$B$8:$B$19,C3427)</x:f>
        <x:v>0.11350059737156513</x:v>
      </x:c>
    </x:row>
    <x:row r="3428">
      <x:c r="A3428" s="379" t="n">
        <x:v>49079</x:v>
      </x:c>
      <x:c r="B3428" s="380" t="n">
        <x:v>2034</x:v>
      </x:c>
      <x:c r="C3428" s="380" t="n">
        <x:v>5</x:v>
      </x:c>
      <x:c r="D3428" s="380" t="str">
        <x:v>May</x:v>
      </x:c>
      <x:c r="E3428" s="380" t="n">
        <x:v>15</x:v>
      </x:c>
      <x:c r="F3428" s="380" t="n">
        <x:v>1</x:v>
      </x:c>
      <x:c r="G3428" s="380" t="n">
        <x:f>--(F3428&lt;='Estimator'!$B$7)</x:f>
        <x:v>1</x:v>
      </x:c>
      <x:c r="H3428" s="381" t="n">
        <x:f>SUMIFS('Climate Data'!$G$7:$G$366,'Climate Data'!$A$7:$A$366,'Estimator'!$B$4,'Climate Data'!$B$7:$B$366,C3428)</x:f>
        <x:v>0.41935483870967744</x:v>
      </x:c>
      <x:c r="I3428" s="382" t="n">
        <x:f>SUMIFS('Climate Data'!$H$7:$H$366,'Climate Data'!$A$7:$A$366,'Estimator'!$B$4,'Climate Data'!$B$7:$B$366,C3428)</x:f>
        <x:v>9.215384615384615</x:v>
      </x:c>
      <x:c r="J3428" s="381" t="n">
        <x:f>SUMIFS('Wind Proxy'!$H$8:$H$19,'Wind Proxy'!$A$8:$A$19,'Estimator'!$B$4,'Wind Proxy'!$B$8:$B$19,C3428)</x:f>
        <x:v>0.11350059737156513</x:v>
      </x:c>
    </x:row>
    <x:row r="3429">
      <x:c r="A3429" s="379" t="n">
        <x:v>49080</x:v>
      </x:c>
      <x:c r="B3429" s="380" t="n">
        <x:v>2034</x:v>
      </x:c>
      <x:c r="C3429" s="380" t="n">
        <x:v>5</x:v>
      </x:c>
      <x:c r="D3429" s="380" t="str">
        <x:v>May</x:v>
      </x:c>
      <x:c r="E3429" s="380" t="n">
        <x:v>16</x:v>
      </x:c>
      <x:c r="F3429" s="380" t="n">
        <x:v>2</x:v>
      </x:c>
      <x:c r="G3429" s="380" t="n">
        <x:f>--(F3429&lt;='Estimator'!$B$7)</x:f>
        <x:v>1</x:v>
      </x:c>
      <x:c r="H3429" s="381" t="n">
        <x:f>SUMIFS('Climate Data'!$G$7:$G$366,'Climate Data'!$A$7:$A$366,'Estimator'!$B$4,'Climate Data'!$B$7:$B$366,C3429)</x:f>
        <x:v>0.41935483870967744</x:v>
      </x:c>
      <x:c r="I3429" s="382" t="n">
        <x:f>SUMIFS('Climate Data'!$H$7:$H$366,'Climate Data'!$A$7:$A$366,'Estimator'!$B$4,'Climate Data'!$B$7:$B$366,C3429)</x:f>
        <x:v>9.215384615384615</x:v>
      </x:c>
      <x:c r="J3429" s="381" t="n">
        <x:f>SUMIFS('Wind Proxy'!$H$8:$H$19,'Wind Proxy'!$A$8:$A$19,'Estimator'!$B$4,'Wind Proxy'!$B$8:$B$19,C3429)</x:f>
        <x:v>0.11350059737156513</x:v>
      </x:c>
    </x:row>
    <x:row r="3430">
      <x:c r="A3430" s="379" t="n">
        <x:v>49081</x:v>
      </x:c>
      <x:c r="B3430" s="380" t="n">
        <x:v>2034</x:v>
      </x:c>
      <x:c r="C3430" s="380" t="n">
        <x:v>5</x:v>
      </x:c>
      <x:c r="D3430" s="380" t="str">
        <x:v>May</x:v>
      </x:c>
      <x:c r="E3430" s="380" t="n">
        <x:v>17</x:v>
      </x:c>
      <x:c r="F3430" s="380" t="n">
        <x:v>3</x:v>
      </x:c>
      <x:c r="G3430" s="380" t="n">
        <x:f>--(F3430&lt;='Estimator'!$B$7)</x:f>
        <x:v>1</x:v>
      </x:c>
      <x:c r="H3430" s="381" t="n">
        <x:f>SUMIFS('Climate Data'!$G$7:$G$366,'Climate Data'!$A$7:$A$366,'Estimator'!$B$4,'Climate Data'!$B$7:$B$366,C3430)</x:f>
        <x:v>0.41935483870967744</x:v>
      </x:c>
      <x:c r="I3430" s="382" t="n">
        <x:f>SUMIFS('Climate Data'!$H$7:$H$366,'Climate Data'!$A$7:$A$366,'Estimator'!$B$4,'Climate Data'!$B$7:$B$366,C3430)</x:f>
        <x:v>9.215384615384615</x:v>
      </x:c>
      <x:c r="J3430" s="381" t="n">
        <x:f>SUMIFS('Wind Proxy'!$H$8:$H$19,'Wind Proxy'!$A$8:$A$19,'Estimator'!$B$4,'Wind Proxy'!$B$8:$B$19,C3430)</x:f>
        <x:v>0.11350059737156513</x:v>
      </x:c>
    </x:row>
    <x:row r="3431">
      <x:c r="A3431" s="379" t="n">
        <x:v>49082</x:v>
      </x:c>
      <x:c r="B3431" s="380" t="n">
        <x:v>2034</x:v>
      </x:c>
      <x:c r="C3431" s="380" t="n">
        <x:v>5</x:v>
      </x:c>
      <x:c r="D3431" s="380" t="str">
        <x:v>May</x:v>
      </x:c>
      <x:c r="E3431" s="380" t="n">
        <x:v>18</x:v>
      </x:c>
      <x:c r="F3431" s="380" t="n">
        <x:v>4</x:v>
      </x:c>
      <x:c r="G3431" s="380" t="n">
        <x:f>--(F3431&lt;='Estimator'!$B$7)</x:f>
        <x:v>1</x:v>
      </x:c>
      <x:c r="H3431" s="381" t="n">
        <x:f>SUMIFS('Climate Data'!$G$7:$G$366,'Climate Data'!$A$7:$A$366,'Estimator'!$B$4,'Climate Data'!$B$7:$B$366,C3431)</x:f>
        <x:v>0.41935483870967744</x:v>
      </x:c>
      <x:c r="I3431" s="382" t="n">
        <x:f>SUMIFS('Climate Data'!$H$7:$H$366,'Climate Data'!$A$7:$A$366,'Estimator'!$B$4,'Climate Data'!$B$7:$B$366,C3431)</x:f>
        <x:v>9.215384615384615</x:v>
      </x:c>
      <x:c r="J3431" s="381" t="n">
        <x:f>SUMIFS('Wind Proxy'!$H$8:$H$19,'Wind Proxy'!$A$8:$A$19,'Estimator'!$B$4,'Wind Proxy'!$B$8:$B$19,C3431)</x:f>
        <x:v>0.11350059737156513</x:v>
      </x:c>
    </x:row>
    <x:row r="3432">
      <x:c r="A3432" s="379" t="n">
        <x:v>49083</x:v>
      </x:c>
      <x:c r="B3432" s="380" t="n">
        <x:v>2034</x:v>
      </x:c>
      <x:c r="C3432" s="380" t="n">
        <x:v>5</x:v>
      </x:c>
      <x:c r="D3432" s="380" t="str">
        <x:v>May</x:v>
      </x:c>
      <x:c r="E3432" s="380" t="n">
        <x:v>19</x:v>
      </x:c>
      <x:c r="F3432" s="380" t="n">
        <x:v>5</x:v>
      </x:c>
      <x:c r="G3432" s="380" t="n">
        <x:f>--(F3432&lt;='Estimator'!$B$7)</x:f>
        <x:v>1</x:v>
      </x:c>
      <x:c r="H3432" s="381" t="n">
        <x:f>SUMIFS('Climate Data'!$G$7:$G$366,'Climate Data'!$A$7:$A$366,'Estimator'!$B$4,'Climate Data'!$B$7:$B$366,C3432)</x:f>
        <x:v>0.41935483870967744</x:v>
      </x:c>
      <x:c r="I3432" s="382" t="n">
        <x:f>SUMIFS('Climate Data'!$H$7:$H$366,'Climate Data'!$A$7:$A$366,'Estimator'!$B$4,'Climate Data'!$B$7:$B$366,C3432)</x:f>
        <x:v>9.215384615384615</x:v>
      </x:c>
      <x:c r="J3432" s="381" t="n">
        <x:f>SUMIFS('Wind Proxy'!$H$8:$H$19,'Wind Proxy'!$A$8:$A$19,'Estimator'!$B$4,'Wind Proxy'!$B$8:$B$19,C3432)</x:f>
        <x:v>0.11350059737156513</x:v>
      </x:c>
    </x:row>
    <x:row r="3433">
      <x:c r="A3433" s="379" t="n">
        <x:v>49084</x:v>
      </x:c>
      <x:c r="B3433" s="380" t="n">
        <x:v>2034</x:v>
      </x:c>
      <x:c r="C3433" s="380" t="n">
        <x:v>5</x:v>
      </x:c>
      <x:c r="D3433" s="380" t="str">
        <x:v>May</x:v>
      </x:c>
      <x:c r="E3433" s="380" t="n">
        <x:v>20</x:v>
      </x:c>
      <x:c r="F3433" s="380" t="n">
        <x:v>6</x:v>
      </x:c>
      <x:c r="G3433" s="380" t="n">
        <x:f>--(F3433&lt;='Estimator'!$B$7)</x:f>
        <x:v>0</x:v>
      </x:c>
      <x:c r="H3433" s="381" t="n">
        <x:f>SUMIFS('Climate Data'!$G$7:$G$366,'Climate Data'!$A$7:$A$366,'Estimator'!$B$4,'Climate Data'!$B$7:$B$366,C3433)</x:f>
        <x:v>0.41935483870967744</x:v>
      </x:c>
      <x:c r="I3433" s="382" t="n">
        <x:f>SUMIFS('Climate Data'!$H$7:$H$366,'Climate Data'!$A$7:$A$366,'Estimator'!$B$4,'Climate Data'!$B$7:$B$366,C3433)</x:f>
        <x:v>9.215384615384615</x:v>
      </x:c>
      <x:c r="J3433" s="381" t="n">
        <x:f>SUMIFS('Wind Proxy'!$H$8:$H$19,'Wind Proxy'!$A$8:$A$19,'Estimator'!$B$4,'Wind Proxy'!$B$8:$B$19,C3433)</x:f>
        <x:v>0.11350059737156513</x:v>
      </x:c>
    </x:row>
    <x:row r="3434">
      <x:c r="A3434" s="379" t="n">
        <x:v>49085</x:v>
      </x:c>
      <x:c r="B3434" s="380" t="n">
        <x:v>2034</x:v>
      </x:c>
      <x:c r="C3434" s="380" t="n">
        <x:v>5</x:v>
      </x:c>
      <x:c r="D3434" s="380" t="str">
        <x:v>May</x:v>
      </x:c>
      <x:c r="E3434" s="380" t="n">
        <x:v>21</x:v>
      </x:c>
      <x:c r="F3434" s="380" t="n">
        <x:v>7</x:v>
      </x:c>
      <x:c r="G3434" s="380" t="n">
        <x:f>--(F3434&lt;='Estimator'!$B$7)</x:f>
        <x:v>0</x:v>
      </x:c>
      <x:c r="H3434" s="381" t="n">
        <x:f>SUMIFS('Climate Data'!$G$7:$G$366,'Climate Data'!$A$7:$A$366,'Estimator'!$B$4,'Climate Data'!$B$7:$B$366,C3434)</x:f>
        <x:v>0.41935483870967744</x:v>
      </x:c>
      <x:c r="I3434" s="382" t="n">
        <x:f>SUMIFS('Climate Data'!$H$7:$H$366,'Climate Data'!$A$7:$A$366,'Estimator'!$B$4,'Climate Data'!$B$7:$B$366,C3434)</x:f>
        <x:v>9.215384615384615</x:v>
      </x:c>
      <x:c r="J3434" s="381" t="n">
        <x:f>SUMIFS('Wind Proxy'!$H$8:$H$19,'Wind Proxy'!$A$8:$A$19,'Estimator'!$B$4,'Wind Proxy'!$B$8:$B$19,C3434)</x:f>
        <x:v>0.11350059737156513</x:v>
      </x:c>
    </x:row>
    <x:row r="3435">
      <x:c r="A3435" s="379" t="n">
        <x:v>49086</x:v>
      </x:c>
      <x:c r="B3435" s="380" t="n">
        <x:v>2034</x:v>
      </x:c>
      <x:c r="C3435" s="380" t="n">
        <x:v>5</x:v>
      </x:c>
      <x:c r="D3435" s="380" t="str">
        <x:v>May</x:v>
      </x:c>
      <x:c r="E3435" s="380" t="n">
        <x:v>22</x:v>
      </x:c>
      <x:c r="F3435" s="380" t="n">
        <x:v>1</x:v>
      </x:c>
      <x:c r="G3435" s="380" t="n">
        <x:f>--(F3435&lt;='Estimator'!$B$7)</x:f>
        <x:v>1</x:v>
      </x:c>
      <x:c r="H3435" s="381" t="n">
        <x:f>SUMIFS('Climate Data'!$G$7:$G$366,'Climate Data'!$A$7:$A$366,'Estimator'!$B$4,'Climate Data'!$B$7:$B$366,C3435)</x:f>
        <x:v>0.41935483870967744</x:v>
      </x:c>
      <x:c r="I3435" s="382" t="n">
        <x:f>SUMIFS('Climate Data'!$H$7:$H$366,'Climate Data'!$A$7:$A$366,'Estimator'!$B$4,'Climate Data'!$B$7:$B$366,C3435)</x:f>
        <x:v>9.215384615384615</x:v>
      </x:c>
      <x:c r="J3435" s="381" t="n">
        <x:f>SUMIFS('Wind Proxy'!$H$8:$H$19,'Wind Proxy'!$A$8:$A$19,'Estimator'!$B$4,'Wind Proxy'!$B$8:$B$19,C3435)</x:f>
        <x:v>0.11350059737156513</x:v>
      </x:c>
    </x:row>
    <x:row r="3436">
      <x:c r="A3436" s="379" t="n">
        <x:v>49087</x:v>
      </x:c>
      <x:c r="B3436" s="380" t="n">
        <x:v>2034</x:v>
      </x:c>
      <x:c r="C3436" s="380" t="n">
        <x:v>5</x:v>
      </x:c>
      <x:c r="D3436" s="380" t="str">
        <x:v>May</x:v>
      </x:c>
      <x:c r="E3436" s="380" t="n">
        <x:v>23</x:v>
      </x:c>
      <x:c r="F3436" s="380" t="n">
        <x:v>2</x:v>
      </x:c>
      <x:c r="G3436" s="380" t="n">
        <x:f>--(F3436&lt;='Estimator'!$B$7)</x:f>
        <x:v>1</x:v>
      </x:c>
      <x:c r="H3436" s="381" t="n">
        <x:f>SUMIFS('Climate Data'!$G$7:$G$366,'Climate Data'!$A$7:$A$366,'Estimator'!$B$4,'Climate Data'!$B$7:$B$366,C3436)</x:f>
        <x:v>0.41935483870967744</x:v>
      </x:c>
      <x:c r="I3436" s="382" t="n">
        <x:f>SUMIFS('Climate Data'!$H$7:$H$366,'Climate Data'!$A$7:$A$366,'Estimator'!$B$4,'Climate Data'!$B$7:$B$366,C3436)</x:f>
        <x:v>9.215384615384615</x:v>
      </x:c>
      <x:c r="J3436" s="381" t="n">
        <x:f>SUMIFS('Wind Proxy'!$H$8:$H$19,'Wind Proxy'!$A$8:$A$19,'Estimator'!$B$4,'Wind Proxy'!$B$8:$B$19,C3436)</x:f>
        <x:v>0.11350059737156513</x:v>
      </x:c>
    </x:row>
    <x:row r="3437">
      <x:c r="A3437" s="379" t="n">
        <x:v>49088</x:v>
      </x:c>
      <x:c r="B3437" s="380" t="n">
        <x:v>2034</x:v>
      </x:c>
      <x:c r="C3437" s="380" t="n">
        <x:v>5</x:v>
      </x:c>
      <x:c r="D3437" s="380" t="str">
        <x:v>May</x:v>
      </x:c>
      <x:c r="E3437" s="380" t="n">
        <x:v>24</x:v>
      </x:c>
      <x:c r="F3437" s="380" t="n">
        <x:v>3</x:v>
      </x:c>
      <x:c r="G3437" s="380" t="n">
        <x:f>--(F3437&lt;='Estimator'!$B$7)</x:f>
        <x:v>1</x:v>
      </x:c>
      <x:c r="H3437" s="381" t="n">
        <x:f>SUMIFS('Climate Data'!$G$7:$G$366,'Climate Data'!$A$7:$A$366,'Estimator'!$B$4,'Climate Data'!$B$7:$B$366,C3437)</x:f>
        <x:v>0.41935483870967744</x:v>
      </x:c>
      <x:c r="I3437" s="382" t="n">
        <x:f>SUMIFS('Climate Data'!$H$7:$H$366,'Climate Data'!$A$7:$A$366,'Estimator'!$B$4,'Climate Data'!$B$7:$B$366,C3437)</x:f>
        <x:v>9.215384615384615</x:v>
      </x:c>
      <x:c r="J3437" s="381" t="n">
        <x:f>SUMIFS('Wind Proxy'!$H$8:$H$19,'Wind Proxy'!$A$8:$A$19,'Estimator'!$B$4,'Wind Proxy'!$B$8:$B$19,C3437)</x:f>
        <x:v>0.11350059737156513</x:v>
      </x:c>
    </x:row>
    <x:row r="3438">
      <x:c r="A3438" s="379" t="n">
        <x:v>49089</x:v>
      </x:c>
      <x:c r="B3438" s="380" t="n">
        <x:v>2034</x:v>
      </x:c>
      <x:c r="C3438" s="380" t="n">
        <x:v>5</x:v>
      </x:c>
      <x:c r="D3438" s="380" t="str">
        <x:v>May</x:v>
      </x:c>
      <x:c r="E3438" s="380" t="n">
        <x:v>25</x:v>
      </x:c>
      <x:c r="F3438" s="380" t="n">
        <x:v>4</x:v>
      </x:c>
      <x:c r="G3438" s="380" t="n">
        <x:f>--(F3438&lt;='Estimator'!$B$7)</x:f>
        <x:v>1</x:v>
      </x:c>
      <x:c r="H3438" s="381" t="n">
        <x:f>SUMIFS('Climate Data'!$G$7:$G$366,'Climate Data'!$A$7:$A$366,'Estimator'!$B$4,'Climate Data'!$B$7:$B$366,C3438)</x:f>
        <x:v>0.41935483870967744</x:v>
      </x:c>
      <x:c r="I3438" s="382" t="n">
        <x:f>SUMIFS('Climate Data'!$H$7:$H$366,'Climate Data'!$A$7:$A$366,'Estimator'!$B$4,'Climate Data'!$B$7:$B$366,C3438)</x:f>
        <x:v>9.215384615384615</x:v>
      </x:c>
      <x:c r="J3438" s="381" t="n">
        <x:f>SUMIFS('Wind Proxy'!$H$8:$H$19,'Wind Proxy'!$A$8:$A$19,'Estimator'!$B$4,'Wind Proxy'!$B$8:$B$19,C3438)</x:f>
        <x:v>0.11350059737156513</x:v>
      </x:c>
    </x:row>
    <x:row r="3439">
      <x:c r="A3439" s="379" t="n">
        <x:v>49090</x:v>
      </x:c>
      <x:c r="B3439" s="380" t="n">
        <x:v>2034</x:v>
      </x:c>
      <x:c r="C3439" s="380" t="n">
        <x:v>5</x:v>
      </x:c>
      <x:c r="D3439" s="380" t="str">
        <x:v>May</x:v>
      </x:c>
      <x:c r="E3439" s="380" t="n">
        <x:v>26</x:v>
      </x:c>
      <x:c r="F3439" s="380" t="n">
        <x:v>5</x:v>
      </x:c>
      <x:c r="G3439" s="380" t="n">
        <x:f>--(F3439&lt;='Estimator'!$B$7)</x:f>
        <x:v>1</x:v>
      </x:c>
      <x:c r="H3439" s="381" t="n">
        <x:f>SUMIFS('Climate Data'!$G$7:$G$366,'Climate Data'!$A$7:$A$366,'Estimator'!$B$4,'Climate Data'!$B$7:$B$366,C3439)</x:f>
        <x:v>0.41935483870967744</x:v>
      </x:c>
      <x:c r="I3439" s="382" t="n">
        <x:f>SUMIFS('Climate Data'!$H$7:$H$366,'Climate Data'!$A$7:$A$366,'Estimator'!$B$4,'Climate Data'!$B$7:$B$366,C3439)</x:f>
        <x:v>9.215384615384615</x:v>
      </x:c>
      <x:c r="J3439" s="381" t="n">
        <x:f>SUMIFS('Wind Proxy'!$H$8:$H$19,'Wind Proxy'!$A$8:$A$19,'Estimator'!$B$4,'Wind Proxy'!$B$8:$B$19,C3439)</x:f>
        <x:v>0.11350059737156513</x:v>
      </x:c>
    </x:row>
    <x:row r="3440">
      <x:c r="A3440" s="379" t="n">
        <x:v>49091</x:v>
      </x:c>
      <x:c r="B3440" s="380" t="n">
        <x:v>2034</x:v>
      </x:c>
      <x:c r="C3440" s="380" t="n">
        <x:v>5</x:v>
      </x:c>
      <x:c r="D3440" s="380" t="str">
        <x:v>May</x:v>
      </x:c>
      <x:c r="E3440" s="380" t="n">
        <x:v>27</x:v>
      </x:c>
      <x:c r="F3440" s="380" t="n">
        <x:v>6</x:v>
      </x:c>
      <x:c r="G3440" s="380" t="n">
        <x:f>--(F3440&lt;='Estimator'!$B$7)</x:f>
        <x:v>0</x:v>
      </x:c>
      <x:c r="H3440" s="381" t="n">
        <x:f>SUMIFS('Climate Data'!$G$7:$G$366,'Climate Data'!$A$7:$A$366,'Estimator'!$B$4,'Climate Data'!$B$7:$B$366,C3440)</x:f>
        <x:v>0.41935483870967744</x:v>
      </x:c>
      <x:c r="I3440" s="382" t="n">
        <x:f>SUMIFS('Climate Data'!$H$7:$H$366,'Climate Data'!$A$7:$A$366,'Estimator'!$B$4,'Climate Data'!$B$7:$B$366,C3440)</x:f>
        <x:v>9.215384615384615</x:v>
      </x:c>
      <x:c r="J3440" s="381" t="n">
        <x:f>SUMIFS('Wind Proxy'!$H$8:$H$19,'Wind Proxy'!$A$8:$A$19,'Estimator'!$B$4,'Wind Proxy'!$B$8:$B$19,C3440)</x:f>
        <x:v>0.11350059737156513</x:v>
      </x:c>
    </x:row>
    <x:row r="3441">
      <x:c r="A3441" s="379" t="n">
        <x:v>49092</x:v>
      </x:c>
      <x:c r="B3441" s="380" t="n">
        <x:v>2034</x:v>
      </x:c>
      <x:c r="C3441" s="380" t="n">
        <x:v>5</x:v>
      </x:c>
      <x:c r="D3441" s="380" t="str">
        <x:v>May</x:v>
      </x:c>
      <x:c r="E3441" s="380" t="n">
        <x:v>28</x:v>
      </x:c>
      <x:c r="F3441" s="380" t="n">
        <x:v>7</x:v>
      </x:c>
      <x:c r="G3441" s="380" t="n">
        <x:f>--(F3441&lt;='Estimator'!$B$7)</x:f>
        <x:v>0</x:v>
      </x:c>
      <x:c r="H3441" s="381" t="n">
        <x:f>SUMIFS('Climate Data'!$G$7:$G$366,'Climate Data'!$A$7:$A$366,'Estimator'!$B$4,'Climate Data'!$B$7:$B$366,C3441)</x:f>
        <x:v>0.41935483870967744</x:v>
      </x:c>
      <x:c r="I3441" s="382" t="n">
        <x:f>SUMIFS('Climate Data'!$H$7:$H$366,'Climate Data'!$A$7:$A$366,'Estimator'!$B$4,'Climate Data'!$B$7:$B$366,C3441)</x:f>
        <x:v>9.215384615384615</x:v>
      </x:c>
      <x:c r="J3441" s="381" t="n">
        <x:f>SUMIFS('Wind Proxy'!$H$8:$H$19,'Wind Proxy'!$A$8:$A$19,'Estimator'!$B$4,'Wind Proxy'!$B$8:$B$19,C3441)</x:f>
        <x:v>0.11350059737156513</x:v>
      </x:c>
    </x:row>
    <x:row r="3442">
      <x:c r="A3442" s="379" t="n">
        <x:v>49093</x:v>
      </x:c>
      <x:c r="B3442" s="380" t="n">
        <x:v>2034</x:v>
      </x:c>
      <x:c r="C3442" s="380" t="n">
        <x:v>5</x:v>
      </x:c>
      <x:c r="D3442" s="380" t="str">
        <x:v>May</x:v>
      </x:c>
      <x:c r="E3442" s="380" t="n">
        <x:v>29</x:v>
      </x:c>
      <x:c r="F3442" s="380" t="n">
        <x:v>1</x:v>
      </x:c>
      <x:c r="G3442" s="380" t="n">
        <x:f>--(F3442&lt;='Estimator'!$B$7)</x:f>
        <x:v>1</x:v>
      </x:c>
      <x:c r="H3442" s="381" t="n">
        <x:f>SUMIFS('Climate Data'!$G$7:$G$366,'Climate Data'!$A$7:$A$366,'Estimator'!$B$4,'Climate Data'!$B$7:$B$366,C3442)</x:f>
        <x:v>0.41935483870967744</x:v>
      </x:c>
      <x:c r="I3442" s="382" t="n">
        <x:f>SUMIFS('Climate Data'!$H$7:$H$366,'Climate Data'!$A$7:$A$366,'Estimator'!$B$4,'Climate Data'!$B$7:$B$366,C3442)</x:f>
        <x:v>9.215384615384615</x:v>
      </x:c>
      <x:c r="J3442" s="381" t="n">
        <x:f>SUMIFS('Wind Proxy'!$H$8:$H$19,'Wind Proxy'!$A$8:$A$19,'Estimator'!$B$4,'Wind Proxy'!$B$8:$B$19,C3442)</x:f>
        <x:v>0.11350059737156513</x:v>
      </x:c>
    </x:row>
    <x:row r="3443">
      <x:c r="A3443" s="379" t="n">
        <x:v>49094</x:v>
      </x:c>
      <x:c r="B3443" s="380" t="n">
        <x:v>2034</x:v>
      </x:c>
      <x:c r="C3443" s="380" t="n">
        <x:v>5</x:v>
      </x:c>
      <x:c r="D3443" s="380" t="str">
        <x:v>May</x:v>
      </x:c>
      <x:c r="E3443" s="380" t="n">
        <x:v>30</x:v>
      </x:c>
      <x:c r="F3443" s="380" t="n">
        <x:v>2</x:v>
      </x:c>
      <x:c r="G3443" s="380" t="n">
        <x:f>--(F3443&lt;='Estimator'!$B$7)</x:f>
        <x:v>1</x:v>
      </x:c>
      <x:c r="H3443" s="381" t="n">
        <x:f>SUMIFS('Climate Data'!$G$7:$G$366,'Climate Data'!$A$7:$A$366,'Estimator'!$B$4,'Climate Data'!$B$7:$B$366,C3443)</x:f>
        <x:v>0.41935483870967744</x:v>
      </x:c>
      <x:c r="I3443" s="382" t="n">
        <x:f>SUMIFS('Climate Data'!$H$7:$H$366,'Climate Data'!$A$7:$A$366,'Estimator'!$B$4,'Climate Data'!$B$7:$B$366,C3443)</x:f>
        <x:v>9.215384615384615</x:v>
      </x:c>
      <x:c r="J3443" s="381" t="n">
        <x:f>SUMIFS('Wind Proxy'!$H$8:$H$19,'Wind Proxy'!$A$8:$A$19,'Estimator'!$B$4,'Wind Proxy'!$B$8:$B$19,C3443)</x:f>
        <x:v>0.11350059737156513</x:v>
      </x:c>
    </x:row>
    <x:row r="3444">
      <x:c r="A3444" s="379" t="n">
        <x:v>49095</x:v>
      </x:c>
      <x:c r="B3444" s="380" t="n">
        <x:v>2034</x:v>
      </x:c>
      <x:c r="C3444" s="380" t="n">
        <x:v>5</x:v>
      </x:c>
      <x:c r="D3444" s="380" t="str">
        <x:v>May</x:v>
      </x:c>
      <x:c r="E3444" s="380" t="n">
        <x:v>31</x:v>
      </x:c>
      <x:c r="F3444" s="380" t="n">
        <x:v>3</x:v>
      </x:c>
      <x:c r="G3444" s="380" t="n">
        <x:f>--(F3444&lt;='Estimator'!$B$7)</x:f>
        <x:v>1</x:v>
      </x:c>
      <x:c r="H3444" s="381" t="n">
        <x:f>SUMIFS('Climate Data'!$G$7:$G$366,'Climate Data'!$A$7:$A$366,'Estimator'!$B$4,'Climate Data'!$B$7:$B$366,C3444)</x:f>
        <x:v>0.41935483870967744</x:v>
      </x:c>
      <x:c r="I3444" s="382" t="n">
        <x:f>SUMIFS('Climate Data'!$H$7:$H$366,'Climate Data'!$A$7:$A$366,'Estimator'!$B$4,'Climate Data'!$B$7:$B$366,C3444)</x:f>
        <x:v>9.215384615384615</x:v>
      </x:c>
      <x:c r="J3444" s="381" t="n">
        <x:f>SUMIFS('Wind Proxy'!$H$8:$H$19,'Wind Proxy'!$A$8:$A$19,'Estimator'!$B$4,'Wind Proxy'!$B$8:$B$19,C3444)</x:f>
        <x:v>0.11350059737156513</x:v>
      </x:c>
    </x:row>
    <x:row r="3445">
      <x:c r="A3445" s="379" t="n">
        <x:v>49096</x:v>
      </x:c>
      <x:c r="B3445" s="380" t="n">
        <x:v>2034</x:v>
      </x:c>
      <x:c r="C3445" s="380" t="n">
        <x:v>6</x:v>
      </x:c>
      <x:c r="D3445" s="380" t="str">
        <x:v>Jun</x:v>
      </x:c>
      <x:c r="E3445" s="380" t="n">
        <x:v>1</x:v>
      </x:c>
      <x:c r="F3445" s="380" t="n">
        <x:v>4</x:v>
      </x:c>
      <x:c r="G3445" s="380" t="n">
        <x:f>--(F3445&lt;='Estimator'!$B$7)</x:f>
        <x:v>1</x:v>
      </x:c>
      <x:c r="H3445" s="381" t="n">
        <x:f>SUMIFS('Climate Data'!$G$7:$G$366,'Climate Data'!$A$7:$A$366,'Estimator'!$B$4,'Climate Data'!$B$7:$B$366,C3445)</x:f>
        <x:v>0.475</x:v>
      </x:c>
      <x:c r="I3445" s="382" t="n">
        <x:f>SUMIFS('Climate Data'!$H$7:$H$366,'Climate Data'!$A$7:$A$366,'Estimator'!$B$4,'Climate Data'!$B$7:$B$366,C3445)</x:f>
        <x:v>8.378947368421054</x:v>
      </x:c>
      <x:c r="J3445" s="381" t="n">
        <x:f>SUMIFS('Wind Proxy'!$H$8:$H$19,'Wind Proxy'!$A$8:$A$19,'Estimator'!$B$4,'Wind Proxy'!$B$8:$B$19,C3445)</x:f>
        <x:v>0.14197530864197533</x:v>
      </x:c>
    </x:row>
    <x:row r="3446">
      <x:c r="A3446" s="379" t="n">
        <x:v>49097</x:v>
      </x:c>
      <x:c r="B3446" s="380" t="n">
        <x:v>2034</x:v>
      </x:c>
      <x:c r="C3446" s="380" t="n">
        <x:v>6</x:v>
      </x:c>
      <x:c r="D3446" s="380" t="str">
        <x:v>Jun</x:v>
      </x:c>
      <x:c r="E3446" s="380" t="n">
        <x:v>2</x:v>
      </x:c>
      <x:c r="F3446" s="380" t="n">
        <x:v>5</x:v>
      </x:c>
      <x:c r="G3446" s="380" t="n">
        <x:f>--(F3446&lt;='Estimator'!$B$7)</x:f>
        <x:v>1</x:v>
      </x:c>
      <x:c r="H3446" s="381" t="n">
        <x:f>SUMIFS('Climate Data'!$G$7:$G$366,'Climate Data'!$A$7:$A$366,'Estimator'!$B$4,'Climate Data'!$B$7:$B$366,C3446)</x:f>
        <x:v>0.475</x:v>
      </x:c>
      <x:c r="I3446" s="382" t="n">
        <x:f>SUMIFS('Climate Data'!$H$7:$H$366,'Climate Data'!$A$7:$A$366,'Estimator'!$B$4,'Climate Data'!$B$7:$B$366,C3446)</x:f>
        <x:v>8.378947368421054</x:v>
      </x:c>
      <x:c r="J3446" s="381" t="n">
        <x:f>SUMIFS('Wind Proxy'!$H$8:$H$19,'Wind Proxy'!$A$8:$A$19,'Estimator'!$B$4,'Wind Proxy'!$B$8:$B$19,C3446)</x:f>
        <x:v>0.14197530864197533</x:v>
      </x:c>
    </x:row>
    <x:row r="3447">
      <x:c r="A3447" s="379" t="n">
        <x:v>49098</x:v>
      </x:c>
      <x:c r="B3447" s="380" t="n">
        <x:v>2034</x:v>
      </x:c>
      <x:c r="C3447" s="380" t="n">
        <x:v>6</x:v>
      </x:c>
      <x:c r="D3447" s="380" t="str">
        <x:v>Jun</x:v>
      </x:c>
      <x:c r="E3447" s="380" t="n">
        <x:v>3</x:v>
      </x:c>
      <x:c r="F3447" s="380" t="n">
        <x:v>6</x:v>
      </x:c>
      <x:c r="G3447" s="380" t="n">
        <x:f>--(F3447&lt;='Estimator'!$B$7)</x:f>
        <x:v>0</x:v>
      </x:c>
      <x:c r="H3447" s="381" t="n">
        <x:f>SUMIFS('Climate Data'!$G$7:$G$366,'Climate Data'!$A$7:$A$366,'Estimator'!$B$4,'Climate Data'!$B$7:$B$366,C3447)</x:f>
        <x:v>0.475</x:v>
      </x:c>
      <x:c r="I3447" s="382" t="n">
        <x:f>SUMIFS('Climate Data'!$H$7:$H$366,'Climate Data'!$A$7:$A$366,'Estimator'!$B$4,'Climate Data'!$B$7:$B$366,C3447)</x:f>
        <x:v>8.378947368421054</x:v>
      </x:c>
      <x:c r="J3447" s="381" t="n">
        <x:f>SUMIFS('Wind Proxy'!$H$8:$H$19,'Wind Proxy'!$A$8:$A$19,'Estimator'!$B$4,'Wind Proxy'!$B$8:$B$19,C3447)</x:f>
        <x:v>0.14197530864197533</x:v>
      </x:c>
    </x:row>
    <x:row r="3448">
      <x:c r="A3448" s="379" t="n">
        <x:v>49099</x:v>
      </x:c>
      <x:c r="B3448" s="380" t="n">
        <x:v>2034</x:v>
      </x:c>
      <x:c r="C3448" s="380" t="n">
        <x:v>6</x:v>
      </x:c>
      <x:c r="D3448" s="380" t="str">
        <x:v>Jun</x:v>
      </x:c>
      <x:c r="E3448" s="380" t="n">
        <x:v>4</x:v>
      </x:c>
      <x:c r="F3448" s="380" t="n">
        <x:v>7</x:v>
      </x:c>
      <x:c r="G3448" s="380" t="n">
        <x:f>--(F3448&lt;='Estimator'!$B$7)</x:f>
        <x:v>0</x:v>
      </x:c>
      <x:c r="H3448" s="381" t="n">
        <x:f>SUMIFS('Climate Data'!$G$7:$G$366,'Climate Data'!$A$7:$A$366,'Estimator'!$B$4,'Climate Data'!$B$7:$B$366,C3448)</x:f>
        <x:v>0.475</x:v>
      </x:c>
      <x:c r="I3448" s="382" t="n">
        <x:f>SUMIFS('Climate Data'!$H$7:$H$366,'Climate Data'!$A$7:$A$366,'Estimator'!$B$4,'Climate Data'!$B$7:$B$366,C3448)</x:f>
        <x:v>8.378947368421054</x:v>
      </x:c>
      <x:c r="J3448" s="381" t="n">
        <x:f>SUMIFS('Wind Proxy'!$H$8:$H$19,'Wind Proxy'!$A$8:$A$19,'Estimator'!$B$4,'Wind Proxy'!$B$8:$B$19,C3448)</x:f>
        <x:v>0.14197530864197533</x:v>
      </x:c>
    </x:row>
    <x:row r="3449">
      <x:c r="A3449" s="379" t="n">
        <x:v>49100</x:v>
      </x:c>
      <x:c r="B3449" s="380" t="n">
        <x:v>2034</x:v>
      </x:c>
      <x:c r="C3449" s="380" t="n">
        <x:v>6</x:v>
      </x:c>
      <x:c r="D3449" s="380" t="str">
        <x:v>Jun</x:v>
      </x:c>
      <x:c r="E3449" s="380" t="n">
        <x:v>5</x:v>
      </x:c>
      <x:c r="F3449" s="380" t="n">
        <x:v>1</x:v>
      </x:c>
      <x:c r="G3449" s="380" t="n">
        <x:f>--(F3449&lt;='Estimator'!$B$7)</x:f>
        <x:v>1</x:v>
      </x:c>
      <x:c r="H3449" s="381" t="n">
        <x:f>SUMIFS('Climate Data'!$G$7:$G$366,'Climate Data'!$A$7:$A$366,'Estimator'!$B$4,'Climate Data'!$B$7:$B$366,C3449)</x:f>
        <x:v>0.475</x:v>
      </x:c>
      <x:c r="I3449" s="382" t="n">
        <x:f>SUMIFS('Climate Data'!$H$7:$H$366,'Climate Data'!$A$7:$A$366,'Estimator'!$B$4,'Climate Data'!$B$7:$B$366,C3449)</x:f>
        <x:v>8.378947368421054</x:v>
      </x:c>
      <x:c r="J3449" s="381" t="n">
        <x:f>SUMIFS('Wind Proxy'!$H$8:$H$19,'Wind Proxy'!$A$8:$A$19,'Estimator'!$B$4,'Wind Proxy'!$B$8:$B$19,C3449)</x:f>
        <x:v>0.14197530864197533</x:v>
      </x:c>
    </x:row>
    <x:row r="3450">
      <x:c r="A3450" s="379" t="n">
        <x:v>49101</x:v>
      </x:c>
      <x:c r="B3450" s="380" t="n">
        <x:v>2034</x:v>
      </x:c>
      <x:c r="C3450" s="380" t="n">
        <x:v>6</x:v>
      </x:c>
      <x:c r="D3450" s="380" t="str">
        <x:v>Jun</x:v>
      </x:c>
      <x:c r="E3450" s="380" t="n">
        <x:v>6</x:v>
      </x:c>
      <x:c r="F3450" s="380" t="n">
        <x:v>2</x:v>
      </x:c>
      <x:c r="G3450" s="380" t="n">
        <x:f>--(F3450&lt;='Estimator'!$B$7)</x:f>
        <x:v>1</x:v>
      </x:c>
      <x:c r="H3450" s="381" t="n">
        <x:f>SUMIFS('Climate Data'!$G$7:$G$366,'Climate Data'!$A$7:$A$366,'Estimator'!$B$4,'Climate Data'!$B$7:$B$366,C3450)</x:f>
        <x:v>0.475</x:v>
      </x:c>
      <x:c r="I3450" s="382" t="n">
        <x:f>SUMIFS('Climate Data'!$H$7:$H$366,'Climate Data'!$A$7:$A$366,'Estimator'!$B$4,'Climate Data'!$B$7:$B$366,C3450)</x:f>
        <x:v>8.378947368421054</x:v>
      </x:c>
      <x:c r="J3450" s="381" t="n">
        <x:f>SUMIFS('Wind Proxy'!$H$8:$H$19,'Wind Proxy'!$A$8:$A$19,'Estimator'!$B$4,'Wind Proxy'!$B$8:$B$19,C3450)</x:f>
        <x:v>0.14197530864197533</x:v>
      </x:c>
    </x:row>
    <x:row r="3451">
      <x:c r="A3451" s="379" t="n">
        <x:v>49102</x:v>
      </x:c>
      <x:c r="B3451" s="380" t="n">
        <x:v>2034</x:v>
      </x:c>
      <x:c r="C3451" s="380" t="n">
        <x:v>6</x:v>
      </x:c>
      <x:c r="D3451" s="380" t="str">
        <x:v>Jun</x:v>
      </x:c>
      <x:c r="E3451" s="380" t="n">
        <x:v>7</x:v>
      </x:c>
      <x:c r="F3451" s="380" t="n">
        <x:v>3</x:v>
      </x:c>
      <x:c r="G3451" s="380" t="n">
        <x:f>--(F3451&lt;='Estimator'!$B$7)</x:f>
        <x:v>1</x:v>
      </x:c>
      <x:c r="H3451" s="381" t="n">
        <x:f>SUMIFS('Climate Data'!$G$7:$G$366,'Climate Data'!$A$7:$A$366,'Estimator'!$B$4,'Climate Data'!$B$7:$B$366,C3451)</x:f>
        <x:v>0.475</x:v>
      </x:c>
      <x:c r="I3451" s="382" t="n">
        <x:f>SUMIFS('Climate Data'!$H$7:$H$366,'Climate Data'!$A$7:$A$366,'Estimator'!$B$4,'Climate Data'!$B$7:$B$366,C3451)</x:f>
        <x:v>8.378947368421054</x:v>
      </x:c>
      <x:c r="J3451" s="381" t="n">
        <x:f>SUMIFS('Wind Proxy'!$H$8:$H$19,'Wind Proxy'!$A$8:$A$19,'Estimator'!$B$4,'Wind Proxy'!$B$8:$B$19,C3451)</x:f>
        <x:v>0.14197530864197533</x:v>
      </x:c>
    </x:row>
    <x:row r="3452">
      <x:c r="A3452" s="379" t="n">
        <x:v>49103</x:v>
      </x:c>
      <x:c r="B3452" s="380" t="n">
        <x:v>2034</x:v>
      </x:c>
      <x:c r="C3452" s="380" t="n">
        <x:v>6</x:v>
      </x:c>
      <x:c r="D3452" s="380" t="str">
        <x:v>Jun</x:v>
      </x:c>
      <x:c r="E3452" s="380" t="n">
        <x:v>8</x:v>
      </x:c>
      <x:c r="F3452" s="380" t="n">
        <x:v>4</x:v>
      </x:c>
      <x:c r="G3452" s="380" t="n">
        <x:f>--(F3452&lt;='Estimator'!$B$7)</x:f>
        <x:v>1</x:v>
      </x:c>
      <x:c r="H3452" s="381" t="n">
        <x:f>SUMIFS('Climate Data'!$G$7:$G$366,'Climate Data'!$A$7:$A$366,'Estimator'!$B$4,'Climate Data'!$B$7:$B$366,C3452)</x:f>
        <x:v>0.475</x:v>
      </x:c>
      <x:c r="I3452" s="382" t="n">
        <x:f>SUMIFS('Climate Data'!$H$7:$H$366,'Climate Data'!$A$7:$A$366,'Estimator'!$B$4,'Climate Data'!$B$7:$B$366,C3452)</x:f>
        <x:v>8.378947368421054</x:v>
      </x:c>
      <x:c r="J3452" s="381" t="n">
        <x:f>SUMIFS('Wind Proxy'!$H$8:$H$19,'Wind Proxy'!$A$8:$A$19,'Estimator'!$B$4,'Wind Proxy'!$B$8:$B$19,C3452)</x:f>
        <x:v>0.14197530864197533</x:v>
      </x:c>
    </x:row>
    <x:row r="3453">
      <x:c r="A3453" s="379" t="n">
        <x:v>49104</x:v>
      </x:c>
      <x:c r="B3453" s="380" t="n">
        <x:v>2034</x:v>
      </x:c>
      <x:c r="C3453" s="380" t="n">
        <x:v>6</x:v>
      </x:c>
      <x:c r="D3453" s="380" t="str">
        <x:v>Jun</x:v>
      </x:c>
      <x:c r="E3453" s="380" t="n">
        <x:v>9</x:v>
      </x:c>
      <x:c r="F3453" s="380" t="n">
        <x:v>5</x:v>
      </x:c>
      <x:c r="G3453" s="380" t="n">
        <x:f>--(F3453&lt;='Estimator'!$B$7)</x:f>
        <x:v>1</x:v>
      </x:c>
      <x:c r="H3453" s="381" t="n">
        <x:f>SUMIFS('Climate Data'!$G$7:$G$366,'Climate Data'!$A$7:$A$366,'Estimator'!$B$4,'Climate Data'!$B$7:$B$366,C3453)</x:f>
        <x:v>0.475</x:v>
      </x:c>
      <x:c r="I3453" s="382" t="n">
        <x:f>SUMIFS('Climate Data'!$H$7:$H$366,'Climate Data'!$A$7:$A$366,'Estimator'!$B$4,'Climate Data'!$B$7:$B$366,C3453)</x:f>
        <x:v>8.378947368421054</x:v>
      </x:c>
      <x:c r="J3453" s="381" t="n">
        <x:f>SUMIFS('Wind Proxy'!$H$8:$H$19,'Wind Proxy'!$A$8:$A$19,'Estimator'!$B$4,'Wind Proxy'!$B$8:$B$19,C3453)</x:f>
        <x:v>0.14197530864197533</x:v>
      </x:c>
    </x:row>
    <x:row r="3454">
      <x:c r="A3454" s="379" t="n">
        <x:v>49105</x:v>
      </x:c>
      <x:c r="B3454" s="380" t="n">
        <x:v>2034</x:v>
      </x:c>
      <x:c r="C3454" s="380" t="n">
        <x:v>6</x:v>
      </x:c>
      <x:c r="D3454" s="380" t="str">
        <x:v>Jun</x:v>
      </x:c>
      <x:c r="E3454" s="380" t="n">
        <x:v>10</x:v>
      </x:c>
      <x:c r="F3454" s="380" t="n">
        <x:v>6</x:v>
      </x:c>
      <x:c r="G3454" s="380" t="n">
        <x:f>--(F3454&lt;='Estimator'!$B$7)</x:f>
        <x:v>0</x:v>
      </x:c>
      <x:c r="H3454" s="381" t="n">
        <x:f>SUMIFS('Climate Data'!$G$7:$G$366,'Climate Data'!$A$7:$A$366,'Estimator'!$B$4,'Climate Data'!$B$7:$B$366,C3454)</x:f>
        <x:v>0.475</x:v>
      </x:c>
      <x:c r="I3454" s="382" t="n">
        <x:f>SUMIFS('Climate Data'!$H$7:$H$366,'Climate Data'!$A$7:$A$366,'Estimator'!$B$4,'Climate Data'!$B$7:$B$366,C3454)</x:f>
        <x:v>8.378947368421054</x:v>
      </x:c>
      <x:c r="J3454" s="381" t="n">
        <x:f>SUMIFS('Wind Proxy'!$H$8:$H$19,'Wind Proxy'!$A$8:$A$19,'Estimator'!$B$4,'Wind Proxy'!$B$8:$B$19,C3454)</x:f>
        <x:v>0.14197530864197533</x:v>
      </x:c>
    </x:row>
    <x:row r="3455">
      <x:c r="A3455" s="379" t="n">
        <x:v>49106</x:v>
      </x:c>
      <x:c r="B3455" s="380" t="n">
        <x:v>2034</x:v>
      </x:c>
      <x:c r="C3455" s="380" t="n">
        <x:v>6</x:v>
      </x:c>
      <x:c r="D3455" s="380" t="str">
        <x:v>Jun</x:v>
      </x:c>
      <x:c r="E3455" s="380" t="n">
        <x:v>11</x:v>
      </x:c>
      <x:c r="F3455" s="380" t="n">
        <x:v>7</x:v>
      </x:c>
      <x:c r="G3455" s="380" t="n">
        <x:f>--(F3455&lt;='Estimator'!$B$7)</x:f>
        <x:v>0</x:v>
      </x:c>
      <x:c r="H3455" s="381" t="n">
        <x:f>SUMIFS('Climate Data'!$G$7:$G$366,'Climate Data'!$A$7:$A$366,'Estimator'!$B$4,'Climate Data'!$B$7:$B$366,C3455)</x:f>
        <x:v>0.475</x:v>
      </x:c>
      <x:c r="I3455" s="382" t="n">
        <x:f>SUMIFS('Climate Data'!$H$7:$H$366,'Climate Data'!$A$7:$A$366,'Estimator'!$B$4,'Climate Data'!$B$7:$B$366,C3455)</x:f>
        <x:v>8.378947368421054</x:v>
      </x:c>
      <x:c r="J3455" s="381" t="n">
        <x:f>SUMIFS('Wind Proxy'!$H$8:$H$19,'Wind Proxy'!$A$8:$A$19,'Estimator'!$B$4,'Wind Proxy'!$B$8:$B$19,C3455)</x:f>
        <x:v>0.14197530864197533</x:v>
      </x:c>
    </x:row>
    <x:row r="3456">
      <x:c r="A3456" s="379" t="n">
        <x:v>49107</x:v>
      </x:c>
      <x:c r="B3456" s="380" t="n">
        <x:v>2034</x:v>
      </x:c>
      <x:c r="C3456" s="380" t="n">
        <x:v>6</x:v>
      </x:c>
      <x:c r="D3456" s="380" t="str">
        <x:v>Jun</x:v>
      </x:c>
      <x:c r="E3456" s="380" t="n">
        <x:v>12</x:v>
      </x:c>
      <x:c r="F3456" s="380" t="n">
        <x:v>1</x:v>
      </x:c>
      <x:c r="G3456" s="380" t="n">
        <x:f>--(F3456&lt;='Estimator'!$B$7)</x:f>
        <x:v>1</x:v>
      </x:c>
      <x:c r="H3456" s="381" t="n">
        <x:f>SUMIFS('Climate Data'!$G$7:$G$366,'Climate Data'!$A$7:$A$366,'Estimator'!$B$4,'Climate Data'!$B$7:$B$366,C3456)</x:f>
        <x:v>0.475</x:v>
      </x:c>
      <x:c r="I3456" s="382" t="n">
        <x:f>SUMIFS('Climate Data'!$H$7:$H$366,'Climate Data'!$A$7:$A$366,'Estimator'!$B$4,'Climate Data'!$B$7:$B$366,C3456)</x:f>
        <x:v>8.378947368421054</x:v>
      </x:c>
      <x:c r="J3456" s="381" t="n">
        <x:f>SUMIFS('Wind Proxy'!$H$8:$H$19,'Wind Proxy'!$A$8:$A$19,'Estimator'!$B$4,'Wind Proxy'!$B$8:$B$19,C3456)</x:f>
        <x:v>0.14197530864197533</x:v>
      </x:c>
    </x:row>
    <x:row r="3457">
      <x:c r="A3457" s="379" t="n">
        <x:v>49108</x:v>
      </x:c>
      <x:c r="B3457" s="380" t="n">
        <x:v>2034</x:v>
      </x:c>
      <x:c r="C3457" s="380" t="n">
        <x:v>6</x:v>
      </x:c>
      <x:c r="D3457" s="380" t="str">
        <x:v>Jun</x:v>
      </x:c>
      <x:c r="E3457" s="380" t="n">
        <x:v>13</x:v>
      </x:c>
      <x:c r="F3457" s="380" t="n">
        <x:v>2</x:v>
      </x:c>
      <x:c r="G3457" s="380" t="n">
        <x:f>--(F3457&lt;='Estimator'!$B$7)</x:f>
        <x:v>1</x:v>
      </x:c>
      <x:c r="H3457" s="381" t="n">
        <x:f>SUMIFS('Climate Data'!$G$7:$G$366,'Climate Data'!$A$7:$A$366,'Estimator'!$B$4,'Climate Data'!$B$7:$B$366,C3457)</x:f>
        <x:v>0.475</x:v>
      </x:c>
      <x:c r="I3457" s="382" t="n">
        <x:f>SUMIFS('Climate Data'!$H$7:$H$366,'Climate Data'!$A$7:$A$366,'Estimator'!$B$4,'Climate Data'!$B$7:$B$366,C3457)</x:f>
        <x:v>8.378947368421054</x:v>
      </x:c>
      <x:c r="J3457" s="381" t="n">
        <x:f>SUMIFS('Wind Proxy'!$H$8:$H$19,'Wind Proxy'!$A$8:$A$19,'Estimator'!$B$4,'Wind Proxy'!$B$8:$B$19,C3457)</x:f>
        <x:v>0.14197530864197533</x:v>
      </x:c>
    </x:row>
    <x:row r="3458">
      <x:c r="A3458" s="379" t="n">
        <x:v>49109</x:v>
      </x:c>
      <x:c r="B3458" s="380" t="n">
        <x:v>2034</x:v>
      </x:c>
      <x:c r="C3458" s="380" t="n">
        <x:v>6</x:v>
      </x:c>
      <x:c r="D3458" s="380" t="str">
        <x:v>Jun</x:v>
      </x:c>
      <x:c r="E3458" s="380" t="n">
        <x:v>14</x:v>
      </x:c>
      <x:c r="F3458" s="380" t="n">
        <x:v>3</x:v>
      </x:c>
      <x:c r="G3458" s="380" t="n">
        <x:f>--(F3458&lt;='Estimator'!$B$7)</x:f>
        <x:v>1</x:v>
      </x:c>
      <x:c r="H3458" s="381" t="n">
        <x:f>SUMIFS('Climate Data'!$G$7:$G$366,'Climate Data'!$A$7:$A$366,'Estimator'!$B$4,'Climate Data'!$B$7:$B$366,C3458)</x:f>
        <x:v>0.475</x:v>
      </x:c>
      <x:c r="I3458" s="382" t="n">
        <x:f>SUMIFS('Climate Data'!$H$7:$H$366,'Climate Data'!$A$7:$A$366,'Estimator'!$B$4,'Climate Data'!$B$7:$B$366,C3458)</x:f>
        <x:v>8.378947368421054</x:v>
      </x:c>
      <x:c r="J3458" s="381" t="n">
        <x:f>SUMIFS('Wind Proxy'!$H$8:$H$19,'Wind Proxy'!$A$8:$A$19,'Estimator'!$B$4,'Wind Proxy'!$B$8:$B$19,C3458)</x:f>
        <x:v>0.14197530864197533</x:v>
      </x:c>
    </x:row>
    <x:row r="3459">
      <x:c r="A3459" s="379" t="n">
        <x:v>49110</x:v>
      </x:c>
      <x:c r="B3459" s="380" t="n">
        <x:v>2034</x:v>
      </x:c>
      <x:c r="C3459" s="380" t="n">
        <x:v>6</x:v>
      </x:c>
      <x:c r="D3459" s="380" t="str">
        <x:v>Jun</x:v>
      </x:c>
      <x:c r="E3459" s="380" t="n">
        <x:v>15</x:v>
      </x:c>
      <x:c r="F3459" s="380" t="n">
        <x:v>4</x:v>
      </x:c>
      <x:c r="G3459" s="380" t="n">
        <x:f>--(F3459&lt;='Estimator'!$B$7)</x:f>
        <x:v>1</x:v>
      </x:c>
      <x:c r="H3459" s="381" t="n">
        <x:f>SUMIFS('Climate Data'!$G$7:$G$366,'Climate Data'!$A$7:$A$366,'Estimator'!$B$4,'Climate Data'!$B$7:$B$366,C3459)</x:f>
        <x:v>0.475</x:v>
      </x:c>
      <x:c r="I3459" s="382" t="n">
        <x:f>SUMIFS('Climate Data'!$H$7:$H$366,'Climate Data'!$A$7:$A$366,'Estimator'!$B$4,'Climate Data'!$B$7:$B$366,C3459)</x:f>
        <x:v>8.378947368421054</x:v>
      </x:c>
      <x:c r="J3459" s="381" t="n">
        <x:f>SUMIFS('Wind Proxy'!$H$8:$H$19,'Wind Proxy'!$A$8:$A$19,'Estimator'!$B$4,'Wind Proxy'!$B$8:$B$19,C3459)</x:f>
        <x:v>0.14197530864197533</x:v>
      </x:c>
    </x:row>
    <x:row r="3460">
      <x:c r="A3460" s="379" t="n">
        <x:v>49111</x:v>
      </x:c>
      <x:c r="B3460" s="380" t="n">
        <x:v>2034</x:v>
      </x:c>
      <x:c r="C3460" s="380" t="n">
        <x:v>6</x:v>
      </x:c>
      <x:c r="D3460" s="380" t="str">
        <x:v>Jun</x:v>
      </x:c>
      <x:c r="E3460" s="380" t="n">
        <x:v>16</x:v>
      </x:c>
      <x:c r="F3460" s="380" t="n">
        <x:v>5</x:v>
      </x:c>
      <x:c r="G3460" s="380" t="n">
        <x:f>--(F3460&lt;='Estimator'!$B$7)</x:f>
        <x:v>1</x:v>
      </x:c>
      <x:c r="H3460" s="381" t="n">
        <x:f>SUMIFS('Climate Data'!$G$7:$G$366,'Climate Data'!$A$7:$A$366,'Estimator'!$B$4,'Climate Data'!$B$7:$B$366,C3460)</x:f>
        <x:v>0.475</x:v>
      </x:c>
      <x:c r="I3460" s="382" t="n">
        <x:f>SUMIFS('Climate Data'!$H$7:$H$366,'Climate Data'!$A$7:$A$366,'Estimator'!$B$4,'Climate Data'!$B$7:$B$366,C3460)</x:f>
        <x:v>8.378947368421054</x:v>
      </x:c>
      <x:c r="J3460" s="381" t="n">
        <x:f>SUMIFS('Wind Proxy'!$H$8:$H$19,'Wind Proxy'!$A$8:$A$19,'Estimator'!$B$4,'Wind Proxy'!$B$8:$B$19,C3460)</x:f>
        <x:v>0.14197530864197533</x:v>
      </x:c>
    </x:row>
    <x:row r="3461">
      <x:c r="A3461" s="379" t="n">
        <x:v>49112</x:v>
      </x:c>
      <x:c r="B3461" s="380" t="n">
        <x:v>2034</x:v>
      </x:c>
      <x:c r="C3461" s="380" t="n">
        <x:v>6</x:v>
      </x:c>
      <x:c r="D3461" s="380" t="str">
        <x:v>Jun</x:v>
      </x:c>
      <x:c r="E3461" s="380" t="n">
        <x:v>17</x:v>
      </x:c>
      <x:c r="F3461" s="380" t="n">
        <x:v>6</x:v>
      </x:c>
      <x:c r="G3461" s="380" t="n">
        <x:f>--(F3461&lt;='Estimator'!$B$7)</x:f>
        <x:v>0</x:v>
      </x:c>
      <x:c r="H3461" s="381" t="n">
        <x:f>SUMIFS('Climate Data'!$G$7:$G$366,'Climate Data'!$A$7:$A$366,'Estimator'!$B$4,'Climate Data'!$B$7:$B$366,C3461)</x:f>
        <x:v>0.475</x:v>
      </x:c>
      <x:c r="I3461" s="382" t="n">
        <x:f>SUMIFS('Climate Data'!$H$7:$H$366,'Climate Data'!$A$7:$A$366,'Estimator'!$B$4,'Climate Data'!$B$7:$B$366,C3461)</x:f>
        <x:v>8.378947368421054</x:v>
      </x:c>
      <x:c r="J3461" s="381" t="n">
        <x:f>SUMIFS('Wind Proxy'!$H$8:$H$19,'Wind Proxy'!$A$8:$A$19,'Estimator'!$B$4,'Wind Proxy'!$B$8:$B$19,C3461)</x:f>
        <x:v>0.14197530864197533</x:v>
      </x:c>
    </x:row>
    <x:row r="3462">
      <x:c r="A3462" s="379" t="n">
        <x:v>49113</x:v>
      </x:c>
      <x:c r="B3462" s="380" t="n">
        <x:v>2034</x:v>
      </x:c>
      <x:c r="C3462" s="380" t="n">
        <x:v>6</x:v>
      </x:c>
      <x:c r="D3462" s="380" t="str">
        <x:v>Jun</x:v>
      </x:c>
      <x:c r="E3462" s="380" t="n">
        <x:v>18</x:v>
      </x:c>
      <x:c r="F3462" s="380" t="n">
        <x:v>7</x:v>
      </x:c>
      <x:c r="G3462" s="380" t="n">
        <x:f>--(F3462&lt;='Estimator'!$B$7)</x:f>
        <x:v>0</x:v>
      </x:c>
      <x:c r="H3462" s="381" t="n">
        <x:f>SUMIFS('Climate Data'!$G$7:$G$366,'Climate Data'!$A$7:$A$366,'Estimator'!$B$4,'Climate Data'!$B$7:$B$366,C3462)</x:f>
        <x:v>0.475</x:v>
      </x:c>
      <x:c r="I3462" s="382" t="n">
        <x:f>SUMIFS('Climate Data'!$H$7:$H$366,'Climate Data'!$A$7:$A$366,'Estimator'!$B$4,'Climate Data'!$B$7:$B$366,C3462)</x:f>
        <x:v>8.378947368421054</x:v>
      </x:c>
      <x:c r="J3462" s="381" t="n">
        <x:f>SUMIFS('Wind Proxy'!$H$8:$H$19,'Wind Proxy'!$A$8:$A$19,'Estimator'!$B$4,'Wind Proxy'!$B$8:$B$19,C3462)</x:f>
        <x:v>0.14197530864197533</x:v>
      </x:c>
    </x:row>
    <x:row r="3463">
      <x:c r="A3463" s="379" t="n">
        <x:v>49114</x:v>
      </x:c>
      <x:c r="B3463" s="380" t="n">
        <x:v>2034</x:v>
      </x:c>
      <x:c r="C3463" s="380" t="n">
        <x:v>6</x:v>
      </x:c>
      <x:c r="D3463" s="380" t="str">
        <x:v>Jun</x:v>
      </x:c>
      <x:c r="E3463" s="380" t="n">
        <x:v>19</x:v>
      </x:c>
      <x:c r="F3463" s="380" t="n">
        <x:v>1</x:v>
      </x:c>
      <x:c r="G3463" s="380" t="n">
        <x:f>--(F3463&lt;='Estimator'!$B$7)</x:f>
        <x:v>1</x:v>
      </x:c>
      <x:c r="H3463" s="381" t="n">
        <x:f>SUMIFS('Climate Data'!$G$7:$G$366,'Climate Data'!$A$7:$A$366,'Estimator'!$B$4,'Climate Data'!$B$7:$B$366,C3463)</x:f>
        <x:v>0.475</x:v>
      </x:c>
      <x:c r="I3463" s="382" t="n">
        <x:f>SUMIFS('Climate Data'!$H$7:$H$366,'Climate Data'!$A$7:$A$366,'Estimator'!$B$4,'Climate Data'!$B$7:$B$366,C3463)</x:f>
        <x:v>8.378947368421054</x:v>
      </x:c>
      <x:c r="J3463" s="381" t="n">
        <x:f>SUMIFS('Wind Proxy'!$H$8:$H$19,'Wind Proxy'!$A$8:$A$19,'Estimator'!$B$4,'Wind Proxy'!$B$8:$B$19,C3463)</x:f>
        <x:v>0.14197530864197533</x:v>
      </x:c>
    </x:row>
    <x:row r="3464">
      <x:c r="A3464" s="379" t="n">
        <x:v>49115</x:v>
      </x:c>
      <x:c r="B3464" s="380" t="n">
        <x:v>2034</x:v>
      </x:c>
      <x:c r="C3464" s="380" t="n">
        <x:v>6</x:v>
      </x:c>
      <x:c r="D3464" s="380" t="str">
        <x:v>Jun</x:v>
      </x:c>
      <x:c r="E3464" s="380" t="n">
        <x:v>20</x:v>
      </x:c>
      <x:c r="F3464" s="380" t="n">
        <x:v>2</x:v>
      </x:c>
      <x:c r="G3464" s="380" t="n">
        <x:f>--(F3464&lt;='Estimator'!$B$7)</x:f>
        <x:v>1</x:v>
      </x:c>
      <x:c r="H3464" s="381" t="n">
        <x:f>SUMIFS('Climate Data'!$G$7:$G$366,'Climate Data'!$A$7:$A$366,'Estimator'!$B$4,'Climate Data'!$B$7:$B$366,C3464)</x:f>
        <x:v>0.475</x:v>
      </x:c>
      <x:c r="I3464" s="382" t="n">
        <x:f>SUMIFS('Climate Data'!$H$7:$H$366,'Climate Data'!$A$7:$A$366,'Estimator'!$B$4,'Climate Data'!$B$7:$B$366,C3464)</x:f>
        <x:v>8.378947368421054</x:v>
      </x:c>
      <x:c r="J3464" s="381" t="n">
        <x:f>SUMIFS('Wind Proxy'!$H$8:$H$19,'Wind Proxy'!$A$8:$A$19,'Estimator'!$B$4,'Wind Proxy'!$B$8:$B$19,C3464)</x:f>
        <x:v>0.14197530864197533</x:v>
      </x:c>
    </x:row>
    <x:row r="3465">
      <x:c r="A3465" s="379" t="n">
        <x:v>49116</x:v>
      </x:c>
      <x:c r="B3465" s="380" t="n">
        <x:v>2034</x:v>
      </x:c>
      <x:c r="C3465" s="380" t="n">
        <x:v>6</x:v>
      </x:c>
      <x:c r="D3465" s="380" t="str">
        <x:v>Jun</x:v>
      </x:c>
      <x:c r="E3465" s="380" t="n">
        <x:v>21</x:v>
      </x:c>
      <x:c r="F3465" s="380" t="n">
        <x:v>3</x:v>
      </x:c>
      <x:c r="G3465" s="380" t="n">
        <x:f>--(F3465&lt;='Estimator'!$B$7)</x:f>
        <x:v>1</x:v>
      </x:c>
      <x:c r="H3465" s="381" t="n">
        <x:f>SUMIFS('Climate Data'!$G$7:$G$366,'Climate Data'!$A$7:$A$366,'Estimator'!$B$4,'Climate Data'!$B$7:$B$366,C3465)</x:f>
        <x:v>0.475</x:v>
      </x:c>
      <x:c r="I3465" s="382" t="n">
        <x:f>SUMIFS('Climate Data'!$H$7:$H$366,'Climate Data'!$A$7:$A$366,'Estimator'!$B$4,'Climate Data'!$B$7:$B$366,C3465)</x:f>
        <x:v>8.378947368421054</x:v>
      </x:c>
      <x:c r="J3465" s="381" t="n">
        <x:f>SUMIFS('Wind Proxy'!$H$8:$H$19,'Wind Proxy'!$A$8:$A$19,'Estimator'!$B$4,'Wind Proxy'!$B$8:$B$19,C3465)</x:f>
        <x:v>0.14197530864197533</x:v>
      </x:c>
    </x:row>
    <x:row r="3466">
      <x:c r="A3466" s="379" t="n">
        <x:v>49117</x:v>
      </x:c>
      <x:c r="B3466" s="380" t="n">
        <x:v>2034</x:v>
      </x:c>
      <x:c r="C3466" s="380" t="n">
        <x:v>6</x:v>
      </x:c>
      <x:c r="D3466" s="380" t="str">
        <x:v>Jun</x:v>
      </x:c>
      <x:c r="E3466" s="380" t="n">
        <x:v>22</x:v>
      </x:c>
      <x:c r="F3466" s="380" t="n">
        <x:v>4</x:v>
      </x:c>
      <x:c r="G3466" s="380" t="n">
        <x:f>--(F3466&lt;='Estimator'!$B$7)</x:f>
        <x:v>1</x:v>
      </x:c>
      <x:c r="H3466" s="381" t="n">
        <x:f>SUMIFS('Climate Data'!$G$7:$G$366,'Climate Data'!$A$7:$A$366,'Estimator'!$B$4,'Climate Data'!$B$7:$B$366,C3466)</x:f>
        <x:v>0.475</x:v>
      </x:c>
      <x:c r="I3466" s="382" t="n">
        <x:f>SUMIFS('Climate Data'!$H$7:$H$366,'Climate Data'!$A$7:$A$366,'Estimator'!$B$4,'Climate Data'!$B$7:$B$366,C3466)</x:f>
        <x:v>8.378947368421054</x:v>
      </x:c>
      <x:c r="J3466" s="381" t="n">
        <x:f>SUMIFS('Wind Proxy'!$H$8:$H$19,'Wind Proxy'!$A$8:$A$19,'Estimator'!$B$4,'Wind Proxy'!$B$8:$B$19,C3466)</x:f>
        <x:v>0.14197530864197533</x:v>
      </x:c>
    </x:row>
    <x:row r="3467">
      <x:c r="A3467" s="379" t="n">
        <x:v>49118</x:v>
      </x:c>
      <x:c r="B3467" s="380" t="n">
        <x:v>2034</x:v>
      </x:c>
      <x:c r="C3467" s="380" t="n">
        <x:v>6</x:v>
      </x:c>
      <x:c r="D3467" s="380" t="str">
        <x:v>Jun</x:v>
      </x:c>
      <x:c r="E3467" s="380" t="n">
        <x:v>23</x:v>
      </x:c>
      <x:c r="F3467" s="380" t="n">
        <x:v>5</x:v>
      </x:c>
      <x:c r="G3467" s="380" t="n">
        <x:f>--(F3467&lt;='Estimator'!$B$7)</x:f>
        <x:v>1</x:v>
      </x:c>
      <x:c r="H3467" s="381" t="n">
        <x:f>SUMIFS('Climate Data'!$G$7:$G$366,'Climate Data'!$A$7:$A$366,'Estimator'!$B$4,'Climate Data'!$B$7:$B$366,C3467)</x:f>
        <x:v>0.475</x:v>
      </x:c>
      <x:c r="I3467" s="382" t="n">
        <x:f>SUMIFS('Climate Data'!$H$7:$H$366,'Climate Data'!$A$7:$A$366,'Estimator'!$B$4,'Climate Data'!$B$7:$B$366,C3467)</x:f>
        <x:v>8.378947368421054</x:v>
      </x:c>
      <x:c r="J3467" s="381" t="n">
        <x:f>SUMIFS('Wind Proxy'!$H$8:$H$19,'Wind Proxy'!$A$8:$A$19,'Estimator'!$B$4,'Wind Proxy'!$B$8:$B$19,C3467)</x:f>
        <x:v>0.14197530864197533</x:v>
      </x:c>
    </x:row>
    <x:row r="3468">
      <x:c r="A3468" s="379" t="n">
        <x:v>49119</x:v>
      </x:c>
      <x:c r="B3468" s="380" t="n">
        <x:v>2034</x:v>
      </x:c>
      <x:c r="C3468" s="380" t="n">
        <x:v>6</x:v>
      </x:c>
      <x:c r="D3468" s="380" t="str">
        <x:v>Jun</x:v>
      </x:c>
      <x:c r="E3468" s="380" t="n">
        <x:v>24</x:v>
      </x:c>
      <x:c r="F3468" s="380" t="n">
        <x:v>6</x:v>
      </x:c>
      <x:c r="G3468" s="380" t="n">
        <x:f>--(F3468&lt;='Estimator'!$B$7)</x:f>
        <x:v>0</x:v>
      </x:c>
      <x:c r="H3468" s="381" t="n">
        <x:f>SUMIFS('Climate Data'!$G$7:$G$366,'Climate Data'!$A$7:$A$366,'Estimator'!$B$4,'Climate Data'!$B$7:$B$366,C3468)</x:f>
        <x:v>0.475</x:v>
      </x:c>
      <x:c r="I3468" s="382" t="n">
        <x:f>SUMIFS('Climate Data'!$H$7:$H$366,'Climate Data'!$A$7:$A$366,'Estimator'!$B$4,'Climate Data'!$B$7:$B$366,C3468)</x:f>
        <x:v>8.378947368421054</x:v>
      </x:c>
      <x:c r="J3468" s="381" t="n">
        <x:f>SUMIFS('Wind Proxy'!$H$8:$H$19,'Wind Proxy'!$A$8:$A$19,'Estimator'!$B$4,'Wind Proxy'!$B$8:$B$19,C3468)</x:f>
        <x:v>0.14197530864197533</x:v>
      </x:c>
    </x:row>
    <x:row r="3469">
      <x:c r="A3469" s="379" t="n">
        <x:v>49120</x:v>
      </x:c>
      <x:c r="B3469" s="380" t="n">
        <x:v>2034</x:v>
      </x:c>
      <x:c r="C3469" s="380" t="n">
        <x:v>6</x:v>
      </x:c>
      <x:c r="D3469" s="380" t="str">
        <x:v>Jun</x:v>
      </x:c>
      <x:c r="E3469" s="380" t="n">
        <x:v>25</x:v>
      </x:c>
      <x:c r="F3469" s="380" t="n">
        <x:v>7</x:v>
      </x:c>
      <x:c r="G3469" s="380" t="n">
        <x:f>--(F3469&lt;='Estimator'!$B$7)</x:f>
        <x:v>0</x:v>
      </x:c>
      <x:c r="H3469" s="381" t="n">
        <x:f>SUMIFS('Climate Data'!$G$7:$G$366,'Climate Data'!$A$7:$A$366,'Estimator'!$B$4,'Climate Data'!$B$7:$B$366,C3469)</x:f>
        <x:v>0.475</x:v>
      </x:c>
      <x:c r="I3469" s="382" t="n">
        <x:f>SUMIFS('Climate Data'!$H$7:$H$366,'Climate Data'!$A$7:$A$366,'Estimator'!$B$4,'Climate Data'!$B$7:$B$366,C3469)</x:f>
        <x:v>8.378947368421054</x:v>
      </x:c>
      <x:c r="J3469" s="381" t="n">
        <x:f>SUMIFS('Wind Proxy'!$H$8:$H$19,'Wind Proxy'!$A$8:$A$19,'Estimator'!$B$4,'Wind Proxy'!$B$8:$B$19,C3469)</x:f>
        <x:v>0.14197530864197533</x:v>
      </x:c>
    </x:row>
    <x:row r="3470">
      <x:c r="A3470" s="379" t="n">
        <x:v>49121</x:v>
      </x:c>
      <x:c r="B3470" s="380" t="n">
        <x:v>2034</x:v>
      </x:c>
      <x:c r="C3470" s="380" t="n">
        <x:v>6</x:v>
      </x:c>
      <x:c r="D3470" s="380" t="str">
        <x:v>Jun</x:v>
      </x:c>
      <x:c r="E3470" s="380" t="n">
        <x:v>26</x:v>
      </x:c>
      <x:c r="F3470" s="380" t="n">
        <x:v>1</x:v>
      </x:c>
      <x:c r="G3470" s="380" t="n">
        <x:f>--(F3470&lt;='Estimator'!$B$7)</x:f>
        <x:v>1</x:v>
      </x:c>
      <x:c r="H3470" s="381" t="n">
        <x:f>SUMIFS('Climate Data'!$G$7:$G$366,'Climate Data'!$A$7:$A$366,'Estimator'!$B$4,'Climate Data'!$B$7:$B$366,C3470)</x:f>
        <x:v>0.475</x:v>
      </x:c>
      <x:c r="I3470" s="382" t="n">
        <x:f>SUMIFS('Climate Data'!$H$7:$H$366,'Climate Data'!$A$7:$A$366,'Estimator'!$B$4,'Climate Data'!$B$7:$B$366,C3470)</x:f>
        <x:v>8.378947368421054</x:v>
      </x:c>
      <x:c r="J3470" s="381" t="n">
        <x:f>SUMIFS('Wind Proxy'!$H$8:$H$19,'Wind Proxy'!$A$8:$A$19,'Estimator'!$B$4,'Wind Proxy'!$B$8:$B$19,C3470)</x:f>
        <x:v>0.14197530864197533</x:v>
      </x:c>
    </x:row>
    <x:row r="3471">
      <x:c r="A3471" s="379" t="n">
        <x:v>49122</x:v>
      </x:c>
      <x:c r="B3471" s="380" t="n">
        <x:v>2034</x:v>
      </x:c>
      <x:c r="C3471" s="380" t="n">
        <x:v>6</x:v>
      </x:c>
      <x:c r="D3471" s="380" t="str">
        <x:v>Jun</x:v>
      </x:c>
      <x:c r="E3471" s="380" t="n">
        <x:v>27</x:v>
      </x:c>
      <x:c r="F3471" s="380" t="n">
        <x:v>2</x:v>
      </x:c>
      <x:c r="G3471" s="380" t="n">
        <x:f>--(F3471&lt;='Estimator'!$B$7)</x:f>
        <x:v>1</x:v>
      </x:c>
      <x:c r="H3471" s="381" t="n">
        <x:f>SUMIFS('Climate Data'!$G$7:$G$366,'Climate Data'!$A$7:$A$366,'Estimator'!$B$4,'Climate Data'!$B$7:$B$366,C3471)</x:f>
        <x:v>0.475</x:v>
      </x:c>
      <x:c r="I3471" s="382" t="n">
        <x:f>SUMIFS('Climate Data'!$H$7:$H$366,'Climate Data'!$A$7:$A$366,'Estimator'!$B$4,'Climate Data'!$B$7:$B$366,C3471)</x:f>
        <x:v>8.378947368421054</x:v>
      </x:c>
      <x:c r="J3471" s="381" t="n">
        <x:f>SUMIFS('Wind Proxy'!$H$8:$H$19,'Wind Proxy'!$A$8:$A$19,'Estimator'!$B$4,'Wind Proxy'!$B$8:$B$19,C3471)</x:f>
        <x:v>0.14197530864197533</x:v>
      </x:c>
    </x:row>
    <x:row r="3472">
      <x:c r="A3472" s="379" t="n">
        <x:v>49123</x:v>
      </x:c>
      <x:c r="B3472" s="380" t="n">
        <x:v>2034</x:v>
      </x:c>
      <x:c r="C3472" s="380" t="n">
        <x:v>6</x:v>
      </x:c>
      <x:c r="D3472" s="380" t="str">
        <x:v>Jun</x:v>
      </x:c>
      <x:c r="E3472" s="380" t="n">
        <x:v>28</x:v>
      </x:c>
      <x:c r="F3472" s="380" t="n">
        <x:v>3</x:v>
      </x:c>
      <x:c r="G3472" s="380" t="n">
        <x:f>--(F3472&lt;='Estimator'!$B$7)</x:f>
        <x:v>1</x:v>
      </x:c>
      <x:c r="H3472" s="381" t="n">
        <x:f>SUMIFS('Climate Data'!$G$7:$G$366,'Climate Data'!$A$7:$A$366,'Estimator'!$B$4,'Climate Data'!$B$7:$B$366,C3472)</x:f>
        <x:v>0.475</x:v>
      </x:c>
      <x:c r="I3472" s="382" t="n">
        <x:f>SUMIFS('Climate Data'!$H$7:$H$366,'Climate Data'!$A$7:$A$366,'Estimator'!$B$4,'Climate Data'!$B$7:$B$366,C3472)</x:f>
        <x:v>8.378947368421054</x:v>
      </x:c>
      <x:c r="J3472" s="381" t="n">
        <x:f>SUMIFS('Wind Proxy'!$H$8:$H$19,'Wind Proxy'!$A$8:$A$19,'Estimator'!$B$4,'Wind Proxy'!$B$8:$B$19,C3472)</x:f>
        <x:v>0.14197530864197533</x:v>
      </x:c>
    </x:row>
    <x:row r="3473">
      <x:c r="A3473" s="379" t="n">
        <x:v>49124</x:v>
      </x:c>
      <x:c r="B3473" s="380" t="n">
        <x:v>2034</x:v>
      </x:c>
      <x:c r="C3473" s="380" t="n">
        <x:v>6</x:v>
      </x:c>
      <x:c r="D3473" s="380" t="str">
        <x:v>Jun</x:v>
      </x:c>
      <x:c r="E3473" s="380" t="n">
        <x:v>29</x:v>
      </x:c>
      <x:c r="F3473" s="380" t="n">
        <x:v>4</x:v>
      </x:c>
      <x:c r="G3473" s="380" t="n">
        <x:f>--(F3473&lt;='Estimator'!$B$7)</x:f>
        <x:v>1</x:v>
      </x:c>
      <x:c r="H3473" s="381" t="n">
        <x:f>SUMIFS('Climate Data'!$G$7:$G$366,'Climate Data'!$A$7:$A$366,'Estimator'!$B$4,'Climate Data'!$B$7:$B$366,C3473)</x:f>
        <x:v>0.475</x:v>
      </x:c>
      <x:c r="I3473" s="382" t="n">
        <x:f>SUMIFS('Climate Data'!$H$7:$H$366,'Climate Data'!$A$7:$A$366,'Estimator'!$B$4,'Climate Data'!$B$7:$B$366,C3473)</x:f>
        <x:v>8.378947368421054</x:v>
      </x:c>
      <x:c r="J3473" s="381" t="n">
        <x:f>SUMIFS('Wind Proxy'!$H$8:$H$19,'Wind Proxy'!$A$8:$A$19,'Estimator'!$B$4,'Wind Proxy'!$B$8:$B$19,C3473)</x:f>
        <x:v>0.14197530864197533</x:v>
      </x:c>
    </x:row>
    <x:row r="3474">
      <x:c r="A3474" s="379" t="n">
        <x:v>49125</x:v>
      </x:c>
      <x:c r="B3474" s="380" t="n">
        <x:v>2034</x:v>
      </x:c>
      <x:c r="C3474" s="380" t="n">
        <x:v>6</x:v>
      </x:c>
      <x:c r="D3474" s="380" t="str">
        <x:v>Jun</x:v>
      </x:c>
      <x:c r="E3474" s="380" t="n">
        <x:v>30</x:v>
      </x:c>
      <x:c r="F3474" s="380" t="n">
        <x:v>5</x:v>
      </x:c>
      <x:c r="G3474" s="380" t="n">
        <x:f>--(F3474&lt;='Estimator'!$B$7)</x:f>
        <x:v>1</x:v>
      </x:c>
      <x:c r="H3474" s="381" t="n">
        <x:f>SUMIFS('Climate Data'!$G$7:$G$366,'Climate Data'!$A$7:$A$366,'Estimator'!$B$4,'Climate Data'!$B$7:$B$366,C3474)</x:f>
        <x:v>0.475</x:v>
      </x:c>
      <x:c r="I3474" s="382" t="n">
        <x:f>SUMIFS('Climate Data'!$H$7:$H$366,'Climate Data'!$A$7:$A$366,'Estimator'!$B$4,'Climate Data'!$B$7:$B$366,C3474)</x:f>
        <x:v>8.378947368421054</x:v>
      </x:c>
      <x:c r="J3474" s="381" t="n">
        <x:f>SUMIFS('Wind Proxy'!$H$8:$H$19,'Wind Proxy'!$A$8:$A$19,'Estimator'!$B$4,'Wind Proxy'!$B$8:$B$19,C3474)</x:f>
        <x:v>0.14197530864197533</x:v>
      </x:c>
    </x:row>
    <x:row r="3475">
      <x:c r="A3475" s="379" t="n">
        <x:v>49126</x:v>
      </x:c>
      <x:c r="B3475" s="380" t="n">
        <x:v>2034</x:v>
      </x:c>
      <x:c r="C3475" s="380" t="n">
        <x:v>7</x:v>
      </x:c>
      <x:c r="D3475" s="380" t="str">
        <x:v>Jul</x:v>
      </x:c>
      <x:c r="E3475" s="380" t="n">
        <x:v>1</x:v>
      </x:c>
      <x:c r="F3475" s="380" t="n">
        <x:v>6</x:v>
      </x:c>
      <x:c r="G3475" s="380" t="n">
        <x:f>--(F3475&lt;='Estimator'!$B$7)</x:f>
        <x:v>0</x:v>
      </x:c>
      <x:c r="H3475" s="381" t="n">
        <x:f>SUMIFS('Climate Data'!$G$7:$G$366,'Climate Data'!$A$7:$A$366,'Estimator'!$B$4,'Climate Data'!$B$7:$B$366,C3475)</x:f>
        <x:v>0.49078341013824883</x:v>
      </x:c>
      <x:c r="I3475" s="382" t="n">
        <x:f>SUMIFS('Climate Data'!$H$7:$H$366,'Climate Data'!$A$7:$A$366,'Estimator'!$B$4,'Climate Data'!$B$7:$B$366,C3475)</x:f>
        <x:v>8.998122065727701</x:v>
      </x:c>
      <x:c r="J3475" s="381" t="n">
        <x:f>SUMIFS('Wind Proxy'!$H$8:$H$19,'Wind Proxy'!$A$8:$A$19,'Estimator'!$B$4,'Wind Proxy'!$B$8:$B$19,C3475)</x:f>
        <x:v>0.13739545997610514</x:v>
      </x:c>
    </x:row>
    <x:row r="3476">
      <x:c r="A3476" s="379" t="n">
        <x:v>49127</x:v>
      </x:c>
      <x:c r="B3476" s="380" t="n">
        <x:v>2034</x:v>
      </x:c>
      <x:c r="C3476" s="380" t="n">
        <x:v>7</x:v>
      </x:c>
      <x:c r="D3476" s="380" t="str">
        <x:v>Jul</x:v>
      </x:c>
      <x:c r="E3476" s="380" t="n">
        <x:v>2</x:v>
      </x:c>
      <x:c r="F3476" s="380" t="n">
        <x:v>7</x:v>
      </x:c>
      <x:c r="G3476" s="380" t="n">
        <x:f>--(F3476&lt;='Estimator'!$B$7)</x:f>
        <x:v>0</x:v>
      </x:c>
      <x:c r="H3476" s="381" t="n">
        <x:f>SUMIFS('Climate Data'!$G$7:$G$366,'Climate Data'!$A$7:$A$366,'Estimator'!$B$4,'Climate Data'!$B$7:$B$366,C3476)</x:f>
        <x:v>0.49078341013824883</x:v>
      </x:c>
      <x:c r="I3476" s="382" t="n">
        <x:f>SUMIFS('Climate Data'!$H$7:$H$366,'Climate Data'!$A$7:$A$366,'Estimator'!$B$4,'Climate Data'!$B$7:$B$366,C3476)</x:f>
        <x:v>8.998122065727701</x:v>
      </x:c>
      <x:c r="J3476" s="381" t="n">
        <x:f>SUMIFS('Wind Proxy'!$H$8:$H$19,'Wind Proxy'!$A$8:$A$19,'Estimator'!$B$4,'Wind Proxy'!$B$8:$B$19,C3476)</x:f>
        <x:v>0.13739545997610514</x:v>
      </x:c>
    </x:row>
    <x:row r="3477">
      <x:c r="A3477" s="379" t="n">
        <x:v>49128</x:v>
      </x:c>
      <x:c r="B3477" s="380" t="n">
        <x:v>2034</x:v>
      </x:c>
      <x:c r="C3477" s="380" t="n">
        <x:v>7</x:v>
      </x:c>
      <x:c r="D3477" s="380" t="str">
        <x:v>Jul</x:v>
      </x:c>
      <x:c r="E3477" s="380" t="n">
        <x:v>3</x:v>
      </x:c>
      <x:c r="F3477" s="380" t="n">
        <x:v>1</x:v>
      </x:c>
      <x:c r="G3477" s="380" t="n">
        <x:f>--(F3477&lt;='Estimator'!$B$7)</x:f>
        <x:v>1</x:v>
      </x:c>
      <x:c r="H3477" s="381" t="n">
        <x:f>SUMIFS('Climate Data'!$G$7:$G$366,'Climate Data'!$A$7:$A$366,'Estimator'!$B$4,'Climate Data'!$B$7:$B$366,C3477)</x:f>
        <x:v>0.49078341013824883</x:v>
      </x:c>
      <x:c r="I3477" s="382" t="n">
        <x:f>SUMIFS('Climate Data'!$H$7:$H$366,'Climate Data'!$A$7:$A$366,'Estimator'!$B$4,'Climate Data'!$B$7:$B$366,C3477)</x:f>
        <x:v>8.998122065727701</x:v>
      </x:c>
      <x:c r="J3477" s="381" t="n">
        <x:f>SUMIFS('Wind Proxy'!$H$8:$H$19,'Wind Proxy'!$A$8:$A$19,'Estimator'!$B$4,'Wind Proxy'!$B$8:$B$19,C3477)</x:f>
        <x:v>0.13739545997610514</x:v>
      </x:c>
    </x:row>
    <x:row r="3478">
      <x:c r="A3478" s="379" t="n">
        <x:v>49129</x:v>
      </x:c>
      <x:c r="B3478" s="380" t="n">
        <x:v>2034</x:v>
      </x:c>
      <x:c r="C3478" s="380" t="n">
        <x:v>7</x:v>
      </x:c>
      <x:c r="D3478" s="380" t="str">
        <x:v>Jul</x:v>
      </x:c>
      <x:c r="E3478" s="380" t="n">
        <x:v>4</x:v>
      </x:c>
      <x:c r="F3478" s="380" t="n">
        <x:v>2</x:v>
      </x:c>
      <x:c r="G3478" s="380" t="n">
        <x:f>--(F3478&lt;='Estimator'!$B$7)</x:f>
        <x:v>1</x:v>
      </x:c>
      <x:c r="H3478" s="381" t="n">
        <x:f>SUMIFS('Climate Data'!$G$7:$G$366,'Climate Data'!$A$7:$A$366,'Estimator'!$B$4,'Climate Data'!$B$7:$B$366,C3478)</x:f>
        <x:v>0.49078341013824883</x:v>
      </x:c>
      <x:c r="I3478" s="382" t="n">
        <x:f>SUMIFS('Climate Data'!$H$7:$H$366,'Climate Data'!$A$7:$A$366,'Estimator'!$B$4,'Climate Data'!$B$7:$B$366,C3478)</x:f>
        <x:v>8.998122065727701</x:v>
      </x:c>
      <x:c r="J3478" s="381" t="n">
        <x:f>SUMIFS('Wind Proxy'!$H$8:$H$19,'Wind Proxy'!$A$8:$A$19,'Estimator'!$B$4,'Wind Proxy'!$B$8:$B$19,C3478)</x:f>
        <x:v>0.13739545997610514</x:v>
      </x:c>
    </x:row>
    <x:row r="3479">
      <x:c r="A3479" s="379" t="n">
        <x:v>49130</x:v>
      </x:c>
      <x:c r="B3479" s="380" t="n">
        <x:v>2034</x:v>
      </x:c>
      <x:c r="C3479" s="380" t="n">
        <x:v>7</x:v>
      </x:c>
      <x:c r="D3479" s="380" t="str">
        <x:v>Jul</x:v>
      </x:c>
      <x:c r="E3479" s="380" t="n">
        <x:v>5</x:v>
      </x:c>
      <x:c r="F3479" s="380" t="n">
        <x:v>3</x:v>
      </x:c>
      <x:c r="G3479" s="380" t="n">
        <x:f>--(F3479&lt;='Estimator'!$B$7)</x:f>
        <x:v>1</x:v>
      </x:c>
      <x:c r="H3479" s="381" t="n">
        <x:f>SUMIFS('Climate Data'!$G$7:$G$366,'Climate Data'!$A$7:$A$366,'Estimator'!$B$4,'Climate Data'!$B$7:$B$366,C3479)</x:f>
        <x:v>0.49078341013824883</x:v>
      </x:c>
      <x:c r="I3479" s="382" t="n">
        <x:f>SUMIFS('Climate Data'!$H$7:$H$366,'Climate Data'!$A$7:$A$366,'Estimator'!$B$4,'Climate Data'!$B$7:$B$366,C3479)</x:f>
        <x:v>8.998122065727701</x:v>
      </x:c>
      <x:c r="J3479" s="381" t="n">
        <x:f>SUMIFS('Wind Proxy'!$H$8:$H$19,'Wind Proxy'!$A$8:$A$19,'Estimator'!$B$4,'Wind Proxy'!$B$8:$B$19,C3479)</x:f>
        <x:v>0.13739545997610514</x:v>
      </x:c>
    </x:row>
    <x:row r="3480">
      <x:c r="A3480" s="379" t="n">
        <x:v>49131</x:v>
      </x:c>
      <x:c r="B3480" s="380" t="n">
        <x:v>2034</x:v>
      </x:c>
      <x:c r="C3480" s="380" t="n">
        <x:v>7</x:v>
      </x:c>
      <x:c r="D3480" s="380" t="str">
        <x:v>Jul</x:v>
      </x:c>
      <x:c r="E3480" s="380" t="n">
        <x:v>6</x:v>
      </x:c>
      <x:c r="F3480" s="380" t="n">
        <x:v>4</x:v>
      </x:c>
      <x:c r="G3480" s="380" t="n">
        <x:f>--(F3480&lt;='Estimator'!$B$7)</x:f>
        <x:v>1</x:v>
      </x:c>
      <x:c r="H3480" s="381" t="n">
        <x:f>SUMIFS('Climate Data'!$G$7:$G$366,'Climate Data'!$A$7:$A$366,'Estimator'!$B$4,'Climate Data'!$B$7:$B$366,C3480)</x:f>
        <x:v>0.49078341013824883</x:v>
      </x:c>
      <x:c r="I3480" s="382" t="n">
        <x:f>SUMIFS('Climate Data'!$H$7:$H$366,'Climate Data'!$A$7:$A$366,'Estimator'!$B$4,'Climate Data'!$B$7:$B$366,C3480)</x:f>
        <x:v>8.998122065727701</x:v>
      </x:c>
      <x:c r="J3480" s="381" t="n">
        <x:f>SUMIFS('Wind Proxy'!$H$8:$H$19,'Wind Proxy'!$A$8:$A$19,'Estimator'!$B$4,'Wind Proxy'!$B$8:$B$19,C3480)</x:f>
        <x:v>0.13739545997610514</x:v>
      </x:c>
    </x:row>
    <x:row r="3481">
      <x:c r="A3481" s="379" t="n">
        <x:v>49132</x:v>
      </x:c>
      <x:c r="B3481" s="380" t="n">
        <x:v>2034</x:v>
      </x:c>
      <x:c r="C3481" s="380" t="n">
        <x:v>7</x:v>
      </x:c>
      <x:c r="D3481" s="380" t="str">
        <x:v>Jul</x:v>
      </x:c>
      <x:c r="E3481" s="380" t="n">
        <x:v>7</x:v>
      </x:c>
      <x:c r="F3481" s="380" t="n">
        <x:v>5</x:v>
      </x:c>
      <x:c r="G3481" s="380" t="n">
        <x:f>--(F3481&lt;='Estimator'!$B$7)</x:f>
        <x:v>1</x:v>
      </x:c>
      <x:c r="H3481" s="381" t="n">
        <x:f>SUMIFS('Climate Data'!$G$7:$G$366,'Climate Data'!$A$7:$A$366,'Estimator'!$B$4,'Climate Data'!$B$7:$B$366,C3481)</x:f>
        <x:v>0.49078341013824883</x:v>
      </x:c>
      <x:c r="I3481" s="382" t="n">
        <x:f>SUMIFS('Climate Data'!$H$7:$H$366,'Climate Data'!$A$7:$A$366,'Estimator'!$B$4,'Climate Data'!$B$7:$B$366,C3481)</x:f>
        <x:v>8.998122065727701</x:v>
      </x:c>
      <x:c r="J3481" s="381" t="n">
        <x:f>SUMIFS('Wind Proxy'!$H$8:$H$19,'Wind Proxy'!$A$8:$A$19,'Estimator'!$B$4,'Wind Proxy'!$B$8:$B$19,C3481)</x:f>
        <x:v>0.13739545997610514</x:v>
      </x:c>
    </x:row>
    <x:row r="3482">
      <x:c r="A3482" s="379" t="n">
        <x:v>49133</x:v>
      </x:c>
      <x:c r="B3482" s="380" t="n">
        <x:v>2034</x:v>
      </x:c>
      <x:c r="C3482" s="380" t="n">
        <x:v>7</x:v>
      </x:c>
      <x:c r="D3482" s="380" t="str">
        <x:v>Jul</x:v>
      </x:c>
      <x:c r="E3482" s="380" t="n">
        <x:v>8</x:v>
      </x:c>
      <x:c r="F3482" s="380" t="n">
        <x:v>6</x:v>
      </x:c>
      <x:c r="G3482" s="380" t="n">
        <x:f>--(F3482&lt;='Estimator'!$B$7)</x:f>
        <x:v>0</x:v>
      </x:c>
      <x:c r="H3482" s="381" t="n">
        <x:f>SUMIFS('Climate Data'!$G$7:$G$366,'Climate Data'!$A$7:$A$366,'Estimator'!$B$4,'Climate Data'!$B$7:$B$366,C3482)</x:f>
        <x:v>0.49078341013824883</x:v>
      </x:c>
      <x:c r="I3482" s="382" t="n">
        <x:f>SUMIFS('Climate Data'!$H$7:$H$366,'Climate Data'!$A$7:$A$366,'Estimator'!$B$4,'Climate Data'!$B$7:$B$366,C3482)</x:f>
        <x:v>8.998122065727701</x:v>
      </x:c>
      <x:c r="J3482" s="381" t="n">
        <x:f>SUMIFS('Wind Proxy'!$H$8:$H$19,'Wind Proxy'!$A$8:$A$19,'Estimator'!$B$4,'Wind Proxy'!$B$8:$B$19,C3482)</x:f>
        <x:v>0.13739545997610514</x:v>
      </x:c>
    </x:row>
    <x:row r="3483">
      <x:c r="A3483" s="379" t="n">
        <x:v>49134</x:v>
      </x:c>
      <x:c r="B3483" s="380" t="n">
        <x:v>2034</x:v>
      </x:c>
      <x:c r="C3483" s="380" t="n">
        <x:v>7</x:v>
      </x:c>
      <x:c r="D3483" s="380" t="str">
        <x:v>Jul</x:v>
      </x:c>
      <x:c r="E3483" s="380" t="n">
        <x:v>9</x:v>
      </x:c>
      <x:c r="F3483" s="380" t="n">
        <x:v>7</x:v>
      </x:c>
      <x:c r="G3483" s="380" t="n">
        <x:f>--(F3483&lt;='Estimator'!$B$7)</x:f>
        <x:v>0</x:v>
      </x:c>
      <x:c r="H3483" s="381" t="n">
        <x:f>SUMIFS('Climate Data'!$G$7:$G$366,'Climate Data'!$A$7:$A$366,'Estimator'!$B$4,'Climate Data'!$B$7:$B$366,C3483)</x:f>
        <x:v>0.49078341013824883</x:v>
      </x:c>
      <x:c r="I3483" s="382" t="n">
        <x:f>SUMIFS('Climate Data'!$H$7:$H$366,'Climate Data'!$A$7:$A$366,'Estimator'!$B$4,'Climate Data'!$B$7:$B$366,C3483)</x:f>
        <x:v>8.998122065727701</x:v>
      </x:c>
      <x:c r="J3483" s="381" t="n">
        <x:f>SUMIFS('Wind Proxy'!$H$8:$H$19,'Wind Proxy'!$A$8:$A$19,'Estimator'!$B$4,'Wind Proxy'!$B$8:$B$19,C3483)</x:f>
        <x:v>0.13739545997610514</x:v>
      </x:c>
    </x:row>
    <x:row r="3484">
      <x:c r="A3484" s="379" t="n">
        <x:v>49135</x:v>
      </x:c>
      <x:c r="B3484" s="380" t="n">
        <x:v>2034</x:v>
      </x:c>
      <x:c r="C3484" s="380" t="n">
        <x:v>7</x:v>
      </x:c>
      <x:c r="D3484" s="380" t="str">
        <x:v>Jul</x:v>
      </x:c>
      <x:c r="E3484" s="380" t="n">
        <x:v>10</x:v>
      </x:c>
      <x:c r="F3484" s="380" t="n">
        <x:v>1</x:v>
      </x:c>
      <x:c r="G3484" s="380" t="n">
        <x:f>--(F3484&lt;='Estimator'!$B$7)</x:f>
        <x:v>1</x:v>
      </x:c>
      <x:c r="H3484" s="381" t="n">
        <x:f>SUMIFS('Climate Data'!$G$7:$G$366,'Climate Data'!$A$7:$A$366,'Estimator'!$B$4,'Climate Data'!$B$7:$B$366,C3484)</x:f>
        <x:v>0.49078341013824883</x:v>
      </x:c>
      <x:c r="I3484" s="382" t="n">
        <x:f>SUMIFS('Climate Data'!$H$7:$H$366,'Climate Data'!$A$7:$A$366,'Estimator'!$B$4,'Climate Data'!$B$7:$B$366,C3484)</x:f>
        <x:v>8.998122065727701</x:v>
      </x:c>
      <x:c r="J3484" s="381" t="n">
        <x:f>SUMIFS('Wind Proxy'!$H$8:$H$19,'Wind Proxy'!$A$8:$A$19,'Estimator'!$B$4,'Wind Proxy'!$B$8:$B$19,C3484)</x:f>
        <x:v>0.13739545997610514</x:v>
      </x:c>
    </x:row>
    <x:row r="3485">
      <x:c r="A3485" s="379" t="n">
        <x:v>49136</x:v>
      </x:c>
      <x:c r="B3485" s="380" t="n">
        <x:v>2034</x:v>
      </x:c>
      <x:c r="C3485" s="380" t="n">
        <x:v>7</x:v>
      </x:c>
      <x:c r="D3485" s="380" t="str">
        <x:v>Jul</x:v>
      </x:c>
      <x:c r="E3485" s="380" t="n">
        <x:v>11</x:v>
      </x:c>
      <x:c r="F3485" s="380" t="n">
        <x:v>2</x:v>
      </x:c>
      <x:c r="G3485" s="380" t="n">
        <x:f>--(F3485&lt;='Estimator'!$B$7)</x:f>
        <x:v>1</x:v>
      </x:c>
      <x:c r="H3485" s="381" t="n">
        <x:f>SUMIFS('Climate Data'!$G$7:$G$366,'Climate Data'!$A$7:$A$366,'Estimator'!$B$4,'Climate Data'!$B$7:$B$366,C3485)</x:f>
        <x:v>0.49078341013824883</x:v>
      </x:c>
      <x:c r="I3485" s="382" t="n">
        <x:f>SUMIFS('Climate Data'!$H$7:$H$366,'Climate Data'!$A$7:$A$366,'Estimator'!$B$4,'Climate Data'!$B$7:$B$366,C3485)</x:f>
        <x:v>8.998122065727701</x:v>
      </x:c>
      <x:c r="J3485" s="381" t="n">
        <x:f>SUMIFS('Wind Proxy'!$H$8:$H$19,'Wind Proxy'!$A$8:$A$19,'Estimator'!$B$4,'Wind Proxy'!$B$8:$B$19,C3485)</x:f>
        <x:v>0.13739545997610514</x:v>
      </x:c>
    </x:row>
    <x:row r="3486">
      <x:c r="A3486" s="379" t="n">
        <x:v>49137</x:v>
      </x:c>
      <x:c r="B3486" s="380" t="n">
        <x:v>2034</x:v>
      </x:c>
      <x:c r="C3486" s="380" t="n">
        <x:v>7</x:v>
      </x:c>
      <x:c r="D3486" s="380" t="str">
        <x:v>Jul</x:v>
      </x:c>
      <x:c r="E3486" s="380" t="n">
        <x:v>12</x:v>
      </x:c>
      <x:c r="F3486" s="380" t="n">
        <x:v>3</x:v>
      </x:c>
      <x:c r="G3486" s="380" t="n">
        <x:f>--(F3486&lt;='Estimator'!$B$7)</x:f>
        <x:v>1</x:v>
      </x:c>
      <x:c r="H3486" s="381" t="n">
        <x:f>SUMIFS('Climate Data'!$G$7:$G$366,'Climate Data'!$A$7:$A$366,'Estimator'!$B$4,'Climate Data'!$B$7:$B$366,C3486)</x:f>
        <x:v>0.49078341013824883</x:v>
      </x:c>
      <x:c r="I3486" s="382" t="n">
        <x:f>SUMIFS('Climate Data'!$H$7:$H$366,'Climate Data'!$A$7:$A$366,'Estimator'!$B$4,'Climate Data'!$B$7:$B$366,C3486)</x:f>
        <x:v>8.998122065727701</x:v>
      </x:c>
      <x:c r="J3486" s="381" t="n">
        <x:f>SUMIFS('Wind Proxy'!$H$8:$H$19,'Wind Proxy'!$A$8:$A$19,'Estimator'!$B$4,'Wind Proxy'!$B$8:$B$19,C3486)</x:f>
        <x:v>0.13739545997610514</x:v>
      </x:c>
    </x:row>
    <x:row r="3487">
      <x:c r="A3487" s="379" t="n">
        <x:v>49138</x:v>
      </x:c>
      <x:c r="B3487" s="380" t="n">
        <x:v>2034</x:v>
      </x:c>
      <x:c r="C3487" s="380" t="n">
        <x:v>7</x:v>
      </x:c>
      <x:c r="D3487" s="380" t="str">
        <x:v>Jul</x:v>
      </x:c>
      <x:c r="E3487" s="380" t="n">
        <x:v>13</x:v>
      </x:c>
      <x:c r="F3487" s="380" t="n">
        <x:v>4</x:v>
      </x:c>
      <x:c r="G3487" s="380" t="n">
        <x:f>--(F3487&lt;='Estimator'!$B$7)</x:f>
        <x:v>1</x:v>
      </x:c>
      <x:c r="H3487" s="381" t="n">
        <x:f>SUMIFS('Climate Data'!$G$7:$G$366,'Climate Data'!$A$7:$A$366,'Estimator'!$B$4,'Climate Data'!$B$7:$B$366,C3487)</x:f>
        <x:v>0.49078341013824883</x:v>
      </x:c>
      <x:c r="I3487" s="382" t="n">
        <x:f>SUMIFS('Climate Data'!$H$7:$H$366,'Climate Data'!$A$7:$A$366,'Estimator'!$B$4,'Climate Data'!$B$7:$B$366,C3487)</x:f>
        <x:v>8.998122065727701</x:v>
      </x:c>
      <x:c r="J3487" s="381" t="n">
        <x:f>SUMIFS('Wind Proxy'!$H$8:$H$19,'Wind Proxy'!$A$8:$A$19,'Estimator'!$B$4,'Wind Proxy'!$B$8:$B$19,C3487)</x:f>
        <x:v>0.13739545997610514</x:v>
      </x:c>
    </x:row>
    <x:row r="3488">
      <x:c r="A3488" s="379" t="n">
        <x:v>49139</x:v>
      </x:c>
      <x:c r="B3488" s="380" t="n">
        <x:v>2034</x:v>
      </x:c>
      <x:c r="C3488" s="380" t="n">
        <x:v>7</x:v>
      </x:c>
      <x:c r="D3488" s="380" t="str">
        <x:v>Jul</x:v>
      </x:c>
      <x:c r="E3488" s="380" t="n">
        <x:v>14</x:v>
      </x:c>
      <x:c r="F3488" s="380" t="n">
        <x:v>5</x:v>
      </x:c>
      <x:c r="G3488" s="380" t="n">
        <x:f>--(F3488&lt;='Estimator'!$B$7)</x:f>
        <x:v>1</x:v>
      </x:c>
      <x:c r="H3488" s="381" t="n">
        <x:f>SUMIFS('Climate Data'!$G$7:$G$366,'Climate Data'!$A$7:$A$366,'Estimator'!$B$4,'Climate Data'!$B$7:$B$366,C3488)</x:f>
        <x:v>0.49078341013824883</x:v>
      </x:c>
      <x:c r="I3488" s="382" t="n">
        <x:f>SUMIFS('Climate Data'!$H$7:$H$366,'Climate Data'!$A$7:$A$366,'Estimator'!$B$4,'Climate Data'!$B$7:$B$366,C3488)</x:f>
        <x:v>8.998122065727701</x:v>
      </x:c>
      <x:c r="J3488" s="381" t="n">
        <x:f>SUMIFS('Wind Proxy'!$H$8:$H$19,'Wind Proxy'!$A$8:$A$19,'Estimator'!$B$4,'Wind Proxy'!$B$8:$B$19,C3488)</x:f>
        <x:v>0.13739545997610514</x:v>
      </x:c>
    </x:row>
    <x:row r="3489">
      <x:c r="A3489" s="379" t="n">
        <x:v>49140</x:v>
      </x:c>
      <x:c r="B3489" s="380" t="n">
        <x:v>2034</x:v>
      </x:c>
      <x:c r="C3489" s="380" t="n">
        <x:v>7</x:v>
      </x:c>
      <x:c r="D3489" s="380" t="str">
        <x:v>Jul</x:v>
      </x:c>
      <x:c r="E3489" s="380" t="n">
        <x:v>15</x:v>
      </x:c>
      <x:c r="F3489" s="380" t="n">
        <x:v>6</x:v>
      </x:c>
      <x:c r="G3489" s="380" t="n">
        <x:f>--(F3489&lt;='Estimator'!$B$7)</x:f>
        <x:v>0</x:v>
      </x:c>
      <x:c r="H3489" s="381" t="n">
        <x:f>SUMIFS('Climate Data'!$G$7:$G$366,'Climate Data'!$A$7:$A$366,'Estimator'!$B$4,'Climate Data'!$B$7:$B$366,C3489)</x:f>
        <x:v>0.49078341013824883</x:v>
      </x:c>
      <x:c r="I3489" s="382" t="n">
        <x:f>SUMIFS('Climate Data'!$H$7:$H$366,'Climate Data'!$A$7:$A$366,'Estimator'!$B$4,'Climate Data'!$B$7:$B$366,C3489)</x:f>
        <x:v>8.998122065727701</x:v>
      </x:c>
      <x:c r="J3489" s="381" t="n">
        <x:f>SUMIFS('Wind Proxy'!$H$8:$H$19,'Wind Proxy'!$A$8:$A$19,'Estimator'!$B$4,'Wind Proxy'!$B$8:$B$19,C3489)</x:f>
        <x:v>0.13739545997610514</x:v>
      </x:c>
    </x:row>
    <x:row r="3490">
      <x:c r="A3490" s="379" t="n">
        <x:v>49141</x:v>
      </x:c>
      <x:c r="B3490" s="380" t="n">
        <x:v>2034</x:v>
      </x:c>
      <x:c r="C3490" s="380" t="n">
        <x:v>7</x:v>
      </x:c>
      <x:c r="D3490" s="380" t="str">
        <x:v>Jul</x:v>
      </x:c>
      <x:c r="E3490" s="380" t="n">
        <x:v>16</x:v>
      </x:c>
      <x:c r="F3490" s="380" t="n">
        <x:v>7</x:v>
      </x:c>
      <x:c r="G3490" s="380" t="n">
        <x:f>--(F3490&lt;='Estimator'!$B$7)</x:f>
        <x:v>0</x:v>
      </x:c>
      <x:c r="H3490" s="381" t="n">
        <x:f>SUMIFS('Climate Data'!$G$7:$G$366,'Climate Data'!$A$7:$A$366,'Estimator'!$B$4,'Climate Data'!$B$7:$B$366,C3490)</x:f>
        <x:v>0.49078341013824883</x:v>
      </x:c>
      <x:c r="I3490" s="382" t="n">
        <x:f>SUMIFS('Climate Data'!$H$7:$H$366,'Climate Data'!$A$7:$A$366,'Estimator'!$B$4,'Climate Data'!$B$7:$B$366,C3490)</x:f>
        <x:v>8.998122065727701</x:v>
      </x:c>
      <x:c r="J3490" s="381" t="n">
        <x:f>SUMIFS('Wind Proxy'!$H$8:$H$19,'Wind Proxy'!$A$8:$A$19,'Estimator'!$B$4,'Wind Proxy'!$B$8:$B$19,C3490)</x:f>
        <x:v>0.13739545997610514</x:v>
      </x:c>
    </x:row>
    <x:row r="3491">
      <x:c r="A3491" s="379" t="n">
        <x:v>49142</x:v>
      </x:c>
      <x:c r="B3491" s="380" t="n">
        <x:v>2034</x:v>
      </x:c>
      <x:c r="C3491" s="380" t="n">
        <x:v>7</x:v>
      </x:c>
      <x:c r="D3491" s="380" t="str">
        <x:v>Jul</x:v>
      </x:c>
      <x:c r="E3491" s="380" t="n">
        <x:v>17</x:v>
      </x:c>
      <x:c r="F3491" s="380" t="n">
        <x:v>1</x:v>
      </x:c>
      <x:c r="G3491" s="380" t="n">
        <x:f>--(F3491&lt;='Estimator'!$B$7)</x:f>
        <x:v>1</x:v>
      </x:c>
      <x:c r="H3491" s="381" t="n">
        <x:f>SUMIFS('Climate Data'!$G$7:$G$366,'Climate Data'!$A$7:$A$366,'Estimator'!$B$4,'Climate Data'!$B$7:$B$366,C3491)</x:f>
        <x:v>0.49078341013824883</x:v>
      </x:c>
      <x:c r="I3491" s="382" t="n">
        <x:f>SUMIFS('Climate Data'!$H$7:$H$366,'Climate Data'!$A$7:$A$366,'Estimator'!$B$4,'Climate Data'!$B$7:$B$366,C3491)</x:f>
        <x:v>8.998122065727701</x:v>
      </x:c>
      <x:c r="J3491" s="381" t="n">
        <x:f>SUMIFS('Wind Proxy'!$H$8:$H$19,'Wind Proxy'!$A$8:$A$19,'Estimator'!$B$4,'Wind Proxy'!$B$8:$B$19,C3491)</x:f>
        <x:v>0.13739545997610514</x:v>
      </x:c>
    </x:row>
    <x:row r="3492">
      <x:c r="A3492" s="379" t="n">
        <x:v>49143</x:v>
      </x:c>
      <x:c r="B3492" s="380" t="n">
        <x:v>2034</x:v>
      </x:c>
      <x:c r="C3492" s="380" t="n">
        <x:v>7</x:v>
      </x:c>
      <x:c r="D3492" s="380" t="str">
        <x:v>Jul</x:v>
      </x:c>
      <x:c r="E3492" s="380" t="n">
        <x:v>18</x:v>
      </x:c>
      <x:c r="F3492" s="380" t="n">
        <x:v>2</x:v>
      </x:c>
      <x:c r="G3492" s="380" t="n">
        <x:f>--(F3492&lt;='Estimator'!$B$7)</x:f>
        <x:v>1</x:v>
      </x:c>
      <x:c r="H3492" s="381" t="n">
        <x:f>SUMIFS('Climate Data'!$G$7:$G$366,'Climate Data'!$A$7:$A$366,'Estimator'!$B$4,'Climate Data'!$B$7:$B$366,C3492)</x:f>
        <x:v>0.49078341013824883</x:v>
      </x:c>
      <x:c r="I3492" s="382" t="n">
        <x:f>SUMIFS('Climate Data'!$H$7:$H$366,'Climate Data'!$A$7:$A$366,'Estimator'!$B$4,'Climate Data'!$B$7:$B$366,C3492)</x:f>
        <x:v>8.998122065727701</x:v>
      </x:c>
      <x:c r="J3492" s="381" t="n">
        <x:f>SUMIFS('Wind Proxy'!$H$8:$H$19,'Wind Proxy'!$A$8:$A$19,'Estimator'!$B$4,'Wind Proxy'!$B$8:$B$19,C3492)</x:f>
        <x:v>0.13739545997610514</x:v>
      </x:c>
    </x:row>
    <x:row r="3493">
      <x:c r="A3493" s="379" t="n">
        <x:v>49144</x:v>
      </x:c>
      <x:c r="B3493" s="380" t="n">
        <x:v>2034</x:v>
      </x:c>
      <x:c r="C3493" s="380" t="n">
        <x:v>7</x:v>
      </x:c>
      <x:c r="D3493" s="380" t="str">
        <x:v>Jul</x:v>
      </x:c>
      <x:c r="E3493" s="380" t="n">
        <x:v>19</x:v>
      </x:c>
      <x:c r="F3493" s="380" t="n">
        <x:v>3</x:v>
      </x:c>
      <x:c r="G3493" s="380" t="n">
        <x:f>--(F3493&lt;='Estimator'!$B$7)</x:f>
        <x:v>1</x:v>
      </x:c>
      <x:c r="H3493" s="381" t="n">
        <x:f>SUMIFS('Climate Data'!$G$7:$G$366,'Climate Data'!$A$7:$A$366,'Estimator'!$B$4,'Climate Data'!$B$7:$B$366,C3493)</x:f>
        <x:v>0.49078341013824883</x:v>
      </x:c>
      <x:c r="I3493" s="382" t="n">
        <x:f>SUMIFS('Climate Data'!$H$7:$H$366,'Climate Data'!$A$7:$A$366,'Estimator'!$B$4,'Climate Data'!$B$7:$B$366,C3493)</x:f>
        <x:v>8.998122065727701</x:v>
      </x:c>
      <x:c r="J3493" s="381" t="n">
        <x:f>SUMIFS('Wind Proxy'!$H$8:$H$19,'Wind Proxy'!$A$8:$A$19,'Estimator'!$B$4,'Wind Proxy'!$B$8:$B$19,C3493)</x:f>
        <x:v>0.13739545997610514</x:v>
      </x:c>
    </x:row>
    <x:row r="3494">
      <x:c r="A3494" s="379" t="n">
        <x:v>49145</x:v>
      </x:c>
      <x:c r="B3494" s="380" t="n">
        <x:v>2034</x:v>
      </x:c>
      <x:c r="C3494" s="380" t="n">
        <x:v>7</x:v>
      </x:c>
      <x:c r="D3494" s="380" t="str">
        <x:v>Jul</x:v>
      </x:c>
      <x:c r="E3494" s="380" t="n">
        <x:v>20</x:v>
      </x:c>
      <x:c r="F3494" s="380" t="n">
        <x:v>4</x:v>
      </x:c>
      <x:c r="G3494" s="380" t="n">
        <x:f>--(F3494&lt;='Estimator'!$B$7)</x:f>
        <x:v>1</x:v>
      </x:c>
      <x:c r="H3494" s="381" t="n">
        <x:f>SUMIFS('Climate Data'!$G$7:$G$366,'Climate Data'!$A$7:$A$366,'Estimator'!$B$4,'Climate Data'!$B$7:$B$366,C3494)</x:f>
        <x:v>0.49078341013824883</x:v>
      </x:c>
      <x:c r="I3494" s="382" t="n">
        <x:f>SUMIFS('Climate Data'!$H$7:$H$366,'Climate Data'!$A$7:$A$366,'Estimator'!$B$4,'Climate Data'!$B$7:$B$366,C3494)</x:f>
        <x:v>8.998122065727701</x:v>
      </x:c>
      <x:c r="J3494" s="381" t="n">
        <x:f>SUMIFS('Wind Proxy'!$H$8:$H$19,'Wind Proxy'!$A$8:$A$19,'Estimator'!$B$4,'Wind Proxy'!$B$8:$B$19,C3494)</x:f>
        <x:v>0.13739545997610514</x:v>
      </x:c>
    </x:row>
    <x:row r="3495">
      <x:c r="A3495" s="379" t="n">
        <x:v>49146</x:v>
      </x:c>
      <x:c r="B3495" s="380" t="n">
        <x:v>2034</x:v>
      </x:c>
      <x:c r="C3495" s="380" t="n">
        <x:v>7</x:v>
      </x:c>
      <x:c r="D3495" s="380" t="str">
        <x:v>Jul</x:v>
      </x:c>
      <x:c r="E3495" s="380" t="n">
        <x:v>21</x:v>
      </x:c>
      <x:c r="F3495" s="380" t="n">
        <x:v>5</x:v>
      </x:c>
      <x:c r="G3495" s="380" t="n">
        <x:f>--(F3495&lt;='Estimator'!$B$7)</x:f>
        <x:v>1</x:v>
      </x:c>
      <x:c r="H3495" s="381" t="n">
        <x:f>SUMIFS('Climate Data'!$G$7:$G$366,'Climate Data'!$A$7:$A$366,'Estimator'!$B$4,'Climate Data'!$B$7:$B$366,C3495)</x:f>
        <x:v>0.49078341013824883</x:v>
      </x:c>
      <x:c r="I3495" s="382" t="n">
        <x:f>SUMIFS('Climate Data'!$H$7:$H$366,'Climate Data'!$A$7:$A$366,'Estimator'!$B$4,'Climate Data'!$B$7:$B$366,C3495)</x:f>
        <x:v>8.998122065727701</x:v>
      </x:c>
      <x:c r="J3495" s="381" t="n">
        <x:f>SUMIFS('Wind Proxy'!$H$8:$H$19,'Wind Proxy'!$A$8:$A$19,'Estimator'!$B$4,'Wind Proxy'!$B$8:$B$19,C3495)</x:f>
        <x:v>0.13739545997610514</x:v>
      </x:c>
    </x:row>
    <x:row r="3496">
      <x:c r="A3496" s="379" t="n">
        <x:v>49147</x:v>
      </x:c>
      <x:c r="B3496" s="380" t="n">
        <x:v>2034</x:v>
      </x:c>
      <x:c r="C3496" s="380" t="n">
        <x:v>7</x:v>
      </x:c>
      <x:c r="D3496" s="380" t="str">
        <x:v>Jul</x:v>
      </x:c>
      <x:c r="E3496" s="380" t="n">
        <x:v>22</x:v>
      </x:c>
      <x:c r="F3496" s="380" t="n">
        <x:v>6</x:v>
      </x:c>
      <x:c r="G3496" s="380" t="n">
        <x:f>--(F3496&lt;='Estimator'!$B$7)</x:f>
        <x:v>0</x:v>
      </x:c>
      <x:c r="H3496" s="381" t="n">
        <x:f>SUMIFS('Climate Data'!$G$7:$G$366,'Climate Data'!$A$7:$A$366,'Estimator'!$B$4,'Climate Data'!$B$7:$B$366,C3496)</x:f>
        <x:v>0.49078341013824883</x:v>
      </x:c>
      <x:c r="I3496" s="382" t="n">
        <x:f>SUMIFS('Climate Data'!$H$7:$H$366,'Climate Data'!$A$7:$A$366,'Estimator'!$B$4,'Climate Data'!$B$7:$B$366,C3496)</x:f>
        <x:v>8.998122065727701</x:v>
      </x:c>
      <x:c r="J3496" s="381" t="n">
        <x:f>SUMIFS('Wind Proxy'!$H$8:$H$19,'Wind Proxy'!$A$8:$A$19,'Estimator'!$B$4,'Wind Proxy'!$B$8:$B$19,C3496)</x:f>
        <x:v>0.13739545997610514</x:v>
      </x:c>
    </x:row>
    <x:row r="3497">
      <x:c r="A3497" s="379" t="n">
        <x:v>49148</x:v>
      </x:c>
      <x:c r="B3497" s="380" t="n">
        <x:v>2034</x:v>
      </x:c>
      <x:c r="C3497" s="380" t="n">
        <x:v>7</x:v>
      </x:c>
      <x:c r="D3497" s="380" t="str">
        <x:v>Jul</x:v>
      </x:c>
      <x:c r="E3497" s="380" t="n">
        <x:v>23</x:v>
      </x:c>
      <x:c r="F3497" s="380" t="n">
        <x:v>7</x:v>
      </x:c>
      <x:c r="G3497" s="380" t="n">
        <x:f>--(F3497&lt;='Estimator'!$B$7)</x:f>
        <x:v>0</x:v>
      </x:c>
      <x:c r="H3497" s="381" t="n">
        <x:f>SUMIFS('Climate Data'!$G$7:$G$366,'Climate Data'!$A$7:$A$366,'Estimator'!$B$4,'Climate Data'!$B$7:$B$366,C3497)</x:f>
        <x:v>0.49078341013824883</x:v>
      </x:c>
      <x:c r="I3497" s="382" t="n">
        <x:f>SUMIFS('Climate Data'!$H$7:$H$366,'Climate Data'!$A$7:$A$366,'Estimator'!$B$4,'Climate Data'!$B$7:$B$366,C3497)</x:f>
        <x:v>8.998122065727701</x:v>
      </x:c>
      <x:c r="J3497" s="381" t="n">
        <x:f>SUMIFS('Wind Proxy'!$H$8:$H$19,'Wind Proxy'!$A$8:$A$19,'Estimator'!$B$4,'Wind Proxy'!$B$8:$B$19,C3497)</x:f>
        <x:v>0.13739545997610514</x:v>
      </x:c>
    </x:row>
    <x:row r="3498">
      <x:c r="A3498" s="379" t="n">
        <x:v>49149</x:v>
      </x:c>
      <x:c r="B3498" s="380" t="n">
        <x:v>2034</x:v>
      </x:c>
      <x:c r="C3498" s="380" t="n">
        <x:v>7</x:v>
      </x:c>
      <x:c r="D3498" s="380" t="str">
        <x:v>Jul</x:v>
      </x:c>
      <x:c r="E3498" s="380" t="n">
        <x:v>24</x:v>
      </x:c>
      <x:c r="F3498" s="380" t="n">
        <x:v>1</x:v>
      </x:c>
      <x:c r="G3498" s="380" t="n">
        <x:f>--(F3498&lt;='Estimator'!$B$7)</x:f>
        <x:v>1</x:v>
      </x:c>
      <x:c r="H3498" s="381" t="n">
        <x:f>SUMIFS('Climate Data'!$G$7:$G$366,'Climate Data'!$A$7:$A$366,'Estimator'!$B$4,'Climate Data'!$B$7:$B$366,C3498)</x:f>
        <x:v>0.49078341013824883</x:v>
      </x:c>
      <x:c r="I3498" s="382" t="n">
        <x:f>SUMIFS('Climate Data'!$H$7:$H$366,'Climate Data'!$A$7:$A$366,'Estimator'!$B$4,'Climate Data'!$B$7:$B$366,C3498)</x:f>
        <x:v>8.998122065727701</x:v>
      </x:c>
      <x:c r="J3498" s="381" t="n">
        <x:f>SUMIFS('Wind Proxy'!$H$8:$H$19,'Wind Proxy'!$A$8:$A$19,'Estimator'!$B$4,'Wind Proxy'!$B$8:$B$19,C3498)</x:f>
        <x:v>0.13739545997610514</x:v>
      </x:c>
    </x:row>
    <x:row r="3499">
      <x:c r="A3499" s="379" t="n">
        <x:v>49150</x:v>
      </x:c>
      <x:c r="B3499" s="380" t="n">
        <x:v>2034</x:v>
      </x:c>
      <x:c r="C3499" s="380" t="n">
        <x:v>7</x:v>
      </x:c>
      <x:c r="D3499" s="380" t="str">
        <x:v>Jul</x:v>
      </x:c>
      <x:c r="E3499" s="380" t="n">
        <x:v>25</x:v>
      </x:c>
      <x:c r="F3499" s="380" t="n">
        <x:v>2</x:v>
      </x:c>
      <x:c r="G3499" s="380" t="n">
        <x:f>--(F3499&lt;='Estimator'!$B$7)</x:f>
        <x:v>1</x:v>
      </x:c>
      <x:c r="H3499" s="381" t="n">
        <x:f>SUMIFS('Climate Data'!$G$7:$G$366,'Climate Data'!$A$7:$A$366,'Estimator'!$B$4,'Climate Data'!$B$7:$B$366,C3499)</x:f>
        <x:v>0.49078341013824883</x:v>
      </x:c>
      <x:c r="I3499" s="382" t="n">
        <x:f>SUMIFS('Climate Data'!$H$7:$H$366,'Climate Data'!$A$7:$A$366,'Estimator'!$B$4,'Climate Data'!$B$7:$B$366,C3499)</x:f>
        <x:v>8.998122065727701</x:v>
      </x:c>
      <x:c r="J3499" s="381" t="n">
        <x:f>SUMIFS('Wind Proxy'!$H$8:$H$19,'Wind Proxy'!$A$8:$A$19,'Estimator'!$B$4,'Wind Proxy'!$B$8:$B$19,C3499)</x:f>
        <x:v>0.13739545997610514</x:v>
      </x:c>
    </x:row>
    <x:row r="3500">
      <x:c r="A3500" s="379" t="n">
        <x:v>49151</x:v>
      </x:c>
      <x:c r="B3500" s="380" t="n">
        <x:v>2034</x:v>
      </x:c>
      <x:c r="C3500" s="380" t="n">
        <x:v>7</x:v>
      </x:c>
      <x:c r="D3500" s="380" t="str">
        <x:v>Jul</x:v>
      </x:c>
      <x:c r="E3500" s="380" t="n">
        <x:v>26</x:v>
      </x:c>
      <x:c r="F3500" s="380" t="n">
        <x:v>3</x:v>
      </x:c>
      <x:c r="G3500" s="380" t="n">
        <x:f>--(F3500&lt;='Estimator'!$B$7)</x:f>
        <x:v>1</x:v>
      </x:c>
      <x:c r="H3500" s="381" t="n">
        <x:f>SUMIFS('Climate Data'!$G$7:$G$366,'Climate Data'!$A$7:$A$366,'Estimator'!$B$4,'Climate Data'!$B$7:$B$366,C3500)</x:f>
        <x:v>0.49078341013824883</x:v>
      </x:c>
      <x:c r="I3500" s="382" t="n">
        <x:f>SUMIFS('Climate Data'!$H$7:$H$366,'Climate Data'!$A$7:$A$366,'Estimator'!$B$4,'Climate Data'!$B$7:$B$366,C3500)</x:f>
        <x:v>8.998122065727701</x:v>
      </x:c>
      <x:c r="J3500" s="381" t="n">
        <x:f>SUMIFS('Wind Proxy'!$H$8:$H$19,'Wind Proxy'!$A$8:$A$19,'Estimator'!$B$4,'Wind Proxy'!$B$8:$B$19,C3500)</x:f>
        <x:v>0.13739545997610514</x:v>
      </x:c>
    </x:row>
    <x:row r="3501">
      <x:c r="A3501" s="379" t="n">
        <x:v>49152</x:v>
      </x:c>
      <x:c r="B3501" s="380" t="n">
        <x:v>2034</x:v>
      </x:c>
      <x:c r="C3501" s="380" t="n">
        <x:v>7</x:v>
      </x:c>
      <x:c r="D3501" s="380" t="str">
        <x:v>Jul</x:v>
      </x:c>
      <x:c r="E3501" s="380" t="n">
        <x:v>27</x:v>
      </x:c>
      <x:c r="F3501" s="380" t="n">
        <x:v>4</x:v>
      </x:c>
      <x:c r="G3501" s="380" t="n">
        <x:f>--(F3501&lt;='Estimator'!$B$7)</x:f>
        <x:v>1</x:v>
      </x:c>
      <x:c r="H3501" s="381" t="n">
        <x:f>SUMIFS('Climate Data'!$G$7:$G$366,'Climate Data'!$A$7:$A$366,'Estimator'!$B$4,'Climate Data'!$B$7:$B$366,C3501)</x:f>
        <x:v>0.49078341013824883</x:v>
      </x:c>
      <x:c r="I3501" s="382" t="n">
        <x:f>SUMIFS('Climate Data'!$H$7:$H$366,'Climate Data'!$A$7:$A$366,'Estimator'!$B$4,'Climate Data'!$B$7:$B$366,C3501)</x:f>
        <x:v>8.998122065727701</x:v>
      </x:c>
      <x:c r="J3501" s="381" t="n">
        <x:f>SUMIFS('Wind Proxy'!$H$8:$H$19,'Wind Proxy'!$A$8:$A$19,'Estimator'!$B$4,'Wind Proxy'!$B$8:$B$19,C3501)</x:f>
        <x:v>0.13739545997610514</x:v>
      </x:c>
    </x:row>
    <x:row r="3502">
      <x:c r="A3502" s="379" t="n">
        <x:v>49153</x:v>
      </x:c>
      <x:c r="B3502" s="380" t="n">
        <x:v>2034</x:v>
      </x:c>
      <x:c r="C3502" s="380" t="n">
        <x:v>7</x:v>
      </x:c>
      <x:c r="D3502" s="380" t="str">
        <x:v>Jul</x:v>
      </x:c>
      <x:c r="E3502" s="380" t="n">
        <x:v>28</x:v>
      </x:c>
      <x:c r="F3502" s="380" t="n">
        <x:v>5</x:v>
      </x:c>
      <x:c r="G3502" s="380" t="n">
        <x:f>--(F3502&lt;='Estimator'!$B$7)</x:f>
        <x:v>1</x:v>
      </x:c>
      <x:c r="H3502" s="381" t="n">
        <x:f>SUMIFS('Climate Data'!$G$7:$G$366,'Climate Data'!$A$7:$A$366,'Estimator'!$B$4,'Climate Data'!$B$7:$B$366,C3502)</x:f>
        <x:v>0.49078341013824883</x:v>
      </x:c>
      <x:c r="I3502" s="382" t="n">
        <x:f>SUMIFS('Climate Data'!$H$7:$H$366,'Climate Data'!$A$7:$A$366,'Estimator'!$B$4,'Climate Data'!$B$7:$B$366,C3502)</x:f>
        <x:v>8.998122065727701</x:v>
      </x:c>
      <x:c r="J3502" s="381" t="n">
        <x:f>SUMIFS('Wind Proxy'!$H$8:$H$19,'Wind Proxy'!$A$8:$A$19,'Estimator'!$B$4,'Wind Proxy'!$B$8:$B$19,C3502)</x:f>
        <x:v>0.13739545997610514</x:v>
      </x:c>
    </x:row>
    <x:row r="3503">
      <x:c r="A3503" s="379" t="n">
        <x:v>49154</x:v>
      </x:c>
      <x:c r="B3503" s="380" t="n">
        <x:v>2034</x:v>
      </x:c>
      <x:c r="C3503" s="380" t="n">
        <x:v>7</x:v>
      </x:c>
      <x:c r="D3503" s="380" t="str">
        <x:v>Jul</x:v>
      </x:c>
      <x:c r="E3503" s="380" t="n">
        <x:v>29</x:v>
      </x:c>
      <x:c r="F3503" s="380" t="n">
        <x:v>6</x:v>
      </x:c>
      <x:c r="G3503" s="380" t="n">
        <x:f>--(F3503&lt;='Estimator'!$B$7)</x:f>
        <x:v>0</x:v>
      </x:c>
      <x:c r="H3503" s="381" t="n">
        <x:f>SUMIFS('Climate Data'!$G$7:$G$366,'Climate Data'!$A$7:$A$366,'Estimator'!$B$4,'Climate Data'!$B$7:$B$366,C3503)</x:f>
        <x:v>0.49078341013824883</x:v>
      </x:c>
      <x:c r="I3503" s="382" t="n">
        <x:f>SUMIFS('Climate Data'!$H$7:$H$366,'Climate Data'!$A$7:$A$366,'Estimator'!$B$4,'Climate Data'!$B$7:$B$366,C3503)</x:f>
        <x:v>8.998122065727701</x:v>
      </x:c>
      <x:c r="J3503" s="381" t="n">
        <x:f>SUMIFS('Wind Proxy'!$H$8:$H$19,'Wind Proxy'!$A$8:$A$19,'Estimator'!$B$4,'Wind Proxy'!$B$8:$B$19,C3503)</x:f>
        <x:v>0.13739545997610514</x:v>
      </x:c>
    </x:row>
    <x:row r="3504">
      <x:c r="A3504" s="379" t="n">
        <x:v>49155</x:v>
      </x:c>
      <x:c r="B3504" s="380" t="n">
        <x:v>2034</x:v>
      </x:c>
      <x:c r="C3504" s="380" t="n">
        <x:v>7</x:v>
      </x:c>
      <x:c r="D3504" s="380" t="str">
        <x:v>Jul</x:v>
      </x:c>
      <x:c r="E3504" s="380" t="n">
        <x:v>30</x:v>
      </x:c>
      <x:c r="F3504" s="380" t="n">
        <x:v>7</x:v>
      </x:c>
      <x:c r="G3504" s="380" t="n">
        <x:f>--(F3504&lt;='Estimator'!$B$7)</x:f>
        <x:v>0</x:v>
      </x:c>
      <x:c r="H3504" s="381" t="n">
        <x:f>SUMIFS('Climate Data'!$G$7:$G$366,'Climate Data'!$A$7:$A$366,'Estimator'!$B$4,'Climate Data'!$B$7:$B$366,C3504)</x:f>
        <x:v>0.49078341013824883</x:v>
      </x:c>
      <x:c r="I3504" s="382" t="n">
        <x:f>SUMIFS('Climate Data'!$H$7:$H$366,'Climate Data'!$A$7:$A$366,'Estimator'!$B$4,'Climate Data'!$B$7:$B$366,C3504)</x:f>
        <x:v>8.998122065727701</x:v>
      </x:c>
      <x:c r="J3504" s="381" t="n">
        <x:f>SUMIFS('Wind Proxy'!$H$8:$H$19,'Wind Proxy'!$A$8:$A$19,'Estimator'!$B$4,'Wind Proxy'!$B$8:$B$19,C3504)</x:f>
        <x:v>0.13739545997610514</x:v>
      </x:c>
    </x:row>
    <x:row r="3505">
      <x:c r="A3505" s="379" t="n">
        <x:v>49156</x:v>
      </x:c>
      <x:c r="B3505" s="380" t="n">
        <x:v>2034</x:v>
      </x:c>
      <x:c r="C3505" s="380" t="n">
        <x:v>7</x:v>
      </x:c>
      <x:c r="D3505" s="380" t="str">
        <x:v>Jul</x:v>
      </x:c>
      <x:c r="E3505" s="380" t="n">
        <x:v>31</x:v>
      </x:c>
      <x:c r="F3505" s="380" t="n">
        <x:v>1</x:v>
      </x:c>
      <x:c r="G3505" s="380" t="n">
        <x:f>--(F3505&lt;='Estimator'!$B$7)</x:f>
        <x:v>1</x:v>
      </x:c>
      <x:c r="H3505" s="381" t="n">
        <x:f>SUMIFS('Climate Data'!$G$7:$G$366,'Climate Data'!$A$7:$A$366,'Estimator'!$B$4,'Climate Data'!$B$7:$B$366,C3505)</x:f>
        <x:v>0.49078341013824883</x:v>
      </x:c>
      <x:c r="I3505" s="382" t="n">
        <x:f>SUMIFS('Climate Data'!$H$7:$H$366,'Climate Data'!$A$7:$A$366,'Estimator'!$B$4,'Climate Data'!$B$7:$B$366,C3505)</x:f>
        <x:v>8.998122065727701</x:v>
      </x:c>
      <x:c r="J3505" s="381" t="n">
        <x:f>SUMIFS('Wind Proxy'!$H$8:$H$19,'Wind Proxy'!$A$8:$A$19,'Estimator'!$B$4,'Wind Proxy'!$B$8:$B$19,C3505)</x:f>
        <x:v>0.13739545997610514</x:v>
      </x:c>
    </x:row>
    <x:row r="3506">
      <x:c r="A3506" s="379" t="n">
        <x:v>49157</x:v>
      </x:c>
      <x:c r="B3506" s="380" t="n">
        <x:v>2034</x:v>
      </x:c>
      <x:c r="C3506" s="380" t="n">
        <x:v>8</x:v>
      </x:c>
      <x:c r="D3506" s="380" t="str">
        <x:v>Aug</x:v>
      </x:c>
      <x:c r="E3506" s="380" t="n">
        <x:v>1</x:v>
      </x:c>
      <x:c r="F3506" s="380" t="n">
        <x:v>2</x:v>
      </x:c>
      <x:c r="G3506" s="380" t="n">
        <x:f>--(F3506&lt;='Estimator'!$B$7)</x:f>
        <x:v>1</x:v>
      </x:c>
      <x:c r="H3506" s="381" t="n">
        <x:f>SUMIFS('Climate Data'!$G$7:$G$366,'Climate Data'!$A$7:$A$366,'Estimator'!$B$4,'Climate Data'!$B$7:$B$366,C3506)</x:f>
        <x:v>0.47274749721913234</x:v>
      </x:c>
      <x:c r="I3506" s="382" t="n">
        <x:f>SUMIFS('Climate Data'!$H$7:$H$366,'Climate Data'!$A$7:$A$366,'Estimator'!$B$4,'Climate Data'!$B$7:$B$366,C3506)</x:f>
        <x:v>7.9971764705882356</x:v>
      </x:c>
      <x:c r="J3506" s="381" t="n">
        <x:f>SUMIFS('Wind Proxy'!$H$8:$H$19,'Wind Proxy'!$A$8:$A$19,'Estimator'!$B$4,'Wind Proxy'!$B$8:$B$19,C3506)</x:f>
        <x:v>0.13739545997610514</x:v>
      </x:c>
    </x:row>
    <x:row r="3507">
      <x:c r="A3507" s="379" t="n">
        <x:v>49158</x:v>
      </x:c>
      <x:c r="B3507" s="380" t="n">
        <x:v>2034</x:v>
      </x:c>
      <x:c r="C3507" s="380" t="n">
        <x:v>8</x:v>
      </x:c>
      <x:c r="D3507" s="380" t="str">
        <x:v>Aug</x:v>
      </x:c>
      <x:c r="E3507" s="380" t="n">
        <x:v>2</x:v>
      </x:c>
      <x:c r="F3507" s="380" t="n">
        <x:v>3</x:v>
      </x:c>
      <x:c r="G3507" s="380" t="n">
        <x:f>--(F3507&lt;='Estimator'!$B$7)</x:f>
        <x:v>1</x:v>
      </x:c>
      <x:c r="H3507" s="381" t="n">
        <x:f>SUMIFS('Climate Data'!$G$7:$G$366,'Climate Data'!$A$7:$A$366,'Estimator'!$B$4,'Climate Data'!$B$7:$B$366,C3507)</x:f>
        <x:v>0.47274749721913234</x:v>
      </x:c>
      <x:c r="I3507" s="382" t="n">
        <x:f>SUMIFS('Climate Data'!$H$7:$H$366,'Climate Data'!$A$7:$A$366,'Estimator'!$B$4,'Climate Data'!$B$7:$B$366,C3507)</x:f>
        <x:v>7.9971764705882356</x:v>
      </x:c>
      <x:c r="J3507" s="381" t="n">
        <x:f>SUMIFS('Wind Proxy'!$H$8:$H$19,'Wind Proxy'!$A$8:$A$19,'Estimator'!$B$4,'Wind Proxy'!$B$8:$B$19,C3507)</x:f>
        <x:v>0.13739545997610514</x:v>
      </x:c>
    </x:row>
    <x:row r="3508">
      <x:c r="A3508" s="379" t="n">
        <x:v>49159</x:v>
      </x:c>
      <x:c r="B3508" s="380" t="n">
        <x:v>2034</x:v>
      </x:c>
      <x:c r="C3508" s="380" t="n">
        <x:v>8</x:v>
      </x:c>
      <x:c r="D3508" s="380" t="str">
        <x:v>Aug</x:v>
      </x:c>
      <x:c r="E3508" s="380" t="n">
        <x:v>3</x:v>
      </x:c>
      <x:c r="F3508" s="380" t="n">
        <x:v>4</x:v>
      </x:c>
      <x:c r="G3508" s="380" t="n">
        <x:f>--(F3508&lt;='Estimator'!$B$7)</x:f>
        <x:v>1</x:v>
      </x:c>
      <x:c r="H3508" s="381" t="n">
        <x:f>SUMIFS('Climate Data'!$G$7:$G$366,'Climate Data'!$A$7:$A$366,'Estimator'!$B$4,'Climate Data'!$B$7:$B$366,C3508)</x:f>
        <x:v>0.47274749721913234</x:v>
      </x:c>
      <x:c r="I3508" s="382" t="n">
        <x:f>SUMIFS('Climate Data'!$H$7:$H$366,'Climate Data'!$A$7:$A$366,'Estimator'!$B$4,'Climate Data'!$B$7:$B$366,C3508)</x:f>
        <x:v>7.9971764705882356</x:v>
      </x:c>
      <x:c r="J3508" s="381" t="n">
        <x:f>SUMIFS('Wind Proxy'!$H$8:$H$19,'Wind Proxy'!$A$8:$A$19,'Estimator'!$B$4,'Wind Proxy'!$B$8:$B$19,C3508)</x:f>
        <x:v>0.13739545997610514</x:v>
      </x:c>
    </x:row>
    <x:row r="3509">
      <x:c r="A3509" s="379" t="n">
        <x:v>49160</x:v>
      </x:c>
      <x:c r="B3509" s="380" t="n">
        <x:v>2034</x:v>
      </x:c>
      <x:c r="C3509" s="380" t="n">
        <x:v>8</x:v>
      </x:c>
      <x:c r="D3509" s="380" t="str">
        <x:v>Aug</x:v>
      </x:c>
      <x:c r="E3509" s="380" t="n">
        <x:v>4</x:v>
      </x:c>
      <x:c r="F3509" s="380" t="n">
        <x:v>5</x:v>
      </x:c>
      <x:c r="G3509" s="380" t="n">
        <x:f>--(F3509&lt;='Estimator'!$B$7)</x:f>
        <x:v>1</x:v>
      </x:c>
      <x:c r="H3509" s="381" t="n">
        <x:f>SUMIFS('Climate Data'!$G$7:$G$366,'Climate Data'!$A$7:$A$366,'Estimator'!$B$4,'Climate Data'!$B$7:$B$366,C3509)</x:f>
        <x:v>0.47274749721913234</x:v>
      </x:c>
      <x:c r="I3509" s="382" t="n">
        <x:f>SUMIFS('Climate Data'!$H$7:$H$366,'Climate Data'!$A$7:$A$366,'Estimator'!$B$4,'Climate Data'!$B$7:$B$366,C3509)</x:f>
        <x:v>7.9971764705882356</x:v>
      </x:c>
      <x:c r="J3509" s="381" t="n">
        <x:f>SUMIFS('Wind Proxy'!$H$8:$H$19,'Wind Proxy'!$A$8:$A$19,'Estimator'!$B$4,'Wind Proxy'!$B$8:$B$19,C3509)</x:f>
        <x:v>0.13739545997610514</x:v>
      </x:c>
    </x:row>
    <x:row r="3510">
      <x:c r="A3510" s="379" t="n">
        <x:v>49161</x:v>
      </x:c>
      <x:c r="B3510" s="380" t="n">
        <x:v>2034</x:v>
      </x:c>
      <x:c r="C3510" s="380" t="n">
        <x:v>8</x:v>
      </x:c>
      <x:c r="D3510" s="380" t="str">
        <x:v>Aug</x:v>
      </x:c>
      <x:c r="E3510" s="380" t="n">
        <x:v>5</x:v>
      </x:c>
      <x:c r="F3510" s="380" t="n">
        <x:v>6</x:v>
      </x:c>
      <x:c r="G3510" s="380" t="n">
        <x:f>--(F3510&lt;='Estimator'!$B$7)</x:f>
        <x:v>0</x:v>
      </x:c>
      <x:c r="H3510" s="381" t="n">
        <x:f>SUMIFS('Climate Data'!$G$7:$G$366,'Climate Data'!$A$7:$A$366,'Estimator'!$B$4,'Climate Data'!$B$7:$B$366,C3510)</x:f>
        <x:v>0.47274749721913234</x:v>
      </x:c>
      <x:c r="I3510" s="382" t="n">
        <x:f>SUMIFS('Climate Data'!$H$7:$H$366,'Climate Data'!$A$7:$A$366,'Estimator'!$B$4,'Climate Data'!$B$7:$B$366,C3510)</x:f>
        <x:v>7.9971764705882356</x:v>
      </x:c>
      <x:c r="J3510" s="381" t="n">
        <x:f>SUMIFS('Wind Proxy'!$H$8:$H$19,'Wind Proxy'!$A$8:$A$19,'Estimator'!$B$4,'Wind Proxy'!$B$8:$B$19,C3510)</x:f>
        <x:v>0.13739545997610514</x:v>
      </x:c>
    </x:row>
    <x:row r="3511">
      <x:c r="A3511" s="379" t="n">
        <x:v>49162</x:v>
      </x:c>
      <x:c r="B3511" s="380" t="n">
        <x:v>2034</x:v>
      </x:c>
      <x:c r="C3511" s="380" t="n">
        <x:v>8</x:v>
      </x:c>
      <x:c r="D3511" s="380" t="str">
        <x:v>Aug</x:v>
      </x:c>
      <x:c r="E3511" s="380" t="n">
        <x:v>6</x:v>
      </x:c>
      <x:c r="F3511" s="380" t="n">
        <x:v>7</x:v>
      </x:c>
      <x:c r="G3511" s="380" t="n">
        <x:f>--(F3511&lt;='Estimator'!$B$7)</x:f>
        <x:v>0</x:v>
      </x:c>
      <x:c r="H3511" s="381" t="n">
        <x:f>SUMIFS('Climate Data'!$G$7:$G$366,'Climate Data'!$A$7:$A$366,'Estimator'!$B$4,'Climate Data'!$B$7:$B$366,C3511)</x:f>
        <x:v>0.47274749721913234</x:v>
      </x:c>
      <x:c r="I3511" s="382" t="n">
        <x:f>SUMIFS('Climate Data'!$H$7:$H$366,'Climate Data'!$A$7:$A$366,'Estimator'!$B$4,'Climate Data'!$B$7:$B$366,C3511)</x:f>
        <x:v>7.9971764705882356</x:v>
      </x:c>
      <x:c r="J3511" s="381" t="n">
        <x:f>SUMIFS('Wind Proxy'!$H$8:$H$19,'Wind Proxy'!$A$8:$A$19,'Estimator'!$B$4,'Wind Proxy'!$B$8:$B$19,C3511)</x:f>
        <x:v>0.13739545997610514</x:v>
      </x:c>
    </x:row>
    <x:row r="3512">
      <x:c r="A3512" s="379" t="n">
        <x:v>49163</x:v>
      </x:c>
      <x:c r="B3512" s="380" t="n">
        <x:v>2034</x:v>
      </x:c>
      <x:c r="C3512" s="380" t="n">
        <x:v>8</x:v>
      </x:c>
      <x:c r="D3512" s="380" t="str">
        <x:v>Aug</x:v>
      </x:c>
      <x:c r="E3512" s="380" t="n">
        <x:v>7</x:v>
      </x:c>
      <x:c r="F3512" s="380" t="n">
        <x:v>1</x:v>
      </x:c>
      <x:c r="G3512" s="380" t="n">
        <x:f>--(F3512&lt;='Estimator'!$B$7)</x:f>
        <x:v>1</x:v>
      </x:c>
      <x:c r="H3512" s="381" t="n">
        <x:f>SUMIFS('Climate Data'!$G$7:$G$366,'Climate Data'!$A$7:$A$366,'Estimator'!$B$4,'Climate Data'!$B$7:$B$366,C3512)</x:f>
        <x:v>0.47274749721913234</x:v>
      </x:c>
      <x:c r="I3512" s="382" t="n">
        <x:f>SUMIFS('Climate Data'!$H$7:$H$366,'Climate Data'!$A$7:$A$366,'Estimator'!$B$4,'Climate Data'!$B$7:$B$366,C3512)</x:f>
        <x:v>7.9971764705882356</x:v>
      </x:c>
      <x:c r="J3512" s="381" t="n">
        <x:f>SUMIFS('Wind Proxy'!$H$8:$H$19,'Wind Proxy'!$A$8:$A$19,'Estimator'!$B$4,'Wind Proxy'!$B$8:$B$19,C3512)</x:f>
        <x:v>0.13739545997610514</x:v>
      </x:c>
    </x:row>
    <x:row r="3513">
      <x:c r="A3513" s="379" t="n">
        <x:v>49164</x:v>
      </x:c>
      <x:c r="B3513" s="380" t="n">
        <x:v>2034</x:v>
      </x:c>
      <x:c r="C3513" s="380" t="n">
        <x:v>8</x:v>
      </x:c>
      <x:c r="D3513" s="380" t="str">
        <x:v>Aug</x:v>
      </x:c>
      <x:c r="E3513" s="380" t="n">
        <x:v>8</x:v>
      </x:c>
      <x:c r="F3513" s="380" t="n">
        <x:v>2</x:v>
      </x:c>
      <x:c r="G3513" s="380" t="n">
        <x:f>--(F3513&lt;='Estimator'!$B$7)</x:f>
        <x:v>1</x:v>
      </x:c>
      <x:c r="H3513" s="381" t="n">
        <x:f>SUMIFS('Climate Data'!$G$7:$G$366,'Climate Data'!$A$7:$A$366,'Estimator'!$B$4,'Climate Data'!$B$7:$B$366,C3513)</x:f>
        <x:v>0.47274749721913234</x:v>
      </x:c>
      <x:c r="I3513" s="382" t="n">
        <x:f>SUMIFS('Climate Data'!$H$7:$H$366,'Climate Data'!$A$7:$A$366,'Estimator'!$B$4,'Climate Data'!$B$7:$B$366,C3513)</x:f>
        <x:v>7.9971764705882356</x:v>
      </x:c>
      <x:c r="J3513" s="381" t="n">
        <x:f>SUMIFS('Wind Proxy'!$H$8:$H$19,'Wind Proxy'!$A$8:$A$19,'Estimator'!$B$4,'Wind Proxy'!$B$8:$B$19,C3513)</x:f>
        <x:v>0.13739545997610514</x:v>
      </x:c>
    </x:row>
    <x:row r="3514">
      <x:c r="A3514" s="379" t="n">
        <x:v>49165</x:v>
      </x:c>
      <x:c r="B3514" s="380" t="n">
        <x:v>2034</x:v>
      </x:c>
      <x:c r="C3514" s="380" t="n">
        <x:v>8</x:v>
      </x:c>
      <x:c r="D3514" s="380" t="str">
        <x:v>Aug</x:v>
      </x:c>
      <x:c r="E3514" s="380" t="n">
        <x:v>9</x:v>
      </x:c>
      <x:c r="F3514" s="380" t="n">
        <x:v>3</x:v>
      </x:c>
      <x:c r="G3514" s="380" t="n">
        <x:f>--(F3514&lt;='Estimator'!$B$7)</x:f>
        <x:v>1</x:v>
      </x:c>
      <x:c r="H3514" s="381" t="n">
        <x:f>SUMIFS('Climate Data'!$G$7:$G$366,'Climate Data'!$A$7:$A$366,'Estimator'!$B$4,'Climate Data'!$B$7:$B$366,C3514)</x:f>
        <x:v>0.47274749721913234</x:v>
      </x:c>
      <x:c r="I3514" s="382" t="n">
        <x:f>SUMIFS('Climate Data'!$H$7:$H$366,'Climate Data'!$A$7:$A$366,'Estimator'!$B$4,'Climate Data'!$B$7:$B$366,C3514)</x:f>
        <x:v>7.9971764705882356</x:v>
      </x:c>
      <x:c r="J3514" s="381" t="n">
        <x:f>SUMIFS('Wind Proxy'!$H$8:$H$19,'Wind Proxy'!$A$8:$A$19,'Estimator'!$B$4,'Wind Proxy'!$B$8:$B$19,C3514)</x:f>
        <x:v>0.13739545997610514</x:v>
      </x:c>
    </x:row>
    <x:row r="3515">
      <x:c r="A3515" s="379" t="n">
        <x:v>49166</x:v>
      </x:c>
      <x:c r="B3515" s="380" t="n">
        <x:v>2034</x:v>
      </x:c>
      <x:c r="C3515" s="380" t="n">
        <x:v>8</x:v>
      </x:c>
      <x:c r="D3515" s="380" t="str">
        <x:v>Aug</x:v>
      </x:c>
      <x:c r="E3515" s="380" t="n">
        <x:v>10</x:v>
      </x:c>
      <x:c r="F3515" s="380" t="n">
        <x:v>4</x:v>
      </x:c>
      <x:c r="G3515" s="380" t="n">
        <x:f>--(F3515&lt;='Estimator'!$B$7)</x:f>
        <x:v>1</x:v>
      </x:c>
      <x:c r="H3515" s="381" t="n">
        <x:f>SUMIFS('Climate Data'!$G$7:$G$366,'Climate Data'!$A$7:$A$366,'Estimator'!$B$4,'Climate Data'!$B$7:$B$366,C3515)</x:f>
        <x:v>0.47274749721913234</x:v>
      </x:c>
      <x:c r="I3515" s="382" t="n">
        <x:f>SUMIFS('Climate Data'!$H$7:$H$366,'Climate Data'!$A$7:$A$366,'Estimator'!$B$4,'Climate Data'!$B$7:$B$366,C3515)</x:f>
        <x:v>7.9971764705882356</x:v>
      </x:c>
      <x:c r="J3515" s="381" t="n">
        <x:f>SUMIFS('Wind Proxy'!$H$8:$H$19,'Wind Proxy'!$A$8:$A$19,'Estimator'!$B$4,'Wind Proxy'!$B$8:$B$19,C3515)</x:f>
        <x:v>0.13739545997610514</x:v>
      </x:c>
    </x:row>
    <x:row r="3516">
      <x:c r="A3516" s="379" t="n">
        <x:v>49167</x:v>
      </x:c>
      <x:c r="B3516" s="380" t="n">
        <x:v>2034</x:v>
      </x:c>
      <x:c r="C3516" s="380" t="n">
        <x:v>8</x:v>
      </x:c>
      <x:c r="D3516" s="380" t="str">
        <x:v>Aug</x:v>
      </x:c>
      <x:c r="E3516" s="380" t="n">
        <x:v>11</x:v>
      </x:c>
      <x:c r="F3516" s="380" t="n">
        <x:v>5</x:v>
      </x:c>
      <x:c r="G3516" s="380" t="n">
        <x:f>--(F3516&lt;='Estimator'!$B$7)</x:f>
        <x:v>1</x:v>
      </x:c>
      <x:c r="H3516" s="381" t="n">
        <x:f>SUMIFS('Climate Data'!$G$7:$G$366,'Climate Data'!$A$7:$A$366,'Estimator'!$B$4,'Climate Data'!$B$7:$B$366,C3516)</x:f>
        <x:v>0.47274749721913234</x:v>
      </x:c>
      <x:c r="I3516" s="382" t="n">
        <x:f>SUMIFS('Climate Data'!$H$7:$H$366,'Climate Data'!$A$7:$A$366,'Estimator'!$B$4,'Climate Data'!$B$7:$B$366,C3516)</x:f>
        <x:v>7.9971764705882356</x:v>
      </x:c>
      <x:c r="J3516" s="381" t="n">
        <x:f>SUMIFS('Wind Proxy'!$H$8:$H$19,'Wind Proxy'!$A$8:$A$19,'Estimator'!$B$4,'Wind Proxy'!$B$8:$B$19,C3516)</x:f>
        <x:v>0.13739545997610514</x:v>
      </x:c>
    </x:row>
    <x:row r="3517">
      <x:c r="A3517" s="379" t="n">
        <x:v>49168</x:v>
      </x:c>
      <x:c r="B3517" s="380" t="n">
        <x:v>2034</x:v>
      </x:c>
      <x:c r="C3517" s="380" t="n">
        <x:v>8</x:v>
      </x:c>
      <x:c r="D3517" s="380" t="str">
        <x:v>Aug</x:v>
      </x:c>
      <x:c r="E3517" s="380" t="n">
        <x:v>12</x:v>
      </x:c>
      <x:c r="F3517" s="380" t="n">
        <x:v>6</x:v>
      </x:c>
      <x:c r="G3517" s="380" t="n">
        <x:f>--(F3517&lt;='Estimator'!$B$7)</x:f>
        <x:v>0</x:v>
      </x:c>
      <x:c r="H3517" s="381" t="n">
        <x:f>SUMIFS('Climate Data'!$G$7:$G$366,'Climate Data'!$A$7:$A$366,'Estimator'!$B$4,'Climate Data'!$B$7:$B$366,C3517)</x:f>
        <x:v>0.47274749721913234</x:v>
      </x:c>
      <x:c r="I3517" s="382" t="n">
        <x:f>SUMIFS('Climate Data'!$H$7:$H$366,'Climate Data'!$A$7:$A$366,'Estimator'!$B$4,'Climate Data'!$B$7:$B$366,C3517)</x:f>
        <x:v>7.9971764705882356</x:v>
      </x:c>
      <x:c r="J3517" s="381" t="n">
        <x:f>SUMIFS('Wind Proxy'!$H$8:$H$19,'Wind Proxy'!$A$8:$A$19,'Estimator'!$B$4,'Wind Proxy'!$B$8:$B$19,C3517)</x:f>
        <x:v>0.13739545997610514</x:v>
      </x:c>
    </x:row>
    <x:row r="3518">
      <x:c r="A3518" s="379" t="n">
        <x:v>49169</x:v>
      </x:c>
      <x:c r="B3518" s="380" t="n">
        <x:v>2034</x:v>
      </x:c>
      <x:c r="C3518" s="380" t="n">
        <x:v>8</x:v>
      </x:c>
      <x:c r="D3518" s="380" t="str">
        <x:v>Aug</x:v>
      </x:c>
      <x:c r="E3518" s="380" t="n">
        <x:v>13</x:v>
      </x:c>
      <x:c r="F3518" s="380" t="n">
        <x:v>7</x:v>
      </x:c>
      <x:c r="G3518" s="380" t="n">
        <x:f>--(F3518&lt;='Estimator'!$B$7)</x:f>
        <x:v>0</x:v>
      </x:c>
      <x:c r="H3518" s="381" t="n">
        <x:f>SUMIFS('Climate Data'!$G$7:$G$366,'Climate Data'!$A$7:$A$366,'Estimator'!$B$4,'Climate Data'!$B$7:$B$366,C3518)</x:f>
        <x:v>0.47274749721913234</x:v>
      </x:c>
      <x:c r="I3518" s="382" t="n">
        <x:f>SUMIFS('Climate Data'!$H$7:$H$366,'Climate Data'!$A$7:$A$366,'Estimator'!$B$4,'Climate Data'!$B$7:$B$366,C3518)</x:f>
        <x:v>7.9971764705882356</x:v>
      </x:c>
      <x:c r="J3518" s="381" t="n">
        <x:f>SUMIFS('Wind Proxy'!$H$8:$H$19,'Wind Proxy'!$A$8:$A$19,'Estimator'!$B$4,'Wind Proxy'!$B$8:$B$19,C3518)</x:f>
        <x:v>0.13739545997610514</x:v>
      </x:c>
    </x:row>
    <x:row r="3519">
      <x:c r="A3519" s="379" t="n">
        <x:v>49170</x:v>
      </x:c>
      <x:c r="B3519" s="380" t="n">
        <x:v>2034</x:v>
      </x:c>
      <x:c r="C3519" s="380" t="n">
        <x:v>8</x:v>
      </x:c>
      <x:c r="D3519" s="380" t="str">
        <x:v>Aug</x:v>
      </x:c>
      <x:c r="E3519" s="380" t="n">
        <x:v>14</x:v>
      </x:c>
      <x:c r="F3519" s="380" t="n">
        <x:v>1</x:v>
      </x:c>
      <x:c r="G3519" s="380" t="n">
        <x:f>--(F3519&lt;='Estimator'!$B$7)</x:f>
        <x:v>1</x:v>
      </x:c>
      <x:c r="H3519" s="381" t="n">
        <x:f>SUMIFS('Climate Data'!$G$7:$G$366,'Climate Data'!$A$7:$A$366,'Estimator'!$B$4,'Climate Data'!$B$7:$B$366,C3519)</x:f>
        <x:v>0.47274749721913234</x:v>
      </x:c>
      <x:c r="I3519" s="382" t="n">
        <x:f>SUMIFS('Climate Data'!$H$7:$H$366,'Climate Data'!$A$7:$A$366,'Estimator'!$B$4,'Climate Data'!$B$7:$B$366,C3519)</x:f>
        <x:v>7.9971764705882356</x:v>
      </x:c>
      <x:c r="J3519" s="381" t="n">
        <x:f>SUMIFS('Wind Proxy'!$H$8:$H$19,'Wind Proxy'!$A$8:$A$19,'Estimator'!$B$4,'Wind Proxy'!$B$8:$B$19,C3519)</x:f>
        <x:v>0.13739545997610514</x:v>
      </x:c>
    </x:row>
    <x:row r="3520">
      <x:c r="A3520" s="379" t="n">
        <x:v>49171</x:v>
      </x:c>
      <x:c r="B3520" s="380" t="n">
        <x:v>2034</x:v>
      </x:c>
      <x:c r="C3520" s="380" t="n">
        <x:v>8</x:v>
      </x:c>
      <x:c r="D3520" s="380" t="str">
        <x:v>Aug</x:v>
      </x:c>
      <x:c r="E3520" s="380" t="n">
        <x:v>15</x:v>
      </x:c>
      <x:c r="F3520" s="380" t="n">
        <x:v>2</x:v>
      </x:c>
      <x:c r="G3520" s="380" t="n">
        <x:f>--(F3520&lt;='Estimator'!$B$7)</x:f>
        <x:v>1</x:v>
      </x:c>
      <x:c r="H3520" s="381" t="n">
        <x:f>SUMIFS('Climate Data'!$G$7:$G$366,'Climate Data'!$A$7:$A$366,'Estimator'!$B$4,'Climate Data'!$B$7:$B$366,C3520)</x:f>
        <x:v>0.47274749721913234</x:v>
      </x:c>
      <x:c r="I3520" s="382" t="n">
        <x:f>SUMIFS('Climate Data'!$H$7:$H$366,'Climate Data'!$A$7:$A$366,'Estimator'!$B$4,'Climate Data'!$B$7:$B$366,C3520)</x:f>
        <x:v>7.9971764705882356</x:v>
      </x:c>
      <x:c r="J3520" s="381" t="n">
        <x:f>SUMIFS('Wind Proxy'!$H$8:$H$19,'Wind Proxy'!$A$8:$A$19,'Estimator'!$B$4,'Wind Proxy'!$B$8:$B$19,C3520)</x:f>
        <x:v>0.13739545997610514</x:v>
      </x:c>
    </x:row>
    <x:row r="3521">
      <x:c r="A3521" s="379" t="n">
        <x:v>49172</x:v>
      </x:c>
      <x:c r="B3521" s="380" t="n">
        <x:v>2034</x:v>
      </x:c>
      <x:c r="C3521" s="380" t="n">
        <x:v>8</x:v>
      </x:c>
      <x:c r="D3521" s="380" t="str">
        <x:v>Aug</x:v>
      </x:c>
      <x:c r="E3521" s="380" t="n">
        <x:v>16</x:v>
      </x:c>
      <x:c r="F3521" s="380" t="n">
        <x:v>3</x:v>
      </x:c>
      <x:c r="G3521" s="380" t="n">
        <x:f>--(F3521&lt;='Estimator'!$B$7)</x:f>
        <x:v>1</x:v>
      </x:c>
      <x:c r="H3521" s="381" t="n">
        <x:f>SUMIFS('Climate Data'!$G$7:$G$366,'Climate Data'!$A$7:$A$366,'Estimator'!$B$4,'Climate Data'!$B$7:$B$366,C3521)</x:f>
        <x:v>0.47274749721913234</x:v>
      </x:c>
      <x:c r="I3521" s="382" t="n">
        <x:f>SUMIFS('Climate Data'!$H$7:$H$366,'Climate Data'!$A$7:$A$366,'Estimator'!$B$4,'Climate Data'!$B$7:$B$366,C3521)</x:f>
        <x:v>7.9971764705882356</x:v>
      </x:c>
      <x:c r="J3521" s="381" t="n">
        <x:f>SUMIFS('Wind Proxy'!$H$8:$H$19,'Wind Proxy'!$A$8:$A$19,'Estimator'!$B$4,'Wind Proxy'!$B$8:$B$19,C3521)</x:f>
        <x:v>0.13739545997610514</x:v>
      </x:c>
    </x:row>
    <x:row r="3522">
      <x:c r="A3522" s="379" t="n">
        <x:v>49173</x:v>
      </x:c>
      <x:c r="B3522" s="380" t="n">
        <x:v>2034</x:v>
      </x:c>
      <x:c r="C3522" s="380" t="n">
        <x:v>8</x:v>
      </x:c>
      <x:c r="D3522" s="380" t="str">
        <x:v>Aug</x:v>
      </x:c>
      <x:c r="E3522" s="380" t="n">
        <x:v>17</x:v>
      </x:c>
      <x:c r="F3522" s="380" t="n">
        <x:v>4</x:v>
      </x:c>
      <x:c r="G3522" s="380" t="n">
        <x:f>--(F3522&lt;='Estimator'!$B$7)</x:f>
        <x:v>1</x:v>
      </x:c>
      <x:c r="H3522" s="381" t="n">
        <x:f>SUMIFS('Climate Data'!$G$7:$G$366,'Climate Data'!$A$7:$A$366,'Estimator'!$B$4,'Climate Data'!$B$7:$B$366,C3522)</x:f>
        <x:v>0.47274749721913234</x:v>
      </x:c>
      <x:c r="I3522" s="382" t="n">
        <x:f>SUMIFS('Climate Data'!$H$7:$H$366,'Climate Data'!$A$7:$A$366,'Estimator'!$B$4,'Climate Data'!$B$7:$B$366,C3522)</x:f>
        <x:v>7.9971764705882356</x:v>
      </x:c>
      <x:c r="J3522" s="381" t="n">
        <x:f>SUMIFS('Wind Proxy'!$H$8:$H$19,'Wind Proxy'!$A$8:$A$19,'Estimator'!$B$4,'Wind Proxy'!$B$8:$B$19,C3522)</x:f>
        <x:v>0.13739545997610514</x:v>
      </x:c>
    </x:row>
    <x:row r="3523">
      <x:c r="A3523" s="379" t="n">
        <x:v>49174</x:v>
      </x:c>
      <x:c r="B3523" s="380" t="n">
        <x:v>2034</x:v>
      </x:c>
      <x:c r="C3523" s="380" t="n">
        <x:v>8</x:v>
      </x:c>
      <x:c r="D3523" s="380" t="str">
        <x:v>Aug</x:v>
      </x:c>
      <x:c r="E3523" s="380" t="n">
        <x:v>18</x:v>
      </x:c>
      <x:c r="F3523" s="380" t="n">
        <x:v>5</x:v>
      </x:c>
      <x:c r="G3523" s="380" t="n">
        <x:f>--(F3523&lt;='Estimator'!$B$7)</x:f>
        <x:v>1</x:v>
      </x:c>
      <x:c r="H3523" s="381" t="n">
        <x:f>SUMIFS('Climate Data'!$G$7:$G$366,'Climate Data'!$A$7:$A$366,'Estimator'!$B$4,'Climate Data'!$B$7:$B$366,C3523)</x:f>
        <x:v>0.47274749721913234</x:v>
      </x:c>
      <x:c r="I3523" s="382" t="n">
        <x:f>SUMIFS('Climate Data'!$H$7:$H$366,'Climate Data'!$A$7:$A$366,'Estimator'!$B$4,'Climate Data'!$B$7:$B$366,C3523)</x:f>
        <x:v>7.9971764705882356</x:v>
      </x:c>
      <x:c r="J3523" s="381" t="n">
        <x:f>SUMIFS('Wind Proxy'!$H$8:$H$19,'Wind Proxy'!$A$8:$A$19,'Estimator'!$B$4,'Wind Proxy'!$B$8:$B$19,C3523)</x:f>
        <x:v>0.13739545997610514</x:v>
      </x:c>
    </x:row>
    <x:row r="3524">
      <x:c r="A3524" s="379" t="n">
        <x:v>49175</x:v>
      </x:c>
      <x:c r="B3524" s="380" t="n">
        <x:v>2034</x:v>
      </x:c>
      <x:c r="C3524" s="380" t="n">
        <x:v>8</x:v>
      </x:c>
      <x:c r="D3524" s="380" t="str">
        <x:v>Aug</x:v>
      </x:c>
      <x:c r="E3524" s="380" t="n">
        <x:v>19</x:v>
      </x:c>
      <x:c r="F3524" s="380" t="n">
        <x:v>6</x:v>
      </x:c>
      <x:c r="G3524" s="380" t="n">
        <x:f>--(F3524&lt;='Estimator'!$B$7)</x:f>
        <x:v>0</x:v>
      </x:c>
      <x:c r="H3524" s="381" t="n">
        <x:f>SUMIFS('Climate Data'!$G$7:$G$366,'Climate Data'!$A$7:$A$366,'Estimator'!$B$4,'Climate Data'!$B$7:$B$366,C3524)</x:f>
        <x:v>0.47274749721913234</x:v>
      </x:c>
      <x:c r="I3524" s="382" t="n">
        <x:f>SUMIFS('Climate Data'!$H$7:$H$366,'Climate Data'!$A$7:$A$366,'Estimator'!$B$4,'Climate Data'!$B$7:$B$366,C3524)</x:f>
        <x:v>7.9971764705882356</x:v>
      </x:c>
      <x:c r="J3524" s="381" t="n">
        <x:f>SUMIFS('Wind Proxy'!$H$8:$H$19,'Wind Proxy'!$A$8:$A$19,'Estimator'!$B$4,'Wind Proxy'!$B$8:$B$19,C3524)</x:f>
        <x:v>0.13739545997610514</x:v>
      </x:c>
    </x:row>
    <x:row r="3525">
      <x:c r="A3525" s="379" t="n">
        <x:v>49176</x:v>
      </x:c>
      <x:c r="B3525" s="380" t="n">
        <x:v>2034</x:v>
      </x:c>
      <x:c r="C3525" s="380" t="n">
        <x:v>8</x:v>
      </x:c>
      <x:c r="D3525" s="380" t="str">
        <x:v>Aug</x:v>
      </x:c>
      <x:c r="E3525" s="380" t="n">
        <x:v>20</x:v>
      </x:c>
      <x:c r="F3525" s="380" t="n">
        <x:v>7</x:v>
      </x:c>
      <x:c r="G3525" s="380" t="n">
        <x:f>--(F3525&lt;='Estimator'!$B$7)</x:f>
        <x:v>0</x:v>
      </x:c>
      <x:c r="H3525" s="381" t="n">
        <x:f>SUMIFS('Climate Data'!$G$7:$G$366,'Climate Data'!$A$7:$A$366,'Estimator'!$B$4,'Climate Data'!$B$7:$B$366,C3525)</x:f>
        <x:v>0.47274749721913234</x:v>
      </x:c>
      <x:c r="I3525" s="382" t="n">
        <x:f>SUMIFS('Climate Data'!$H$7:$H$366,'Climate Data'!$A$7:$A$366,'Estimator'!$B$4,'Climate Data'!$B$7:$B$366,C3525)</x:f>
        <x:v>7.9971764705882356</x:v>
      </x:c>
      <x:c r="J3525" s="381" t="n">
        <x:f>SUMIFS('Wind Proxy'!$H$8:$H$19,'Wind Proxy'!$A$8:$A$19,'Estimator'!$B$4,'Wind Proxy'!$B$8:$B$19,C3525)</x:f>
        <x:v>0.13739545997610514</x:v>
      </x:c>
    </x:row>
    <x:row r="3526">
      <x:c r="A3526" s="379" t="n">
        <x:v>49177</x:v>
      </x:c>
      <x:c r="B3526" s="380" t="n">
        <x:v>2034</x:v>
      </x:c>
      <x:c r="C3526" s="380" t="n">
        <x:v>8</x:v>
      </x:c>
      <x:c r="D3526" s="380" t="str">
        <x:v>Aug</x:v>
      </x:c>
      <x:c r="E3526" s="380" t="n">
        <x:v>21</x:v>
      </x:c>
      <x:c r="F3526" s="380" t="n">
        <x:v>1</x:v>
      </x:c>
      <x:c r="G3526" s="380" t="n">
        <x:f>--(F3526&lt;='Estimator'!$B$7)</x:f>
        <x:v>1</x:v>
      </x:c>
      <x:c r="H3526" s="381" t="n">
        <x:f>SUMIFS('Climate Data'!$G$7:$G$366,'Climate Data'!$A$7:$A$366,'Estimator'!$B$4,'Climate Data'!$B$7:$B$366,C3526)</x:f>
        <x:v>0.47274749721913234</x:v>
      </x:c>
      <x:c r="I3526" s="382" t="n">
        <x:f>SUMIFS('Climate Data'!$H$7:$H$366,'Climate Data'!$A$7:$A$366,'Estimator'!$B$4,'Climate Data'!$B$7:$B$366,C3526)</x:f>
        <x:v>7.9971764705882356</x:v>
      </x:c>
      <x:c r="J3526" s="381" t="n">
        <x:f>SUMIFS('Wind Proxy'!$H$8:$H$19,'Wind Proxy'!$A$8:$A$19,'Estimator'!$B$4,'Wind Proxy'!$B$8:$B$19,C3526)</x:f>
        <x:v>0.13739545997610514</x:v>
      </x:c>
    </x:row>
    <x:row r="3527">
      <x:c r="A3527" s="379" t="n">
        <x:v>49178</x:v>
      </x:c>
      <x:c r="B3527" s="380" t="n">
        <x:v>2034</x:v>
      </x:c>
      <x:c r="C3527" s="380" t="n">
        <x:v>8</x:v>
      </x:c>
      <x:c r="D3527" s="380" t="str">
        <x:v>Aug</x:v>
      </x:c>
      <x:c r="E3527" s="380" t="n">
        <x:v>22</x:v>
      </x:c>
      <x:c r="F3527" s="380" t="n">
        <x:v>2</x:v>
      </x:c>
      <x:c r="G3527" s="380" t="n">
        <x:f>--(F3527&lt;='Estimator'!$B$7)</x:f>
        <x:v>1</x:v>
      </x:c>
      <x:c r="H3527" s="381" t="n">
        <x:f>SUMIFS('Climate Data'!$G$7:$G$366,'Climate Data'!$A$7:$A$366,'Estimator'!$B$4,'Climate Data'!$B$7:$B$366,C3527)</x:f>
        <x:v>0.47274749721913234</x:v>
      </x:c>
      <x:c r="I3527" s="382" t="n">
        <x:f>SUMIFS('Climate Data'!$H$7:$H$366,'Climate Data'!$A$7:$A$366,'Estimator'!$B$4,'Climate Data'!$B$7:$B$366,C3527)</x:f>
        <x:v>7.9971764705882356</x:v>
      </x:c>
      <x:c r="J3527" s="381" t="n">
        <x:f>SUMIFS('Wind Proxy'!$H$8:$H$19,'Wind Proxy'!$A$8:$A$19,'Estimator'!$B$4,'Wind Proxy'!$B$8:$B$19,C3527)</x:f>
        <x:v>0.13739545997610514</x:v>
      </x:c>
    </x:row>
    <x:row r="3528">
      <x:c r="A3528" s="379" t="n">
        <x:v>49179</x:v>
      </x:c>
      <x:c r="B3528" s="380" t="n">
        <x:v>2034</x:v>
      </x:c>
      <x:c r="C3528" s="380" t="n">
        <x:v>8</x:v>
      </x:c>
      <x:c r="D3528" s="380" t="str">
        <x:v>Aug</x:v>
      </x:c>
      <x:c r="E3528" s="380" t="n">
        <x:v>23</x:v>
      </x:c>
      <x:c r="F3528" s="380" t="n">
        <x:v>3</x:v>
      </x:c>
      <x:c r="G3528" s="380" t="n">
        <x:f>--(F3528&lt;='Estimator'!$B$7)</x:f>
        <x:v>1</x:v>
      </x:c>
      <x:c r="H3528" s="381" t="n">
        <x:f>SUMIFS('Climate Data'!$G$7:$G$366,'Climate Data'!$A$7:$A$366,'Estimator'!$B$4,'Climate Data'!$B$7:$B$366,C3528)</x:f>
        <x:v>0.47274749721913234</x:v>
      </x:c>
      <x:c r="I3528" s="382" t="n">
        <x:f>SUMIFS('Climate Data'!$H$7:$H$366,'Climate Data'!$A$7:$A$366,'Estimator'!$B$4,'Climate Data'!$B$7:$B$366,C3528)</x:f>
        <x:v>7.9971764705882356</x:v>
      </x:c>
      <x:c r="J3528" s="381" t="n">
        <x:f>SUMIFS('Wind Proxy'!$H$8:$H$19,'Wind Proxy'!$A$8:$A$19,'Estimator'!$B$4,'Wind Proxy'!$B$8:$B$19,C3528)</x:f>
        <x:v>0.13739545997610514</x:v>
      </x:c>
    </x:row>
    <x:row r="3529">
      <x:c r="A3529" s="379" t="n">
        <x:v>49180</x:v>
      </x:c>
      <x:c r="B3529" s="380" t="n">
        <x:v>2034</x:v>
      </x:c>
      <x:c r="C3529" s="380" t="n">
        <x:v>8</x:v>
      </x:c>
      <x:c r="D3529" s="380" t="str">
        <x:v>Aug</x:v>
      </x:c>
      <x:c r="E3529" s="380" t="n">
        <x:v>24</x:v>
      </x:c>
      <x:c r="F3529" s="380" t="n">
        <x:v>4</x:v>
      </x:c>
      <x:c r="G3529" s="380" t="n">
        <x:f>--(F3529&lt;='Estimator'!$B$7)</x:f>
        <x:v>1</x:v>
      </x:c>
      <x:c r="H3529" s="381" t="n">
        <x:f>SUMIFS('Climate Data'!$G$7:$G$366,'Climate Data'!$A$7:$A$366,'Estimator'!$B$4,'Climate Data'!$B$7:$B$366,C3529)</x:f>
        <x:v>0.47274749721913234</x:v>
      </x:c>
      <x:c r="I3529" s="382" t="n">
        <x:f>SUMIFS('Climate Data'!$H$7:$H$366,'Climate Data'!$A$7:$A$366,'Estimator'!$B$4,'Climate Data'!$B$7:$B$366,C3529)</x:f>
        <x:v>7.9971764705882356</x:v>
      </x:c>
      <x:c r="J3529" s="381" t="n">
        <x:f>SUMIFS('Wind Proxy'!$H$8:$H$19,'Wind Proxy'!$A$8:$A$19,'Estimator'!$B$4,'Wind Proxy'!$B$8:$B$19,C3529)</x:f>
        <x:v>0.13739545997610514</x:v>
      </x:c>
    </x:row>
    <x:row r="3530">
      <x:c r="A3530" s="379" t="n">
        <x:v>49181</x:v>
      </x:c>
      <x:c r="B3530" s="380" t="n">
        <x:v>2034</x:v>
      </x:c>
      <x:c r="C3530" s="380" t="n">
        <x:v>8</x:v>
      </x:c>
      <x:c r="D3530" s="380" t="str">
        <x:v>Aug</x:v>
      </x:c>
      <x:c r="E3530" s="380" t="n">
        <x:v>25</x:v>
      </x:c>
      <x:c r="F3530" s="380" t="n">
        <x:v>5</x:v>
      </x:c>
      <x:c r="G3530" s="380" t="n">
        <x:f>--(F3530&lt;='Estimator'!$B$7)</x:f>
        <x:v>1</x:v>
      </x:c>
      <x:c r="H3530" s="381" t="n">
        <x:f>SUMIFS('Climate Data'!$G$7:$G$366,'Climate Data'!$A$7:$A$366,'Estimator'!$B$4,'Climate Data'!$B$7:$B$366,C3530)</x:f>
        <x:v>0.47274749721913234</x:v>
      </x:c>
      <x:c r="I3530" s="382" t="n">
        <x:f>SUMIFS('Climate Data'!$H$7:$H$366,'Climate Data'!$A$7:$A$366,'Estimator'!$B$4,'Climate Data'!$B$7:$B$366,C3530)</x:f>
        <x:v>7.9971764705882356</x:v>
      </x:c>
      <x:c r="J3530" s="381" t="n">
        <x:f>SUMIFS('Wind Proxy'!$H$8:$H$19,'Wind Proxy'!$A$8:$A$19,'Estimator'!$B$4,'Wind Proxy'!$B$8:$B$19,C3530)</x:f>
        <x:v>0.13739545997610514</x:v>
      </x:c>
    </x:row>
    <x:row r="3531">
      <x:c r="A3531" s="379" t="n">
        <x:v>49182</x:v>
      </x:c>
      <x:c r="B3531" s="380" t="n">
        <x:v>2034</x:v>
      </x:c>
      <x:c r="C3531" s="380" t="n">
        <x:v>8</x:v>
      </x:c>
      <x:c r="D3531" s="380" t="str">
        <x:v>Aug</x:v>
      </x:c>
      <x:c r="E3531" s="380" t="n">
        <x:v>26</x:v>
      </x:c>
      <x:c r="F3531" s="380" t="n">
        <x:v>6</x:v>
      </x:c>
      <x:c r="G3531" s="380" t="n">
        <x:f>--(F3531&lt;='Estimator'!$B$7)</x:f>
        <x:v>0</x:v>
      </x:c>
      <x:c r="H3531" s="381" t="n">
        <x:f>SUMIFS('Climate Data'!$G$7:$G$366,'Climate Data'!$A$7:$A$366,'Estimator'!$B$4,'Climate Data'!$B$7:$B$366,C3531)</x:f>
        <x:v>0.47274749721913234</x:v>
      </x:c>
      <x:c r="I3531" s="382" t="n">
        <x:f>SUMIFS('Climate Data'!$H$7:$H$366,'Climate Data'!$A$7:$A$366,'Estimator'!$B$4,'Climate Data'!$B$7:$B$366,C3531)</x:f>
        <x:v>7.9971764705882356</x:v>
      </x:c>
      <x:c r="J3531" s="381" t="n">
        <x:f>SUMIFS('Wind Proxy'!$H$8:$H$19,'Wind Proxy'!$A$8:$A$19,'Estimator'!$B$4,'Wind Proxy'!$B$8:$B$19,C3531)</x:f>
        <x:v>0.13739545997610514</x:v>
      </x:c>
    </x:row>
    <x:row r="3532">
      <x:c r="A3532" s="379" t="n">
        <x:v>49183</x:v>
      </x:c>
      <x:c r="B3532" s="380" t="n">
        <x:v>2034</x:v>
      </x:c>
      <x:c r="C3532" s="380" t="n">
        <x:v>8</x:v>
      </x:c>
      <x:c r="D3532" s="380" t="str">
        <x:v>Aug</x:v>
      </x:c>
      <x:c r="E3532" s="380" t="n">
        <x:v>27</x:v>
      </x:c>
      <x:c r="F3532" s="380" t="n">
        <x:v>7</x:v>
      </x:c>
      <x:c r="G3532" s="380" t="n">
        <x:f>--(F3532&lt;='Estimator'!$B$7)</x:f>
        <x:v>0</x:v>
      </x:c>
      <x:c r="H3532" s="381" t="n">
        <x:f>SUMIFS('Climate Data'!$G$7:$G$366,'Climate Data'!$A$7:$A$366,'Estimator'!$B$4,'Climate Data'!$B$7:$B$366,C3532)</x:f>
        <x:v>0.47274749721913234</x:v>
      </x:c>
      <x:c r="I3532" s="382" t="n">
        <x:f>SUMIFS('Climate Data'!$H$7:$H$366,'Climate Data'!$A$7:$A$366,'Estimator'!$B$4,'Climate Data'!$B$7:$B$366,C3532)</x:f>
        <x:v>7.9971764705882356</x:v>
      </x:c>
      <x:c r="J3532" s="381" t="n">
        <x:f>SUMIFS('Wind Proxy'!$H$8:$H$19,'Wind Proxy'!$A$8:$A$19,'Estimator'!$B$4,'Wind Proxy'!$B$8:$B$19,C3532)</x:f>
        <x:v>0.13739545997610514</x:v>
      </x:c>
    </x:row>
    <x:row r="3533">
      <x:c r="A3533" s="379" t="n">
        <x:v>49184</x:v>
      </x:c>
      <x:c r="B3533" s="380" t="n">
        <x:v>2034</x:v>
      </x:c>
      <x:c r="C3533" s="380" t="n">
        <x:v>8</x:v>
      </x:c>
      <x:c r="D3533" s="380" t="str">
        <x:v>Aug</x:v>
      </x:c>
      <x:c r="E3533" s="380" t="n">
        <x:v>28</x:v>
      </x:c>
      <x:c r="F3533" s="380" t="n">
        <x:v>1</x:v>
      </x:c>
      <x:c r="G3533" s="380" t="n">
        <x:f>--(F3533&lt;='Estimator'!$B$7)</x:f>
        <x:v>1</x:v>
      </x:c>
      <x:c r="H3533" s="381" t="n">
        <x:f>SUMIFS('Climate Data'!$G$7:$G$366,'Climate Data'!$A$7:$A$366,'Estimator'!$B$4,'Climate Data'!$B$7:$B$366,C3533)</x:f>
        <x:v>0.47274749721913234</x:v>
      </x:c>
      <x:c r="I3533" s="382" t="n">
        <x:f>SUMIFS('Climate Data'!$H$7:$H$366,'Climate Data'!$A$7:$A$366,'Estimator'!$B$4,'Climate Data'!$B$7:$B$366,C3533)</x:f>
        <x:v>7.9971764705882356</x:v>
      </x:c>
      <x:c r="J3533" s="381" t="n">
        <x:f>SUMIFS('Wind Proxy'!$H$8:$H$19,'Wind Proxy'!$A$8:$A$19,'Estimator'!$B$4,'Wind Proxy'!$B$8:$B$19,C3533)</x:f>
        <x:v>0.13739545997610514</x:v>
      </x:c>
    </x:row>
    <x:row r="3534">
      <x:c r="A3534" s="379" t="n">
        <x:v>49185</x:v>
      </x:c>
      <x:c r="B3534" s="380" t="n">
        <x:v>2034</x:v>
      </x:c>
      <x:c r="C3534" s="380" t="n">
        <x:v>8</x:v>
      </x:c>
      <x:c r="D3534" s="380" t="str">
        <x:v>Aug</x:v>
      </x:c>
      <x:c r="E3534" s="380" t="n">
        <x:v>29</x:v>
      </x:c>
      <x:c r="F3534" s="380" t="n">
        <x:v>2</x:v>
      </x:c>
      <x:c r="G3534" s="380" t="n">
        <x:f>--(F3534&lt;='Estimator'!$B$7)</x:f>
        <x:v>1</x:v>
      </x:c>
      <x:c r="H3534" s="381" t="n">
        <x:f>SUMIFS('Climate Data'!$G$7:$G$366,'Climate Data'!$A$7:$A$366,'Estimator'!$B$4,'Climate Data'!$B$7:$B$366,C3534)</x:f>
        <x:v>0.47274749721913234</x:v>
      </x:c>
      <x:c r="I3534" s="382" t="n">
        <x:f>SUMIFS('Climate Data'!$H$7:$H$366,'Climate Data'!$A$7:$A$366,'Estimator'!$B$4,'Climate Data'!$B$7:$B$366,C3534)</x:f>
        <x:v>7.9971764705882356</x:v>
      </x:c>
      <x:c r="J3534" s="381" t="n">
        <x:f>SUMIFS('Wind Proxy'!$H$8:$H$19,'Wind Proxy'!$A$8:$A$19,'Estimator'!$B$4,'Wind Proxy'!$B$8:$B$19,C3534)</x:f>
        <x:v>0.13739545997610514</x:v>
      </x:c>
    </x:row>
    <x:row r="3535">
      <x:c r="A3535" s="379" t="n">
        <x:v>49186</x:v>
      </x:c>
      <x:c r="B3535" s="380" t="n">
        <x:v>2034</x:v>
      </x:c>
      <x:c r="C3535" s="380" t="n">
        <x:v>8</x:v>
      </x:c>
      <x:c r="D3535" s="380" t="str">
        <x:v>Aug</x:v>
      </x:c>
      <x:c r="E3535" s="380" t="n">
        <x:v>30</x:v>
      </x:c>
      <x:c r="F3535" s="380" t="n">
        <x:v>3</x:v>
      </x:c>
      <x:c r="G3535" s="380" t="n">
        <x:f>--(F3535&lt;='Estimator'!$B$7)</x:f>
        <x:v>1</x:v>
      </x:c>
      <x:c r="H3535" s="381" t="n">
        <x:f>SUMIFS('Climate Data'!$G$7:$G$366,'Climate Data'!$A$7:$A$366,'Estimator'!$B$4,'Climate Data'!$B$7:$B$366,C3535)</x:f>
        <x:v>0.47274749721913234</x:v>
      </x:c>
      <x:c r="I3535" s="382" t="n">
        <x:f>SUMIFS('Climate Data'!$H$7:$H$366,'Climate Data'!$A$7:$A$366,'Estimator'!$B$4,'Climate Data'!$B$7:$B$366,C3535)</x:f>
        <x:v>7.9971764705882356</x:v>
      </x:c>
      <x:c r="J3535" s="381" t="n">
        <x:f>SUMIFS('Wind Proxy'!$H$8:$H$19,'Wind Proxy'!$A$8:$A$19,'Estimator'!$B$4,'Wind Proxy'!$B$8:$B$19,C3535)</x:f>
        <x:v>0.13739545997610514</x:v>
      </x:c>
    </x:row>
    <x:row r="3536">
      <x:c r="A3536" s="379" t="n">
        <x:v>49187</x:v>
      </x:c>
      <x:c r="B3536" s="380" t="n">
        <x:v>2034</x:v>
      </x:c>
      <x:c r="C3536" s="380" t="n">
        <x:v>8</x:v>
      </x:c>
      <x:c r="D3536" s="380" t="str">
        <x:v>Aug</x:v>
      </x:c>
      <x:c r="E3536" s="380" t="n">
        <x:v>31</x:v>
      </x:c>
      <x:c r="F3536" s="380" t="n">
        <x:v>4</x:v>
      </x:c>
      <x:c r="G3536" s="380" t="n">
        <x:f>--(F3536&lt;='Estimator'!$B$7)</x:f>
        <x:v>1</x:v>
      </x:c>
      <x:c r="H3536" s="381" t="n">
        <x:f>SUMIFS('Climate Data'!$G$7:$G$366,'Climate Data'!$A$7:$A$366,'Estimator'!$B$4,'Climate Data'!$B$7:$B$366,C3536)</x:f>
        <x:v>0.47274749721913234</x:v>
      </x:c>
      <x:c r="I3536" s="382" t="n">
        <x:f>SUMIFS('Climate Data'!$H$7:$H$366,'Climate Data'!$A$7:$A$366,'Estimator'!$B$4,'Climate Data'!$B$7:$B$366,C3536)</x:f>
        <x:v>7.9971764705882356</x:v>
      </x:c>
      <x:c r="J3536" s="381" t="n">
        <x:f>SUMIFS('Wind Proxy'!$H$8:$H$19,'Wind Proxy'!$A$8:$A$19,'Estimator'!$B$4,'Wind Proxy'!$B$8:$B$19,C3536)</x:f>
        <x:v>0.13739545997610514</x:v>
      </x:c>
    </x:row>
    <x:row r="3537">
      <x:c r="A3537" s="379" t="n">
        <x:v>49188</x:v>
      </x:c>
      <x:c r="B3537" s="380" t="n">
        <x:v>2034</x:v>
      </x:c>
      <x:c r="C3537" s="380" t="n">
        <x:v>9</x:v>
      </x:c>
      <x:c r="D3537" s="380" t="str">
        <x:v>Sep</x:v>
      </x:c>
      <x:c r="E3537" s="380" t="n">
        <x:v>1</x:v>
      </x:c>
      <x:c r="F3537" s="380" t="n">
        <x:v>5</x:v>
      </x:c>
      <x:c r="G3537" s="380" t="n">
        <x:f>--(F3537&lt;='Estimator'!$B$7)</x:f>
        <x:v>1</x:v>
      </x:c>
      <x:c r="H3537" s="381" t="n">
        <x:f>SUMIFS('Climate Data'!$G$7:$G$366,'Climate Data'!$A$7:$A$366,'Estimator'!$B$4,'Climate Data'!$B$7:$B$366,C3537)</x:f>
        <x:v>0.4160919540229885</x:v>
      </x:c>
      <x:c r="I3537" s="382" t="n">
        <x:f>SUMIFS('Climate Data'!$H$7:$H$366,'Climate Data'!$A$7:$A$366,'Estimator'!$B$4,'Climate Data'!$B$7:$B$366,C3537)</x:f>
        <x:v>8.019060773480662</x:v>
      </x:c>
      <x:c r="J3537" s="381" t="n">
        <x:f>SUMIFS('Wind Proxy'!$H$8:$H$19,'Wind Proxy'!$A$8:$A$19,'Estimator'!$B$4,'Wind Proxy'!$B$8:$B$19,C3537)</x:f>
        <x:v>0.22222222222222224</x:v>
      </x:c>
    </x:row>
    <x:row r="3538">
      <x:c r="A3538" s="379" t="n">
        <x:v>49189</x:v>
      </x:c>
      <x:c r="B3538" s="380" t="n">
        <x:v>2034</x:v>
      </x:c>
      <x:c r="C3538" s="380" t="n">
        <x:v>9</x:v>
      </x:c>
      <x:c r="D3538" s="380" t="str">
        <x:v>Sep</x:v>
      </x:c>
      <x:c r="E3538" s="380" t="n">
        <x:v>2</x:v>
      </x:c>
      <x:c r="F3538" s="380" t="n">
        <x:v>6</x:v>
      </x:c>
      <x:c r="G3538" s="380" t="n">
        <x:f>--(F3538&lt;='Estimator'!$B$7)</x:f>
        <x:v>0</x:v>
      </x:c>
      <x:c r="H3538" s="381" t="n">
        <x:f>SUMIFS('Climate Data'!$G$7:$G$366,'Climate Data'!$A$7:$A$366,'Estimator'!$B$4,'Climate Data'!$B$7:$B$366,C3538)</x:f>
        <x:v>0.4160919540229885</x:v>
      </x:c>
      <x:c r="I3538" s="382" t="n">
        <x:f>SUMIFS('Climate Data'!$H$7:$H$366,'Climate Data'!$A$7:$A$366,'Estimator'!$B$4,'Climate Data'!$B$7:$B$366,C3538)</x:f>
        <x:v>8.019060773480662</x:v>
      </x:c>
      <x:c r="J3538" s="381" t="n">
        <x:f>SUMIFS('Wind Proxy'!$H$8:$H$19,'Wind Proxy'!$A$8:$A$19,'Estimator'!$B$4,'Wind Proxy'!$B$8:$B$19,C3538)</x:f>
        <x:v>0.22222222222222224</x:v>
      </x:c>
    </x:row>
    <x:row r="3539">
      <x:c r="A3539" s="379" t="n">
        <x:v>49190</x:v>
      </x:c>
      <x:c r="B3539" s="380" t="n">
        <x:v>2034</x:v>
      </x:c>
      <x:c r="C3539" s="380" t="n">
        <x:v>9</x:v>
      </x:c>
      <x:c r="D3539" s="380" t="str">
        <x:v>Sep</x:v>
      </x:c>
      <x:c r="E3539" s="380" t="n">
        <x:v>3</x:v>
      </x:c>
      <x:c r="F3539" s="380" t="n">
        <x:v>7</x:v>
      </x:c>
      <x:c r="G3539" s="380" t="n">
        <x:f>--(F3539&lt;='Estimator'!$B$7)</x:f>
        <x:v>0</x:v>
      </x:c>
      <x:c r="H3539" s="381" t="n">
        <x:f>SUMIFS('Climate Data'!$G$7:$G$366,'Climate Data'!$A$7:$A$366,'Estimator'!$B$4,'Climate Data'!$B$7:$B$366,C3539)</x:f>
        <x:v>0.4160919540229885</x:v>
      </x:c>
      <x:c r="I3539" s="382" t="n">
        <x:f>SUMIFS('Climate Data'!$H$7:$H$366,'Climate Data'!$A$7:$A$366,'Estimator'!$B$4,'Climate Data'!$B$7:$B$366,C3539)</x:f>
        <x:v>8.019060773480662</x:v>
      </x:c>
      <x:c r="J3539" s="381" t="n">
        <x:f>SUMIFS('Wind Proxy'!$H$8:$H$19,'Wind Proxy'!$A$8:$A$19,'Estimator'!$B$4,'Wind Proxy'!$B$8:$B$19,C3539)</x:f>
        <x:v>0.22222222222222224</x:v>
      </x:c>
    </x:row>
    <x:row r="3540">
      <x:c r="A3540" s="379" t="n">
        <x:v>49191</x:v>
      </x:c>
      <x:c r="B3540" s="380" t="n">
        <x:v>2034</x:v>
      </x:c>
      <x:c r="C3540" s="380" t="n">
        <x:v>9</x:v>
      </x:c>
      <x:c r="D3540" s="380" t="str">
        <x:v>Sep</x:v>
      </x:c>
      <x:c r="E3540" s="380" t="n">
        <x:v>4</x:v>
      </x:c>
      <x:c r="F3540" s="380" t="n">
        <x:v>1</x:v>
      </x:c>
      <x:c r="G3540" s="380" t="n">
        <x:f>--(F3540&lt;='Estimator'!$B$7)</x:f>
        <x:v>1</x:v>
      </x:c>
      <x:c r="H3540" s="381" t="n">
        <x:f>SUMIFS('Climate Data'!$G$7:$G$366,'Climate Data'!$A$7:$A$366,'Estimator'!$B$4,'Climate Data'!$B$7:$B$366,C3540)</x:f>
        <x:v>0.4160919540229885</x:v>
      </x:c>
      <x:c r="I3540" s="382" t="n">
        <x:f>SUMIFS('Climate Data'!$H$7:$H$366,'Climate Data'!$A$7:$A$366,'Estimator'!$B$4,'Climate Data'!$B$7:$B$366,C3540)</x:f>
        <x:v>8.019060773480662</x:v>
      </x:c>
      <x:c r="J3540" s="381" t="n">
        <x:f>SUMIFS('Wind Proxy'!$H$8:$H$19,'Wind Proxy'!$A$8:$A$19,'Estimator'!$B$4,'Wind Proxy'!$B$8:$B$19,C3540)</x:f>
        <x:v>0.22222222222222224</x:v>
      </x:c>
    </x:row>
    <x:row r="3541">
      <x:c r="A3541" s="379" t="n">
        <x:v>49192</x:v>
      </x:c>
      <x:c r="B3541" s="380" t="n">
        <x:v>2034</x:v>
      </x:c>
      <x:c r="C3541" s="380" t="n">
        <x:v>9</x:v>
      </x:c>
      <x:c r="D3541" s="380" t="str">
        <x:v>Sep</x:v>
      </x:c>
      <x:c r="E3541" s="380" t="n">
        <x:v>5</x:v>
      </x:c>
      <x:c r="F3541" s="380" t="n">
        <x:v>2</x:v>
      </x:c>
      <x:c r="G3541" s="380" t="n">
        <x:f>--(F3541&lt;='Estimator'!$B$7)</x:f>
        <x:v>1</x:v>
      </x:c>
      <x:c r="H3541" s="381" t="n">
        <x:f>SUMIFS('Climate Data'!$G$7:$G$366,'Climate Data'!$A$7:$A$366,'Estimator'!$B$4,'Climate Data'!$B$7:$B$366,C3541)</x:f>
        <x:v>0.4160919540229885</x:v>
      </x:c>
      <x:c r="I3541" s="382" t="n">
        <x:f>SUMIFS('Climate Data'!$H$7:$H$366,'Climate Data'!$A$7:$A$366,'Estimator'!$B$4,'Climate Data'!$B$7:$B$366,C3541)</x:f>
        <x:v>8.019060773480662</x:v>
      </x:c>
      <x:c r="J3541" s="381" t="n">
        <x:f>SUMIFS('Wind Proxy'!$H$8:$H$19,'Wind Proxy'!$A$8:$A$19,'Estimator'!$B$4,'Wind Proxy'!$B$8:$B$19,C3541)</x:f>
        <x:v>0.22222222222222224</x:v>
      </x:c>
    </x:row>
    <x:row r="3542">
      <x:c r="A3542" s="379" t="n">
        <x:v>49193</x:v>
      </x:c>
      <x:c r="B3542" s="380" t="n">
        <x:v>2034</x:v>
      </x:c>
      <x:c r="C3542" s="380" t="n">
        <x:v>9</x:v>
      </x:c>
      <x:c r="D3542" s="380" t="str">
        <x:v>Sep</x:v>
      </x:c>
      <x:c r="E3542" s="380" t="n">
        <x:v>6</x:v>
      </x:c>
      <x:c r="F3542" s="380" t="n">
        <x:v>3</x:v>
      </x:c>
      <x:c r="G3542" s="380" t="n">
        <x:f>--(F3542&lt;='Estimator'!$B$7)</x:f>
        <x:v>1</x:v>
      </x:c>
      <x:c r="H3542" s="381" t="n">
        <x:f>SUMIFS('Climate Data'!$G$7:$G$366,'Climate Data'!$A$7:$A$366,'Estimator'!$B$4,'Climate Data'!$B$7:$B$366,C3542)</x:f>
        <x:v>0.4160919540229885</x:v>
      </x:c>
      <x:c r="I3542" s="382" t="n">
        <x:f>SUMIFS('Climate Data'!$H$7:$H$366,'Climate Data'!$A$7:$A$366,'Estimator'!$B$4,'Climate Data'!$B$7:$B$366,C3542)</x:f>
        <x:v>8.019060773480662</x:v>
      </x:c>
      <x:c r="J3542" s="381" t="n">
        <x:f>SUMIFS('Wind Proxy'!$H$8:$H$19,'Wind Proxy'!$A$8:$A$19,'Estimator'!$B$4,'Wind Proxy'!$B$8:$B$19,C3542)</x:f>
        <x:v>0.22222222222222224</x:v>
      </x:c>
    </x:row>
    <x:row r="3543">
      <x:c r="A3543" s="379" t="n">
        <x:v>49194</x:v>
      </x:c>
      <x:c r="B3543" s="380" t="n">
        <x:v>2034</x:v>
      </x:c>
      <x:c r="C3543" s="380" t="n">
        <x:v>9</x:v>
      </x:c>
      <x:c r="D3543" s="380" t="str">
        <x:v>Sep</x:v>
      </x:c>
      <x:c r="E3543" s="380" t="n">
        <x:v>7</x:v>
      </x:c>
      <x:c r="F3543" s="380" t="n">
        <x:v>4</x:v>
      </x:c>
      <x:c r="G3543" s="380" t="n">
        <x:f>--(F3543&lt;='Estimator'!$B$7)</x:f>
        <x:v>1</x:v>
      </x:c>
      <x:c r="H3543" s="381" t="n">
        <x:f>SUMIFS('Climate Data'!$G$7:$G$366,'Climate Data'!$A$7:$A$366,'Estimator'!$B$4,'Climate Data'!$B$7:$B$366,C3543)</x:f>
        <x:v>0.4160919540229885</x:v>
      </x:c>
      <x:c r="I3543" s="382" t="n">
        <x:f>SUMIFS('Climate Data'!$H$7:$H$366,'Climate Data'!$A$7:$A$366,'Estimator'!$B$4,'Climate Data'!$B$7:$B$366,C3543)</x:f>
        <x:v>8.019060773480662</x:v>
      </x:c>
      <x:c r="J3543" s="381" t="n">
        <x:f>SUMIFS('Wind Proxy'!$H$8:$H$19,'Wind Proxy'!$A$8:$A$19,'Estimator'!$B$4,'Wind Proxy'!$B$8:$B$19,C3543)</x:f>
        <x:v>0.22222222222222224</x:v>
      </x:c>
    </x:row>
    <x:row r="3544">
      <x:c r="A3544" s="379" t="n">
        <x:v>49195</x:v>
      </x:c>
      <x:c r="B3544" s="380" t="n">
        <x:v>2034</x:v>
      </x:c>
      <x:c r="C3544" s="380" t="n">
        <x:v>9</x:v>
      </x:c>
      <x:c r="D3544" s="380" t="str">
        <x:v>Sep</x:v>
      </x:c>
      <x:c r="E3544" s="380" t="n">
        <x:v>8</x:v>
      </x:c>
      <x:c r="F3544" s="380" t="n">
        <x:v>5</x:v>
      </x:c>
      <x:c r="G3544" s="380" t="n">
        <x:f>--(F3544&lt;='Estimator'!$B$7)</x:f>
        <x:v>1</x:v>
      </x:c>
      <x:c r="H3544" s="381" t="n">
        <x:f>SUMIFS('Climate Data'!$G$7:$G$366,'Climate Data'!$A$7:$A$366,'Estimator'!$B$4,'Climate Data'!$B$7:$B$366,C3544)</x:f>
        <x:v>0.4160919540229885</x:v>
      </x:c>
      <x:c r="I3544" s="382" t="n">
        <x:f>SUMIFS('Climate Data'!$H$7:$H$366,'Climate Data'!$A$7:$A$366,'Estimator'!$B$4,'Climate Data'!$B$7:$B$366,C3544)</x:f>
        <x:v>8.019060773480662</x:v>
      </x:c>
      <x:c r="J3544" s="381" t="n">
        <x:f>SUMIFS('Wind Proxy'!$H$8:$H$19,'Wind Proxy'!$A$8:$A$19,'Estimator'!$B$4,'Wind Proxy'!$B$8:$B$19,C3544)</x:f>
        <x:v>0.22222222222222224</x:v>
      </x:c>
    </x:row>
    <x:row r="3545">
      <x:c r="A3545" s="379" t="n">
        <x:v>49196</x:v>
      </x:c>
      <x:c r="B3545" s="380" t="n">
        <x:v>2034</x:v>
      </x:c>
      <x:c r="C3545" s="380" t="n">
        <x:v>9</x:v>
      </x:c>
      <x:c r="D3545" s="380" t="str">
        <x:v>Sep</x:v>
      </x:c>
      <x:c r="E3545" s="380" t="n">
        <x:v>9</x:v>
      </x:c>
      <x:c r="F3545" s="380" t="n">
        <x:v>6</x:v>
      </x:c>
      <x:c r="G3545" s="380" t="n">
        <x:f>--(F3545&lt;='Estimator'!$B$7)</x:f>
        <x:v>0</x:v>
      </x:c>
      <x:c r="H3545" s="381" t="n">
        <x:f>SUMIFS('Climate Data'!$G$7:$G$366,'Climate Data'!$A$7:$A$366,'Estimator'!$B$4,'Climate Data'!$B$7:$B$366,C3545)</x:f>
        <x:v>0.4160919540229885</x:v>
      </x:c>
      <x:c r="I3545" s="382" t="n">
        <x:f>SUMIFS('Climate Data'!$H$7:$H$366,'Climate Data'!$A$7:$A$366,'Estimator'!$B$4,'Climate Data'!$B$7:$B$366,C3545)</x:f>
        <x:v>8.019060773480662</x:v>
      </x:c>
      <x:c r="J3545" s="381" t="n">
        <x:f>SUMIFS('Wind Proxy'!$H$8:$H$19,'Wind Proxy'!$A$8:$A$19,'Estimator'!$B$4,'Wind Proxy'!$B$8:$B$19,C3545)</x:f>
        <x:v>0.22222222222222224</x:v>
      </x:c>
    </x:row>
    <x:row r="3546">
      <x:c r="A3546" s="379" t="n">
        <x:v>49197</x:v>
      </x:c>
      <x:c r="B3546" s="380" t="n">
        <x:v>2034</x:v>
      </x:c>
      <x:c r="C3546" s="380" t="n">
        <x:v>9</x:v>
      </x:c>
      <x:c r="D3546" s="380" t="str">
        <x:v>Sep</x:v>
      </x:c>
      <x:c r="E3546" s="380" t="n">
        <x:v>10</x:v>
      </x:c>
      <x:c r="F3546" s="380" t="n">
        <x:v>7</x:v>
      </x:c>
      <x:c r="G3546" s="380" t="n">
        <x:f>--(F3546&lt;='Estimator'!$B$7)</x:f>
        <x:v>0</x:v>
      </x:c>
      <x:c r="H3546" s="381" t="n">
        <x:f>SUMIFS('Climate Data'!$G$7:$G$366,'Climate Data'!$A$7:$A$366,'Estimator'!$B$4,'Climate Data'!$B$7:$B$366,C3546)</x:f>
        <x:v>0.4160919540229885</x:v>
      </x:c>
      <x:c r="I3546" s="382" t="n">
        <x:f>SUMIFS('Climate Data'!$H$7:$H$366,'Climate Data'!$A$7:$A$366,'Estimator'!$B$4,'Climate Data'!$B$7:$B$366,C3546)</x:f>
        <x:v>8.019060773480662</x:v>
      </x:c>
      <x:c r="J3546" s="381" t="n">
        <x:f>SUMIFS('Wind Proxy'!$H$8:$H$19,'Wind Proxy'!$A$8:$A$19,'Estimator'!$B$4,'Wind Proxy'!$B$8:$B$19,C3546)</x:f>
        <x:v>0.22222222222222224</x:v>
      </x:c>
    </x:row>
    <x:row r="3547">
      <x:c r="A3547" s="379" t="n">
        <x:v>49198</x:v>
      </x:c>
      <x:c r="B3547" s="380" t="n">
        <x:v>2034</x:v>
      </x:c>
      <x:c r="C3547" s="380" t="n">
        <x:v>9</x:v>
      </x:c>
      <x:c r="D3547" s="380" t="str">
        <x:v>Sep</x:v>
      </x:c>
      <x:c r="E3547" s="380" t="n">
        <x:v>11</x:v>
      </x:c>
      <x:c r="F3547" s="380" t="n">
        <x:v>1</x:v>
      </x:c>
      <x:c r="G3547" s="380" t="n">
        <x:f>--(F3547&lt;='Estimator'!$B$7)</x:f>
        <x:v>1</x:v>
      </x:c>
      <x:c r="H3547" s="381" t="n">
        <x:f>SUMIFS('Climate Data'!$G$7:$G$366,'Climate Data'!$A$7:$A$366,'Estimator'!$B$4,'Climate Data'!$B$7:$B$366,C3547)</x:f>
        <x:v>0.4160919540229885</x:v>
      </x:c>
      <x:c r="I3547" s="382" t="n">
        <x:f>SUMIFS('Climate Data'!$H$7:$H$366,'Climate Data'!$A$7:$A$366,'Estimator'!$B$4,'Climate Data'!$B$7:$B$366,C3547)</x:f>
        <x:v>8.019060773480662</x:v>
      </x:c>
      <x:c r="J3547" s="381" t="n">
        <x:f>SUMIFS('Wind Proxy'!$H$8:$H$19,'Wind Proxy'!$A$8:$A$19,'Estimator'!$B$4,'Wind Proxy'!$B$8:$B$19,C3547)</x:f>
        <x:v>0.22222222222222224</x:v>
      </x:c>
    </x:row>
    <x:row r="3548">
      <x:c r="A3548" s="379" t="n">
        <x:v>49199</x:v>
      </x:c>
      <x:c r="B3548" s="380" t="n">
        <x:v>2034</x:v>
      </x:c>
      <x:c r="C3548" s="380" t="n">
        <x:v>9</x:v>
      </x:c>
      <x:c r="D3548" s="380" t="str">
        <x:v>Sep</x:v>
      </x:c>
      <x:c r="E3548" s="380" t="n">
        <x:v>12</x:v>
      </x:c>
      <x:c r="F3548" s="380" t="n">
        <x:v>2</x:v>
      </x:c>
      <x:c r="G3548" s="380" t="n">
        <x:f>--(F3548&lt;='Estimator'!$B$7)</x:f>
        <x:v>1</x:v>
      </x:c>
      <x:c r="H3548" s="381" t="n">
        <x:f>SUMIFS('Climate Data'!$G$7:$G$366,'Climate Data'!$A$7:$A$366,'Estimator'!$B$4,'Climate Data'!$B$7:$B$366,C3548)</x:f>
        <x:v>0.4160919540229885</x:v>
      </x:c>
      <x:c r="I3548" s="382" t="n">
        <x:f>SUMIFS('Climate Data'!$H$7:$H$366,'Climate Data'!$A$7:$A$366,'Estimator'!$B$4,'Climate Data'!$B$7:$B$366,C3548)</x:f>
        <x:v>8.019060773480662</x:v>
      </x:c>
      <x:c r="J3548" s="381" t="n">
        <x:f>SUMIFS('Wind Proxy'!$H$8:$H$19,'Wind Proxy'!$A$8:$A$19,'Estimator'!$B$4,'Wind Proxy'!$B$8:$B$19,C3548)</x:f>
        <x:v>0.22222222222222224</x:v>
      </x:c>
    </x:row>
    <x:row r="3549">
      <x:c r="A3549" s="379" t="n">
        <x:v>49200</x:v>
      </x:c>
      <x:c r="B3549" s="380" t="n">
        <x:v>2034</x:v>
      </x:c>
      <x:c r="C3549" s="380" t="n">
        <x:v>9</x:v>
      </x:c>
      <x:c r="D3549" s="380" t="str">
        <x:v>Sep</x:v>
      </x:c>
      <x:c r="E3549" s="380" t="n">
        <x:v>13</x:v>
      </x:c>
      <x:c r="F3549" s="380" t="n">
        <x:v>3</x:v>
      </x:c>
      <x:c r="G3549" s="380" t="n">
        <x:f>--(F3549&lt;='Estimator'!$B$7)</x:f>
        <x:v>1</x:v>
      </x:c>
      <x:c r="H3549" s="381" t="n">
        <x:f>SUMIFS('Climate Data'!$G$7:$G$366,'Climate Data'!$A$7:$A$366,'Estimator'!$B$4,'Climate Data'!$B$7:$B$366,C3549)</x:f>
        <x:v>0.4160919540229885</x:v>
      </x:c>
      <x:c r="I3549" s="382" t="n">
        <x:f>SUMIFS('Climate Data'!$H$7:$H$366,'Climate Data'!$A$7:$A$366,'Estimator'!$B$4,'Climate Data'!$B$7:$B$366,C3549)</x:f>
        <x:v>8.019060773480662</x:v>
      </x:c>
      <x:c r="J3549" s="381" t="n">
        <x:f>SUMIFS('Wind Proxy'!$H$8:$H$19,'Wind Proxy'!$A$8:$A$19,'Estimator'!$B$4,'Wind Proxy'!$B$8:$B$19,C3549)</x:f>
        <x:v>0.22222222222222224</x:v>
      </x:c>
    </x:row>
    <x:row r="3550">
      <x:c r="A3550" s="379" t="n">
        <x:v>49201</x:v>
      </x:c>
      <x:c r="B3550" s="380" t="n">
        <x:v>2034</x:v>
      </x:c>
      <x:c r="C3550" s="380" t="n">
        <x:v>9</x:v>
      </x:c>
      <x:c r="D3550" s="380" t="str">
        <x:v>Sep</x:v>
      </x:c>
      <x:c r="E3550" s="380" t="n">
        <x:v>14</x:v>
      </x:c>
      <x:c r="F3550" s="380" t="n">
        <x:v>4</x:v>
      </x:c>
      <x:c r="G3550" s="380" t="n">
        <x:f>--(F3550&lt;='Estimator'!$B$7)</x:f>
        <x:v>1</x:v>
      </x:c>
      <x:c r="H3550" s="381" t="n">
        <x:f>SUMIFS('Climate Data'!$G$7:$G$366,'Climate Data'!$A$7:$A$366,'Estimator'!$B$4,'Climate Data'!$B$7:$B$366,C3550)</x:f>
        <x:v>0.4160919540229885</x:v>
      </x:c>
      <x:c r="I3550" s="382" t="n">
        <x:f>SUMIFS('Climate Data'!$H$7:$H$366,'Climate Data'!$A$7:$A$366,'Estimator'!$B$4,'Climate Data'!$B$7:$B$366,C3550)</x:f>
        <x:v>8.019060773480662</x:v>
      </x:c>
      <x:c r="J3550" s="381" t="n">
        <x:f>SUMIFS('Wind Proxy'!$H$8:$H$19,'Wind Proxy'!$A$8:$A$19,'Estimator'!$B$4,'Wind Proxy'!$B$8:$B$19,C3550)</x:f>
        <x:v>0.22222222222222224</x:v>
      </x:c>
    </x:row>
    <x:row r="3551">
      <x:c r="A3551" s="379" t="n">
        <x:v>49202</x:v>
      </x:c>
      <x:c r="B3551" s="380" t="n">
        <x:v>2034</x:v>
      </x:c>
      <x:c r="C3551" s="380" t="n">
        <x:v>9</x:v>
      </x:c>
      <x:c r="D3551" s="380" t="str">
        <x:v>Sep</x:v>
      </x:c>
      <x:c r="E3551" s="380" t="n">
        <x:v>15</x:v>
      </x:c>
      <x:c r="F3551" s="380" t="n">
        <x:v>5</x:v>
      </x:c>
      <x:c r="G3551" s="380" t="n">
        <x:f>--(F3551&lt;='Estimator'!$B$7)</x:f>
        <x:v>1</x:v>
      </x:c>
      <x:c r="H3551" s="381" t="n">
        <x:f>SUMIFS('Climate Data'!$G$7:$G$366,'Climate Data'!$A$7:$A$366,'Estimator'!$B$4,'Climate Data'!$B$7:$B$366,C3551)</x:f>
        <x:v>0.4160919540229885</x:v>
      </x:c>
      <x:c r="I3551" s="382" t="n">
        <x:f>SUMIFS('Climate Data'!$H$7:$H$366,'Climate Data'!$A$7:$A$366,'Estimator'!$B$4,'Climate Data'!$B$7:$B$366,C3551)</x:f>
        <x:v>8.019060773480662</x:v>
      </x:c>
      <x:c r="J3551" s="381" t="n">
        <x:f>SUMIFS('Wind Proxy'!$H$8:$H$19,'Wind Proxy'!$A$8:$A$19,'Estimator'!$B$4,'Wind Proxy'!$B$8:$B$19,C3551)</x:f>
        <x:v>0.22222222222222224</x:v>
      </x:c>
    </x:row>
    <x:row r="3552">
      <x:c r="A3552" s="379" t="n">
        <x:v>49203</x:v>
      </x:c>
      <x:c r="B3552" s="380" t="n">
        <x:v>2034</x:v>
      </x:c>
      <x:c r="C3552" s="380" t="n">
        <x:v>9</x:v>
      </x:c>
      <x:c r="D3552" s="380" t="str">
        <x:v>Sep</x:v>
      </x:c>
      <x:c r="E3552" s="380" t="n">
        <x:v>16</x:v>
      </x:c>
      <x:c r="F3552" s="380" t="n">
        <x:v>6</x:v>
      </x:c>
      <x:c r="G3552" s="380" t="n">
        <x:f>--(F3552&lt;='Estimator'!$B$7)</x:f>
        <x:v>0</x:v>
      </x:c>
      <x:c r="H3552" s="381" t="n">
        <x:f>SUMIFS('Climate Data'!$G$7:$G$366,'Climate Data'!$A$7:$A$366,'Estimator'!$B$4,'Climate Data'!$B$7:$B$366,C3552)</x:f>
        <x:v>0.4160919540229885</x:v>
      </x:c>
      <x:c r="I3552" s="382" t="n">
        <x:f>SUMIFS('Climate Data'!$H$7:$H$366,'Climate Data'!$A$7:$A$366,'Estimator'!$B$4,'Climate Data'!$B$7:$B$366,C3552)</x:f>
        <x:v>8.019060773480662</x:v>
      </x:c>
      <x:c r="J3552" s="381" t="n">
        <x:f>SUMIFS('Wind Proxy'!$H$8:$H$19,'Wind Proxy'!$A$8:$A$19,'Estimator'!$B$4,'Wind Proxy'!$B$8:$B$19,C3552)</x:f>
        <x:v>0.22222222222222224</x:v>
      </x:c>
    </x:row>
    <x:row r="3553">
      <x:c r="A3553" s="379" t="n">
        <x:v>49204</x:v>
      </x:c>
      <x:c r="B3553" s="380" t="n">
        <x:v>2034</x:v>
      </x:c>
      <x:c r="C3553" s="380" t="n">
        <x:v>9</x:v>
      </x:c>
      <x:c r="D3553" s="380" t="str">
        <x:v>Sep</x:v>
      </x:c>
      <x:c r="E3553" s="380" t="n">
        <x:v>17</x:v>
      </x:c>
      <x:c r="F3553" s="380" t="n">
        <x:v>7</x:v>
      </x:c>
      <x:c r="G3553" s="380" t="n">
        <x:f>--(F3553&lt;='Estimator'!$B$7)</x:f>
        <x:v>0</x:v>
      </x:c>
      <x:c r="H3553" s="381" t="n">
        <x:f>SUMIFS('Climate Data'!$G$7:$G$366,'Climate Data'!$A$7:$A$366,'Estimator'!$B$4,'Climate Data'!$B$7:$B$366,C3553)</x:f>
        <x:v>0.4160919540229885</x:v>
      </x:c>
      <x:c r="I3553" s="382" t="n">
        <x:f>SUMIFS('Climate Data'!$H$7:$H$366,'Climate Data'!$A$7:$A$366,'Estimator'!$B$4,'Climate Data'!$B$7:$B$366,C3553)</x:f>
        <x:v>8.019060773480662</x:v>
      </x:c>
      <x:c r="J3553" s="381" t="n">
        <x:f>SUMIFS('Wind Proxy'!$H$8:$H$19,'Wind Proxy'!$A$8:$A$19,'Estimator'!$B$4,'Wind Proxy'!$B$8:$B$19,C3553)</x:f>
        <x:v>0.22222222222222224</x:v>
      </x:c>
    </x:row>
    <x:row r="3554">
      <x:c r="A3554" s="379" t="n">
        <x:v>49205</x:v>
      </x:c>
      <x:c r="B3554" s="380" t="n">
        <x:v>2034</x:v>
      </x:c>
      <x:c r="C3554" s="380" t="n">
        <x:v>9</x:v>
      </x:c>
      <x:c r="D3554" s="380" t="str">
        <x:v>Sep</x:v>
      </x:c>
      <x:c r="E3554" s="380" t="n">
        <x:v>18</x:v>
      </x:c>
      <x:c r="F3554" s="380" t="n">
        <x:v>1</x:v>
      </x:c>
      <x:c r="G3554" s="380" t="n">
        <x:f>--(F3554&lt;='Estimator'!$B$7)</x:f>
        <x:v>1</x:v>
      </x:c>
      <x:c r="H3554" s="381" t="n">
        <x:f>SUMIFS('Climate Data'!$G$7:$G$366,'Climate Data'!$A$7:$A$366,'Estimator'!$B$4,'Climate Data'!$B$7:$B$366,C3554)</x:f>
        <x:v>0.4160919540229885</x:v>
      </x:c>
      <x:c r="I3554" s="382" t="n">
        <x:f>SUMIFS('Climate Data'!$H$7:$H$366,'Climate Data'!$A$7:$A$366,'Estimator'!$B$4,'Climate Data'!$B$7:$B$366,C3554)</x:f>
        <x:v>8.019060773480662</x:v>
      </x:c>
      <x:c r="J3554" s="381" t="n">
        <x:f>SUMIFS('Wind Proxy'!$H$8:$H$19,'Wind Proxy'!$A$8:$A$19,'Estimator'!$B$4,'Wind Proxy'!$B$8:$B$19,C3554)</x:f>
        <x:v>0.22222222222222224</x:v>
      </x:c>
    </x:row>
    <x:row r="3555">
      <x:c r="A3555" s="379" t="n">
        <x:v>49206</x:v>
      </x:c>
      <x:c r="B3555" s="380" t="n">
        <x:v>2034</x:v>
      </x:c>
      <x:c r="C3555" s="380" t="n">
        <x:v>9</x:v>
      </x:c>
      <x:c r="D3555" s="380" t="str">
        <x:v>Sep</x:v>
      </x:c>
      <x:c r="E3555" s="380" t="n">
        <x:v>19</x:v>
      </x:c>
      <x:c r="F3555" s="380" t="n">
        <x:v>2</x:v>
      </x:c>
      <x:c r="G3555" s="380" t="n">
        <x:f>--(F3555&lt;='Estimator'!$B$7)</x:f>
        <x:v>1</x:v>
      </x:c>
      <x:c r="H3555" s="381" t="n">
        <x:f>SUMIFS('Climate Data'!$G$7:$G$366,'Climate Data'!$A$7:$A$366,'Estimator'!$B$4,'Climate Data'!$B$7:$B$366,C3555)</x:f>
        <x:v>0.4160919540229885</x:v>
      </x:c>
      <x:c r="I3555" s="382" t="n">
        <x:f>SUMIFS('Climate Data'!$H$7:$H$366,'Climate Data'!$A$7:$A$366,'Estimator'!$B$4,'Climate Data'!$B$7:$B$366,C3555)</x:f>
        <x:v>8.019060773480662</x:v>
      </x:c>
      <x:c r="J3555" s="381" t="n">
        <x:f>SUMIFS('Wind Proxy'!$H$8:$H$19,'Wind Proxy'!$A$8:$A$19,'Estimator'!$B$4,'Wind Proxy'!$B$8:$B$19,C3555)</x:f>
        <x:v>0.22222222222222224</x:v>
      </x:c>
    </x:row>
    <x:row r="3556">
      <x:c r="A3556" s="379" t="n">
        <x:v>49207</x:v>
      </x:c>
      <x:c r="B3556" s="380" t="n">
        <x:v>2034</x:v>
      </x:c>
      <x:c r="C3556" s="380" t="n">
        <x:v>9</x:v>
      </x:c>
      <x:c r="D3556" s="380" t="str">
        <x:v>Sep</x:v>
      </x:c>
      <x:c r="E3556" s="380" t="n">
        <x:v>20</x:v>
      </x:c>
      <x:c r="F3556" s="380" t="n">
        <x:v>3</x:v>
      </x:c>
      <x:c r="G3556" s="380" t="n">
        <x:f>--(F3556&lt;='Estimator'!$B$7)</x:f>
        <x:v>1</x:v>
      </x:c>
      <x:c r="H3556" s="381" t="n">
        <x:f>SUMIFS('Climate Data'!$G$7:$G$366,'Climate Data'!$A$7:$A$366,'Estimator'!$B$4,'Climate Data'!$B$7:$B$366,C3556)</x:f>
        <x:v>0.4160919540229885</x:v>
      </x:c>
      <x:c r="I3556" s="382" t="n">
        <x:f>SUMIFS('Climate Data'!$H$7:$H$366,'Climate Data'!$A$7:$A$366,'Estimator'!$B$4,'Climate Data'!$B$7:$B$366,C3556)</x:f>
        <x:v>8.019060773480662</x:v>
      </x:c>
      <x:c r="J3556" s="381" t="n">
        <x:f>SUMIFS('Wind Proxy'!$H$8:$H$19,'Wind Proxy'!$A$8:$A$19,'Estimator'!$B$4,'Wind Proxy'!$B$8:$B$19,C3556)</x:f>
        <x:v>0.22222222222222224</x:v>
      </x:c>
    </x:row>
    <x:row r="3557">
      <x:c r="A3557" s="379" t="n">
        <x:v>49208</x:v>
      </x:c>
      <x:c r="B3557" s="380" t="n">
        <x:v>2034</x:v>
      </x:c>
      <x:c r="C3557" s="380" t="n">
        <x:v>9</x:v>
      </x:c>
      <x:c r="D3557" s="380" t="str">
        <x:v>Sep</x:v>
      </x:c>
      <x:c r="E3557" s="380" t="n">
        <x:v>21</x:v>
      </x:c>
      <x:c r="F3557" s="380" t="n">
        <x:v>4</x:v>
      </x:c>
      <x:c r="G3557" s="380" t="n">
        <x:f>--(F3557&lt;='Estimator'!$B$7)</x:f>
        <x:v>1</x:v>
      </x:c>
      <x:c r="H3557" s="381" t="n">
        <x:f>SUMIFS('Climate Data'!$G$7:$G$366,'Climate Data'!$A$7:$A$366,'Estimator'!$B$4,'Climate Data'!$B$7:$B$366,C3557)</x:f>
        <x:v>0.4160919540229885</x:v>
      </x:c>
      <x:c r="I3557" s="382" t="n">
        <x:f>SUMIFS('Climate Data'!$H$7:$H$366,'Climate Data'!$A$7:$A$366,'Estimator'!$B$4,'Climate Data'!$B$7:$B$366,C3557)</x:f>
        <x:v>8.019060773480662</x:v>
      </x:c>
      <x:c r="J3557" s="381" t="n">
        <x:f>SUMIFS('Wind Proxy'!$H$8:$H$19,'Wind Proxy'!$A$8:$A$19,'Estimator'!$B$4,'Wind Proxy'!$B$8:$B$19,C3557)</x:f>
        <x:v>0.22222222222222224</x:v>
      </x:c>
    </x:row>
    <x:row r="3558">
      <x:c r="A3558" s="379" t="n">
        <x:v>49209</x:v>
      </x:c>
      <x:c r="B3558" s="380" t="n">
        <x:v>2034</x:v>
      </x:c>
      <x:c r="C3558" s="380" t="n">
        <x:v>9</x:v>
      </x:c>
      <x:c r="D3558" s="380" t="str">
        <x:v>Sep</x:v>
      </x:c>
      <x:c r="E3558" s="380" t="n">
        <x:v>22</x:v>
      </x:c>
      <x:c r="F3558" s="380" t="n">
        <x:v>5</x:v>
      </x:c>
      <x:c r="G3558" s="380" t="n">
        <x:f>--(F3558&lt;='Estimator'!$B$7)</x:f>
        <x:v>1</x:v>
      </x:c>
      <x:c r="H3558" s="381" t="n">
        <x:f>SUMIFS('Climate Data'!$G$7:$G$366,'Climate Data'!$A$7:$A$366,'Estimator'!$B$4,'Climate Data'!$B$7:$B$366,C3558)</x:f>
        <x:v>0.4160919540229885</x:v>
      </x:c>
      <x:c r="I3558" s="382" t="n">
        <x:f>SUMIFS('Climate Data'!$H$7:$H$366,'Climate Data'!$A$7:$A$366,'Estimator'!$B$4,'Climate Data'!$B$7:$B$366,C3558)</x:f>
        <x:v>8.019060773480662</x:v>
      </x:c>
      <x:c r="J3558" s="381" t="n">
        <x:f>SUMIFS('Wind Proxy'!$H$8:$H$19,'Wind Proxy'!$A$8:$A$19,'Estimator'!$B$4,'Wind Proxy'!$B$8:$B$19,C3558)</x:f>
        <x:v>0.22222222222222224</x:v>
      </x:c>
    </x:row>
    <x:row r="3559">
      <x:c r="A3559" s="379" t="n">
        <x:v>49210</x:v>
      </x:c>
      <x:c r="B3559" s="380" t="n">
        <x:v>2034</x:v>
      </x:c>
      <x:c r="C3559" s="380" t="n">
        <x:v>9</x:v>
      </x:c>
      <x:c r="D3559" s="380" t="str">
        <x:v>Sep</x:v>
      </x:c>
      <x:c r="E3559" s="380" t="n">
        <x:v>23</x:v>
      </x:c>
      <x:c r="F3559" s="380" t="n">
        <x:v>6</x:v>
      </x:c>
      <x:c r="G3559" s="380" t="n">
        <x:f>--(F3559&lt;='Estimator'!$B$7)</x:f>
        <x:v>0</x:v>
      </x:c>
      <x:c r="H3559" s="381" t="n">
        <x:f>SUMIFS('Climate Data'!$G$7:$G$366,'Climate Data'!$A$7:$A$366,'Estimator'!$B$4,'Climate Data'!$B$7:$B$366,C3559)</x:f>
        <x:v>0.4160919540229885</x:v>
      </x:c>
      <x:c r="I3559" s="382" t="n">
        <x:f>SUMIFS('Climate Data'!$H$7:$H$366,'Climate Data'!$A$7:$A$366,'Estimator'!$B$4,'Climate Data'!$B$7:$B$366,C3559)</x:f>
        <x:v>8.019060773480662</x:v>
      </x:c>
      <x:c r="J3559" s="381" t="n">
        <x:f>SUMIFS('Wind Proxy'!$H$8:$H$19,'Wind Proxy'!$A$8:$A$19,'Estimator'!$B$4,'Wind Proxy'!$B$8:$B$19,C3559)</x:f>
        <x:v>0.22222222222222224</x:v>
      </x:c>
    </x:row>
    <x:row r="3560">
      <x:c r="A3560" s="379" t="n">
        <x:v>49211</x:v>
      </x:c>
      <x:c r="B3560" s="380" t="n">
        <x:v>2034</x:v>
      </x:c>
      <x:c r="C3560" s="380" t="n">
        <x:v>9</x:v>
      </x:c>
      <x:c r="D3560" s="380" t="str">
        <x:v>Sep</x:v>
      </x:c>
      <x:c r="E3560" s="380" t="n">
        <x:v>24</x:v>
      </x:c>
      <x:c r="F3560" s="380" t="n">
        <x:v>7</x:v>
      </x:c>
      <x:c r="G3560" s="380" t="n">
        <x:f>--(F3560&lt;='Estimator'!$B$7)</x:f>
        <x:v>0</x:v>
      </x:c>
      <x:c r="H3560" s="381" t="n">
        <x:f>SUMIFS('Climate Data'!$G$7:$G$366,'Climate Data'!$A$7:$A$366,'Estimator'!$B$4,'Climate Data'!$B$7:$B$366,C3560)</x:f>
        <x:v>0.4160919540229885</x:v>
      </x:c>
      <x:c r="I3560" s="382" t="n">
        <x:f>SUMIFS('Climate Data'!$H$7:$H$366,'Climate Data'!$A$7:$A$366,'Estimator'!$B$4,'Climate Data'!$B$7:$B$366,C3560)</x:f>
        <x:v>8.019060773480662</x:v>
      </x:c>
      <x:c r="J3560" s="381" t="n">
        <x:f>SUMIFS('Wind Proxy'!$H$8:$H$19,'Wind Proxy'!$A$8:$A$19,'Estimator'!$B$4,'Wind Proxy'!$B$8:$B$19,C3560)</x:f>
        <x:v>0.22222222222222224</x:v>
      </x:c>
    </x:row>
    <x:row r="3561">
      <x:c r="A3561" s="379" t="n">
        <x:v>49212</x:v>
      </x:c>
      <x:c r="B3561" s="380" t="n">
        <x:v>2034</x:v>
      </x:c>
      <x:c r="C3561" s="380" t="n">
        <x:v>9</x:v>
      </x:c>
      <x:c r="D3561" s="380" t="str">
        <x:v>Sep</x:v>
      </x:c>
      <x:c r="E3561" s="380" t="n">
        <x:v>25</x:v>
      </x:c>
      <x:c r="F3561" s="380" t="n">
        <x:v>1</x:v>
      </x:c>
      <x:c r="G3561" s="380" t="n">
        <x:f>--(F3561&lt;='Estimator'!$B$7)</x:f>
        <x:v>1</x:v>
      </x:c>
      <x:c r="H3561" s="381" t="n">
        <x:f>SUMIFS('Climate Data'!$G$7:$G$366,'Climate Data'!$A$7:$A$366,'Estimator'!$B$4,'Climate Data'!$B$7:$B$366,C3561)</x:f>
        <x:v>0.4160919540229885</x:v>
      </x:c>
      <x:c r="I3561" s="382" t="n">
        <x:f>SUMIFS('Climate Data'!$H$7:$H$366,'Climate Data'!$A$7:$A$366,'Estimator'!$B$4,'Climate Data'!$B$7:$B$366,C3561)</x:f>
        <x:v>8.019060773480662</x:v>
      </x:c>
      <x:c r="J3561" s="381" t="n">
        <x:f>SUMIFS('Wind Proxy'!$H$8:$H$19,'Wind Proxy'!$A$8:$A$19,'Estimator'!$B$4,'Wind Proxy'!$B$8:$B$19,C3561)</x:f>
        <x:v>0.22222222222222224</x:v>
      </x:c>
    </x:row>
    <x:row r="3562">
      <x:c r="A3562" s="379" t="n">
        <x:v>49213</x:v>
      </x:c>
      <x:c r="B3562" s="380" t="n">
        <x:v>2034</x:v>
      </x:c>
      <x:c r="C3562" s="380" t="n">
        <x:v>9</x:v>
      </x:c>
      <x:c r="D3562" s="380" t="str">
        <x:v>Sep</x:v>
      </x:c>
      <x:c r="E3562" s="380" t="n">
        <x:v>26</x:v>
      </x:c>
      <x:c r="F3562" s="380" t="n">
        <x:v>2</x:v>
      </x:c>
      <x:c r="G3562" s="380" t="n">
        <x:f>--(F3562&lt;='Estimator'!$B$7)</x:f>
        <x:v>1</x:v>
      </x:c>
      <x:c r="H3562" s="381" t="n">
        <x:f>SUMIFS('Climate Data'!$G$7:$G$366,'Climate Data'!$A$7:$A$366,'Estimator'!$B$4,'Climate Data'!$B$7:$B$366,C3562)</x:f>
        <x:v>0.4160919540229885</x:v>
      </x:c>
      <x:c r="I3562" s="382" t="n">
        <x:f>SUMIFS('Climate Data'!$H$7:$H$366,'Climate Data'!$A$7:$A$366,'Estimator'!$B$4,'Climate Data'!$B$7:$B$366,C3562)</x:f>
        <x:v>8.019060773480662</x:v>
      </x:c>
      <x:c r="J3562" s="381" t="n">
        <x:f>SUMIFS('Wind Proxy'!$H$8:$H$19,'Wind Proxy'!$A$8:$A$19,'Estimator'!$B$4,'Wind Proxy'!$B$8:$B$19,C3562)</x:f>
        <x:v>0.22222222222222224</x:v>
      </x:c>
    </x:row>
    <x:row r="3563">
      <x:c r="A3563" s="379" t="n">
        <x:v>49214</x:v>
      </x:c>
      <x:c r="B3563" s="380" t="n">
        <x:v>2034</x:v>
      </x:c>
      <x:c r="C3563" s="380" t="n">
        <x:v>9</x:v>
      </x:c>
      <x:c r="D3563" s="380" t="str">
        <x:v>Sep</x:v>
      </x:c>
      <x:c r="E3563" s="380" t="n">
        <x:v>27</x:v>
      </x:c>
      <x:c r="F3563" s="380" t="n">
        <x:v>3</x:v>
      </x:c>
      <x:c r="G3563" s="380" t="n">
        <x:f>--(F3563&lt;='Estimator'!$B$7)</x:f>
        <x:v>1</x:v>
      </x:c>
      <x:c r="H3563" s="381" t="n">
        <x:f>SUMIFS('Climate Data'!$G$7:$G$366,'Climate Data'!$A$7:$A$366,'Estimator'!$B$4,'Climate Data'!$B$7:$B$366,C3563)</x:f>
        <x:v>0.4160919540229885</x:v>
      </x:c>
      <x:c r="I3563" s="382" t="n">
        <x:f>SUMIFS('Climate Data'!$H$7:$H$366,'Climate Data'!$A$7:$A$366,'Estimator'!$B$4,'Climate Data'!$B$7:$B$366,C3563)</x:f>
        <x:v>8.019060773480662</x:v>
      </x:c>
      <x:c r="J3563" s="381" t="n">
        <x:f>SUMIFS('Wind Proxy'!$H$8:$H$19,'Wind Proxy'!$A$8:$A$19,'Estimator'!$B$4,'Wind Proxy'!$B$8:$B$19,C3563)</x:f>
        <x:v>0.22222222222222224</x:v>
      </x:c>
    </x:row>
    <x:row r="3564">
      <x:c r="A3564" s="379" t="n">
        <x:v>49215</x:v>
      </x:c>
      <x:c r="B3564" s="380" t="n">
        <x:v>2034</x:v>
      </x:c>
      <x:c r="C3564" s="380" t="n">
        <x:v>9</x:v>
      </x:c>
      <x:c r="D3564" s="380" t="str">
        <x:v>Sep</x:v>
      </x:c>
      <x:c r="E3564" s="380" t="n">
        <x:v>28</x:v>
      </x:c>
      <x:c r="F3564" s="380" t="n">
        <x:v>4</x:v>
      </x:c>
      <x:c r="G3564" s="380" t="n">
        <x:f>--(F3564&lt;='Estimator'!$B$7)</x:f>
        <x:v>1</x:v>
      </x:c>
      <x:c r="H3564" s="381" t="n">
        <x:f>SUMIFS('Climate Data'!$G$7:$G$366,'Climate Data'!$A$7:$A$366,'Estimator'!$B$4,'Climate Data'!$B$7:$B$366,C3564)</x:f>
        <x:v>0.4160919540229885</x:v>
      </x:c>
      <x:c r="I3564" s="382" t="n">
        <x:f>SUMIFS('Climate Data'!$H$7:$H$366,'Climate Data'!$A$7:$A$366,'Estimator'!$B$4,'Climate Data'!$B$7:$B$366,C3564)</x:f>
        <x:v>8.019060773480662</x:v>
      </x:c>
      <x:c r="J3564" s="381" t="n">
        <x:f>SUMIFS('Wind Proxy'!$H$8:$H$19,'Wind Proxy'!$A$8:$A$19,'Estimator'!$B$4,'Wind Proxy'!$B$8:$B$19,C3564)</x:f>
        <x:v>0.22222222222222224</x:v>
      </x:c>
    </x:row>
    <x:row r="3565">
      <x:c r="A3565" s="379" t="n">
        <x:v>49216</x:v>
      </x:c>
      <x:c r="B3565" s="380" t="n">
        <x:v>2034</x:v>
      </x:c>
      <x:c r="C3565" s="380" t="n">
        <x:v>9</x:v>
      </x:c>
      <x:c r="D3565" s="380" t="str">
        <x:v>Sep</x:v>
      </x:c>
      <x:c r="E3565" s="380" t="n">
        <x:v>29</x:v>
      </x:c>
      <x:c r="F3565" s="380" t="n">
        <x:v>5</x:v>
      </x:c>
      <x:c r="G3565" s="380" t="n">
        <x:f>--(F3565&lt;='Estimator'!$B$7)</x:f>
        <x:v>1</x:v>
      </x:c>
      <x:c r="H3565" s="381" t="n">
        <x:f>SUMIFS('Climate Data'!$G$7:$G$366,'Climate Data'!$A$7:$A$366,'Estimator'!$B$4,'Climate Data'!$B$7:$B$366,C3565)</x:f>
        <x:v>0.4160919540229885</x:v>
      </x:c>
      <x:c r="I3565" s="382" t="n">
        <x:f>SUMIFS('Climate Data'!$H$7:$H$366,'Climate Data'!$A$7:$A$366,'Estimator'!$B$4,'Climate Data'!$B$7:$B$366,C3565)</x:f>
        <x:v>8.019060773480662</x:v>
      </x:c>
      <x:c r="J3565" s="381" t="n">
        <x:f>SUMIFS('Wind Proxy'!$H$8:$H$19,'Wind Proxy'!$A$8:$A$19,'Estimator'!$B$4,'Wind Proxy'!$B$8:$B$19,C3565)</x:f>
        <x:v>0.22222222222222224</x:v>
      </x:c>
    </x:row>
    <x:row r="3566">
      <x:c r="A3566" s="379" t="n">
        <x:v>49217</x:v>
      </x:c>
      <x:c r="B3566" s="380" t="n">
        <x:v>2034</x:v>
      </x:c>
      <x:c r="C3566" s="380" t="n">
        <x:v>9</x:v>
      </x:c>
      <x:c r="D3566" s="380" t="str">
        <x:v>Sep</x:v>
      </x:c>
      <x:c r="E3566" s="380" t="n">
        <x:v>30</x:v>
      </x:c>
      <x:c r="F3566" s="380" t="n">
        <x:v>6</x:v>
      </x:c>
      <x:c r="G3566" s="380" t="n">
        <x:f>--(F3566&lt;='Estimator'!$B$7)</x:f>
        <x:v>0</x:v>
      </x:c>
      <x:c r="H3566" s="381" t="n">
        <x:f>SUMIFS('Climate Data'!$G$7:$G$366,'Climate Data'!$A$7:$A$366,'Estimator'!$B$4,'Climate Data'!$B$7:$B$366,C3566)</x:f>
        <x:v>0.4160919540229885</x:v>
      </x:c>
      <x:c r="I3566" s="382" t="n">
        <x:f>SUMIFS('Climate Data'!$H$7:$H$366,'Climate Data'!$A$7:$A$366,'Estimator'!$B$4,'Climate Data'!$B$7:$B$366,C3566)</x:f>
        <x:v>8.019060773480662</x:v>
      </x:c>
      <x:c r="J3566" s="381" t="n">
        <x:f>SUMIFS('Wind Proxy'!$H$8:$H$19,'Wind Proxy'!$A$8:$A$19,'Estimator'!$B$4,'Wind Proxy'!$B$8:$B$19,C3566)</x:f>
        <x:v>0.22222222222222224</x:v>
      </x:c>
    </x:row>
    <x:row r="3567">
      <x:c r="A3567" s="379" t="n">
        <x:v>49218</x:v>
      </x:c>
      <x:c r="B3567" s="380" t="n">
        <x:v>2034</x:v>
      </x:c>
      <x:c r="C3567" s="380" t="n">
        <x:v>10</x:v>
      </x:c>
      <x:c r="D3567" s="380" t="str">
        <x:v>Oct</x:v>
      </x:c>
      <x:c r="E3567" s="380" t="n">
        <x:v>1</x:v>
      </x:c>
      <x:c r="F3567" s="380" t="n">
        <x:v>7</x:v>
      </x:c>
      <x:c r="G3567" s="380" t="n">
        <x:f>--(F3567&lt;='Estimator'!$B$7)</x:f>
        <x:v>0</x:v>
      </x:c>
      <x:c r="H3567" s="381" t="n">
        <x:f>SUMIFS('Climate Data'!$G$7:$G$366,'Climate Data'!$A$7:$A$366,'Estimator'!$B$4,'Climate Data'!$B$7:$B$366,C3567)</x:f>
        <x:v>0.3721198156682028</x:v>
      </x:c>
      <x:c r="I3567" s="382" t="n">
        <x:f>SUMIFS('Climate Data'!$H$7:$H$366,'Climate Data'!$A$7:$A$366,'Estimator'!$B$4,'Climate Data'!$B$7:$B$366,C3567)</x:f>
        <x:v>7.940557275541795</x:v>
      </x:c>
      <x:c r="J3567" s="381" t="n">
        <x:f>SUMIFS('Wind Proxy'!$H$8:$H$19,'Wind Proxy'!$A$8:$A$19,'Estimator'!$B$4,'Wind Proxy'!$B$8:$B$19,C3567)</x:f>
        <x:v>0.21505376344086022</x:v>
      </x:c>
    </x:row>
    <x:row r="3568">
      <x:c r="A3568" s="379" t="n">
        <x:v>49219</x:v>
      </x:c>
      <x:c r="B3568" s="380" t="n">
        <x:v>2034</x:v>
      </x:c>
      <x:c r="C3568" s="380" t="n">
        <x:v>10</x:v>
      </x:c>
      <x:c r="D3568" s="380" t="str">
        <x:v>Oct</x:v>
      </x:c>
      <x:c r="E3568" s="380" t="n">
        <x:v>2</x:v>
      </x:c>
      <x:c r="F3568" s="380" t="n">
        <x:v>1</x:v>
      </x:c>
      <x:c r="G3568" s="380" t="n">
        <x:f>--(F3568&lt;='Estimator'!$B$7)</x:f>
        <x:v>1</x:v>
      </x:c>
      <x:c r="H3568" s="381" t="n">
        <x:f>SUMIFS('Climate Data'!$G$7:$G$366,'Climate Data'!$A$7:$A$366,'Estimator'!$B$4,'Climate Data'!$B$7:$B$366,C3568)</x:f>
        <x:v>0.3721198156682028</x:v>
      </x:c>
      <x:c r="I3568" s="382" t="n">
        <x:f>SUMIFS('Climate Data'!$H$7:$H$366,'Climate Data'!$A$7:$A$366,'Estimator'!$B$4,'Climate Data'!$B$7:$B$366,C3568)</x:f>
        <x:v>7.940557275541795</x:v>
      </x:c>
      <x:c r="J3568" s="381" t="n">
        <x:f>SUMIFS('Wind Proxy'!$H$8:$H$19,'Wind Proxy'!$A$8:$A$19,'Estimator'!$B$4,'Wind Proxy'!$B$8:$B$19,C3568)</x:f>
        <x:v>0.21505376344086022</x:v>
      </x:c>
    </x:row>
    <x:row r="3569">
      <x:c r="A3569" s="379" t="n">
        <x:v>49220</x:v>
      </x:c>
      <x:c r="B3569" s="380" t="n">
        <x:v>2034</x:v>
      </x:c>
      <x:c r="C3569" s="380" t="n">
        <x:v>10</x:v>
      </x:c>
      <x:c r="D3569" s="380" t="str">
        <x:v>Oct</x:v>
      </x:c>
      <x:c r="E3569" s="380" t="n">
        <x:v>3</x:v>
      </x:c>
      <x:c r="F3569" s="380" t="n">
        <x:v>2</x:v>
      </x:c>
      <x:c r="G3569" s="380" t="n">
        <x:f>--(F3569&lt;='Estimator'!$B$7)</x:f>
        <x:v>1</x:v>
      </x:c>
      <x:c r="H3569" s="381" t="n">
        <x:f>SUMIFS('Climate Data'!$G$7:$G$366,'Climate Data'!$A$7:$A$366,'Estimator'!$B$4,'Climate Data'!$B$7:$B$366,C3569)</x:f>
        <x:v>0.3721198156682028</x:v>
      </x:c>
      <x:c r="I3569" s="382" t="n">
        <x:f>SUMIFS('Climate Data'!$H$7:$H$366,'Climate Data'!$A$7:$A$366,'Estimator'!$B$4,'Climate Data'!$B$7:$B$366,C3569)</x:f>
        <x:v>7.940557275541795</x:v>
      </x:c>
      <x:c r="J3569" s="381" t="n">
        <x:f>SUMIFS('Wind Proxy'!$H$8:$H$19,'Wind Proxy'!$A$8:$A$19,'Estimator'!$B$4,'Wind Proxy'!$B$8:$B$19,C3569)</x:f>
        <x:v>0.21505376344086022</x:v>
      </x:c>
    </x:row>
    <x:row r="3570">
      <x:c r="A3570" s="379" t="n">
        <x:v>49221</x:v>
      </x:c>
      <x:c r="B3570" s="380" t="n">
        <x:v>2034</x:v>
      </x:c>
      <x:c r="C3570" s="380" t="n">
        <x:v>10</x:v>
      </x:c>
      <x:c r="D3570" s="380" t="str">
        <x:v>Oct</x:v>
      </x:c>
      <x:c r="E3570" s="380" t="n">
        <x:v>4</x:v>
      </x:c>
      <x:c r="F3570" s="380" t="n">
        <x:v>3</x:v>
      </x:c>
      <x:c r="G3570" s="380" t="n">
        <x:f>--(F3570&lt;='Estimator'!$B$7)</x:f>
        <x:v>1</x:v>
      </x:c>
      <x:c r="H3570" s="381" t="n">
        <x:f>SUMIFS('Climate Data'!$G$7:$G$366,'Climate Data'!$A$7:$A$366,'Estimator'!$B$4,'Climate Data'!$B$7:$B$366,C3570)</x:f>
        <x:v>0.3721198156682028</x:v>
      </x:c>
      <x:c r="I3570" s="382" t="n">
        <x:f>SUMIFS('Climate Data'!$H$7:$H$366,'Climate Data'!$A$7:$A$366,'Estimator'!$B$4,'Climate Data'!$B$7:$B$366,C3570)</x:f>
        <x:v>7.940557275541795</x:v>
      </x:c>
      <x:c r="J3570" s="381" t="n">
        <x:f>SUMIFS('Wind Proxy'!$H$8:$H$19,'Wind Proxy'!$A$8:$A$19,'Estimator'!$B$4,'Wind Proxy'!$B$8:$B$19,C3570)</x:f>
        <x:v>0.21505376344086022</x:v>
      </x:c>
    </x:row>
    <x:row r="3571">
      <x:c r="A3571" s="379" t="n">
        <x:v>49222</x:v>
      </x:c>
      <x:c r="B3571" s="380" t="n">
        <x:v>2034</x:v>
      </x:c>
      <x:c r="C3571" s="380" t="n">
        <x:v>10</x:v>
      </x:c>
      <x:c r="D3571" s="380" t="str">
        <x:v>Oct</x:v>
      </x:c>
      <x:c r="E3571" s="380" t="n">
        <x:v>5</x:v>
      </x:c>
      <x:c r="F3571" s="380" t="n">
        <x:v>4</x:v>
      </x:c>
      <x:c r="G3571" s="380" t="n">
        <x:f>--(F3571&lt;='Estimator'!$B$7)</x:f>
        <x:v>1</x:v>
      </x:c>
      <x:c r="H3571" s="381" t="n">
        <x:f>SUMIFS('Climate Data'!$G$7:$G$366,'Climate Data'!$A$7:$A$366,'Estimator'!$B$4,'Climate Data'!$B$7:$B$366,C3571)</x:f>
        <x:v>0.3721198156682028</x:v>
      </x:c>
      <x:c r="I3571" s="382" t="n">
        <x:f>SUMIFS('Climate Data'!$H$7:$H$366,'Climate Data'!$A$7:$A$366,'Estimator'!$B$4,'Climate Data'!$B$7:$B$366,C3571)</x:f>
        <x:v>7.940557275541795</x:v>
      </x:c>
      <x:c r="J3571" s="381" t="n">
        <x:f>SUMIFS('Wind Proxy'!$H$8:$H$19,'Wind Proxy'!$A$8:$A$19,'Estimator'!$B$4,'Wind Proxy'!$B$8:$B$19,C3571)</x:f>
        <x:v>0.21505376344086022</x:v>
      </x:c>
    </x:row>
    <x:row r="3572">
      <x:c r="A3572" s="379" t="n">
        <x:v>49223</x:v>
      </x:c>
      <x:c r="B3572" s="380" t="n">
        <x:v>2034</x:v>
      </x:c>
      <x:c r="C3572" s="380" t="n">
        <x:v>10</x:v>
      </x:c>
      <x:c r="D3572" s="380" t="str">
        <x:v>Oct</x:v>
      </x:c>
      <x:c r="E3572" s="380" t="n">
        <x:v>6</x:v>
      </x:c>
      <x:c r="F3572" s="380" t="n">
        <x:v>5</x:v>
      </x:c>
      <x:c r="G3572" s="380" t="n">
        <x:f>--(F3572&lt;='Estimator'!$B$7)</x:f>
        <x:v>1</x:v>
      </x:c>
      <x:c r="H3572" s="381" t="n">
        <x:f>SUMIFS('Climate Data'!$G$7:$G$366,'Climate Data'!$A$7:$A$366,'Estimator'!$B$4,'Climate Data'!$B$7:$B$366,C3572)</x:f>
        <x:v>0.3721198156682028</x:v>
      </x:c>
      <x:c r="I3572" s="382" t="n">
        <x:f>SUMIFS('Climate Data'!$H$7:$H$366,'Climate Data'!$A$7:$A$366,'Estimator'!$B$4,'Climate Data'!$B$7:$B$366,C3572)</x:f>
        <x:v>7.940557275541795</x:v>
      </x:c>
      <x:c r="J3572" s="381" t="n">
        <x:f>SUMIFS('Wind Proxy'!$H$8:$H$19,'Wind Proxy'!$A$8:$A$19,'Estimator'!$B$4,'Wind Proxy'!$B$8:$B$19,C3572)</x:f>
        <x:v>0.21505376344086022</x:v>
      </x:c>
    </x:row>
    <x:row r="3573">
      <x:c r="A3573" s="379" t="n">
        <x:v>49224</x:v>
      </x:c>
      <x:c r="B3573" s="380" t="n">
        <x:v>2034</x:v>
      </x:c>
      <x:c r="C3573" s="380" t="n">
        <x:v>10</x:v>
      </x:c>
      <x:c r="D3573" s="380" t="str">
        <x:v>Oct</x:v>
      </x:c>
      <x:c r="E3573" s="380" t="n">
        <x:v>7</x:v>
      </x:c>
      <x:c r="F3573" s="380" t="n">
        <x:v>6</x:v>
      </x:c>
      <x:c r="G3573" s="380" t="n">
        <x:f>--(F3573&lt;='Estimator'!$B$7)</x:f>
        <x:v>0</x:v>
      </x:c>
      <x:c r="H3573" s="381" t="n">
        <x:f>SUMIFS('Climate Data'!$G$7:$G$366,'Climate Data'!$A$7:$A$366,'Estimator'!$B$4,'Climate Data'!$B$7:$B$366,C3573)</x:f>
        <x:v>0.3721198156682028</x:v>
      </x:c>
      <x:c r="I3573" s="382" t="n">
        <x:f>SUMIFS('Climate Data'!$H$7:$H$366,'Climate Data'!$A$7:$A$366,'Estimator'!$B$4,'Climate Data'!$B$7:$B$366,C3573)</x:f>
        <x:v>7.940557275541795</x:v>
      </x:c>
      <x:c r="J3573" s="381" t="n">
        <x:f>SUMIFS('Wind Proxy'!$H$8:$H$19,'Wind Proxy'!$A$8:$A$19,'Estimator'!$B$4,'Wind Proxy'!$B$8:$B$19,C3573)</x:f>
        <x:v>0.21505376344086022</x:v>
      </x:c>
    </x:row>
    <x:row r="3574">
      <x:c r="A3574" s="379" t="n">
        <x:v>49225</x:v>
      </x:c>
      <x:c r="B3574" s="380" t="n">
        <x:v>2034</x:v>
      </x:c>
      <x:c r="C3574" s="380" t="n">
        <x:v>10</x:v>
      </x:c>
      <x:c r="D3574" s="380" t="str">
        <x:v>Oct</x:v>
      </x:c>
      <x:c r="E3574" s="380" t="n">
        <x:v>8</x:v>
      </x:c>
      <x:c r="F3574" s="380" t="n">
        <x:v>7</x:v>
      </x:c>
      <x:c r="G3574" s="380" t="n">
        <x:f>--(F3574&lt;='Estimator'!$B$7)</x:f>
        <x:v>0</x:v>
      </x:c>
      <x:c r="H3574" s="381" t="n">
        <x:f>SUMIFS('Climate Data'!$G$7:$G$366,'Climate Data'!$A$7:$A$366,'Estimator'!$B$4,'Climate Data'!$B$7:$B$366,C3574)</x:f>
        <x:v>0.3721198156682028</x:v>
      </x:c>
      <x:c r="I3574" s="382" t="n">
        <x:f>SUMIFS('Climate Data'!$H$7:$H$366,'Climate Data'!$A$7:$A$366,'Estimator'!$B$4,'Climate Data'!$B$7:$B$366,C3574)</x:f>
        <x:v>7.940557275541795</x:v>
      </x:c>
      <x:c r="J3574" s="381" t="n">
        <x:f>SUMIFS('Wind Proxy'!$H$8:$H$19,'Wind Proxy'!$A$8:$A$19,'Estimator'!$B$4,'Wind Proxy'!$B$8:$B$19,C3574)</x:f>
        <x:v>0.21505376344086022</x:v>
      </x:c>
    </x:row>
    <x:row r="3575">
      <x:c r="A3575" s="379" t="n">
        <x:v>49226</x:v>
      </x:c>
      <x:c r="B3575" s="380" t="n">
        <x:v>2034</x:v>
      </x:c>
      <x:c r="C3575" s="380" t="n">
        <x:v>10</x:v>
      </x:c>
      <x:c r="D3575" s="380" t="str">
        <x:v>Oct</x:v>
      </x:c>
      <x:c r="E3575" s="380" t="n">
        <x:v>9</x:v>
      </x:c>
      <x:c r="F3575" s="380" t="n">
        <x:v>1</x:v>
      </x:c>
      <x:c r="G3575" s="380" t="n">
        <x:f>--(F3575&lt;='Estimator'!$B$7)</x:f>
        <x:v>1</x:v>
      </x:c>
      <x:c r="H3575" s="381" t="n">
        <x:f>SUMIFS('Climate Data'!$G$7:$G$366,'Climate Data'!$A$7:$A$366,'Estimator'!$B$4,'Climate Data'!$B$7:$B$366,C3575)</x:f>
        <x:v>0.3721198156682028</x:v>
      </x:c>
      <x:c r="I3575" s="382" t="n">
        <x:f>SUMIFS('Climate Data'!$H$7:$H$366,'Climate Data'!$A$7:$A$366,'Estimator'!$B$4,'Climate Data'!$B$7:$B$366,C3575)</x:f>
        <x:v>7.940557275541795</x:v>
      </x:c>
      <x:c r="J3575" s="381" t="n">
        <x:f>SUMIFS('Wind Proxy'!$H$8:$H$19,'Wind Proxy'!$A$8:$A$19,'Estimator'!$B$4,'Wind Proxy'!$B$8:$B$19,C3575)</x:f>
        <x:v>0.21505376344086022</x:v>
      </x:c>
    </x:row>
    <x:row r="3576">
      <x:c r="A3576" s="379" t="n">
        <x:v>49227</x:v>
      </x:c>
      <x:c r="B3576" s="380" t="n">
        <x:v>2034</x:v>
      </x:c>
      <x:c r="C3576" s="380" t="n">
        <x:v>10</x:v>
      </x:c>
      <x:c r="D3576" s="380" t="str">
        <x:v>Oct</x:v>
      </x:c>
      <x:c r="E3576" s="380" t="n">
        <x:v>10</x:v>
      </x:c>
      <x:c r="F3576" s="380" t="n">
        <x:v>2</x:v>
      </x:c>
      <x:c r="G3576" s="380" t="n">
        <x:f>--(F3576&lt;='Estimator'!$B$7)</x:f>
        <x:v>1</x:v>
      </x:c>
      <x:c r="H3576" s="381" t="n">
        <x:f>SUMIFS('Climate Data'!$G$7:$G$366,'Climate Data'!$A$7:$A$366,'Estimator'!$B$4,'Climate Data'!$B$7:$B$366,C3576)</x:f>
        <x:v>0.3721198156682028</x:v>
      </x:c>
      <x:c r="I3576" s="382" t="n">
        <x:f>SUMIFS('Climate Data'!$H$7:$H$366,'Climate Data'!$A$7:$A$366,'Estimator'!$B$4,'Climate Data'!$B$7:$B$366,C3576)</x:f>
        <x:v>7.940557275541795</x:v>
      </x:c>
      <x:c r="J3576" s="381" t="n">
        <x:f>SUMIFS('Wind Proxy'!$H$8:$H$19,'Wind Proxy'!$A$8:$A$19,'Estimator'!$B$4,'Wind Proxy'!$B$8:$B$19,C3576)</x:f>
        <x:v>0.21505376344086022</x:v>
      </x:c>
    </x:row>
    <x:row r="3577">
      <x:c r="A3577" s="379" t="n">
        <x:v>49228</x:v>
      </x:c>
      <x:c r="B3577" s="380" t="n">
        <x:v>2034</x:v>
      </x:c>
      <x:c r="C3577" s="380" t="n">
        <x:v>10</x:v>
      </x:c>
      <x:c r="D3577" s="380" t="str">
        <x:v>Oct</x:v>
      </x:c>
      <x:c r="E3577" s="380" t="n">
        <x:v>11</x:v>
      </x:c>
      <x:c r="F3577" s="380" t="n">
        <x:v>3</x:v>
      </x:c>
      <x:c r="G3577" s="380" t="n">
        <x:f>--(F3577&lt;='Estimator'!$B$7)</x:f>
        <x:v>1</x:v>
      </x:c>
      <x:c r="H3577" s="381" t="n">
        <x:f>SUMIFS('Climate Data'!$G$7:$G$366,'Climate Data'!$A$7:$A$366,'Estimator'!$B$4,'Climate Data'!$B$7:$B$366,C3577)</x:f>
        <x:v>0.3721198156682028</x:v>
      </x:c>
      <x:c r="I3577" s="382" t="n">
        <x:f>SUMIFS('Climate Data'!$H$7:$H$366,'Climate Data'!$A$7:$A$366,'Estimator'!$B$4,'Climate Data'!$B$7:$B$366,C3577)</x:f>
        <x:v>7.940557275541795</x:v>
      </x:c>
      <x:c r="J3577" s="381" t="n">
        <x:f>SUMIFS('Wind Proxy'!$H$8:$H$19,'Wind Proxy'!$A$8:$A$19,'Estimator'!$B$4,'Wind Proxy'!$B$8:$B$19,C3577)</x:f>
        <x:v>0.21505376344086022</x:v>
      </x:c>
    </x:row>
    <x:row r="3578">
      <x:c r="A3578" s="379" t="n">
        <x:v>49229</x:v>
      </x:c>
      <x:c r="B3578" s="380" t="n">
        <x:v>2034</x:v>
      </x:c>
      <x:c r="C3578" s="380" t="n">
        <x:v>10</x:v>
      </x:c>
      <x:c r="D3578" s="380" t="str">
        <x:v>Oct</x:v>
      </x:c>
      <x:c r="E3578" s="380" t="n">
        <x:v>12</x:v>
      </x:c>
      <x:c r="F3578" s="380" t="n">
        <x:v>4</x:v>
      </x:c>
      <x:c r="G3578" s="380" t="n">
        <x:f>--(F3578&lt;='Estimator'!$B$7)</x:f>
        <x:v>1</x:v>
      </x:c>
      <x:c r="H3578" s="381" t="n">
        <x:f>SUMIFS('Climate Data'!$G$7:$G$366,'Climate Data'!$A$7:$A$366,'Estimator'!$B$4,'Climate Data'!$B$7:$B$366,C3578)</x:f>
        <x:v>0.3721198156682028</x:v>
      </x:c>
      <x:c r="I3578" s="382" t="n">
        <x:f>SUMIFS('Climate Data'!$H$7:$H$366,'Climate Data'!$A$7:$A$366,'Estimator'!$B$4,'Climate Data'!$B$7:$B$366,C3578)</x:f>
        <x:v>7.940557275541795</x:v>
      </x:c>
      <x:c r="J3578" s="381" t="n">
        <x:f>SUMIFS('Wind Proxy'!$H$8:$H$19,'Wind Proxy'!$A$8:$A$19,'Estimator'!$B$4,'Wind Proxy'!$B$8:$B$19,C3578)</x:f>
        <x:v>0.21505376344086022</x:v>
      </x:c>
    </x:row>
    <x:row r="3579">
      <x:c r="A3579" s="379" t="n">
        <x:v>49230</x:v>
      </x:c>
      <x:c r="B3579" s="380" t="n">
        <x:v>2034</x:v>
      </x:c>
      <x:c r="C3579" s="380" t="n">
        <x:v>10</x:v>
      </x:c>
      <x:c r="D3579" s="380" t="str">
        <x:v>Oct</x:v>
      </x:c>
      <x:c r="E3579" s="380" t="n">
        <x:v>13</x:v>
      </x:c>
      <x:c r="F3579" s="380" t="n">
        <x:v>5</x:v>
      </x:c>
      <x:c r="G3579" s="380" t="n">
        <x:f>--(F3579&lt;='Estimator'!$B$7)</x:f>
        <x:v>1</x:v>
      </x:c>
      <x:c r="H3579" s="381" t="n">
        <x:f>SUMIFS('Climate Data'!$G$7:$G$366,'Climate Data'!$A$7:$A$366,'Estimator'!$B$4,'Climate Data'!$B$7:$B$366,C3579)</x:f>
        <x:v>0.3721198156682028</x:v>
      </x:c>
      <x:c r="I3579" s="382" t="n">
        <x:f>SUMIFS('Climate Data'!$H$7:$H$366,'Climate Data'!$A$7:$A$366,'Estimator'!$B$4,'Climate Data'!$B$7:$B$366,C3579)</x:f>
        <x:v>7.940557275541795</x:v>
      </x:c>
      <x:c r="J3579" s="381" t="n">
        <x:f>SUMIFS('Wind Proxy'!$H$8:$H$19,'Wind Proxy'!$A$8:$A$19,'Estimator'!$B$4,'Wind Proxy'!$B$8:$B$19,C3579)</x:f>
        <x:v>0.21505376344086022</x:v>
      </x:c>
    </x:row>
    <x:row r="3580">
      <x:c r="A3580" s="379" t="n">
        <x:v>49231</x:v>
      </x:c>
      <x:c r="B3580" s="380" t="n">
        <x:v>2034</x:v>
      </x:c>
      <x:c r="C3580" s="380" t="n">
        <x:v>10</x:v>
      </x:c>
      <x:c r="D3580" s="380" t="str">
        <x:v>Oct</x:v>
      </x:c>
      <x:c r="E3580" s="380" t="n">
        <x:v>14</x:v>
      </x:c>
      <x:c r="F3580" s="380" t="n">
        <x:v>6</x:v>
      </x:c>
      <x:c r="G3580" s="380" t="n">
        <x:f>--(F3580&lt;='Estimator'!$B$7)</x:f>
        <x:v>0</x:v>
      </x:c>
      <x:c r="H3580" s="381" t="n">
        <x:f>SUMIFS('Climate Data'!$G$7:$G$366,'Climate Data'!$A$7:$A$366,'Estimator'!$B$4,'Climate Data'!$B$7:$B$366,C3580)</x:f>
        <x:v>0.3721198156682028</x:v>
      </x:c>
      <x:c r="I3580" s="382" t="n">
        <x:f>SUMIFS('Climate Data'!$H$7:$H$366,'Climate Data'!$A$7:$A$366,'Estimator'!$B$4,'Climate Data'!$B$7:$B$366,C3580)</x:f>
        <x:v>7.940557275541795</x:v>
      </x:c>
      <x:c r="J3580" s="381" t="n">
        <x:f>SUMIFS('Wind Proxy'!$H$8:$H$19,'Wind Proxy'!$A$8:$A$19,'Estimator'!$B$4,'Wind Proxy'!$B$8:$B$19,C3580)</x:f>
        <x:v>0.21505376344086022</x:v>
      </x:c>
    </x:row>
    <x:row r="3581">
      <x:c r="A3581" s="379" t="n">
        <x:v>49232</x:v>
      </x:c>
      <x:c r="B3581" s="380" t="n">
        <x:v>2034</x:v>
      </x:c>
      <x:c r="C3581" s="380" t="n">
        <x:v>10</x:v>
      </x:c>
      <x:c r="D3581" s="380" t="str">
        <x:v>Oct</x:v>
      </x:c>
      <x:c r="E3581" s="380" t="n">
        <x:v>15</x:v>
      </x:c>
      <x:c r="F3581" s="380" t="n">
        <x:v>7</x:v>
      </x:c>
      <x:c r="G3581" s="380" t="n">
        <x:f>--(F3581&lt;='Estimator'!$B$7)</x:f>
        <x:v>0</x:v>
      </x:c>
      <x:c r="H3581" s="381" t="n">
        <x:f>SUMIFS('Climate Data'!$G$7:$G$366,'Climate Data'!$A$7:$A$366,'Estimator'!$B$4,'Climate Data'!$B$7:$B$366,C3581)</x:f>
        <x:v>0.3721198156682028</x:v>
      </x:c>
      <x:c r="I3581" s="382" t="n">
        <x:f>SUMIFS('Climate Data'!$H$7:$H$366,'Climate Data'!$A$7:$A$366,'Estimator'!$B$4,'Climate Data'!$B$7:$B$366,C3581)</x:f>
        <x:v>7.940557275541795</x:v>
      </x:c>
      <x:c r="J3581" s="381" t="n">
        <x:f>SUMIFS('Wind Proxy'!$H$8:$H$19,'Wind Proxy'!$A$8:$A$19,'Estimator'!$B$4,'Wind Proxy'!$B$8:$B$19,C3581)</x:f>
        <x:v>0.21505376344086022</x:v>
      </x:c>
    </x:row>
    <x:row r="3582">
      <x:c r="A3582" s="379" t="n">
        <x:v>49233</x:v>
      </x:c>
      <x:c r="B3582" s="380" t="n">
        <x:v>2034</x:v>
      </x:c>
      <x:c r="C3582" s="380" t="n">
        <x:v>10</x:v>
      </x:c>
      <x:c r="D3582" s="380" t="str">
        <x:v>Oct</x:v>
      </x:c>
      <x:c r="E3582" s="380" t="n">
        <x:v>16</x:v>
      </x:c>
      <x:c r="F3582" s="380" t="n">
        <x:v>1</x:v>
      </x:c>
      <x:c r="G3582" s="380" t="n">
        <x:f>--(F3582&lt;='Estimator'!$B$7)</x:f>
        <x:v>1</x:v>
      </x:c>
      <x:c r="H3582" s="381" t="n">
        <x:f>SUMIFS('Climate Data'!$G$7:$G$366,'Climate Data'!$A$7:$A$366,'Estimator'!$B$4,'Climate Data'!$B$7:$B$366,C3582)</x:f>
        <x:v>0.3721198156682028</x:v>
      </x:c>
      <x:c r="I3582" s="382" t="n">
        <x:f>SUMIFS('Climate Data'!$H$7:$H$366,'Climate Data'!$A$7:$A$366,'Estimator'!$B$4,'Climate Data'!$B$7:$B$366,C3582)</x:f>
        <x:v>7.940557275541795</x:v>
      </x:c>
      <x:c r="J3582" s="381" t="n">
        <x:f>SUMIFS('Wind Proxy'!$H$8:$H$19,'Wind Proxy'!$A$8:$A$19,'Estimator'!$B$4,'Wind Proxy'!$B$8:$B$19,C3582)</x:f>
        <x:v>0.21505376344086022</x:v>
      </x:c>
    </x:row>
    <x:row r="3583">
      <x:c r="A3583" s="379" t="n">
        <x:v>49234</x:v>
      </x:c>
      <x:c r="B3583" s="380" t="n">
        <x:v>2034</x:v>
      </x:c>
      <x:c r="C3583" s="380" t="n">
        <x:v>10</x:v>
      </x:c>
      <x:c r="D3583" s="380" t="str">
        <x:v>Oct</x:v>
      </x:c>
      <x:c r="E3583" s="380" t="n">
        <x:v>17</x:v>
      </x:c>
      <x:c r="F3583" s="380" t="n">
        <x:v>2</x:v>
      </x:c>
      <x:c r="G3583" s="380" t="n">
        <x:f>--(F3583&lt;='Estimator'!$B$7)</x:f>
        <x:v>1</x:v>
      </x:c>
      <x:c r="H3583" s="381" t="n">
        <x:f>SUMIFS('Climate Data'!$G$7:$G$366,'Climate Data'!$A$7:$A$366,'Estimator'!$B$4,'Climate Data'!$B$7:$B$366,C3583)</x:f>
        <x:v>0.3721198156682028</x:v>
      </x:c>
      <x:c r="I3583" s="382" t="n">
        <x:f>SUMIFS('Climate Data'!$H$7:$H$366,'Climate Data'!$A$7:$A$366,'Estimator'!$B$4,'Climate Data'!$B$7:$B$366,C3583)</x:f>
        <x:v>7.940557275541795</x:v>
      </x:c>
      <x:c r="J3583" s="381" t="n">
        <x:f>SUMIFS('Wind Proxy'!$H$8:$H$19,'Wind Proxy'!$A$8:$A$19,'Estimator'!$B$4,'Wind Proxy'!$B$8:$B$19,C3583)</x:f>
        <x:v>0.21505376344086022</x:v>
      </x:c>
    </x:row>
    <x:row r="3584">
      <x:c r="A3584" s="379" t="n">
        <x:v>49235</x:v>
      </x:c>
      <x:c r="B3584" s="380" t="n">
        <x:v>2034</x:v>
      </x:c>
      <x:c r="C3584" s="380" t="n">
        <x:v>10</x:v>
      </x:c>
      <x:c r="D3584" s="380" t="str">
        <x:v>Oct</x:v>
      </x:c>
      <x:c r="E3584" s="380" t="n">
        <x:v>18</x:v>
      </x:c>
      <x:c r="F3584" s="380" t="n">
        <x:v>3</x:v>
      </x:c>
      <x:c r="G3584" s="380" t="n">
        <x:f>--(F3584&lt;='Estimator'!$B$7)</x:f>
        <x:v>1</x:v>
      </x:c>
      <x:c r="H3584" s="381" t="n">
        <x:f>SUMIFS('Climate Data'!$G$7:$G$366,'Climate Data'!$A$7:$A$366,'Estimator'!$B$4,'Climate Data'!$B$7:$B$366,C3584)</x:f>
        <x:v>0.3721198156682028</x:v>
      </x:c>
      <x:c r="I3584" s="382" t="n">
        <x:f>SUMIFS('Climate Data'!$H$7:$H$366,'Climate Data'!$A$7:$A$366,'Estimator'!$B$4,'Climate Data'!$B$7:$B$366,C3584)</x:f>
        <x:v>7.940557275541795</x:v>
      </x:c>
      <x:c r="J3584" s="381" t="n">
        <x:f>SUMIFS('Wind Proxy'!$H$8:$H$19,'Wind Proxy'!$A$8:$A$19,'Estimator'!$B$4,'Wind Proxy'!$B$8:$B$19,C3584)</x:f>
        <x:v>0.21505376344086022</x:v>
      </x:c>
    </x:row>
    <x:row r="3585">
      <x:c r="A3585" s="379" t="n">
        <x:v>49236</x:v>
      </x:c>
      <x:c r="B3585" s="380" t="n">
        <x:v>2034</x:v>
      </x:c>
      <x:c r="C3585" s="380" t="n">
        <x:v>10</x:v>
      </x:c>
      <x:c r="D3585" s="380" t="str">
        <x:v>Oct</x:v>
      </x:c>
      <x:c r="E3585" s="380" t="n">
        <x:v>19</x:v>
      </x:c>
      <x:c r="F3585" s="380" t="n">
        <x:v>4</x:v>
      </x:c>
      <x:c r="G3585" s="380" t="n">
        <x:f>--(F3585&lt;='Estimator'!$B$7)</x:f>
        <x:v>1</x:v>
      </x:c>
      <x:c r="H3585" s="381" t="n">
        <x:f>SUMIFS('Climate Data'!$G$7:$G$366,'Climate Data'!$A$7:$A$366,'Estimator'!$B$4,'Climate Data'!$B$7:$B$366,C3585)</x:f>
        <x:v>0.3721198156682028</x:v>
      </x:c>
      <x:c r="I3585" s="382" t="n">
        <x:f>SUMIFS('Climate Data'!$H$7:$H$366,'Climate Data'!$A$7:$A$366,'Estimator'!$B$4,'Climate Data'!$B$7:$B$366,C3585)</x:f>
        <x:v>7.940557275541795</x:v>
      </x:c>
      <x:c r="J3585" s="381" t="n">
        <x:f>SUMIFS('Wind Proxy'!$H$8:$H$19,'Wind Proxy'!$A$8:$A$19,'Estimator'!$B$4,'Wind Proxy'!$B$8:$B$19,C3585)</x:f>
        <x:v>0.21505376344086022</x:v>
      </x:c>
    </x:row>
    <x:row r="3586">
      <x:c r="A3586" s="379" t="n">
        <x:v>49237</x:v>
      </x:c>
      <x:c r="B3586" s="380" t="n">
        <x:v>2034</x:v>
      </x:c>
      <x:c r="C3586" s="380" t="n">
        <x:v>10</x:v>
      </x:c>
      <x:c r="D3586" s="380" t="str">
        <x:v>Oct</x:v>
      </x:c>
      <x:c r="E3586" s="380" t="n">
        <x:v>20</x:v>
      </x:c>
      <x:c r="F3586" s="380" t="n">
        <x:v>5</x:v>
      </x:c>
      <x:c r="G3586" s="380" t="n">
        <x:f>--(F3586&lt;='Estimator'!$B$7)</x:f>
        <x:v>1</x:v>
      </x:c>
      <x:c r="H3586" s="381" t="n">
        <x:f>SUMIFS('Climate Data'!$G$7:$G$366,'Climate Data'!$A$7:$A$366,'Estimator'!$B$4,'Climate Data'!$B$7:$B$366,C3586)</x:f>
        <x:v>0.3721198156682028</x:v>
      </x:c>
      <x:c r="I3586" s="382" t="n">
        <x:f>SUMIFS('Climate Data'!$H$7:$H$366,'Climate Data'!$A$7:$A$366,'Estimator'!$B$4,'Climate Data'!$B$7:$B$366,C3586)</x:f>
        <x:v>7.940557275541795</x:v>
      </x:c>
      <x:c r="J3586" s="381" t="n">
        <x:f>SUMIFS('Wind Proxy'!$H$8:$H$19,'Wind Proxy'!$A$8:$A$19,'Estimator'!$B$4,'Wind Proxy'!$B$8:$B$19,C3586)</x:f>
        <x:v>0.21505376344086022</x:v>
      </x:c>
    </x:row>
    <x:row r="3587">
      <x:c r="A3587" s="379" t="n">
        <x:v>49238</x:v>
      </x:c>
      <x:c r="B3587" s="380" t="n">
        <x:v>2034</x:v>
      </x:c>
      <x:c r="C3587" s="380" t="n">
        <x:v>10</x:v>
      </x:c>
      <x:c r="D3587" s="380" t="str">
        <x:v>Oct</x:v>
      </x:c>
      <x:c r="E3587" s="380" t="n">
        <x:v>21</x:v>
      </x:c>
      <x:c r="F3587" s="380" t="n">
        <x:v>6</x:v>
      </x:c>
      <x:c r="G3587" s="380" t="n">
        <x:f>--(F3587&lt;='Estimator'!$B$7)</x:f>
        <x:v>0</x:v>
      </x:c>
      <x:c r="H3587" s="381" t="n">
        <x:f>SUMIFS('Climate Data'!$G$7:$G$366,'Climate Data'!$A$7:$A$366,'Estimator'!$B$4,'Climate Data'!$B$7:$B$366,C3587)</x:f>
        <x:v>0.3721198156682028</x:v>
      </x:c>
      <x:c r="I3587" s="382" t="n">
        <x:f>SUMIFS('Climate Data'!$H$7:$H$366,'Climate Data'!$A$7:$A$366,'Estimator'!$B$4,'Climate Data'!$B$7:$B$366,C3587)</x:f>
        <x:v>7.940557275541795</x:v>
      </x:c>
      <x:c r="J3587" s="381" t="n">
        <x:f>SUMIFS('Wind Proxy'!$H$8:$H$19,'Wind Proxy'!$A$8:$A$19,'Estimator'!$B$4,'Wind Proxy'!$B$8:$B$19,C3587)</x:f>
        <x:v>0.21505376344086022</x:v>
      </x:c>
    </x:row>
    <x:row r="3588">
      <x:c r="A3588" s="379" t="n">
        <x:v>49239</x:v>
      </x:c>
      <x:c r="B3588" s="380" t="n">
        <x:v>2034</x:v>
      </x:c>
      <x:c r="C3588" s="380" t="n">
        <x:v>10</x:v>
      </x:c>
      <x:c r="D3588" s="380" t="str">
        <x:v>Oct</x:v>
      </x:c>
      <x:c r="E3588" s="380" t="n">
        <x:v>22</x:v>
      </x:c>
      <x:c r="F3588" s="380" t="n">
        <x:v>7</x:v>
      </x:c>
      <x:c r="G3588" s="380" t="n">
        <x:f>--(F3588&lt;='Estimator'!$B$7)</x:f>
        <x:v>0</x:v>
      </x:c>
      <x:c r="H3588" s="381" t="n">
        <x:f>SUMIFS('Climate Data'!$G$7:$G$366,'Climate Data'!$A$7:$A$366,'Estimator'!$B$4,'Climate Data'!$B$7:$B$366,C3588)</x:f>
        <x:v>0.3721198156682028</x:v>
      </x:c>
      <x:c r="I3588" s="382" t="n">
        <x:f>SUMIFS('Climate Data'!$H$7:$H$366,'Climate Data'!$A$7:$A$366,'Estimator'!$B$4,'Climate Data'!$B$7:$B$366,C3588)</x:f>
        <x:v>7.940557275541795</x:v>
      </x:c>
      <x:c r="J3588" s="381" t="n">
        <x:f>SUMIFS('Wind Proxy'!$H$8:$H$19,'Wind Proxy'!$A$8:$A$19,'Estimator'!$B$4,'Wind Proxy'!$B$8:$B$19,C3588)</x:f>
        <x:v>0.21505376344086022</x:v>
      </x:c>
    </x:row>
    <x:row r="3589">
      <x:c r="A3589" s="379" t="n">
        <x:v>49240</x:v>
      </x:c>
      <x:c r="B3589" s="380" t="n">
        <x:v>2034</x:v>
      </x:c>
      <x:c r="C3589" s="380" t="n">
        <x:v>10</x:v>
      </x:c>
      <x:c r="D3589" s="380" t="str">
        <x:v>Oct</x:v>
      </x:c>
      <x:c r="E3589" s="380" t="n">
        <x:v>23</x:v>
      </x:c>
      <x:c r="F3589" s="380" t="n">
        <x:v>1</x:v>
      </x:c>
      <x:c r="G3589" s="380" t="n">
        <x:f>--(F3589&lt;='Estimator'!$B$7)</x:f>
        <x:v>1</x:v>
      </x:c>
      <x:c r="H3589" s="381" t="n">
        <x:f>SUMIFS('Climate Data'!$G$7:$G$366,'Climate Data'!$A$7:$A$366,'Estimator'!$B$4,'Climate Data'!$B$7:$B$366,C3589)</x:f>
        <x:v>0.3721198156682028</x:v>
      </x:c>
      <x:c r="I3589" s="382" t="n">
        <x:f>SUMIFS('Climate Data'!$H$7:$H$366,'Climate Data'!$A$7:$A$366,'Estimator'!$B$4,'Climate Data'!$B$7:$B$366,C3589)</x:f>
        <x:v>7.940557275541795</x:v>
      </x:c>
      <x:c r="J3589" s="381" t="n">
        <x:f>SUMIFS('Wind Proxy'!$H$8:$H$19,'Wind Proxy'!$A$8:$A$19,'Estimator'!$B$4,'Wind Proxy'!$B$8:$B$19,C3589)</x:f>
        <x:v>0.21505376344086022</x:v>
      </x:c>
    </x:row>
    <x:row r="3590">
      <x:c r="A3590" s="379" t="n">
        <x:v>49241</x:v>
      </x:c>
      <x:c r="B3590" s="380" t="n">
        <x:v>2034</x:v>
      </x:c>
      <x:c r="C3590" s="380" t="n">
        <x:v>10</x:v>
      </x:c>
      <x:c r="D3590" s="380" t="str">
        <x:v>Oct</x:v>
      </x:c>
      <x:c r="E3590" s="380" t="n">
        <x:v>24</x:v>
      </x:c>
      <x:c r="F3590" s="380" t="n">
        <x:v>2</x:v>
      </x:c>
      <x:c r="G3590" s="380" t="n">
        <x:f>--(F3590&lt;='Estimator'!$B$7)</x:f>
        <x:v>1</x:v>
      </x:c>
      <x:c r="H3590" s="381" t="n">
        <x:f>SUMIFS('Climate Data'!$G$7:$G$366,'Climate Data'!$A$7:$A$366,'Estimator'!$B$4,'Climate Data'!$B$7:$B$366,C3590)</x:f>
        <x:v>0.3721198156682028</x:v>
      </x:c>
      <x:c r="I3590" s="382" t="n">
        <x:f>SUMIFS('Climate Data'!$H$7:$H$366,'Climate Data'!$A$7:$A$366,'Estimator'!$B$4,'Climate Data'!$B$7:$B$366,C3590)</x:f>
        <x:v>7.940557275541795</x:v>
      </x:c>
      <x:c r="J3590" s="381" t="n">
        <x:f>SUMIFS('Wind Proxy'!$H$8:$H$19,'Wind Proxy'!$A$8:$A$19,'Estimator'!$B$4,'Wind Proxy'!$B$8:$B$19,C3590)</x:f>
        <x:v>0.21505376344086022</x:v>
      </x:c>
    </x:row>
    <x:row r="3591">
      <x:c r="A3591" s="379" t="n">
        <x:v>49242</x:v>
      </x:c>
      <x:c r="B3591" s="380" t="n">
        <x:v>2034</x:v>
      </x:c>
      <x:c r="C3591" s="380" t="n">
        <x:v>10</x:v>
      </x:c>
      <x:c r="D3591" s="380" t="str">
        <x:v>Oct</x:v>
      </x:c>
      <x:c r="E3591" s="380" t="n">
        <x:v>25</x:v>
      </x:c>
      <x:c r="F3591" s="380" t="n">
        <x:v>3</x:v>
      </x:c>
      <x:c r="G3591" s="380" t="n">
        <x:f>--(F3591&lt;='Estimator'!$B$7)</x:f>
        <x:v>1</x:v>
      </x:c>
      <x:c r="H3591" s="381" t="n">
        <x:f>SUMIFS('Climate Data'!$G$7:$G$366,'Climate Data'!$A$7:$A$366,'Estimator'!$B$4,'Climate Data'!$B$7:$B$366,C3591)</x:f>
        <x:v>0.3721198156682028</x:v>
      </x:c>
      <x:c r="I3591" s="382" t="n">
        <x:f>SUMIFS('Climate Data'!$H$7:$H$366,'Climate Data'!$A$7:$A$366,'Estimator'!$B$4,'Climate Data'!$B$7:$B$366,C3591)</x:f>
        <x:v>7.940557275541795</x:v>
      </x:c>
      <x:c r="J3591" s="381" t="n">
        <x:f>SUMIFS('Wind Proxy'!$H$8:$H$19,'Wind Proxy'!$A$8:$A$19,'Estimator'!$B$4,'Wind Proxy'!$B$8:$B$19,C3591)</x:f>
        <x:v>0.21505376344086022</x:v>
      </x:c>
    </x:row>
    <x:row r="3592">
      <x:c r="A3592" s="379" t="n">
        <x:v>49243</x:v>
      </x:c>
      <x:c r="B3592" s="380" t="n">
        <x:v>2034</x:v>
      </x:c>
      <x:c r="C3592" s="380" t="n">
        <x:v>10</x:v>
      </x:c>
      <x:c r="D3592" s="380" t="str">
        <x:v>Oct</x:v>
      </x:c>
      <x:c r="E3592" s="380" t="n">
        <x:v>26</x:v>
      </x:c>
      <x:c r="F3592" s="380" t="n">
        <x:v>4</x:v>
      </x:c>
      <x:c r="G3592" s="380" t="n">
        <x:f>--(F3592&lt;='Estimator'!$B$7)</x:f>
        <x:v>1</x:v>
      </x:c>
      <x:c r="H3592" s="381" t="n">
        <x:f>SUMIFS('Climate Data'!$G$7:$G$366,'Climate Data'!$A$7:$A$366,'Estimator'!$B$4,'Climate Data'!$B$7:$B$366,C3592)</x:f>
        <x:v>0.3721198156682028</x:v>
      </x:c>
      <x:c r="I3592" s="382" t="n">
        <x:f>SUMIFS('Climate Data'!$H$7:$H$366,'Climate Data'!$A$7:$A$366,'Estimator'!$B$4,'Climate Data'!$B$7:$B$366,C3592)</x:f>
        <x:v>7.940557275541795</x:v>
      </x:c>
      <x:c r="J3592" s="381" t="n">
        <x:f>SUMIFS('Wind Proxy'!$H$8:$H$19,'Wind Proxy'!$A$8:$A$19,'Estimator'!$B$4,'Wind Proxy'!$B$8:$B$19,C3592)</x:f>
        <x:v>0.21505376344086022</x:v>
      </x:c>
    </x:row>
    <x:row r="3593">
      <x:c r="A3593" s="379" t="n">
        <x:v>49244</x:v>
      </x:c>
      <x:c r="B3593" s="380" t="n">
        <x:v>2034</x:v>
      </x:c>
      <x:c r="C3593" s="380" t="n">
        <x:v>10</x:v>
      </x:c>
      <x:c r="D3593" s="380" t="str">
        <x:v>Oct</x:v>
      </x:c>
      <x:c r="E3593" s="380" t="n">
        <x:v>27</x:v>
      </x:c>
      <x:c r="F3593" s="380" t="n">
        <x:v>5</x:v>
      </x:c>
      <x:c r="G3593" s="380" t="n">
        <x:f>--(F3593&lt;='Estimator'!$B$7)</x:f>
        <x:v>1</x:v>
      </x:c>
      <x:c r="H3593" s="381" t="n">
        <x:f>SUMIFS('Climate Data'!$G$7:$G$366,'Climate Data'!$A$7:$A$366,'Estimator'!$B$4,'Climate Data'!$B$7:$B$366,C3593)</x:f>
        <x:v>0.3721198156682028</x:v>
      </x:c>
      <x:c r="I3593" s="382" t="n">
        <x:f>SUMIFS('Climate Data'!$H$7:$H$366,'Climate Data'!$A$7:$A$366,'Estimator'!$B$4,'Climate Data'!$B$7:$B$366,C3593)</x:f>
        <x:v>7.940557275541795</x:v>
      </x:c>
      <x:c r="J3593" s="381" t="n">
        <x:f>SUMIFS('Wind Proxy'!$H$8:$H$19,'Wind Proxy'!$A$8:$A$19,'Estimator'!$B$4,'Wind Proxy'!$B$8:$B$19,C3593)</x:f>
        <x:v>0.21505376344086022</x:v>
      </x:c>
    </x:row>
    <x:row r="3594">
      <x:c r="A3594" s="379" t="n">
        <x:v>49245</x:v>
      </x:c>
      <x:c r="B3594" s="380" t="n">
        <x:v>2034</x:v>
      </x:c>
      <x:c r="C3594" s="380" t="n">
        <x:v>10</x:v>
      </x:c>
      <x:c r="D3594" s="380" t="str">
        <x:v>Oct</x:v>
      </x:c>
      <x:c r="E3594" s="380" t="n">
        <x:v>28</x:v>
      </x:c>
      <x:c r="F3594" s="380" t="n">
        <x:v>6</x:v>
      </x:c>
      <x:c r="G3594" s="380" t="n">
        <x:f>--(F3594&lt;='Estimator'!$B$7)</x:f>
        <x:v>0</x:v>
      </x:c>
      <x:c r="H3594" s="381" t="n">
        <x:f>SUMIFS('Climate Data'!$G$7:$G$366,'Climate Data'!$A$7:$A$366,'Estimator'!$B$4,'Climate Data'!$B$7:$B$366,C3594)</x:f>
        <x:v>0.3721198156682028</x:v>
      </x:c>
      <x:c r="I3594" s="382" t="n">
        <x:f>SUMIFS('Climate Data'!$H$7:$H$366,'Climate Data'!$A$7:$A$366,'Estimator'!$B$4,'Climate Data'!$B$7:$B$366,C3594)</x:f>
        <x:v>7.940557275541795</x:v>
      </x:c>
      <x:c r="J3594" s="381" t="n">
        <x:f>SUMIFS('Wind Proxy'!$H$8:$H$19,'Wind Proxy'!$A$8:$A$19,'Estimator'!$B$4,'Wind Proxy'!$B$8:$B$19,C3594)</x:f>
        <x:v>0.21505376344086022</x:v>
      </x:c>
    </x:row>
    <x:row r="3595">
      <x:c r="A3595" s="379" t="n">
        <x:v>49246</x:v>
      </x:c>
      <x:c r="B3595" s="380" t="n">
        <x:v>2034</x:v>
      </x:c>
      <x:c r="C3595" s="380" t="n">
        <x:v>10</x:v>
      </x:c>
      <x:c r="D3595" s="380" t="str">
        <x:v>Oct</x:v>
      </x:c>
      <x:c r="E3595" s="380" t="n">
        <x:v>29</x:v>
      </x:c>
      <x:c r="F3595" s="380" t="n">
        <x:v>7</x:v>
      </x:c>
      <x:c r="G3595" s="380" t="n">
        <x:f>--(F3595&lt;='Estimator'!$B$7)</x:f>
        <x:v>0</x:v>
      </x:c>
      <x:c r="H3595" s="381" t="n">
        <x:f>SUMIFS('Climate Data'!$G$7:$G$366,'Climate Data'!$A$7:$A$366,'Estimator'!$B$4,'Climate Data'!$B$7:$B$366,C3595)</x:f>
        <x:v>0.3721198156682028</x:v>
      </x:c>
      <x:c r="I3595" s="382" t="n">
        <x:f>SUMIFS('Climate Data'!$H$7:$H$366,'Climate Data'!$A$7:$A$366,'Estimator'!$B$4,'Climate Data'!$B$7:$B$366,C3595)</x:f>
        <x:v>7.940557275541795</x:v>
      </x:c>
      <x:c r="J3595" s="381" t="n">
        <x:f>SUMIFS('Wind Proxy'!$H$8:$H$19,'Wind Proxy'!$A$8:$A$19,'Estimator'!$B$4,'Wind Proxy'!$B$8:$B$19,C3595)</x:f>
        <x:v>0.21505376344086022</x:v>
      </x:c>
    </x:row>
    <x:row r="3596">
      <x:c r="A3596" s="379" t="n">
        <x:v>49247</x:v>
      </x:c>
      <x:c r="B3596" s="380" t="n">
        <x:v>2034</x:v>
      </x:c>
      <x:c r="C3596" s="380" t="n">
        <x:v>10</x:v>
      </x:c>
      <x:c r="D3596" s="380" t="str">
        <x:v>Oct</x:v>
      </x:c>
      <x:c r="E3596" s="380" t="n">
        <x:v>30</x:v>
      </x:c>
      <x:c r="F3596" s="380" t="n">
        <x:v>1</x:v>
      </x:c>
      <x:c r="G3596" s="380" t="n">
        <x:f>--(F3596&lt;='Estimator'!$B$7)</x:f>
        <x:v>1</x:v>
      </x:c>
      <x:c r="H3596" s="381" t="n">
        <x:f>SUMIFS('Climate Data'!$G$7:$G$366,'Climate Data'!$A$7:$A$366,'Estimator'!$B$4,'Climate Data'!$B$7:$B$366,C3596)</x:f>
        <x:v>0.3721198156682028</x:v>
      </x:c>
      <x:c r="I3596" s="382" t="n">
        <x:f>SUMIFS('Climate Data'!$H$7:$H$366,'Climate Data'!$A$7:$A$366,'Estimator'!$B$4,'Climate Data'!$B$7:$B$366,C3596)</x:f>
        <x:v>7.940557275541795</x:v>
      </x:c>
      <x:c r="J3596" s="381" t="n">
        <x:f>SUMIFS('Wind Proxy'!$H$8:$H$19,'Wind Proxy'!$A$8:$A$19,'Estimator'!$B$4,'Wind Proxy'!$B$8:$B$19,C3596)</x:f>
        <x:v>0.21505376344086022</x:v>
      </x:c>
    </x:row>
    <x:row r="3597">
      <x:c r="A3597" s="379" t="n">
        <x:v>49248</x:v>
      </x:c>
      <x:c r="B3597" s="380" t="n">
        <x:v>2034</x:v>
      </x:c>
      <x:c r="C3597" s="380" t="n">
        <x:v>10</x:v>
      </x:c>
      <x:c r="D3597" s="380" t="str">
        <x:v>Oct</x:v>
      </x:c>
      <x:c r="E3597" s="380" t="n">
        <x:v>31</x:v>
      </x:c>
      <x:c r="F3597" s="380" t="n">
        <x:v>2</x:v>
      </x:c>
      <x:c r="G3597" s="380" t="n">
        <x:f>--(F3597&lt;='Estimator'!$B$7)</x:f>
        <x:v>1</x:v>
      </x:c>
      <x:c r="H3597" s="381" t="n">
        <x:f>SUMIFS('Climate Data'!$G$7:$G$366,'Climate Data'!$A$7:$A$366,'Estimator'!$B$4,'Climate Data'!$B$7:$B$366,C3597)</x:f>
        <x:v>0.3721198156682028</x:v>
      </x:c>
      <x:c r="I3597" s="382" t="n">
        <x:f>SUMIFS('Climate Data'!$H$7:$H$366,'Climate Data'!$A$7:$A$366,'Estimator'!$B$4,'Climate Data'!$B$7:$B$366,C3597)</x:f>
        <x:v>7.940557275541795</x:v>
      </x:c>
      <x:c r="J3597" s="381" t="n">
        <x:f>SUMIFS('Wind Proxy'!$H$8:$H$19,'Wind Proxy'!$A$8:$A$19,'Estimator'!$B$4,'Wind Proxy'!$B$8:$B$19,C3597)</x:f>
        <x:v>0.21505376344086022</x:v>
      </x:c>
    </x:row>
    <x:row r="3598">
      <x:c r="A3598" s="379" t="n">
        <x:v>49249</x:v>
      </x:c>
      <x:c r="B3598" s="380" t="n">
        <x:v>2034</x:v>
      </x:c>
      <x:c r="C3598" s="380" t="n">
        <x:v>11</x:v>
      </x:c>
      <x:c r="D3598" s="380" t="str">
        <x:v>Nov</x:v>
      </x:c>
      <x:c r="E3598" s="380" t="n">
        <x:v>1</x:v>
      </x:c>
      <x:c r="F3598" s="380" t="n">
        <x:v>3</x:v>
      </x:c>
      <x:c r="G3598" s="380" t="n">
        <x:f>--(F3598&lt;='Estimator'!$B$7)</x:f>
        <x:v>1</x:v>
      </x:c>
      <x:c r="H3598" s="381" t="n">
        <x:f>SUMIFS('Climate Data'!$G$7:$G$366,'Climate Data'!$A$7:$A$366,'Estimator'!$B$4,'Climate Data'!$B$7:$B$366,C3598)</x:f>
        <x:v>0.3111111111111111</x:v>
      </x:c>
      <x:c r="I3598" s="382" t="n">
        <x:f>SUMIFS('Climate Data'!$H$7:$H$366,'Climate Data'!$A$7:$A$366,'Estimator'!$B$4,'Climate Data'!$B$7:$B$366,C3598)</x:f>
        <x:v>7.382142857142857</x:v>
      </x:c>
      <x:c r="J3598" s="381" t="n">
        <x:f>SUMIFS('Wind Proxy'!$H$8:$H$19,'Wind Proxy'!$A$8:$A$19,'Estimator'!$B$4,'Wind Proxy'!$B$8:$B$19,C3598)</x:f>
        <x:v>0.22222222222222224</x:v>
      </x:c>
    </x:row>
    <x:row r="3599">
      <x:c r="A3599" s="379" t="n">
        <x:v>49250</x:v>
      </x:c>
      <x:c r="B3599" s="380" t="n">
        <x:v>2034</x:v>
      </x:c>
      <x:c r="C3599" s="380" t="n">
        <x:v>11</x:v>
      </x:c>
      <x:c r="D3599" s="380" t="str">
        <x:v>Nov</x:v>
      </x:c>
      <x:c r="E3599" s="380" t="n">
        <x:v>2</x:v>
      </x:c>
      <x:c r="F3599" s="380" t="n">
        <x:v>4</x:v>
      </x:c>
      <x:c r="G3599" s="380" t="n">
        <x:f>--(F3599&lt;='Estimator'!$B$7)</x:f>
        <x:v>1</x:v>
      </x:c>
      <x:c r="H3599" s="381" t="n">
        <x:f>SUMIFS('Climate Data'!$G$7:$G$366,'Climate Data'!$A$7:$A$366,'Estimator'!$B$4,'Climate Data'!$B$7:$B$366,C3599)</x:f>
        <x:v>0.3111111111111111</x:v>
      </x:c>
      <x:c r="I3599" s="382" t="n">
        <x:f>SUMIFS('Climate Data'!$H$7:$H$366,'Climate Data'!$A$7:$A$366,'Estimator'!$B$4,'Climate Data'!$B$7:$B$366,C3599)</x:f>
        <x:v>7.382142857142857</x:v>
      </x:c>
      <x:c r="J3599" s="381" t="n">
        <x:f>SUMIFS('Wind Proxy'!$H$8:$H$19,'Wind Proxy'!$A$8:$A$19,'Estimator'!$B$4,'Wind Proxy'!$B$8:$B$19,C3599)</x:f>
        <x:v>0.22222222222222224</x:v>
      </x:c>
    </x:row>
    <x:row r="3600">
      <x:c r="A3600" s="379" t="n">
        <x:v>49251</x:v>
      </x:c>
      <x:c r="B3600" s="380" t="n">
        <x:v>2034</x:v>
      </x:c>
      <x:c r="C3600" s="380" t="n">
        <x:v>11</x:v>
      </x:c>
      <x:c r="D3600" s="380" t="str">
        <x:v>Nov</x:v>
      </x:c>
      <x:c r="E3600" s="380" t="n">
        <x:v>3</x:v>
      </x:c>
      <x:c r="F3600" s="380" t="n">
        <x:v>5</x:v>
      </x:c>
      <x:c r="G3600" s="380" t="n">
        <x:f>--(F3600&lt;='Estimator'!$B$7)</x:f>
        <x:v>1</x:v>
      </x:c>
      <x:c r="H3600" s="381" t="n">
        <x:f>SUMIFS('Climate Data'!$G$7:$G$366,'Climate Data'!$A$7:$A$366,'Estimator'!$B$4,'Climate Data'!$B$7:$B$366,C3600)</x:f>
        <x:v>0.3111111111111111</x:v>
      </x:c>
      <x:c r="I3600" s="382" t="n">
        <x:f>SUMIFS('Climate Data'!$H$7:$H$366,'Climate Data'!$A$7:$A$366,'Estimator'!$B$4,'Climate Data'!$B$7:$B$366,C3600)</x:f>
        <x:v>7.382142857142857</x:v>
      </x:c>
      <x:c r="J3600" s="381" t="n">
        <x:f>SUMIFS('Wind Proxy'!$H$8:$H$19,'Wind Proxy'!$A$8:$A$19,'Estimator'!$B$4,'Wind Proxy'!$B$8:$B$19,C3600)</x:f>
        <x:v>0.22222222222222224</x:v>
      </x:c>
    </x:row>
    <x:row r="3601">
      <x:c r="A3601" s="379" t="n">
        <x:v>49252</x:v>
      </x:c>
      <x:c r="B3601" s="380" t="n">
        <x:v>2034</x:v>
      </x:c>
      <x:c r="C3601" s="380" t="n">
        <x:v>11</x:v>
      </x:c>
      <x:c r="D3601" s="380" t="str">
        <x:v>Nov</x:v>
      </x:c>
      <x:c r="E3601" s="380" t="n">
        <x:v>4</x:v>
      </x:c>
      <x:c r="F3601" s="380" t="n">
        <x:v>6</x:v>
      </x:c>
      <x:c r="G3601" s="380" t="n">
        <x:f>--(F3601&lt;='Estimator'!$B$7)</x:f>
        <x:v>0</x:v>
      </x:c>
      <x:c r="H3601" s="381" t="n">
        <x:f>SUMIFS('Climate Data'!$G$7:$G$366,'Climate Data'!$A$7:$A$366,'Estimator'!$B$4,'Climate Data'!$B$7:$B$366,C3601)</x:f>
        <x:v>0.3111111111111111</x:v>
      </x:c>
      <x:c r="I3601" s="382" t="n">
        <x:f>SUMIFS('Climate Data'!$H$7:$H$366,'Climate Data'!$A$7:$A$366,'Estimator'!$B$4,'Climate Data'!$B$7:$B$366,C3601)</x:f>
        <x:v>7.382142857142857</x:v>
      </x:c>
      <x:c r="J3601" s="381" t="n">
        <x:f>SUMIFS('Wind Proxy'!$H$8:$H$19,'Wind Proxy'!$A$8:$A$19,'Estimator'!$B$4,'Wind Proxy'!$B$8:$B$19,C3601)</x:f>
        <x:v>0.22222222222222224</x:v>
      </x:c>
    </x:row>
    <x:row r="3602">
      <x:c r="A3602" s="379" t="n">
        <x:v>49253</x:v>
      </x:c>
      <x:c r="B3602" s="380" t="n">
        <x:v>2034</x:v>
      </x:c>
      <x:c r="C3602" s="380" t="n">
        <x:v>11</x:v>
      </x:c>
      <x:c r="D3602" s="380" t="str">
        <x:v>Nov</x:v>
      </x:c>
      <x:c r="E3602" s="380" t="n">
        <x:v>5</x:v>
      </x:c>
      <x:c r="F3602" s="380" t="n">
        <x:v>7</x:v>
      </x:c>
      <x:c r="G3602" s="380" t="n">
        <x:f>--(F3602&lt;='Estimator'!$B$7)</x:f>
        <x:v>0</x:v>
      </x:c>
      <x:c r="H3602" s="381" t="n">
        <x:f>SUMIFS('Climate Data'!$G$7:$G$366,'Climate Data'!$A$7:$A$366,'Estimator'!$B$4,'Climate Data'!$B$7:$B$366,C3602)</x:f>
        <x:v>0.3111111111111111</x:v>
      </x:c>
      <x:c r="I3602" s="382" t="n">
        <x:f>SUMIFS('Climate Data'!$H$7:$H$366,'Climate Data'!$A$7:$A$366,'Estimator'!$B$4,'Climate Data'!$B$7:$B$366,C3602)</x:f>
        <x:v>7.382142857142857</x:v>
      </x:c>
      <x:c r="J3602" s="381" t="n">
        <x:f>SUMIFS('Wind Proxy'!$H$8:$H$19,'Wind Proxy'!$A$8:$A$19,'Estimator'!$B$4,'Wind Proxy'!$B$8:$B$19,C3602)</x:f>
        <x:v>0.22222222222222224</x:v>
      </x:c>
    </x:row>
    <x:row r="3603">
      <x:c r="A3603" s="379" t="n">
        <x:v>49254</x:v>
      </x:c>
      <x:c r="B3603" s="380" t="n">
        <x:v>2034</x:v>
      </x:c>
      <x:c r="C3603" s="380" t="n">
        <x:v>11</x:v>
      </x:c>
      <x:c r="D3603" s="380" t="str">
        <x:v>Nov</x:v>
      </x:c>
      <x:c r="E3603" s="380" t="n">
        <x:v>6</x:v>
      </x:c>
      <x:c r="F3603" s="380" t="n">
        <x:v>1</x:v>
      </x:c>
      <x:c r="G3603" s="380" t="n">
        <x:f>--(F3603&lt;='Estimator'!$B$7)</x:f>
        <x:v>1</x:v>
      </x:c>
      <x:c r="H3603" s="381" t="n">
        <x:f>SUMIFS('Climate Data'!$G$7:$G$366,'Climate Data'!$A$7:$A$366,'Estimator'!$B$4,'Climate Data'!$B$7:$B$366,C3603)</x:f>
        <x:v>0.3111111111111111</x:v>
      </x:c>
      <x:c r="I3603" s="382" t="n">
        <x:f>SUMIFS('Climate Data'!$H$7:$H$366,'Climate Data'!$A$7:$A$366,'Estimator'!$B$4,'Climate Data'!$B$7:$B$366,C3603)</x:f>
        <x:v>7.382142857142857</x:v>
      </x:c>
      <x:c r="J3603" s="381" t="n">
        <x:f>SUMIFS('Wind Proxy'!$H$8:$H$19,'Wind Proxy'!$A$8:$A$19,'Estimator'!$B$4,'Wind Proxy'!$B$8:$B$19,C3603)</x:f>
        <x:v>0.22222222222222224</x:v>
      </x:c>
    </x:row>
    <x:row r="3604">
      <x:c r="A3604" s="379" t="n">
        <x:v>49255</x:v>
      </x:c>
      <x:c r="B3604" s="380" t="n">
        <x:v>2034</x:v>
      </x:c>
      <x:c r="C3604" s="380" t="n">
        <x:v>11</x:v>
      </x:c>
      <x:c r="D3604" s="380" t="str">
        <x:v>Nov</x:v>
      </x:c>
      <x:c r="E3604" s="380" t="n">
        <x:v>7</x:v>
      </x:c>
      <x:c r="F3604" s="380" t="n">
        <x:v>2</x:v>
      </x:c>
      <x:c r="G3604" s="380" t="n">
        <x:f>--(F3604&lt;='Estimator'!$B$7)</x:f>
        <x:v>1</x:v>
      </x:c>
      <x:c r="H3604" s="381" t="n">
        <x:f>SUMIFS('Climate Data'!$G$7:$G$366,'Climate Data'!$A$7:$A$366,'Estimator'!$B$4,'Climate Data'!$B$7:$B$366,C3604)</x:f>
        <x:v>0.3111111111111111</x:v>
      </x:c>
      <x:c r="I3604" s="382" t="n">
        <x:f>SUMIFS('Climate Data'!$H$7:$H$366,'Climate Data'!$A$7:$A$366,'Estimator'!$B$4,'Climate Data'!$B$7:$B$366,C3604)</x:f>
        <x:v>7.382142857142857</x:v>
      </x:c>
      <x:c r="J3604" s="381" t="n">
        <x:f>SUMIFS('Wind Proxy'!$H$8:$H$19,'Wind Proxy'!$A$8:$A$19,'Estimator'!$B$4,'Wind Proxy'!$B$8:$B$19,C3604)</x:f>
        <x:v>0.22222222222222224</x:v>
      </x:c>
    </x:row>
    <x:row r="3605">
      <x:c r="A3605" s="379" t="n">
        <x:v>49256</x:v>
      </x:c>
      <x:c r="B3605" s="380" t="n">
        <x:v>2034</x:v>
      </x:c>
      <x:c r="C3605" s="380" t="n">
        <x:v>11</x:v>
      </x:c>
      <x:c r="D3605" s="380" t="str">
        <x:v>Nov</x:v>
      </x:c>
      <x:c r="E3605" s="380" t="n">
        <x:v>8</x:v>
      </x:c>
      <x:c r="F3605" s="380" t="n">
        <x:v>3</x:v>
      </x:c>
      <x:c r="G3605" s="380" t="n">
        <x:f>--(F3605&lt;='Estimator'!$B$7)</x:f>
        <x:v>1</x:v>
      </x:c>
      <x:c r="H3605" s="381" t="n">
        <x:f>SUMIFS('Climate Data'!$G$7:$G$366,'Climate Data'!$A$7:$A$366,'Estimator'!$B$4,'Climate Data'!$B$7:$B$366,C3605)</x:f>
        <x:v>0.3111111111111111</x:v>
      </x:c>
      <x:c r="I3605" s="382" t="n">
        <x:f>SUMIFS('Climate Data'!$H$7:$H$366,'Climate Data'!$A$7:$A$366,'Estimator'!$B$4,'Climate Data'!$B$7:$B$366,C3605)</x:f>
        <x:v>7.382142857142857</x:v>
      </x:c>
      <x:c r="J3605" s="381" t="n">
        <x:f>SUMIFS('Wind Proxy'!$H$8:$H$19,'Wind Proxy'!$A$8:$A$19,'Estimator'!$B$4,'Wind Proxy'!$B$8:$B$19,C3605)</x:f>
        <x:v>0.22222222222222224</x:v>
      </x:c>
    </x:row>
    <x:row r="3606">
      <x:c r="A3606" s="379" t="n">
        <x:v>49257</x:v>
      </x:c>
      <x:c r="B3606" s="380" t="n">
        <x:v>2034</x:v>
      </x:c>
      <x:c r="C3606" s="380" t="n">
        <x:v>11</x:v>
      </x:c>
      <x:c r="D3606" s="380" t="str">
        <x:v>Nov</x:v>
      </x:c>
      <x:c r="E3606" s="380" t="n">
        <x:v>9</x:v>
      </x:c>
      <x:c r="F3606" s="380" t="n">
        <x:v>4</x:v>
      </x:c>
      <x:c r="G3606" s="380" t="n">
        <x:f>--(F3606&lt;='Estimator'!$B$7)</x:f>
        <x:v>1</x:v>
      </x:c>
      <x:c r="H3606" s="381" t="n">
        <x:f>SUMIFS('Climate Data'!$G$7:$G$366,'Climate Data'!$A$7:$A$366,'Estimator'!$B$4,'Climate Data'!$B$7:$B$366,C3606)</x:f>
        <x:v>0.3111111111111111</x:v>
      </x:c>
      <x:c r="I3606" s="382" t="n">
        <x:f>SUMIFS('Climate Data'!$H$7:$H$366,'Climate Data'!$A$7:$A$366,'Estimator'!$B$4,'Climate Data'!$B$7:$B$366,C3606)</x:f>
        <x:v>7.382142857142857</x:v>
      </x:c>
      <x:c r="J3606" s="381" t="n">
        <x:f>SUMIFS('Wind Proxy'!$H$8:$H$19,'Wind Proxy'!$A$8:$A$19,'Estimator'!$B$4,'Wind Proxy'!$B$8:$B$19,C3606)</x:f>
        <x:v>0.22222222222222224</x:v>
      </x:c>
    </x:row>
    <x:row r="3607">
      <x:c r="A3607" s="379" t="n">
        <x:v>49258</x:v>
      </x:c>
      <x:c r="B3607" s="380" t="n">
        <x:v>2034</x:v>
      </x:c>
      <x:c r="C3607" s="380" t="n">
        <x:v>11</x:v>
      </x:c>
      <x:c r="D3607" s="380" t="str">
        <x:v>Nov</x:v>
      </x:c>
      <x:c r="E3607" s="380" t="n">
        <x:v>10</x:v>
      </x:c>
      <x:c r="F3607" s="380" t="n">
        <x:v>5</x:v>
      </x:c>
      <x:c r="G3607" s="380" t="n">
        <x:f>--(F3607&lt;='Estimator'!$B$7)</x:f>
        <x:v>1</x:v>
      </x:c>
      <x:c r="H3607" s="381" t="n">
        <x:f>SUMIFS('Climate Data'!$G$7:$G$366,'Climate Data'!$A$7:$A$366,'Estimator'!$B$4,'Climate Data'!$B$7:$B$366,C3607)</x:f>
        <x:v>0.3111111111111111</x:v>
      </x:c>
      <x:c r="I3607" s="382" t="n">
        <x:f>SUMIFS('Climate Data'!$H$7:$H$366,'Climate Data'!$A$7:$A$366,'Estimator'!$B$4,'Climate Data'!$B$7:$B$366,C3607)</x:f>
        <x:v>7.382142857142857</x:v>
      </x:c>
      <x:c r="J3607" s="381" t="n">
        <x:f>SUMIFS('Wind Proxy'!$H$8:$H$19,'Wind Proxy'!$A$8:$A$19,'Estimator'!$B$4,'Wind Proxy'!$B$8:$B$19,C3607)</x:f>
        <x:v>0.22222222222222224</x:v>
      </x:c>
    </x:row>
    <x:row r="3608">
      <x:c r="A3608" s="379" t="n">
        <x:v>49259</x:v>
      </x:c>
      <x:c r="B3608" s="380" t="n">
        <x:v>2034</x:v>
      </x:c>
      <x:c r="C3608" s="380" t="n">
        <x:v>11</x:v>
      </x:c>
      <x:c r="D3608" s="380" t="str">
        <x:v>Nov</x:v>
      </x:c>
      <x:c r="E3608" s="380" t="n">
        <x:v>11</x:v>
      </x:c>
      <x:c r="F3608" s="380" t="n">
        <x:v>6</x:v>
      </x:c>
      <x:c r="G3608" s="380" t="n">
        <x:f>--(F3608&lt;='Estimator'!$B$7)</x:f>
        <x:v>0</x:v>
      </x:c>
      <x:c r="H3608" s="381" t="n">
        <x:f>SUMIFS('Climate Data'!$G$7:$G$366,'Climate Data'!$A$7:$A$366,'Estimator'!$B$4,'Climate Data'!$B$7:$B$366,C3608)</x:f>
        <x:v>0.3111111111111111</x:v>
      </x:c>
      <x:c r="I3608" s="382" t="n">
        <x:f>SUMIFS('Climate Data'!$H$7:$H$366,'Climate Data'!$A$7:$A$366,'Estimator'!$B$4,'Climate Data'!$B$7:$B$366,C3608)</x:f>
        <x:v>7.382142857142857</x:v>
      </x:c>
      <x:c r="J3608" s="381" t="n">
        <x:f>SUMIFS('Wind Proxy'!$H$8:$H$19,'Wind Proxy'!$A$8:$A$19,'Estimator'!$B$4,'Wind Proxy'!$B$8:$B$19,C3608)</x:f>
        <x:v>0.22222222222222224</x:v>
      </x:c>
    </x:row>
    <x:row r="3609">
      <x:c r="A3609" s="379" t="n">
        <x:v>49260</x:v>
      </x:c>
      <x:c r="B3609" s="380" t="n">
        <x:v>2034</x:v>
      </x:c>
      <x:c r="C3609" s="380" t="n">
        <x:v>11</x:v>
      </x:c>
      <x:c r="D3609" s="380" t="str">
        <x:v>Nov</x:v>
      </x:c>
      <x:c r="E3609" s="380" t="n">
        <x:v>12</x:v>
      </x:c>
      <x:c r="F3609" s="380" t="n">
        <x:v>7</x:v>
      </x:c>
      <x:c r="G3609" s="380" t="n">
        <x:f>--(F3609&lt;='Estimator'!$B$7)</x:f>
        <x:v>0</x:v>
      </x:c>
      <x:c r="H3609" s="381" t="n">
        <x:f>SUMIFS('Climate Data'!$G$7:$G$366,'Climate Data'!$A$7:$A$366,'Estimator'!$B$4,'Climate Data'!$B$7:$B$366,C3609)</x:f>
        <x:v>0.3111111111111111</x:v>
      </x:c>
      <x:c r="I3609" s="382" t="n">
        <x:f>SUMIFS('Climate Data'!$H$7:$H$366,'Climate Data'!$A$7:$A$366,'Estimator'!$B$4,'Climate Data'!$B$7:$B$366,C3609)</x:f>
        <x:v>7.382142857142857</x:v>
      </x:c>
      <x:c r="J3609" s="381" t="n">
        <x:f>SUMIFS('Wind Proxy'!$H$8:$H$19,'Wind Proxy'!$A$8:$A$19,'Estimator'!$B$4,'Wind Proxy'!$B$8:$B$19,C3609)</x:f>
        <x:v>0.22222222222222224</x:v>
      </x:c>
    </x:row>
    <x:row r="3610">
      <x:c r="A3610" s="379" t="n">
        <x:v>49261</x:v>
      </x:c>
      <x:c r="B3610" s="380" t="n">
        <x:v>2034</x:v>
      </x:c>
      <x:c r="C3610" s="380" t="n">
        <x:v>11</x:v>
      </x:c>
      <x:c r="D3610" s="380" t="str">
        <x:v>Nov</x:v>
      </x:c>
      <x:c r="E3610" s="380" t="n">
        <x:v>13</x:v>
      </x:c>
      <x:c r="F3610" s="380" t="n">
        <x:v>1</x:v>
      </x:c>
      <x:c r="G3610" s="380" t="n">
        <x:f>--(F3610&lt;='Estimator'!$B$7)</x:f>
        <x:v>1</x:v>
      </x:c>
      <x:c r="H3610" s="381" t="n">
        <x:f>SUMIFS('Climate Data'!$G$7:$G$366,'Climate Data'!$A$7:$A$366,'Estimator'!$B$4,'Climate Data'!$B$7:$B$366,C3610)</x:f>
        <x:v>0.3111111111111111</x:v>
      </x:c>
      <x:c r="I3610" s="382" t="n">
        <x:f>SUMIFS('Climate Data'!$H$7:$H$366,'Climate Data'!$A$7:$A$366,'Estimator'!$B$4,'Climate Data'!$B$7:$B$366,C3610)</x:f>
        <x:v>7.382142857142857</x:v>
      </x:c>
      <x:c r="J3610" s="381" t="n">
        <x:f>SUMIFS('Wind Proxy'!$H$8:$H$19,'Wind Proxy'!$A$8:$A$19,'Estimator'!$B$4,'Wind Proxy'!$B$8:$B$19,C3610)</x:f>
        <x:v>0.22222222222222224</x:v>
      </x:c>
    </x:row>
    <x:row r="3611">
      <x:c r="A3611" s="379" t="n">
        <x:v>49262</x:v>
      </x:c>
      <x:c r="B3611" s="380" t="n">
        <x:v>2034</x:v>
      </x:c>
      <x:c r="C3611" s="380" t="n">
        <x:v>11</x:v>
      </x:c>
      <x:c r="D3611" s="380" t="str">
        <x:v>Nov</x:v>
      </x:c>
      <x:c r="E3611" s="380" t="n">
        <x:v>14</x:v>
      </x:c>
      <x:c r="F3611" s="380" t="n">
        <x:v>2</x:v>
      </x:c>
      <x:c r="G3611" s="380" t="n">
        <x:f>--(F3611&lt;='Estimator'!$B$7)</x:f>
        <x:v>1</x:v>
      </x:c>
      <x:c r="H3611" s="381" t="n">
        <x:f>SUMIFS('Climate Data'!$G$7:$G$366,'Climate Data'!$A$7:$A$366,'Estimator'!$B$4,'Climate Data'!$B$7:$B$366,C3611)</x:f>
        <x:v>0.3111111111111111</x:v>
      </x:c>
      <x:c r="I3611" s="382" t="n">
        <x:f>SUMIFS('Climate Data'!$H$7:$H$366,'Climate Data'!$A$7:$A$366,'Estimator'!$B$4,'Climate Data'!$B$7:$B$366,C3611)</x:f>
        <x:v>7.382142857142857</x:v>
      </x:c>
      <x:c r="J3611" s="381" t="n">
        <x:f>SUMIFS('Wind Proxy'!$H$8:$H$19,'Wind Proxy'!$A$8:$A$19,'Estimator'!$B$4,'Wind Proxy'!$B$8:$B$19,C3611)</x:f>
        <x:v>0.22222222222222224</x:v>
      </x:c>
    </x:row>
    <x:row r="3612">
      <x:c r="A3612" s="379" t="n">
        <x:v>49263</x:v>
      </x:c>
      <x:c r="B3612" s="380" t="n">
        <x:v>2034</x:v>
      </x:c>
      <x:c r="C3612" s="380" t="n">
        <x:v>11</x:v>
      </x:c>
      <x:c r="D3612" s="380" t="str">
        <x:v>Nov</x:v>
      </x:c>
      <x:c r="E3612" s="380" t="n">
        <x:v>15</x:v>
      </x:c>
      <x:c r="F3612" s="380" t="n">
        <x:v>3</x:v>
      </x:c>
      <x:c r="G3612" s="380" t="n">
        <x:f>--(F3612&lt;='Estimator'!$B$7)</x:f>
        <x:v>1</x:v>
      </x:c>
      <x:c r="H3612" s="381" t="n">
        <x:f>SUMIFS('Climate Data'!$G$7:$G$366,'Climate Data'!$A$7:$A$366,'Estimator'!$B$4,'Climate Data'!$B$7:$B$366,C3612)</x:f>
        <x:v>0.3111111111111111</x:v>
      </x:c>
      <x:c r="I3612" s="382" t="n">
        <x:f>SUMIFS('Climate Data'!$H$7:$H$366,'Climate Data'!$A$7:$A$366,'Estimator'!$B$4,'Climate Data'!$B$7:$B$366,C3612)</x:f>
        <x:v>7.382142857142857</x:v>
      </x:c>
      <x:c r="J3612" s="381" t="n">
        <x:f>SUMIFS('Wind Proxy'!$H$8:$H$19,'Wind Proxy'!$A$8:$A$19,'Estimator'!$B$4,'Wind Proxy'!$B$8:$B$19,C3612)</x:f>
        <x:v>0.22222222222222224</x:v>
      </x:c>
    </x:row>
    <x:row r="3613">
      <x:c r="A3613" s="379" t="n">
        <x:v>49264</x:v>
      </x:c>
      <x:c r="B3613" s="380" t="n">
        <x:v>2034</x:v>
      </x:c>
      <x:c r="C3613" s="380" t="n">
        <x:v>11</x:v>
      </x:c>
      <x:c r="D3613" s="380" t="str">
        <x:v>Nov</x:v>
      </x:c>
      <x:c r="E3613" s="380" t="n">
        <x:v>16</x:v>
      </x:c>
      <x:c r="F3613" s="380" t="n">
        <x:v>4</x:v>
      </x:c>
      <x:c r="G3613" s="380" t="n">
        <x:f>--(F3613&lt;='Estimator'!$B$7)</x:f>
        <x:v>1</x:v>
      </x:c>
      <x:c r="H3613" s="381" t="n">
        <x:f>SUMIFS('Climate Data'!$G$7:$G$366,'Climate Data'!$A$7:$A$366,'Estimator'!$B$4,'Climate Data'!$B$7:$B$366,C3613)</x:f>
        <x:v>0.3111111111111111</x:v>
      </x:c>
      <x:c r="I3613" s="382" t="n">
        <x:f>SUMIFS('Climate Data'!$H$7:$H$366,'Climate Data'!$A$7:$A$366,'Estimator'!$B$4,'Climate Data'!$B$7:$B$366,C3613)</x:f>
        <x:v>7.382142857142857</x:v>
      </x:c>
      <x:c r="J3613" s="381" t="n">
        <x:f>SUMIFS('Wind Proxy'!$H$8:$H$19,'Wind Proxy'!$A$8:$A$19,'Estimator'!$B$4,'Wind Proxy'!$B$8:$B$19,C3613)</x:f>
        <x:v>0.22222222222222224</x:v>
      </x:c>
    </x:row>
    <x:row r="3614">
      <x:c r="A3614" s="379" t="n">
        <x:v>49265</x:v>
      </x:c>
      <x:c r="B3614" s="380" t="n">
        <x:v>2034</x:v>
      </x:c>
      <x:c r="C3614" s="380" t="n">
        <x:v>11</x:v>
      </x:c>
      <x:c r="D3614" s="380" t="str">
        <x:v>Nov</x:v>
      </x:c>
      <x:c r="E3614" s="380" t="n">
        <x:v>17</x:v>
      </x:c>
      <x:c r="F3614" s="380" t="n">
        <x:v>5</x:v>
      </x:c>
      <x:c r="G3614" s="380" t="n">
        <x:f>--(F3614&lt;='Estimator'!$B$7)</x:f>
        <x:v>1</x:v>
      </x:c>
      <x:c r="H3614" s="381" t="n">
        <x:f>SUMIFS('Climate Data'!$G$7:$G$366,'Climate Data'!$A$7:$A$366,'Estimator'!$B$4,'Climate Data'!$B$7:$B$366,C3614)</x:f>
        <x:v>0.3111111111111111</x:v>
      </x:c>
      <x:c r="I3614" s="382" t="n">
        <x:f>SUMIFS('Climate Data'!$H$7:$H$366,'Climate Data'!$A$7:$A$366,'Estimator'!$B$4,'Climate Data'!$B$7:$B$366,C3614)</x:f>
        <x:v>7.382142857142857</x:v>
      </x:c>
      <x:c r="J3614" s="381" t="n">
        <x:f>SUMIFS('Wind Proxy'!$H$8:$H$19,'Wind Proxy'!$A$8:$A$19,'Estimator'!$B$4,'Wind Proxy'!$B$8:$B$19,C3614)</x:f>
        <x:v>0.22222222222222224</x:v>
      </x:c>
    </x:row>
    <x:row r="3615">
      <x:c r="A3615" s="379" t="n">
        <x:v>49266</x:v>
      </x:c>
      <x:c r="B3615" s="380" t="n">
        <x:v>2034</x:v>
      </x:c>
      <x:c r="C3615" s="380" t="n">
        <x:v>11</x:v>
      </x:c>
      <x:c r="D3615" s="380" t="str">
        <x:v>Nov</x:v>
      </x:c>
      <x:c r="E3615" s="380" t="n">
        <x:v>18</x:v>
      </x:c>
      <x:c r="F3615" s="380" t="n">
        <x:v>6</x:v>
      </x:c>
      <x:c r="G3615" s="380" t="n">
        <x:f>--(F3615&lt;='Estimator'!$B$7)</x:f>
        <x:v>0</x:v>
      </x:c>
      <x:c r="H3615" s="381" t="n">
        <x:f>SUMIFS('Climate Data'!$G$7:$G$366,'Climate Data'!$A$7:$A$366,'Estimator'!$B$4,'Climate Data'!$B$7:$B$366,C3615)</x:f>
        <x:v>0.3111111111111111</x:v>
      </x:c>
      <x:c r="I3615" s="382" t="n">
        <x:f>SUMIFS('Climate Data'!$H$7:$H$366,'Climate Data'!$A$7:$A$366,'Estimator'!$B$4,'Climate Data'!$B$7:$B$366,C3615)</x:f>
        <x:v>7.382142857142857</x:v>
      </x:c>
      <x:c r="J3615" s="381" t="n">
        <x:f>SUMIFS('Wind Proxy'!$H$8:$H$19,'Wind Proxy'!$A$8:$A$19,'Estimator'!$B$4,'Wind Proxy'!$B$8:$B$19,C3615)</x:f>
        <x:v>0.22222222222222224</x:v>
      </x:c>
    </x:row>
    <x:row r="3616">
      <x:c r="A3616" s="379" t="n">
        <x:v>49267</x:v>
      </x:c>
      <x:c r="B3616" s="380" t="n">
        <x:v>2034</x:v>
      </x:c>
      <x:c r="C3616" s="380" t="n">
        <x:v>11</x:v>
      </x:c>
      <x:c r="D3616" s="380" t="str">
        <x:v>Nov</x:v>
      </x:c>
      <x:c r="E3616" s="380" t="n">
        <x:v>19</x:v>
      </x:c>
      <x:c r="F3616" s="380" t="n">
        <x:v>7</x:v>
      </x:c>
      <x:c r="G3616" s="380" t="n">
        <x:f>--(F3616&lt;='Estimator'!$B$7)</x:f>
        <x:v>0</x:v>
      </x:c>
      <x:c r="H3616" s="381" t="n">
        <x:f>SUMIFS('Climate Data'!$G$7:$G$366,'Climate Data'!$A$7:$A$366,'Estimator'!$B$4,'Climate Data'!$B$7:$B$366,C3616)</x:f>
        <x:v>0.3111111111111111</x:v>
      </x:c>
      <x:c r="I3616" s="382" t="n">
        <x:f>SUMIFS('Climate Data'!$H$7:$H$366,'Climate Data'!$A$7:$A$366,'Estimator'!$B$4,'Climate Data'!$B$7:$B$366,C3616)</x:f>
        <x:v>7.382142857142857</x:v>
      </x:c>
      <x:c r="J3616" s="381" t="n">
        <x:f>SUMIFS('Wind Proxy'!$H$8:$H$19,'Wind Proxy'!$A$8:$A$19,'Estimator'!$B$4,'Wind Proxy'!$B$8:$B$19,C3616)</x:f>
        <x:v>0.22222222222222224</x:v>
      </x:c>
    </x:row>
    <x:row r="3617">
      <x:c r="A3617" s="379" t="n">
        <x:v>49268</x:v>
      </x:c>
      <x:c r="B3617" s="380" t="n">
        <x:v>2034</x:v>
      </x:c>
      <x:c r="C3617" s="380" t="n">
        <x:v>11</x:v>
      </x:c>
      <x:c r="D3617" s="380" t="str">
        <x:v>Nov</x:v>
      </x:c>
      <x:c r="E3617" s="380" t="n">
        <x:v>20</x:v>
      </x:c>
      <x:c r="F3617" s="380" t="n">
        <x:v>1</x:v>
      </x:c>
      <x:c r="G3617" s="380" t="n">
        <x:f>--(F3617&lt;='Estimator'!$B$7)</x:f>
        <x:v>1</x:v>
      </x:c>
      <x:c r="H3617" s="381" t="n">
        <x:f>SUMIFS('Climate Data'!$G$7:$G$366,'Climate Data'!$A$7:$A$366,'Estimator'!$B$4,'Climate Data'!$B$7:$B$366,C3617)</x:f>
        <x:v>0.3111111111111111</x:v>
      </x:c>
      <x:c r="I3617" s="382" t="n">
        <x:f>SUMIFS('Climate Data'!$H$7:$H$366,'Climate Data'!$A$7:$A$366,'Estimator'!$B$4,'Climate Data'!$B$7:$B$366,C3617)</x:f>
        <x:v>7.382142857142857</x:v>
      </x:c>
      <x:c r="J3617" s="381" t="n">
        <x:f>SUMIFS('Wind Proxy'!$H$8:$H$19,'Wind Proxy'!$A$8:$A$19,'Estimator'!$B$4,'Wind Proxy'!$B$8:$B$19,C3617)</x:f>
        <x:v>0.22222222222222224</x:v>
      </x:c>
    </x:row>
    <x:row r="3618">
      <x:c r="A3618" s="379" t="n">
        <x:v>49269</x:v>
      </x:c>
      <x:c r="B3618" s="380" t="n">
        <x:v>2034</x:v>
      </x:c>
      <x:c r="C3618" s="380" t="n">
        <x:v>11</x:v>
      </x:c>
      <x:c r="D3618" s="380" t="str">
        <x:v>Nov</x:v>
      </x:c>
      <x:c r="E3618" s="380" t="n">
        <x:v>21</x:v>
      </x:c>
      <x:c r="F3618" s="380" t="n">
        <x:v>2</x:v>
      </x:c>
      <x:c r="G3618" s="380" t="n">
        <x:f>--(F3618&lt;='Estimator'!$B$7)</x:f>
        <x:v>1</x:v>
      </x:c>
      <x:c r="H3618" s="381" t="n">
        <x:f>SUMIFS('Climate Data'!$G$7:$G$366,'Climate Data'!$A$7:$A$366,'Estimator'!$B$4,'Climate Data'!$B$7:$B$366,C3618)</x:f>
        <x:v>0.3111111111111111</x:v>
      </x:c>
      <x:c r="I3618" s="382" t="n">
        <x:f>SUMIFS('Climate Data'!$H$7:$H$366,'Climate Data'!$A$7:$A$366,'Estimator'!$B$4,'Climate Data'!$B$7:$B$366,C3618)</x:f>
        <x:v>7.382142857142857</x:v>
      </x:c>
      <x:c r="J3618" s="381" t="n">
        <x:f>SUMIFS('Wind Proxy'!$H$8:$H$19,'Wind Proxy'!$A$8:$A$19,'Estimator'!$B$4,'Wind Proxy'!$B$8:$B$19,C3618)</x:f>
        <x:v>0.22222222222222224</x:v>
      </x:c>
    </x:row>
    <x:row r="3619">
      <x:c r="A3619" s="379" t="n">
        <x:v>49270</x:v>
      </x:c>
      <x:c r="B3619" s="380" t="n">
        <x:v>2034</x:v>
      </x:c>
      <x:c r="C3619" s="380" t="n">
        <x:v>11</x:v>
      </x:c>
      <x:c r="D3619" s="380" t="str">
        <x:v>Nov</x:v>
      </x:c>
      <x:c r="E3619" s="380" t="n">
        <x:v>22</x:v>
      </x:c>
      <x:c r="F3619" s="380" t="n">
        <x:v>3</x:v>
      </x:c>
      <x:c r="G3619" s="380" t="n">
        <x:f>--(F3619&lt;='Estimator'!$B$7)</x:f>
        <x:v>1</x:v>
      </x:c>
      <x:c r="H3619" s="381" t="n">
        <x:f>SUMIFS('Climate Data'!$G$7:$G$366,'Climate Data'!$A$7:$A$366,'Estimator'!$B$4,'Climate Data'!$B$7:$B$366,C3619)</x:f>
        <x:v>0.3111111111111111</x:v>
      </x:c>
      <x:c r="I3619" s="382" t="n">
        <x:f>SUMIFS('Climate Data'!$H$7:$H$366,'Climate Data'!$A$7:$A$366,'Estimator'!$B$4,'Climate Data'!$B$7:$B$366,C3619)</x:f>
        <x:v>7.382142857142857</x:v>
      </x:c>
      <x:c r="J3619" s="381" t="n">
        <x:f>SUMIFS('Wind Proxy'!$H$8:$H$19,'Wind Proxy'!$A$8:$A$19,'Estimator'!$B$4,'Wind Proxy'!$B$8:$B$19,C3619)</x:f>
        <x:v>0.22222222222222224</x:v>
      </x:c>
    </x:row>
    <x:row r="3620">
      <x:c r="A3620" s="379" t="n">
        <x:v>49271</x:v>
      </x:c>
      <x:c r="B3620" s="380" t="n">
        <x:v>2034</x:v>
      </x:c>
      <x:c r="C3620" s="380" t="n">
        <x:v>11</x:v>
      </x:c>
      <x:c r="D3620" s="380" t="str">
        <x:v>Nov</x:v>
      </x:c>
      <x:c r="E3620" s="380" t="n">
        <x:v>23</x:v>
      </x:c>
      <x:c r="F3620" s="380" t="n">
        <x:v>4</x:v>
      </x:c>
      <x:c r="G3620" s="380" t="n">
        <x:f>--(F3620&lt;='Estimator'!$B$7)</x:f>
        <x:v>1</x:v>
      </x:c>
      <x:c r="H3620" s="381" t="n">
        <x:f>SUMIFS('Climate Data'!$G$7:$G$366,'Climate Data'!$A$7:$A$366,'Estimator'!$B$4,'Climate Data'!$B$7:$B$366,C3620)</x:f>
        <x:v>0.3111111111111111</x:v>
      </x:c>
      <x:c r="I3620" s="382" t="n">
        <x:f>SUMIFS('Climate Data'!$H$7:$H$366,'Climate Data'!$A$7:$A$366,'Estimator'!$B$4,'Climate Data'!$B$7:$B$366,C3620)</x:f>
        <x:v>7.382142857142857</x:v>
      </x:c>
      <x:c r="J3620" s="381" t="n">
        <x:f>SUMIFS('Wind Proxy'!$H$8:$H$19,'Wind Proxy'!$A$8:$A$19,'Estimator'!$B$4,'Wind Proxy'!$B$8:$B$19,C3620)</x:f>
        <x:v>0.22222222222222224</x:v>
      </x:c>
    </x:row>
    <x:row r="3621">
      <x:c r="A3621" s="379" t="n">
        <x:v>49272</x:v>
      </x:c>
      <x:c r="B3621" s="380" t="n">
        <x:v>2034</x:v>
      </x:c>
      <x:c r="C3621" s="380" t="n">
        <x:v>11</x:v>
      </x:c>
      <x:c r="D3621" s="380" t="str">
        <x:v>Nov</x:v>
      </x:c>
      <x:c r="E3621" s="380" t="n">
        <x:v>24</x:v>
      </x:c>
      <x:c r="F3621" s="380" t="n">
        <x:v>5</x:v>
      </x:c>
      <x:c r="G3621" s="380" t="n">
        <x:f>--(F3621&lt;='Estimator'!$B$7)</x:f>
        <x:v>1</x:v>
      </x:c>
      <x:c r="H3621" s="381" t="n">
        <x:f>SUMIFS('Climate Data'!$G$7:$G$366,'Climate Data'!$A$7:$A$366,'Estimator'!$B$4,'Climate Data'!$B$7:$B$366,C3621)</x:f>
        <x:v>0.3111111111111111</x:v>
      </x:c>
      <x:c r="I3621" s="382" t="n">
        <x:f>SUMIFS('Climate Data'!$H$7:$H$366,'Climate Data'!$A$7:$A$366,'Estimator'!$B$4,'Climate Data'!$B$7:$B$366,C3621)</x:f>
        <x:v>7.382142857142857</x:v>
      </x:c>
      <x:c r="J3621" s="381" t="n">
        <x:f>SUMIFS('Wind Proxy'!$H$8:$H$19,'Wind Proxy'!$A$8:$A$19,'Estimator'!$B$4,'Wind Proxy'!$B$8:$B$19,C3621)</x:f>
        <x:v>0.22222222222222224</x:v>
      </x:c>
    </x:row>
    <x:row r="3622">
      <x:c r="A3622" s="379" t="n">
        <x:v>49273</x:v>
      </x:c>
      <x:c r="B3622" s="380" t="n">
        <x:v>2034</x:v>
      </x:c>
      <x:c r="C3622" s="380" t="n">
        <x:v>11</x:v>
      </x:c>
      <x:c r="D3622" s="380" t="str">
        <x:v>Nov</x:v>
      </x:c>
      <x:c r="E3622" s="380" t="n">
        <x:v>25</x:v>
      </x:c>
      <x:c r="F3622" s="380" t="n">
        <x:v>6</x:v>
      </x:c>
      <x:c r="G3622" s="380" t="n">
        <x:f>--(F3622&lt;='Estimator'!$B$7)</x:f>
        <x:v>0</x:v>
      </x:c>
      <x:c r="H3622" s="381" t="n">
        <x:f>SUMIFS('Climate Data'!$G$7:$G$366,'Climate Data'!$A$7:$A$366,'Estimator'!$B$4,'Climate Data'!$B$7:$B$366,C3622)</x:f>
        <x:v>0.3111111111111111</x:v>
      </x:c>
      <x:c r="I3622" s="382" t="n">
        <x:f>SUMIFS('Climate Data'!$H$7:$H$366,'Climate Data'!$A$7:$A$366,'Estimator'!$B$4,'Climate Data'!$B$7:$B$366,C3622)</x:f>
        <x:v>7.382142857142857</x:v>
      </x:c>
      <x:c r="J3622" s="381" t="n">
        <x:f>SUMIFS('Wind Proxy'!$H$8:$H$19,'Wind Proxy'!$A$8:$A$19,'Estimator'!$B$4,'Wind Proxy'!$B$8:$B$19,C3622)</x:f>
        <x:v>0.22222222222222224</x:v>
      </x:c>
    </x:row>
    <x:row r="3623">
      <x:c r="A3623" s="379" t="n">
        <x:v>49274</x:v>
      </x:c>
      <x:c r="B3623" s="380" t="n">
        <x:v>2034</x:v>
      </x:c>
      <x:c r="C3623" s="380" t="n">
        <x:v>11</x:v>
      </x:c>
      <x:c r="D3623" s="380" t="str">
        <x:v>Nov</x:v>
      </x:c>
      <x:c r="E3623" s="380" t="n">
        <x:v>26</x:v>
      </x:c>
      <x:c r="F3623" s="380" t="n">
        <x:v>7</x:v>
      </x:c>
      <x:c r="G3623" s="380" t="n">
        <x:f>--(F3623&lt;='Estimator'!$B$7)</x:f>
        <x:v>0</x:v>
      </x:c>
      <x:c r="H3623" s="381" t="n">
        <x:f>SUMIFS('Climate Data'!$G$7:$G$366,'Climate Data'!$A$7:$A$366,'Estimator'!$B$4,'Climate Data'!$B$7:$B$366,C3623)</x:f>
        <x:v>0.3111111111111111</x:v>
      </x:c>
      <x:c r="I3623" s="382" t="n">
        <x:f>SUMIFS('Climate Data'!$H$7:$H$366,'Climate Data'!$A$7:$A$366,'Estimator'!$B$4,'Climate Data'!$B$7:$B$366,C3623)</x:f>
        <x:v>7.382142857142857</x:v>
      </x:c>
      <x:c r="J3623" s="381" t="n">
        <x:f>SUMIFS('Wind Proxy'!$H$8:$H$19,'Wind Proxy'!$A$8:$A$19,'Estimator'!$B$4,'Wind Proxy'!$B$8:$B$19,C3623)</x:f>
        <x:v>0.22222222222222224</x:v>
      </x:c>
    </x:row>
    <x:row r="3624">
      <x:c r="A3624" s="379" t="n">
        <x:v>49275</x:v>
      </x:c>
      <x:c r="B3624" s="380" t="n">
        <x:v>2034</x:v>
      </x:c>
      <x:c r="C3624" s="380" t="n">
        <x:v>11</x:v>
      </x:c>
      <x:c r="D3624" s="380" t="str">
        <x:v>Nov</x:v>
      </x:c>
      <x:c r="E3624" s="380" t="n">
        <x:v>27</x:v>
      </x:c>
      <x:c r="F3624" s="380" t="n">
        <x:v>1</x:v>
      </x:c>
      <x:c r="G3624" s="380" t="n">
        <x:f>--(F3624&lt;='Estimator'!$B$7)</x:f>
        <x:v>1</x:v>
      </x:c>
      <x:c r="H3624" s="381" t="n">
        <x:f>SUMIFS('Climate Data'!$G$7:$G$366,'Climate Data'!$A$7:$A$366,'Estimator'!$B$4,'Climate Data'!$B$7:$B$366,C3624)</x:f>
        <x:v>0.3111111111111111</x:v>
      </x:c>
      <x:c r="I3624" s="382" t="n">
        <x:f>SUMIFS('Climate Data'!$H$7:$H$366,'Climate Data'!$A$7:$A$366,'Estimator'!$B$4,'Climate Data'!$B$7:$B$366,C3624)</x:f>
        <x:v>7.382142857142857</x:v>
      </x:c>
      <x:c r="J3624" s="381" t="n">
        <x:f>SUMIFS('Wind Proxy'!$H$8:$H$19,'Wind Proxy'!$A$8:$A$19,'Estimator'!$B$4,'Wind Proxy'!$B$8:$B$19,C3624)</x:f>
        <x:v>0.22222222222222224</x:v>
      </x:c>
    </x:row>
    <x:row r="3625">
      <x:c r="A3625" s="379" t="n">
        <x:v>49276</x:v>
      </x:c>
      <x:c r="B3625" s="380" t="n">
        <x:v>2034</x:v>
      </x:c>
      <x:c r="C3625" s="380" t="n">
        <x:v>11</x:v>
      </x:c>
      <x:c r="D3625" s="380" t="str">
        <x:v>Nov</x:v>
      </x:c>
      <x:c r="E3625" s="380" t="n">
        <x:v>28</x:v>
      </x:c>
      <x:c r="F3625" s="380" t="n">
        <x:v>2</x:v>
      </x:c>
      <x:c r="G3625" s="380" t="n">
        <x:f>--(F3625&lt;='Estimator'!$B$7)</x:f>
        <x:v>1</x:v>
      </x:c>
      <x:c r="H3625" s="381" t="n">
        <x:f>SUMIFS('Climate Data'!$G$7:$G$366,'Climate Data'!$A$7:$A$366,'Estimator'!$B$4,'Climate Data'!$B$7:$B$366,C3625)</x:f>
        <x:v>0.3111111111111111</x:v>
      </x:c>
      <x:c r="I3625" s="382" t="n">
        <x:f>SUMIFS('Climate Data'!$H$7:$H$366,'Climate Data'!$A$7:$A$366,'Estimator'!$B$4,'Climate Data'!$B$7:$B$366,C3625)</x:f>
        <x:v>7.382142857142857</x:v>
      </x:c>
      <x:c r="J3625" s="381" t="n">
        <x:f>SUMIFS('Wind Proxy'!$H$8:$H$19,'Wind Proxy'!$A$8:$A$19,'Estimator'!$B$4,'Wind Proxy'!$B$8:$B$19,C3625)</x:f>
        <x:v>0.22222222222222224</x:v>
      </x:c>
    </x:row>
    <x:row r="3626">
      <x:c r="A3626" s="379" t="n">
        <x:v>49277</x:v>
      </x:c>
      <x:c r="B3626" s="380" t="n">
        <x:v>2034</x:v>
      </x:c>
      <x:c r="C3626" s="380" t="n">
        <x:v>11</x:v>
      </x:c>
      <x:c r="D3626" s="380" t="str">
        <x:v>Nov</x:v>
      </x:c>
      <x:c r="E3626" s="380" t="n">
        <x:v>29</x:v>
      </x:c>
      <x:c r="F3626" s="380" t="n">
        <x:v>3</x:v>
      </x:c>
      <x:c r="G3626" s="380" t="n">
        <x:f>--(F3626&lt;='Estimator'!$B$7)</x:f>
        <x:v>1</x:v>
      </x:c>
      <x:c r="H3626" s="381" t="n">
        <x:f>SUMIFS('Climate Data'!$G$7:$G$366,'Climate Data'!$A$7:$A$366,'Estimator'!$B$4,'Climate Data'!$B$7:$B$366,C3626)</x:f>
        <x:v>0.3111111111111111</x:v>
      </x:c>
      <x:c r="I3626" s="382" t="n">
        <x:f>SUMIFS('Climate Data'!$H$7:$H$366,'Climate Data'!$A$7:$A$366,'Estimator'!$B$4,'Climate Data'!$B$7:$B$366,C3626)</x:f>
        <x:v>7.382142857142857</x:v>
      </x:c>
      <x:c r="J3626" s="381" t="n">
        <x:f>SUMIFS('Wind Proxy'!$H$8:$H$19,'Wind Proxy'!$A$8:$A$19,'Estimator'!$B$4,'Wind Proxy'!$B$8:$B$19,C3626)</x:f>
        <x:v>0.22222222222222224</x:v>
      </x:c>
    </x:row>
    <x:row r="3627">
      <x:c r="A3627" s="379" t="n">
        <x:v>49278</x:v>
      </x:c>
      <x:c r="B3627" s="380" t="n">
        <x:v>2034</x:v>
      </x:c>
      <x:c r="C3627" s="380" t="n">
        <x:v>11</x:v>
      </x:c>
      <x:c r="D3627" s="380" t="str">
        <x:v>Nov</x:v>
      </x:c>
      <x:c r="E3627" s="380" t="n">
        <x:v>30</x:v>
      </x:c>
      <x:c r="F3627" s="380" t="n">
        <x:v>4</x:v>
      </x:c>
      <x:c r="G3627" s="380" t="n">
        <x:f>--(F3627&lt;='Estimator'!$B$7)</x:f>
        <x:v>1</x:v>
      </x:c>
      <x:c r="H3627" s="381" t="n">
        <x:f>SUMIFS('Climate Data'!$G$7:$G$366,'Climate Data'!$A$7:$A$366,'Estimator'!$B$4,'Climate Data'!$B$7:$B$366,C3627)</x:f>
        <x:v>0.3111111111111111</x:v>
      </x:c>
      <x:c r="I3627" s="382" t="n">
        <x:f>SUMIFS('Climate Data'!$H$7:$H$366,'Climate Data'!$A$7:$A$366,'Estimator'!$B$4,'Climate Data'!$B$7:$B$366,C3627)</x:f>
        <x:v>7.382142857142857</x:v>
      </x:c>
      <x:c r="J3627" s="381" t="n">
        <x:f>SUMIFS('Wind Proxy'!$H$8:$H$19,'Wind Proxy'!$A$8:$A$19,'Estimator'!$B$4,'Wind Proxy'!$B$8:$B$19,C3627)</x:f>
        <x:v>0.22222222222222224</x:v>
      </x:c>
    </x:row>
    <x:row r="3628">
      <x:c r="A3628" s="379" t="n">
        <x:v>49279</x:v>
      </x:c>
      <x:c r="B3628" s="380" t="n">
        <x:v>2034</x:v>
      </x:c>
      <x:c r="C3628" s="380" t="n">
        <x:v>12</x:v>
      </x:c>
      <x:c r="D3628" s="380" t="str">
        <x:v>Dec</x:v>
      </x:c>
      <x:c r="E3628" s="380" t="n">
        <x:v>1</x:v>
      </x:c>
      <x:c r="F3628" s="380" t="n">
        <x:v>5</x:v>
      </x:c>
      <x:c r="G3628" s="380" t="n">
        <x:f>--(F3628&lt;='Estimator'!$B$7)</x:f>
        <x:v>1</x:v>
      </x:c>
      <x:c r="H3628" s="381" t="n">
        <x:f>SUMIFS('Climate Data'!$G$7:$G$366,'Climate Data'!$A$7:$A$366,'Estimator'!$B$4,'Climate Data'!$B$7:$B$366,C3628)</x:f>
        <x:v>0.2914349276974416</x:v>
      </x:c>
      <x:c r="I3628" s="382" t="n">
        <x:f>SUMIFS('Climate Data'!$H$7:$H$366,'Climate Data'!$A$7:$A$366,'Estimator'!$B$4,'Climate Data'!$B$7:$B$366,C3628)</x:f>
        <x:v>9.043129770992365</x:v>
      </x:c>
      <x:c r="J3628" s="381" t="n">
        <x:f>SUMIFS('Wind Proxy'!$H$8:$H$19,'Wind Proxy'!$A$8:$A$19,'Estimator'!$B$4,'Wind Proxy'!$B$8:$B$19,C3628)</x:f>
        <x:v>0.12544802867383514</x:v>
      </x:c>
    </x:row>
    <x:row r="3629">
      <x:c r="A3629" s="379" t="n">
        <x:v>49280</x:v>
      </x:c>
      <x:c r="B3629" s="380" t="n">
        <x:v>2034</x:v>
      </x:c>
      <x:c r="C3629" s="380" t="n">
        <x:v>12</x:v>
      </x:c>
      <x:c r="D3629" s="380" t="str">
        <x:v>Dec</x:v>
      </x:c>
      <x:c r="E3629" s="380" t="n">
        <x:v>2</x:v>
      </x:c>
      <x:c r="F3629" s="380" t="n">
        <x:v>6</x:v>
      </x:c>
      <x:c r="G3629" s="380" t="n">
        <x:f>--(F3629&lt;='Estimator'!$B$7)</x:f>
        <x:v>0</x:v>
      </x:c>
      <x:c r="H3629" s="381" t="n">
        <x:f>SUMIFS('Climate Data'!$G$7:$G$366,'Climate Data'!$A$7:$A$366,'Estimator'!$B$4,'Climate Data'!$B$7:$B$366,C3629)</x:f>
        <x:v>0.2914349276974416</x:v>
      </x:c>
      <x:c r="I3629" s="382" t="n">
        <x:f>SUMIFS('Climate Data'!$H$7:$H$366,'Climate Data'!$A$7:$A$366,'Estimator'!$B$4,'Climate Data'!$B$7:$B$366,C3629)</x:f>
        <x:v>9.043129770992365</x:v>
      </x:c>
      <x:c r="J3629" s="381" t="n">
        <x:f>SUMIFS('Wind Proxy'!$H$8:$H$19,'Wind Proxy'!$A$8:$A$19,'Estimator'!$B$4,'Wind Proxy'!$B$8:$B$19,C3629)</x:f>
        <x:v>0.12544802867383514</x:v>
      </x:c>
    </x:row>
    <x:row r="3630">
      <x:c r="A3630" s="379" t="n">
        <x:v>49281</x:v>
      </x:c>
      <x:c r="B3630" s="380" t="n">
        <x:v>2034</x:v>
      </x:c>
      <x:c r="C3630" s="380" t="n">
        <x:v>12</x:v>
      </x:c>
      <x:c r="D3630" s="380" t="str">
        <x:v>Dec</x:v>
      </x:c>
      <x:c r="E3630" s="380" t="n">
        <x:v>3</x:v>
      </x:c>
      <x:c r="F3630" s="380" t="n">
        <x:v>7</x:v>
      </x:c>
      <x:c r="G3630" s="380" t="n">
        <x:f>--(F3630&lt;='Estimator'!$B$7)</x:f>
        <x:v>0</x:v>
      </x:c>
      <x:c r="H3630" s="381" t="n">
        <x:f>SUMIFS('Climate Data'!$G$7:$G$366,'Climate Data'!$A$7:$A$366,'Estimator'!$B$4,'Climate Data'!$B$7:$B$366,C3630)</x:f>
        <x:v>0.2914349276974416</x:v>
      </x:c>
      <x:c r="I3630" s="382" t="n">
        <x:f>SUMIFS('Climate Data'!$H$7:$H$366,'Climate Data'!$A$7:$A$366,'Estimator'!$B$4,'Climate Data'!$B$7:$B$366,C3630)</x:f>
        <x:v>9.043129770992365</x:v>
      </x:c>
      <x:c r="J3630" s="381" t="n">
        <x:f>SUMIFS('Wind Proxy'!$H$8:$H$19,'Wind Proxy'!$A$8:$A$19,'Estimator'!$B$4,'Wind Proxy'!$B$8:$B$19,C3630)</x:f>
        <x:v>0.12544802867383514</x:v>
      </x:c>
    </x:row>
    <x:row r="3631">
      <x:c r="A3631" s="379" t="n">
        <x:v>49282</x:v>
      </x:c>
      <x:c r="B3631" s="380" t="n">
        <x:v>2034</x:v>
      </x:c>
      <x:c r="C3631" s="380" t="n">
        <x:v>12</x:v>
      </x:c>
      <x:c r="D3631" s="380" t="str">
        <x:v>Dec</x:v>
      </x:c>
      <x:c r="E3631" s="380" t="n">
        <x:v>4</x:v>
      </x:c>
      <x:c r="F3631" s="380" t="n">
        <x:v>1</x:v>
      </x:c>
      <x:c r="G3631" s="380" t="n">
        <x:f>--(F3631&lt;='Estimator'!$B$7)</x:f>
        <x:v>1</x:v>
      </x:c>
      <x:c r="H3631" s="381" t="n">
        <x:f>SUMIFS('Climate Data'!$G$7:$G$366,'Climate Data'!$A$7:$A$366,'Estimator'!$B$4,'Climate Data'!$B$7:$B$366,C3631)</x:f>
        <x:v>0.2914349276974416</x:v>
      </x:c>
      <x:c r="I3631" s="382" t="n">
        <x:f>SUMIFS('Climate Data'!$H$7:$H$366,'Climate Data'!$A$7:$A$366,'Estimator'!$B$4,'Climate Data'!$B$7:$B$366,C3631)</x:f>
        <x:v>9.043129770992365</x:v>
      </x:c>
      <x:c r="J3631" s="381" t="n">
        <x:f>SUMIFS('Wind Proxy'!$H$8:$H$19,'Wind Proxy'!$A$8:$A$19,'Estimator'!$B$4,'Wind Proxy'!$B$8:$B$19,C3631)</x:f>
        <x:v>0.12544802867383514</x:v>
      </x:c>
    </x:row>
    <x:row r="3632">
      <x:c r="A3632" s="379" t="n">
        <x:v>49283</x:v>
      </x:c>
      <x:c r="B3632" s="380" t="n">
        <x:v>2034</x:v>
      </x:c>
      <x:c r="C3632" s="380" t="n">
        <x:v>12</x:v>
      </x:c>
      <x:c r="D3632" s="380" t="str">
        <x:v>Dec</x:v>
      </x:c>
      <x:c r="E3632" s="380" t="n">
        <x:v>5</x:v>
      </x:c>
      <x:c r="F3632" s="380" t="n">
        <x:v>2</x:v>
      </x:c>
      <x:c r="G3632" s="380" t="n">
        <x:f>--(F3632&lt;='Estimator'!$B$7)</x:f>
        <x:v>1</x:v>
      </x:c>
      <x:c r="H3632" s="381" t="n">
        <x:f>SUMIFS('Climate Data'!$G$7:$G$366,'Climate Data'!$A$7:$A$366,'Estimator'!$B$4,'Climate Data'!$B$7:$B$366,C3632)</x:f>
        <x:v>0.2914349276974416</x:v>
      </x:c>
      <x:c r="I3632" s="382" t="n">
        <x:f>SUMIFS('Climate Data'!$H$7:$H$366,'Climate Data'!$A$7:$A$366,'Estimator'!$B$4,'Climate Data'!$B$7:$B$366,C3632)</x:f>
        <x:v>9.043129770992365</x:v>
      </x:c>
      <x:c r="J3632" s="381" t="n">
        <x:f>SUMIFS('Wind Proxy'!$H$8:$H$19,'Wind Proxy'!$A$8:$A$19,'Estimator'!$B$4,'Wind Proxy'!$B$8:$B$19,C3632)</x:f>
        <x:v>0.12544802867383514</x:v>
      </x:c>
    </x:row>
    <x:row r="3633">
      <x:c r="A3633" s="379" t="n">
        <x:v>49284</x:v>
      </x:c>
      <x:c r="B3633" s="380" t="n">
        <x:v>2034</x:v>
      </x:c>
      <x:c r="C3633" s="380" t="n">
        <x:v>12</x:v>
      </x:c>
      <x:c r="D3633" s="380" t="str">
        <x:v>Dec</x:v>
      </x:c>
      <x:c r="E3633" s="380" t="n">
        <x:v>6</x:v>
      </x:c>
      <x:c r="F3633" s="380" t="n">
        <x:v>3</x:v>
      </x:c>
      <x:c r="G3633" s="380" t="n">
        <x:f>--(F3633&lt;='Estimator'!$B$7)</x:f>
        <x:v>1</x:v>
      </x:c>
      <x:c r="H3633" s="381" t="n">
        <x:f>SUMIFS('Climate Data'!$G$7:$G$366,'Climate Data'!$A$7:$A$366,'Estimator'!$B$4,'Climate Data'!$B$7:$B$366,C3633)</x:f>
        <x:v>0.2914349276974416</x:v>
      </x:c>
      <x:c r="I3633" s="382" t="n">
        <x:f>SUMIFS('Climate Data'!$H$7:$H$366,'Climate Data'!$A$7:$A$366,'Estimator'!$B$4,'Climate Data'!$B$7:$B$366,C3633)</x:f>
        <x:v>9.043129770992365</x:v>
      </x:c>
      <x:c r="J3633" s="381" t="n">
        <x:f>SUMIFS('Wind Proxy'!$H$8:$H$19,'Wind Proxy'!$A$8:$A$19,'Estimator'!$B$4,'Wind Proxy'!$B$8:$B$19,C3633)</x:f>
        <x:v>0.12544802867383514</x:v>
      </x:c>
    </x:row>
    <x:row r="3634">
      <x:c r="A3634" s="379" t="n">
        <x:v>49285</x:v>
      </x:c>
      <x:c r="B3634" s="380" t="n">
        <x:v>2034</x:v>
      </x:c>
      <x:c r="C3634" s="380" t="n">
        <x:v>12</x:v>
      </x:c>
      <x:c r="D3634" s="380" t="str">
        <x:v>Dec</x:v>
      </x:c>
      <x:c r="E3634" s="380" t="n">
        <x:v>7</x:v>
      </x:c>
      <x:c r="F3634" s="380" t="n">
        <x:v>4</x:v>
      </x:c>
      <x:c r="G3634" s="380" t="n">
        <x:f>--(F3634&lt;='Estimator'!$B$7)</x:f>
        <x:v>1</x:v>
      </x:c>
      <x:c r="H3634" s="381" t="n">
        <x:f>SUMIFS('Climate Data'!$G$7:$G$366,'Climate Data'!$A$7:$A$366,'Estimator'!$B$4,'Climate Data'!$B$7:$B$366,C3634)</x:f>
        <x:v>0.2914349276974416</x:v>
      </x:c>
      <x:c r="I3634" s="382" t="n">
        <x:f>SUMIFS('Climate Data'!$H$7:$H$366,'Climate Data'!$A$7:$A$366,'Estimator'!$B$4,'Climate Data'!$B$7:$B$366,C3634)</x:f>
        <x:v>9.043129770992365</x:v>
      </x:c>
      <x:c r="J3634" s="381" t="n">
        <x:f>SUMIFS('Wind Proxy'!$H$8:$H$19,'Wind Proxy'!$A$8:$A$19,'Estimator'!$B$4,'Wind Proxy'!$B$8:$B$19,C3634)</x:f>
        <x:v>0.12544802867383514</x:v>
      </x:c>
    </x:row>
    <x:row r="3635">
      <x:c r="A3635" s="379" t="n">
        <x:v>49286</x:v>
      </x:c>
      <x:c r="B3635" s="380" t="n">
        <x:v>2034</x:v>
      </x:c>
      <x:c r="C3635" s="380" t="n">
        <x:v>12</x:v>
      </x:c>
      <x:c r="D3635" s="380" t="str">
        <x:v>Dec</x:v>
      </x:c>
      <x:c r="E3635" s="380" t="n">
        <x:v>8</x:v>
      </x:c>
      <x:c r="F3635" s="380" t="n">
        <x:v>5</x:v>
      </x:c>
      <x:c r="G3635" s="380" t="n">
        <x:f>--(F3635&lt;='Estimator'!$B$7)</x:f>
        <x:v>1</x:v>
      </x:c>
      <x:c r="H3635" s="381" t="n">
        <x:f>SUMIFS('Climate Data'!$G$7:$G$366,'Climate Data'!$A$7:$A$366,'Estimator'!$B$4,'Climate Data'!$B$7:$B$366,C3635)</x:f>
        <x:v>0.2914349276974416</x:v>
      </x:c>
      <x:c r="I3635" s="382" t="n">
        <x:f>SUMIFS('Climate Data'!$H$7:$H$366,'Climate Data'!$A$7:$A$366,'Estimator'!$B$4,'Climate Data'!$B$7:$B$366,C3635)</x:f>
        <x:v>9.043129770992365</x:v>
      </x:c>
      <x:c r="J3635" s="381" t="n">
        <x:f>SUMIFS('Wind Proxy'!$H$8:$H$19,'Wind Proxy'!$A$8:$A$19,'Estimator'!$B$4,'Wind Proxy'!$B$8:$B$19,C3635)</x:f>
        <x:v>0.12544802867383514</x:v>
      </x:c>
    </x:row>
    <x:row r="3636">
      <x:c r="A3636" s="379" t="n">
        <x:v>49287</x:v>
      </x:c>
      <x:c r="B3636" s="380" t="n">
        <x:v>2034</x:v>
      </x:c>
      <x:c r="C3636" s="380" t="n">
        <x:v>12</x:v>
      </x:c>
      <x:c r="D3636" s="380" t="str">
        <x:v>Dec</x:v>
      </x:c>
      <x:c r="E3636" s="380" t="n">
        <x:v>9</x:v>
      </x:c>
      <x:c r="F3636" s="380" t="n">
        <x:v>6</x:v>
      </x:c>
      <x:c r="G3636" s="380" t="n">
        <x:f>--(F3636&lt;='Estimator'!$B$7)</x:f>
        <x:v>0</x:v>
      </x:c>
      <x:c r="H3636" s="381" t="n">
        <x:f>SUMIFS('Climate Data'!$G$7:$G$366,'Climate Data'!$A$7:$A$366,'Estimator'!$B$4,'Climate Data'!$B$7:$B$366,C3636)</x:f>
        <x:v>0.2914349276974416</x:v>
      </x:c>
      <x:c r="I3636" s="382" t="n">
        <x:f>SUMIFS('Climate Data'!$H$7:$H$366,'Climate Data'!$A$7:$A$366,'Estimator'!$B$4,'Climate Data'!$B$7:$B$366,C3636)</x:f>
        <x:v>9.043129770992365</x:v>
      </x:c>
      <x:c r="J3636" s="381" t="n">
        <x:f>SUMIFS('Wind Proxy'!$H$8:$H$19,'Wind Proxy'!$A$8:$A$19,'Estimator'!$B$4,'Wind Proxy'!$B$8:$B$19,C3636)</x:f>
        <x:v>0.12544802867383514</x:v>
      </x:c>
    </x:row>
    <x:row r="3637">
      <x:c r="A3637" s="379" t="n">
        <x:v>49288</x:v>
      </x:c>
      <x:c r="B3637" s="380" t="n">
        <x:v>2034</x:v>
      </x:c>
      <x:c r="C3637" s="380" t="n">
        <x:v>12</x:v>
      </x:c>
      <x:c r="D3637" s="380" t="str">
        <x:v>Dec</x:v>
      </x:c>
      <x:c r="E3637" s="380" t="n">
        <x:v>10</x:v>
      </x:c>
      <x:c r="F3637" s="380" t="n">
        <x:v>7</x:v>
      </x:c>
      <x:c r="G3637" s="380" t="n">
        <x:f>--(F3637&lt;='Estimator'!$B$7)</x:f>
        <x:v>0</x:v>
      </x:c>
      <x:c r="H3637" s="381" t="n">
        <x:f>SUMIFS('Climate Data'!$G$7:$G$366,'Climate Data'!$A$7:$A$366,'Estimator'!$B$4,'Climate Data'!$B$7:$B$366,C3637)</x:f>
        <x:v>0.2914349276974416</x:v>
      </x:c>
      <x:c r="I3637" s="382" t="n">
        <x:f>SUMIFS('Climate Data'!$H$7:$H$366,'Climate Data'!$A$7:$A$366,'Estimator'!$B$4,'Climate Data'!$B$7:$B$366,C3637)</x:f>
        <x:v>9.043129770992365</x:v>
      </x:c>
      <x:c r="J3637" s="381" t="n">
        <x:f>SUMIFS('Wind Proxy'!$H$8:$H$19,'Wind Proxy'!$A$8:$A$19,'Estimator'!$B$4,'Wind Proxy'!$B$8:$B$19,C3637)</x:f>
        <x:v>0.12544802867383514</x:v>
      </x:c>
    </x:row>
    <x:row r="3638">
      <x:c r="A3638" s="379" t="n">
        <x:v>49289</x:v>
      </x:c>
      <x:c r="B3638" s="380" t="n">
        <x:v>2034</x:v>
      </x:c>
      <x:c r="C3638" s="380" t="n">
        <x:v>12</x:v>
      </x:c>
      <x:c r="D3638" s="380" t="str">
        <x:v>Dec</x:v>
      </x:c>
      <x:c r="E3638" s="380" t="n">
        <x:v>11</x:v>
      </x:c>
      <x:c r="F3638" s="380" t="n">
        <x:v>1</x:v>
      </x:c>
      <x:c r="G3638" s="380" t="n">
        <x:f>--(F3638&lt;='Estimator'!$B$7)</x:f>
        <x:v>1</x:v>
      </x:c>
      <x:c r="H3638" s="381" t="n">
        <x:f>SUMIFS('Climate Data'!$G$7:$G$366,'Climate Data'!$A$7:$A$366,'Estimator'!$B$4,'Climate Data'!$B$7:$B$366,C3638)</x:f>
        <x:v>0.2914349276974416</x:v>
      </x:c>
      <x:c r="I3638" s="382" t="n">
        <x:f>SUMIFS('Climate Data'!$H$7:$H$366,'Climate Data'!$A$7:$A$366,'Estimator'!$B$4,'Climate Data'!$B$7:$B$366,C3638)</x:f>
        <x:v>9.043129770992365</x:v>
      </x:c>
      <x:c r="J3638" s="381" t="n">
        <x:f>SUMIFS('Wind Proxy'!$H$8:$H$19,'Wind Proxy'!$A$8:$A$19,'Estimator'!$B$4,'Wind Proxy'!$B$8:$B$19,C3638)</x:f>
        <x:v>0.12544802867383514</x:v>
      </x:c>
    </x:row>
    <x:row r="3639">
      <x:c r="A3639" s="379" t="n">
        <x:v>49290</x:v>
      </x:c>
      <x:c r="B3639" s="380" t="n">
        <x:v>2034</x:v>
      </x:c>
      <x:c r="C3639" s="380" t="n">
        <x:v>12</x:v>
      </x:c>
      <x:c r="D3639" s="380" t="str">
        <x:v>Dec</x:v>
      </x:c>
      <x:c r="E3639" s="380" t="n">
        <x:v>12</x:v>
      </x:c>
      <x:c r="F3639" s="380" t="n">
        <x:v>2</x:v>
      </x:c>
      <x:c r="G3639" s="380" t="n">
        <x:f>--(F3639&lt;='Estimator'!$B$7)</x:f>
        <x:v>1</x:v>
      </x:c>
      <x:c r="H3639" s="381" t="n">
        <x:f>SUMIFS('Climate Data'!$G$7:$G$366,'Climate Data'!$A$7:$A$366,'Estimator'!$B$4,'Climate Data'!$B$7:$B$366,C3639)</x:f>
        <x:v>0.2914349276974416</x:v>
      </x:c>
      <x:c r="I3639" s="382" t="n">
        <x:f>SUMIFS('Climate Data'!$H$7:$H$366,'Climate Data'!$A$7:$A$366,'Estimator'!$B$4,'Climate Data'!$B$7:$B$366,C3639)</x:f>
        <x:v>9.043129770992365</x:v>
      </x:c>
      <x:c r="J3639" s="381" t="n">
        <x:f>SUMIFS('Wind Proxy'!$H$8:$H$19,'Wind Proxy'!$A$8:$A$19,'Estimator'!$B$4,'Wind Proxy'!$B$8:$B$19,C3639)</x:f>
        <x:v>0.12544802867383514</x:v>
      </x:c>
    </x:row>
    <x:row r="3640">
      <x:c r="A3640" s="379" t="n">
        <x:v>49291</x:v>
      </x:c>
      <x:c r="B3640" s="380" t="n">
        <x:v>2034</x:v>
      </x:c>
      <x:c r="C3640" s="380" t="n">
        <x:v>12</x:v>
      </x:c>
      <x:c r="D3640" s="380" t="str">
        <x:v>Dec</x:v>
      </x:c>
      <x:c r="E3640" s="380" t="n">
        <x:v>13</x:v>
      </x:c>
      <x:c r="F3640" s="380" t="n">
        <x:v>3</x:v>
      </x:c>
      <x:c r="G3640" s="380" t="n">
        <x:f>--(F3640&lt;='Estimator'!$B$7)</x:f>
        <x:v>1</x:v>
      </x:c>
      <x:c r="H3640" s="381" t="n">
        <x:f>SUMIFS('Climate Data'!$G$7:$G$366,'Climate Data'!$A$7:$A$366,'Estimator'!$B$4,'Climate Data'!$B$7:$B$366,C3640)</x:f>
        <x:v>0.2914349276974416</x:v>
      </x:c>
      <x:c r="I3640" s="382" t="n">
        <x:f>SUMIFS('Climate Data'!$H$7:$H$366,'Climate Data'!$A$7:$A$366,'Estimator'!$B$4,'Climate Data'!$B$7:$B$366,C3640)</x:f>
        <x:v>9.043129770992365</x:v>
      </x:c>
      <x:c r="J3640" s="381" t="n">
        <x:f>SUMIFS('Wind Proxy'!$H$8:$H$19,'Wind Proxy'!$A$8:$A$19,'Estimator'!$B$4,'Wind Proxy'!$B$8:$B$19,C3640)</x:f>
        <x:v>0.12544802867383514</x:v>
      </x:c>
    </x:row>
    <x:row r="3641">
      <x:c r="A3641" s="379" t="n">
        <x:v>49292</x:v>
      </x:c>
      <x:c r="B3641" s="380" t="n">
        <x:v>2034</x:v>
      </x:c>
      <x:c r="C3641" s="380" t="n">
        <x:v>12</x:v>
      </x:c>
      <x:c r="D3641" s="380" t="str">
        <x:v>Dec</x:v>
      </x:c>
      <x:c r="E3641" s="380" t="n">
        <x:v>14</x:v>
      </x:c>
      <x:c r="F3641" s="380" t="n">
        <x:v>4</x:v>
      </x:c>
      <x:c r="G3641" s="380" t="n">
        <x:f>--(F3641&lt;='Estimator'!$B$7)</x:f>
        <x:v>1</x:v>
      </x:c>
      <x:c r="H3641" s="381" t="n">
        <x:f>SUMIFS('Climate Data'!$G$7:$G$366,'Climate Data'!$A$7:$A$366,'Estimator'!$B$4,'Climate Data'!$B$7:$B$366,C3641)</x:f>
        <x:v>0.2914349276974416</x:v>
      </x:c>
      <x:c r="I3641" s="382" t="n">
        <x:f>SUMIFS('Climate Data'!$H$7:$H$366,'Climate Data'!$A$7:$A$366,'Estimator'!$B$4,'Climate Data'!$B$7:$B$366,C3641)</x:f>
        <x:v>9.043129770992365</x:v>
      </x:c>
      <x:c r="J3641" s="381" t="n">
        <x:f>SUMIFS('Wind Proxy'!$H$8:$H$19,'Wind Proxy'!$A$8:$A$19,'Estimator'!$B$4,'Wind Proxy'!$B$8:$B$19,C3641)</x:f>
        <x:v>0.12544802867383514</x:v>
      </x:c>
    </x:row>
    <x:row r="3642">
      <x:c r="A3642" s="379" t="n">
        <x:v>49293</x:v>
      </x:c>
      <x:c r="B3642" s="380" t="n">
        <x:v>2034</x:v>
      </x:c>
      <x:c r="C3642" s="380" t="n">
        <x:v>12</x:v>
      </x:c>
      <x:c r="D3642" s="380" t="str">
        <x:v>Dec</x:v>
      </x:c>
      <x:c r="E3642" s="380" t="n">
        <x:v>15</x:v>
      </x:c>
      <x:c r="F3642" s="380" t="n">
        <x:v>5</x:v>
      </x:c>
      <x:c r="G3642" s="380" t="n">
        <x:f>--(F3642&lt;='Estimator'!$B$7)</x:f>
        <x:v>1</x:v>
      </x:c>
      <x:c r="H3642" s="381" t="n">
        <x:f>SUMIFS('Climate Data'!$G$7:$G$366,'Climate Data'!$A$7:$A$366,'Estimator'!$B$4,'Climate Data'!$B$7:$B$366,C3642)</x:f>
        <x:v>0.2914349276974416</x:v>
      </x:c>
      <x:c r="I3642" s="382" t="n">
        <x:f>SUMIFS('Climate Data'!$H$7:$H$366,'Climate Data'!$A$7:$A$366,'Estimator'!$B$4,'Climate Data'!$B$7:$B$366,C3642)</x:f>
        <x:v>9.043129770992365</x:v>
      </x:c>
      <x:c r="J3642" s="381" t="n">
        <x:f>SUMIFS('Wind Proxy'!$H$8:$H$19,'Wind Proxy'!$A$8:$A$19,'Estimator'!$B$4,'Wind Proxy'!$B$8:$B$19,C3642)</x:f>
        <x:v>0.12544802867383514</x:v>
      </x:c>
    </x:row>
    <x:row r="3643">
      <x:c r="A3643" s="379" t="n">
        <x:v>49294</x:v>
      </x:c>
      <x:c r="B3643" s="380" t="n">
        <x:v>2034</x:v>
      </x:c>
      <x:c r="C3643" s="380" t="n">
        <x:v>12</x:v>
      </x:c>
      <x:c r="D3643" s="380" t="str">
        <x:v>Dec</x:v>
      </x:c>
      <x:c r="E3643" s="380" t="n">
        <x:v>16</x:v>
      </x:c>
      <x:c r="F3643" s="380" t="n">
        <x:v>6</x:v>
      </x:c>
      <x:c r="G3643" s="380" t="n">
        <x:f>--(F3643&lt;='Estimator'!$B$7)</x:f>
        <x:v>0</x:v>
      </x:c>
      <x:c r="H3643" s="381" t="n">
        <x:f>SUMIFS('Climate Data'!$G$7:$G$366,'Climate Data'!$A$7:$A$366,'Estimator'!$B$4,'Climate Data'!$B$7:$B$366,C3643)</x:f>
        <x:v>0.2914349276974416</x:v>
      </x:c>
      <x:c r="I3643" s="382" t="n">
        <x:f>SUMIFS('Climate Data'!$H$7:$H$366,'Climate Data'!$A$7:$A$366,'Estimator'!$B$4,'Climate Data'!$B$7:$B$366,C3643)</x:f>
        <x:v>9.043129770992365</x:v>
      </x:c>
      <x:c r="J3643" s="381" t="n">
        <x:f>SUMIFS('Wind Proxy'!$H$8:$H$19,'Wind Proxy'!$A$8:$A$19,'Estimator'!$B$4,'Wind Proxy'!$B$8:$B$19,C3643)</x:f>
        <x:v>0.12544802867383514</x:v>
      </x:c>
    </x:row>
    <x:row r="3644">
      <x:c r="A3644" s="379" t="n">
        <x:v>49295</x:v>
      </x:c>
      <x:c r="B3644" s="380" t="n">
        <x:v>2034</x:v>
      </x:c>
      <x:c r="C3644" s="380" t="n">
        <x:v>12</x:v>
      </x:c>
      <x:c r="D3644" s="380" t="str">
        <x:v>Dec</x:v>
      </x:c>
      <x:c r="E3644" s="380" t="n">
        <x:v>17</x:v>
      </x:c>
      <x:c r="F3644" s="380" t="n">
        <x:v>7</x:v>
      </x:c>
      <x:c r="G3644" s="380" t="n">
        <x:f>--(F3644&lt;='Estimator'!$B$7)</x:f>
        <x:v>0</x:v>
      </x:c>
      <x:c r="H3644" s="381" t="n">
        <x:f>SUMIFS('Climate Data'!$G$7:$G$366,'Climate Data'!$A$7:$A$366,'Estimator'!$B$4,'Climate Data'!$B$7:$B$366,C3644)</x:f>
        <x:v>0.2914349276974416</x:v>
      </x:c>
      <x:c r="I3644" s="382" t="n">
        <x:f>SUMIFS('Climate Data'!$H$7:$H$366,'Climate Data'!$A$7:$A$366,'Estimator'!$B$4,'Climate Data'!$B$7:$B$366,C3644)</x:f>
        <x:v>9.043129770992365</x:v>
      </x:c>
      <x:c r="J3644" s="381" t="n">
        <x:f>SUMIFS('Wind Proxy'!$H$8:$H$19,'Wind Proxy'!$A$8:$A$19,'Estimator'!$B$4,'Wind Proxy'!$B$8:$B$19,C3644)</x:f>
        <x:v>0.12544802867383514</x:v>
      </x:c>
    </x:row>
    <x:row r="3645">
      <x:c r="A3645" s="379" t="n">
        <x:v>49296</x:v>
      </x:c>
      <x:c r="B3645" s="380" t="n">
        <x:v>2034</x:v>
      </x:c>
      <x:c r="C3645" s="380" t="n">
        <x:v>12</x:v>
      </x:c>
      <x:c r="D3645" s="380" t="str">
        <x:v>Dec</x:v>
      </x:c>
      <x:c r="E3645" s="380" t="n">
        <x:v>18</x:v>
      </x:c>
      <x:c r="F3645" s="380" t="n">
        <x:v>1</x:v>
      </x:c>
      <x:c r="G3645" s="380" t="n">
        <x:f>--(F3645&lt;='Estimator'!$B$7)</x:f>
        <x:v>1</x:v>
      </x:c>
      <x:c r="H3645" s="381" t="n">
        <x:f>SUMIFS('Climate Data'!$G$7:$G$366,'Climate Data'!$A$7:$A$366,'Estimator'!$B$4,'Climate Data'!$B$7:$B$366,C3645)</x:f>
        <x:v>0.2914349276974416</x:v>
      </x:c>
      <x:c r="I3645" s="382" t="n">
        <x:f>SUMIFS('Climate Data'!$H$7:$H$366,'Climate Data'!$A$7:$A$366,'Estimator'!$B$4,'Climate Data'!$B$7:$B$366,C3645)</x:f>
        <x:v>9.043129770992365</x:v>
      </x:c>
      <x:c r="J3645" s="381" t="n">
        <x:f>SUMIFS('Wind Proxy'!$H$8:$H$19,'Wind Proxy'!$A$8:$A$19,'Estimator'!$B$4,'Wind Proxy'!$B$8:$B$19,C3645)</x:f>
        <x:v>0.12544802867383514</x:v>
      </x:c>
    </x:row>
    <x:row r="3646">
      <x:c r="A3646" s="379" t="n">
        <x:v>49297</x:v>
      </x:c>
      <x:c r="B3646" s="380" t="n">
        <x:v>2034</x:v>
      </x:c>
      <x:c r="C3646" s="380" t="n">
        <x:v>12</x:v>
      </x:c>
      <x:c r="D3646" s="380" t="str">
        <x:v>Dec</x:v>
      </x:c>
      <x:c r="E3646" s="380" t="n">
        <x:v>19</x:v>
      </x:c>
      <x:c r="F3646" s="380" t="n">
        <x:v>2</x:v>
      </x:c>
      <x:c r="G3646" s="380" t="n">
        <x:f>--(F3646&lt;='Estimator'!$B$7)</x:f>
        <x:v>1</x:v>
      </x:c>
      <x:c r="H3646" s="381" t="n">
        <x:f>SUMIFS('Climate Data'!$G$7:$G$366,'Climate Data'!$A$7:$A$366,'Estimator'!$B$4,'Climate Data'!$B$7:$B$366,C3646)</x:f>
        <x:v>0.2914349276974416</x:v>
      </x:c>
      <x:c r="I3646" s="382" t="n">
        <x:f>SUMIFS('Climate Data'!$H$7:$H$366,'Climate Data'!$A$7:$A$366,'Estimator'!$B$4,'Climate Data'!$B$7:$B$366,C3646)</x:f>
        <x:v>9.043129770992365</x:v>
      </x:c>
      <x:c r="J3646" s="381" t="n">
        <x:f>SUMIFS('Wind Proxy'!$H$8:$H$19,'Wind Proxy'!$A$8:$A$19,'Estimator'!$B$4,'Wind Proxy'!$B$8:$B$19,C3646)</x:f>
        <x:v>0.12544802867383514</x:v>
      </x:c>
    </x:row>
    <x:row r="3647">
      <x:c r="A3647" s="379" t="n">
        <x:v>49298</x:v>
      </x:c>
      <x:c r="B3647" s="380" t="n">
        <x:v>2034</x:v>
      </x:c>
      <x:c r="C3647" s="380" t="n">
        <x:v>12</x:v>
      </x:c>
      <x:c r="D3647" s="380" t="str">
        <x:v>Dec</x:v>
      </x:c>
      <x:c r="E3647" s="380" t="n">
        <x:v>20</x:v>
      </x:c>
      <x:c r="F3647" s="380" t="n">
        <x:v>3</x:v>
      </x:c>
      <x:c r="G3647" s="380" t="n">
        <x:f>--(F3647&lt;='Estimator'!$B$7)</x:f>
        <x:v>1</x:v>
      </x:c>
      <x:c r="H3647" s="381" t="n">
        <x:f>SUMIFS('Climate Data'!$G$7:$G$366,'Climate Data'!$A$7:$A$366,'Estimator'!$B$4,'Climate Data'!$B$7:$B$366,C3647)</x:f>
        <x:v>0.2914349276974416</x:v>
      </x:c>
      <x:c r="I3647" s="382" t="n">
        <x:f>SUMIFS('Climate Data'!$H$7:$H$366,'Climate Data'!$A$7:$A$366,'Estimator'!$B$4,'Climate Data'!$B$7:$B$366,C3647)</x:f>
        <x:v>9.043129770992365</x:v>
      </x:c>
      <x:c r="J3647" s="381" t="n">
        <x:f>SUMIFS('Wind Proxy'!$H$8:$H$19,'Wind Proxy'!$A$8:$A$19,'Estimator'!$B$4,'Wind Proxy'!$B$8:$B$19,C3647)</x:f>
        <x:v>0.12544802867383514</x:v>
      </x:c>
    </x:row>
    <x:row r="3648">
      <x:c r="A3648" s="379" t="n">
        <x:v>49299</x:v>
      </x:c>
      <x:c r="B3648" s="380" t="n">
        <x:v>2034</x:v>
      </x:c>
      <x:c r="C3648" s="380" t="n">
        <x:v>12</x:v>
      </x:c>
      <x:c r="D3648" s="380" t="str">
        <x:v>Dec</x:v>
      </x:c>
      <x:c r="E3648" s="380" t="n">
        <x:v>21</x:v>
      </x:c>
      <x:c r="F3648" s="380" t="n">
        <x:v>4</x:v>
      </x:c>
      <x:c r="G3648" s="380" t="n">
        <x:f>--(F3648&lt;='Estimator'!$B$7)</x:f>
        <x:v>1</x:v>
      </x:c>
      <x:c r="H3648" s="381" t="n">
        <x:f>SUMIFS('Climate Data'!$G$7:$G$366,'Climate Data'!$A$7:$A$366,'Estimator'!$B$4,'Climate Data'!$B$7:$B$366,C3648)</x:f>
        <x:v>0.2914349276974416</x:v>
      </x:c>
      <x:c r="I3648" s="382" t="n">
        <x:f>SUMIFS('Climate Data'!$H$7:$H$366,'Climate Data'!$A$7:$A$366,'Estimator'!$B$4,'Climate Data'!$B$7:$B$366,C3648)</x:f>
        <x:v>9.043129770992365</x:v>
      </x:c>
      <x:c r="J3648" s="381" t="n">
        <x:f>SUMIFS('Wind Proxy'!$H$8:$H$19,'Wind Proxy'!$A$8:$A$19,'Estimator'!$B$4,'Wind Proxy'!$B$8:$B$19,C3648)</x:f>
        <x:v>0.12544802867383514</x:v>
      </x:c>
    </x:row>
    <x:row r="3649">
      <x:c r="A3649" s="379" t="n">
        <x:v>49300</x:v>
      </x:c>
      <x:c r="B3649" s="380" t="n">
        <x:v>2034</x:v>
      </x:c>
      <x:c r="C3649" s="380" t="n">
        <x:v>12</x:v>
      </x:c>
      <x:c r="D3649" s="380" t="str">
        <x:v>Dec</x:v>
      </x:c>
      <x:c r="E3649" s="380" t="n">
        <x:v>22</x:v>
      </x:c>
      <x:c r="F3649" s="380" t="n">
        <x:v>5</x:v>
      </x:c>
      <x:c r="G3649" s="380" t="n">
        <x:f>--(F3649&lt;='Estimator'!$B$7)</x:f>
        <x:v>1</x:v>
      </x:c>
      <x:c r="H3649" s="381" t="n">
        <x:f>SUMIFS('Climate Data'!$G$7:$G$366,'Climate Data'!$A$7:$A$366,'Estimator'!$B$4,'Climate Data'!$B$7:$B$366,C3649)</x:f>
        <x:v>0.2914349276974416</x:v>
      </x:c>
      <x:c r="I3649" s="382" t="n">
        <x:f>SUMIFS('Climate Data'!$H$7:$H$366,'Climate Data'!$A$7:$A$366,'Estimator'!$B$4,'Climate Data'!$B$7:$B$366,C3649)</x:f>
        <x:v>9.043129770992365</x:v>
      </x:c>
      <x:c r="J3649" s="381" t="n">
        <x:f>SUMIFS('Wind Proxy'!$H$8:$H$19,'Wind Proxy'!$A$8:$A$19,'Estimator'!$B$4,'Wind Proxy'!$B$8:$B$19,C3649)</x:f>
        <x:v>0.12544802867383514</x:v>
      </x:c>
    </x:row>
    <x:row r="3650">
      <x:c r="A3650" s="379" t="n">
        <x:v>49301</x:v>
      </x:c>
      <x:c r="B3650" s="380" t="n">
        <x:v>2034</x:v>
      </x:c>
      <x:c r="C3650" s="380" t="n">
        <x:v>12</x:v>
      </x:c>
      <x:c r="D3650" s="380" t="str">
        <x:v>Dec</x:v>
      </x:c>
      <x:c r="E3650" s="380" t="n">
        <x:v>23</x:v>
      </x:c>
      <x:c r="F3650" s="380" t="n">
        <x:v>6</x:v>
      </x:c>
      <x:c r="G3650" s="380" t="n">
        <x:f>--(F3650&lt;='Estimator'!$B$7)</x:f>
        <x:v>0</x:v>
      </x:c>
      <x:c r="H3650" s="381" t="n">
        <x:f>SUMIFS('Climate Data'!$G$7:$G$366,'Climate Data'!$A$7:$A$366,'Estimator'!$B$4,'Climate Data'!$B$7:$B$366,C3650)</x:f>
        <x:v>0.2914349276974416</x:v>
      </x:c>
      <x:c r="I3650" s="382" t="n">
        <x:f>SUMIFS('Climate Data'!$H$7:$H$366,'Climate Data'!$A$7:$A$366,'Estimator'!$B$4,'Climate Data'!$B$7:$B$366,C3650)</x:f>
        <x:v>9.043129770992365</x:v>
      </x:c>
      <x:c r="J3650" s="381" t="n">
        <x:f>SUMIFS('Wind Proxy'!$H$8:$H$19,'Wind Proxy'!$A$8:$A$19,'Estimator'!$B$4,'Wind Proxy'!$B$8:$B$19,C3650)</x:f>
        <x:v>0.12544802867383514</x:v>
      </x:c>
    </x:row>
    <x:row r="3651">
      <x:c r="A3651" s="379" t="n">
        <x:v>49302</x:v>
      </x:c>
      <x:c r="B3651" s="380" t="n">
        <x:v>2034</x:v>
      </x:c>
      <x:c r="C3651" s="380" t="n">
        <x:v>12</x:v>
      </x:c>
      <x:c r="D3651" s="380" t="str">
        <x:v>Dec</x:v>
      </x:c>
      <x:c r="E3651" s="380" t="n">
        <x:v>24</x:v>
      </x:c>
      <x:c r="F3651" s="380" t="n">
        <x:v>7</x:v>
      </x:c>
      <x:c r="G3651" s="380" t="n">
        <x:f>--(F3651&lt;='Estimator'!$B$7)</x:f>
        <x:v>0</x:v>
      </x:c>
      <x:c r="H3651" s="381" t="n">
        <x:f>SUMIFS('Climate Data'!$G$7:$G$366,'Climate Data'!$A$7:$A$366,'Estimator'!$B$4,'Climate Data'!$B$7:$B$366,C3651)</x:f>
        <x:v>0.2914349276974416</x:v>
      </x:c>
      <x:c r="I3651" s="382" t="n">
        <x:f>SUMIFS('Climate Data'!$H$7:$H$366,'Climate Data'!$A$7:$A$366,'Estimator'!$B$4,'Climate Data'!$B$7:$B$366,C3651)</x:f>
        <x:v>9.043129770992365</x:v>
      </x:c>
      <x:c r="J3651" s="381" t="n">
        <x:f>SUMIFS('Wind Proxy'!$H$8:$H$19,'Wind Proxy'!$A$8:$A$19,'Estimator'!$B$4,'Wind Proxy'!$B$8:$B$19,C3651)</x:f>
        <x:v>0.12544802867383514</x:v>
      </x:c>
    </x:row>
    <x:row r="3652">
      <x:c r="A3652" s="379" t="n">
        <x:v>49303</x:v>
      </x:c>
      <x:c r="B3652" s="380" t="n">
        <x:v>2034</x:v>
      </x:c>
      <x:c r="C3652" s="380" t="n">
        <x:v>12</x:v>
      </x:c>
      <x:c r="D3652" s="380" t="str">
        <x:v>Dec</x:v>
      </x:c>
      <x:c r="E3652" s="380" t="n">
        <x:v>25</x:v>
      </x:c>
      <x:c r="F3652" s="380" t="n">
        <x:v>1</x:v>
      </x:c>
      <x:c r="G3652" s="380" t="n">
        <x:f>--(F3652&lt;='Estimator'!$B$7)</x:f>
        <x:v>1</x:v>
      </x:c>
      <x:c r="H3652" s="381" t="n">
        <x:f>SUMIFS('Climate Data'!$G$7:$G$366,'Climate Data'!$A$7:$A$366,'Estimator'!$B$4,'Climate Data'!$B$7:$B$366,C3652)</x:f>
        <x:v>0.2914349276974416</x:v>
      </x:c>
      <x:c r="I3652" s="382" t="n">
        <x:f>SUMIFS('Climate Data'!$H$7:$H$366,'Climate Data'!$A$7:$A$366,'Estimator'!$B$4,'Climate Data'!$B$7:$B$366,C3652)</x:f>
        <x:v>9.043129770992365</x:v>
      </x:c>
      <x:c r="J3652" s="381" t="n">
        <x:f>SUMIFS('Wind Proxy'!$H$8:$H$19,'Wind Proxy'!$A$8:$A$19,'Estimator'!$B$4,'Wind Proxy'!$B$8:$B$19,C3652)</x:f>
        <x:v>0.12544802867383514</x:v>
      </x:c>
    </x:row>
    <x:row r="3653">
      <x:c r="A3653" s="379" t="n">
        <x:v>49304</x:v>
      </x:c>
      <x:c r="B3653" s="380" t="n">
        <x:v>2034</x:v>
      </x:c>
      <x:c r="C3653" s="380" t="n">
        <x:v>12</x:v>
      </x:c>
      <x:c r="D3653" s="380" t="str">
        <x:v>Dec</x:v>
      </x:c>
      <x:c r="E3653" s="380" t="n">
        <x:v>26</x:v>
      </x:c>
      <x:c r="F3653" s="380" t="n">
        <x:v>2</x:v>
      </x:c>
      <x:c r="G3653" s="380" t="n">
        <x:f>--(F3653&lt;='Estimator'!$B$7)</x:f>
        <x:v>1</x:v>
      </x:c>
      <x:c r="H3653" s="381" t="n">
        <x:f>SUMIFS('Climate Data'!$G$7:$G$366,'Climate Data'!$A$7:$A$366,'Estimator'!$B$4,'Climate Data'!$B$7:$B$366,C3653)</x:f>
        <x:v>0.2914349276974416</x:v>
      </x:c>
      <x:c r="I3653" s="382" t="n">
        <x:f>SUMIFS('Climate Data'!$H$7:$H$366,'Climate Data'!$A$7:$A$366,'Estimator'!$B$4,'Climate Data'!$B$7:$B$366,C3653)</x:f>
        <x:v>9.043129770992365</x:v>
      </x:c>
      <x:c r="J3653" s="381" t="n">
        <x:f>SUMIFS('Wind Proxy'!$H$8:$H$19,'Wind Proxy'!$A$8:$A$19,'Estimator'!$B$4,'Wind Proxy'!$B$8:$B$19,C3653)</x:f>
        <x:v>0.12544802867383514</x:v>
      </x:c>
    </x:row>
    <x:row r="3654">
      <x:c r="A3654" s="379" t="n">
        <x:v>49305</x:v>
      </x:c>
      <x:c r="B3654" s="380" t="n">
        <x:v>2034</x:v>
      </x:c>
      <x:c r="C3654" s="380" t="n">
        <x:v>12</x:v>
      </x:c>
      <x:c r="D3654" s="380" t="str">
        <x:v>Dec</x:v>
      </x:c>
      <x:c r="E3654" s="380" t="n">
        <x:v>27</x:v>
      </x:c>
      <x:c r="F3654" s="380" t="n">
        <x:v>3</x:v>
      </x:c>
      <x:c r="G3654" s="380" t="n">
        <x:f>--(F3654&lt;='Estimator'!$B$7)</x:f>
        <x:v>1</x:v>
      </x:c>
      <x:c r="H3654" s="381" t="n">
        <x:f>SUMIFS('Climate Data'!$G$7:$G$366,'Climate Data'!$A$7:$A$366,'Estimator'!$B$4,'Climate Data'!$B$7:$B$366,C3654)</x:f>
        <x:v>0.2914349276974416</x:v>
      </x:c>
      <x:c r="I3654" s="382" t="n">
        <x:f>SUMIFS('Climate Data'!$H$7:$H$366,'Climate Data'!$A$7:$A$366,'Estimator'!$B$4,'Climate Data'!$B$7:$B$366,C3654)</x:f>
        <x:v>9.043129770992365</x:v>
      </x:c>
      <x:c r="J3654" s="381" t="n">
        <x:f>SUMIFS('Wind Proxy'!$H$8:$H$19,'Wind Proxy'!$A$8:$A$19,'Estimator'!$B$4,'Wind Proxy'!$B$8:$B$19,C3654)</x:f>
        <x:v>0.12544802867383514</x:v>
      </x:c>
    </x:row>
    <x:row r="3655">
      <x:c r="A3655" s="379" t="n">
        <x:v>49306</x:v>
      </x:c>
      <x:c r="B3655" s="380" t="n">
        <x:v>2034</x:v>
      </x:c>
      <x:c r="C3655" s="380" t="n">
        <x:v>12</x:v>
      </x:c>
      <x:c r="D3655" s="380" t="str">
        <x:v>Dec</x:v>
      </x:c>
      <x:c r="E3655" s="380" t="n">
        <x:v>28</x:v>
      </x:c>
      <x:c r="F3655" s="380" t="n">
        <x:v>4</x:v>
      </x:c>
      <x:c r="G3655" s="380" t="n">
        <x:f>--(F3655&lt;='Estimator'!$B$7)</x:f>
        <x:v>1</x:v>
      </x:c>
      <x:c r="H3655" s="381" t="n">
        <x:f>SUMIFS('Climate Data'!$G$7:$G$366,'Climate Data'!$A$7:$A$366,'Estimator'!$B$4,'Climate Data'!$B$7:$B$366,C3655)</x:f>
        <x:v>0.2914349276974416</x:v>
      </x:c>
      <x:c r="I3655" s="382" t="n">
        <x:f>SUMIFS('Climate Data'!$H$7:$H$366,'Climate Data'!$A$7:$A$366,'Estimator'!$B$4,'Climate Data'!$B$7:$B$366,C3655)</x:f>
        <x:v>9.043129770992365</x:v>
      </x:c>
      <x:c r="J3655" s="381" t="n">
        <x:f>SUMIFS('Wind Proxy'!$H$8:$H$19,'Wind Proxy'!$A$8:$A$19,'Estimator'!$B$4,'Wind Proxy'!$B$8:$B$19,C3655)</x:f>
        <x:v>0.12544802867383514</x:v>
      </x:c>
    </x:row>
    <x:row r="3656">
      <x:c r="A3656" s="379" t="n">
        <x:v>49307</x:v>
      </x:c>
      <x:c r="B3656" s="380" t="n">
        <x:v>2034</x:v>
      </x:c>
      <x:c r="C3656" s="380" t="n">
        <x:v>12</x:v>
      </x:c>
      <x:c r="D3656" s="380" t="str">
        <x:v>Dec</x:v>
      </x:c>
      <x:c r="E3656" s="380" t="n">
        <x:v>29</x:v>
      </x:c>
      <x:c r="F3656" s="380" t="n">
        <x:v>5</x:v>
      </x:c>
      <x:c r="G3656" s="380" t="n">
        <x:f>--(F3656&lt;='Estimator'!$B$7)</x:f>
        <x:v>1</x:v>
      </x:c>
      <x:c r="H3656" s="381" t="n">
        <x:f>SUMIFS('Climate Data'!$G$7:$G$366,'Climate Data'!$A$7:$A$366,'Estimator'!$B$4,'Climate Data'!$B$7:$B$366,C3656)</x:f>
        <x:v>0.2914349276974416</x:v>
      </x:c>
      <x:c r="I3656" s="382" t="n">
        <x:f>SUMIFS('Climate Data'!$H$7:$H$366,'Climate Data'!$A$7:$A$366,'Estimator'!$B$4,'Climate Data'!$B$7:$B$366,C3656)</x:f>
        <x:v>9.043129770992365</x:v>
      </x:c>
      <x:c r="J3656" s="381" t="n">
        <x:f>SUMIFS('Wind Proxy'!$H$8:$H$19,'Wind Proxy'!$A$8:$A$19,'Estimator'!$B$4,'Wind Proxy'!$B$8:$B$19,C3656)</x:f>
        <x:v>0.12544802867383514</x:v>
      </x:c>
    </x:row>
    <x:row r="3657">
      <x:c r="A3657" s="379" t="n">
        <x:v>49308</x:v>
      </x:c>
      <x:c r="B3657" s="380" t="n">
        <x:v>2034</x:v>
      </x:c>
      <x:c r="C3657" s="380" t="n">
        <x:v>12</x:v>
      </x:c>
      <x:c r="D3657" s="380" t="str">
        <x:v>Dec</x:v>
      </x:c>
      <x:c r="E3657" s="380" t="n">
        <x:v>30</x:v>
      </x:c>
      <x:c r="F3657" s="380" t="n">
        <x:v>6</x:v>
      </x:c>
      <x:c r="G3657" s="380" t="n">
        <x:f>--(F3657&lt;='Estimator'!$B$7)</x:f>
        <x:v>0</x:v>
      </x:c>
      <x:c r="H3657" s="381" t="n">
        <x:f>SUMIFS('Climate Data'!$G$7:$G$366,'Climate Data'!$A$7:$A$366,'Estimator'!$B$4,'Climate Data'!$B$7:$B$366,C3657)</x:f>
        <x:v>0.2914349276974416</x:v>
      </x:c>
      <x:c r="I3657" s="382" t="n">
        <x:f>SUMIFS('Climate Data'!$H$7:$H$366,'Climate Data'!$A$7:$A$366,'Estimator'!$B$4,'Climate Data'!$B$7:$B$366,C3657)</x:f>
        <x:v>9.043129770992365</x:v>
      </x:c>
      <x:c r="J3657" s="381" t="n">
        <x:f>SUMIFS('Wind Proxy'!$H$8:$H$19,'Wind Proxy'!$A$8:$A$19,'Estimator'!$B$4,'Wind Proxy'!$B$8:$B$19,C3657)</x:f>
        <x:v>0.12544802867383514</x:v>
      </x:c>
    </x:row>
    <x:row r="3658">
      <x:c r="A3658" s="379" t="n">
        <x:v>49309</x:v>
      </x:c>
      <x:c r="B3658" s="380" t="n">
        <x:v>2034</x:v>
      </x:c>
      <x:c r="C3658" s="380" t="n">
        <x:v>12</x:v>
      </x:c>
      <x:c r="D3658" s="380" t="str">
        <x:v>Dec</x:v>
      </x:c>
      <x:c r="E3658" s="380" t="n">
        <x:v>31</x:v>
      </x:c>
      <x:c r="F3658" s="380" t="n">
        <x:v>7</x:v>
      </x:c>
      <x:c r="G3658" s="380" t="n">
        <x:f>--(F3658&lt;='Estimator'!$B$7)</x:f>
        <x:v>0</x:v>
      </x:c>
      <x:c r="H3658" s="381" t="n">
        <x:f>SUMIFS('Climate Data'!$G$7:$G$366,'Climate Data'!$A$7:$A$366,'Estimator'!$B$4,'Climate Data'!$B$7:$B$366,C3658)</x:f>
        <x:v>0.2914349276974416</x:v>
      </x:c>
      <x:c r="I3658" s="382" t="n">
        <x:f>SUMIFS('Climate Data'!$H$7:$H$366,'Climate Data'!$A$7:$A$366,'Estimator'!$B$4,'Climate Data'!$B$7:$B$366,C3658)</x:f>
        <x:v>9.043129770992365</x:v>
      </x:c>
      <x:c r="J3658" s="381" t="n">
        <x:f>SUMIFS('Wind Proxy'!$H$8:$H$19,'Wind Proxy'!$A$8:$A$19,'Estimator'!$B$4,'Wind Proxy'!$B$8:$B$19,C3658)</x:f>
        <x:v>0.12544802867383514</x:v>
      </x:c>
    </x:row>
    <x:row r="3659">
      <x:c r="A3659" s="379" t="n">
        <x:v>49310</x:v>
      </x:c>
      <x:c r="B3659" s="380" t="n">
        <x:v>2035</x:v>
      </x:c>
      <x:c r="C3659" s="380" t="n">
        <x:v>1</x:v>
      </x:c>
      <x:c r="D3659" s="380" t="str">
        <x:v>Jan</x:v>
      </x:c>
      <x:c r="E3659" s="380" t="n">
        <x:v>1</x:v>
      </x:c>
      <x:c r="F3659" s="380" t="n">
        <x:v>1</x:v>
      </x:c>
      <x:c r="G3659" s="380" t="n">
        <x:f>--(F3659&lt;='Estimator'!$B$7)</x:f>
        <x:v>1</x:v>
      </x:c>
      <x:c r="H3659" s="381" t="n">
        <x:f>SUMIFS('Climate Data'!$G$7:$G$366,'Climate Data'!$A$7:$A$366,'Estimator'!$B$4,'Climate Data'!$B$7:$B$366,C3659)</x:f>
        <x:v>0.21802002224694106</x:v>
      </x:c>
      <x:c r="I3659" s="382" t="n">
        <x:f>SUMIFS('Climate Data'!$H$7:$H$366,'Climate Data'!$A$7:$A$366,'Estimator'!$B$4,'Climate Data'!$B$7:$B$366,C3659)</x:f>
        <x:v>8.596428571428572</x:v>
      </x:c>
      <x:c r="J3659" s="381" t="n">
        <x:f>SUMIFS('Wind Proxy'!$H$8:$H$19,'Wind Proxy'!$A$8:$A$19,'Estimator'!$B$4,'Wind Proxy'!$B$8:$B$19,C3659)</x:f>
        <x:v>0.12544802867383514</x:v>
      </x:c>
    </x:row>
    <x:row r="3660">
      <x:c r="A3660" s="379" t="n">
        <x:v>49311</x:v>
      </x:c>
      <x:c r="B3660" s="380" t="n">
        <x:v>2035</x:v>
      </x:c>
      <x:c r="C3660" s="380" t="n">
        <x:v>1</x:v>
      </x:c>
      <x:c r="D3660" s="380" t="str">
        <x:v>Jan</x:v>
      </x:c>
      <x:c r="E3660" s="380" t="n">
        <x:v>2</x:v>
      </x:c>
      <x:c r="F3660" s="380" t="n">
        <x:v>2</x:v>
      </x:c>
      <x:c r="G3660" s="380" t="n">
        <x:f>--(F3660&lt;='Estimator'!$B$7)</x:f>
        <x:v>1</x:v>
      </x:c>
      <x:c r="H3660" s="381" t="n">
        <x:f>SUMIFS('Climate Data'!$G$7:$G$366,'Climate Data'!$A$7:$A$366,'Estimator'!$B$4,'Climate Data'!$B$7:$B$366,C3660)</x:f>
        <x:v>0.21802002224694106</x:v>
      </x:c>
      <x:c r="I3660" s="382" t="n">
        <x:f>SUMIFS('Climate Data'!$H$7:$H$366,'Climate Data'!$A$7:$A$366,'Estimator'!$B$4,'Climate Data'!$B$7:$B$366,C3660)</x:f>
        <x:v>8.596428571428572</x:v>
      </x:c>
      <x:c r="J3660" s="381" t="n">
        <x:f>SUMIFS('Wind Proxy'!$H$8:$H$19,'Wind Proxy'!$A$8:$A$19,'Estimator'!$B$4,'Wind Proxy'!$B$8:$B$19,C3660)</x:f>
        <x:v>0.12544802867383514</x:v>
      </x:c>
    </x:row>
    <x:row r="3661">
      <x:c r="A3661" s="379" t="n">
        <x:v>49312</x:v>
      </x:c>
      <x:c r="B3661" s="380" t="n">
        <x:v>2035</x:v>
      </x:c>
      <x:c r="C3661" s="380" t="n">
        <x:v>1</x:v>
      </x:c>
      <x:c r="D3661" s="380" t="str">
        <x:v>Jan</x:v>
      </x:c>
      <x:c r="E3661" s="380" t="n">
        <x:v>3</x:v>
      </x:c>
      <x:c r="F3661" s="380" t="n">
        <x:v>3</x:v>
      </x:c>
      <x:c r="G3661" s="380" t="n">
        <x:f>--(F3661&lt;='Estimator'!$B$7)</x:f>
        <x:v>1</x:v>
      </x:c>
      <x:c r="H3661" s="381" t="n">
        <x:f>SUMIFS('Climate Data'!$G$7:$G$366,'Climate Data'!$A$7:$A$366,'Estimator'!$B$4,'Climate Data'!$B$7:$B$366,C3661)</x:f>
        <x:v>0.21802002224694106</x:v>
      </x:c>
      <x:c r="I3661" s="382" t="n">
        <x:f>SUMIFS('Climate Data'!$H$7:$H$366,'Climate Data'!$A$7:$A$366,'Estimator'!$B$4,'Climate Data'!$B$7:$B$366,C3661)</x:f>
        <x:v>8.596428571428572</x:v>
      </x:c>
      <x:c r="J3661" s="381" t="n">
        <x:f>SUMIFS('Wind Proxy'!$H$8:$H$19,'Wind Proxy'!$A$8:$A$19,'Estimator'!$B$4,'Wind Proxy'!$B$8:$B$19,C3661)</x:f>
        <x:v>0.12544802867383514</x:v>
      </x:c>
    </x:row>
    <x:row r="3662">
      <x:c r="A3662" s="379" t="n">
        <x:v>49313</x:v>
      </x:c>
      <x:c r="B3662" s="380" t="n">
        <x:v>2035</x:v>
      </x:c>
      <x:c r="C3662" s="380" t="n">
        <x:v>1</x:v>
      </x:c>
      <x:c r="D3662" s="380" t="str">
        <x:v>Jan</x:v>
      </x:c>
      <x:c r="E3662" s="380" t="n">
        <x:v>4</x:v>
      </x:c>
      <x:c r="F3662" s="380" t="n">
        <x:v>4</x:v>
      </x:c>
      <x:c r="G3662" s="380" t="n">
        <x:f>--(F3662&lt;='Estimator'!$B$7)</x:f>
        <x:v>1</x:v>
      </x:c>
      <x:c r="H3662" s="381" t="n">
        <x:f>SUMIFS('Climate Data'!$G$7:$G$366,'Climate Data'!$A$7:$A$366,'Estimator'!$B$4,'Climate Data'!$B$7:$B$366,C3662)</x:f>
        <x:v>0.21802002224694106</x:v>
      </x:c>
      <x:c r="I3662" s="382" t="n">
        <x:f>SUMIFS('Climate Data'!$H$7:$H$366,'Climate Data'!$A$7:$A$366,'Estimator'!$B$4,'Climate Data'!$B$7:$B$366,C3662)</x:f>
        <x:v>8.596428571428572</x:v>
      </x:c>
      <x:c r="J3662" s="381" t="n">
        <x:f>SUMIFS('Wind Proxy'!$H$8:$H$19,'Wind Proxy'!$A$8:$A$19,'Estimator'!$B$4,'Wind Proxy'!$B$8:$B$19,C3662)</x:f>
        <x:v>0.12544802867383514</x:v>
      </x:c>
    </x:row>
    <x:row r="3663">
      <x:c r="A3663" s="379" t="n">
        <x:v>49314</x:v>
      </x:c>
      <x:c r="B3663" s="380" t="n">
        <x:v>2035</x:v>
      </x:c>
      <x:c r="C3663" s="380" t="n">
        <x:v>1</x:v>
      </x:c>
      <x:c r="D3663" s="380" t="str">
        <x:v>Jan</x:v>
      </x:c>
      <x:c r="E3663" s="380" t="n">
        <x:v>5</x:v>
      </x:c>
      <x:c r="F3663" s="380" t="n">
        <x:v>5</x:v>
      </x:c>
      <x:c r="G3663" s="380" t="n">
        <x:f>--(F3663&lt;='Estimator'!$B$7)</x:f>
        <x:v>1</x:v>
      </x:c>
      <x:c r="H3663" s="381" t="n">
        <x:f>SUMIFS('Climate Data'!$G$7:$G$366,'Climate Data'!$A$7:$A$366,'Estimator'!$B$4,'Climate Data'!$B$7:$B$366,C3663)</x:f>
        <x:v>0.21802002224694106</x:v>
      </x:c>
      <x:c r="I3663" s="382" t="n">
        <x:f>SUMIFS('Climate Data'!$H$7:$H$366,'Climate Data'!$A$7:$A$366,'Estimator'!$B$4,'Climate Data'!$B$7:$B$366,C3663)</x:f>
        <x:v>8.596428571428572</x:v>
      </x:c>
      <x:c r="J3663" s="381" t="n">
        <x:f>SUMIFS('Wind Proxy'!$H$8:$H$19,'Wind Proxy'!$A$8:$A$19,'Estimator'!$B$4,'Wind Proxy'!$B$8:$B$19,C3663)</x:f>
        <x:v>0.12544802867383514</x:v>
      </x:c>
    </x:row>
    <x:row r="3664">
      <x:c r="A3664" s="379" t="n">
        <x:v>49315</x:v>
      </x:c>
      <x:c r="B3664" s="380" t="n">
        <x:v>2035</x:v>
      </x:c>
      <x:c r="C3664" s="380" t="n">
        <x:v>1</x:v>
      </x:c>
      <x:c r="D3664" s="380" t="str">
        <x:v>Jan</x:v>
      </x:c>
      <x:c r="E3664" s="380" t="n">
        <x:v>6</x:v>
      </x:c>
      <x:c r="F3664" s="380" t="n">
        <x:v>6</x:v>
      </x:c>
      <x:c r="G3664" s="380" t="n">
        <x:f>--(F3664&lt;='Estimator'!$B$7)</x:f>
        <x:v>0</x:v>
      </x:c>
      <x:c r="H3664" s="381" t="n">
        <x:f>SUMIFS('Climate Data'!$G$7:$G$366,'Climate Data'!$A$7:$A$366,'Estimator'!$B$4,'Climate Data'!$B$7:$B$366,C3664)</x:f>
        <x:v>0.21802002224694106</x:v>
      </x:c>
      <x:c r="I3664" s="382" t="n">
        <x:f>SUMIFS('Climate Data'!$H$7:$H$366,'Climate Data'!$A$7:$A$366,'Estimator'!$B$4,'Climate Data'!$B$7:$B$366,C3664)</x:f>
        <x:v>8.596428571428572</x:v>
      </x:c>
      <x:c r="J3664" s="381" t="n">
        <x:f>SUMIFS('Wind Proxy'!$H$8:$H$19,'Wind Proxy'!$A$8:$A$19,'Estimator'!$B$4,'Wind Proxy'!$B$8:$B$19,C3664)</x:f>
        <x:v>0.12544802867383514</x:v>
      </x:c>
    </x:row>
    <x:row r="3665">
      <x:c r="A3665" s="379" t="n">
        <x:v>49316</x:v>
      </x:c>
      <x:c r="B3665" s="380" t="n">
        <x:v>2035</x:v>
      </x:c>
      <x:c r="C3665" s="380" t="n">
        <x:v>1</x:v>
      </x:c>
      <x:c r="D3665" s="380" t="str">
        <x:v>Jan</x:v>
      </x:c>
      <x:c r="E3665" s="380" t="n">
        <x:v>7</x:v>
      </x:c>
      <x:c r="F3665" s="380" t="n">
        <x:v>7</x:v>
      </x:c>
      <x:c r="G3665" s="380" t="n">
        <x:f>--(F3665&lt;='Estimator'!$B$7)</x:f>
        <x:v>0</x:v>
      </x:c>
      <x:c r="H3665" s="381" t="n">
        <x:f>SUMIFS('Climate Data'!$G$7:$G$366,'Climate Data'!$A$7:$A$366,'Estimator'!$B$4,'Climate Data'!$B$7:$B$366,C3665)</x:f>
        <x:v>0.21802002224694106</x:v>
      </x:c>
      <x:c r="I3665" s="382" t="n">
        <x:f>SUMIFS('Climate Data'!$H$7:$H$366,'Climate Data'!$A$7:$A$366,'Estimator'!$B$4,'Climate Data'!$B$7:$B$366,C3665)</x:f>
        <x:v>8.596428571428572</x:v>
      </x:c>
      <x:c r="J3665" s="381" t="n">
        <x:f>SUMIFS('Wind Proxy'!$H$8:$H$19,'Wind Proxy'!$A$8:$A$19,'Estimator'!$B$4,'Wind Proxy'!$B$8:$B$19,C3665)</x:f>
        <x:v>0.12544802867383514</x:v>
      </x:c>
    </x:row>
    <x:row r="3666">
      <x:c r="A3666" s="379" t="n">
        <x:v>49317</x:v>
      </x:c>
      <x:c r="B3666" s="380" t="n">
        <x:v>2035</x:v>
      </x:c>
      <x:c r="C3666" s="380" t="n">
        <x:v>1</x:v>
      </x:c>
      <x:c r="D3666" s="380" t="str">
        <x:v>Jan</x:v>
      </x:c>
      <x:c r="E3666" s="380" t="n">
        <x:v>8</x:v>
      </x:c>
      <x:c r="F3666" s="380" t="n">
        <x:v>1</x:v>
      </x:c>
      <x:c r="G3666" s="380" t="n">
        <x:f>--(F3666&lt;='Estimator'!$B$7)</x:f>
        <x:v>1</x:v>
      </x:c>
      <x:c r="H3666" s="381" t="n">
        <x:f>SUMIFS('Climate Data'!$G$7:$G$366,'Climate Data'!$A$7:$A$366,'Estimator'!$B$4,'Climate Data'!$B$7:$B$366,C3666)</x:f>
        <x:v>0.21802002224694106</x:v>
      </x:c>
      <x:c r="I3666" s="382" t="n">
        <x:f>SUMIFS('Climate Data'!$H$7:$H$366,'Climate Data'!$A$7:$A$366,'Estimator'!$B$4,'Climate Data'!$B$7:$B$366,C3666)</x:f>
        <x:v>8.596428571428572</x:v>
      </x:c>
      <x:c r="J3666" s="381" t="n">
        <x:f>SUMIFS('Wind Proxy'!$H$8:$H$19,'Wind Proxy'!$A$8:$A$19,'Estimator'!$B$4,'Wind Proxy'!$B$8:$B$19,C3666)</x:f>
        <x:v>0.12544802867383514</x:v>
      </x:c>
    </x:row>
    <x:row r="3667">
      <x:c r="A3667" s="379" t="n">
        <x:v>49318</x:v>
      </x:c>
      <x:c r="B3667" s="380" t="n">
        <x:v>2035</x:v>
      </x:c>
      <x:c r="C3667" s="380" t="n">
        <x:v>1</x:v>
      </x:c>
      <x:c r="D3667" s="380" t="str">
        <x:v>Jan</x:v>
      </x:c>
      <x:c r="E3667" s="380" t="n">
        <x:v>9</x:v>
      </x:c>
      <x:c r="F3667" s="380" t="n">
        <x:v>2</x:v>
      </x:c>
      <x:c r="G3667" s="380" t="n">
        <x:f>--(F3667&lt;='Estimator'!$B$7)</x:f>
        <x:v>1</x:v>
      </x:c>
      <x:c r="H3667" s="381" t="n">
        <x:f>SUMIFS('Climate Data'!$G$7:$G$366,'Climate Data'!$A$7:$A$366,'Estimator'!$B$4,'Climate Data'!$B$7:$B$366,C3667)</x:f>
        <x:v>0.21802002224694106</x:v>
      </x:c>
      <x:c r="I3667" s="382" t="n">
        <x:f>SUMIFS('Climate Data'!$H$7:$H$366,'Climate Data'!$A$7:$A$366,'Estimator'!$B$4,'Climate Data'!$B$7:$B$366,C3667)</x:f>
        <x:v>8.596428571428572</x:v>
      </x:c>
      <x:c r="J3667" s="381" t="n">
        <x:f>SUMIFS('Wind Proxy'!$H$8:$H$19,'Wind Proxy'!$A$8:$A$19,'Estimator'!$B$4,'Wind Proxy'!$B$8:$B$19,C3667)</x:f>
        <x:v>0.12544802867383514</x:v>
      </x:c>
    </x:row>
    <x:row r="3668">
      <x:c r="A3668" s="379" t="n">
        <x:v>49319</x:v>
      </x:c>
      <x:c r="B3668" s="380" t="n">
        <x:v>2035</x:v>
      </x:c>
      <x:c r="C3668" s="380" t="n">
        <x:v>1</x:v>
      </x:c>
      <x:c r="D3668" s="380" t="str">
        <x:v>Jan</x:v>
      </x:c>
      <x:c r="E3668" s="380" t="n">
        <x:v>10</x:v>
      </x:c>
      <x:c r="F3668" s="380" t="n">
        <x:v>3</x:v>
      </x:c>
      <x:c r="G3668" s="380" t="n">
        <x:f>--(F3668&lt;='Estimator'!$B$7)</x:f>
        <x:v>1</x:v>
      </x:c>
      <x:c r="H3668" s="381" t="n">
        <x:f>SUMIFS('Climate Data'!$G$7:$G$366,'Climate Data'!$A$7:$A$366,'Estimator'!$B$4,'Climate Data'!$B$7:$B$366,C3668)</x:f>
        <x:v>0.21802002224694106</x:v>
      </x:c>
      <x:c r="I3668" s="382" t="n">
        <x:f>SUMIFS('Climate Data'!$H$7:$H$366,'Climate Data'!$A$7:$A$366,'Estimator'!$B$4,'Climate Data'!$B$7:$B$366,C3668)</x:f>
        <x:v>8.596428571428572</x:v>
      </x:c>
      <x:c r="J3668" s="381" t="n">
        <x:f>SUMIFS('Wind Proxy'!$H$8:$H$19,'Wind Proxy'!$A$8:$A$19,'Estimator'!$B$4,'Wind Proxy'!$B$8:$B$19,C3668)</x:f>
        <x:v>0.12544802867383514</x:v>
      </x:c>
    </x:row>
    <x:row r="3669">
      <x:c r="A3669" s="379" t="n">
        <x:v>49320</x:v>
      </x:c>
      <x:c r="B3669" s="380" t="n">
        <x:v>2035</x:v>
      </x:c>
      <x:c r="C3669" s="380" t="n">
        <x:v>1</x:v>
      </x:c>
      <x:c r="D3669" s="380" t="str">
        <x:v>Jan</x:v>
      </x:c>
      <x:c r="E3669" s="380" t="n">
        <x:v>11</x:v>
      </x:c>
      <x:c r="F3669" s="380" t="n">
        <x:v>4</x:v>
      </x:c>
      <x:c r="G3669" s="380" t="n">
        <x:f>--(F3669&lt;='Estimator'!$B$7)</x:f>
        <x:v>1</x:v>
      </x:c>
      <x:c r="H3669" s="381" t="n">
        <x:f>SUMIFS('Climate Data'!$G$7:$G$366,'Climate Data'!$A$7:$A$366,'Estimator'!$B$4,'Climate Data'!$B$7:$B$366,C3669)</x:f>
        <x:v>0.21802002224694106</x:v>
      </x:c>
      <x:c r="I3669" s="382" t="n">
        <x:f>SUMIFS('Climate Data'!$H$7:$H$366,'Climate Data'!$A$7:$A$366,'Estimator'!$B$4,'Climate Data'!$B$7:$B$366,C3669)</x:f>
        <x:v>8.596428571428572</x:v>
      </x:c>
      <x:c r="J3669" s="381" t="n">
        <x:f>SUMIFS('Wind Proxy'!$H$8:$H$19,'Wind Proxy'!$A$8:$A$19,'Estimator'!$B$4,'Wind Proxy'!$B$8:$B$19,C3669)</x:f>
        <x:v>0.12544802867383514</x:v>
      </x:c>
    </x:row>
    <x:row r="3670">
      <x:c r="A3670" s="379" t="n">
        <x:v>49321</x:v>
      </x:c>
      <x:c r="B3670" s="380" t="n">
        <x:v>2035</x:v>
      </x:c>
      <x:c r="C3670" s="380" t="n">
        <x:v>1</x:v>
      </x:c>
      <x:c r="D3670" s="380" t="str">
        <x:v>Jan</x:v>
      </x:c>
      <x:c r="E3670" s="380" t="n">
        <x:v>12</x:v>
      </x:c>
      <x:c r="F3670" s="380" t="n">
        <x:v>5</x:v>
      </x:c>
      <x:c r="G3670" s="380" t="n">
        <x:f>--(F3670&lt;='Estimator'!$B$7)</x:f>
        <x:v>1</x:v>
      </x:c>
      <x:c r="H3670" s="381" t="n">
        <x:f>SUMIFS('Climate Data'!$G$7:$G$366,'Climate Data'!$A$7:$A$366,'Estimator'!$B$4,'Climate Data'!$B$7:$B$366,C3670)</x:f>
        <x:v>0.21802002224694106</x:v>
      </x:c>
      <x:c r="I3670" s="382" t="n">
        <x:f>SUMIFS('Climate Data'!$H$7:$H$366,'Climate Data'!$A$7:$A$366,'Estimator'!$B$4,'Climate Data'!$B$7:$B$366,C3670)</x:f>
        <x:v>8.596428571428572</x:v>
      </x:c>
      <x:c r="J3670" s="381" t="n">
        <x:f>SUMIFS('Wind Proxy'!$H$8:$H$19,'Wind Proxy'!$A$8:$A$19,'Estimator'!$B$4,'Wind Proxy'!$B$8:$B$19,C3670)</x:f>
        <x:v>0.12544802867383514</x:v>
      </x:c>
    </x:row>
    <x:row r="3671">
      <x:c r="A3671" s="379" t="n">
        <x:v>49322</x:v>
      </x:c>
      <x:c r="B3671" s="380" t="n">
        <x:v>2035</x:v>
      </x:c>
      <x:c r="C3671" s="380" t="n">
        <x:v>1</x:v>
      </x:c>
      <x:c r="D3671" s="380" t="str">
        <x:v>Jan</x:v>
      </x:c>
      <x:c r="E3671" s="380" t="n">
        <x:v>13</x:v>
      </x:c>
      <x:c r="F3671" s="380" t="n">
        <x:v>6</x:v>
      </x:c>
      <x:c r="G3671" s="380" t="n">
        <x:f>--(F3671&lt;='Estimator'!$B$7)</x:f>
        <x:v>0</x:v>
      </x:c>
      <x:c r="H3671" s="381" t="n">
        <x:f>SUMIFS('Climate Data'!$G$7:$G$366,'Climate Data'!$A$7:$A$366,'Estimator'!$B$4,'Climate Data'!$B$7:$B$366,C3671)</x:f>
        <x:v>0.21802002224694106</x:v>
      </x:c>
      <x:c r="I3671" s="382" t="n">
        <x:f>SUMIFS('Climate Data'!$H$7:$H$366,'Climate Data'!$A$7:$A$366,'Estimator'!$B$4,'Climate Data'!$B$7:$B$366,C3671)</x:f>
        <x:v>8.596428571428572</x:v>
      </x:c>
      <x:c r="J3671" s="381" t="n">
        <x:f>SUMIFS('Wind Proxy'!$H$8:$H$19,'Wind Proxy'!$A$8:$A$19,'Estimator'!$B$4,'Wind Proxy'!$B$8:$B$19,C3671)</x:f>
        <x:v>0.12544802867383514</x:v>
      </x:c>
    </x:row>
    <x:row r="3672">
      <x:c r="A3672" s="379" t="n">
        <x:v>49323</x:v>
      </x:c>
      <x:c r="B3672" s="380" t="n">
        <x:v>2035</x:v>
      </x:c>
      <x:c r="C3672" s="380" t="n">
        <x:v>1</x:v>
      </x:c>
      <x:c r="D3672" s="380" t="str">
        <x:v>Jan</x:v>
      </x:c>
      <x:c r="E3672" s="380" t="n">
        <x:v>14</x:v>
      </x:c>
      <x:c r="F3672" s="380" t="n">
        <x:v>7</x:v>
      </x:c>
      <x:c r="G3672" s="380" t="n">
        <x:f>--(F3672&lt;='Estimator'!$B$7)</x:f>
        <x:v>0</x:v>
      </x:c>
      <x:c r="H3672" s="381" t="n">
        <x:f>SUMIFS('Climate Data'!$G$7:$G$366,'Climate Data'!$A$7:$A$366,'Estimator'!$B$4,'Climate Data'!$B$7:$B$366,C3672)</x:f>
        <x:v>0.21802002224694106</x:v>
      </x:c>
      <x:c r="I3672" s="382" t="n">
        <x:f>SUMIFS('Climate Data'!$H$7:$H$366,'Climate Data'!$A$7:$A$366,'Estimator'!$B$4,'Climate Data'!$B$7:$B$366,C3672)</x:f>
        <x:v>8.596428571428572</x:v>
      </x:c>
      <x:c r="J3672" s="381" t="n">
        <x:f>SUMIFS('Wind Proxy'!$H$8:$H$19,'Wind Proxy'!$A$8:$A$19,'Estimator'!$B$4,'Wind Proxy'!$B$8:$B$19,C3672)</x:f>
        <x:v>0.12544802867383514</x:v>
      </x:c>
    </x:row>
    <x:row r="3673">
      <x:c r="A3673" s="379" t="n">
        <x:v>49324</x:v>
      </x:c>
      <x:c r="B3673" s="380" t="n">
        <x:v>2035</x:v>
      </x:c>
      <x:c r="C3673" s="380" t="n">
        <x:v>1</x:v>
      </x:c>
      <x:c r="D3673" s="380" t="str">
        <x:v>Jan</x:v>
      </x:c>
      <x:c r="E3673" s="380" t="n">
        <x:v>15</x:v>
      </x:c>
      <x:c r="F3673" s="380" t="n">
        <x:v>1</x:v>
      </x:c>
      <x:c r="G3673" s="380" t="n">
        <x:f>--(F3673&lt;='Estimator'!$B$7)</x:f>
        <x:v>1</x:v>
      </x:c>
      <x:c r="H3673" s="381" t="n">
        <x:f>SUMIFS('Climate Data'!$G$7:$G$366,'Climate Data'!$A$7:$A$366,'Estimator'!$B$4,'Climate Data'!$B$7:$B$366,C3673)</x:f>
        <x:v>0.21802002224694106</x:v>
      </x:c>
      <x:c r="I3673" s="382" t="n">
        <x:f>SUMIFS('Climate Data'!$H$7:$H$366,'Climate Data'!$A$7:$A$366,'Estimator'!$B$4,'Climate Data'!$B$7:$B$366,C3673)</x:f>
        <x:v>8.596428571428572</x:v>
      </x:c>
      <x:c r="J3673" s="381" t="n">
        <x:f>SUMIFS('Wind Proxy'!$H$8:$H$19,'Wind Proxy'!$A$8:$A$19,'Estimator'!$B$4,'Wind Proxy'!$B$8:$B$19,C3673)</x:f>
        <x:v>0.12544802867383514</x:v>
      </x:c>
    </x:row>
    <x:row r="3674">
      <x:c r="A3674" s="379" t="n">
        <x:v>49325</x:v>
      </x:c>
      <x:c r="B3674" s="380" t="n">
        <x:v>2035</x:v>
      </x:c>
      <x:c r="C3674" s="380" t="n">
        <x:v>1</x:v>
      </x:c>
      <x:c r="D3674" s="380" t="str">
        <x:v>Jan</x:v>
      </x:c>
      <x:c r="E3674" s="380" t="n">
        <x:v>16</x:v>
      </x:c>
      <x:c r="F3674" s="380" t="n">
        <x:v>2</x:v>
      </x:c>
      <x:c r="G3674" s="380" t="n">
        <x:f>--(F3674&lt;='Estimator'!$B$7)</x:f>
        <x:v>1</x:v>
      </x:c>
      <x:c r="H3674" s="381" t="n">
        <x:f>SUMIFS('Climate Data'!$G$7:$G$366,'Climate Data'!$A$7:$A$366,'Estimator'!$B$4,'Climate Data'!$B$7:$B$366,C3674)</x:f>
        <x:v>0.21802002224694106</x:v>
      </x:c>
      <x:c r="I3674" s="382" t="n">
        <x:f>SUMIFS('Climate Data'!$H$7:$H$366,'Climate Data'!$A$7:$A$366,'Estimator'!$B$4,'Climate Data'!$B$7:$B$366,C3674)</x:f>
        <x:v>8.596428571428572</x:v>
      </x:c>
      <x:c r="J3674" s="381" t="n">
        <x:f>SUMIFS('Wind Proxy'!$H$8:$H$19,'Wind Proxy'!$A$8:$A$19,'Estimator'!$B$4,'Wind Proxy'!$B$8:$B$19,C3674)</x:f>
        <x:v>0.12544802867383514</x:v>
      </x:c>
    </x:row>
    <x:row r="3675">
      <x:c r="A3675" s="379" t="n">
        <x:v>49326</x:v>
      </x:c>
      <x:c r="B3675" s="380" t="n">
        <x:v>2035</x:v>
      </x:c>
      <x:c r="C3675" s="380" t="n">
        <x:v>1</x:v>
      </x:c>
      <x:c r="D3675" s="380" t="str">
        <x:v>Jan</x:v>
      </x:c>
      <x:c r="E3675" s="380" t="n">
        <x:v>17</x:v>
      </x:c>
      <x:c r="F3675" s="380" t="n">
        <x:v>3</x:v>
      </x:c>
      <x:c r="G3675" s="380" t="n">
        <x:f>--(F3675&lt;='Estimator'!$B$7)</x:f>
        <x:v>1</x:v>
      </x:c>
      <x:c r="H3675" s="381" t="n">
        <x:f>SUMIFS('Climate Data'!$G$7:$G$366,'Climate Data'!$A$7:$A$366,'Estimator'!$B$4,'Climate Data'!$B$7:$B$366,C3675)</x:f>
        <x:v>0.21802002224694106</x:v>
      </x:c>
      <x:c r="I3675" s="382" t="n">
        <x:f>SUMIFS('Climate Data'!$H$7:$H$366,'Climate Data'!$A$7:$A$366,'Estimator'!$B$4,'Climate Data'!$B$7:$B$366,C3675)</x:f>
        <x:v>8.596428571428572</x:v>
      </x:c>
      <x:c r="J3675" s="381" t="n">
        <x:f>SUMIFS('Wind Proxy'!$H$8:$H$19,'Wind Proxy'!$A$8:$A$19,'Estimator'!$B$4,'Wind Proxy'!$B$8:$B$19,C3675)</x:f>
        <x:v>0.12544802867383514</x:v>
      </x:c>
    </x:row>
    <x:row r="3676">
      <x:c r="A3676" s="379" t="n">
        <x:v>49327</x:v>
      </x:c>
      <x:c r="B3676" s="380" t="n">
        <x:v>2035</x:v>
      </x:c>
      <x:c r="C3676" s="380" t="n">
        <x:v>1</x:v>
      </x:c>
      <x:c r="D3676" s="380" t="str">
        <x:v>Jan</x:v>
      </x:c>
      <x:c r="E3676" s="380" t="n">
        <x:v>18</x:v>
      </x:c>
      <x:c r="F3676" s="380" t="n">
        <x:v>4</x:v>
      </x:c>
      <x:c r="G3676" s="380" t="n">
        <x:f>--(F3676&lt;='Estimator'!$B$7)</x:f>
        <x:v>1</x:v>
      </x:c>
      <x:c r="H3676" s="381" t="n">
        <x:f>SUMIFS('Climate Data'!$G$7:$G$366,'Climate Data'!$A$7:$A$366,'Estimator'!$B$4,'Climate Data'!$B$7:$B$366,C3676)</x:f>
        <x:v>0.21802002224694106</x:v>
      </x:c>
      <x:c r="I3676" s="382" t="n">
        <x:f>SUMIFS('Climate Data'!$H$7:$H$366,'Climate Data'!$A$7:$A$366,'Estimator'!$B$4,'Climate Data'!$B$7:$B$366,C3676)</x:f>
        <x:v>8.596428571428572</x:v>
      </x:c>
      <x:c r="J3676" s="381" t="n">
        <x:f>SUMIFS('Wind Proxy'!$H$8:$H$19,'Wind Proxy'!$A$8:$A$19,'Estimator'!$B$4,'Wind Proxy'!$B$8:$B$19,C3676)</x:f>
        <x:v>0.12544802867383514</x:v>
      </x:c>
    </x:row>
    <x:row r="3677">
      <x:c r="A3677" s="379" t="n">
        <x:v>49328</x:v>
      </x:c>
      <x:c r="B3677" s="380" t="n">
        <x:v>2035</x:v>
      </x:c>
      <x:c r="C3677" s="380" t="n">
        <x:v>1</x:v>
      </x:c>
      <x:c r="D3677" s="380" t="str">
        <x:v>Jan</x:v>
      </x:c>
      <x:c r="E3677" s="380" t="n">
        <x:v>19</x:v>
      </x:c>
      <x:c r="F3677" s="380" t="n">
        <x:v>5</x:v>
      </x:c>
      <x:c r="G3677" s="380" t="n">
        <x:f>--(F3677&lt;='Estimator'!$B$7)</x:f>
        <x:v>1</x:v>
      </x:c>
      <x:c r="H3677" s="381" t="n">
        <x:f>SUMIFS('Climate Data'!$G$7:$G$366,'Climate Data'!$A$7:$A$366,'Estimator'!$B$4,'Climate Data'!$B$7:$B$366,C3677)</x:f>
        <x:v>0.21802002224694106</x:v>
      </x:c>
      <x:c r="I3677" s="382" t="n">
        <x:f>SUMIFS('Climate Data'!$H$7:$H$366,'Climate Data'!$A$7:$A$366,'Estimator'!$B$4,'Climate Data'!$B$7:$B$366,C3677)</x:f>
        <x:v>8.596428571428572</x:v>
      </x:c>
      <x:c r="J3677" s="381" t="n">
        <x:f>SUMIFS('Wind Proxy'!$H$8:$H$19,'Wind Proxy'!$A$8:$A$19,'Estimator'!$B$4,'Wind Proxy'!$B$8:$B$19,C3677)</x:f>
        <x:v>0.12544802867383514</x:v>
      </x:c>
    </x:row>
    <x:row r="3678">
      <x:c r="A3678" s="379" t="n">
        <x:v>49329</x:v>
      </x:c>
      <x:c r="B3678" s="380" t="n">
        <x:v>2035</x:v>
      </x:c>
      <x:c r="C3678" s="380" t="n">
        <x:v>1</x:v>
      </x:c>
      <x:c r="D3678" s="380" t="str">
        <x:v>Jan</x:v>
      </x:c>
      <x:c r="E3678" s="380" t="n">
        <x:v>20</x:v>
      </x:c>
      <x:c r="F3678" s="380" t="n">
        <x:v>6</x:v>
      </x:c>
      <x:c r="G3678" s="380" t="n">
        <x:f>--(F3678&lt;='Estimator'!$B$7)</x:f>
        <x:v>0</x:v>
      </x:c>
      <x:c r="H3678" s="381" t="n">
        <x:f>SUMIFS('Climate Data'!$G$7:$G$366,'Climate Data'!$A$7:$A$366,'Estimator'!$B$4,'Climate Data'!$B$7:$B$366,C3678)</x:f>
        <x:v>0.21802002224694106</x:v>
      </x:c>
      <x:c r="I3678" s="382" t="n">
        <x:f>SUMIFS('Climate Data'!$H$7:$H$366,'Climate Data'!$A$7:$A$366,'Estimator'!$B$4,'Climate Data'!$B$7:$B$366,C3678)</x:f>
        <x:v>8.596428571428572</x:v>
      </x:c>
      <x:c r="J3678" s="381" t="n">
        <x:f>SUMIFS('Wind Proxy'!$H$8:$H$19,'Wind Proxy'!$A$8:$A$19,'Estimator'!$B$4,'Wind Proxy'!$B$8:$B$19,C3678)</x:f>
        <x:v>0.12544802867383514</x:v>
      </x:c>
    </x:row>
    <x:row r="3679">
      <x:c r="A3679" s="379" t="n">
        <x:v>49330</x:v>
      </x:c>
      <x:c r="B3679" s="380" t="n">
        <x:v>2035</x:v>
      </x:c>
      <x:c r="C3679" s="380" t="n">
        <x:v>1</x:v>
      </x:c>
      <x:c r="D3679" s="380" t="str">
        <x:v>Jan</x:v>
      </x:c>
      <x:c r="E3679" s="380" t="n">
        <x:v>21</x:v>
      </x:c>
      <x:c r="F3679" s="380" t="n">
        <x:v>7</x:v>
      </x:c>
      <x:c r="G3679" s="380" t="n">
        <x:f>--(F3679&lt;='Estimator'!$B$7)</x:f>
        <x:v>0</x:v>
      </x:c>
      <x:c r="H3679" s="381" t="n">
        <x:f>SUMIFS('Climate Data'!$G$7:$G$366,'Climate Data'!$A$7:$A$366,'Estimator'!$B$4,'Climate Data'!$B$7:$B$366,C3679)</x:f>
        <x:v>0.21802002224694106</x:v>
      </x:c>
      <x:c r="I3679" s="382" t="n">
        <x:f>SUMIFS('Climate Data'!$H$7:$H$366,'Climate Data'!$A$7:$A$366,'Estimator'!$B$4,'Climate Data'!$B$7:$B$366,C3679)</x:f>
        <x:v>8.596428571428572</x:v>
      </x:c>
      <x:c r="J3679" s="381" t="n">
        <x:f>SUMIFS('Wind Proxy'!$H$8:$H$19,'Wind Proxy'!$A$8:$A$19,'Estimator'!$B$4,'Wind Proxy'!$B$8:$B$19,C3679)</x:f>
        <x:v>0.12544802867383514</x:v>
      </x:c>
    </x:row>
    <x:row r="3680">
      <x:c r="A3680" s="379" t="n">
        <x:v>49331</x:v>
      </x:c>
      <x:c r="B3680" s="380" t="n">
        <x:v>2035</x:v>
      </x:c>
      <x:c r="C3680" s="380" t="n">
        <x:v>1</x:v>
      </x:c>
      <x:c r="D3680" s="380" t="str">
        <x:v>Jan</x:v>
      </x:c>
      <x:c r="E3680" s="380" t="n">
        <x:v>22</x:v>
      </x:c>
      <x:c r="F3680" s="380" t="n">
        <x:v>1</x:v>
      </x:c>
      <x:c r="G3680" s="380" t="n">
        <x:f>--(F3680&lt;='Estimator'!$B$7)</x:f>
        <x:v>1</x:v>
      </x:c>
      <x:c r="H3680" s="381" t="n">
        <x:f>SUMIFS('Climate Data'!$G$7:$G$366,'Climate Data'!$A$7:$A$366,'Estimator'!$B$4,'Climate Data'!$B$7:$B$366,C3680)</x:f>
        <x:v>0.21802002224694106</x:v>
      </x:c>
      <x:c r="I3680" s="382" t="n">
        <x:f>SUMIFS('Climate Data'!$H$7:$H$366,'Climate Data'!$A$7:$A$366,'Estimator'!$B$4,'Climate Data'!$B$7:$B$366,C3680)</x:f>
        <x:v>8.596428571428572</x:v>
      </x:c>
      <x:c r="J3680" s="381" t="n">
        <x:f>SUMIFS('Wind Proxy'!$H$8:$H$19,'Wind Proxy'!$A$8:$A$19,'Estimator'!$B$4,'Wind Proxy'!$B$8:$B$19,C3680)</x:f>
        <x:v>0.12544802867383514</x:v>
      </x:c>
    </x:row>
    <x:row r="3681">
      <x:c r="A3681" s="379" t="n">
        <x:v>49332</x:v>
      </x:c>
      <x:c r="B3681" s="380" t="n">
        <x:v>2035</x:v>
      </x:c>
      <x:c r="C3681" s="380" t="n">
        <x:v>1</x:v>
      </x:c>
      <x:c r="D3681" s="380" t="str">
        <x:v>Jan</x:v>
      </x:c>
      <x:c r="E3681" s="380" t="n">
        <x:v>23</x:v>
      </x:c>
      <x:c r="F3681" s="380" t="n">
        <x:v>2</x:v>
      </x:c>
      <x:c r="G3681" s="380" t="n">
        <x:f>--(F3681&lt;='Estimator'!$B$7)</x:f>
        <x:v>1</x:v>
      </x:c>
      <x:c r="H3681" s="381" t="n">
        <x:f>SUMIFS('Climate Data'!$G$7:$G$366,'Climate Data'!$A$7:$A$366,'Estimator'!$B$4,'Climate Data'!$B$7:$B$366,C3681)</x:f>
        <x:v>0.21802002224694106</x:v>
      </x:c>
      <x:c r="I3681" s="382" t="n">
        <x:f>SUMIFS('Climate Data'!$H$7:$H$366,'Climate Data'!$A$7:$A$366,'Estimator'!$B$4,'Climate Data'!$B$7:$B$366,C3681)</x:f>
        <x:v>8.596428571428572</x:v>
      </x:c>
      <x:c r="J3681" s="381" t="n">
        <x:f>SUMIFS('Wind Proxy'!$H$8:$H$19,'Wind Proxy'!$A$8:$A$19,'Estimator'!$B$4,'Wind Proxy'!$B$8:$B$19,C3681)</x:f>
        <x:v>0.12544802867383514</x:v>
      </x:c>
    </x:row>
    <x:row r="3682">
      <x:c r="A3682" s="379" t="n">
        <x:v>49333</x:v>
      </x:c>
      <x:c r="B3682" s="380" t="n">
        <x:v>2035</x:v>
      </x:c>
      <x:c r="C3682" s="380" t="n">
        <x:v>1</x:v>
      </x:c>
      <x:c r="D3682" s="380" t="str">
        <x:v>Jan</x:v>
      </x:c>
      <x:c r="E3682" s="380" t="n">
        <x:v>24</x:v>
      </x:c>
      <x:c r="F3682" s="380" t="n">
        <x:v>3</x:v>
      </x:c>
      <x:c r="G3682" s="380" t="n">
        <x:f>--(F3682&lt;='Estimator'!$B$7)</x:f>
        <x:v>1</x:v>
      </x:c>
      <x:c r="H3682" s="381" t="n">
        <x:f>SUMIFS('Climate Data'!$G$7:$G$366,'Climate Data'!$A$7:$A$366,'Estimator'!$B$4,'Climate Data'!$B$7:$B$366,C3682)</x:f>
        <x:v>0.21802002224694106</x:v>
      </x:c>
      <x:c r="I3682" s="382" t="n">
        <x:f>SUMIFS('Climate Data'!$H$7:$H$366,'Climate Data'!$A$7:$A$366,'Estimator'!$B$4,'Climate Data'!$B$7:$B$366,C3682)</x:f>
        <x:v>8.596428571428572</x:v>
      </x:c>
      <x:c r="J3682" s="381" t="n">
        <x:f>SUMIFS('Wind Proxy'!$H$8:$H$19,'Wind Proxy'!$A$8:$A$19,'Estimator'!$B$4,'Wind Proxy'!$B$8:$B$19,C3682)</x:f>
        <x:v>0.12544802867383514</x:v>
      </x:c>
    </x:row>
    <x:row r="3683">
      <x:c r="A3683" s="379" t="n">
        <x:v>49334</x:v>
      </x:c>
      <x:c r="B3683" s="380" t="n">
        <x:v>2035</x:v>
      </x:c>
      <x:c r="C3683" s="380" t="n">
        <x:v>1</x:v>
      </x:c>
      <x:c r="D3683" s="380" t="str">
        <x:v>Jan</x:v>
      </x:c>
      <x:c r="E3683" s="380" t="n">
        <x:v>25</x:v>
      </x:c>
      <x:c r="F3683" s="380" t="n">
        <x:v>4</x:v>
      </x:c>
      <x:c r="G3683" s="380" t="n">
        <x:f>--(F3683&lt;='Estimator'!$B$7)</x:f>
        <x:v>1</x:v>
      </x:c>
      <x:c r="H3683" s="381" t="n">
        <x:f>SUMIFS('Climate Data'!$G$7:$G$366,'Climate Data'!$A$7:$A$366,'Estimator'!$B$4,'Climate Data'!$B$7:$B$366,C3683)</x:f>
        <x:v>0.21802002224694106</x:v>
      </x:c>
      <x:c r="I3683" s="382" t="n">
        <x:f>SUMIFS('Climate Data'!$H$7:$H$366,'Climate Data'!$A$7:$A$366,'Estimator'!$B$4,'Climate Data'!$B$7:$B$366,C3683)</x:f>
        <x:v>8.596428571428572</x:v>
      </x:c>
      <x:c r="J3683" s="381" t="n">
        <x:f>SUMIFS('Wind Proxy'!$H$8:$H$19,'Wind Proxy'!$A$8:$A$19,'Estimator'!$B$4,'Wind Proxy'!$B$8:$B$19,C3683)</x:f>
        <x:v>0.12544802867383514</x:v>
      </x:c>
    </x:row>
    <x:row r="3684">
      <x:c r="A3684" s="379" t="n">
        <x:v>49335</x:v>
      </x:c>
      <x:c r="B3684" s="380" t="n">
        <x:v>2035</x:v>
      </x:c>
      <x:c r="C3684" s="380" t="n">
        <x:v>1</x:v>
      </x:c>
      <x:c r="D3684" s="380" t="str">
        <x:v>Jan</x:v>
      </x:c>
      <x:c r="E3684" s="380" t="n">
        <x:v>26</x:v>
      </x:c>
      <x:c r="F3684" s="380" t="n">
        <x:v>5</x:v>
      </x:c>
      <x:c r="G3684" s="380" t="n">
        <x:f>--(F3684&lt;='Estimator'!$B$7)</x:f>
        <x:v>1</x:v>
      </x:c>
      <x:c r="H3684" s="381" t="n">
        <x:f>SUMIFS('Climate Data'!$G$7:$G$366,'Climate Data'!$A$7:$A$366,'Estimator'!$B$4,'Climate Data'!$B$7:$B$366,C3684)</x:f>
        <x:v>0.21802002224694106</x:v>
      </x:c>
      <x:c r="I3684" s="382" t="n">
        <x:f>SUMIFS('Climate Data'!$H$7:$H$366,'Climate Data'!$A$7:$A$366,'Estimator'!$B$4,'Climate Data'!$B$7:$B$366,C3684)</x:f>
        <x:v>8.596428571428572</x:v>
      </x:c>
      <x:c r="J3684" s="381" t="n">
        <x:f>SUMIFS('Wind Proxy'!$H$8:$H$19,'Wind Proxy'!$A$8:$A$19,'Estimator'!$B$4,'Wind Proxy'!$B$8:$B$19,C3684)</x:f>
        <x:v>0.12544802867383514</x:v>
      </x:c>
    </x:row>
    <x:row r="3685">
      <x:c r="A3685" s="379" t="n">
        <x:v>49336</x:v>
      </x:c>
      <x:c r="B3685" s="380" t="n">
        <x:v>2035</x:v>
      </x:c>
      <x:c r="C3685" s="380" t="n">
        <x:v>1</x:v>
      </x:c>
      <x:c r="D3685" s="380" t="str">
        <x:v>Jan</x:v>
      </x:c>
      <x:c r="E3685" s="380" t="n">
        <x:v>27</x:v>
      </x:c>
      <x:c r="F3685" s="380" t="n">
        <x:v>6</x:v>
      </x:c>
      <x:c r="G3685" s="380" t="n">
        <x:f>--(F3685&lt;='Estimator'!$B$7)</x:f>
        <x:v>0</x:v>
      </x:c>
      <x:c r="H3685" s="381" t="n">
        <x:f>SUMIFS('Climate Data'!$G$7:$G$366,'Climate Data'!$A$7:$A$366,'Estimator'!$B$4,'Climate Data'!$B$7:$B$366,C3685)</x:f>
        <x:v>0.21802002224694106</x:v>
      </x:c>
      <x:c r="I3685" s="382" t="n">
        <x:f>SUMIFS('Climate Data'!$H$7:$H$366,'Climate Data'!$A$7:$A$366,'Estimator'!$B$4,'Climate Data'!$B$7:$B$366,C3685)</x:f>
        <x:v>8.596428571428572</x:v>
      </x:c>
      <x:c r="J3685" s="381" t="n">
        <x:f>SUMIFS('Wind Proxy'!$H$8:$H$19,'Wind Proxy'!$A$8:$A$19,'Estimator'!$B$4,'Wind Proxy'!$B$8:$B$19,C3685)</x:f>
        <x:v>0.12544802867383514</x:v>
      </x:c>
    </x:row>
    <x:row r="3686">
      <x:c r="A3686" s="379" t="n">
        <x:v>49337</x:v>
      </x:c>
      <x:c r="B3686" s="380" t="n">
        <x:v>2035</x:v>
      </x:c>
      <x:c r="C3686" s="380" t="n">
        <x:v>1</x:v>
      </x:c>
      <x:c r="D3686" s="380" t="str">
        <x:v>Jan</x:v>
      </x:c>
      <x:c r="E3686" s="380" t="n">
        <x:v>28</x:v>
      </x:c>
      <x:c r="F3686" s="380" t="n">
        <x:v>7</x:v>
      </x:c>
      <x:c r="G3686" s="380" t="n">
        <x:f>--(F3686&lt;='Estimator'!$B$7)</x:f>
        <x:v>0</x:v>
      </x:c>
      <x:c r="H3686" s="381" t="n">
        <x:f>SUMIFS('Climate Data'!$G$7:$G$366,'Climate Data'!$A$7:$A$366,'Estimator'!$B$4,'Climate Data'!$B$7:$B$366,C3686)</x:f>
        <x:v>0.21802002224694106</x:v>
      </x:c>
      <x:c r="I3686" s="382" t="n">
        <x:f>SUMIFS('Climate Data'!$H$7:$H$366,'Climate Data'!$A$7:$A$366,'Estimator'!$B$4,'Climate Data'!$B$7:$B$366,C3686)</x:f>
        <x:v>8.596428571428572</x:v>
      </x:c>
      <x:c r="J3686" s="381" t="n">
        <x:f>SUMIFS('Wind Proxy'!$H$8:$H$19,'Wind Proxy'!$A$8:$A$19,'Estimator'!$B$4,'Wind Proxy'!$B$8:$B$19,C3686)</x:f>
        <x:v>0.12544802867383514</x:v>
      </x:c>
    </x:row>
    <x:row r="3687">
      <x:c r="A3687" s="379" t="n">
        <x:v>49338</x:v>
      </x:c>
      <x:c r="B3687" s="380" t="n">
        <x:v>2035</x:v>
      </x:c>
      <x:c r="C3687" s="380" t="n">
        <x:v>1</x:v>
      </x:c>
      <x:c r="D3687" s="380" t="str">
        <x:v>Jan</x:v>
      </x:c>
      <x:c r="E3687" s="380" t="n">
        <x:v>29</x:v>
      </x:c>
      <x:c r="F3687" s="380" t="n">
        <x:v>1</x:v>
      </x:c>
      <x:c r="G3687" s="380" t="n">
        <x:f>--(F3687&lt;='Estimator'!$B$7)</x:f>
        <x:v>1</x:v>
      </x:c>
      <x:c r="H3687" s="381" t="n">
        <x:f>SUMIFS('Climate Data'!$G$7:$G$366,'Climate Data'!$A$7:$A$366,'Estimator'!$B$4,'Climate Data'!$B$7:$B$366,C3687)</x:f>
        <x:v>0.21802002224694106</x:v>
      </x:c>
      <x:c r="I3687" s="382" t="n">
        <x:f>SUMIFS('Climate Data'!$H$7:$H$366,'Climate Data'!$A$7:$A$366,'Estimator'!$B$4,'Climate Data'!$B$7:$B$366,C3687)</x:f>
        <x:v>8.596428571428572</x:v>
      </x:c>
      <x:c r="J3687" s="381" t="n">
        <x:f>SUMIFS('Wind Proxy'!$H$8:$H$19,'Wind Proxy'!$A$8:$A$19,'Estimator'!$B$4,'Wind Proxy'!$B$8:$B$19,C3687)</x:f>
        <x:v>0.12544802867383514</x:v>
      </x:c>
    </x:row>
    <x:row r="3688">
      <x:c r="A3688" s="379" t="n">
        <x:v>49339</x:v>
      </x:c>
      <x:c r="B3688" s="380" t="n">
        <x:v>2035</x:v>
      </x:c>
      <x:c r="C3688" s="380" t="n">
        <x:v>1</x:v>
      </x:c>
      <x:c r="D3688" s="380" t="str">
        <x:v>Jan</x:v>
      </x:c>
      <x:c r="E3688" s="380" t="n">
        <x:v>30</x:v>
      </x:c>
      <x:c r="F3688" s="380" t="n">
        <x:v>2</x:v>
      </x:c>
      <x:c r="G3688" s="380" t="n">
        <x:f>--(F3688&lt;='Estimator'!$B$7)</x:f>
        <x:v>1</x:v>
      </x:c>
      <x:c r="H3688" s="381" t="n">
        <x:f>SUMIFS('Climate Data'!$G$7:$G$366,'Climate Data'!$A$7:$A$366,'Estimator'!$B$4,'Climate Data'!$B$7:$B$366,C3688)</x:f>
        <x:v>0.21802002224694106</x:v>
      </x:c>
      <x:c r="I3688" s="382" t="n">
        <x:f>SUMIFS('Climate Data'!$H$7:$H$366,'Climate Data'!$A$7:$A$366,'Estimator'!$B$4,'Climate Data'!$B$7:$B$366,C3688)</x:f>
        <x:v>8.596428571428572</x:v>
      </x:c>
      <x:c r="J3688" s="381" t="n">
        <x:f>SUMIFS('Wind Proxy'!$H$8:$H$19,'Wind Proxy'!$A$8:$A$19,'Estimator'!$B$4,'Wind Proxy'!$B$8:$B$19,C3688)</x:f>
        <x:v>0.12544802867383514</x:v>
      </x:c>
    </x:row>
    <x:row r="3689">
      <x:c r="A3689" s="379" t="n">
        <x:v>49340</x:v>
      </x:c>
      <x:c r="B3689" s="380" t="n">
        <x:v>2035</x:v>
      </x:c>
      <x:c r="C3689" s="380" t="n">
        <x:v>1</x:v>
      </x:c>
      <x:c r="D3689" s="380" t="str">
        <x:v>Jan</x:v>
      </x:c>
      <x:c r="E3689" s="380" t="n">
        <x:v>31</x:v>
      </x:c>
      <x:c r="F3689" s="380" t="n">
        <x:v>3</x:v>
      </x:c>
      <x:c r="G3689" s="380" t="n">
        <x:f>--(F3689&lt;='Estimator'!$B$7)</x:f>
        <x:v>1</x:v>
      </x:c>
      <x:c r="H3689" s="381" t="n">
        <x:f>SUMIFS('Climate Data'!$G$7:$G$366,'Climate Data'!$A$7:$A$366,'Estimator'!$B$4,'Climate Data'!$B$7:$B$366,C3689)</x:f>
        <x:v>0.21802002224694106</x:v>
      </x:c>
      <x:c r="I3689" s="382" t="n">
        <x:f>SUMIFS('Climate Data'!$H$7:$H$366,'Climate Data'!$A$7:$A$366,'Estimator'!$B$4,'Climate Data'!$B$7:$B$366,C3689)</x:f>
        <x:v>8.596428571428572</x:v>
      </x:c>
      <x:c r="J3689" s="381" t="n">
        <x:f>SUMIFS('Wind Proxy'!$H$8:$H$19,'Wind Proxy'!$A$8:$A$19,'Estimator'!$B$4,'Wind Proxy'!$B$8:$B$19,C3689)</x:f>
        <x:v>0.12544802867383514</x:v>
      </x:c>
    </x:row>
    <x:row r="3690">
      <x:c r="A3690" s="379" t="n">
        <x:v>49341</x:v>
      </x:c>
      <x:c r="B3690" s="380" t="n">
        <x:v>2035</x:v>
      </x:c>
      <x:c r="C3690" s="380" t="n">
        <x:v>2</x:v>
      </x:c>
      <x:c r="D3690" s="380" t="str">
        <x:v>Feb</x:v>
      </x:c>
      <x:c r="E3690" s="380" t="n">
        <x:v>1</x:v>
      </x:c>
      <x:c r="F3690" s="380" t="n">
        <x:v>4</x:v>
      </x:c>
      <x:c r="G3690" s="380" t="n">
        <x:f>--(F3690&lt;='Estimator'!$B$7)</x:f>
        <x:v>1</x:v>
      </x:c>
      <x:c r="H3690" s="381" t="n">
        <x:f>SUMIFS('Climate Data'!$G$7:$G$366,'Climate Data'!$A$7:$A$366,'Estimator'!$B$4,'Climate Data'!$B$7:$B$366,C3690)</x:f>
        <x:v>0.23056278464541316</x:v>
      </x:c>
      <x:c r="I3690" s="382" t="n">
        <x:f>SUMIFS('Climate Data'!$H$7:$H$366,'Climate Data'!$A$7:$A$366,'Estimator'!$B$4,'Climate Data'!$B$7:$B$366,C3690)</x:f>
        <x:v>9.682010582010582</x:v>
      </x:c>
      <x:c r="J3690" s="381" t="n">
        <x:f>SUMIFS('Wind Proxy'!$H$8:$H$19,'Wind Proxy'!$A$8:$A$19,'Estimator'!$B$4,'Wind Proxy'!$B$8:$B$19,C3690)</x:f>
        <x:v>0.13757861635220128</x:v>
      </x:c>
    </x:row>
    <x:row r="3691">
      <x:c r="A3691" s="379" t="n">
        <x:v>49342</x:v>
      </x:c>
      <x:c r="B3691" s="380" t="n">
        <x:v>2035</x:v>
      </x:c>
      <x:c r="C3691" s="380" t="n">
        <x:v>2</x:v>
      </x:c>
      <x:c r="D3691" s="380" t="str">
        <x:v>Feb</x:v>
      </x:c>
      <x:c r="E3691" s="380" t="n">
        <x:v>2</x:v>
      </x:c>
      <x:c r="F3691" s="380" t="n">
        <x:v>5</x:v>
      </x:c>
      <x:c r="G3691" s="380" t="n">
        <x:f>--(F3691&lt;='Estimator'!$B$7)</x:f>
        <x:v>1</x:v>
      </x:c>
      <x:c r="H3691" s="381" t="n">
        <x:f>SUMIFS('Climate Data'!$G$7:$G$366,'Climate Data'!$A$7:$A$366,'Estimator'!$B$4,'Climate Data'!$B$7:$B$366,C3691)</x:f>
        <x:v>0.23056278464541316</x:v>
      </x:c>
      <x:c r="I3691" s="382" t="n">
        <x:f>SUMIFS('Climate Data'!$H$7:$H$366,'Climate Data'!$A$7:$A$366,'Estimator'!$B$4,'Climate Data'!$B$7:$B$366,C3691)</x:f>
        <x:v>9.682010582010582</x:v>
      </x:c>
      <x:c r="J3691" s="381" t="n">
        <x:f>SUMIFS('Wind Proxy'!$H$8:$H$19,'Wind Proxy'!$A$8:$A$19,'Estimator'!$B$4,'Wind Proxy'!$B$8:$B$19,C3691)</x:f>
        <x:v>0.13757861635220128</x:v>
      </x:c>
    </x:row>
    <x:row r="3692">
      <x:c r="A3692" s="379" t="n">
        <x:v>49343</x:v>
      </x:c>
      <x:c r="B3692" s="380" t="n">
        <x:v>2035</x:v>
      </x:c>
      <x:c r="C3692" s="380" t="n">
        <x:v>2</x:v>
      </x:c>
      <x:c r="D3692" s="380" t="str">
        <x:v>Feb</x:v>
      </x:c>
      <x:c r="E3692" s="380" t="n">
        <x:v>3</x:v>
      </x:c>
      <x:c r="F3692" s="380" t="n">
        <x:v>6</x:v>
      </x:c>
      <x:c r="G3692" s="380" t="n">
        <x:f>--(F3692&lt;='Estimator'!$B$7)</x:f>
        <x:v>0</x:v>
      </x:c>
      <x:c r="H3692" s="381" t="n">
        <x:f>SUMIFS('Climate Data'!$G$7:$G$366,'Climate Data'!$A$7:$A$366,'Estimator'!$B$4,'Climate Data'!$B$7:$B$366,C3692)</x:f>
        <x:v>0.23056278464541316</x:v>
      </x:c>
      <x:c r="I3692" s="382" t="n">
        <x:f>SUMIFS('Climate Data'!$H$7:$H$366,'Climate Data'!$A$7:$A$366,'Estimator'!$B$4,'Climate Data'!$B$7:$B$366,C3692)</x:f>
        <x:v>9.682010582010582</x:v>
      </x:c>
      <x:c r="J3692" s="381" t="n">
        <x:f>SUMIFS('Wind Proxy'!$H$8:$H$19,'Wind Proxy'!$A$8:$A$19,'Estimator'!$B$4,'Wind Proxy'!$B$8:$B$19,C3692)</x:f>
        <x:v>0.13757861635220128</x:v>
      </x:c>
    </x:row>
    <x:row r="3693">
      <x:c r="A3693" s="379" t="n">
        <x:v>49344</x:v>
      </x:c>
      <x:c r="B3693" s="380" t="n">
        <x:v>2035</x:v>
      </x:c>
      <x:c r="C3693" s="380" t="n">
        <x:v>2</x:v>
      </x:c>
      <x:c r="D3693" s="380" t="str">
        <x:v>Feb</x:v>
      </x:c>
      <x:c r="E3693" s="380" t="n">
        <x:v>4</x:v>
      </x:c>
      <x:c r="F3693" s="380" t="n">
        <x:v>7</x:v>
      </x:c>
      <x:c r="G3693" s="380" t="n">
        <x:f>--(F3693&lt;='Estimator'!$B$7)</x:f>
        <x:v>0</x:v>
      </x:c>
      <x:c r="H3693" s="381" t="n">
        <x:f>SUMIFS('Climate Data'!$G$7:$G$366,'Climate Data'!$A$7:$A$366,'Estimator'!$B$4,'Climate Data'!$B$7:$B$366,C3693)</x:f>
        <x:v>0.23056278464541316</x:v>
      </x:c>
      <x:c r="I3693" s="382" t="n">
        <x:f>SUMIFS('Climate Data'!$H$7:$H$366,'Climate Data'!$A$7:$A$366,'Estimator'!$B$4,'Climate Data'!$B$7:$B$366,C3693)</x:f>
        <x:v>9.682010582010582</x:v>
      </x:c>
      <x:c r="J3693" s="381" t="n">
        <x:f>SUMIFS('Wind Proxy'!$H$8:$H$19,'Wind Proxy'!$A$8:$A$19,'Estimator'!$B$4,'Wind Proxy'!$B$8:$B$19,C3693)</x:f>
        <x:v>0.13757861635220128</x:v>
      </x:c>
    </x:row>
    <x:row r="3694">
      <x:c r="A3694" s="379" t="n">
        <x:v>49345</x:v>
      </x:c>
      <x:c r="B3694" s="380" t="n">
        <x:v>2035</x:v>
      </x:c>
      <x:c r="C3694" s="380" t="n">
        <x:v>2</x:v>
      </x:c>
      <x:c r="D3694" s="380" t="str">
        <x:v>Feb</x:v>
      </x:c>
      <x:c r="E3694" s="380" t="n">
        <x:v>5</x:v>
      </x:c>
      <x:c r="F3694" s="380" t="n">
        <x:v>1</x:v>
      </x:c>
      <x:c r="G3694" s="380" t="n">
        <x:f>--(F3694&lt;='Estimator'!$B$7)</x:f>
        <x:v>1</x:v>
      </x:c>
      <x:c r="H3694" s="381" t="n">
        <x:f>SUMIFS('Climate Data'!$G$7:$G$366,'Climate Data'!$A$7:$A$366,'Estimator'!$B$4,'Climate Data'!$B$7:$B$366,C3694)</x:f>
        <x:v>0.23056278464541316</x:v>
      </x:c>
      <x:c r="I3694" s="382" t="n">
        <x:f>SUMIFS('Climate Data'!$H$7:$H$366,'Climate Data'!$A$7:$A$366,'Estimator'!$B$4,'Climate Data'!$B$7:$B$366,C3694)</x:f>
        <x:v>9.682010582010582</x:v>
      </x:c>
      <x:c r="J3694" s="381" t="n">
        <x:f>SUMIFS('Wind Proxy'!$H$8:$H$19,'Wind Proxy'!$A$8:$A$19,'Estimator'!$B$4,'Wind Proxy'!$B$8:$B$19,C3694)</x:f>
        <x:v>0.13757861635220128</x:v>
      </x:c>
    </x:row>
    <x:row r="3695">
      <x:c r="A3695" s="379" t="n">
        <x:v>49346</x:v>
      </x:c>
      <x:c r="B3695" s="380" t="n">
        <x:v>2035</x:v>
      </x:c>
      <x:c r="C3695" s="380" t="n">
        <x:v>2</x:v>
      </x:c>
      <x:c r="D3695" s="380" t="str">
        <x:v>Feb</x:v>
      </x:c>
      <x:c r="E3695" s="380" t="n">
        <x:v>6</x:v>
      </x:c>
      <x:c r="F3695" s="380" t="n">
        <x:v>2</x:v>
      </x:c>
      <x:c r="G3695" s="380" t="n">
        <x:f>--(F3695&lt;='Estimator'!$B$7)</x:f>
        <x:v>1</x:v>
      </x:c>
      <x:c r="H3695" s="381" t="n">
        <x:f>SUMIFS('Climate Data'!$G$7:$G$366,'Climate Data'!$A$7:$A$366,'Estimator'!$B$4,'Climate Data'!$B$7:$B$366,C3695)</x:f>
        <x:v>0.23056278464541316</x:v>
      </x:c>
      <x:c r="I3695" s="382" t="n">
        <x:f>SUMIFS('Climate Data'!$H$7:$H$366,'Climate Data'!$A$7:$A$366,'Estimator'!$B$4,'Climate Data'!$B$7:$B$366,C3695)</x:f>
        <x:v>9.682010582010582</x:v>
      </x:c>
      <x:c r="J3695" s="381" t="n">
        <x:f>SUMIFS('Wind Proxy'!$H$8:$H$19,'Wind Proxy'!$A$8:$A$19,'Estimator'!$B$4,'Wind Proxy'!$B$8:$B$19,C3695)</x:f>
        <x:v>0.13757861635220128</x:v>
      </x:c>
    </x:row>
    <x:row r="3696">
      <x:c r="A3696" s="379" t="n">
        <x:v>49347</x:v>
      </x:c>
      <x:c r="B3696" s="380" t="n">
        <x:v>2035</x:v>
      </x:c>
      <x:c r="C3696" s="380" t="n">
        <x:v>2</x:v>
      </x:c>
      <x:c r="D3696" s="380" t="str">
        <x:v>Feb</x:v>
      </x:c>
      <x:c r="E3696" s="380" t="n">
        <x:v>7</x:v>
      </x:c>
      <x:c r="F3696" s="380" t="n">
        <x:v>3</x:v>
      </x:c>
      <x:c r="G3696" s="380" t="n">
        <x:f>--(F3696&lt;='Estimator'!$B$7)</x:f>
        <x:v>1</x:v>
      </x:c>
      <x:c r="H3696" s="381" t="n">
        <x:f>SUMIFS('Climate Data'!$G$7:$G$366,'Climate Data'!$A$7:$A$366,'Estimator'!$B$4,'Climate Data'!$B$7:$B$366,C3696)</x:f>
        <x:v>0.23056278464541316</x:v>
      </x:c>
      <x:c r="I3696" s="382" t="n">
        <x:f>SUMIFS('Climate Data'!$H$7:$H$366,'Climate Data'!$A$7:$A$366,'Estimator'!$B$4,'Climate Data'!$B$7:$B$366,C3696)</x:f>
        <x:v>9.682010582010582</x:v>
      </x:c>
      <x:c r="J3696" s="381" t="n">
        <x:f>SUMIFS('Wind Proxy'!$H$8:$H$19,'Wind Proxy'!$A$8:$A$19,'Estimator'!$B$4,'Wind Proxy'!$B$8:$B$19,C3696)</x:f>
        <x:v>0.13757861635220128</x:v>
      </x:c>
    </x:row>
    <x:row r="3697">
      <x:c r="A3697" s="379" t="n">
        <x:v>49348</x:v>
      </x:c>
      <x:c r="B3697" s="380" t="n">
        <x:v>2035</x:v>
      </x:c>
      <x:c r="C3697" s="380" t="n">
        <x:v>2</x:v>
      </x:c>
      <x:c r="D3697" s="380" t="str">
        <x:v>Feb</x:v>
      </x:c>
      <x:c r="E3697" s="380" t="n">
        <x:v>8</x:v>
      </x:c>
      <x:c r="F3697" s="380" t="n">
        <x:v>4</x:v>
      </x:c>
      <x:c r="G3697" s="380" t="n">
        <x:f>--(F3697&lt;='Estimator'!$B$7)</x:f>
        <x:v>1</x:v>
      </x:c>
      <x:c r="H3697" s="381" t="n">
        <x:f>SUMIFS('Climate Data'!$G$7:$G$366,'Climate Data'!$A$7:$A$366,'Estimator'!$B$4,'Climate Data'!$B$7:$B$366,C3697)</x:f>
        <x:v>0.23056278464541316</x:v>
      </x:c>
      <x:c r="I3697" s="382" t="n">
        <x:f>SUMIFS('Climate Data'!$H$7:$H$366,'Climate Data'!$A$7:$A$366,'Estimator'!$B$4,'Climate Data'!$B$7:$B$366,C3697)</x:f>
        <x:v>9.682010582010582</x:v>
      </x:c>
      <x:c r="J3697" s="381" t="n">
        <x:f>SUMIFS('Wind Proxy'!$H$8:$H$19,'Wind Proxy'!$A$8:$A$19,'Estimator'!$B$4,'Wind Proxy'!$B$8:$B$19,C3697)</x:f>
        <x:v>0.13757861635220128</x:v>
      </x:c>
    </x:row>
    <x:row r="3698">
      <x:c r="A3698" s="379" t="n">
        <x:v>49349</x:v>
      </x:c>
      <x:c r="B3698" s="380" t="n">
        <x:v>2035</x:v>
      </x:c>
      <x:c r="C3698" s="380" t="n">
        <x:v>2</x:v>
      </x:c>
      <x:c r="D3698" s="380" t="str">
        <x:v>Feb</x:v>
      </x:c>
      <x:c r="E3698" s="380" t="n">
        <x:v>9</x:v>
      </x:c>
      <x:c r="F3698" s="380" t="n">
        <x:v>5</x:v>
      </x:c>
      <x:c r="G3698" s="380" t="n">
        <x:f>--(F3698&lt;='Estimator'!$B$7)</x:f>
        <x:v>1</x:v>
      </x:c>
      <x:c r="H3698" s="381" t="n">
        <x:f>SUMIFS('Climate Data'!$G$7:$G$366,'Climate Data'!$A$7:$A$366,'Estimator'!$B$4,'Climate Data'!$B$7:$B$366,C3698)</x:f>
        <x:v>0.23056278464541316</x:v>
      </x:c>
      <x:c r="I3698" s="382" t="n">
        <x:f>SUMIFS('Climate Data'!$H$7:$H$366,'Climate Data'!$A$7:$A$366,'Estimator'!$B$4,'Climate Data'!$B$7:$B$366,C3698)</x:f>
        <x:v>9.682010582010582</x:v>
      </x:c>
      <x:c r="J3698" s="381" t="n">
        <x:f>SUMIFS('Wind Proxy'!$H$8:$H$19,'Wind Proxy'!$A$8:$A$19,'Estimator'!$B$4,'Wind Proxy'!$B$8:$B$19,C3698)</x:f>
        <x:v>0.13757861635220128</x:v>
      </x:c>
    </x:row>
    <x:row r="3699">
      <x:c r="A3699" s="379" t="n">
        <x:v>49350</x:v>
      </x:c>
      <x:c r="B3699" s="380" t="n">
        <x:v>2035</x:v>
      </x:c>
      <x:c r="C3699" s="380" t="n">
        <x:v>2</x:v>
      </x:c>
      <x:c r="D3699" s="380" t="str">
        <x:v>Feb</x:v>
      </x:c>
      <x:c r="E3699" s="380" t="n">
        <x:v>10</x:v>
      </x:c>
      <x:c r="F3699" s="380" t="n">
        <x:v>6</x:v>
      </x:c>
      <x:c r="G3699" s="380" t="n">
        <x:f>--(F3699&lt;='Estimator'!$B$7)</x:f>
        <x:v>0</x:v>
      </x:c>
      <x:c r="H3699" s="381" t="n">
        <x:f>SUMIFS('Climate Data'!$G$7:$G$366,'Climate Data'!$A$7:$A$366,'Estimator'!$B$4,'Climate Data'!$B$7:$B$366,C3699)</x:f>
        <x:v>0.23056278464541316</x:v>
      </x:c>
      <x:c r="I3699" s="382" t="n">
        <x:f>SUMIFS('Climate Data'!$H$7:$H$366,'Climate Data'!$A$7:$A$366,'Estimator'!$B$4,'Climate Data'!$B$7:$B$366,C3699)</x:f>
        <x:v>9.682010582010582</x:v>
      </x:c>
      <x:c r="J3699" s="381" t="n">
        <x:f>SUMIFS('Wind Proxy'!$H$8:$H$19,'Wind Proxy'!$A$8:$A$19,'Estimator'!$B$4,'Wind Proxy'!$B$8:$B$19,C3699)</x:f>
        <x:v>0.13757861635220128</x:v>
      </x:c>
    </x:row>
    <x:row r="3700">
      <x:c r="A3700" s="379" t="n">
        <x:v>49351</x:v>
      </x:c>
      <x:c r="B3700" s="380" t="n">
        <x:v>2035</x:v>
      </x:c>
      <x:c r="C3700" s="380" t="n">
        <x:v>2</x:v>
      </x:c>
      <x:c r="D3700" s="380" t="str">
        <x:v>Feb</x:v>
      </x:c>
      <x:c r="E3700" s="380" t="n">
        <x:v>11</x:v>
      </x:c>
      <x:c r="F3700" s="380" t="n">
        <x:v>7</x:v>
      </x:c>
      <x:c r="G3700" s="380" t="n">
        <x:f>--(F3700&lt;='Estimator'!$B$7)</x:f>
        <x:v>0</x:v>
      </x:c>
      <x:c r="H3700" s="381" t="n">
        <x:f>SUMIFS('Climate Data'!$G$7:$G$366,'Climate Data'!$A$7:$A$366,'Estimator'!$B$4,'Climate Data'!$B$7:$B$366,C3700)</x:f>
        <x:v>0.23056278464541316</x:v>
      </x:c>
      <x:c r="I3700" s="382" t="n">
        <x:f>SUMIFS('Climate Data'!$H$7:$H$366,'Climate Data'!$A$7:$A$366,'Estimator'!$B$4,'Climate Data'!$B$7:$B$366,C3700)</x:f>
        <x:v>9.682010582010582</x:v>
      </x:c>
      <x:c r="J3700" s="381" t="n">
        <x:f>SUMIFS('Wind Proxy'!$H$8:$H$19,'Wind Proxy'!$A$8:$A$19,'Estimator'!$B$4,'Wind Proxy'!$B$8:$B$19,C3700)</x:f>
        <x:v>0.13757861635220128</x:v>
      </x:c>
    </x:row>
    <x:row r="3701">
      <x:c r="A3701" s="379" t="n">
        <x:v>49352</x:v>
      </x:c>
      <x:c r="B3701" s="380" t="n">
        <x:v>2035</x:v>
      </x:c>
      <x:c r="C3701" s="380" t="n">
        <x:v>2</x:v>
      </x:c>
      <x:c r="D3701" s="380" t="str">
        <x:v>Feb</x:v>
      </x:c>
      <x:c r="E3701" s="380" t="n">
        <x:v>12</x:v>
      </x:c>
      <x:c r="F3701" s="380" t="n">
        <x:v>1</x:v>
      </x:c>
      <x:c r="G3701" s="380" t="n">
        <x:f>--(F3701&lt;='Estimator'!$B$7)</x:f>
        <x:v>1</x:v>
      </x:c>
      <x:c r="H3701" s="381" t="n">
        <x:f>SUMIFS('Climate Data'!$G$7:$G$366,'Climate Data'!$A$7:$A$366,'Estimator'!$B$4,'Climate Data'!$B$7:$B$366,C3701)</x:f>
        <x:v>0.23056278464541316</x:v>
      </x:c>
      <x:c r="I3701" s="382" t="n">
        <x:f>SUMIFS('Climate Data'!$H$7:$H$366,'Climate Data'!$A$7:$A$366,'Estimator'!$B$4,'Climate Data'!$B$7:$B$366,C3701)</x:f>
        <x:v>9.682010582010582</x:v>
      </x:c>
      <x:c r="J3701" s="381" t="n">
        <x:f>SUMIFS('Wind Proxy'!$H$8:$H$19,'Wind Proxy'!$A$8:$A$19,'Estimator'!$B$4,'Wind Proxy'!$B$8:$B$19,C3701)</x:f>
        <x:v>0.13757861635220128</x:v>
      </x:c>
    </x:row>
    <x:row r="3702">
      <x:c r="A3702" s="379" t="n">
        <x:v>49353</x:v>
      </x:c>
      <x:c r="B3702" s="380" t="n">
        <x:v>2035</x:v>
      </x:c>
      <x:c r="C3702" s="380" t="n">
        <x:v>2</x:v>
      </x:c>
      <x:c r="D3702" s="380" t="str">
        <x:v>Feb</x:v>
      </x:c>
      <x:c r="E3702" s="380" t="n">
        <x:v>13</x:v>
      </x:c>
      <x:c r="F3702" s="380" t="n">
        <x:v>2</x:v>
      </x:c>
      <x:c r="G3702" s="380" t="n">
        <x:f>--(F3702&lt;='Estimator'!$B$7)</x:f>
        <x:v>1</x:v>
      </x:c>
      <x:c r="H3702" s="381" t="n">
        <x:f>SUMIFS('Climate Data'!$G$7:$G$366,'Climate Data'!$A$7:$A$366,'Estimator'!$B$4,'Climate Data'!$B$7:$B$366,C3702)</x:f>
        <x:v>0.23056278464541316</x:v>
      </x:c>
      <x:c r="I3702" s="382" t="n">
        <x:f>SUMIFS('Climate Data'!$H$7:$H$366,'Climate Data'!$A$7:$A$366,'Estimator'!$B$4,'Climate Data'!$B$7:$B$366,C3702)</x:f>
        <x:v>9.682010582010582</x:v>
      </x:c>
      <x:c r="J3702" s="381" t="n">
        <x:f>SUMIFS('Wind Proxy'!$H$8:$H$19,'Wind Proxy'!$A$8:$A$19,'Estimator'!$B$4,'Wind Proxy'!$B$8:$B$19,C3702)</x:f>
        <x:v>0.13757861635220128</x:v>
      </x:c>
    </x:row>
    <x:row r="3703">
      <x:c r="A3703" s="379" t="n">
        <x:v>49354</x:v>
      </x:c>
      <x:c r="B3703" s="380" t="n">
        <x:v>2035</x:v>
      </x:c>
      <x:c r="C3703" s="380" t="n">
        <x:v>2</x:v>
      </x:c>
      <x:c r="D3703" s="380" t="str">
        <x:v>Feb</x:v>
      </x:c>
      <x:c r="E3703" s="380" t="n">
        <x:v>14</x:v>
      </x:c>
      <x:c r="F3703" s="380" t="n">
        <x:v>3</x:v>
      </x:c>
      <x:c r="G3703" s="380" t="n">
        <x:f>--(F3703&lt;='Estimator'!$B$7)</x:f>
        <x:v>1</x:v>
      </x:c>
      <x:c r="H3703" s="381" t="n">
        <x:f>SUMIFS('Climate Data'!$G$7:$G$366,'Climate Data'!$A$7:$A$366,'Estimator'!$B$4,'Climate Data'!$B$7:$B$366,C3703)</x:f>
        <x:v>0.23056278464541316</x:v>
      </x:c>
      <x:c r="I3703" s="382" t="n">
        <x:f>SUMIFS('Climate Data'!$H$7:$H$366,'Climate Data'!$A$7:$A$366,'Estimator'!$B$4,'Climate Data'!$B$7:$B$366,C3703)</x:f>
        <x:v>9.682010582010582</x:v>
      </x:c>
      <x:c r="J3703" s="381" t="n">
        <x:f>SUMIFS('Wind Proxy'!$H$8:$H$19,'Wind Proxy'!$A$8:$A$19,'Estimator'!$B$4,'Wind Proxy'!$B$8:$B$19,C3703)</x:f>
        <x:v>0.13757861635220128</x:v>
      </x:c>
    </x:row>
    <x:row r="3704">
      <x:c r="A3704" s="379" t="n">
        <x:v>49355</x:v>
      </x:c>
      <x:c r="B3704" s="380" t="n">
        <x:v>2035</x:v>
      </x:c>
      <x:c r="C3704" s="380" t="n">
        <x:v>2</x:v>
      </x:c>
      <x:c r="D3704" s="380" t="str">
        <x:v>Feb</x:v>
      </x:c>
      <x:c r="E3704" s="380" t="n">
        <x:v>15</x:v>
      </x:c>
      <x:c r="F3704" s="380" t="n">
        <x:v>4</x:v>
      </x:c>
      <x:c r="G3704" s="380" t="n">
        <x:f>--(F3704&lt;='Estimator'!$B$7)</x:f>
        <x:v>1</x:v>
      </x:c>
      <x:c r="H3704" s="381" t="n">
        <x:f>SUMIFS('Climate Data'!$G$7:$G$366,'Climate Data'!$A$7:$A$366,'Estimator'!$B$4,'Climate Data'!$B$7:$B$366,C3704)</x:f>
        <x:v>0.23056278464541316</x:v>
      </x:c>
      <x:c r="I3704" s="382" t="n">
        <x:f>SUMIFS('Climate Data'!$H$7:$H$366,'Climate Data'!$A$7:$A$366,'Estimator'!$B$4,'Climate Data'!$B$7:$B$366,C3704)</x:f>
        <x:v>9.682010582010582</x:v>
      </x:c>
      <x:c r="J3704" s="381" t="n">
        <x:f>SUMIFS('Wind Proxy'!$H$8:$H$19,'Wind Proxy'!$A$8:$A$19,'Estimator'!$B$4,'Wind Proxy'!$B$8:$B$19,C3704)</x:f>
        <x:v>0.13757861635220128</x:v>
      </x:c>
    </x:row>
    <x:row r="3705">
      <x:c r="A3705" s="379" t="n">
        <x:v>49356</x:v>
      </x:c>
      <x:c r="B3705" s="380" t="n">
        <x:v>2035</x:v>
      </x:c>
      <x:c r="C3705" s="380" t="n">
        <x:v>2</x:v>
      </x:c>
      <x:c r="D3705" s="380" t="str">
        <x:v>Feb</x:v>
      </x:c>
      <x:c r="E3705" s="380" t="n">
        <x:v>16</x:v>
      </x:c>
      <x:c r="F3705" s="380" t="n">
        <x:v>5</x:v>
      </x:c>
      <x:c r="G3705" s="380" t="n">
        <x:f>--(F3705&lt;='Estimator'!$B$7)</x:f>
        <x:v>1</x:v>
      </x:c>
      <x:c r="H3705" s="381" t="n">
        <x:f>SUMIFS('Climate Data'!$G$7:$G$366,'Climate Data'!$A$7:$A$366,'Estimator'!$B$4,'Climate Data'!$B$7:$B$366,C3705)</x:f>
        <x:v>0.23056278464541316</x:v>
      </x:c>
      <x:c r="I3705" s="382" t="n">
        <x:f>SUMIFS('Climate Data'!$H$7:$H$366,'Climate Data'!$A$7:$A$366,'Estimator'!$B$4,'Climate Data'!$B$7:$B$366,C3705)</x:f>
        <x:v>9.682010582010582</x:v>
      </x:c>
      <x:c r="J3705" s="381" t="n">
        <x:f>SUMIFS('Wind Proxy'!$H$8:$H$19,'Wind Proxy'!$A$8:$A$19,'Estimator'!$B$4,'Wind Proxy'!$B$8:$B$19,C3705)</x:f>
        <x:v>0.13757861635220128</x:v>
      </x:c>
    </x:row>
    <x:row r="3706">
      <x:c r="A3706" s="379" t="n">
        <x:v>49357</x:v>
      </x:c>
      <x:c r="B3706" s="380" t="n">
        <x:v>2035</x:v>
      </x:c>
      <x:c r="C3706" s="380" t="n">
        <x:v>2</x:v>
      </x:c>
      <x:c r="D3706" s="380" t="str">
        <x:v>Feb</x:v>
      </x:c>
      <x:c r="E3706" s="380" t="n">
        <x:v>17</x:v>
      </x:c>
      <x:c r="F3706" s="380" t="n">
        <x:v>6</x:v>
      </x:c>
      <x:c r="G3706" s="380" t="n">
        <x:f>--(F3706&lt;='Estimator'!$B$7)</x:f>
        <x:v>0</x:v>
      </x:c>
      <x:c r="H3706" s="381" t="n">
        <x:f>SUMIFS('Climate Data'!$G$7:$G$366,'Climate Data'!$A$7:$A$366,'Estimator'!$B$4,'Climate Data'!$B$7:$B$366,C3706)</x:f>
        <x:v>0.23056278464541316</x:v>
      </x:c>
      <x:c r="I3706" s="382" t="n">
        <x:f>SUMIFS('Climate Data'!$H$7:$H$366,'Climate Data'!$A$7:$A$366,'Estimator'!$B$4,'Climate Data'!$B$7:$B$366,C3706)</x:f>
        <x:v>9.682010582010582</x:v>
      </x:c>
      <x:c r="J3706" s="381" t="n">
        <x:f>SUMIFS('Wind Proxy'!$H$8:$H$19,'Wind Proxy'!$A$8:$A$19,'Estimator'!$B$4,'Wind Proxy'!$B$8:$B$19,C3706)</x:f>
        <x:v>0.13757861635220128</x:v>
      </x:c>
    </x:row>
    <x:row r="3707">
      <x:c r="A3707" s="379" t="n">
        <x:v>49358</x:v>
      </x:c>
      <x:c r="B3707" s="380" t="n">
        <x:v>2035</x:v>
      </x:c>
      <x:c r="C3707" s="380" t="n">
        <x:v>2</x:v>
      </x:c>
      <x:c r="D3707" s="380" t="str">
        <x:v>Feb</x:v>
      </x:c>
      <x:c r="E3707" s="380" t="n">
        <x:v>18</x:v>
      </x:c>
      <x:c r="F3707" s="380" t="n">
        <x:v>7</x:v>
      </x:c>
      <x:c r="G3707" s="380" t="n">
        <x:f>--(F3707&lt;='Estimator'!$B$7)</x:f>
        <x:v>0</x:v>
      </x:c>
      <x:c r="H3707" s="381" t="n">
        <x:f>SUMIFS('Climate Data'!$G$7:$G$366,'Climate Data'!$A$7:$A$366,'Estimator'!$B$4,'Climate Data'!$B$7:$B$366,C3707)</x:f>
        <x:v>0.23056278464541316</x:v>
      </x:c>
      <x:c r="I3707" s="382" t="n">
        <x:f>SUMIFS('Climate Data'!$H$7:$H$366,'Climate Data'!$A$7:$A$366,'Estimator'!$B$4,'Climate Data'!$B$7:$B$366,C3707)</x:f>
        <x:v>9.682010582010582</x:v>
      </x:c>
      <x:c r="J3707" s="381" t="n">
        <x:f>SUMIFS('Wind Proxy'!$H$8:$H$19,'Wind Proxy'!$A$8:$A$19,'Estimator'!$B$4,'Wind Proxy'!$B$8:$B$19,C3707)</x:f>
        <x:v>0.13757861635220128</x:v>
      </x:c>
    </x:row>
    <x:row r="3708">
      <x:c r="A3708" s="379" t="n">
        <x:v>49359</x:v>
      </x:c>
      <x:c r="B3708" s="380" t="n">
        <x:v>2035</x:v>
      </x:c>
      <x:c r="C3708" s="380" t="n">
        <x:v>2</x:v>
      </x:c>
      <x:c r="D3708" s="380" t="str">
        <x:v>Feb</x:v>
      </x:c>
      <x:c r="E3708" s="380" t="n">
        <x:v>19</x:v>
      </x:c>
      <x:c r="F3708" s="380" t="n">
        <x:v>1</x:v>
      </x:c>
      <x:c r="G3708" s="380" t="n">
        <x:f>--(F3708&lt;='Estimator'!$B$7)</x:f>
        <x:v>1</x:v>
      </x:c>
      <x:c r="H3708" s="381" t="n">
        <x:f>SUMIFS('Climate Data'!$G$7:$G$366,'Climate Data'!$A$7:$A$366,'Estimator'!$B$4,'Climate Data'!$B$7:$B$366,C3708)</x:f>
        <x:v>0.23056278464541316</x:v>
      </x:c>
      <x:c r="I3708" s="382" t="n">
        <x:f>SUMIFS('Climate Data'!$H$7:$H$366,'Climate Data'!$A$7:$A$366,'Estimator'!$B$4,'Climate Data'!$B$7:$B$366,C3708)</x:f>
        <x:v>9.682010582010582</x:v>
      </x:c>
      <x:c r="J3708" s="381" t="n">
        <x:f>SUMIFS('Wind Proxy'!$H$8:$H$19,'Wind Proxy'!$A$8:$A$19,'Estimator'!$B$4,'Wind Proxy'!$B$8:$B$19,C3708)</x:f>
        <x:v>0.13757861635220128</x:v>
      </x:c>
    </x:row>
    <x:row r="3709">
      <x:c r="A3709" s="379" t="n">
        <x:v>49360</x:v>
      </x:c>
      <x:c r="B3709" s="380" t="n">
        <x:v>2035</x:v>
      </x:c>
      <x:c r="C3709" s="380" t="n">
        <x:v>2</x:v>
      </x:c>
      <x:c r="D3709" s="380" t="str">
        <x:v>Feb</x:v>
      </x:c>
      <x:c r="E3709" s="380" t="n">
        <x:v>20</x:v>
      </x:c>
      <x:c r="F3709" s="380" t="n">
        <x:v>2</x:v>
      </x:c>
      <x:c r="G3709" s="380" t="n">
        <x:f>--(F3709&lt;='Estimator'!$B$7)</x:f>
        <x:v>1</x:v>
      </x:c>
      <x:c r="H3709" s="381" t="n">
        <x:f>SUMIFS('Climate Data'!$G$7:$G$366,'Climate Data'!$A$7:$A$366,'Estimator'!$B$4,'Climate Data'!$B$7:$B$366,C3709)</x:f>
        <x:v>0.23056278464541316</x:v>
      </x:c>
      <x:c r="I3709" s="382" t="n">
        <x:f>SUMIFS('Climate Data'!$H$7:$H$366,'Climate Data'!$A$7:$A$366,'Estimator'!$B$4,'Climate Data'!$B$7:$B$366,C3709)</x:f>
        <x:v>9.682010582010582</x:v>
      </x:c>
      <x:c r="J3709" s="381" t="n">
        <x:f>SUMIFS('Wind Proxy'!$H$8:$H$19,'Wind Proxy'!$A$8:$A$19,'Estimator'!$B$4,'Wind Proxy'!$B$8:$B$19,C3709)</x:f>
        <x:v>0.13757861635220128</x:v>
      </x:c>
    </x:row>
    <x:row r="3710">
      <x:c r="A3710" s="379" t="n">
        <x:v>49361</x:v>
      </x:c>
      <x:c r="B3710" s="380" t="n">
        <x:v>2035</x:v>
      </x:c>
      <x:c r="C3710" s="380" t="n">
        <x:v>2</x:v>
      </x:c>
      <x:c r="D3710" s="380" t="str">
        <x:v>Feb</x:v>
      </x:c>
      <x:c r="E3710" s="380" t="n">
        <x:v>21</x:v>
      </x:c>
      <x:c r="F3710" s="380" t="n">
        <x:v>3</x:v>
      </x:c>
      <x:c r="G3710" s="380" t="n">
        <x:f>--(F3710&lt;='Estimator'!$B$7)</x:f>
        <x:v>1</x:v>
      </x:c>
      <x:c r="H3710" s="381" t="n">
        <x:f>SUMIFS('Climate Data'!$G$7:$G$366,'Climate Data'!$A$7:$A$366,'Estimator'!$B$4,'Climate Data'!$B$7:$B$366,C3710)</x:f>
        <x:v>0.23056278464541316</x:v>
      </x:c>
      <x:c r="I3710" s="382" t="n">
        <x:f>SUMIFS('Climate Data'!$H$7:$H$366,'Climate Data'!$A$7:$A$366,'Estimator'!$B$4,'Climate Data'!$B$7:$B$366,C3710)</x:f>
        <x:v>9.682010582010582</x:v>
      </x:c>
      <x:c r="J3710" s="381" t="n">
        <x:f>SUMIFS('Wind Proxy'!$H$8:$H$19,'Wind Proxy'!$A$8:$A$19,'Estimator'!$B$4,'Wind Proxy'!$B$8:$B$19,C3710)</x:f>
        <x:v>0.13757861635220128</x:v>
      </x:c>
    </x:row>
    <x:row r="3711">
      <x:c r="A3711" s="379" t="n">
        <x:v>49362</x:v>
      </x:c>
      <x:c r="B3711" s="380" t="n">
        <x:v>2035</x:v>
      </x:c>
      <x:c r="C3711" s="380" t="n">
        <x:v>2</x:v>
      </x:c>
      <x:c r="D3711" s="380" t="str">
        <x:v>Feb</x:v>
      </x:c>
      <x:c r="E3711" s="380" t="n">
        <x:v>22</x:v>
      </x:c>
      <x:c r="F3711" s="380" t="n">
        <x:v>4</x:v>
      </x:c>
      <x:c r="G3711" s="380" t="n">
        <x:f>--(F3711&lt;='Estimator'!$B$7)</x:f>
        <x:v>1</x:v>
      </x:c>
      <x:c r="H3711" s="381" t="n">
        <x:f>SUMIFS('Climate Data'!$G$7:$G$366,'Climate Data'!$A$7:$A$366,'Estimator'!$B$4,'Climate Data'!$B$7:$B$366,C3711)</x:f>
        <x:v>0.23056278464541316</x:v>
      </x:c>
      <x:c r="I3711" s="382" t="n">
        <x:f>SUMIFS('Climate Data'!$H$7:$H$366,'Climate Data'!$A$7:$A$366,'Estimator'!$B$4,'Climate Data'!$B$7:$B$366,C3711)</x:f>
        <x:v>9.682010582010582</x:v>
      </x:c>
      <x:c r="J3711" s="381" t="n">
        <x:f>SUMIFS('Wind Proxy'!$H$8:$H$19,'Wind Proxy'!$A$8:$A$19,'Estimator'!$B$4,'Wind Proxy'!$B$8:$B$19,C3711)</x:f>
        <x:v>0.13757861635220128</x:v>
      </x:c>
    </x:row>
    <x:row r="3712">
      <x:c r="A3712" s="379" t="n">
        <x:v>49363</x:v>
      </x:c>
      <x:c r="B3712" s="380" t="n">
        <x:v>2035</x:v>
      </x:c>
      <x:c r="C3712" s="380" t="n">
        <x:v>2</x:v>
      </x:c>
      <x:c r="D3712" s="380" t="str">
        <x:v>Feb</x:v>
      </x:c>
      <x:c r="E3712" s="380" t="n">
        <x:v>23</x:v>
      </x:c>
      <x:c r="F3712" s="380" t="n">
        <x:v>5</x:v>
      </x:c>
      <x:c r="G3712" s="380" t="n">
        <x:f>--(F3712&lt;='Estimator'!$B$7)</x:f>
        <x:v>1</x:v>
      </x:c>
      <x:c r="H3712" s="381" t="n">
        <x:f>SUMIFS('Climate Data'!$G$7:$G$366,'Climate Data'!$A$7:$A$366,'Estimator'!$B$4,'Climate Data'!$B$7:$B$366,C3712)</x:f>
        <x:v>0.23056278464541316</x:v>
      </x:c>
      <x:c r="I3712" s="382" t="n">
        <x:f>SUMIFS('Climate Data'!$H$7:$H$366,'Climate Data'!$A$7:$A$366,'Estimator'!$B$4,'Climate Data'!$B$7:$B$366,C3712)</x:f>
        <x:v>9.682010582010582</x:v>
      </x:c>
      <x:c r="J3712" s="381" t="n">
        <x:f>SUMIFS('Wind Proxy'!$H$8:$H$19,'Wind Proxy'!$A$8:$A$19,'Estimator'!$B$4,'Wind Proxy'!$B$8:$B$19,C3712)</x:f>
        <x:v>0.13757861635220128</x:v>
      </x:c>
    </x:row>
    <x:row r="3713">
      <x:c r="A3713" s="379" t="n">
        <x:v>49364</x:v>
      </x:c>
      <x:c r="B3713" s="380" t="n">
        <x:v>2035</x:v>
      </x:c>
      <x:c r="C3713" s="380" t="n">
        <x:v>2</x:v>
      </x:c>
      <x:c r="D3713" s="380" t="str">
        <x:v>Feb</x:v>
      </x:c>
      <x:c r="E3713" s="380" t="n">
        <x:v>24</x:v>
      </x:c>
      <x:c r="F3713" s="380" t="n">
        <x:v>6</x:v>
      </x:c>
      <x:c r="G3713" s="380" t="n">
        <x:f>--(F3713&lt;='Estimator'!$B$7)</x:f>
        <x:v>0</x:v>
      </x:c>
      <x:c r="H3713" s="381" t="n">
        <x:f>SUMIFS('Climate Data'!$G$7:$G$366,'Climate Data'!$A$7:$A$366,'Estimator'!$B$4,'Climate Data'!$B$7:$B$366,C3713)</x:f>
        <x:v>0.23056278464541316</x:v>
      </x:c>
      <x:c r="I3713" s="382" t="n">
        <x:f>SUMIFS('Climate Data'!$H$7:$H$366,'Climate Data'!$A$7:$A$366,'Estimator'!$B$4,'Climate Data'!$B$7:$B$366,C3713)</x:f>
        <x:v>9.682010582010582</x:v>
      </x:c>
      <x:c r="J3713" s="381" t="n">
        <x:f>SUMIFS('Wind Proxy'!$H$8:$H$19,'Wind Proxy'!$A$8:$A$19,'Estimator'!$B$4,'Wind Proxy'!$B$8:$B$19,C3713)</x:f>
        <x:v>0.13757861635220128</x:v>
      </x:c>
    </x:row>
    <x:row r="3714">
      <x:c r="A3714" s="379" t="n">
        <x:v>49365</x:v>
      </x:c>
      <x:c r="B3714" s="380" t="n">
        <x:v>2035</x:v>
      </x:c>
      <x:c r="C3714" s="380" t="n">
        <x:v>2</x:v>
      </x:c>
      <x:c r="D3714" s="380" t="str">
        <x:v>Feb</x:v>
      </x:c>
      <x:c r="E3714" s="380" t="n">
        <x:v>25</x:v>
      </x:c>
      <x:c r="F3714" s="380" t="n">
        <x:v>7</x:v>
      </x:c>
      <x:c r="G3714" s="380" t="n">
        <x:f>--(F3714&lt;='Estimator'!$B$7)</x:f>
        <x:v>0</x:v>
      </x:c>
      <x:c r="H3714" s="381" t="n">
        <x:f>SUMIFS('Climate Data'!$G$7:$G$366,'Climate Data'!$A$7:$A$366,'Estimator'!$B$4,'Climate Data'!$B$7:$B$366,C3714)</x:f>
        <x:v>0.23056278464541316</x:v>
      </x:c>
      <x:c r="I3714" s="382" t="n">
        <x:f>SUMIFS('Climate Data'!$H$7:$H$366,'Climate Data'!$A$7:$A$366,'Estimator'!$B$4,'Climate Data'!$B$7:$B$366,C3714)</x:f>
        <x:v>9.682010582010582</x:v>
      </x:c>
      <x:c r="J3714" s="381" t="n">
        <x:f>SUMIFS('Wind Proxy'!$H$8:$H$19,'Wind Proxy'!$A$8:$A$19,'Estimator'!$B$4,'Wind Proxy'!$B$8:$B$19,C3714)</x:f>
        <x:v>0.13757861635220128</x:v>
      </x:c>
    </x:row>
    <x:row r="3715">
      <x:c r="A3715" s="379" t="n">
        <x:v>49366</x:v>
      </x:c>
      <x:c r="B3715" s="380" t="n">
        <x:v>2035</x:v>
      </x:c>
      <x:c r="C3715" s="380" t="n">
        <x:v>2</x:v>
      </x:c>
      <x:c r="D3715" s="380" t="str">
        <x:v>Feb</x:v>
      </x:c>
      <x:c r="E3715" s="380" t="n">
        <x:v>26</x:v>
      </x:c>
      <x:c r="F3715" s="380" t="n">
        <x:v>1</x:v>
      </x:c>
      <x:c r="G3715" s="380" t="n">
        <x:f>--(F3715&lt;='Estimator'!$B$7)</x:f>
        <x:v>1</x:v>
      </x:c>
      <x:c r="H3715" s="381" t="n">
        <x:f>SUMIFS('Climate Data'!$G$7:$G$366,'Climate Data'!$A$7:$A$366,'Estimator'!$B$4,'Climate Data'!$B$7:$B$366,C3715)</x:f>
        <x:v>0.23056278464541316</x:v>
      </x:c>
      <x:c r="I3715" s="382" t="n">
        <x:f>SUMIFS('Climate Data'!$H$7:$H$366,'Climate Data'!$A$7:$A$366,'Estimator'!$B$4,'Climate Data'!$B$7:$B$366,C3715)</x:f>
        <x:v>9.682010582010582</x:v>
      </x:c>
      <x:c r="J3715" s="381" t="n">
        <x:f>SUMIFS('Wind Proxy'!$H$8:$H$19,'Wind Proxy'!$A$8:$A$19,'Estimator'!$B$4,'Wind Proxy'!$B$8:$B$19,C3715)</x:f>
        <x:v>0.13757861635220128</x:v>
      </x:c>
    </x:row>
    <x:row r="3716">
      <x:c r="A3716" s="379" t="n">
        <x:v>49367</x:v>
      </x:c>
      <x:c r="B3716" s="380" t="n">
        <x:v>2035</x:v>
      </x:c>
      <x:c r="C3716" s="380" t="n">
        <x:v>2</x:v>
      </x:c>
      <x:c r="D3716" s="380" t="str">
        <x:v>Feb</x:v>
      </x:c>
      <x:c r="E3716" s="380" t="n">
        <x:v>27</x:v>
      </x:c>
      <x:c r="F3716" s="380" t="n">
        <x:v>2</x:v>
      </x:c>
      <x:c r="G3716" s="380" t="n">
        <x:f>--(F3716&lt;='Estimator'!$B$7)</x:f>
        <x:v>1</x:v>
      </x:c>
      <x:c r="H3716" s="381" t="n">
        <x:f>SUMIFS('Climate Data'!$G$7:$G$366,'Climate Data'!$A$7:$A$366,'Estimator'!$B$4,'Climate Data'!$B$7:$B$366,C3716)</x:f>
        <x:v>0.23056278464541316</x:v>
      </x:c>
      <x:c r="I3716" s="382" t="n">
        <x:f>SUMIFS('Climate Data'!$H$7:$H$366,'Climate Data'!$A$7:$A$366,'Estimator'!$B$4,'Climate Data'!$B$7:$B$366,C3716)</x:f>
        <x:v>9.682010582010582</x:v>
      </x:c>
      <x:c r="J3716" s="381" t="n">
        <x:f>SUMIFS('Wind Proxy'!$H$8:$H$19,'Wind Proxy'!$A$8:$A$19,'Estimator'!$B$4,'Wind Proxy'!$B$8:$B$19,C3716)</x:f>
        <x:v>0.13757861635220128</x:v>
      </x:c>
    </x:row>
    <x:row r="3717">
      <x:c r="A3717" s="379" t="n">
        <x:v>49368</x:v>
      </x:c>
      <x:c r="B3717" s="380" t="n">
        <x:v>2035</x:v>
      </x:c>
      <x:c r="C3717" s="380" t="n">
        <x:v>2</x:v>
      </x:c>
      <x:c r="D3717" s="380" t="str">
        <x:v>Feb</x:v>
      </x:c>
      <x:c r="E3717" s="380" t="n">
        <x:v>28</x:v>
      </x:c>
      <x:c r="F3717" s="380" t="n">
        <x:v>3</x:v>
      </x:c>
      <x:c r="G3717" s="380" t="n">
        <x:f>--(F3717&lt;='Estimator'!$B$7)</x:f>
        <x:v>1</x:v>
      </x:c>
      <x:c r="H3717" s="381" t="n">
        <x:f>SUMIFS('Climate Data'!$G$7:$G$366,'Climate Data'!$A$7:$A$366,'Estimator'!$B$4,'Climate Data'!$B$7:$B$366,C3717)</x:f>
        <x:v>0.23056278464541316</x:v>
      </x:c>
      <x:c r="I3717" s="382" t="n">
        <x:f>SUMIFS('Climate Data'!$H$7:$H$366,'Climate Data'!$A$7:$A$366,'Estimator'!$B$4,'Climate Data'!$B$7:$B$366,C3717)</x:f>
        <x:v>9.682010582010582</x:v>
      </x:c>
      <x:c r="J3717" s="381" t="n">
        <x:f>SUMIFS('Wind Proxy'!$H$8:$H$19,'Wind Proxy'!$A$8:$A$19,'Estimator'!$B$4,'Wind Proxy'!$B$8:$B$19,C3717)</x:f>
        <x:v>0.13757861635220128</x:v>
      </x:c>
    </x:row>
    <x:row r="3718">
      <x:c r="A3718" s="379" t="n">
        <x:v>49369</x:v>
      </x:c>
      <x:c r="B3718" s="380" t="n">
        <x:v>2035</x:v>
      </x:c>
      <x:c r="C3718" s="380" t="n">
        <x:v>3</x:v>
      </x:c>
      <x:c r="D3718" s="380" t="str">
        <x:v>Mar</x:v>
      </x:c>
      <x:c r="E3718" s="380" t="n">
        <x:v>1</x:v>
      </x:c>
      <x:c r="F3718" s="380" t="n">
        <x:v>4</x:v>
      </x:c>
      <x:c r="G3718" s="380" t="n">
        <x:f>--(F3718&lt;='Estimator'!$B$7)</x:f>
        <x:v>1</x:v>
      </x:c>
      <x:c r="H3718" s="381" t="n">
        <x:f>SUMIFS('Climate Data'!$G$7:$G$366,'Climate Data'!$A$7:$A$366,'Estimator'!$B$4,'Climate Data'!$B$7:$B$366,C3718)</x:f>
        <x:v>0.24916573971078979</x:v>
      </x:c>
      <x:c r="I3718" s="382" t="n">
        <x:f>SUMIFS('Climate Data'!$H$7:$H$366,'Climate Data'!$A$7:$A$366,'Estimator'!$B$4,'Climate Data'!$B$7:$B$366,C3718)</x:f>
        <x:v>9.709821428571429</x:v>
      </x:c>
      <x:c r="J3718" s="381" t="n">
        <x:f>SUMIFS('Wind Proxy'!$H$8:$H$19,'Wind Proxy'!$A$8:$A$19,'Estimator'!$B$4,'Wind Proxy'!$B$8:$B$19,C3718)</x:f>
        <x:v>0.11350059737156513</x:v>
      </x:c>
    </x:row>
    <x:row r="3719">
      <x:c r="A3719" s="379" t="n">
        <x:v>49370</x:v>
      </x:c>
      <x:c r="B3719" s="380" t="n">
        <x:v>2035</x:v>
      </x:c>
      <x:c r="C3719" s="380" t="n">
        <x:v>3</x:v>
      </x:c>
      <x:c r="D3719" s="380" t="str">
        <x:v>Mar</x:v>
      </x:c>
      <x:c r="E3719" s="380" t="n">
        <x:v>2</x:v>
      </x:c>
      <x:c r="F3719" s="380" t="n">
        <x:v>5</x:v>
      </x:c>
      <x:c r="G3719" s="380" t="n">
        <x:f>--(F3719&lt;='Estimator'!$B$7)</x:f>
        <x:v>1</x:v>
      </x:c>
      <x:c r="H3719" s="381" t="n">
        <x:f>SUMIFS('Climate Data'!$G$7:$G$366,'Climate Data'!$A$7:$A$366,'Estimator'!$B$4,'Climate Data'!$B$7:$B$366,C3719)</x:f>
        <x:v>0.24916573971078979</x:v>
      </x:c>
      <x:c r="I3719" s="382" t="n">
        <x:f>SUMIFS('Climate Data'!$H$7:$H$366,'Climate Data'!$A$7:$A$366,'Estimator'!$B$4,'Climate Data'!$B$7:$B$366,C3719)</x:f>
        <x:v>9.709821428571429</x:v>
      </x:c>
      <x:c r="J3719" s="381" t="n">
        <x:f>SUMIFS('Wind Proxy'!$H$8:$H$19,'Wind Proxy'!$A$8:$A$19,'Estimator'!$B$4,'Wind Proxy'!$B$8:$B$19,C3719)</x:f>
        <x:v>0.11350059737156513</x:v>
      </x:c>
    </x:row>
    <x:row r="3720">
      <x:c r="A3720" s="379" t="n">
        <x:v>49371</x:v>
      </x:c>
      <x:c r="B3720" s="380" t="n">
        <x:v>2035</x:v>
      </x:c>
      <x:c r="C3720" s="380" t="n">
        <x:v>3</x:v>
      </x:c>
      <x:c r="D3720" s="380" t="str">
        <x:v>Mar</x:v>
      </x:c>
      <x:c r="E3720" s="380" t="n">
        <x:v>3</x:v>
      </x:c>
      <x:c r="F3720" s="380" t="n">
        <x:v>6</x:v>
      </x:c>
      <x:c r="G3720" s="380" t="n">
        <x:f>--(F3720&lt;='Estimator'!$B$7)</x:f>
        <x:v>0</x:v>
      </x:c>
      <x:c r="H3720" s="381" t="n">
        <x:f>SUMIFS('Climate Data'!$G$7:$G$366,'Climate Data'!$A$7:$A$366,'Estimator'!$B$4,'Climate Data'!$B$7:$B$366,C3720)</x:f>
        <x:v>0.24916573971078979</x:v>
      </x:c>
      <x:c r="I3720" s="382" t="n">
        <x:f>SUMIFS('Climate Data'!$H$7:$H$366,'Climate Data'!$A$7:$A$366,'Estimator'!$B$4,'Climate Data'!$B$7:$B$366,C3720)</x:f>
        <x:v>9.709821428571429</x:v>
      </x:c>
      <x:c r="J3720" s="381" t="n">
        <x:f>SUMIFS('Wind Proxy'!$H$8:$H$19,'Wind Proxy'!$A$8:$A$19,'Estimator'!$B$4,'Wind Proxy'!$B$8:$B$19,C3720)</x:f>
        <x:v>0.11350059737156513</x:v>
      </x:c>
    </x:row>
    <x:row r="3721">
      <x:c r="A3721" s="379" t="n">
        <x:v>49372</x:v>
      </x:c>
      <x:c r="B3721" s="380" t="n">
        <x:v>2035</x:v>
      </x:c>
      <x:c r="C3721" s="380" t="n">
        <x:v>3</x:v>
      </x:c>
      <x:c r="D3721" s="380" t="str">
        <x:v>Mar</x:v>
      </x:c>
      <x:c r="E3721" s="380" t="n">
        <x:v>4</x:v>
      </x:c>
      <x:c r="F3721" s="380" t="n">
        <x:v>7</x:v>
      </x:c>
      <x:c r="G3721" s="380" t="n">
        <x:f>--(F3721&lt;='Estimator'!$B$7)</x:f>
        <x:v>0</x:v>
      </x:c>
      <x:c r="H3721" s="381" t="n">
        <x:f>SUMIFS('Climate Data'!$G$7:$G$366,'Climate Data'!$A$7:$A$366,'Estimator'!$B$4,'Climate Data'!$B$7:$B$366,C3721)</x:f>
        <x:v>0.24916573971078979</x:v>
      </x:c>
      <x:c r="I3721" s="382" t="n">
        <x:f>SUMIFS('Climate Data'!$H$7:$H$366,'Climate Data'!$A$7:$A$366,'Estimator'!$B$4,'Climate Data'!$B$7:$B$366,C3721)</x:f>
        <x:v>9.709821428571429</x:v>
      </x:c>
      <x:c r="J3721" s="381" t="n">
        <x:f>SUMIFS('Wind Proxy'!$H$8:$H$19,'Wind Proxy'!$A$8:$A$19,'Estimator'!$B$4,'Wind Proxy'!$B$8:$B$19,C3721)</x:f>
        <x:v>0.11350059737156513</x:v>
      </x:c>
    </x:row>
    <x:row r="3722">
      <x:c r="A3722" s="379" t="n">
        <x:v>49373</x:v>
      </x:c>
      <x:c r="B3722" s="380" t="n">
        <x:v>2035</x:v>
      </x:c>
      <x:c r="C3722" s="380" t="n">
        <x:v>3</x:v>
      </x:c>
      <x:c r="D3722" s="380" t="str">
        <x:v>Mar</x:v>
      </x:c>
      <x:c r="E3722" s="380" t="n">
        <x:v>5</x:v>
      </x:c>
      <x:c r="F3722" s="380" t="n">
        <x:v>1</x:v>
      </x:c>
      <x:c r="G3722" s="380" t="n">
        <x:f>--(F3722&lt;='Estimator'!$B$7)</x:f>
        <x:v>1</x:v>
      </x:c>
      <x:c r="H3722" s="381" t="n">
        <x:f>SUMIFS('Climate Data'!$G$7:$G$366,'Climate Data'!$A$7:$A$366,'Estimator'!$B$4,'Climate Data'!$B$7:$B$366,C3722)</x:f>
        <x:v>0.24916573971078979</x:v>
      </x:c>
      <x:c r="I3722" s="382" t="n">
        <x:f>SUMIFS('Climate Data'!$H$7:$H$366,'Climate Data'!$A$7:$A$366,'Estimator'!$B$4,'Climate Data'!$B$7:$B$366,C3722)</x:f>
        <x:v>9.709821428571429</x:v>
      </x:c>
      <x:c r="J3722" s="381" t="n">
        <x:f>SUMIFS('Wind Proxy'!$H$8:$H$19,'Wind Proxy'!$A$8:$A$19,'Estimator'!$B$4,'Wind Proxy'!$B$8:$B$19,C3722)</x:f>
        <x:v>0.11350059737156513</x:v>
      </x:c>
    </x:row>
    <x:row r="3723">
      <x:c r="A3723" s="379" t="n">
        <x:v>49374</x:v>
      </x:c>
      <x:c r="B3723" s="380" t="n">
        <x:v>2035</x:v>
      </x:c>
      <x:c r="C3723" s="380" t="n">
        <x:v>3</x:v>
      </x:c>
      <x:c r="D3723" s="380" t="str">
        <x:v>Mar</x:v>
      </x:c>
      <x:c r="E3723" s="380" t="n">
        <x:v>6</x:v>
      </x:c>
      <x:c r="F3723" s="380" t="n">
        <x:v>2</x:v>
      </x:c>
      <x:c r="G3723" s="380" t="n">
        <x:f>--(F3723&lt;='Estimator'!$B$7)</x:f>
        <x:v>1</x:v>
      </x:c>
      <x:c r="H3723" s="381" t="n">
        <x:f>SUMIFS('Climate Data'!$G$7:$G$366,'Climate Data'!$A$7:$A$366,'Estimator'!$B$4,'Climate Data'!$B$7:$B$366,C3723)</x:f>
        <x:v>0.24916573971078979</x:v>
      </x:c>
      <x:c r="I3723" s="382" t="n">
        <x:f>SUMIFS('Climate Data'!$H$7:$H$366,'Climate Data'!$A$7:$A$366,'Estimator'!$B$4,'Climate Data'!$B$7:$B$366,C3723)</x:f>
        <x:v>9.709821428571429</x:v>
      </x:c>
      <x:c r="J3723" s="381" t="n">
        <x:f>SUMIFS('Wind Proxy'!$H$8:$H$19,'Wind Proxy'!$A$8:$A$19,'Estimator'!$B$4,'Wind Proxy'!$B$8:$B$19,C3723)</x:f>
        <x:v>0.11350059737156513</x:v>
      </x:c>
    </x:row>
    <x:row r="3724">
      <x:c r="A3724" s="379" t="n">
        <x:v>49375</x:v>
      </x:c>
      <x:c r="B3724" s="380" t="n">
        <x:v>2035</x:v>
      </x:c>
      <x:c r="C3724" s="380" t="n">
        <x:v>3</x:v>
      </x:c>
      <x:c r="D3724" s="380" t="str">
        <x:v>Mar</x:v>
      </x:c>
      <x:c r="E3724" s="380" t="n">
        <x:v>7</x:v>
      </x:c>
      <x:c r="F3724" s="380" t="n">
        <x:v>3</x:v>
      </x:c>
      <x:c r="G3724" s="380" t="n">
        <x:f>--(F3724&lt;='Estimator'!$B$7)</x:f>
        <x:v>1</x:v>
      </x:c>
      <x:c r="H3724" s="381" t="n">
        <x:f>SUMIFS('Climate Data'!$G$7:$G$366,'Climate Data'!$A$7:$A$366,'Estimator'!$B$4,'Climate Data'!$B$7:$B$366,C3724)</x:f>
        <x:v>0.24916573971078979</x:v>
      </x:c>
      <x:c r="I3724" s="382" t="n">
        <x:f>SUMIFS('Climate Data'!$H$7:$H$366,'Climate Data'!$A$7:$A$366,'Estimator'!$B$4,'Climate Data'!$B$7:$B$366,C3724)</x:f>
        <x:v>9.709821428571429</x:v>
      </x:c>
      <x:c r="J3724" s="381" t="n">
        <x:f>SUMIFS('Wind Proxy'!$H$8:$H$19,'Wind Proxy'!$A$8:$A$19,'Estimator'!$B$4,'Wind Proxy'!$B$8:$B$19,C3724)</x:f>
        <x:v>0.11350059737156513</x:v>
      </x:c>
    </x:row>
    <x:row r="3725">
      <x:c r="A3725" s="379" t="n">
        <x:v>49376</x:v>
      </x:c>
      <x:c r="B3725" s="380" t="n">
        <x:v>2035</x:v>
      </x:c>
      <x:c r="C3725" s="380" t="n">
        <x:v>3</x:v>
      </x:c>
      <x:c r="D3725" s="380" t="str">
        <x:v>Mar</x:v>
      </x:c>
      <x:c r="E3725" s="380" t="n">
        <x:v>8</x:v>
      </x:c>
      <x:c r="F3725" s="380" t="n">
        <x:v>4</x:v>
      </x:c>
      <x:c r="G3725" s="380" t="n">
        <x:f>--(F3725&lt;='Estimator'!$B$7)</x:f>
        <x:v>1</x:v>
      </x:c>
      <x:c r="H3725" s="381" t="n">
        <x:f>SUMIFS('Climate Data'!$G$7:$G$366,'Climate Data'!$A$7:$A$366,'Estimator'!$B$4,'Climate Data'!$B$7:$B$366,C3725)</x:f>
        <x:v>0.24916573971078979</x:v>
      </x:c>
      <x:c r="I3725" s="382" t="n">
        <x:f>SUMIFS('Climate Data'!$H$7:$H$366,'Climate Data'!$A$7:$A$366,'Estimator'!$B$4,'Climate Data'!$B$7:$B$366,C3725)</x:f>
        <x:v>9.709821428571429</x:v>
      </x:c>
      <x:c r="J3725" s="381" t="n">
        <x:f>SUMIFS('Wind Proxy'!$H$8:$H$19,'Wind Proxy'!$A$8:$A$19,'Estimator'!$B$4,'Wind Proxy'!$B$8:$B$19,C3725)</x:f>
        <x:v>0.11350059737156513</x:v>
      </x:c>
    </x:row>
    <x:row r="3726">
      <x:c r="A3726" s="379" t="n">
        <x:v>49377</x:v>
      </x:c>
      <x:c r="B3726" s="380" t="n">
        <x:v>2035</x:v>
      </x:c>
      <x:c r="C3726" s="380" t="n">
        <x:v>3</x:v>
      </x:c>
      <x:c r="D3726" s="380" t="str">
        <x:v>Mar</x:v>
      </x:c>
      <x:c r="E3726" s="380" t="n">
        <x:v>9</x:v>
      </x:c>
      <x:c r="F3726" s="380" t="n">
        <x:v>5</x:v>
      </x:c>
      <x:c r="G3726" s="380" t="n">
        <x:f>--(F3726&lt;='Estimator'!$B$7)</x:f>
        <x:v>1</x:v>
      </x:c>
      <x:c r="H3726" s="381" t="n">
        <x:f>SUMIFS('Climate Data'!$G$7:$G$366,'Climate Data'!$A$7:$A$366,'Estimator'!$B$4,'Climate Data'!$B$7:$B$366,C3726)</x:f>
        <x:v>0.24916573971078979</x:v>
      </x:c>
      <x:c r="I3726" s="382" t="n">
        <x:f>SUMIFS('Climate Data'!$H$7:$H$366,'Climate Data'!$A$7:$A$366,'Estimator'!$B$4,'Climate Data'!$B$7:$B$366,C3726)</x:f>
        <x:v>9.709821428571429</x:v>
      </x:c>
      <x:c r="J3726" s="381" t="n">
        <x:f>SUMIFS('Wind Proxy'!$H$8:$H$19,'Wind Proxy'!$A$8:$A$19,'Estimator'!$B$4,'Wind Proxy'!$B$8:$B$19,C3726)</x:f>
        <x:v>0.11350059737156513</x:v>
      </x:c>
    </x:row>
    <x:row r="3727">
      <x:c r="A3727" s="379" t="n">
        <x:v>49378</x:v>
      </x:c>
      <x:c r="B3727" s="380" t="n">
        <x:v>2035</x:v>
      </x:c>
      <x:c r="C3727" s="380" t="n">
        <x:v>3</x:v>
      </x:c>
      <x:c r="D3727" s="380" t="str">
        <x:v>Mar</x:v>
      </x:c>
      <x:c r="E3727" s="380" t="n">
        <x:v>10</x:v>
      </x:c>
      <x:c r="F3727" s="380" t="n">
        <x:v>6</x:v>
      </x:c>
      <x:c r="G3727" s="380" t="n">
        <x:f>--(F3727&lt;='Estimator'!$B$7)</x:f>
        <x:v>0</x:v>
      </x:c>
      <x:c r="H3727" s="381" t="n">
        <x:f>SUMIFS('Climate Data'!$G$7:$G$366,'Climate Data'!$A$7:$A$366,'Estimator'!$B$4,'Climate Data'!$B$7:$B$366,C3727)</x:f>
        <x:v>0.24916573971078979</x:v>
      </x:c>
      <x:c r="I3727" s="382" t="n">
        <x:f>SUMIFS('Climate Data'!$H$7:$H$366,'Climate Data'!$A$7:$A$366,'Estimator'!$B$4,'Climate Data'!$B$7:$B$366,C3727)</x:f>
        <x:v>9.709821428571429</x:v>
      </x:c>
      <x:c r="J3727" s="381" t="n">
        <x:f>SUMIFS('Wind Proxy'!$H$8:$H$19,'Wind Proxy'!$A$8:$A$19,'Estimator'!$B$4,'Wind Proxy'!$B$8:$B$19,C3727)</x:f>
        <x:v>0.11350059737156513</x:v>
      </x:c>
    </x:row>
    <x:row r="3728">
      <x:c r="A3728" s="379" t="n">
        <x:v>49379</x:v>
      </x:c>
      <x:c r="B3728" s="380" t="n">
        <x:v>2035</x:v>
      </x:c>
      <x:c r="C3728" s="380" t="n">
        <x:v>3</x:v>
      </x:c>
      <x:c r="D3728" s="380" t="str">
        <x:v>Mar</x:v>
      </x:c>
      <x:c r="E3728" s="380" t="n">
        <x:v>11</x:v>
      </x:c>
      <x:c r="F3728" s="380" t="n">
        <x:v>7</x:v>
      </x:c>
      <x:c r="G3728" s="380" t="n">
        <x:f>--(F3728&lt;='Estimator'!$B$7)</x:f>
        <x:v>0</x:v>
      </x:c>
      <x:c r="H3728" s="381" t="n">
        <x:f>SUMIFS('Climate Data'!$G$7:$G$366,'Climate Data'!$A$7:$A$366,'Estimator'!$B$4,'Climate Data'!$B$7:$B$366,C3728)</x:f>
        <x:v>0.24916573971078979</x:v>
      </x:c>
      <x:c r="I3728" s="382" t="n">
        <x:f>SUMIFS('Climate Data'!$H$7:$H$366,'Climate Data'!$A$7:$A$366,'Estimator'!$B$4,'Climate Data'!$B$7:$B$366,C3728)</x:f>
        <x:v>9.709821428571429</x:v>
      </x:c>
      <x:c r="J3728" s="381" t="n">
        <x:f>SUMIFS('Wind Proxy'!$H$8:$H$19,'Wind Proxy'!$A$8:$A$19,'Estimator'!$B$4,'Wind Proxy'!$B$8:$B$19,C3728)</x:f>
        <x:v>0.11350059737156513</x:v>
      </x:c>
    </x:row>
    <x:row r="3729">
      <x:c r="A3729" s="379" t="n">
        <x:v>49380</x:v>
      </x:c>
      <x:c r="B3729" s="380" t="n">
        <x:v>2035</x:v>
      </x:c>
      <x:c r="C3729" s="380" t="n">
        <x:v>3</x:v>
      </x:c>
      <x:c r="D3729" s="380" t="str">
        <x:v>Mar</x:v>
      </x:c>
      <x:c r="E3729" s="380" t="n">
        <x:v>12</x:v>
      </x:c>
      <x:c r="F3729" s="380" t="n">
        <x:v>1</x:v>
      </x:c>
      <x:c r="G3729" s="380" t="n">
        <x:f>--(F3729&lt;='Estimator'!$B$7)</x:f>
        <x:v>1</x:v>
      </x:c>
      <x:c r="H3729" s="381" t="n">
        <x:f>SUMIFS('Climate Data'!$G$7:$G$366,'Climate Data'!$A$7:$A$366,'Estimator'!$B$4,'Climate Data'!$B$7:$B$366,C3729)</x:f>
        <x:v>0.24916573971078979</x:v>
      </x:c>
      <x:c r="I3729" s="382" t="n">
        <x:f>SUMIFS('Climate Data'!$H$7:$H$366,'Climate Data'!$A$7:$A$366,'Estimator'!$B$4,'Climate Data'!$B$7:$B$366,C3729)</x:f>
        <x:v>9.709821428571429</x:v>
      </x:c>
      <x:c r="J3729" s="381" t="n">
        <x:f>SUMIFS('Wind Proxy'!$H$8:$H$19,'Wind Proxy'!$A$8:$A$19,'Estimator'!$B$4,'Wind Proxy'!$B$8:$B$19,C3729)</x:f>
        <x:v>0.11350059737156513</x:v>
      </x:c>
    </x:row>
    <x:row r="3730">
      <x:c r="A3730" s="379" t="n">
        <x:v>49381</x:v>
      </x:c>
      <x:c r="B3730" s="380" t="n">
        <x:v>2035</x:v>
      </x:c>
      <x:c r="C3730" s="380" t="n">
        <x:v>3</x:v>
      </x:c>
      <x:c r="D3730" s="380" t="str">
        <x:v>Mar</x:v>
      </x:c>
      <x:c r="E3730" s="380" t="n">
        <x:v>13</x:v>
      </x:c>
      <x:c r="F3730" s="380" t="n">
        <x:v>2</x:v>
      </x:c>
      <x:c r="G3730" s="380" t="n">
        <x:f>--(F3730&lt;='Estimator'!$B$7)</x:f>
        <x:v>1</x:v>
      </x:c>
      <x:c r="H3730" s="381" t="n">
        <x:f>SUMIFS('Climate Data'!$G$7:$G$366,'Climate Data'!$A$7:$A$366,'Estimator'!$B$4,'Climate Data'!$B$7:$B$366,C3730)</x:f>
        <x:v>0.24916573971078979</x:v>
      </x:c>
      <x:c r="I3730" s="382" t="n">
        <x:f>SUMIFS('Climate Data'!$H$7:$H$366,'Climate Data'!$A$7:$A$366,'Estimator'!$B$4,'Climate Data'!$B$7:$B$366,C3730)</x:f>
        <x:v>9.709821428571429</x:v>
      </x:c>
      <x:c r="J3730" s="381" t="n">
        <x:f>SUMIFS('Wind Proxy'!$H$8:$H$19,'Wind Proxy'!$A$8:$A$19,'Estimator'!$B$4,'Wind Proxy'!$B$8:$B$19,C3730)</x:f>
        <x:v>0.11350059737156513</x:v>
      </x:c>
    </x:row>
    <x:row r="3731">
      <x:c r="A3731" s="379" t="n">
        <x:v>49382</x:v>
      </x:c>
      <x:c r="B3731" s="380" t="n">
        <x:v>2035</x:v>
      </x:c>
      <x:c r="C3731" s="380" t="n">
        <x:v>3</x:v>
      </x:c>
      <x:c r="D3731" s="380" t="str">
        <x:v>Mar</x:v>
      </x:c>
      <x:c r="E3731" s="380" t="n">
        <x:v>14</x:v>
      </x:c>
      <x:c r="F3731" s="380" t="n">
        <x:v>3</x:v>
      </x:c>
      <x:c r="G3731" s="380" t="n">
        <x:f>--(F3731&lt;='Estimator'!$B$7)</x:f>
        <x:v>1</x:v>
      </x:c>
      <x:c r="H3731" s="381" t="n">
        <x:f>SUMIFS('Climate Data'!$G$7:$G$366,'Climate Data'!$A$7:$A$366,'Estimator'!$B$4,'Climate Data'!$B$7:$B$366,C3731)</x:f>
        <x:v>0.24916573971078979</x:v>
      </x:c>
      <x:c r="I3731" s="382" t="n">
        <x:f>SUMIFS('Climate Data'!$H$7:$H$366,'Climate Data'!$A$7:$A$366,'Estimator'!$B$4,'Climate Data'!$B$7:$B$366,C3731)</x:f>
        <x:v>9.709821428571429</x:v>
      </x:c>
      <x:c r="J3731" s="381" t="n">
        <x:f>SUMIFS('Wind Proxy'!$H$8:$H$19,'Wind Proxy'!$A$8:$A$19,'Estimator'!$B$4,'Wind Proxy'!$B$8:$B$19,C3731)</x:f>
        <x:v>0.11350059737156513</x:v>
      </x:c>
    </x:row>
    <x:row r="3732">
      <x:c r="A3732" s="379" t="n">
        <x:v>49383</x:v>
      </x:c>
      <x:c r="B3732" s="380" t="n">
        <x:v>2035</x:v>
      </x:c>
      <x:c r="C3732" s="380" t="n">
        <x:v>3</x:v>
      </x:c>
      <x:c r="D3732" s="380" t="str">
        <x:v>Mar</x:v>
      </x:c>
      <x:c r="E3732" s="380" t="n">
        <x:v>15</x:v>
      </x:c>
      <x:c r="F3732" s="380" t="n">
        <x:v>4</x:v>
      </x:c>
      <x:c r="G3732" s="380" t="n">
        <x:f>--(F3732&lt;='Estimator'!$B$7)</x:f>
        <x:v>1</x:v>
      </x:c>
      <x:c r="H3732" s="381" t="n">
        <x:f>SUMIFS('Climate Data'!$G$7:$G$366,'Climate Data'!$A$7:$A$366,'Estimator'!$B$4,'Climate Data'!$B$7:$B$366,C3732)</x:f>
        <x:v>0.24916573971078979</x:v>
      </x:c>
      <x:c r="I3732" s="382" t="n">
        <x:f>SUMIFS('Climate Data'!$H$7:$H$366,'Climate Data'!$A$7:$A$366,'Estimator'!$B$4,'Climate Data'!$B$7:$B$366,C3732)</x:f>
        <x:v>9.709821428571429</x:v>
      </x:c>
      <x:c r="J3732" s="381" t="n">
        <x:f>SUMIFS('Wind Proxy'!$H$8:$H$19,'Wind Proxy'!$A$8:$A$19,'Estimator'!$B$4,'Wind Proxy'!$B$8:$B$19,C3732)</x:f>
        <x:v>0.11350059737156513</x:v>
      </x:c>
    </x:row>
    <x:row r="3733">
      <x:c r="A3733" s="379" t="n">
        <x:v>49384</x:v>
      </x:c>
      <x:c r="B3733" s="380" t="n">
        <x:v>2035</x:v>
      </x:c>
      <x:c r="C3733" s="380" t="n">
        <x:v>3</x:v>
      </x:c>
      <x:c r="D3733" s="380" t="str">
        <x:v>Mar</x:v>
      </x:c>
      <x:c r="E3733" s="380" t="n">
        <x:v>16</x:v>
      </x:c>
      <x:c r="F3733" s="380" t="n">
        <x:v>5</x:v>
      </x:c>
      <x:c r="G3733" s="380" t="n">
        <x:f>--(F3733&lt;='Estimator'!$B$7)</x:f>
        <x:v>1</x:v>
      </x:c>
      <x:c r="H3733" s="381" t="n">
        <x:f>SUMIFS('Climate Data'!$G$7:$G$366,'Climate Data'!$A$7:$A$366,'Estimator'!$B$4,'Climate Data'!$B$7:$B$366,C3733)</x:f>
        <x:v>0.24916573971078979</x:v>
      </x:c>
      <x:c r="I3733" s="382" t="n">
        <x:f>SUMIFS('Climate Data'!$H$7:$H$366,'Climate Data'!$A$7:$A$366,'Estimator'!$B$4,'Climate Data'!$B$7:$B$366,C3733)</x:f>
        <x:v>9.709821428571429</x:v>
      </x:c>
      <x:c r="J3733" s="381" t="n">
        <x:f>SUMIFS('Wind Proxy'!$H$8:$H$19,'Wind Proxy'!$A$8:$A$19,'Estimator'!$B$4,'Wind Proxy'!$B$8:$B$19,C3733)</x:f>
        <x:v>0.11350059737156513</x:v>
      </x:c>
    </x:row>
    <x:row r="3734">
      <x:c r="A3734" s="379" t="n">
        <x:v>49385</x:v>
      </x:c>
      <x:c r="B3734" s="380" t="n">
        <x:v>2035</x:v>
      </x:c>
      <x:c r="C3734" s="380" t="n">
        <x:v>3</x:v>
      </x:c>
      <x:c r="D3734" s="380" t="str">
        <x:v>Mar</x:v>
      </x:c>
      <x:c r="E3734" s="380" t="n">
        <x:v>17</x:v>
      </x:c>
      <x:c r="F3734" s="380" t="n">
        <x:v>6</x:v>
      </x:c>
      <x:c r="G3734" s="380" t="n">
        <x:f>--(F3734&lt;='Estimator'!$B$7)</x:f>
        <x:v>0</x:v>
      </x:c>
      <x:c r="H3734" s="381" t="n">
        <x:f>SUMIFS('Climate Data'!$G$7:$G$366,'Climate Data'!$A$7:$A$366,'Estimator'!$B$4,'Climate Data'!$B$7:$B$366,C3734)</x:f>
        <x:v>0.24916573971078979</x:v>
      </x:c>
      <x:c r="I3734" s="382" t="n">
        <x:f>SUMIFS('Climate Data'!$H$7:$H$366,'Climate Data'!$A$7:$A$366,'Estimator'!$B$4,'Climate Data'!$B$7:$B$366,C3734)</x:f>
        <x:v>9.709821428571429</x:v>
      </x:c>
      <x:c r="J3734" s="381" t="n">
        <x:f>SUMIFS('Wind Proxy'!$H$8:$H$19,'Wind Proxy'!$A$8:$A$19,'Estimator'!$B$4,'Wind Proxy'!$B$8:$B$19,C3734)</x:f>
        <x:v>0.11350059737156513</x:v>
      </x:c>
    </x:row>
    <x:row r="3735">
      <x:c r="A3735" s="379" t="n">
        <x:v>49386</x:v>
      </x:c>
      <x:c r="B3735" s="380" t="n">
        <x:v>2035</x:v>
      </x:c>
      <x:c r="C3735" s="380" t="n">
        <x:v>3</x:v>
      </x:c>
      <x:c r="D3735" s="380" t="str">
        <x:v>Mar</x:v>
      </x:c>
      <x:c r="E3735" s="380" t="n">
        <x:v>18</x:v>
      </x:c>
      <x:c r="F3735" s="380" t="n">
        <x:v>7</x:v>
      </x:c>
      <x:c r="G3735" s="380" t="n">
        <x:f>--(F3735&lt;='Estimator'!$B$7)</x:f>
        <x:v>0</x:v>
      </x:c>
      <x:c r="H3735" s="381" t="n">
        <x:f>SUMIFS('Climate Data'!$G$7:$G$366,'Climate Data'!$A$7:$A$366,'Estimator'!$B$4,'Climate Data'!$B$7:$B$366,C3735)</x:f>
        <x:v>0.24916573971078979</x:v>
      </x:c>
      <x:c r="I3735" s="382" t="n">
        <x:f>SUMIFS('Climate Data'!$H$7:$H$366,'Climate Data'!$A$7:$A$366,'Estimator'!$B$4,'Climate Data'!$B$7:$B$366,C3735)</x:f>
        <x:v>9.709821428571429</x:v>
      </x:c>
      <x:c r="J3735" s="381" t="n">
        <x:f>SUMIFS('Wind Proxy'!$H$8:$H$19,'Wind Proxy'!$A$8:$A$19,'Estimator'!$B$4,'Wind Proxy'!$B$8:$B$19,C3735)</x:f>
        <x:v>0.11350059737156513</x:v>
      </x:c>
    </x:row>
    <x:row r="3736">
      <x:c r="A3736" s="379" t="n">
        <x:v>49387</x:v>
      </x:c>
      <x:c r="B3736" s="380" t="n">
        <x:v>2035</x:v>
      </x:c>
      <x:c r="C3736" s="380" t="n">
        <x:v>3</x:v>
      </x:c>
      <x:c r="D3736" s="380" t="str">
        <x:v>Mar</x:v>
      </x:c>
      <x:c r="E3736" s="380" t="n">
        <x:v>19</x:v>
      </x:c>
      <x:c r="F3736" s="380" t="n">
        <x:v>1</x:v>
      </x:c>
      <x:c r="G3736" s="380" t="n">
        <x:f>--(F3736&lt;='Estimator'!$B$7)</x:f>
        <x:v>1</x:v>
      </x:c>
      <x:c r="H3736" s="381" t="n">
        <x:f>SUMIFS('Climate Data'!$G$7:$G$366,'Climate Data'!$A$7:$A$366,'Estimator'!$B$4,'Climate Data'!$B$7:$B$366,C3736)</x:f>
        <x:v>0.24916573971078979</x:v>
      </x:c>
      <x:c r="I3736" s="382" t="n">
        <x:f>SUMIFS('Climate Data'!$H$7:$H$366,'Climate Data'!$A$7:$A$366,'Estimator'!$B$4,'Climate Data'!$B$7:$B$366,C3736)</x:f>
        <x:v>9.709821428571429</x:v>
      </x:c>
      <x:c r="J3736" s="381" t="n">
        <x:f>SUMIFS('Wind Proxy'!$H$8:$H$19,'Wind Proxy'!$A$8:$A$19,'Estimator'!$B$4,'Wind Proxy'!$B$8:$B$19,C3736)</x:f>
        <x:v>0.11350059737156513</x:v>
      </x:c>
    </x:row>
    <x:row r="3737">
      <x:c r="A3737" s="379" t="n">
        <x:v>49388</x:v>
      </x:c>
      <x:c r="B3737" s="380" t="n">
        <x:v>2035</x:v>
      </x:c>
      <x:c r="C3737" s="380" t="n">
        <x:v>3</x:v>
      </x:c>
      <x:c r="D3737" s="380" t="str">
        <x:v>Mar</x:v>
      </x:c>
      <x:c r="E3737" s="380" t="n">
        <x:v>20</x:v>
      </x:c>
      <x:c r="F3737" s="380" t="n">
        <x:v>2</x:v>
      </x:c>
      <x:c r="G3737" s="380" t="n">
        <x:f>--(F3737&lt;='Estimator'!$B$7)</x:f>
        <x:v>1</x:v>
      </x:c>
      <x:c r="H3737" s="381" t="n">
        <x:f>SUMIFS('Climate Data'!$G$7:$G$366,'Climate Data'!$A$7:$A$366,'Estimator'!$B$4,'Climate Data'!$B$7:$B$366,C3737)</x:f>
        <x:v>0.24916573971078979</x:v>
      </x:c>
      <x:c r="I3737" s="382" t="n">
        <x:f>SUMIFS('Climate Data'!$H$7:$H$366,'Climate Data'!$A$7:$A$366,'Estimator'!$B$4,'Climate Data'!$B$7:$B$366,C3737)</x:f>
        <x:v>9.709821428571429</x:v>
      </x:c>
      <x:c r="J3737" s="381" t="n">
        <x:f>SUMIFS('Wind Proxy'!$H$8:$H$19,'Wind Proxy'!$A$8:$A$19,'Estimator'!$B$4,'Wind Proxy'!$B$8:$B$19,C3737)</x:f>
        <x:v>0.11350059737156513</x:v>
      </x:c>
    </x:row>
    <x:row r="3738">
      <x:c r="A3738" s="379" t="n">
        <x:v>49389</x:v>
      </x:c>
      <x:c r="B3738" s="380" t="n">
        <x:v>2035</x:v>
      </x:c>
      <x:c r="C3738" s="380" t="n">
        <x:v>3</x:v>
      </x:c>
      <x:c r="D3738" s="380" t="str">
        <x:v>Mar</x:v>
      </x:c>
      <x:c r="E3738" s="380" t="n">
        <x:v>21</x:v>
      </x:c>
      <x:c r="F3738" s="380" t="n">
        <x:v>3</x:v>
      </x:c>
      <x:c r="G3738" s="380" t="n">
        <x:f>--(F3738&lt;='Estimator'!$B$7)</x:f>
        <x:v>1</x:v>
      </x:c>
      <x:c r="H3738" s="381" t="n">
        <x:f>SUMIFS('Climate Data'!$G$7:$G$366,'Climate Data'!$A$7:$A$366,'Estimator'!$B$4,'Climate Data'!$B$7:$B$366,C3738)</x:f>
        <x:v>0.24916573971078979</x:v>
      </x:c>
      <x:c r="I3738" s="382" t="n">
        <x:f>SUMIFS('Climate Data'!$H$7:$H$366,'Climate Data'!$A$7:$A$366,'Estimator'!$B$4,'Climate Data'!$B$7:$B$366,C3738)</x:f>
        <x:v>9.709821428571429</x:v>
      </x:c>
      <x:c r="J3738" s="381" t="n">
        <x:f>SUMIFS('Wind Proxy'!$H$8:$H$19,'Wind Proxy'!$A$8:$A$19,'Estimator'!$B$4,'Wind Proxy'!$B$8:$B$19,C3738)</x:f>
        <x:v>0.11350059737156513</x:v>
      </x:c>
    </x:row>
    <x:row r="3739">
      <x:c r="A3739" s="379" t="n">
        <x:v>49390</x:v>
      </x:c>
      <x:c r="B3739" s="380" t="n">
        <x:v>2035</x:v>
      </x:c>
      <x:c r="C3739" s="380" t="n">
        <x:v>3</x:v>
      </x:c>
      <x:c r="D3739" s="380" t="str">
        <x:v>Mar</x:v>
      </x:c>
      <x:c r="E3739" s="380" t="n">
        <x:v>22</x:v>
      </x:c>
      <x:c r="F3739" s="380" t="n">
        <x:v>4</x:v>
      </x:c>
      <x:c r="G3739" s="380" t="n">
        <x:f>--(F3739&lt;='Estimator'!$B$7)</x:f>
        <x:v>1</x:v>
      </x:c>
      <x:c r="H3739" s="381" t="n">
        <x:f>SUMIFS('Climate Data'!$G$7:$G$366,'Climate Data'!$A$7:$A$366,'Estimator'!$B$4,'Climate Data'!$B$7:$B$366,C3739)</x:f>
        <x:v>0.24916573971078979</x:v>
      </x:c>
      <x:c r="I3739" s="382" t="n">
        <x:f>SUMIFS('Climate Data'!$H$7:$H$366,'Climate Data'!$A$7:$A$366,'Estimator'!$B$4,'Climate Data'!$B$7:$B$366,C3739)</x:f>
        <x:v>9.709821428571429</x:v>
      </x:c>
      <x:c r="J3739" s="381" t="n">
        <x:f>SUMIFS('Wind Proxy'!$H$8:$H$19,'Wind Proxy'!$A$8:$A$19,'Estimator'!$B$4,'Wind Proxy'!$B$8:$B$19,C3739)</x:f>
        <x:v>0.11350059737156513</x:v>
      </x:c>
    </x:row>
    <x:row r="3740">
      <x:c r="A3740" s="379" t="n">
        <x:v>49391</x:v>
      </x:c>
      <x:c r="B3740" s="380" t="n">
        <x:v>2035</x:v>
      </x:c>
      <x:c r="C3740" s="380" t="n">
        <x:v>3</x:v>
      </x:c>
      <x:c r="D3740" s="380" t="str">
        <x:v>Mar</x:v>
      </x:c>
      <x:c r="E3740" s="380" t="n">
        <x:v>23</x:v>
      </x:c>
      <x:c r="F3740" s="380" t="n">
        <x:v>5</x:v>
      </x:c>
      <x:c r="G3740" s="380" t="n">
        <x:f>--(F3740&lt;='Estimator'!$B$7)</x:f>
        <x:v>1</x:v>
      </x:c>
      <x:c r="H3740" s="381" t="n">
        <x:f>SUMIFS('Climate Data'!$G$7:$G$366,'Climate Data'!$A$7:$A$366,'Estimator'!$B$4,'Climate Data'!$B$7:$B$366,C3740)</x:f>
        <x:v>0.24916573971078979</x:v>
      </x:c>
      <x:c r="I3740" s="382" t="n">
        <x:f>SUMIFS('Climate Data'!$H$7:$H$366,'Climate Data'!$A$7:$A$366,'Estimator'!$B$4,'Climate Data'!$B$7:$B$366,C3740)</x:f>
        <x:v>9.709821428571429</x:v>
      </x:c>
      <x:c r="J3740" s="381" t="n">
        <x:f>SUMIFS('Wind Proxy'!$H$8:$H$19,'Wind Proxy'!$A$8:$A$19,'Estimator'!$B$4,'Wind Proxy'!$B$8:$B$19,C3740)</x:f>
        <x:v>0.11350059737156513</x:v>
      </x:c>
    </x:row>
    <x:row r="3741">
      <x:c r="A3741" s="379" t="n">
        <x:v>49392</x:v>
      </x:c>
      <x:c r="B3741" s="380" t="n">
        <x:v>2035</x:v>
      </x:c>
      <x:c r="C3741" s="380" t="n">
        <x:v>3</x:v>
      </x:c>
      <x:c r="D3741" s="380" t="str">
        <x:v>Mar</x:v>
      </x:c>
      <x:c r="E3741" s="380" t="n">
        <x:v>24</x:v>
      </x:c>
      <x:c r="F3741" s="380" t="n">
        <x:v>6</x:v>
      </x:c>
      <x:c r="G3741" s="380" t="n">
        <x:f>--(F3741&lt;='Estimator'!$B$7)</x:f>
        <x:v>0</x:v>
      </x:c>
      <x:c r="H3741" s="381" t="n">
        <x:f>SUMIFS('Climate Data'!$G$7:$G$366,'Climate Data'!$A$7:$A$366,'Estimator'!$B$4,'Climate Data'!$B$7:$B$366,C3741)</x:f>
        <x:v>0.24916573971078979</x:v>
      </x:c>
      <x:c r="I3741" s="382" t="n">
        <x:f>SUMIFS('Climate Data'!$H$7:$H$366,'Climate Data'!$A$7:$A$366,'Estimator'!$B$4,'Climate Data'!$B$7:$B$366,C3741)</x:f>
        <x:v>9.709821428571429</x:v>
      </x:c>
      <x:c r="J3741" s="381" t="n">
        <x:f>SUMIFS('Wind Proxy'!$H$8:$H$19,'Wind Proxy'!$A$8:$A$19,'Estimator'!$B$4,'Wind Proxy'!$B$8:$B$19,C3741)</x:f>
        <x:v>0.11350059737156513</x:v>
      </x:c>
    </x:row>
    <x:row r="3742">
      <x:c r="A3742" s="379" t="n">
        <x:v>49393</x:v>
      </x:c>
      <x:c r="B3742" s="380" t="n">
        <x:v>2035</x:v>
      </x:c>
      <x:c r="C3742" s="380" t="n">
        <x:v>3</x:v>
      </x:c>
      <x:c r="D3742" s="380" t="str">
        <x:v>Mar</x:v>
      </x:c>
      <x:c r="E3742" s="380" t="n">
        <x:v>25</x:v>
      </x:c>
      <x:c r="F3742" s="380" t="n">
        <x:v>7</x:v>
      </x:c>
      <x:c r="G3742" s="380" t="n">
        <x:f>--(F3742&lt;='Estimator'!$B$7)</x:f>
        <x:v>0</x:v>
      </x:c>
      <x:c r="H3742" s="381" t="n">
        <x:f>SUMIFS('Climate Data'!$G$7:$G$366,'Climate Data'!$A$7:$A$366,'Estimator'!$B$4,'Climate Data'!$B$7:$B$366,C3742)</x:f>
        <x:v>0.24916573971078979</x:v>
      </x:c>
      <x:c r="I3742" s="382" t="n">
        <x:f>SUMIFS('Climate Data'!$H$7:$H$366,'Climate Data'!$A$7:$A$366,'Estimator'!$B$4,'Climate Data'!$B$7:$B$366,C3742)</x:f>
        <x:v>9.709821428571429</x:v>
      </x:c>
      <x:c r="J3742" s="381" t="n">
        <x:f>SUMIFS('Wind Proxy'!$H$8:$H$19,'Wind Proxy'!$A$8:$A$19,'Estimator'!$B$4,'Wind Proxy'!$B$8:$B$19,C3742)</x:f>
        <x:v>0.11350059737156513</x:v>
      </x:c>
    </x:row>
    <x:row r="3743">
      <x:c r="A3743" s="379" t="n">
        <x:v>49394</x:v>
      </x:c>
      <x:c r="B3743" s="380" t="n">
        <x:v>2035</x:v>
      </x:c>
      <x:c r="C3743" s="380" t="n">
        <x:v>3</x:v>
      </x:c>
      <x:c r="D3743" s="380" t="str">
        <x:v>Mar</x:v>
      </x:c>
      <x:c r="E3743" s="380" t="n">
        <x:v>26</x:v>
      </x:c>
      <x:c r="F3743" s="380" t="n">
        <x:v>1</x:v>
      </x:c>
      <x:c r="G3743" s="380" t="n">
        <x:f>--(F3743&lt;='Estimator'!$B$7)</x:f>
        <x:v>1</x:v>
      </x:c>
      <x:c r="H3743" s="381" t="n">
        <x:f>SUMIFS('Climate Data'!$G$7:$G$366,'Climate Data'!$A$7:$A$366,'Estimator'!$B$4,'Climate Data'!$B$7:$B$366,C3743)</x:f>
        <x:v>0.24916573971078979</x:v>
      </x:c>
      <x:c r="I3743" s="382" t="n">
        <x:f>SUMIFS('Climate Data'!$H$7:$H$366,'Climate Data'!$A$7:$A$366,'Estimator'!$B$4,'Climate Data'!$B$7:$B$366,C3743)</x:f>
        <x:v>9.709821428571429</x:v>
      </x:c>
      <x:c r="J3743" s="381" t="n">
        <x:f>SUMIFS('Wind Proxy'!$H$8:$H$19,'Wind Proxy'!$A$8:$A$19,'Estimator'!$B$4,'Wind Proxy'!$B$8:$B$19,C3743)</x:f>
        <x:v>0.11350059737156513</x:v>
      </x:c>
    </x:row>
    <x:row r="3744">
      <x:c r="A3744" s="379" t="n">
        <x:v>49395</x:v>
      </x:c>
      <x:c r="B3744" s="380" t="n">
        <x:v>2035</x:v>
      </x:c>
      <x:c r="C3744" s="380" t="n">
        <x:v>3</x:v>
      </x:c>
      <x:c r="D3744" s="380" t="str">
        <x:v>Mar</x:v>
      </x:c>
      <x:c r="E3744" s="380" t="n">
        <x:v>27</x:v>
      </x:c>
      <x:c r="F3744" s="380" t="n">
        <x:v>2</x:v>
      </x:c>
      <x:c r="G3744" s="380" t="n">
        <x:f>--(F3744&lt;='Estimator'!$B$7)</x:f>
        <x:v>1</x:v>
      </x:c>
      <x:c r="H3744" s="381" t="n">
        <x:f>SUMIFS('Climate Data'!$G$7:$G$366,'Climate Data'!$A$7:$A$366,'Estimator'!$B$4,'Climate Data'!$B$7:$B$366,C3744)</x:f>
        <x:v>0.24916573971078979</x:v>
      </x:c>
      <x:c r="I3744" s="382" t="n">
        <x:f>SUMIFS('Climate Data'!$H$7:$H$366,'Climate Data'!$A$7:$A$366,'Estimator'!$B$4,'Climate Data'!$B$7:$B$366,C3744)</x:f>
        <x:v>9.709821428571429</x:v>
      </x:c>
      <x:c r="J3744" s="381" t="n">
        <x:f>SUMIFS('Wind Proxy'!$H$8:$H$19,'Wind Proxy'!$A$8:$A$19,'Estimator'!$B$4,'Wind Proxy'!$B$8:$B$19,C3744)</x:f>
        <x:v>0.11350059737156513</x:v>
      </x:c>
    </x:row>
    <x:row r="3745">
      <x:c r="A3745" s="379" t="n">
        <x:v>49396</x:v>
      </x:c>
      <x:c r="B3745" s="380" t="n">
        <x:v>2035</x:v>
      </x:c>
      <x:c r="C3745" s="380" t="n">
        <x:v>3</x:v>
      </x:c>
      <x:c r="D3745" s="380" t="str">
        <x:v>Mar</x:v>
      </x:c>
      <x:c r="E3745" s="380" t="n">
        <x:v>28</x:v>
      </x:c>
      <x:c r="F3745" s="380" t="n">
        <x:v>3</x:v>
      </x:c>
      <x:c r="G3745" s="380" t="n">
        <x:f>--(F3745&lt;='Estimator'!$B$7)</x:f>
        <x:v>1</x:v>
      </x:c>
      <x:c r="H3745" s="381" t="n">
        <x:f>SUMIFS('Climate Data'!$G$7:$G$366,'Climate Data'!$A$7:$A$366,'Estimator'!$B$4,'Climate Data'!$B$7:$B$366,C3745)</x:f>
        <x:v>0.24916573971078979</x:v>
      </x:c>
      <x:c r="I3745" s="382" t="n">
        <x:f>SUMIFS('Climate Data'!$H$7:$H$366,'Climate Data'!$A$7:$A$366,'Estimator'!$B$4,'Climate Data'!$B$7:$B$366,C3745)</x:f>
        <x:v>9.709821428571429</x:v>
      </x:c>
      <x:c r="J3745" s="381" t="n">
        <x:f>SUMIFS('Wind Proxy'!$H$8:$H$19,'Wind Proxy'!$A$8:$A$19,'Estimator'!$B$4,'Wind Proxy'!$B$8:$B$19,C3745)</x:f>
        <x:v>0.11350059737156513</x:v>
      </x:c>
    </x:row>
    <x:row r="3746">
      <x:c r="A3746" s="379" t="n">
        <x:v>49397</x:v>
      </x:c>
      <x:c r="B3746" s="380" t="n">
        <x:v>2035</x:v>
      </x:c>
      <x:c r="C3746" s="380" t="n">
        <x:v>3</x:v>
      </x:c>
      <x:c r="D3746" s="380" t="str">
        <x:v>Mar</x:v>
      </x:c>
      <x:c r="E3746" s="380" t="n">
        <x:v>29</x:v>
      </x:c>
      <x:c r="F3746" s="380" t="n">
        <x:v>4</x:v>
      </x:c>
      <x:c r="G3746" s="380" t="n">
        <x:f>--(F3746&lt;='Estimator'!$B$7)</x:f>
        <x:v>1</x:v>
      </x:c>
      <x:c r="H3746" s="381" t="n">
        <x:f>SUMIFS('Climate Data'!$G$7:$G$366,'Climate Data'!$A$7:$A$366,'Estimator'!$B$4,'Climate Data'!$B$7:$B$366,C3746)</x:f>
        <x:v>0.24916573971078979</x:v>
      </x:c>
      <x:c r="I3746" s="382" t="n">
        <x:f>SUMIFS('Climate Data'!$H$7:$H$366,'Climate Data'!$A$7:$A$366,'Estimator'!$B$4,'Climate Data'!$B$7:$B$366,C3746)</x:f>
        <x:v>9.709821428571429</x:v>
      </x:c>
      <x:c r="J3746" s="381" t="n">
        <x:f>SUMIFS('Wind Proxy'!$H$8:$H$19,'Wind Proxy'!$A$8:$A$19,'Estimator'!$B$4,'Wind Proxy'!$B$8:$B$19,C3746)</x:f>
        <x:v>0.11350059737156513</x:v>
      </x:c>
    </x:row>
    <x:row r="3747">
      <x:c r="A3747" s="379" t="n">
        <x:v>49398</x:v>
      </x:c>
      <x:c r="B3747" s="380" t="n">
        <x:v>2035</x:v>
      </x:c>
      <x:c r="C3747" s="380" t="n">
        <x:v>3</x:v>
      </x:c>
      <x:c r="D3747" s="380" t="str">
        <x:v>Mar</x:v>
      </x:c>
      <x:c r="E3747" s="380" t="n">
        <x:v>30</x:v>
      </x:c>
      <x:c r="F3747" s="380" t="n">
        <x:v>5</x:v>
      </x:c>
      <x:c r="G3747" s="380" t="n">
        <x:f>--(F3747&lt;='Estimator'!$B$7)</x:f>
        <x:v>1</x:v>
      </x:c>
      <x:c r="H3747" s="381" t="n">
        <x:f>SUMIFS('Climate Data'!$G$7:$G$366,'Climate Data'!$A$7:$A$366,'Estimator'!$B$4,'Climate Data'!$B$7:$B$366,C3747)</x:f>
        <x:v>0.24916573971078979</x:v>
      </x:c>
      <x:c r="I3747" s="382" t="n">
        <x:f>SUMIFS('Climate Data'!$H$7:$H$366,'Climate Data'!$A$7:$A$366,'Estimator'!$B$4,'Climate Data'!$B$7:$B$366,C3747)</x:f>
        <x:v>9.709821428571429</x:v>
      </x:c>
      <x:c r="J3747" s="381" t="n">
        <x:f>SUMIFS('Wind Proxy'!$H$8:$H$19,'Wind Proxy'!$A$8:$A$19,'Estimator'!$B$4,'Wind Proxy'!$B$8:$B$19,C3747)</x:f>
        <x:v>0.11350059737156513</x:v>
      </x:c>
    </x:row>
    <x:row r="3748">
      <x:c r="A3748" s="379" t="n">
        <x:v>49399</x:v>
      </x:c>
      <x:c r="B3748" s="380" t="n">
        <x:v>2035</x:v>
      </x:c>
      <x:c r="C3748" s="380" t="n">
        <x:v>3</x:v>
      </x:c>
      <x:c r="D3748" s="380" t="str">
        <x:v>Mar</x:v>
      </x:c>
      <x:c r="E3748" s="380" t="n">
        <x:v>31</x:v>
      </x:c>
      <x:c r="F3748" s="380" t="n">
        <x:v>6</x:v>
      </x:c>
      <x:c r="G3748" s="380" t="n">
        <x:f>--(F3748&lt;='Estimator'!$B$7)</x:f>
        <x:v>0</x:v>
      </x:c>
      <x:c r="H3748" s="381" t="n">
        <x:f>SUMIFS('Climate Data'!$G$7:$G$366,'Climate Data'!$A$7:$A$366,'Estimator'!$B$4,'Climate Data'!$B$7:$B$366,C3748)</x:f>
        <x:v>0.24916573971078979</x:v>
      </x:c>
      <x:c r="I3748" s="382" t="n">
        <x:f>SUMIFS('Climate Data'!$H$7:$H$366,'Climate Data'!$A$7:$A$366,'Estimator'!$B$4,'Climate Data'!$B$7:$B$366,C3748)</x:f>
        <x:v>9.709821428571429</x:v>
      </x:c>
      <x:c r="J3748" s="381" t="n">
        <x:f>SUMIFS('Wind Proxy'!$H$8:$H$19,'Wind Proxy'!$A$8:$A$19,'Estimator'!$B$4,'Wind Proxy'!$B$8:$B$19,C3748)</x:f>
        <x:v>0.11350059737156513</x:v>
      </x:c>
    </x:row>
    <x:row r="3749">
      <x:c r="A3749" s="379" t="n">
        <x:v>49400</x:v>
      </x:c>
      <x:c r="B3749" s="380" t="n">
        <x:v>2035</x:v>
      </x:c>
      <x:c r="C3749" s="380" t="n">
        <x:v>4</x:v>
      </x:c>
      <x:c r="D3749" s="380" t="str">
        <x:v>Apr</x:v>
      </x:c>
      <x:c r="E3749" s="380" t="n">
        <x:v>1</x:v>
      </x:c>
      <x:c r="F3749" s="380" t="n">
        <x:v>7</x:v>
      </x:c>
      <x:c r="G3749" s="380" t="n">
        <x:f>--(F3749&lt;='Estimator'!$B$7)</x:f>
        <x:v>0</x:v>
      </x:c>
      <x:c r="H3749" s="381" t="n">
        <x:f>SUMIFS('Climate Data'!$G$7:$G$366,'Climate Data'!$A$7:$A$366,'Estimator'!$B$4,'Climate Data'!$B$7:$B$366,C3749)</x:f>
        <x:v>0.32023809523809527</x:v>
      </x:c>
      <x:c r="I3749" s="382" t="n">
        <x:f>SUMIFS('Climate Data'!$H$7:$H$366,'Climate Data'!$A$7:$A$366,'Estimator'!$B$4,'Climate Data'!$B$7:$B$366,C3749)</x:f>
        <x:v>9.066171003717471</x:v>
      </x:c>
      <x:c r="J3749" s="381" t="n">
        <x:f>SUMIFS('Wind Proxy'!$H$8:$H$19,'Wind Proxy'!$A$8:$A$19,'Estimator'!$B$4,'Wind Proxy'!$B$8:$B$19,C3749)</x:f>
        <x:v>0.11728395061728397</x:v>
      </x:c>
    </x:row>
    <x:row r="3750">
      <x:c r="A3750" s="379" t="n">
        <x:v>49401</x:v>
      </x:c>
      <x:c r="B3750" s="380" t="n">
        <x:v>2035</x:v>
      </x:c>
      <x:c r="C3750" s="380" t="n">
        <x:v>4</x:v>
      </x:c>
      <x:c r="D3750" s="380" t="str">
        <x:v>Apr</x:v>
      </x:c>
      <x:c r="E3750" s="380" t="n">
        <x:v>2</x:v>
      </x:c>
      <x:c r="F3750" s="380" t="n">
        <x:v>1</x:v>
      </x:c>
      <x:c r="G3750" s="380" t="n">
        <x:f>--(F3750&lt;='Estimator'!$B$7)</x:f>
        <x:v>1</x:v>
      </x:c>
      <x:c r="H3750" s="381" t="n">
        <x:f>SUMIFS('Climate Data'!$G$7:$G$366,'Climate Data'!$A$7:$A$366,'Estimator'!$B$4,'Climate Data'!$B$7:$B$366,C3750)</x:f>
        <x:v>0.32023809523809527</x:v>
      </x:c>
      <x:c r="I3750" s="382" t="n">
        <x:f>SUMIFS('Climate Data'!$H$7:$H$366,'Climate Data'!$A$7:$A$366,'Estimator'!$B$4,'Climate Data'!$B$7:$B$366,C3750)</x:f>
        <x:v>9.066171003717471</x:v>
      </x:c>
      <x:c r="J3750" s="381" t="n">
        <x:f>SUMIFS('Wind Proxy'!$H$8:$H$19,'Wind Proxy'!$A$8:$A$19,'Estimator'!$B$4,'Wind Proxy'!$B$8:$B$19,C3750)</x:f>
        <x:v>0.11728395061728397</x:v>
      </x:c>
    </x:row>
    <x:row r="3751">
      <x:c r="A3751" s="379" t="n">
        <x:v>49402</x:v>
      </x:c>
      <x:c r="B3751" s="380" t="n">
        <x:v>2035</x:v>
      </x:c>
      <x:c r="C3751" s="380" t="n">
        <x:v>4</x:v>
      </x:c>
      <x:c r="D3751" s="380" t="str">
        <x:v>Apr</x:v>
      </x:c>
      <x:c r="E3751" s="380" t="n">
        <x:v>3</x:v>
      </x:c>
      <x:c r="F3751" s="380" t="n">
        <x:v>2</x:v>
      </x:c>
      <x:c r="G3751" s="380" t="n">
        <x:f>--(F3751&lt;='Estimator'!$B$7)</x:f>
        <x:v>1</x:v>
      </x:c>
      <x:c r="H3751" s="381" t="n">
        <x:f>SUMIFS('Climate Data'!$G$7:$G$366,'Climate Data'!$A$7:$A$366,'Estimator'!$B$4,'Climate Data'!$B$7:$B$366,C3751)</x:f>
        <x:v>0.32023809523809527</x:v>
      </x:c>
      <x:c r="I3751" s="382" t="n">
        <x:f>SUMIFS('Climate Data'!$H$7:$H$366,'Climate Data'!$A$7:$A$366,'Estimator'!$B$4,'Climate Data'!$B$7:$B$366,C3751)</x:f>
        <x:v>9.066171003717471</x:v>
      </x:c>
      <x:c r="J3751" s="381" t="n">
        <x:f>SUMIFS('Wind Proxy'!$H$8:$H$19,'Wind Proxy'!$A$8:$A$19,'Estimator'!$B$4,'Wind Proxy'!$B$8:$B$19,C3751)</x:f>
        <x:v>0.11728395061728397</x:v>
      </x:c>
    </x:row>
    <x:row r="3752">
      <x:c r="A3752" s="379" t="n">
        <x:v>49403</x:v>
      </x:c>
      <x:c r="B3752" s="380" t="n">
        <x:v>2035</x:v>
      </x:c>
      <x:c r="C3752" s="380" t="n">
        <x:v>4</x:v>
      </x:c>
      <x:c r="D3752" s="380" t="str">
        <x:v>Apr</x:v>
      </x:c>
      <x:c r="E3752" s="380" t="n">
        <x:v>4</x:v>
      </x:c>
      <x:c r="F3752" s="380" t="n">
        <x:v>3</x:v>
      </x:c>
      <x:c r="G3752" s="380" t="n">
        <x:f>--(F3752&lt;='Estimator'!$B$7)</x:f>
        <x:v>1</x:v>
      </x:c>
      <x:c r="H3752" s="381" t="n">
        <x:f>SUMIFS('Climate Data'!$G$7:$G$366,'Climate Data'!$A$7:$A$366,'Estimator'!$B$4,'Climate Data'!$B$7:$B$366,C3752)</x:f>
        <x:v>0.32023809523809527</x:v>
      </x:c>
      <x:c r="I3752" s="382" t="n">
        <x:f>SUMIFS('Climate Data'!$H$7:$H$366,'Climate Data'!$A$7:$A$366,'Estimator'!$B$4,'Climate Data'!$B$7:$B$366,C3752)</x:f>
        <x:v>9.066171003717471</x:v>
      </x:c>
      <x:c r="J3752" s="381" t="n">
        <x:f>SUMIFS('Wind Proxy'!$H$8:$H$19,'Wind Proxy'!$A$8:$A$19,'Estimator'!$B$4,'Wind Proxy'!$B$8:$B$19,C3752)</x:f>
        <x:v>0.11728395061728397</x:v>
      </x:c>
    </x:row>
    <x:row r="3753">
      <x:c r="A3753" s="379" t="n">
        <x:v>49404</x:v>
      </x:c>
      <x:c r="B3753" s="380" t="n">
        <x:v>2035</x:v>
      </x:c>
      <x:c r="C3753" s="380" t="n">
        <x:v>4</x:v>
      </x:c>
      <x:c r="D3753" s="380" t="str">
        <x:v>Apr</x:v>
      </x:c>
      <x:c r="E3753" s="380" t="n">
        <x:v>5</x:v>
      </x:c>
      <x:c r="F3753" s="380" t="n">
        <x:v>4</x:v>
      </x:c>
      <x:c r="G3753" s="380" t="n">
        <x:f>--(F3753&lt;='Estimator'!$B$7)</x:f>
        <x:v>1</x:v>
      </x:c>
      <x:c r="H3753" s="381" t="n">
        <x:f>SUMIFS('Climate Data'!$G$7:$G$366,'Climate Data'!$A$7:$A$366,'Estimator'!$B$4,'Climate Data'!$B$7:$B$366,C3753)</x:f>
        <x:v>0.32023809523809527</x:v>
      </x:c>
      <x:c r="I3753" s="382" t="n">
        <x:f>SUMIFS('Climate Data'!$H$7:$H$366,'Climate Data'!$A$7:$A$366,'Estimator'!$B$4,'Climate Data'!$B$7:$B$366,C3753)</x:f>
        <x:v>9.066171003717471</x:v>
      </x:c>
      <x:c r="J3753" s="381" t="n">
        <x:f>SUMIFS('Wind Proxy'!$H$8:$H$19,'Wind Proxy'!$A$8:$A$19,'Estimator'!$B$4,'Wind Proxy'!$B$8:$B$19,C3753)</x:f>
        <x:v>0.11728395061728397</x:v>
      </x:c>
    </x:row>
    <x:row r="3754">
      <x:c r="A3754" s="379" t="n">
        <x:v>49405</x:v>
      </x:c>
      <x:c r="B3754" s="380" t="n">
        <x:v>2035</x:v>
      </x:c>
      <x:c r="C3754" s="380" t="n">
        <x:v>4</x:v>
      </x:c>
      <x:c r="D3754" s="380" t="str">
        <x:v>Apr</x:v>
      </x:c>
      <x:c r="E3754" s="380" t="n">
        <x:v>6</x:v>
      </x:c>
      <x:c r="F3754" s="380" t="n">
        <x:v>5</x:v>
      </x:c>
      <x:c r="G3754" s="380" t="n">
        <x:f>--(F3754&lt;='Estimator'!$B$7)</x:f>
        <x:v>1</x:v>
      </x:c>
      <x:c r="H3754" s="381" t="n">
        <x:f>SUMIFS('Climate Data'!$G$7:$G$366,'Climate Data'!$A$7:$A$366,'Estimator'!$B$4,'Climate Data'!$B$7:$B$366,C3754)</x:f>
        <x:v>0.32023809523809527</x:v>
      </x:c>
      <x:c r="I3754" s="382" t="n">
        <x:f>SUMIFS('Climate Data'!$H$7:$H$366,'Climate Data'!$A$7:$A$366,'Estimator'!$B$4,'Climate Data'!$B$7:$B$366,C3754)</x:f>
        <x:v>9.066171003717471</x:v>
      </x:c>
      <x:c r="J3754" s="381" t="n">
        <x:f>SUMIFS('Wind Proxy'!$H$8:$H$19,'Wind Proxy'!$A$8:$A$19,'Estimator'!$B$4,'Wind Proxy'!$B$8:$B$19,C3754)</x:f>
        <x:v>0.11728395061728397</x:v>
      </x:c>
    </x:row>
    <x:row r="3755">
      <x:c r="A3755" s="379" t="n">
        <x:v>49406</x:v>
      </x:c>
      <x:c r="B3755" s="380" t="n">
        <x:v>2035</x:v>
      </x:c>
      <x:c r="C3755" s="380" t="n">
        <x:v>4</x:v>
      </x:c>
      <x:c r="D3755" s="380" t="str">
        <x:v>Apr</x:v>
      </x:c>
      <x:c r="E3755" s="380" t="n">
        <x:v>7</x:v>
      </x:c>
      <x:c r="F3755" s="380" t="n">
        <x:v>6</x:v>
      </x:c>
      <x:c r="G3755" s="380" t="n">
        <x:f>--(F3755&lt;='Estimator'!$B$7)</x:f>
        <x:v>0</x:v>
      </x:c>
      <x:c r="H3755" s="381" t="n">
        <x:f>SUMIFS('Climate Data'!$G$7:$G$366,'Climate Data'!$A$7:$A$366,'Estimator'!$B$4,'Climate Data'!$B$7:$B$366,C3755)</x:f>
        <x:v>0.32023809523809527</x:v>
      </x:c>
      <x:c r="I3755" s="382" t="n">
        <x:f>SUMIFS('Climate Data'!$H$7:$H$366,'Climate Data'!$A$7:$A$366,'Estimator'!$B$4,'Climate Data'!$B$7:$B$366,C3755)</x:f>
        <x:v>9.066171003717471</x:v>
      </x:c>
      <x:c r="J3755" s="381" t="n">
        <x:f>SUMIFS('Wind Proxy'!$H$8:$H$19,'Wind Proxy'!$A$8:$A$19,'Estimator'!$B$4,'Wind Proxy'!$B$8:$B$19,C3755)</x:f>
        <x:v>0.11728395061728397</x:v>
      </x:c>
    </x:row>
    <x:row r="3756">
      <x:c r="A3756" s="379" t="n">
        <x:v>49407</x:v>
      </x:c>
      <x:c r="B3756" s="380" t="n">
        <x:v>2035</x:v>
      </x:c>
      <x:c r="C3756" s="380" t="n">
        <x:v>4</x:v>
      </x:c>
      <x:c r="D3756" s="380" t="str">
        <x:v>Apr</x:v>
      </x:c>
      <x:c r="E3756" s="380" t="n">
        <x:v>8</x:v>
      </x:c>
      <x:c r="F3756" s="380" t="n">
        <x:v>7</x:v>
      </x:c>
      <x:c r="G3756" s="380" t="n">
        <x:f>--(F3756&lt;='Estimator'!$B$7)</x:f>
        <x:v>0</x:v>
      </x:c>
      <x:c r="H3756" s="381" t="n">
        <x:f>SUMIFS('Climate Data'!$G$7:$G$366,'Climate Data'!$A$7:$A$366,'Estimator'!$B$4,'Climate Data'!$B$7:$B$366,C3756)</x:f>
        <x:v>0.32023809523809527</x:v>
      </x:c>
      <x:c r="I3756" s="382" t="n">
        <x:f>SUMIFS('Climate Data'!$H$7:$H$366,'Climate Data'!$A$7:$A$366,'Estimator'!$B$4,'Climate Data'!$B$7:$B$366,C3756)</x:f>
        <x:v>9.066171003717471</x:v>
      </x:c>
      <x:c r="J3756" s="381" t="n">
        <x:f>SUMIFS('Wind Proxy'!$H$8:$H$19,'Wind Proxy'!$A$8:$A$19,'Estimator'!$B$4,'Wind Proxy'!$B$8:$B$19,C3756)</x:f>
        <x:v>0.11728395061728397</x:v>
      </x:c>
    </x:row>
    <x:row r="3757">
      <x:c r="A3757" s="379" t="n">
        <x:v>49408</x:v>
      </x:c>
      <x:c r="B3757" s="380" t="n">
        <x:v>2035</x:v>
      </x:c>
      <x:c r="C3757" s="380" t="n">
        <x:v>4</x:v>
      </x:c>
      <x:c r="D3757" s="380" t="str">
        <x:v>Apr</x:v>
      </x:c>
      <x:c r="E3757" s="380" t="n">
        <x:v>9</x:v>
      </x:c>
      <x:c r="F3757" s="380" t="n">
        <x:v>1</x:v>
      </x:c>
      <x:c r="G3757" s="380" t="n">
        <x:f>--(F3757&lt;='Estimator'!$B$7)</x:f>
        <x:v>1</x:v>
      </x:c>
      <x:c r="H3757" s="381" t="n">
        <x:f>SUMIFS('Climate Data'!$G$7:$G$366,'Climate Data'!$A$7:$A$366,'Estimator'!$B$4,'Climate Data'!$B$7:$B$366,C3757)</x:f>
        <x:v>0.32023809523809527</x:v>
      </x:c>
      <x:c r="I3757" s="382" t="n">
        <x:f>SUMIFS('Climate Data'!$H$7:$H$366,'Climate Data'!$A$7:$A$366,'Estimator'!$B$4,'Climate Data'!$B$7:$B$366,C3757)</x:f>
        <x:v>9.066171003717471</x:v>
      </x:c>
      <x:c r="J3757" s="381" t="n">
        <x:f>SUMIFS('Wind Proxy'!$H$8:$H$19,'Wind Proxy'!$A$8:$A$19,'Estimator'!$B$4,'Wind Proxy'!$B$8:$B$19,C3757)</x:f>
        <x:v>0.11728395061728397</x:v>
      </x:c>
    </x:row>
    <x:row r="3758">
      <x:c r="A3758" s="379" t="n">
        <x:v>49409</x:v>
      </x:c>
      <x:c r="B3758" s="380" t="n">
        <x:v>2035</x:v>
      </x:c>
      <x:c r="C3758" s="380" t="n">
        <x:v>4</x:v>
      </x:c>
      <x:c r="D3758" s="380" t="str">
        <x:v>Apr</x:v>
      </x:c>
      <x:c r="E3758" s="380" t="n">
        <x:v>10</x:v>
      </x:c>
      <x:c r="F3758" s="380" t="n">
        <x:v>2</x:v>
      </x:c>
      <x:c r="G3758" s="380" t="n">
        <x:f>--(F3758&lt;='Estimator'!$B$7)</x:f>
        <x:v>1</x:v>
      </x:c>
      <x:c r="H3758" s="381" t="n">
        <x:f>SUMIFS('Climate Data'!$G$7:$G$366,'Climate Data'!$A$7:$A$366,'Estimator'!$B$4,'Climate Data'!$B$7:$B$366,C3758)</x:f>
        <x:v>0.32023809523809527</x:v>
      </x:c>
      <x:c r="I3758" s="382" t="n">
        <x:f>SUMIFS('Climate Data'!$H$7:$H$366,'Climate Data'!$A$7:$A$366,'Estimator'!$B$4,'Climate Data'!$B$7:$B$366,C3758)</x:f>
        <x:v>9.066171003717471</x:v>
      </x:c>
      <x:c r="J3758" s="381" t="n">
        <x:f>SUMIFS('Wind Proxy'!$H$8:$H$19,'Wind Proxy'!$A$8:$A$19,'Estimator'!$B$4,'Wind Proxy'!$B$8:$B$19,C3758)</x:f>
        <x:v>0.11728395061728397</x:v>
      </x:c>
    </x:row>
    <x:row r="3759">
      <x:c r="A3759" s="379" t="n">
        <x:v>49410</x:v>
      </x:c>
      <x:c r="B3759" s="380" t="n">
        <x:v>2035</x:v>
      </x:c>
      <x:c r="C3759" s="380" t="n">
        <x:v>4</x:v>
      </x:c>
      <x:c r="D3759" s="380" t="str">
        <x:v>Apr</x:v>
      </x:c>
      <x:c r="E3759" s="380" t="n">
        <x:v>11</x:v>
      </x:c>
      <x:c r="F3759" s="380" t="n">
        <x:v>3</x:v>
      </x:c>
      <x:c r="G3759" s="380" t="n">
        <x:f>--(F3759&lt;='Estimator'!$B$7)</x:f>
        <x:v>1</x:v>
      </x:c>
      <x:c r="H3759" s="381" t="n">
        <x:f>SUMIFS('Climate Data'!$G$7:$G$366,'Climate Data'!$A$7:$A$366,'Estimator'!$B$4,'Climate Data'!$B$7:$B$366,C3759)</x:f>
        <x:v>0.32023809523809527</x:v>
      </x:c>
      <x:c r="I3759" s="382" t="n">
        <x:f>SUMIFS('Climate Data'!$H$7:$H$366,'Climate Data'!$A$7:$A$366,'Estimator'!$B$4,'Climate Data'!$B$7:$B$366,C3759)</x:f>
        <x:v>9.066171003717471</x:v>
      </x:c>
      <x:c r="J3759" s="381" t="n">
        <x:f>SUMIFS('Wind Proxy'!$H$8:$H$19,'Wind Proxy'!$A$8:$A$19,'Estimator'!$B$4,'Wind Proxy'!$B$8:$B$19,C3759)</x:f>
        <x:v>0.11728395061728397</x:v>
      </x:c>
    </x:row>
    <x:row r="3760">
      <x:c r="A3760" s="379" t="n">
        <x:v>49411</x:v>
      </x:c>
      <x:c r="B3760" s="380" t="n">
        <x:v>2035</x:v>
      </x:c>
      <x:c r="C3760" s="380" t="n">
        <x:v>4</x:v>
      </x:c>
      <x:c r="D3760" s="380" t="str">
        <x:v>Apr</x:v>
      </x:c>
      <x:c r="E3760" s="380" t="n">
        <x:v>12</x:v>
      </x:c>
      <x:c r="F3760" s="380" t="n">
        <x:v>4</x:v>
      </x:c>
      <x:c r="G3760" s="380" t="n">
        <x:f>--(F3760&lt;='Estimator'!$B$7)</x:f>
        <x:v>1</x:v>
      </x:c>
      <x:c r="H3760" s="381" t="n">
        <x:f>SUMIFS('Climate Data'!$G$7:$G$366,'Climate Data'!$A$7:$A$366,'Estimator'!$B$4,'Climate Data'!$B$7:$B$366,C3760)</x:f>
        <x:v>0.32023809523809527</x:v>
      </x:c>
      <x:c r="I3760" s="382" t="n">
        <x:f>SUMIFS('Climate Data'!$H$7:$H$366,'Climate Data'!$A$7:$A$366,'Estimator'!$B$4,'Climate Data'!$B$7:$B$366,C3760)</x:f>
        <x:v>9.066171003717471</x:v>
      </x:c>
      <x:c r="J3760" s="381" t="n">
        <x:f>SUMIFS('Wind Proxy'!$H$8:$H$19,'Wind Proxy'!$A$8:$A$19,'Estimator'!$B$4,'Wind Proxy'!$B$8:$B$19,C3760)</x:f>
        <x:v>0.11728395061728397</x:v>
      </x:c>
    </x:row>
    <x:row r="3761">
      <x:c r="A3761" s="379" t="n">
        <x:v>49412</x:v>
      </x:c>
      <x:c r="B3761" s="380" t="n">
        <x:v>2035</x:v>
      </x:c>
      <x:c r="C3761" s="380" t="n">
        <x:v>4</x:v>
      </x:c>
      <x:c r="D3761" s="380" t="str">
        <x:v>Apr</x:v>
      </x:c>
      <x:c r="E3761" s="380" t="n">
        <x:v>13</x:v>
      </x:c>
      <x:c r="F3761" s="380" t="n">
        <x:v>5</x:v>
      </x:c>
      <x:c r="G3761" s="380" t="n">
        <x:f>--(F3761&lt;='Estimator'!$B$7)</x:f>
        <x:v>1</x:v>
      </x:c>
      <x:c r="H3761" s="381" t="n">
        <x:f>SUMIFS('Climate Data'!$G$7:$G$366,'Climate Data'!$A$7:$A$366,'Estimator'!$B$4,'Climate Data'!$B$7:$B$366,C3761)</x:f>
        <x:v>0.32023809523809527</x:v>
      </x:c>
      <x:c r="I3761" s="382" t="n">
        <x:f>SUMIFS('Climate Data'!$H$7:$H$366,'Climate Data'!$A$7:$A$366,'Estimator'!$B$4,'Climate Data'!$B$7:$B$366,C3761)</x:f>
        <x:v>9.066171003717471</x:v>
      </x:c>
      <x:c r="J3761" s="381" t="n">
        <x:f>SUMIFS('Wind Proxy'!$H$8:$H$19,'Wind Proxy'!$A$8:$A$19,'Estimator'!$B$4,'Wind Proxy'!$B$8:$B$19,C3761)</x:f>
        <x:v>0.11728395061728397</x:v>
      </x:c>
    </x:row>
    <x:row r="3762">
      <x:c r="A3762" s="379" t="n">
        <x:v>49413</x:v>
      </x:c>
      <x:c r="B3762" s="380" t="n">
        <x:v>2035</x:v>
      </x:c>
      <x:c r="C3762" s="380" t="n">
        <x:v>4</x:v>
      </x:c>
      <x:c r="D3762" s="380" t="str">
        <x:v>Apr</x:v>
      </x:c>
      <x:c r="E3762" s="380" t="n">
        <x:v>14</x:v>
      </x:c>
      <x:c r="F3762" s="380" t="n">
        <x:v>6</x:v>
      </x:c>
      <x:c r="G3762" s="380" t="n">
        <x:f>--(F3762&lt;='Estimator'!$B$7)</x:f>
        <x:v>0</x:v>
      </x:c>
      <x:c r="H3762" s="381" t="n">
        <x:f>SUMIFS('Climate Data'!$G$7:$G$366,'Climate Data'!$A$7:$A$366,'Estimator'!$B$4,'Climate Data'!$B$7:$B$366,C3762)</x:f>
        <x:v>0.32023809523809527</x:v>
      </x:c>
      <x:c r="I3762" s="382" t="n">
        <x:f>SUMIFS('Climate Data'!$H$7:$H$366,'Climate Data'!$A$7:$A$366,'Estimator'!$B$4,'Climate Data'!$B$7:$B$366,C3762)</x:f>
        <x:v>9.066171003717471</x:v>
      </x:c>
      <x:c r="J3762" s="381" t="n">
        <x:f>SUMIFS('Wind Proxy'!$H$8:$H$19,'Wind Proxy'!$A$8:$A$19,'Estimator'!$B$4,'Wind Proxy'!$B$8:$B$19,C3762)</x:f>
        <x:v>0.11728395061728397</x:v>
      </x:c>
    </x:row>
    <x:row r="3763">
      <x:c r="A3763" s="379" t="n">
        <x:v>49414</x:v>
      </x:c>
      <x:c r="B3763" s="380" t="n">
        <x:v>2035</x:v>
      </x:c>
      <x:c r="C3763" s="380" t="n">
        <x:v>4</x:v>
      </x:c>
      <x:c r="D3763" s="380" t="str">
        <x:v>Apr</x:v>
      </x:c>
      <x:c r="E3763" s="380" t="n">
        <x:v>15</x:v>
      </x:c>
      <x:c r="F3763" s="380" t="n">
        <x:v>7</x:v>
      </x:c>
      <x:c r="G3763" s="380" t="n">
        <x:f>--(F3763&lt;='Estimator'!$B$7)</x:f>
        <x:v>0</x:v>
      </x:c>
      <x:c r="H3763" s="381" t="n">
        <x:f>SUMIFS('Climate Data'!$G$7:$G$366,'Climate Data'!$A$7:$A$366,'Estimator'!$B$4,'Climate Data'!$B$7:$B$366,C3763)</x:f>
        <x:v>0.32023809523809527</x:v>
      </x:c>
      <x:c r="I3763" s="382" t="n">
        <x:f>SUMIFS('Climate Data'!$H$7:$H$366,'Climate Data'!$A$7:$A$366,'Estimator'!$B$4,'Climate Data'!$B$7:$B$366,C3763)</x:f>
        <x:v>9.066171003717471</x:v>
      </x:c>
      <x:c r="J3763" s="381" t="n">
        <x:f>SUMIFS('Wind Proxy'!$H$8:$H$19,'Wind Proxy'!$A$8:$A$19,'Estimator'!$B$4,'Wind Proxy'!$B$8:$B$19,C3763)</x:f>
        <x:v>0.11728395061728397</x:v>
      </x:c>
    </x:row>
    <x:row r="3764">
      <x:c r="A3764" s="379" t="n">
        <x:v>49415</x:v>
      </x:c>
      <x:c r="B3764" s="380" t="n">
        <x:v>2035</x:v>
      </x:c>
      <x:c r="C3764" s="380" t="n">
        <x:v>4</x:v>
      </x:c>
      <x:c r="D3764" s="380" t="str">
        <x:v>Apr</x:v>
      </x:c>
      <x:c r="E3764" s="380" t="n">
        <x:v>16</x:v>
      </x:c>
      <x:c r="F3764" s="380" t="n">
        <x:v>1</x:v>
      </x:c>
      <x:c r="G3764" s="380" t="n">
        <x:f>--(F3764&lt;='Estimator'!$B$7)</x:f>
        <x:v>1</x:v>
      </x:c>
      <x:c r="H3764" s="381" t="n">
        <x:f>SUMIFS('Climate Data'!$G$7:$G$366,'Climate Data'!$A$7:$A$366,'Estimator'!$B$4,'Climate Data'!$B$7:$B$366,C3764)</x:f>
        <x:v>0.32023809523809527</x:v>
      </x:c>
      <x:c r="I3764" s="382" t="n">
        <x:f>SUMIFS('Climate Data'!$H$7:$H$366,'Climate Data'!$A$7:$A$366,'Estimator'!$B$4,'Climate Data'!$B$7:$B$366,C3764)</x:f>
        <x:v>9.066171003717471</x:v>
      </x:c>
      <x:c r="J3764" s="381" t="n">
        <x:f>SUMIFS('Wind Proxy'!$H$8:$H$19,'Wind Proxy'!$A$8:$A$19,'Estimator'!$B$4,'Wind Proxy'!$B$8:$B$19,C3764)</x:f>
        <x:v>0.11728395061728397</x:v>
      </x:c>
    </x:row>
    <x:row r="3765">
      <x:c r="A3765" s="379" t="n">
        <x:v>49416</x:v>
      </x:c>
      <x:c r="B3765" s="380" t="n">
        <x:v>2035</x:v>
      </x:c>
      <x:c r="C3765" s="380" t="n">
        <x:v>4</x:v>
      </x:c>
      <x:c r="D3765" s="380" t="str">
        <x:v>Apr</x:v>
      </x:c>
      <x:c r="E3765" s="380" t="n">
        <x:v>17</x:v>
      </x:c>
      <x:c r="F3765" s="380" t="n">
        <x:v>2</x:v>
      </x:c>
      <x:c r="G3765" s="380" t="n">
        <x:f>--(F3765&lt;='Estimator'!$B$7)</x:f>
        <x:v>1</x:v>
      </x:c>
      <x:c r="H3765" s="381" t="n">
        <x:f>SUMIFS('Climate Data'!$G$7:$G$366,'Climate Data'!$A$7:$A$366,'Estimator'!$B$4,'Climate Data'!$B$7:$B$366,C3765)</x:f>
        <x:v>0.32023809523809527</x:v>
      </x:c>
      <x:c r="I3765" s="382" t="n">
        <x:f>SUMIFS('Climate Data'!$H$7:$H$366,'Climate Data'!$A$7:$A$366,'Estimator'!$B$4,'Climate Data'!$B$7:$B$366,C3765)</x:f>
        <x:v>9.066171003717471</x:v>
      </x:c>
      <x:c r="J3765" s="381" t="n">
        <x:f>SUMIFS('Wind Proxy'!$H$8:$H$19,'Wind Proxy'!$A$8:$A$19,'Estimator'!$B$4,'Wind Proxy'!$B$8:$B$19,C3765)</x:f>
        <x:v>0.11728395061728397</x:v>
      </x:c>
    </x:row>
    <x:row r="3766">
      <x:c r="A3766" s="379" t="n">
        <x:v>49417</x:v>
      </x:c>
      <x:c r="B3766" s="380" t="n">
        <x:v>2035</x:v>
      </x:c>
      <x:c r="C3766" s="380" t="n">
        <x:v>4</x:v>
      </x:c>
      <x:c r="D3766" s="380" t="str">
        <x:v>Apr</x:v>
      </x:c>
      <x:c r="E3766" s="380" t="n">
        <x:v>18</x:v>
      </x:c>
      <x:c r="F3766" s="380" t="n">
        <x:v>3</x:v>
      </x:c>
      <x:c r="G3766" s="380" t="n">
        <x:f>--(F3766&lt;='Estimator'!$B$7)</x:f>
        <x:v>1</x:v>
      </x:c>
      <x:c r="H3766" s="381" t="n">
        <x:f>SUMIFS('Climate Data'!$G$7:$G$366,'Climate Data'!$A$7:$A$366,'Estimator'!$B$4,'Climate Data'!$B$7:$B$366,C3766)</x:f>
        <x:v>0.32023809523809527</x:v>
      </x:c>
      <x:c r="I3766" s="382" t="n">
        <x:f>SUMIFS('Climate Data'!$H$7:$H$366,'Climate Data'!$A$7:$A$366,'Estimator'!$B$4,'Climate Data'!$B$7:$B$366,C3766)</x:f>
        <x:v>9.066171003717471</x:v>
      </x:c>
      <x:c r="J3766" s="381" t="n">
        <x:f>SUMIFS('Wind Proxy'!$H$8:$H$19,'Wind Proxy'!$A$8:$A$19,'Estimator'!$B$4,'Wind Proxy'!$B$8:$B$19,C3766)</x:f>
        <x:v>0.11728395061728397</x:v>
      </x:c>
    </x:row>
    <x:row r="3767">
      <x:c r="A3767" s="379" t="n">
        <x:v>49418</x:v>
      </x:c>
      <x:c r="B3767" s="380" t="n">
        <x:v>2035</x:v>
      </x:c>
      <x:c r="C3767" s="380" t="n">
        <x:v>4</x:v>
      </x:c>
      <x:c r="D3767" s="380" t="str">
        <x:v>Apr</x:v>
      </x:c>
      <x:c r="E3767" s="380" t="n">
        <x:v>19</x:v>
      </x:c>
      <x:c r="F3767" s="380" t="n">
        <x:v>4</x:v>
      </x:c>
      <x:c r="G3767" s="380" t="n">
        <x:f>--(F3767&lt;='Estimator'!$B$7)</x:f>
        <x:v>1</x:v>
      </x:c>
      <x:c r="H3767" s="381" t="n">
        <x:f>SUMIFS('Climate Data'!$G$7:$G$366,'Climate Data'!$A$7:$A$366,'Estimator'!$B$4,'Climate Data'!$B$7:$B$366,C3767)</x:f>
        <x:v>0.32023809523809527</x:v>
      </x:c>
      <x:c r="I3767" s="382" t="n">
        <x:f>SUMIFS('Climate Data'!$H$7:$H$366,'Climate Data'!$A$7:$A$366,'Estimator'!$B$4,'Climate Data'!$B$7:$B$366,C3767)</x:f>
        <x:v>9.066171003717471</x:v>
      </x:c>
      <x:c r="J3767" s="381" t="n">
        <x:f>SUMIFS('Wind Proxy'!$H$8:$H$19,'Wind Proxy'!$A$8:$A$19,'Estimator'!$B$4,'Wind Proxy'!$B$8:$B$19,C3767)</x:f>
        <x:v>0.11728395061728397</x:v>
      </x:c>
    </x:row>
    <x:row r="3768">
      <x:c r="A3768" s="379" t="n">
        <x:v>49419</x:v>
      </x:c>
      <x:c r="B3768" s="380" t="n">
        <x:v>2035</x:v>
      </x:c>
      <x:c r="C3768" s="380" t="n">
        <x:v>4</x:v>
      </x:c>
      <x:c r="D3768" s="380" t="str">
        <x:v>Apr</x:v>
      </x:c>
      <x:c r="E3768" s="380" t="n">
        <x:v>20</x:v>
      </x:c>
      <x:c r="F3768" s="380" t="n">
        <x:v>5</x:v>
      </x:c>
      <x:c r="G3768" s="380" t="n">
        <x:f>--(F3768&lt;='Estimator'!$B$7)</x:f>
        <x:v>1</x:v>
      </x:c>
      <x:c r="H3768" s="381" t="n">
        <x:f>SUMIFS('Climate Data'!$G$7:$G$366,'Climate Data'!$A$7:$A$366,'Estimator'!$B$4,'Climate Data'!$B$7:$B$366,C3768)</x:f>
        <x:v>0.32023809523809527</x:v>
      </x:c>
      <x:c r="I3768" s="382" t="n">
        <x:f>SUMIFS('Climate Data'!$H$7:$H$366,'Climate Data'!$A$7:$A$366,'Estimator'!$B$4,'Climate Data'!$B$7:$B$366,C3768)</x:f>
        <x:v>9.066171003717471</x:v>
      </x:c>
      <x:c r="J3768" s="381" t="n">
        <x:f>SUMIFS('Wind Proxy'!$H$8:$H$19,'Wind Proxy'!$A$8:$A$19,'Estimator'!$B$4,'Wind Proxy'!$B$8:$B$19,C3768)</x:f>
        <x:v>0.11728395061728397</x:v>
      </x:c>
    </x:row>
    <x:row r="3769">
      <x:c r="A3769" s="379" t="n">
        <x:v>49420</x:v>
      </x:c>
      <x:c r="B3769" s="380" t="n">
        <x:v>2035</x:v>
      </x:c>
      <x:c r="C3769" s="380" t="n">
        <x:v>4</x:v>
      </x:c>
      <x:c r="D3769" s="380" t="str">
        <x:v>Apr</x:v>
      </x:c>
      <x:c r="E3769" s="380" t="n">
        <x:v>21</x:v>
      </x:c>
      <x:c r="F3769" s="380" t="n">
        <x:v>6</x:v>
      </x:c>
      <x:c r="G3769" s="380" t="n">
        <x:f>--(F3769&lt;='Estimator'!$B$7)</x:f>
        <x:v>0</x:v>
      </x:c>
      <x:c r="H3769" s="381" t="n">
        <x:f>SUMIFS('Climate Data'!$G$7:$G$366,'Climate Data'!$A$7:$A$366,'Estimator'!$B$4,'Climate Data'!$B$7:$B$366,C3769)</x:f>
        <x:v>0.32023809523809527</x:v>
      </x:c>
      <x:c r="I3769" s="382" t="n">
        <x:f>SUMIFS('Climate Data'!$H$7:$H$366,'Climate Data'!$A$7:$A$366,'Estimator'!$B$4,'Climate Data'!$B$7:$B$366,C3769)</x:f>
        <x:v>9.066171003717471</x:v>
      </x:c>
      <x:c r="J3769" s="381" t="n">
        <x:f>SUMIFS('Wind Proxy'!$H$8:$H$19,'Wind Proxy'!$A$8:$A$19,'Estimator'!$B$4,'Wind Proxy'!$B$8:$B$19,C3769)</x:f>
        <x:v>0.11728395061728397</x:v>
      </x:c>
    </x:row>
    <x:row r="3770">
      <x:c r="A3770" s="379" t="n">
        <x:v>49421</x:v>
      </x:c>
      <x:c r="B3770" s="380" t="n">
        <x:v>2035</x:v>
      </x:c>
      <x:c r="C3770" s="380" t="n">
        <x:v>4</x:v>
      </x:c>
      <x:c r="D3770" s="380" t="str">
        <x:v>Apr</x:v>
      </x:c>
      <x:c r="E3770" s="380" t="n">
        <x:v>22</x:v>
      </x:c>
      <x:c r="F3770" s="380" t="n">
        <x:v>7</x:v>
      </x:c>
      <x:c r="G3770" s="380" t="n">
        <x:f>--(F3770&lt;='Estimator'!$B$7)</x:f>
        <x:v>0</x:v>
      </x:c>
      <x:c r="H3770" s="381" t="n">
        <x:f>SUMIFS('Climate Data'!$G$7:$G$366,'Climate Data'!$A$7:$A$366,'Estimator'!$B$4,'Climate Data'!$B$7:$B$366,C3770)</x:f>
        <x:v>0.32023809523809527</x:v>
      </x:c>
      <x:c r="I3770" s="382" t="n">
        <x:f>SUMIFS('Climate Data'!$H$7:$H$366,'Climate Data'!$A$7:$A$366,'Estimator'!$B$4,'Climate Data'!$B$7:$B$366,C3770)</x:f>
        <x:v>9.066171003717471</x:v>
      </x:c>
      <x:c r="J3770" s="381" t="n">
        <x:f>SUMIFS('Wind Proxy'!$H$8:$H$19,'Wind Proxy'!$A$8:$A$19,'Estimator'!$B$4,'Wind Proxy'!$B$8:$B$19,C3770)</x:f>
        <x:v>0.11728395061728397</x:v>
      </x:c>
    </x:row>
    <x:row r="3771">
      <x:c r="A3771" s="379" t="n">
        <x:v>49422</x:v>
      </x:c>
      <x:c r="B3771" s="380" t="n">
        <x:v>2035</x:v>
      </x:c>
      <x:c r="C3771" s="380" t="n">
        <x:v>4</x:v>
      </x:c>
      <x:c r="D3771" s="380" t="str">
        <x:v>Apr</x:v>
      </x:c>
      <x:c r="E3771" s="380" t="n">
        <x:v>23</x:v>
      </x:c>
      <x:c r="F3771" s="380" t="n">
        <x:v>1</x:v>
      </x:c>
      <x:c r="G3771" s="380" t="n">
        <x:f>--(F3771&lt;='Estimator'!$B$7)</x:f>
        <x:v>1</x:v>
      </x:c>
      <x:c r="H3771" s="381" t="n">
        <x:f>SUMIFS('Climate Data'!$G$7:$G$366,'Climate Data'!$A$7:$A$366,'Estimator'!$B$4,'Climate Data'!$B$7:$B$366,C3771)</x:f>
        <x:v>0.32023809523809527</x:v>
      </x:c>
      <x:c r="I3771" s="382" t="n">
        <x:f>SUMIFS('Climate Data'!$H$7:$H$366,'Climate Data'!$A$7:$A$366,'Estimator'!$B$4,'Climate Data'!$B$7:$B$366,C3771)</x:f>
        <x:v>9.066171003717471</x:v>
      </x:c>
      <x:c r="J3771" s="381" t="n">
        <x:f>SUMIFS('Wind Proxy'!$H$8:$H$19,'Wind Proxy'!$A$8:$A$19,'Estimator'!$B$4,'Wind Proxy'!$B$8:$B$19,C3771)</x:f>
        <x:v>0.11728395061728397</x:v>
      </x:c>
    </x:row>
    <x:row r="3772">
      <x:c r="A3772" s="379" t="n">
        <x:v>49423</x:v>
      </x:c>
      <x:c r="B3772" s="380" t="n">
        <x:v>2035</x:v>
      </x:c>
      <x:c r="C3772" s="380" t="n">
        <x:v>4</x:v>
      </x:c>
      <x:c r="D3772" s="380" t="str">
        <x:v>Apr</x:v>
      </x:c>
      <x:c r="E3772" s="380" t="n">
        <x:v>24</x:v>
      </x:c>
      <x:c r="F3772" s="380" t="n">
        <x:v>2</x:v>
      </x:c>
      <x:c r="G3772" s="380" t="n">
        <x:f>--(F3772&lt;='Estimator'!$B$7)</x:f>
        <x:v>1</x:v>
      </x:c>
      <x:c r="H3772" s="381" t="n">
        <x:f>SUMIFS('Climate Data'!$G$7:$G$366,'Climate Data'!$A$7:$A$366,'Estimator'!$B$4,'Climate Data'!$B$7:$B$366,C3772)</x:f>
        <x:v>0.32023809523809527</x:v>
      </x:c>
      <x:c r="I3772" s="382" t="n">
        <x:f>SUMIFS('Climate Data'!$H$7:$H$366,'Climate Data'!$A$7:$A$366,'Estimator'!$B$4,'Climate Data'!$B$7:$B$366,C3772)</x:f>
        <x:v>9.066171003717471</x:v>
      </x:c>
      <x:c r="J3772" s="381" t="n">
        <x:f>SUMIFS('Wind Proxy'!$H$8:$H$19,'Wind Proxy'!$A$8:$A$19,'Estimator'!$B$4,'Wind Proxy'!$B$8:$B$19,C3772)</x:f>
        <x:v>0.11728395061728397</x:v>
      </x:c>
    </x:row>
    <x:row r="3773">
      <x:c r="A3773" s="379" t="n">
        <x:v>49424</x:v>
      </x:c>
      <x:c r="B3773" s="380" t="n">
        <x:v>2035</x:v>
      </x:c>
      <x:c r="C3773" s="380" t="n">
        <x:v>4</x:v>
      </x:c>
      <x:c r="D3773" s="380" t="str">
        <x:v>Apr</x:v>
      </x:c>
      <x:c r="E3773" s="380" t="n">
        <x:v>25</x:v>
      </x:c>
      <x:c r="F3773" s="380" t="n">
        <x:v>3</x:v>
      </x:c>
      <x:c r="G3773" s="380" t="n">
        <x:f>--(F3773&lt;='Estimator'!$B$7)</x:f>
        <x:v>1</x:v>
      </x:c>
      <x:c r="H3773" s="381" t="n">
        <x:f>SUMIFS('Climate Data'!$G$7:$G$366,'Climate Data'!$A$7:$A$366,'Estimator'!$B$4,'Climate Data'!$B$7:$B$366,C3773)</x:f>
        <x:v>0.32023809523809527</x:v>
      </x:c>
      <x:c r="I3773" s="382" t="n">
        <x:f>SUMIFS('Climate Data'!$H$7:$H$366,'Climate Data'!$A$7:$A$366,'Estimator'!$B$4,'Climate Data'!$B$7:$B$366,C3773)</x:f>
        <x:v>9.066171003717471</x:v>
      </x:c>
      <x:c r="J3773" s="381" t="n">
        <x:f>SUMIFS('Wind Proxy'!$H$8:$H$19,'Wind Proxy'!$A$8:$A$19,'Estimator'!$B$4,'Wind Proxy'!$B$8:$B$19,C3773)</x:f>
        <x:v>0.11728395061728397</x:v>
      </x:c>
    </x:row>
    <x:row r="3774">
      <x:c r="A3774" s="379" t="n">
        <x:v>49425</x:v>
      </x:c>
      <x:c r="B3774" s="380" t="n">
        <x:v>2035</x:v>
      </x:c>
      <x:c r="C3774" s="380" t="n">
        <x:v>4</x:v>
      </x:c>
      <x:c r="D3774" s="380" t="str">
        <x:v>Apr</x:v>
      </x:c>
      <x:c r="E3774" s="380" t="n">
        <x:v>26</x:v>
      </x:c>
      <x:c r="F3774" s="380" t="n">
        <x:v>4</x:v>
      </x:c>
      <x:c r="G3774" s="380" t="n">
        <x:f>--(F3774&lt;='Estimator'!$B$7)</x:f>
        <x:v>1</x:v>
      </x:c>
      <x:c r="H3774" s="381" t="n">
        <x:f>SUMIFS('Climate Data'!$G$7:$G$366,'Climate Data'!$A$7:$A$366,'Estimator'!$B$4,'Climate Data'!$B$7:$B$366,C3774)</x:f>
        <x:v>0.32023809523809527</x:v>
      </x:c>
      <x:c r="I3774" s="382" t="n">
        <x:f>SUMIFS('Climate Data'!$H$7:$H$366,'Climate Data'!$A$7:$A$366,'Estimator'!$B$4,'Climate Data'!$B$7:$B$366,C3774)</x:f>
        <x:v>9.066171003717471</x:v>
      </x:c>
      <x:c r="J3774" s="381" t="n">
        <x:f>SUMIFS('Wind Proxy'!$H$8:$H$19,'Wind Proxy'!$A$8:$A$19,'Estimator'!$B$4,'Wind Proxy'!$B$8:$B$19,C3774)</x:f>
        <x:v>0.11728395061728397</x:v>
      </x:c>
    </x:row>
    <x:row r="3775">
      <x:c r="A3775" s="379" t="n">
        <x:v>49426</x:v>
      </x:c>
      <x:c r="B3775" s="380" t="n">
        <x:v>2035</x:v>
      </x:c>
      <x:c r="C3775" s="380" t="n">
        <x:v>4</x:v>
      </x:c>
      <x:c r="D3775" s="380" t="str">
        <x:v>Apr</x:v>
      </x:c>
      <x:c r="E3775" s="380" t="n">
        <x:v>27</x:v>
      </x:c>
      <x:c r="F3775" s="380" t="n">
        <x:v>5</x:v>
      </x:c>
      <x:c r="G3775" s="380" t="n">
        <x:f>--(F3775&lt;='Estimator'!$B$7)</x:f>
        <x:v>1</x:v>
      </x:c>
      <x:c r="H3775" s="381" t="n">
        <x:f>SUMIFS('Climate Data'!$G$7:$G$366,'Climate Data'!$A$7:$A$366,'Estimator'!$B$4,'Climate Data'!$B$7:$B$366,C3775)</x:f>
        <x:v>0.32023809523809527</x:v>
      </x:c>
      <x:c r="I3775" s="382" t="n">
        <x:f>SUMIFS('Climate Data'!$H$7:$H$366,'Climate Data'!$A$7:$A$366,'Estimator'!$B$4,'Climate Data'!$B$7:$B$366,C3775)</x:f>
        <x:v>9.066171003717471</x:v>
      </x:c>
      <x:c r="J3775" s="381" t="n">
        <x:f>SUMIFS('Wind Proxy'!$H$8:$H$19,'Wind Proxy'!$A$8:$A$19,'Estimator'!$B$4,'Wind Proxy'!$B$8:$B$19,C3775)</x:f>
        <x:v>0.11728395061728397</x:v>
      </x:c>
    </x:row>
    <x:row r="3776">
      <x:c r="A3776" s="379" t="n">
        <x:v>49427</x:v>
      </x:c>
      <x:c r="B3776" s="380" t="n">
        <x:v>2035</x:v>
      </x:c>
      <x:c r="C3776" s="380" t="n">
        <x:v>4</x:v>
      </x:c>
      <x:c r="D3776" s="380" t="str">
        <x:v>Apr</x:v>
      </x:c>
      <x:c r="E3776" s="380" t="n">
        <x:v>28</x:v>
      </x:c>
      <x:c r="F3776" s="380" t="n">
        <x:v>6</x:v>
      </x:c>
      <x:c r="G3776" s="380" t="n">
        <x:f>--(F3776&lt;='Estimator'!$B$7)</x:f>
        <x:v>0</x:v>
      </x:c>
      <x:c r="H3776" s="381" t="n">
        <x:f>SUMIFS('Climate Data'!$G$7:$G$366,'Climate Data'!$A$7:$A$366,'Estimator'!$B$4,'Climate Data'!$B$7:$B$366,C3776)</x:f>
        <x:v>0.32023809523809527</x:v>
      </x:c>
      <x:c r="I3776" s="382" t="n">
        <x:f>SUMIFS('Climate Data'!$H$7:$H$366,'Climate Data'!$A$7:$A$366,'Estimator'!$B$4,'Climate Data'!$B$7:$B$366,C3776)</x:f>
        <x:v>9.066171003717471</x:v>
      </x:c>
      <x:c r="J3776" s="381" t="n">
        <x:f>SUMIFS('Wind Proxy'!$H$8:$H$19,'Wind Proxy'!$A$8:$A$19,'Estimator'!$B$4,'Wind Proxy'!$B$8:$B$19,C3776)</x:f>
        <x:v>0.11728395061728397</x:v>
      </x:c>
    </x:row>
    <x:row r="3777">
      <x:c r="A3777" s="379" t="n">
        <x:v>49428</x:v>
      </x:c>
      <x:c r="B3777" s="380" t="n">
        <x:v>2035</x:v>
      </x:c>
      <x:c r="C3777" s="380" t="n">
        <x:v>4</x:v>
      </x:c>
      <x:c r="D3777" s="380" t="str">
        <x:v>Apr</x:v>
      </x:c>
      <x:c r="E3777" s="380" t="n">
        <x:v>29</x:v>
      </x:c>
      <x:c r="F3777" s="380" t="n">
        <x:v>7</x:v>
      </x:c>
      <x:c r="G3777" s="380" t="n">
        <x:f>--(F3777&lt;='Estimator'!$B$7)</x:f>
        <x:v>0</x:v>
      </x:c>
      <x:c r="H3777" s="381" t="n">
        <x:f>SUMIFS('Climate Data'!$G$7:$G$366,'Climate Data'!$A$7:$A$366,'Estimator'!$B$4,'Climate Data'!$B$7:$B$366,C3777)</x:f>
        <x:v>0.32023809523809527</x:v>
      </x:c>
      <x:c r="I3777" s="382" t="n">
        <x:f>SUMIFS('Climate Data'!$H$7:$H$366,'Climate Data'!$A$7:$A$366,'Estimator'!$B$4,'Climate Data'!$B$7:$B$366,C3777)</x:f>
        <x:v>9.066171003717471</x:v>
      </x:c>
      <x:c r="J3777" s="381" t="n">
        <x:f>SUMIFS('Wind Proxy'!$H$8:$H$19,'Wind Proxy'!$A$8:$A$19,'Estimator'!$B$4,'Wind Proxy'!$B$8:$B$19,C3777)</x:f>
        <x:v>0.11728395061728397</x:v>
      </x:c>
    </x:row>
    <x:row r="3778">
      <x:c r="A3778" s="379" t="n">
        <x:v>49429</x:v>
      </x:c>
      <x:c r="B3778" s="380" t="n">
        <x:v>2035</x:v>
      </x:c>
      <x:c r="C3778" s="380" t="n">
        <x:v>4</x:v>
      </x:c>
      <x:c r="D3778" s="380" t="str">
        <x:v>Apr</x:v>
      </x:c>
      <x:c r="E3778" s="380" t="n">
        <x:v>30</x:v>
      </x:c>
      <x:c r="F3778" s="380" t="n">
        <x:v>1</x:v>
      </x:c>
      <x:c r="G3778" s="380" t="n">
        <x:f>--(F3778&lt;='Estimator'!$B$7)</x:f>
        <x:v>1</x:v>
      </x:c>
      <x:c r="H3778" s="381" t="n">
        <x:f>SUMIFS('Climate Data'!$G$7:$G$366,'Climate Data'!$A$7:$A$366,'Estimator'!$B$4,'Climate Data'!$B$7:$B$366,C3778)</x:f>
        <x:v>0.32023809523809527</x:v>
      </x:c>
      <x:c r="I3778" s="382" t="n">
        <x:f>SUMIFS('Climate Data'!$H$7:$H$366,'Climate Data'!$A$7:$A$366,'Estimator'!$B$4,'Climate Data'!$B$7:$B$366,C3778)</x:f>
        <x:v>9.066171003717471</x:v>
      </x:c>
      <x:c r="J3778" s="381" t="n">
        <x:f>SUMIFS('Wind Proxy'!$H$8:$H$19,'Wind Proxy'!$A$8:$A$19,'Estimator'!$B$4,'Wind Proxy'!$B$8:$B$19,C3778)</x:f>
        <x:v>0.11728395061728397</x:v>
      </x:c>
    </x:row>
    <x:row r="3779">
      <x:c r="A3779" s="379" t="n">
        <x:v>49430</x:v>
      </x:c>
      <x:c r="B3779" s="380" t="n">
        <x:v>2035</x:v>
      </x:c>
      <x:c r="C3779" s="380" t="n">
        <x:v>5</x:v>
      </x:c>
      <x:c r="D3779" s="380" t="str">
        <x:v>May</x:v>
      </x:c>
      <x:c r="E3779" s="380" t="n">
        <x:v>1</x:v>
      </x:c>
      <x:c r="F3779" s="380" t="n">
        <x:v>2</x:v>
      </x:c>
      <x:c r="G3779" s="380" t="n">
        <x:f>--(F3779&lt;='Estimator'!$B$7)</x:f>
        <x:v>1</x:v>
      </x:c>
      <x:c r="H3779" s="381" t="n">
        <x:f>SUMIFS('Climate Data'!$G$7:$G$366,'Climate Data'!$A$7:$A$366,'Estimator'!$B$4,'Climate Data'!$B$7:$B$366,C3779)</x:f>
        <x:v>0.41935483870967744</x:v>
      </x:c>
      <x:c r="I3779" s="382" t="n">
        <x:f>SUMIFS('Climate Data'!$H$7:$H$366,'Climate Data'!$A$7:$A$366,'Estimator'!$B$4,'Climate Data'!$B$7:$B$366,C3779)</x:f>
        <x:v>9.215384615384615</x:v>
      </x:c>
      <x:c r="J3779" s="381" t="n">
        <x:f>SUMIFS('Wind Proxy'!$H$8:$H$19,'Wind Proxy'!$A$8:$A$19,'Estimator'!$B$4,'Wind Proxy'!$B$8:$B$19,C3779)</x:f>
        <x:v>0.11350059737156513</x:v>
      </x:c>
    </x:row>
    <x:row r="3780">
      <x:c r="A3780" s="379" t="n">
        <x:v>49431</x:v>
      </x:c>
      <x:c r="B3780" s="380" t="n">
        <x:v>2035</x:v>
      </x:c>
      <x:c r="C3780" s="380" t="n">
        <x:v>5</x:v>
      </x:c>
      <x:c r="D3780" s="380" t="str">
        <x:v>May</x:v>
      </x:c>
      <x:c r="E3780" s="380" t="n">
        <x:v>2</x:v>
      </x:c>
      <x:c r="F3780" s="380" t="n">
        <x:v>3</x:v>
      </x:c>
      <x:c r="G3780" s="380" t="n">
        <x:f>--(F3780&lt;='Estimator'!$B$7)</x:f>
        <x:v>1</x:v>
      </x:c>
      <x:c r="H3780" s="381" t="n">
        <x:f>SUMIFS('Climate Data'!$G$7:$G$366,'Climate Data'!$A$7:$A$366,'Estimator'!$B$4,'Climate Data'!$B$7:$B$366,C3780)</x:f>
        <x:v>0.41935483870967744</x:v>
      </x:c>
      <x:c r="I3780" s="382" t="n">
        <x:f>SUMIFS('Climate Data'!$H$7:$H$366,'Climate Data'!$A$7:$A$366,'Estimator'!$B$4,'Climate Data'!$B$7:$B$366,C3780)</x:f>
        <x:v>9.215384615384615</x:v>
      </x:c>
      <x:c r="J3780" s="381" t="n">
        <x:f>SUMIFS('Wind Proxy'!$H$8:$H$19,'Wind Proxy'!$A$8:$A$19,'Estimator'!$B$4,'Wind Proxy'!$B$8:$B$19,C3780)</x:f>
        <x:v>0.11350059737156513</x:v>
      </x:c>
    </x:row>
    <x:row r="3781">
      <x:c r="A3781" s="379" t="n">
        <x:v>49432</x:v>
      </x:c>
      <x:c r="B3781" s="380" t="n">
        <x:v>2035</x:v>
      </x:c>
      <x:c r="C3781" s="380" t="n">
        <x:v>5</x:v>
      </x:c>
      <x:c r="D3781" s="380" t="str">
        <x:v>May</x:v>
      </x:c>
      <x:c r="E3781" s="380" t="n">
        <x:v>3</x:v>
      </x:c>
      <x:c r="F3781" s="380" t="n">
        <x:v>4</x:v>
      </x:c>
      <x:c r="G3781" s="380" t="n">
        <x:f>--(F3781&lt;='Estimator'!$B$7)</x:f>
        <x:v>1</x:v>
      </x:c>
      <x:c r="H3781" s="381" t="n">
        <x:f>SUMIFS('Climate Data'!$G$7:$G$366,'Climate Data'!$A$7:$A$366,'Estimator'!$B$4,'Climate Data'!$B$7:$B$366,C3781)</x:f>
        <x:v>0.41935483870967744</x:v>
      </x:c>
      <x:c r="I3781" s="382" t="n">
        <x:f>SUMIFS('Climate Data'!$H$7:$H$366,'Climate Data'!$A$7:$A$366,'Estimator'!$B$4,'Climate Data'!$B$7:$B$366,C3781)</x:f>
        <x:v>9.215384615384615</x:v>
      </x:c>
      <x:c r="J3781" s="381" t="n">
        <x:f>SUMIFS('Wind Proxy'!$H$8:$H$19,'Wind Proxy'!$A$8:$A$19,'Estimator'!$B$4,'Wind Proxy'!$B$8:$B$19,C3781)</x:f>
        <x:v>0.11350059737156513</x:v>
      </x:c>
    </x:row>
    <x:row r="3782">
      <x:c r="A3782" s="379" t="n">
        <x:v>49433</x:v>
      </x:c>
      <x:c r="B3782" s="380" t="n">
        <x:v>2035</x:v>
      </x:c>
      <x:c r="C3782" s="380" t="n">
        <x:v>5</x:v>
      </x:c>
      <x:c r="D3782" s="380" t="str">
        <x:v>May</x:v>
      </x:c>
      <x:c r="E3782" s="380" t="n">
        <x:v>4</x:v>
      </x:c>
      <x:c r="F3782" s="380" t="n">
        <x:v>5</x:v>
      </x:c>
      <x:c r="G3782" s="380" t="n">
        <x:f>--(F3782&lt;='Estimator'!$B$7)</x:f>
        <x:v>1</x:v>
      </x:c>
      <x:c r="H3782" s="381" t="n">
        <x:f>SUMIFS('Climate Data'!$G$7:$G$366,'Climate Data'!$A$7:$A$366,'Estimator'!$B$4,'Climate Data'!$B$7:$B$366,C3782)</x:f>
        <x:v>0.41935483870967744</x:v>
      </x:c>
      <x:c r="I3782" s="382" t="n">
        <x:f>SUMIFS('Climate Data'!$H$7:$H$366,'Climate Data'!$A$7:$A$366,'Estimator'!$B$4,'Climate Data'!$B$7:$B$366,C3782)</x:f>
        <x:v>9.215384615384615</x:v>
      </x:c>
      <x:c r="J3782" s="381" t="n">
        <x:f>SUMIFS('Wind Proxy'!$H$8:$H$19,'Wind Proxy'!$A$8:$A$19,'Estimator'!$B$4,'Wind Proxy'!$B$8:$B$19,C3782)</x:f>
        <x:v>0.11350059737156513</x:v>
      </x:c>
    </x:row>
    <x:row r="3783">
      <x:c r="A3783" s="379" t="n">
        <x:v>49434</x:v>
      </x:c>
      <x:c r="B3783" s="380" t="n">
        <x:v>2035</x:v>
      </x:c>
      <x:c r="C3783" s="380" t="n">
        <x:v>5</x:v>
      </x:c>
      <x:c r="D3783" s="380" t="str">
        <x:v>May</x:v>
      </x:c>
      <x:c r="E3783" s="380" t="n">
        <x:v>5</x:v>
      </x:c>
      <x:c r="F3783" s="380" t="n">
        <x:v>6</x:v>
      </x:c>
      <x:c r="G3783" s="380" t="n">
        <x:f>--(F3783&lt;='Estimator'!$B$7)</x:f>
        <x:v>0</x:v>
      </x:c>
      <x:c r="H3783" s="381" t="n">
        <x:f>SUMIFS('Climate Data'!$G$7:$G$366,'Climate Data'!$A$7:$A$366,'Estimator'!$B$4,'Climate Data'!$B$7:$B$366,C3783)</x:f>
        <x:v>0.41935483870967744</x:v>
      </x:c>
      <x:c r="I3783" s="382" t="n">
        <x:f>SUMIFS('Climate Data'!$H$7:$H$366,'Climate Data'!$A$7:$A$366,'Estimator'!$B$4,'Climate Data'!$B$7:$B$366,C3783)</x:f>
        <x:v>9.215384615384615</x:v>
      </x:c>
      <x:c r="J3783" s="381" t="n">
        <x:f>SUMIFS('Wind Proxy'!$H$8:$H$19,'Wind Proxy'!$A$8:$A$19,'Estimator'!$B$4,'Wind Proxy'!$B$8:$B$19,C3783)</x:f>
        <x:v>0.11350059737156513</x:v>
      </x:c>
    </x:row>
    <x:row r="3784">
      <x:c r="A3784" s="379" t="n">
        <x:v>49435</x:v>
      </x:c>
      <x:c r="B3784" s="380" t="n">
        <x:v>2035</x:v>
      </x:c>
      <x:c r="C3784" s="380" t="n">
        <x:v>5</x:v>
      </x:c>
      <x:c r="D3784" s="380" t="str">
        <x:v>May</x:v>
      </x:c>
      <x:c r="E3784" s="380" t="n">
        <x:v>6</x:v>
      </x:c>
      <x:c r="F3784" s="380" t="n">
        <x:v>7</x:v>
      </x:c>
      <x:c r="G3784" s="380" t="n">
        <x:f>--(F3784&lt;='Estimator'!$B$7)</x:f>
        <x:v>0</x:v>
      </x:c>
      <x:c r="H3784" s="381" t="n">
        <x:f>SUMIFS('Climate Data'!$G$7:$G$366,'Climate Data'!$A$7:$A$366,'Estimator'!$B$4,'Climate Data'!$B$7:$B$366,C3784)</x:f>
        <x:v>0.41935483870967744</x:v>
      </x:c>
      <x:c r="I3784" s="382" t="n">
        <x:f>SUMIFS('Climate Data'!$H$7:$H$366,'Climate Data'!$A$7:$A$366,'Estimator'!$B$4,'Climate Data'!$B$7:$B$366,C3784)</x:f>
        <x:v>9.215384615384615</x:v>
      </x:c>
      <x:c r="J3784" s="381" t="n">
        <x:f>SUMIFS('Wind Proxy'!$H$8:$H$19,'Wind Proxy'!$A$8:$A$19,'Estimator'!$B$4,'Wind Proxy'!$B$8:$B$19,C3784)</x:f>
        <x:v>0.11350059737156513</x:v>
      </x:c>
    </x:row>
    <x:row r="3785">
      <x:c r="A3785" s="379" t="n">
        <x:v>49436</x:v>
      </x:c>
      <x:c r="B3785" s="380" t="n">
        <x:v>2035</x:v>
      </x:c>
      <x:c r="C3785" s="380" t="n">
        <x:v>5</x:v>
      </x:c>
      <x:c r="D3785" s="380" t="str">
        <x:v>May</x:v>
      </x:c>
      <x:c r="E3785" s="380" t="n">
        <x:v>7</x:v>
      </x:c>
      <x:c r="F3785" s="380" t="n">
        <x:v>1</x:v>
      </x:c>
      <x:c r="G3785" s="380" t="n">
        <x:f>--(F3785&lt;='Estimator'!$B$7)</x:f>
        <x:v>1</x:v>
      </x:c>
      <x:c r="H3785" s="381" t="n">
        <x:f>SUMIFS('Climate Data'!$G$7:$G$366,'Climate Data'!$A$7:$A$366,'Estimator'!$B$4,'Climate Data'!$B$7:$B$366,C3785)</x:f>
        <x:v>0.41935483870967744</x:v>
      </x:c>
      <x:c r="I3785" s="382" t="n">
        <x:f>SUMIFS('Climate Data'!$H$7:$H$366,'Climate Data'!$A$7:$A$366,'Estimator'!$B$4,'Climate Data'!$B$7:$B$366,C3785)</x:f>
        <x:v>9.215384615384615</x:v>
      </x:c>
      <x:c r="J3785" s="381" t="n">
        <x:f>SUMIFS('Wind Proxy'!$H$8:$H$19,'Wind Proxy'!$A$8:$A$19,'Estimator'!$B$4,'Wind Proxy'!$B$8:$B$19,C3785)</x:f>
        <x:v>0.11350059737156513</x:v>
      </x:c>
    </x:row>
    <x:row r="3786">
      <x:c r="A3786" s="379" t="n">
        <x:v>49437</x:v>
      </x:c>
      <x:c r="B3786" s="380" t="n">
        <x:v>2035</x:v>
      </x:c>
      <x:c r="C3786" s="380" t="n">
        <x:v>5</x:v>
      </x:c>
      <x:c r="D3786" s="380" t="str">
        <x:v>May</x:v>
      </x:c>
      <x:c r="E3786" s="380" t="n">
        <x:v>8</x:v>
      </x:c>
      <x:c r="F3786" s="380" t="n">
        <x:v>2</x:v>
      </x:c>
      <x:c r="G3786" s="380" t="n">
        <x:f>--(F3786&lt;='Estimator'!$B$7)</x:f>
        <x:v>1</x:v>
      </x:c>
      <x:c r="H3786" s="381" t="n">
        <x:f>SUMIFS('Climate Data'!$G$7:$G$366,'Climate Data'!$A$7:$A$366,'Estimator'!$B$4,'Climate Data'!$B$7:$B$366,C3786)</x:f>
        <x:v>0.41935483870967744</x:v>
      </x:c>
      <x:c r="I3786" s="382" t="n">
        <x:f>SUMIFS('Climate Data'!$H$7:$H$366,'Climate Data'!$A$7:$A$366,'Estimator'!$B$4,'Climate Data'!$B$7:$B$366,C3786)</x:f>
        <x:v>9.215384615384615</x:v>
      </x:c>
      <x:c r="J3786" s="381" t="n">
        <x:f>SUMIFS('Wind Proxy'!$H$8:$H$19,'Wind Proxy'!$A$8:$A$19,'Estimator'!$B$4,'Wind Proxy'!$B$8:$B$19,C3786)</x:f>
        <x:v>0.11350059737156513</x:v>
      </x:c>
    </x:row>
    <x:row r="3787">
      <x:c r="A3787" s="379" t="n">
        <x:v>49438</x:v>
      </x:c>
      <x:c r="B3787" s="380" t="n">
        <x:v>2035</x:v>
      </x:c>
      <x:c r="C3787" s="380" t="n">
        <x:v>5</x:v>
      </x:c>
      <x:c r="D3787" s="380" t="str">
        <x:v>May</x:v>
      </x:c>
      <x:c r="E3787" s="380" t="n">
        <x:v>9</x:v>
      </x:c>
      <x:c r="F3787" s="380" t="n">
        <x:v>3</x:v>
      </x:c>
      <x:c r="G3787" s="380" t="n">
        <x:f>--(F3787&lt;='Estimator'!$B$7)</x:f>
        <x:v>1</x:v>
      </x:c>
      <x:c r="H3787" s="381" t="n">
        <x:f>SUMIFS('Climate Data'!$G$7:$G$366,'Climate Data'!$A$7:$A$366,'Estimator'!$B$4,'Climate Data'!$B$7:$B$366,C3787)</x:f>
        <x:v>0.41935483870967744</x:v>
      </x:c>
      <x:c r="I3787" s="382" t="n">
        <x:f>SUMIFS('Climate Data'!$H$7:$H$366,'Climate Data'!$A$7:$A$366,'Estimator'!$B$4,'Climate Data'!$B$7:$B$366,C3787)</x:f>
        <x:v>9.215384615384615</x:v>
      </x:c>
      <x:c r="J3787" s="381" t="n">
        <x:f>SUMIFS('Wind Proxy'!$H$8:$H$19,'Wind Proxy'!$A$8:$A$19,'Estimator'!$B$4,'Wind Proxy'!$B$8:$B$19,C3787)</x:f>
        <x:v>0.11350059737156513</x:v>
      </x:c>
    </x:row>
    <x:row r="3788">
      <x:c r="A3788" s="379" t="n">
        <x:v>49439</x:v>
      </x:c>
      <x:c r="B3788" s="380" t="n">
        <x:v>2035</x:v>
      </x:c>
      <x:c r="C3788" s="380" t="n">
        <x:v>5</x:v>
      </x:c>
      <x:c r="D3788" s="380" t="str">
        <x:v>May</x:v>
      </x:c>
      <x:c r="E3788" s="380" t="n">
        <x:v>10</x:v>
      </x:c>
      <x:c r="F3788" s="380" t="n">
        <x:v>4</x:v>
      </x:c>
      <x:c r="G3788" s="380" t="n">
        <x:f>--(F3788&lt;='Estimator'!$B$7)</x:f>
        <x:v>1</x:v>
      </x:c>
      <x:c r="H3788" s="381" t="n">
        <x:f>SUMIFS('Climate Data'!$G$7:$G$366,'Climate Data'!$A$7:$A$366,'Estimator'!$B$4,'Climate Data'!$B$7:$B$366,C3788)</x:f>
        <x:v>0.41935483870967744</x:v>
      </x:c>
      <x:c r="I3788" s="382" t="n">
        <x:f>SUMIFS('Climate Data'!$H$7:$H$366,'Climate Data'!$A$7:$A$366,'Estimator'!$B$4,'Climate Data'!$B$7:$B$366,C3788)</x:f>
        <x:v>9.215384615384615</x:v>
      </x:c>
      <x:c r="J3788" s="381" t="n">
        <x:f>SUMIFS('Wind Proxy'!$H$8:$H$19,'Wind Proxy'!$A$8:$A$19,'Estimator'!$B$4,'Wind Proxy'!$B$8:$B$19,C3788)</x:f>
        <x:v>0.11350059737156513</x:v>
      </x:c>
    </x:row>
    <x:row r="3789">
      <x:c r="A3789" s="379" t="n">
        <x:v>49440</x:v>
      </x:c>
      <x:c r="B3789" s="380" t="n">
        <x:v>2035</x:v>
      </x:c>
      <x:c r="C3789" s="380" t="n">
        <x:v>5</x:v>
      </x:c>
      <x:c r="D3789" s="380" t="str">
        <x:v>May</x:v>
      </x:c>
      <x:c r="E3789" s="380" t="n">
        <x:v>11</x:v>
      </x:c>
      <x:c r="F3789" s="380" t="n">
        <x:v>5</x:v>
      </x:c>
      <x:c r="G3789" s="380" t="n">
        <x:f>--(F3789&lt;='Estimator'!$B$7)</x:f>
        <x:v>1</x:v>
      </x:c>
      <x:c r="H3789" s="381" t="n">
        <x:f>SUMIFS('Climate Data'!$G$7:$G$366,'Climate Data'!$A$7:$A$366,'Estimator'!$B$4,'Climate Data'!$B$7:$B$366,C3789)</x:f>
        <x:v>0.41935483870967744</x:v>
      </x:c>
      <x:c r="I3789" s="382" t="n">
        <x:f>SUMIFS('Climate Data'!$H$7:$H$366,'Climate Data'!$A$7:$A$366,'Estimator'!$B$4,'Climate Data'!$B$7:$B$366,C3789)</x:f>
        <x:v>9.215384615384615</x:v>
      </x:c>
      <x:c r="J3789" s="381" t="n">
        <x:f>SUMIFS('Wind Proxy'!$H$8:$H$19,'Wind Proxy'!$A$8:$A$19,'Estimator'!$B$4,'Wind Proxy'!$B$8:$B$19,C3789)</x:f>
        <x:v>0.11350059737156513</x:v>
      </x:c>
    </x:row>
    <x:row r="3790">
      <x:c r="A3790" s="379" t="n">
        <x:v>49441</x:v>
      </x:c>
      <x:c r="B3790" s="380" t="n">
        <x:v>2035</x:v>
      </x:c>
      <x:c r="C3790" s="380" t="n">
        <x:v>5</x:v>
      </x:c>
      <x:c r="D3790" s="380" t="str">
        <x:v>May</x:v>
      </x:c>
      <x:c r="E3790" s="380" t="n">
        <x:v>12</x:v>
      </x:c>
      <x:c r="F3790" s="380" t="n">
        <x:v>6</x:v>
      </x:c>
      <x:c r="G3790" s="380" t="n">
        <x:f>--(F3790&lt;='Estimator'!$B$7)</x:f>
        <x:v>0</x:v>
      </x:c>
      <x:c r="H3790" s="381" t="n">
        <x:f>SUMIFS('Climate Data'!$G$7:$G$366,'Climate Data'!$A$7:$A$366,'Estimator'!$B$4,'Climate Data'!$B$7:$B$366,C3790)</x:f>
        <x:v>0.41935483870967744</x:v>
      </x:c>
      <x:c r="I3790" s="382" t="n">
        <x:f>SUMIFS('Climate Data'!$H$7:$H$366,'Climate Data'!$A$7:$A$366,'Estimator'!$B$4,'Climate Data'!$B$7:$B$366,C3790)</x:f>
        <x:v>9.215384615384615</x:v>
      </x:c>
      <x:c r="J3790" s="381" t="n">
        <x:f>SUMIFS('Wind Proxy'!$H$8:$H$19,'Wind Proxy'!$A$8:$A$19,'Estimator'!$B$4,'Wind Proxy'!$B$8:$B$19,C3790)</x:f>
        <x:v>0.11350059737156513</x:v>
      </x:c>
    </x:row>
    <x:row r="3791">
      <x:c r="A3791" s="379" t="n">
        <x:v>49442</x:v>
      </x:c>
      <x:c r="B3791" s="380" t="n">
        <x:v>2035</x:v>
      </x:c>
      <x:c r="C3791" s="380" t="n">
        <x:v>5</x:v>
      </x:c>
      <x:c r="D3791" s="380" t="str">
        <x:v>May</x:v>
      </x:c>
      <x:c r="E3791" s="380" t="n">
        <x:v>13</x:v>
      </x:c>
      <x:c r="F3791" s="380" t="n">
        <x:v>7</x:v>
      </x:c>
      <x:c r="G3791" s="380" t="n">
        <x:f>--(F3791&lt;='Estimator'!$B$7)</x:f>
        <x:v>0</x:v>
      </x:c>
      <x:c r="H3791" s="381" t="n">
        <x:f>SUMIFS('Climate Data'!$G$7:$G$366,'Climate Data'!$A$7:$A$366,'Estimator'!$B$4,'Climate Data'!$B$7:$B$366,C3791)</x:f>
        <x:v>0.41935483870967744</x:v>
      </x:c>
      <x:c r="I3791" s="382" t="n">
        <x:f>SUMIFS('Climate Data'!$H$7:$H$366,'Climate Data'!$A$7:$A$366,'Estimator'!$B$4,'Climate Data'!$B$7:$B$366,C3791)</x:f>
        <x:v>9.215384615384615</x:v>
      </x:c>
      <x:c r="J3791" s="381" t="n">
        <x:f>SUMIFS('Wind Proxy'!$H$8:$H$19,'Wind Proxy'!$A$8:$A$19,'Estimator'!$B$4,'Wind Proxy'!$B$8:$B$19,C3791)</x:f>
        <x:v>0.11350059737156513</x:v>
      </x:c>
    </x:row>
    <x:row r="3792">
      <x:c r="A3792" s="379" t="n">
        <x:v>49443</x:v>
      </x:c>
      <x:c r="B3792" s="380" t="n">
        <x:v>2035</x:v>
      </x:c>
      <x:c r="C3792" s="380" t="n">
        <x:v>5</x:v>
      </x:c>
      <x:c r="D3792" s="380" t="str">
        <x:v>May</x:v>
      </x:c>
      <x:c r="E3792" s="380" t="n">
        <x:v>14</x:v>
      </x:c>
      <x:c r="F3792" s="380" t="n">
        <x:v>1</x:v>
      </x:c>
      <x:c r="G3792" s="380" t="n">
        <x:f>--(F3792&lt;='Estimator'!$B$7)</x:f>
        <x:v>1</x:v>
      </x:c>
      <x:c r="H3792" s="381" t="n">
        <x:f>SUMIFS('Climate Data'!$G$7:$G$366,'Climate Data'!$A$7:$A$366,'Estimator'!$B$4,'Climate Data'!$B$7:$B$366,C3792)</x:f>
        <x:v>0.41935483870967744</x:v>
      </x:c>
      <x:c r="I3792" s="382" t="n">
        <x:f>SUMIFS('Climate Data'!$H$7:$H$366,'Climate Data'!$A$7:$A$366,'Estimator'!$B$4,'Climate Data'!$B$7:$B$366,C3792)</x:f>
        <x:v>9.215384615384615</x:v>
      </x:c>
      <x:c r="J3792" s="381" t="n">
        <x:f>SUMIFS('Wind Proxy'!$H$8:$H$19,'Wind Proxy'!$A$8:$A$19,'Estimator'!$B$4,'Wind Proxy'!$B$8:$B$19,C3792)</x:f>
        <x:v>0.11350059737156513</x:v>
      </x:c>
    </x:row>
    <x:row r="3793">
      <x:c r="A3793" s="379" t="n">
        <x:v>49444</x:v>
      </x:c>
      <x:c r="B3793" s="380" t="n">
        <x:v>2035</x:v>
      </x:c>
      <x:c r="C3793" s="380" t="n">
        <x:v>5</x:v>
      </x:c>
      <x:c r="D3793" s="380" t="str">
        <x:v>May</x:v>
      </x:c>
      <x:c r="E3793" s="380" t="n">
        <x:v>15</x:v>
      </x:c>
      <x:c r="F3793" s="380" t="n">
        <x:v>2</x:v>
      </x:c>
      <x:c r="G3793" s="380" t="n">
        <x:f>--(F3793&lt;='Estimator'!$B$7)</x:f>
        <x:v>1</x:v>
      </x:c>
      <x:c r="H3793" s="381" t="n">
        <x:f>SUMIFS('Climate Data'!$G$7:$G$366,'Climate Data'!$A$7:$A$366,'Estimator'!$B$4,'Climate Data'!$B$7:$B$366,C3793)</x:f>
        <x:v>0.41935483870967744</x:v>
      </x:c>
      <x:c r="I3793" s="382" t="n">
        <x:f>SUMIFS('Climate Data'!$H$7:$H$366,'Climate Data'!$A$7:$A$366,'Estimator'!$B$4,'Climate Data'!$B$7:$B$366,C3793)</x:f>
        <x:v>9.215384615384615</x:v>
      </x:c>
      <x:c r="J3793" s="381" t="n">
        <x:f>SUMIFS('Wind Proxy'!$H$8:$H$19,'Wind Proxy'!$A$8:$A$19,'Estimator'!$B$4,'Wind Proxy'!$B$8:$B$19,C3793)</x:f>
        <x:v>0.11350059737156513</x:v>
      </x:c>
    </x:row>
    <x:row r="3794">
      <x:c r="A3794" s="379" t="n">
        <x:v>49445</x:v>
      </x:c>
      <x:c r="B3794" s="380" t="n">
        <x:v>2035</x:v>
      </x:c>
      <x:c r="C3794" s="380" t="n">
        <x:v>5</x:v>
      </x:c>
      <x:c r="D3794" s="380" t="str">
        <x:v>May</x:v>
      </x:c>
      <x:c r="E3794" s="380" t="n">
        <x:v>16</x:v>
      </x:c>
      <x:c r="F3794" s="380" t="n">
        <x:v>3</x:v>
      </x:c>
      <x:c r="G3794" s="380" t="n">
        <x:f>--(F3794&lt;='Estimator'!$B$7)</x:f>
        <x:v>1</x:v>
      </x:c>
      <x:c r="H3794" s="381" t="n">
        <x:f>SUMIFS('Climate Data'!$G$7:$G$366,'Climate Data'!$A$7:$A$366,'Estimator'!$B$4,'Climate Data'!$B$7:$B$366,C3794)</x:f>
        <x:v>0.41935483870967744</x:v>
      </x:c>
      <x:c r="I3794" s="382" t="n">
        <x:f>SUMIFS('Climate Data'!$H$7:$H$366,'Climate Data'!$A$7:$A$366,'Estimator'!$B$4,'Climate Data'!$B$7:$B$366,C3794)</x:f>
        <x:v>9.215384615384615</x:v>
      </x:c>
      <x:c r="J3794" s="381" t="n">
        <x:f>SUMIFS('Wind Proxy'!$H$8:$H$19,'Wind Proxy'!$A$8:$A$19,'Estimator'!$B$4,'Wind Proxy'!$B$8:$B$19,C3794)</x:f>
        <x:v>0.11350059737156513</x:v>
      </x:c>
    </x:row>
    <x:row r="3795">
      <x:c r="A3795" s="379" t="n">
        <x:v>49446</x:v>
      </x:c>
      <x:c r="B3795" s="380" t="n">
        <x:v>2035</x:v>
      </x:c>
      <x:c r="C3795" s="380" t="n">
        <x:v>5</x:v>
      </x:c>
      <x:c r="D3795" s="380" t="str">
        <x:v>May</x:v>
      </x:c>
      <x:c r="E3795" s="380" t="n">
        <x:v>17</x:v>
      </x:c>
      <x:c r="F3795" s="380" t="n">
        <x:v>4</x:v>
      </x:c>
      <x:c r="G3795" s="380" t="n">
        <x:f>--(F3795&lt;='Estimator'!$B$7)</x:f>
        <x:v>1</x:v>
      </x:c>
      <x:c r="H3795" s="381" t="n">
        <x:f>SUMIFS('Climate Data'!$G$7:$G$366,'Climate Data'!$A$7:$A$366,'Estimator'!$B$4,'Climate Data'!$B$7:$B$366,C3795)</x:f>
        <x:v>0.41935483870967744</x:v>
      </x:c>
      <x:c r="I3795" s="382" t="n">
        <x:f>SUMIFS('Climate Data'!$H$7:$H$366,'Climate Data'!$A$7:$A$366,'Estimator'!$B$4,'Climate Data'!$B$7:$B$366,C3795)</x:f>
        <x:v>9.215384615384615</x:v>
      </x:c>
      <x:c r="J3795" s="381" t="n">
        <x:f>SUMIFS('Wind Proxy'!$H$8:$H$19,'Wind Proxy'!$A$8:$A$19,'Estimator'!$B$4,'Wind Proxy'!$B$8:$B$19,C3795)</x:f>
        <x:v>0.11350059737156513</x:v>
      </x:c>
    </x:row>
    <x:row r="3796">
      <x:c r="A3796" s="379" t="n">
        <x:v>49447</x:v>
      </x:c>
      <x:c r="B3796" s="380" t="n">
        <x:v>2035</x:v>
      </x:c>
      <x:c r="C3796" s="380" t="n">
        <x:v>5</x:v>
      </x:c>
      <x:c r="D3796" s="380" t="str">
        <x:v>May</x:v>
      </x:c>
      <x:c r="E3796" s="380" t="n">
        <x:v>18</x:v>
      </x:c>
      <x:c r="F3796" s="380" t="n">
        <x:v>5</x:v>
      </x:c>
      <x:c r="G3796" s="380" t="n">
        <x:f>--(F3796&lt;='Estimator'!$B$7)</x:f>
        <x:v>1</x:v>
      </x:c>
      <x:c r="H3796" s="381" t="n">
        <x:f>SUMIFS('Climate Data'!$G$7:$G$366,'Climate Data'!$A$7:$A$366,'Estimator'!$B$4,'Climate Data'!$B$7:$B$366,C3796)</x:f>
        <x:v>0.41935483870967744</x:v>
      </x:c>
      <x:c r="I3796" s="382" t="n">
        <x:f>SUMIFS('Climate Data'!$H$7:$H$366,'Climate Data'!$A$7:$A$366,'Estimator'!$B$4,'Climate Data'!$B$7:$B$366,C3796)</x:f>
        <x:v>9.215384615384615</x:v>
      </x:c>
      <x:c r="J3796" s="381" t="n">
        <x:f>SUMIFS('Wind Proxy'!$H$8:$H$19,'Wind Proxy'!$A$8:$A$19,'Estimator'!$B$4,'Wind Proxy'!$B$8:$B$19,C3796)</x:f>
        <x:v>0.11350059737156513</x:v>
      </x:c>
    </x:row>
    <x:row r="3797">
      <x:c r="A3797" s="379" t="n">
        <x:v>49448</x:v>
      </x:c>
      <x:c r="B3797" s="380" t="n">
        <x:v>2035</x:v>
      </x:c>
      <x:c r="C3797" s="380" t="n">
        <x:v>5</x:v>
      </x:c>
      <x:c r="D3797" s="380" t="str">
        <x:v>May</x:v>
      </x:c>
      <x:c r="E3797" s="380" t="n">
        <x:v>19</x:v>
      </x:c>
      <x:c r="F3797" s="380" t="n">
        <x:v>6</x:v>
      </x:c>
      <x:c r="G3797" s="380" t="n">
        <x:f>--(F3797&lt;='Estimator'!$B$7)</x:f>
        <x:v>0</x:v>
      </x:c>
      <x:c r="H3797" s="381" t="n">
        <x:f>SUMIFS('Climate Data'!$G$7:$G$366,'Climate Data'!$A$7:$A$366,'Estimator'!$B$4,'Climate Data'!$B$7:$B$366,C3797)</x:f>
        <x:v>0.41935483870967744</x:v>
      </x:c>
      <x:c r="I3797" s="382" t="n">
        <x:f>SUMIFS('Climate Data'!$H$7:$H$366,'Climate Data'!$A$7:$A$366,'Estimator'!$B$4,'Climate Data'!$B$7:$B$366,C3797)</x:f>
        <x:v>9.215384615384615</x:v>
      </x:c>
      <x:c r="J3797" s="381" t="n">
        <x:f>SUMIFS('Wind Proxy'!$H$8:$H$19,'Wind Proxy'!$A$8:$A$19,'Estimator'!$B$4,'Wind Proxy'!$B$8:$B$19,C3797)</x:f>
        <x:v>0.11350059737156513</x:v>
      </x:c>
    </x:row>
    <x:row r="3798">
      <x:c r="A3798" s="379" t="n">
        <x:v>49449</x:v>
      </x:c>
      <x:c r="B3798" s="380" t="n">
        <x:v>2035</x:v>
      </x:c>
      <x:c r="C3798" s="380" t="n">
        <x:v>5</x:v>
      </x:c>
      <x:c r="D3798" s="380" t="str">
        <x:v>May</x:v>
      </x:c>
      <x:c r="E3798" s="380" t="n">
        <x:v>20</x:v>
      </x:c>
      <x:c r="F3798" s="380" t="n">
        <x:v>7</x:v>
      </x:c>
      <x:c r="G3798" s="380" t="n">
        <x:f>--(F3798&lt;='Estimator'!$B$7)</x:f>
        <x:v>0</x:v>
      </x:c>
      <x:c r="H3798" s="381" t="n">
        <x:f>SUMIFS('Climate Data'!$G$7:$G$366,'Climate Data'!$A$7:$A$366,'Estimator'!$B$4,'Climate Data'!$B$7:$B$366,C3798)</x:f>
        <x:v>0.41935483870967744</x:v>
      </x:c>
      <x:c r="I3798" s="382" t="n">
        <x:f>SUMIFS('Climate Data'!$H$7:$H$366,'Climate Data'!$A$7:$A$366,'Estimator'!$B$4,'Climate Data'!$B$7:$B$366,C3798)</x:f>
        <x:v>9.215384615384615</x:v>
      </x:c>
      <x:c r="J3798" s="381" t="n">
        <x:f>SUMIFS('Wind Proxy'!$H$8:$H$19,'Wind Proxy'!$A$8:$A$19,'Estimator'!$B$4,'Wind Proxy'!$B$8:$B$19,C3798)</x:f>
        <x:v>0.11350059737156513</x:v>
      </x:c>
    </x:row>
    <x:row r="3799">
      <x:c r="A3799" s="379" t="n">
        <x:v>49450</x:v>
      </x:c>
      <x:c r="B3799" s="380" t="n">
        <x:v>2035</x:v>
      </x:c>
      <x:c r="C3799" s="380" t="n">
        <x:v>5</x:v>
      </x:c>
      <x:c r="D3799" s="380" t="str">
        <x:v>May</x:v>
      </x:c>
      <x:c r="E3799" s="380" t="n">
        <x:v>21</x:v>
      </x:c>
      <x:c r="F3799" s="380" t="n">
        <x:v>1</x:v>
      </x:c>
      <x:c r="G3799" s="380" t="n">
        <x:f>--(F3799&lt;='Estimator'!$B$7)</x:f>
        <x:v>1</x:v>
      </x:c>
      <x:c r="H3799" s="381" t="n">
        <x:f>SUMIFS('Climate Data'!$G$7:$G$366,'Climate Data'!$A$7:$A$366,'Estimator'!$B$4,'Climate Data'!$B$7:$B$366,C3799)</x:f>
        <x:v>0.41935483870967744</x:v>
      </x:c>
      <x:c r="I3799" s="382" t="n">
        <x:f>SUMIFS('Climate Data'!$H$7:$H$366,'Climate Data'!$A$7:$A$366,'Estimator'!$B$4,'Climate Data'!$B$7:$B$366,C3799)</x:f>
        <x:v>9.215384615384615</x:v>
      </x:c>
      <x:c r="J3799" s="381" t="n">
        <x:f>SUMIFS('Wind Proxy'!$H$8:$H$19,'Wind Proxy'!$A$8:$A$19,'Estimator'!$B$4,'Wind Proxy'!$B$8:$B$19,C3799)</x:f>
        <x:v>0.11350059737156513</x:v>
      </x:c>
    </x:row>
    <x:row r="3800">
      <x:c r="A3800" s="379" t="n">
        <x:v>49451</x:v>
      </x:c>
      <x:c r="B3800" s="380" t="n">
        <x:v>2035</x:v>
      </x:c>
      <x:c r="C3800" s="380" t="n">
        <x:v>5</x:v>
      </x:c>
      <x:c r="D3800" s="380" t="str">
        <x:v>May</x:v>
      </x:c>
      <x:c r="E3800" s="380" t="n">
        <x:v>22</x:v>
      </x:c>
      <x:c r="F3800" s="380" t="n">
        <x:v>2</x:v>
      </x:c>
      <x:c r="G3800" s="380" t="n">
        <x:f>--(F3800&lt;='Estimator'!$B$7)</x:f>
        <x:v>1</x:v>
      </x:c>
      <x:c r="H3800" s="381" t="n">
        <x:f>SUMIFS('Climate Data'!$G$7:$G$366,'Climate Data'!$A$7:$A$366,'Estimator'!$B$4,'Climate Data'!$B$7:$B$366,C3800)</x:f>
        <x:v>0.41935483870967744</x:v>
      </x:c>
      <x:c r="I3800" s="382" t="n">
        <x:f>SUMIFS('Climate Data'!$H$7:$H$366,'Climate Data'!$A$7:$A$366,'Estimator'!$B$4,'Climate Data'!$B$7:$B$366,C3800)</x:f>
        <x:v>9.215384615384615</x:v>
      </x:c>
      <x:c r="J3800" s="381" t="n">
        <x:f>SUMIFS('Wind Proxy'!$H$8:$H$19,'Wind Proxy'!$A$8:$A$19,'Estimator'!$B$4,'Wind Proxy'!$B$8:$B$19,C3800)</x:f>
        <x:v>0.11350059737156513</x:v>
      </x:c>
    </x:row>
    <x:row r="3801">
      <x:c r="A3801" s="379" t="n">
        <x:v>49452</x:v>
      </x:c>
      <x:c r="B3801" s="380" t="n">
        <x:v>2035</x:v>
      </x:c>
      <x:c r="C3801" s="380" t="n">
        <x:v>5</x:v>
      </x:c>
      <x:c r="D3801" s="380" t="str">
        <x:v>May</x:v>
      </x:c>
      <x:c r="E3801" s="380" t="n">
        <x:v>23</x:v>
      </x:c>
      <x:c r="F3801" s="380" t="n">
        <x:v>3</x:v>
      </x:c>
      <x:c r="G3801" s="380" t="n">
        <x:f>--(F3801&lt;='Estimator'!$B$7)</x:f>
        <x:v>1</x:v>
      </x:c>
      <x:c r="H3801" s="381" t="n">
        <x:f>SUMIFS('Climate Data'!$G$7:$G$366,'Climate Data'!$A$7:$A$366,'Estimator'!$B$4,'Climate Data'!$B$7:$B$366,C3801)</x:f>
        <x:v>0.41935483870967744</x:v>
      </x:c>
      <x:c r="I3801" s="382" t="n">
        <x:f>SUMIFS('Climate Data'!$H$7:$H$366,'Climate Data'!$A$7:$A$366,'Estimator'!$B$4,'Climate Data'!$B$7:$B$366,C3801)</x:f>
        <x:v>9.215384615384615</x:v>
      </x:c>
      <x:c r="J3801" s="381" t="n">
        <x:f>SUMIFS('Wind Proxy'!$H$8:$H$19,'Wind Proxy'!$A$8:$A$19,'Estimator'!$B$4,'Wind Proxy'!$B$8:$B$19,C3801)</x:f>
        <x:v>0.11350059737156513</x:v>
      </x:c>
    </x:row>
    <x:row r="3802">
      <x:c r="A3802" s="379" t="n">
        <x:v>49453</x:v>
      </x:c>
      <x:c r="B3802" s="380" t="n">
        <x:v>2035</x:v>
      </x:c>
      <x:c r="C3802" s="380" t="n">
        <x:v>5</x:v>
      </x:c>
      <x:c r="D3802" s="380" t="str">
        <x:v>May</x:v>
      </x:c>
      <x:c r="E3802" s="380" t="n">
        <x:v>24</x:v>
      </x:c>
      <x:c r="F3802" s="380" t="n">
        <x:v>4</x:v>
      </x:c>
      <x:c r="G3802" s="380" t="n">
        <x:f>--(F3802&lt;='Estimator'!$B$7)</x:f>
        <x:v>1</x:v>
      </x:c>
      <x:c r="H3802" s="381" t="n">
        <x:f>SUMIFS('Climate Data'!$G$7:$G$366,'Climate Data'!$A$7:$A$366,'Estimator'!$B$4,'Climate Data'!$B$7:$B$366,C3802)</x:f>
        <x:v>0.41935483870967744</x:v>
      </x:c>
      <x:c r="I3802" s="382" t="n">
        <x:f>SUMIFS('Climate Data'!$H$7:$H$366,'Climate Data'!$A$7:$A$366,'Estimator'!$B$4,'Climate Data'!$B$7:$B$366,C3802)</x:f>
        <x:v>9.215384615384615</x:v>
      </x:c>
      <x:c r="J3802" s="381" t="n">
        <x:f>SUMIFS('Wind Proxy'!$H$8:$H$19,'Wind Proxy'!$A$8:$A$19,'Estimator'!$B$4,'Wind Proxy'!$B$8:$B$19,C3802)</x:f>
        <x:v>0.11350059737156513</x:v>
      </x:c>
    </x:row>
    <x:row r="3803">
      <x:c r="A3803" s="379" t="n">
        <x:v>49454</x:v>
      </x:c>
      <x:c r="B3803" s="380" t="n">
        <x:v>2035</x:v>
      </x:c>
      <x:c r="C3803" s="380" t="n">
        <x:v>5</x:v>
      </x:c>
      <x:c r="D3803" s="380" t="str">
        <x:v>May</x:v>
      </x:c>
      <x:c r="E3803" s="380" t="n">
        <x:v>25</x:v>
      </x:c>
      <x:c r="F3803" s="380" t="n">
        <x:v>5</x:v>
      </x:c>
      <x:c r="G3803" s="380" t="n">
        <x:f>--(F3803&lt;='Estimator'!$B$7)</x:f>
        <x:v>1</x:v>
      </x:c>
      <x:c r="H3803" s="381" t="n">
        <x:f>SUMIFS('Climate Data'!$G$7:$G$366,'Climate Data'!$A$7:$A$366,'Estimator'!$B$4,'Climate Data'!$B$7:$B$366,C3803)</x:f>
        <x:v>0.41935483870967744</x:v>
      </x:c>
      <x:c r="I3803" s="382" t="n">
        <x:f>SUMIFS('Climate Data'!$H$7:$H$366,'Climate Data'!$A$7:$A$366,'Estimator'!$B$4,'Climate Data'!$B$7:$B$366,C3803)</x:f>
        <x:v>9.215384615384615</x:v>
      </x:c>
      <x:c r="J3803" s="381" t="n">
        <x:f>SUMIFS('Wind Proxy'!$H$8:$H$19,'Wind Proxy'!$A$8:$A$19,'Estimator'!$B$4,'Wind Proxy'!$B$8:$B$19,C3803)</x:f>
        <x:v>0.11350059737156513</x:v>
      </x:c>
    </x:row>
    <x:row r="3804">
      <x:c r="A3804" s="379" t="n">
        <x:v>49455</x:v>
      </x:c>
      <x:c r="B3804" s="380" t="n">
        <x:v>2035</x:v>
      </x:c>
      <x:c r="C3804" s="380" t="n">
        <x:v>5</x:v>
      </x:c>
      <x:c r="D3804" s="380" t="str">
        <x:v>May</x:v>
      </x:c>
      <x:c r="E3804" s="380" t="n">
        <x:v>26</x:v>
      </x:c>
      <x:c r="F3804" s="380" t="n">
        <x:v>6</x:v>
      </x:c>
      <x:c r="G3804" s="380" t="n">
        <x:f>--(F3804&lt;='Estimator'!$B$7)</x:f>
        <x:v>0</x:v>
      </x:c>
      <x:c r="H3804" s="381" t="n">
        <x:f>SUMIFS('Climate Data'!$G$7:$G$366,'Climate Data'!$A$7:$A$366,'Estimator'!$B$4,'Climate Data'!$B$7:$B$366,C3804)</x:f>
        <x:v>0.41935483870967744</x:v>
      </x:c>
      <x:c r="I3804" s="382" t="n">
        <x:f>SUMIFS('Climate Data'!$H$7:$H$366,'Climate Data'!$A$7:$A$366,'Estimator'!$B$4,'Climate Data'!$B$7:$B$366,C3804)</x:f>
        <x:v>9.215384615384615</x:v>
      </x:c>
      <x:c r="J3804" s="381" t="n">
        <x:f>SUMIFS('Wind Proxy'!$H$8:$H$19,'Wind Proxy'!$A$8:$A$19,'Estimator'!$B$4,'Wind Proxy'!$B$8:$B$19,C3804)</x:f>
        <x:v>0.11350059737156513</x:v>
      </x:c>
    </x:row>
    <x:row r="3805">
      <x:c r="A3805" s="379" t="n">
        <x:v>49456</x:v>
      </x:c>
      <x:c r="B3805" s="380" t="n">
        <x:v>2035</x:v>
      </x:c>
      <x:c r="C3805" s="380" t="n">
        <x:v>5</x:v>
      </x:c>
      <x:c r="D3805" s="380" t="str">
        <x:v>May</x:v>
      </x:c>
      <x:c r="E3805" s="380" t="n">
        <x:v>27</x:v>
      </x:c>
      <x:c r="F3805" s="380" t="n">
        <x:v>7</x:v>
      </x:c>
      <x:c r="G3805" s="380" t="n">
        <x:f>--(F3805&lt;='Estimator'!$B$7)</x:f>
        <x:v>0</x:v>
      </x:c>
      <x:c r="H3805" s="381" t="n">
        <x:f>SUMIFS('Climate Data'!$G$7:$G$366,'Climate Data'!$A$7:$A$366,'Estimator'!$B$4,'Climate Data'!$B$7:$B$366,C3805)</x:f>
        <x:v>0.41935483870967744</x:v>
      </x:c>
      <x:c r="I3805" s="382" t="n">
        <x:f>SUMIFS('Climate Data'!$H$7:$H$366,'Climate Data'!$A$7:$A$366,'Estimator'!$B$4,'Climate Data'!$B$7:$B$366,C3805)</x:f>
        <x:v>9.215384615384615</x:v>
      </x:c>
      <x:c r="J3805" s="381" t="n">
        <x:f>SUMIFS('Wind Proxy'!$H$8:$H$19,'Wind Proxy'!$A$8:$A$19,'Estimator'!$B$4,'Wind Proxy'!$B$8:$B$19,C3805)</x:f>
        <x:v>0.11350059737156513</x:v>
      </x:c>
    </x:row>
    <x:row r="3806">
      <x:c r="A3806" s="379" t="n">
        <x:v>49457</x:v>
      </x:c>
      <x:c r="B3806" s="380" t="n">
        <x:v>2035</x:v>
      </x:c>
      <x:c r="C3806" s="380" t="n">
        <x:v>5</x:v>
      </x:c>
      <x:c r="D3806" s="380" t="str">
        <x:v>May</x:v>
      </x:c>
      <x:c r="E3806" s="380" t="n">
        <x:v>28</x:v>
      </x:c>
      <x:c r="F3806" s="380" t="n">
        <x:v>1</x:v>
      </x:c>
      <x:c r="G3806" s="380" t="n">
        <x:f>--(F3806&lt;='Estimator'!$B$7)</x:f>
        <x:v>1</x:v>
      </x:c>
      <x:c r="H3806" s="381" t="n">
        <x:f>SUMIFS('Climate Data'!$G$7:$G$366,'Climate Data'!$A$7:$A$366,'Estimator'!$B$4,'Climate Data'!$B$7:$B$366,C3806)</x:f>
        <x:v>0.41935483870967744</x:v>
      </x:c>
      <x:c r="I3806" s="382" t="n">
        <x:f>SUMIFS('Climate Data'!$H$7:$H$366,'Climate Data'!$A$7:$A$366,'Estimator'!$B$4,'Climate Data'!$B$7:$B$366,C3806)</x:f>
        <x:v>9.215384615384615</x:v>
      </x:c>
      <x:c r="J3806" s="381" t="n">
        <x:f>SUMIFS('Wind Proxy'!$H$8:$H$19,'Wind Proxy'!$A$8:$A$19,'Estimator'!$B$4,'Wind Proxy'!$B$8:$B$19,C3806)</x:f>
        <x:v>0.11350059737156513</x:v>
      </x:c>
    </x:row>
    <x:row r="3807">
      <x:c r="A3807" s="379" t="n">
        <x:v>49458</x:v>
      </x:c>
      <x:c r="B3807" s="380" t="n">
        <x:v>2035</x:v>
      </x:c>
      <x:c r="C3807" s="380" t="n">
        <x:v>5</x:v>
      </x:c>
      <x:c r="D3807" s="380" t="str">
        <x:v>May</x:v>
      </x:c>
      <x:c r="E3807" s="380" t="n">
        <x:v>29</x:v>
      </x:c>
      <x:c r="F3807" s="380" t="n">
        <x:v>2</x:v>
      </x:c>
      <x:c r="G3807" s="380" t="n">
        <x:f>--(F3807&lt;='Estimator'!$B$7)</x:f>
        <x:v>1</x:v>
      </x:c>
      <x:c r="H3807" s="381" t="n">
        <x:f>SUMIFS('Climate Data'!$G$7:$G$366,'Climate Data'!$A$7:$A$366,'Estimator'!$B$4,'Climate Data'!$B$7:$B$366,C3807)</x:f>
        <x:v>0.41935483870967744</x:v>
      </x:c>
      <x:c r="I3807" s="382" t="n">
        <x:f>SUMIFS('Climate Data'!$H$7:$H$366,'Climate Data'!$A$7:$A$366,'Estimator'!$B$4,'Climate Data'!$B$7:$B$366,C3807)</x:f>
        <x:v>9.215384615384615</x:v>
      </x:c>
      <x:c r="J3807" s="381" t="n">
        <x:f>SUMIFS('Wind Proxy'!$H$8:$H$19,'Wind Proxy'!$A$8:$A$19,'Estimator'!$B$4,'Wind Proxy'!$B$8:$B$19,C3807)</x:f>
        <x:v>0.11350059737156513</x:v>
      </x:c>
    </x:row>
    <x:row r="3808">
      <x:c r="A3808" s="379" t="n">
        <x:v>49459</x:v>
      </x:c>
      <x:c r="B3808" s="380" t="n">
        <x:v>2035</x:v>
      </x:c>
      <x:c r="C3808" s="380" t="n">
        <x:v>5</x:v>
      </x:c>
      <x:c r="D3808" s="380" t="str">
        <x:v>May</x:v>
      </x:c>
      <x:c r="E3808" s="380" t="n">
        <x:v>30</x:v>
      </x:c>
      <x:c r="F3808" s="380" t="n">
        <x:v>3</x:v>
      </x:c>
      <x:c r="G3808" s="380" t="n">
        <x:f>--(F3808&lt;='Estimator'!$B$7)</x:f>
        <x:v>1</x:v>
      </x:c>
      <x:c r="H3808" s="381" t="n">
        <x:f>SUMIFS('Climate Data'!$G$7:$G$366,'Climate Data'!$A$7:$A$366,'Estimator'!$B$4,'Climate Data'!$B$7:$B$366,C3808)</x:f>
        <x:v>0.41935483870967744</x:v>
      </x:c>
      <x:c r="I3808" s="382" t="n">
        <x:f>SUMIFS('Climate Data'!$H$7:$H$366,'Climate Data'!$A$7:$A$366,'Estimator'!$B$4,'Climate Data'!$B$7:$B$366,C3808)</x:f>
        <x:v>9.215384615384615</x:v>
      </x:c>
      <x:c r="J3808" s="381" t="n">
        <x:f>SUMIFS('Wind Proxy'!$H$8:$H$19,'Wind Proxy'!$A$8:$A$19,'Estimator'!$B$4,'Wind Proxy'!$B$8:$B$19,C3808)</x:f>
        <x:v>0.11350059737156513</x:v>
      </x:c>
    </x:row>
    <x:row r="3809">
      <x:c r="A3809" s="379" t="n">
        <x:v>49460</x:v>
      </x:c>
      <x:c r="B3809" s="380" t="n">
        <x:v>2035</x:v>
      </x:c>
      <x:c r="C3809" s="380" t="n">
        <x:v>5</x:v>
      </x:c>
      <x:c r="D3809" s="380" t="str">
        <x:v>May</x:v>
      </x:c>
      <x:c r="E3809" s="380" t="n">
        <x:v>31</x:v>
      </x:c>
      <x:c r="F3809" s="380" t="n">
        <x:v>4</x:v>
      </x:c>
      <x:c r="G3809" s="380" t="n">
        <x:f>--(F3809&lt;='Estimator'!$B$7)</x:f>
        <x:v>1</x:v>
      </x:c>
      <x:c r="H3809" s="381" t="n">
        <x:f>SUMIFS('Climate Data'!$G$7:$G$366,'Climate Data'!$A$7:$A$366,'Estimator'!$B$4,'Climate Data'!$B$7:$B$366,C3809)</x:f>
        <x:v>0.41935483870967744</x:v>
      </x:c>
      <x:c r="I3809" s="382" t="n">
        <x:f>SUMIFS('Climate Data'!$H$7:$H$366,'Climate Data'!$A$7:$A$366,'Estimator'!$B$4,'Climate Data'!$B$7:$B$366,C3809)</x:f>
        <x:v>9.215384615384615</x:v>
      </x:c>
      <x:c r="J3809" s="381" t="n">
        <x:f>SUMIFS('Wind Proxy'!$H$8:$H$19,'Wind Proxy'!$A$8:$A$19,'Estimator'!$B$4,'Wind Proxy'!$B$8:$B$19,C3809)</x:f>
        <x:v>0.11350059737156513</x:v>
      </x:c>
    </x:row>
    <x:row r="3810">
      <x:c r="A3810" s="379" t="n">
        <x:v>49461</x:v>
      </x:c>
      <x:c r="B3810" s="380" t="n">
        <x:v>2035</x:v>
      </x:c>
      <x:c r="C3810" s="380" t="n">
        <x:v>6</x:v>
      </x:c>
      <x:c r="D3810" s="380" t="str">
        <x:v>Jun</x:v>
      </x:c>
      <x:c r="E3810" s="380" t="n">
        <x:v>1</x:v>
      </x:c>
      <x:c r="F3810" s="380" t="n">
        <x:v>5</x:v>
      </x:c>
      <x:c r="G3810" s="380" t="n">
        <x:f>--(F3810&lt;='Estimator'!$B$7)</x:f>
        <x:v>1</x:v>
      </x:c>
      <x:c r="H3810" s="381" t="n">
        <x:f>SUMIFS('Climate Data'!$G$7:$G$366,'Climate Data'!$A$7:$A$366,'Estimator'!$B$4,'Climate Data'!$B$7:$B$366,C3810)</x:f>
        <x:v>0.475</x:v>
      </x:c>
      <x:c r="I3810" s="382" t="n">
        <x:f>SUMIFS('Climate Data'!$H$7:$H$366,'Climate Data'!$A$7:$A$366,'Estimator'!$B$4,'Climate Data'!$B$7:$B$366,C3810)</x:f>
        <x:v>8.378947368421054</x:v>
      </x:c>
      <x:c r="J3810" s="381" t="n">
        <x:f>SUMIFS('Wind Proxy'!$H$8:$H$19,'Wind Proxy'!$A$8:$A$19,'Estimator'!$B$4,'Wind Proxy'!$B$8:$B$19,C3810)</x:f>
        <x:v>0.14197530864197533</x:v>
      </x:c>
    </x:row>
    <x:row r="3811">
      <x:c r="A3811" s="379" t="n">
        <x:v>49462</x:v>
      </x:c>
      <x:c r="B3811" s="380" t="n">
        <x:v>2035</x:v>
      </x:c>
      <x:c r="C3811" s="380" t="n">
        <x:v>6</x:v>
      </x:c>
      <x:c r="D3811" s="380" t="str">
        <x:v>Jun</x:v>
      </x:c>
      <x:c r="E3811" s="380" t="n">
        <x:v>2</x:v>
      </x:c>
      <x:c r="F3811" s="380" t="n">
        <x:v>6</x:v>
      </x:c>
      <x:c r="G3811" s="380" t="n">
        <x:f>--(F3811&lt;='Estimator'!$B$7)</x:f>
        <x:v>0</x:v>
      </x:c>
      <x:c r="H3811" s="381" t="n">
        <x:f>SUMIFS('Climate Data'!$G$7:$G$366,'Climate Data'!$A$7:$A$366,'Estimator'!$B$4,'Climate Data'!$B$7:$B$366,C3811)</x:f>
        <x:v>0.475</x:v>
      </x:c>
      <x:c r="I3811" s="382" t="n">
        <x:f>SUMIFS('Climate Data'!$H$7:$H$366,'Climate Data'!$A$7:$A$366,'Estimator'!$B$4,'Climate Data'!$B$7:$B$366,C3811)</x:f>
        <x:v>8.378947368421054</x:v>
      </x:c>
      <x:c r="J3811" s="381" t="n">
        <x:f>SUMIFS('Wind Proxy'!$H$8:$H$19,'Wind Proxy'!$A$8:$A$19,'Estimator'!$B$4,'Wind Proxy'!$B$8:$B$19,C3811)</x:f>
        <x:v>0.14197530864197533</x:v>
      </x:c>
    </x:row>
    <x:row r="3812">
      <x:c r="A3812" s="379" t="n">
        <x:v>49463</x:v>
      </x:c>
      <x:c r="B3812" s="380" t="n">
        <x:v>2035</x:v>
      </x:c>
      <x:c r="C3812" s="380" t="n">
        <x:v>6</x:v>
      </x:c>
      <x:c r="D3812" s="380" t="str">
        <x:v>Jun</x:v>
      </x:c>
      <x:c r="E3812" s="380" t="n">
        <x:v>3</x:v>
      </x:c>
      <x:c r="F3812" s="380" t="n">
        <x:v>7</x:v>
      </x:c>
      <x:c r="G3812" s="380" t="n">
        <x:f>--(F3812&lt;='Estimator'!$B$7)</x:f>
        <x:v>0</x:v>
      </x:c>
      <x:c r="H3812" s="381" t="n">
        <x:f>SUMIFS('Climate Data'!$G$7:$G$366,'Climate Data'!$A$7:$A$366,'Estimator'!$B$4,'Climate Data'!$B$7:$B$366,C3812)</x:f>
        <x:v>0.475</x:v>
      </x:c>
      <x:c r="I3812" s="382" t="n">
        <x:f>SUMIFS('Climate Data'!$H$7:$H$366,'Climate Data'!$A$7:$A$366,'Estimator'!$B$4,'Climate Data'!$B$7:$B$366,C3812)</x:f>
        <x:v>8.378947368421054</x:v>
      </x:c>
      <x:c r="J3812" s="381" t="n">
        <x:f>SUMIFS('Wind Proxy'!$H$8:$H$19,'Wind Proxy'!$A$8:$A$19,'Estimator'!$B$4,'Wind Proxy'!$B$8:$B$19,C3812)</x:f>
        <x:v>0.14197530864197533</x:v>
      </x:c>
    </x:row>
    <x:row r="3813">
      <x:c r="A3813" s="379" t="n">
        <x:v>49464</x:v>
      </x:c>
      <x:c r="B3813" s="380" t="n">
        <x:v>2035</x:v>
      </x:c>
      <x:c r="C3813" s="380" t="n">
        <x:v>6</x:v>
      </x:c>
      <x:c r="D3813" s="380" t="str">
        <x:v>Jun</x:v>
      </x:c>
      <x:c r="E3813" s="380" t="n">
        <x:v>4</x:v>
      </x:c>
      <x:c r="F3813" s="380" t="n">
        <x:v>1</x:v>
      </x:c>
      <x:c r="G3813" s="380" t="n">
        <x:f>--(F3813&lt;='Estimator'!$B$7)</x:f>
        <x:v>1</x:v>
      </x:c>
      <x:c r="H3813" s="381" t="n">
        <x:f>SUMIFS('Climate Data'!$G$7:$G$366,'Climate Data'!$A$7:$A$366,'Estimator'!$B$4,'Climate Data'!$B$7:$B$366,C3813)</x:f>
        <x:v>0.475</x:v>
      </x:c>
      <x:c r="I3813" s="382" t="n">
        <x:f>SUMIFS('Climate Data'!$H$7:$H$366,'Climate Data'!$A$7:$A$366,'Estimator'!$B$4,'Climate Data'!$B$7:$B$366,C3813)</x:f>
        <x:v>8.378947368421054</x:v>
      </x:c>
      <x:c r="J3813" s="381" t="n">
        <x:f>SUMIFS('Wind Proxy'!$H$8:$H$19,'Wind Proxy'!$A$8:$A$19,'Estimator'!$B$4,'Wind Proxy'!$B$8:$B$19,C3813)</x:f>
        <x:v>0.14197530864197533</x:v>
      </x:c>
    </x:row>
    <x:row r="3814">
      <x:c r="A3814" s="379" t="n">
        <x:v>49465</x:v>
      </x:c>
      <x:c r="B3814" s="380" t="n">
        <x:v>2035</x:v>
      </x:c>
      <x:c r="C3814" s="380" t="n">
        <x:v>6</x:v>
      </x:c>
      <x:c r="D3814" s="380" t="str">
        <x:v>Jun</x:v>
      </x:c>
      <x:c r="E3814" s="380" t="n">
        <x:v>5</x:v>
      </x:c>
      <x:c r="F3814" s="380" t="n">
        <x:v>2</x:v>
      </x:c>
      <x:c r="G3814" s="380" t="n">
        <x:f>--(F3814&lt;='Estimator'!$B$7)</x:f>
        <x:v>1</x:v>
      </x:c>
      <x:c r="H3814" s="381" t="n">
        <x:f>SUMIFS('Climate Data'!$G$7:$G$366,'Climate Data'!$A$7:$A$366,'Estimator'!$B$4,'Climate Data'!$B$7:$B$366,C3814)</x:f>
        <x:v>0.475</x:v>
      </x:c>
      <x:c r="I3814" s="382" t="n">
        <x:f>SUMIFS('Climate Data'!$H$7:$H$366,'Climate Data'!$A$7:$A$366,'Estimator'!$B$4,'Climate Data'!$B$7:$B$366,C3814)</x:f>
        <x:v>8.378947368421054</x:v>
      </x:c>
      <x:c r="J3814" s="381" t="n">
        <x:f>SUMIFS('Wind Proxy'!$H$8:$H$19,'Wind Proxy'!$A$8:$A$19,'Estimator'!$B$4,'Wind Proxy'!$B$8:$B$19,C3814)</x:f>
        <x:v>0.14197530864197533</x:v>
      </x:c>
    </x:row>
    <x:row r="3815">
      <x:c r="A3815" s="379" t="n">
        <x:v>49466</x:v>
      </x:c>
      <x:c r="B3815" s="380" t="n">
        <x:v>2035</x:v>
      </x:c>
      <x:c r="C3815" s="380" t="n">
        <x:v>6</x:v>
      </x:c>
      <x:c r="D3815" s="380" t="str">
        <x:v>Jun</x:v>
      </x:c>
      <x:c r="E3815" s="380" t="n">
        <x:v>6</x:v>
      </x:c>
      <x:c r="F3815" s="380" t="n">
        <x:v>3</x:v>
      </x:c>
      <x:c r="G3815" s="380" t="n">
        <x:f>--(F3815&lt;='Estimator'!$B$7)</x:f>
        <x:v>1</x:v>
      </x:c>
      <x:c r="H3815" s="381" t="n">
        <x:f>SUMIFS('Climate Data'!$G$7:$G$366,'Climate Data'!$A$7:$A$366,'Estimator'!$B$4,'Climate Data'!$B$7:$B$366,C3815)</x:f>
        <x:v>0.475</x:v>
      </x:c>
      <x:c r="I3815" s="382" t="n">
        <x:f>SUMIFS('Climate Data'!$H$7:$H$366,'Climate Data'!$A$7:$A$366,'Estimator'!$B$4,'Climate Data'!$B$7:$B$366,C3815)</x:f>
        <x:v>8.378947368421054</x:v>
      </x:c>
      <x:c r="J3815" s="381" t="n">
        <x:f>SUMIFS('Wind Proxy'!$H$8:$H$19,'Wind Proxy'!$A$8:$A$19,'Estimator'!$B$4,'Wind Proxy'!$B$8:$B$19,C3815)</x:f>
        <x:v>0.14197530864197533</x:v>
      </x:c>
    </x:row>
    <x:row r="3816">
      <x:c r="A3816" s="379" t="n">
        <x:v>49467</x:v>
      </x:c>
      <x:c r="B3816" s="380" t="n">
        <x:v>2035</x:v>
      </x:c>
      <x:c r="C3816" s="380" t="n">
        <x:v>6</x:v>
      </x:c>
      <x:c r="D3816" s="380" t="str">
        <x:v>Jun</x:v>
      </x:c>
      <x:c r="E3816" s="380" t="n">
        <x:v>7</x:v>
      </x:c>
      <x:c r="F3816" s="380" t="n">
        <x:v>4</x:v>
      </x:c>
      <x:c r="G3816" s="380" t="n">
        <x:f>--(F3816&lt;='Estimator'!$B$7)</x:f>
        <x:v>1</x:v>
      </x:c>
      <x:c r="H3816" s="381" t="n">
        <x:f>SUMIFS('Climate Data'!$G$7:$G$366,'Climate Data'!$A$7:$A$366,'Estimator'!$B$4,'Climate Data'!$B$7:$B$366,C3816)</x:f>
        <x:v>0.475</x:v>
      </x:c>
      <x:c r="I3816" s="382" t="n">
        <x:f>SUMIFS('Climate Data'!$H$7:$H$366,'Climate Data'!$A$7:$A$366,'Estimator'!$B$4,'Climate Data'!$B$7:$B$366,C3816)</x:f>
        <x:v>8.378947368421054</x:v>
      </x:c>
      <x:c r="J3816" s="381" t="n">
        <x:f>SUMIFS('Wind Proxy'!$H$8:$H$19,'Wind Proxy'!$A$8:$A$19,'Estimator'!$B$4,'Wind Proxy'!$B$8:$B$19,C3816)</x:f>
        <x:v>0.14197530864197533</x:v>
      </x:c>
    </x:row>
    <x:row r="3817">
      <x:c r="A3817" s="379" t="n">
        <x:v>49468</x:v>
      </x:c>
      <x:c r="B3817" s="380" t="n">
        <x:v>2035</x:v>
      </x:c>
      <x:c r="C3817" s="380" t="n">
        <x:v>6</x:v>
      </x:c>
      <x:c r="D3817" s="380" t="str">
        <x:v>Jun</x:v>
      </x:c>
      <x:c r="E3817" s="380" t="n">
        <x:v>8</x:v>
      </x:c>
      <x:c r="F3817" s="380" t="n">
        <x:v>5</x:v>
      </x:c>
      <x:c r="G3817" s="380" t="n">
        <x:f>--(F3817&lt;='Estimator'!$B$7)</x:f>
        <x:v>1</x:v>
      </x:c>
      <x:c r="H3817" s="381" t="n">
        <x:f>SUMIFS('Climate Data'!$G$7:$G$366,'Climate Data'!$A$7:$A$366,'Estimator'!$B$4,'Climate Data'!$B$7:$B$366,C3817)</x:f>
        <x:v>0.475</x:v>
      </x:c>
      <x:c r="I3817" s="382" t="n">
        <x:f>SUMIFS('Climate Data'!$H$7:$H$366,'Climate Data'!$A$7:$A$366,'Estimator'!$B$4,'Climate Data'!$B$7:$B$366,C3817)</x:f>
        <x:v>8.378947368421054</x:v>
      </x:c>
      <x:c r="J3817" s="381" t="n">
        <x:f>SUMIFS('Wind Proxy'!$H$8:$H$19,'Wind Proxy'!$A$8:$A$19,'Estimator'!$B$4,'Wind Proxy'!$B$8:$B$19,C3817)</x:f>
        <x:v>0.14197530864197533</x:v>
      </x:c>
    </x:row>
    <x:row r="3818">
      <x:c r="A3818" s="379" t="n">
        <x:v>49469</x:v>
      </x:c>
      <x:c r="B3818" s="380" t="n">
        <x:v>2035</x:v>
      </x:c>
      <x:c r="C3818" s="380" t="n">
        <x:v>6</x:v>
      </x:c>
      <x:c r="D3818" s="380" t="str">
        <x:v>Jun</x:v>
      </x:c>
      <x:c r="E3818" s="380" t="n">
        <x:v>9</x:v>
      </x:c>
      <x:c r="F3818" s="380" t="n">
        <x:v>6</x:v>
      </x:c>
      <x:c r="G3818" s="380" t="n">
        <x:f>--(F3818&lt;='Estimator'!$B$7)</x:f>
        <x:v>0</x:v>
      </x:c>
      <x:c r="H3818" s="381" t="n">
        <x:f>SUMIFS('Climate Data'!$G$7:$G$366,'Climate Data'!$A$7:$A$366,'Estimator'!$B$4,'Climate Data'!$B$7:$B$366,C3818)</x:f>
        <x:v>0.475</x:v>
      </x:c>
      <x:c r="I3818" s="382" t="n">
        <x:f>SUMIFS('Climate Data'!$H$7:$H$366,'Climate Data'!$A$7:$A$366,'Estimator'!$B$4,'Climate Data'!$B$7:$B$366,C3818)</x:f>
        <x:v>8.378947368421054</x:v>
      </x:c>
      <x:c r="J3818" s="381" t="n">
        <x:f>SUMIFS('Wind Proxy'!$H$8:$H$19,'Wind Proxy'!$A$8:$A$19,'Estimator'!$B$4,'Wind Proxy'!$B$8:$B$19,C3818)</x:f>
        <x:v>0.14197530864197533</x:v>
      </x:c>
    </x:row>
    <x:row r="3819">
      <x:c r="A3819" s="379" t="n">
        <x:v>49470</x:v>
      </x:c>
      <x:c r="B3819" s="380" t="n">
        <x:v>2035</x:v>
      </x:c>
      <x:c r="C3819" s="380" t="n">
        <x:v>6</x:v>
      </x:c>
      <x:c r="D3819" s="380" t="str">
        <x:v>Jun</x:v>
      </x:c>
      <x:c r="E3819" s="380" t="n">
        <x:v>10</x:v>
      </x:c>
      <x:c r="F3819" s="380" t="n">
        <x:v>7</x:v>
      </x:c>
      <x:c r="G3819" s="380" t="n">
        <x:f>--(F3819&lt;='Estimator'!$B$7)</x:f>
        <x:v>0</x:v>
      </x:c>
      <x:c r="H3819" s="381" t="n">
        <x:f>SUMIFS('Climate Data'!$G$7:$G$366,'Climate Data'!$A$7:$A$366,'Estimator'!$B$4,'Climate Data'!$B$7:$B$366,C3819)</x:f>
        <x:v>0.475</x:v>
      </x:c>
      <x:c r="I3819" s="382" t="n">
        <x:f>SUMIFS('Climate Data'!$H$7:$H$366,'Climate Data'!$A$7:$A$366,'Estimator'!$B$4,'Climate Data'!$B$7:$B$366,C3819)</x:f>
        <x:v>8.378947368421054</x:v>
      </x:c>
      <x:c r="J3819" s="381" t="n">
        <x:f>SUMIFS('Wind Proxy'!$H$8:$H$19,'Wind Proxy'!$A$8:$A$19,'Estimator'!$B$4,'Wind Proxy'!$B$8:$B$19,C3819)</x:f>
        <x:v>0.14197530864197533</x:v>
      </x:c>
    </x:row>
    <x:row r="3820">
      <x:c r="A3820" s="379" t="n">
        <x:v>49471</x:v>
      </x:c>
      <x:c r="B3820" s="380" t="n">
        <x:v>2035</x:v>
      </x:c>
      <x:c r="C3820" s="380" t="n">
        <x:v>6</x:v>
      </x:c>
      <x:c r="D3820" s="380" t="str">
        <x:v>Jun</x:v>
      </x:c>
      <x:c r="E3820" s="380" t="n">
        <x:v>11</x:v>
      </x:c>
      <x:c r="F3820" s="380" t="n">
        <x:v>1</x:v>
      </x:c>
      <x:c r="G3820" s="380" t="n">
        <x:f>--(F3820&lt;='Estimator'!$B$7)</x:f>
        <x:v>1</x:v>
      </x:c>
      <x:c r="H3820" s="381" t="n">
        <x:f>SUMIFS('Climate Data'!$G$7:$G$366,'Climate Data'!$A$7:$A$366,'Estimator'!$B$4,'Climate Data'!$B$7:$B$366,C3820)</x:f>
        <x:v>0.475</x:v>
      </x:c>
      <x:c r="I3820" s="382" t="n">
        <x:f>SUMIFS('Climate Data'!$H$7:$H$366,'Climate Data'!$A$7:$A$366,'Estimator'!$B$4,'Climate Data'!$B$7:$B$366,C3820)</x:f>
        <x:v>8.378947368421054</x:v>
      </x:c>
      <x:c r="J3820" s="381" t="n">
        <x:f>SUMIFS('Wind Proxy'!$H$8:$H$19,'Wind Proxy'!$A$8:$A$19,'Estimator'!$B$4,'Wind Proxy'!$B$8:$B$19,C3820)</x:f>
        <x:v>0.14197530864197533</x:v>
      </x:c>
    </x:row>
    <x:row r="3821">
      <x:c r="A3821" s="379" t="n">
        <x:v>49472</x:v>
      </x:c>
      <x:c r="B3821" s="380" t="n">
        <x:v>2035</x:v>
      </x:c>
      <x:c r="C3821" s="380" t="n">
        <x:v>6</x:v>
      </x:c>
      <x:c r="D3821" s="380" t="str">
        <x:v>Jun</x:v>
      </x:c>
      <x:c r="E3821" s="380" t="n">
        <x:v>12</x:v>
      </x:c>
      <x:c r="F3821" s="380" t="n">
        <x:v>2</x:v>
      </x:c>
      <x:c r="G3821" s="380" t="n">
        <x:f>--(F3821&lt;='Estimator'!$B$7)</x:f>
        <x:v>1</x:v>
      </x:c>
      <x:c r="H3821" s="381" t="n">
        <x:f>SUMIFS('Climate Data'!$G$7:$G$366,'Climate Data'!$A$7:$A$366,'Estimator'!$B$4,'Climate Data'!$B$7:$B$366,C3821)</x:f>
        <x:v>0.475</x:v>
      </x:c>
      <x:c r="I3821" s="382" t="n">
        <x:f>SUMIFS('Climate Data'!$H$7:$H$366,'Climate Data'!$A$7:$A$366,'Estimator'!$B$4,'Climate Data'!$B$7:$B$366,C3821)</x:f>
        <x:v>8.378947368421054</x:v>
      </x:c>
      <x:c r="J3821" s="381" t="n">
        <x:f>SUMIFS('Wind Proxy'!$H$8:$H$19,'Wind Proxy'!$A$8:$A$19,'Estimator'!$B$4,'Wind Proxy'!$B$8:$B$19,C3821)</x:f>
        <x:v>0.14197530864197533</x:v>
      </x:c>
    </x:row>
    <x:row r="3822">
      <x:c r="A3822" s="379" t="n">
        <x:v>49473</x:v>
      </x:c>
      <x:c r="B3822" s="380" t="n">
        <x:v>2035</x:v>
      </x:c>
      <x:c r="C3822" s="380" t="n">
        <x:v>6</x:v>
      </x:c>
      <x:c r="D3822" s="380" t="str">
        <x:v>Jun</x:v>
      </x:c>
      <x:c r="E3822" s="380" t="n">
        <x:v>13</x:v>
      </x:c>
      <x:c r="F3822" s="380" t="n">
        <x:v>3</x:v>
      </x:c>
      <x:c r="G3822" s="380" t="n">
        <x:f>--(F3822&lt;='Estimator'!$B$7)</x:f>
        <x:v>1</x:v>
      </x:c>
      <x:c r="H3822" s="381" t="n">
        <x:f>SUMIFS('Climate Data'!$G$7:$G$366,'Climate Data'!$A$7:$A$366,'Estimator'!$B$4,'Climate Data'!$B$7:$B$366,C3822)</x:f>
        <x:v>0.475</x:v>
      </x:c>
      <x:c r="I3822" s="382" t="n">
        <x:f>SUMIFS('Climate Data'!$H$7:$H$366,'Climate Data'!$A$7:$A$366,'Estimator'!$B$4,'Climate Data'!$B$7:$B$366,C3822)</x:f>
        <x:v>8.378947368421054</x:v>
      </x:c>
      <x:c r="J3822" s="381" t="n">
        <x:f>SUMIFS('Wind Proxy'!$H$8:$H$19,'Wind Proxy'!$A$8:$A$19,'Estimator'!$B$4,'Wind Proxy'!$B$8:$B$19,C3822)</x:f>
        <x:v>0.14197530864197533</x:v>
      </x:c>
    </x:row>
    <x:row r="3823">
      <x:c r="A3823" s="379" t="n">
        <x:v>49474</x:v>
      </x:c>
      <x:c r="B3823" s="380" t="n">
        <x:v>2035</x:v>
      </x:c>
      <x:c r="C3823" s="380" t="n">
        <x:v>6</x:v>
      </x:c>
      <x:c r="D3823" s="380" t="str">
        <x:v>Jun</x:v>
      </x:c>
      <x:c r="E3823" s="380" t="n">
        <x:v>14</x:v>
      </x:c>
      <x:c r="F3823" s="380" t="n">
        <x:v>4</x:v>
      </x:c>
      <x:c r="G3823" s="380" t="n">
        <x:f>--(F3823&lt;='Estimator'!$B$7)</x:f>
        <x:v>1</x:v>
      </x:c>
      <x:c r="H3823" s="381" t="n">
        <x:f>SUMIFS('Climate Data'!$G$7:$G$366,'Climate Data'!$A$7:$A$366,'Estimator'!$B$4,'Climate Data'!$B$7:$B$366,C3823)</x:f>
        <x:v>0.475</x:v>
      </x:c>
      <x:c r="I3823" s="382" t="n">
        <x:f>SUMIFS('Climate Data'!$H$7:$H$366,'Climate Data'!$A$7:$A$366,'Estimator'!$B$4,'Climate Data'!$B$7:$B$366,C3823)</x:f>
        <x:v>8.378947368421054</x:v>
      </x:c>
      <x:c r="J3823" s="381" t="n">
        <x:f>SUMIFS('Wind Proxy'!$H$8:$H$19,'Wind Proxy'!$A$8:$A$19,'Estimator'!$B$4,'Wind Proxy'!$B$8:$B$19,C3823)</x:f>
        <x:v>0.14197530864197533</x:v>
      </x:c>
    </x:row>
    <x:row r="3824">
      <x:c r="A3824" s="379" t="n">
        <x:v>49475</x:v>
      </x:c>
      <x:c r="B3824" s="380" t="n">
        <x:v>2035</x:v>
      </x:c>
      <x:c r="C3824" s="380" t="n">
        <x:v>6</x:v>
      </x:c>
      <x:c r="D3824" s="380" t="str">
        <x:v>Jun</x:v>
      </x:c>
      <x:c r="E3824" s="380" t="n">
        <x:v>15</x:v>
      </x:c>
      <x:c r="F3824" s="380" t="n">
        <x:v>5</x:v>
      </x:c>
      <x:c r="G3824" s="380" t="n">
        <x:f>--(F3824&lt;='Estimator'!$B$7)</x:f>
        <x:v>1</x:v>
      </x:c>
      <x:c r="H3824" s="381" t="n">
        <x:f>SUMIFS('Climate Data'!$G$7:$G$366,'Climate Data'!$A$7:$A$366,'Estimator'!$B$4,'Climate Data'!$B$7:$B$366,C3824)</x:f>
        <x:v>0.475</x:v>
      </x:c>
      <x:c r="I3824" s="382" t="n">
        <x:f>SUMIFS('Climate Data'!$H$7:$H$366,'Climate Data'!$A$7:$A$366,'Estimator'!$B$4,'Climate Data'!$B$7:$B$366,C3824)</x:f>
        <x:v>8.378947368421054</x:v>
      </x:c>
      <x:c r="J3824" s="381" t="n">
        <x:f>SUMIFS('Wind Proxy'!$H$8:$H$19,'Wind Proxy'!$A$8:$A$19,'Estimator'!$B$4,'Wind Proxy'!$B$8:$B$19,C3824)</x:f>
        <x:v>0.14197530864197533</x:v>
      </x:c>
    </x:row>
    <x:row r="3825">
      <x:c r="A3825" s="379" t="n">
        <x:v>49476</x:v>
      </x:c>
      <x:c r="B3825" s="380" t="n">
        <x:v>2035</x:v>
      </x:c>
      <x:c r="C3825" s="380" t="n">
        <x:v>6</x:v>
      </x:c>
      <x:c r="D3825" s="380" t="str">
        <x:v>Jun</x:v>
      </x:c>
      <x:c r="E3825" s="380" t="n">
        <x:v>16</x:v>
      </x:c>
      <x:c r="F3825" s="380" t="n">
        <x:v>6</x:v>
      </x:c>
      <x:c r="G3825" s="380" t="n">
        <x:f>--(F3825&lt;='Estimator'!$B$7)</x:f>
        <x:v>0</x:v>
      </x:c>
      <x:c r="H3825" s="381" t="n">
        <x:f>SUMIFS('Climate Data'!$G$7:$G$366,'Climate Data'!$A$7:$A$366,'Estimator'!$B$4,'Climate Data'!$B$7:$B$366,C3825)</x:f>
        <x:v>0.475</x:v>
      </x:c>
      <x:c r="I3825" s="382" t="n">
        <x:f>SUMIFS('Climate Data'!$H$7:$H$366,'Climate Data'!$A$7:$A$366,'Estimator'!$B$4,'Climate Data'!$B$7:$B$366,C3825)</x:f>
        <x:v>8.378947368421054</x:v>
      </x:c>
      <x:c r="J3825" s="381" t="n">
        <x:f>SUMIFS('Wind Proxy'!$H$8:$H$19,'Wind Proxy'!$A$8:$A$19,'Estimator'!$B$4,'Wind Proxy'!$B$8:$B$19,C3825)</x:f>
        <x:v>0.14197530864197533</x:v>
      </x:c>
    </x:row>
    <x:row r="3826">
      <x:c r="A3826" s="379" t="n">
        <x:v>49477</x:v>
      </x:c>
      <x:c r="B3826" s="380" t="n">
        <x:v>2035</x:v>
      </x:c>
      <x:c r="C3826" s="380" t="n">
        <x:v>6</x:v>
      </x:c>
      <x:c r="D3826" s="380" t="str">
        <x:v>Jun</x:v>
      </x:c>
      <x:c r="E3826" s="380" t="n">
        <x:v>17</x:v>
      </x:c>
      <x:c r="F3826" s="380" t="n">
        <x:v>7</x:v>
      </x:c>
      <x:c r="G3826" s="380" t="n">
        <x:f>--(F3826&lt;='Estimator'!$B$7)</x:f>
        <x:v>0</x:v>
      </x:c>
      <x:c r="H3826" s="381" t="n">
        <x:f>SUMIFS('Climate Data'!$G$7:$G$366,'Climate Data'!$A$7:$A$366,'Estimator'!$B$4,'Climate Data'!$B$7:$B$366,C3826)</x:f>
        <x:v>0.475</x:v>
      </x:c>
      <x:c r="I3826" s="382" t="n">
        <x:f>SUMIFS('Climate Data'!$H$7:$H$366,'Climate Data'!$A$7:$A$366,'Estimator'!$B$4,'Climate Data'!$B$7:$B$366,C3826)</x:f>
        <x:v>8.378947368421054</x:v>
      </x:c>
      <x:c r="J3826" s="381" t="n">
        <x:f>SUMIFS('Wind Proxy'!$H$8:$H$19,'Wind Proxy'!$A$8:$A$19,'Estimator'!$B$4,'Wind Proxy'!$B$8:$B$19,C3826)</x:f>
        <x:v>0.14197530864197533</x:v>
      </x:c>
    </x:row>
    <x:row r="3827">
      <x:c r="A3827" s="379" t="n">
        <x:v>49478</x:v>
      </x:c>
      <x:c r="B3827" s="380" t="n">
        <x:v>2035</x:v>
      </x:c>
      <x:c r="C3827" s="380" t="n">
        <x:v>6</x:v>
      </x:c>
      <x:c r="D3827" s="380" t="str">
        <x:v>Jun</x:v>
      </x:c>
      <x:c r="E3827" s="380" t="n">
        <x:v>18</x:v>
      </x:c>
      <x:c r="F3827" s="380" t="n">
        <x:v>1</x:v>
      </x:c>
      <x:c r="G3827" s="380" t="n">
        <x:f>--(F3827&lt;='Estimator'!$B$7)</x:f>
        <x:v>1</x:v>
      </x:c>
      <x:c r="H3827" s="381" t="n">
        <x:f>SUMIFS('Climate Data'!$G$7:$G$366,'Climate Data'!$A$7:$A$366,'Estimator'!$B$4,'Climate Data'!$B$7:$B$366,C3827)</x:f>
        <x:v>0.475</x:v>
      </x:c>
      <x:c r="I3827" s="382" t="n">
        <x:f>SUMIFS('Climate Data'!$H$7:$H$366,'Climate Data'!$A$7:$A$366,'Estimator'!$B$4,'Climate Data'!$B$7:$B$366,C3827)</x:f>
        <x:v>8.378947368421054</x:v>
      </x:c>
      <x:c r="J3827" s="381" t="n">
        <x:f>SUMIFS('Wind Proxy'!$H$8:$H$19,'Wind Proxy'!$A$8:$A$19,'Estimator'!$B$4,'Wind Proxy'!$B$8:$B$19,C3827)</x:f>
        <x:v>0.14197530864197533</x:v>
      </x:c>
    </x:row>
    <x:row r="3828">
      <x:c r="A3828" s="379" t="n">
        <x:v>49479</x:v>
      </x:c>
      <x:c r="B3828" s="380" t="n">
        <x:v>2035</x:v>
      </x:c>
      <x:c r="C3828" s="380" t="n">
        <x:v>6</x:v>
      </x:c>
      <x:c r="D3828" s="380" t="str">
        <x:v>Jun</x:v>
      </x:c>
      <x:c r="E3828" s="380" t="n">
        <x:v>19</x:v>
      </x:c>
      <x:c r="F3828" s="380" t="n">
        <x:v>2</x:v>
      </x:c>
      <x:c r="G3828" s="380" t="n">
        <x:f>--(F3828&lt;='Estimator'!$B$7)</x:f>
        <x:v>1</x:v>
      </x:c>
      <x:c r="H3828" s="381" t="n">
        <x:f>SUMIFS('Climate Data'!$G$7:$G$366,'Climate Data'!$A$7:$A$366,'Estimator'!$B$4,'Climate Data'!$B$7:$B$366,C3828)</x:f>
        <x:v>0.475</x:v>
      </x:c>
      <x:c r="I3828" s="382" t="n">
        <x:f>SUMIFS('Climate Data'!$H$7:$H$366,'Climate Data'!$A$7:$A$366,'Estimator'!$B$4,'Climate Data'!$B$7:$B$366,C3828)</x:f>
        <x:v>8.378947368421054</x:v>
      </x:c>
      <x:c r="J3828" s="381" t="n">
        <x:f>SUMIFS('Wind Proxy'!$H$8:$H$19,'Wind Proxy'!$A$8:$A$19,'Estimator'!$B$4,'Wind Proxy'!$B$8:$B$19,C3828)</x:f>
        <x:v>0.14197530864197533</x:v>
      </x:c>
    </x:row>
    <x:row r="3829">
      <x:c r="A3829" s="379" t="n">
        <x:v>49480</x:v>
      </x:c>
      <x:c r="B3829" s="380" t="n">
        <x:v>2035</x:v>
      </x:c>
      <x:c r="C3829" s="380" t="n">
        <x:v>6</x:v>
      </x:c>
      <x:c r="D3829" s="380" t="str">
        <x:v>Jun</x:v>
      </x:c>
      <x:c r="E3829" s="380" t="n">
        <x:v>20</x:v>
      </x:c>
      <x:c r="F3829" s="380" t="n">
        <x:v>3</x:v>
      </x:c>
      <x:c r="G3829" s="380" t="n">
        <x:f>--(F3829&lt;='Estimator'!$B$7)</x:f>
        <x:v>1</x:v>
      </x:c>
      <x:c r="H3829" s="381" t="n">
        <x:f>SUMIFS('Climate Data'!$G$7:$G$366,'Climate Data'!$A$7:$A$366,'Estimator'!$B$4,'Climate Data'!$B$7:$B$366,C3829)</x:f>
        <x:v>0.475</x:v>
      </x:c>
      <x:c r="I3829" s="382" t="n">
        <x:f>SUMIFS('Climate Data'!$H$7:$H$366,'Climate Data'!$A$7:$A$366,'Estimator'!$B$4,'Climate Data'!$B$7:$B$366,C3829)</x:f>
        <x:v>8.378947368421054</x:v>
      </x:c>
      <x:c r="J3829" s="381" t="n">
        <x:f>SUMIFS('Wind Proxy'!$H$8:$H$19,'Wind Proxy'!$A$8:$A$19,'Estimator'!$B$4,'Wind Proxy'!$B$8:$B$19,C3829)</x:f>
        <x:v>0.14197530864197533</x:v>
      </x:c>
    </x:row>
    <x:row r="3830">
      <x:c r="A3830" s="379" t="n">
        <x:v>49481</x:v>
      </x:c>
      <x:c r="B3830" s="380" t="n">
        <x:v>2035</x:v>
      </x:c>
      <x:c r="C3830" s="380" t="n">
        <x:v>6</x:v>
      </x:c>
      <x:c r="D3830" s="380" t="str">
        <x:v>Jun</x:v>
      </x:c>
      <x:c r="E3830" s="380" t="n">
        <x:v>21</x:v>
      </x:c>
      <x:c r="F3830" s="380" t="n">
        <x:v>4</x:v>
      </x:c>
      <x:c r="G3830" s="380" t="n">
        <x:f>--(F3830&lt;='Estimator'!$B$7)</x:f>
        <x:v>1</x:v>
      </x:c>
      <x:c r="H3830" s="381" t="n">
        <x:f>SUMIFS('Climate Data'!$G$7:$G$366,'Climate Data'!$A$7:$A$366,'Estimator'!$B$4,'Climate Data'!$B$7:$B$366,C3830)</x:f>
        <x:v>0.475</x:v>
      </x:c>
      <x:c r="I3830" s="382" t="n">
        <x:f>SUMIFS('Climate Data'!$H$7:$H$366,'Climate Data'!$A$7:$A$366,'Estimator'!$B$4,'Climate Data'!$B$7:$B$366,C3830)</x:f>
        <x:v>8.378947368421054</x:v>
      </x:c>
      <x:c r="J3830" s="381" t="n">
        <x:f>SUMIFS('Wind Proxy'!$H$8:$H$19,'Wind Proxy'!$A$8:$A$19,'Estimator'!$B$4,'Wind Proxy'!$B$8:$B$19,C3830)</x:f>
        <x:v>0.14197530864197533</x:v>
      </x:c>
    </x:row>
    <x:row r="3831">
      <x:c r="A3831" s="379" t="n">
        <x:v>49482</x:v>
      </x:c>
      <x:c r="B3831" s="380" t="n">
        <x:v>2035</x:v>
      </x:c>
      <x:c r="C3831" s="380" t="n">
        <x:v>6</x:v>
      </x:c>
      <x:c r="D3831" s="380" t="str">
        <x:v>Jun</x:v>
      </x:c>
      <x:c r="E3831" s="380" t="n">
        <x:v>22</x:v>
      </x:c>
      <x:c r="F3831" s="380" t="n">
        <x:v>5</x:v>
      </x:c>
      <x:c r="G3831" s="380" t="n">
        <x:f>--(F3831&lt;='Estimator'!$B$7)</x:f>
        <x:v>1</x:v>
      </x:c>
      <x:c r="H3831" s="381" t="n">
        <x:f>SUMIFS('Climate Data'!$G$7:$G$366,'Climate Data'!$A$7:$A$366,'Estimator'!$B$4,'Climate Data'!$B$7:$B$366,C3831)</x:f>
        <x:v>0.475</x:v>
      </x:c>
      <x:c r="I3831" s="382" t="n">
        <x:f>SUMIFS('Climate Data'!$H$7:$H$366,'Climate Data'!$A$7:$A$366,'Estimator'!$B$4,'Climate Data'!$B$7:$B$366,C3831)</x:f>
        <x:v>8.378947368421054</x:v>
      </x:c>
      <x:c r="J3831" s="381" t="n">
        <x:f>SUMIFS('Wind Proxy'!$H$8:$H$19,'Wind Proxy'!$A$8:$A$19,'Estimator'!$B$4,'Wind Proxy'!$B$8:$B$19,C3831)</x:f>
        <x:v>0.14197530864197533</x:v>
      </x:c>
    </x:row>
    <x:row r="3832">
      <x:c r="A3832" s="379" t="n">
        <x:v>49483</x:v>
      </x:c>
      <x:c r="B3832" s="380" t="n">
        <x:v>2035</x:v>
      </x:c>
      <x:c r="C3832" s="380" t="n">
        <x:v>6</x:v>
      </x:c>
      <x:c r="D3832" s="380" t="str">
        <x:v>Jun</x:v>
      </x:c>
      <x:c r="E3832" s="380" t="n">
        <x:v>23</x:v>
      </x:c>
      <x:c r="F3832" s="380" t="n">
        <x:v>6</x:v>
      </x:c>
      <x:c r="G3832" s="380" t="n">
        <x:f>--(F3832&lt;='Estimator'!$B$7)</x:f>
        <x:v>0</x:v>
      </x:c>
      <x:c r="H3832" s="381" t="n">
        <x:f>SUMIFS('Climate Data'!$G$7:$G$366,'Climate Data'!$A$7:$A$366,'Estimator'!$B$4,'Climate Data'!$B$7:$B$366,C3832)</x:f>
        <x:v>0.475</x:v>
      </x:c>
      <x:c r="I3832" s="382" t="n">
        <x:f>SUMIFS('Climate Data'!$H$7:$H$366,'Climate Data'!$A$7:$A$366,'Estimator'!$B$4,'Climate Data'!$B$7:$B$366,C3832)</x:f>
        <x:v>8.378947368421054</x:v>
      </x:c>
      <x:c r="J3832" s="381" t="n">
        <x:f>SUMIFS('Wind Proxy'!$H$8:$H$19,'Wind Proxy'!$A$8:$A$19,'Estimator'!$B$4,'Wind Proxy'!$B$8:$B$19,C3832)</x:f>
        <x:v>0.14197530864197533</x:v>
      </x:c>
    </x:row>
    <x:row r="3833">
      <x:c r="A3833" s="379" t="n">
        <x:v>49484</x:v>
      </x:c>
      <x:c r="B3833" s="380" t="n">
        <x:v>2035</x:v>
      </x:c>
      <x:c r="C3833" s="380" t="n">
        <x:v>6</x:v>
      </x:c>
      <x:c r="D3833" s="380" t="str">
        <x:v>Jun</x:v>
      </x:c>
      <x:c r="E3833" s="380" t="n">
        <x:v>24</x:v>
      </x:c>
      <x:c r="F3833" s="380" t="n">
        <x:v>7</x:v>
      </x:c>
      <x:c r="G3833" s="380" t="n">
        <x:f>--(F3833&lt;='Estimator'!$B$7)</x:f>
        <x:v>0</x:v>
      </x:c>
      <x:c r="H3833" s="381" t="n">
        <x:f>SUMIFS('Climate Data'!$G$7:$G$366,'Climate Data'!$A$7:$A$366,'Estimator'!$B$4,'Climate Data'!$B$7:$B$366,C3833)</x:f>
        <x:v>0.475</x:v>
      </x:c>
      <x:c r="I3833" s="382" t="n">
        <x:f>SUMIFS('Climate Data'!$H$7:$H$366,'Climate Data'!$A$7:$A$366,'Estimator'!$B$4,'Climate Data'!$B$7:$B$366,C3833)</x:f>
        <x:v>8.378947368421054</x:v>
      </x:c>
      <x:c r="J3833" s="381" t="n">
        <x:f>SUMIFS('Wind Proxy'!$H$8:$H$19,'Wind Proxy'!$A$8:$A$19,'Estimator'!$B$4,'Wind Proxy'!$B$8:$B$19,C3833)</x:f>
        <x:v>0.14197530864197533</x:v>
      </x:c>
    </x:row>
    <x:row r="3834">
      <x:c r="A3834" s="379" t="n">
        <x:v>49485</x:v>
      </x:c>
      <x:c r="B3834" s="380" t="n">
        <x:v>2035</x:v>
      </x:c>
      <x:c r="C3834" s="380" t="n">
        <x:v>6</x:v>
      </x:c>
      <x:c r="D3834" s="380" t="str">
        <x:v>Jun</x:v>
      </x:c>
      <x:c r="E3834" s="380" t="n">
        <x:v>25</x:v>
      </x:c>
      <x:c r="F3834" s="380" t="n">
        <x:v>1</x:v>
      </x:c>
      <x:c r="G3834" s="380" t="n">
        <x:f>--(F3834&lt;='Estimator'!$B$7)</x:f>
        <x:v>1</x:v>
      </x:c>
      <x:c r="H3834" s="381" t="n">
        <x:f>SUMIFS('Climate Data'!$G$7:$G$366,'Climate Data'!$A$7:$A$366,'Estimator'!$B$4,'Climate Data'!$B$7:$B$366,C3834)</x:f>
        <x:v>0.475</x:v>
      </x:c>
      <x:c r="I3834" s="382" t="n">
        <x:f>SUMIFS('Climate Data'!$H$7:$H$366,'Climate Data'!$A$7:$A$366,'Estimator'!$B$4,'Climate Data'!$B$7:$B$366,C3834)</x:f>
        <x:v>8.378947368421054</x:v>
      </x:c>
      <x:c r="J3834" s="381" t="n">
        <x:f>SUMIFS('Wind Proxy'!$H$8:$H$19,'Wind Proxy'!$A$8:$A$19,'Estimator'!$B$4,'Wind Proxy'!$B$8:$B$19,C3834)</x:f>
        <x:v>0.14197530864197533</x:v>
      </x:c>
    </x:row>
    <x:row r="3835">
      <x:c r="A3835" s="379" t="n">
        <x:v>49486</x:v>
      </x:c>
      <x:c r="B3835" s="380" t="n">
        <x:v>2035</x:v>
      </x:c>
      <x:c r="C3835" s="380" t="n">
        <x:v>6</x:v>
      </x:c>
      <x:c r="D3835" s="380" t="str">
        <x:v>Jun</x:v>
      </x:c>
      <x:c r="E3835" s="380" t="n">
        <x:v>26</x:v>
      </x:c>
      <x:c r="F3835" s="380" t="n">
        <x:v>2</x:v>
      </x:c>
      <x:c r="G3835" s="380" t="n">
        <x:f>--(F3835&lt;='Estimator'!$B$7)</x:f>
        <x:v>1</x:v>
      </x:c>
      <x:c r="H3835" s="381" t="n">
        <x:f>SUMIFS('Climate Data'!$G$7:$G$366,'Climate Data'!$A$7:$A$366,'Estimator'!$B$4,'Climate Data'!$B$7:$B$366,C3835)</x:f>
        <x:v>0.475</x:v>
      </x:c>
      <x:c r="I3835" s="382" t="n">
        <x:f>SUMIFS('Climate Data'!$H$7:$H$366,'Climate Data'!$A$7:$A$366,'Estimator'!$B$4,'Climate Data'!$B$7:$B$366,C3835)</x:f>
        <x:v>8.378947368421054</x:v>
      </x:c>
      <x:c r="J3835" s="381" t="n">
        <x:f>SUMIFS('Wind Proxy'!$H$8:$H$19,'Wind Proxy'!$A$8:$A$19,'Estimator'!$B$4,'Wind Proxy'!$B$8:$B$19,C3835)</x:f>
        <x:v>0.14197530864197533</x:v>
      </x:c>
    </x:row>
    <x:row r="3836">
      <x:c r="A3836" s="379" t="n">
        <x:v>49487</x:v>
      </x:c>
      <x:c r="B3836" s="380" t="n">
        <x:v>2035</x:v>
      </x:c>
      <x:c r="C3836" s="380" t="n">
        <x:v>6</x:v>
      </x:c>
      <x:c r="D3836" s="380" t="str">
        <x:v>Jun</x:v>
      </x:c>
      <x:c r="E3836" s="380" t="n">
        <x:v>27</x:v>
      </x:c>
      <x:c r="F3836" s="380" t="n">
        <x:v>3</x:v>
      </x:c>
      <x:c r="G3836" s="380" t="n">
        <x:f>--(F3836&lt;='Estimator'!$B$7)</x:f>
        <x:v>1</x:v>
      </x:c>
      <x:c r="H3836" s="381" t="n">
        <x:f>SUMIFS('Climate Data'!$G$7:$G$366,'Climate Data'!$A$7:$A$366,'Estimator'!$B$4,'Climate Data'!$B$7:$B$366,C3836)</x:f>
        <x:v>0.475</x:v>
      </x:c>
      <x:c r="I3836" s="382" t="n">
        <x:f>SUMIFS('Climate Data'!$H$7:$H$366,'Climate Data'!$A$7:$A$366,'Estimator'!$B$4,'Climate Data'!$B$7:$B$366,C3836)</x:f>
        <x:v>8.378947368421054</x:v>
      </x:c>
      <x:c r="J3836" s="381" t="n">
        <x:f>SUMIFS('Wind Proxy'!$H$8:$H$19,'Wind Proxy'!$A$8:$A$19,'Estimator'!$B$4,'Wind Proxy'!$B$8:$B$19,C3836)</x:f>
        <x:v>0.14197530864197533</x:v>
      </x:c>
    </x:row>
    <x:row r="3837">
      <x:c r="A3837" s="379" t="n">
        <x:v>49488</x:v>
      </x:c>
      <x:c r="B3837" s="380" t="n">
        <x:v>2035</x:v>
      </x:c>
      <x:c r="C3837" s="380" t="n">
        <x:v>6</x:v>
      </x:c>
      <x:c r="D3837" s="380" t="str">
        <x:v>Jun</x:v>
      </x:c>
      <x:c r="E3837" s="380" t="n">
        <x:v>28</x:v>
      </x:c>
      <x:c r="F3837" s="380" t="n">
        <x:v>4</x:v>
      </x:c>
      <x:c r="G3837" s="380" t="n">
        <x:f>--(F3837&lt;='Estimator'!$B$7)</x:f>
        <x:v>1</x:v>
      </x:c>
      <x:c r="H3837" s="381" t="n">
        <x:f>SUMIFS('Climate Data'!$G$7:$G$366,'Climate Data'!$A$7:$A$366,'Estimator'!$B$4,'Climate Data'!$B$7:$B$366,C3837)</x:f>
        <x:v>0.475</x:v>
      </x:c>
      <x:c r="I3837" s="382" t="n">
        <x:f>SUMIFS('Climate Data'!$H$7:$H$366,'Climate Data'!$A$7:$A$366,'Estimator'!$B$4,'Climate Data'!$B$7:$B$366,C3837)</x:f>
        <x:v>8.378947368421054</x:v>
      </x:c>
      <x:c r="J3837" s="381" t="n">
        <x:f>SUMIFS('Wind Proxy'!$H$8:$H$19,'Wind Proxy'!$A$8:$A$19,'Estimator'!$B$4,'Wind Proxy'!$B$8:$B$19,C3837)</x:f>
        <x:v>0.14197530864197533</x:v>
      </x:c>
    </x:row>
    <x:row r="3838">
      <x:c r="A3838" s="379" t="n">
        <x:v>49489</x:v>
      </x:c>
      <x:c r="B3838" s="380" t="n">
        <x:v>2035</x:v>
      </x:c>
      <x:c r="C3838" s="380" t="n">
        <x:v>6</x:v>
      </x:c>
      <x:c r="D3838" s="380" t="str">
        <x:v>Jun</x:v>
      </x:c>
      <x:c r="E3838" s="380" t="n">
        <x:v>29</x:v>
      </x:c>
      <x:c r="F3838" s="380" t="n">
        <x:v>5</x:v>
      </x:c>
      <x:c r="G3838" s="380" t="n">
        <x:f>--(F3838&lt;='Estimator'!$B$7)</x:f>
        <x:v>1</x:v>
      </x:c>
      <x:c r="H3838" s="381" t="n">
        <x:f>SUMIFS('Climate Data'!$G$7:$G$366,'Climate Data'!$A$7:$A$366,'Estimator'!$B$4,'Climate Data'!$B$7:$B$366,C3838)</x:f>
        <x:v>0.475</x:v>
      </x:c>
      <x:c r="I3838" s="382" t="n">
        <x:f>SUMIFS('Climate Data'!$H$7:$H$366,'Climate Data'!$A$7:$A$366,'Estimator'!$B$4,'Climate Data'!$B$7:$B$366,C3838)</x:f>
        <x:v>8.378947368421054</x:v>
      </x:c>
      <x:c r="J3838" s="381" t="n">
        <x:f>SUMIFS('Wind Proxy'!$H$8:$H$19,'Wind Proxy'!$A$8:$A$19,'Estimator'!$B$4,'Wind Proxy'!$B$8:$B$19,C3838)</x:f>
        <x:v>0.14197530864197533</x:v>
      </x:c>
    </x:row>
    <x:row r="3839">
      <x:c r="A3839" s="379" t="n">
        <x:v>49490</x:v>
      </x:c>
      <x:c r="B3839" s="380" t="n">
        <x:v>2035</x:v>
      </x:c>
      <x:c r="C3839" s="380" t="n">
        <x:v>6</x:v>
      </x:c>
      <x:c r="D3839" s="380" t="str">
        <x:v>Jun</x:v>
      </x:c>
      <x:c r="E3839" s="380" t="n">
        <x:v>30</x:v>
      </x:c>
      <x:c r="F3839" s="380" t="n">
        <x:v>6</x:v>
      </x:c>
      <x:c r="G3839" s="380" t="n">
        <x:f>--(F3839&lt;='Estimator'!$B$7)</x:f>
        <x:v>0</x:v>
      </x:c>
      <x:c r="H3839" s="381" t="n">
        <x:f>SUMIFS('Climate Data'!$G$7:$G$366,'Climate Data'!$A$7:$A$366,'Estimator'!$B$4,'Climate Data'!$B$7:$B$366,C3839)</x:f>
        <x:v>0.475</x:v>
      </x:c>
      <x:c r="I3839" s="382" t="n">
        <x:f>SUMIFS('Climate Data'!$H$7:$H$366,'Climate Data'!$A$7:$A$366,'Estimator'!$B$4,'Climate Data'!$B$7:$B$366,C3839)</x:f>
        <x:v>8.378947368421054</x:v>
      </x:c>
      <x:c r="J3839" s="381" t="n">
        <x:f>SUMIFS('Wind Proxy'!$H$8:$H$19,'Wind Proxy'!$A$8:$A$19,'Estimator'!$B$4,'Wind Proxy'!$B$8:$B$19,C3839)</x:f>
        <x:v>0.14197530864197533</x:v>
      </x:c>
    </x:row>
    <x:row r="3840">
      <x:c r="A3840" s="379" t="n">
        <x:v>49491</x:v>
      </x:c>
      <x:c r="B3840" s="380" t="n">
        <x:v>2035</x:v>
      </x:c>
      <x:c r="C3840" s="380" t="n">
        <x:v>7</x:v>
      </x:c>
      <x:c r="D3840" s="380" t="str">
        <x:v>Jul</x:v>
      </x:c>
      <x:c r="E3840" s="380" t="n">
        <x:v>1</x:v>
      </x:c>
      <x:c r="F3840" s="380" t="n">
        <x:v>7</x:v>
      </x:c>
      <x:c r="G3840" s="380" t="n">
        <x:f>--(F3840&lt;='Estimator'!$B$7)</x:f>
        <x:v>0</x:v>
      </x:c>
      <x:c r="H3840" s="381" t="n">
        <x:f>SUMIFS('Climate Data'!$G$7:$G$366,'Climate Data'!$A$7:$A$366,'Estimator'!$B$4,'Climate Data'!$B$7:$B$366,C3840)</x:f>
        <x:v>0.49078341013824883</x:v>
      </x:c>
      <x:c r="I3840" s="382" t="n">
        <x:f>SUMIFS('Climate Data'!$H$7:$H$366,'Climate Data'!$A$7:$A$366,'Estimator'!$B$4,'Climate Data'!$B$7:$B$366,C3840)</x:f>
        <x:v>8.998122065727701</x:v>
      </x:c>
      <x:c r="J3840" s="381" t="n">
        <x:f>SUMIFS('Wind Proxy'!$H$8:$H$19,'Wind Proxy'!$A$8:$A$19,'Estimator'!$B$4,'Wind Proxy'!$B$8:$B$19,C3840)</x:f>
        <x:v>0.13739545997610514</x:v>
      </x:c>
    </x:row>
    <x:row r="3841">
      <x:c r="A3841" s="379" t="n">
        <x:v>49492</x:v>
      </x:c>
      <x:c r="B3841" s="380" t="n">
        <x:v>2035</x:v>
      </x:c>
      <x:c r="C3841" s="380" t="n">
        <x:v>7</x:v>
      </x:c>
      <x:c r="D3841" s="380" t="str">
        <x:v>Jul</x:v>
      </x:c>
      <x:c r="E3841" s="380" t="n">
        <x:v>2</x:v>
      </x:c>
      <x:c r="F3841" s="380" t="n">
        <x:v>1</x:v>
      </x:c>
      <x:c r="G3841" s="380" t="n">
        <x:f>--(F3841&lt;='Estimator'!$B$7)</x:f>
        <x:v>1</x:v>
      </x:c>
      <x:c r="H3841" s="381" t="n">
        <x:f>SUMIFS('Climate Data'!$G$7:$G$366,'Climate Data'!$A$7:$A$366,'Estimator'!$B$4,'Climate Data'!$B$7:$B$366,C3841)</x:f>
        <x:v>0.49078341013824883</x:v>
      </x:c>
      <x:c r="I3841" s="382" t="n">
        <x:f>SUMIFS('Climate Data'!$H$7:$H$366,'Climate Data'!$A$7:$A$366,'Estimator'!$B$4,'Climate Data'!$B$7:$B$366,C3841)</x:f>
        <x:v>8.998122065727701</x:v>
      </x:c>
      <x:c r="J3841" s="381" t="n">
        <x:f>SUMIFS('Wind Proxy'!$H$8:$H$19,'Wind Proxy'!$A$8:$A$19,'Estimator'!$B$4,'Wind Proxy'!$B$8:$B$19,C3841)</x:f>
        <x:v>0.13739545997610514</x:v>
      </x:c>
    </x:row>
    <x:row r="3842">
      <x:c r="A3842" s="379" t="n">
        <x:v>49493</x:v>
      </x:c>
      <x:c r="B3842" s="380" t="n">
        <x:v>2035</x:v>
      </x:c>
      <x:c r="C3842" s="380" t="n">
        <x:v>7</x:v>
      </x:c>
      <x:c r="D3842" s="380" t="str">
        <x:v>Jul</x:v>
      </x:c>
      <x:c r="E3842" s="380" t="n">
        <x:v>3</x:v>
      </x:c>
      <x:c r="F3842" s="380" t="n">
        <x:v>2</x:v>
      </x:c>
      <x:c r="G3842" s="380" t="n">
        <x:f>--(F3842&lt;='Estimator'!$B$7)</x:f>
        <x:v>1</x:v>
      </x:c>
      <x:c r="H3842" s="381" t="n">
        <x:f>SUMIFS('Climate Data'!$G$7:$G$366,'Climate Data'!$A$7:$A$366,'Estimator'!$B$4,'Climate Data'!$B$7:$B$366,C3842)</x:f>
        <x:v>0.49078341013824883</x:v>
      </x:c>
      <x:c r="I3842" s="382" t="n">
        <x:f>SUMIFS('Climate Data'!$H$7:$H$366,'Climate Data'!$A$7:$A$366,'Estimator'!$B$4,'Climate Data'!$B$7:$B$366,C3842)</x:f>
        <x:v>8.998122065727701</x:v>
      </x:c>
      <x:c r="J3842" s="381" t="n">
        <x:f>SUMIFS('Wind Proxy'!$H$8:$H$19,'Wind Proxy'!$A$8:$A$19,'Estimator'!$B$4,'Wind Proxy'!$B$8:$B$19,C3842)</x:f>
        <x:v>0.13739545997610514</x:v>
      </x:c>
    </x:row>
    <x:row r="3843">
      <x:c r="A3843" s="379" t="n">
        <x:v>49494</x:v>
      </x:c>
      <x:c r="B3843" s="380" t="n">
        <x:v>2035</x:v>
      </x:c>
      <x:c r="C3843" s="380" t="n">
        <x:v>7</x:v>
      </x:c>
      <x:c r="D3843" s="380" t="str">
        <x:v>Jul</x:v>
      </x:c>
      <x:c r="E3843" s="380" t="n">
        <x:v>4</x:v>
      </x:c>
      <x:c r="F3843" s="380" t="n">
        <x:v>3</x:v>
      </x:c>
      <x:c r="G3843" s="380" t="n">
        <x:f>--(F3843&lt;='Estimator'!$B$7)</x:f>
        <x:v>1</x:v>
      </x:c>
      <x:c r="H3843" s="381" t="n">
        <x:f>SUMIFS('Climate Data'!$G$7:$G$366,'Climate Data'!$A$7:$A$366,'Estimator'!$B$4,'Climate Data'!$B$7:$B$366,C3843)</x:f>
        <x:v>0.49078341013824883</x:v>
      </x:c>
      <x:c r="I3843" s="382" t="n">
        <x:f>SUMIFS('Climate Data'!$H$7:$H$366,'Climate Data'!$A$7:$A$366,'Estimator'!$B$4,'Climate Data'!$B$7:$B$366,C3843)</x:f>
        <x:v>8.998122065727701</x:v>
      </x:c>
      <x:c r="J3843" s="381" t="n">
        <x:f>SUMIFS('Wind Proxy'!$H$8:$H$19,'Wind Proxy'!$A$8:$A$19,'Estimator'!$B$4,'Wind Proxy'!$B$8:$B$19,C3843)</x:f>
        <x:v>0.13739545997610514</x:v>
      </x:c>
    </x:row>
    <x:row r="3844">
      <x:c r="A3844" s="379" t="n">
        <x:v>49495</x:v>
      </x:c>
      <x:c r="B3844" s="380" t="n">
        <x:v>2035</x:v>
      </x:c>
      <x:c r="C3844" s="380" t="n">
        <x:v>7</x:v>
      </x:c>
      <x:c r="D3844" s="380" t="str">
        <x:v>Jul</x:v>
      </x:c>
      <x:c r="E3844" s="380" t="n">
        <x:v>5</x:v>
      </x:c>
      <x:c r="F3844" s="380" t="n">
        <x:v>4</x:v>
      </x:c>
      <x:c r="G3844" s="380" t="n">
        <x:f>--(F3844&lt;='Estimator'!$B$7)</x:f>
        <x:v>1</x:v>
      </x:c>
      <x:c r="H3844" s="381" t="n">
        <x:f>SUMIFS('Climate Data'!$G$7:$G$366,'Climate Data'!$A$7:$A$366,'Estimator'!$B$4,'Climate Data'!$B$7:$B$366,C3844)</x:f>
        <x:v>0.49078341013824883</x:v>
      </x:c>
      <x:c r="I3844" s="382" t="n">
        <x:f>SUMIFS('Climate Data'!$H$7:$H$366,'Climate Data'!$A$7:$A$366,'Estimator'!$B$4,'Climate Data'!$B$7:$B$366,C3844)</x:f>
        <x:v>8.998122065727701</x:v>
      </x:c>
      <x:c r="J3844" s="381" t="n">
        <x:f>SUMIFS('Wind Proxy'!$H$8:$H$19,'Wind Proxy'!$A$8:$A$19,'Estimator'!$B$4,'Wind Proxy'!$B$8:$B$19,C3844)</x:f>
        <x:v>0.13739545997610514</x:v>
      </x:c>
    </x:row>
    <x:row r="3845">
      <x:c r="A3845" s="379" t="n">
        <x:v>49496</x:v>
      </x:c>
      <x:c r="B3845" s="380" t="n">
        <x:v>2035</x:v>
      </x:c>
      <x:c r="C3845" s="380" t="n">
        <x:v>7</x:v>
      </x:c>
      <x:c r="D3845" s="380" t="str">
        <x:v>Jul</x:v>
      </x:c>
      <x:c r="E3845" s="380" t="n">
        <x:v>6</x:v>
      </x:c>
      <x:c r="F3845" s="380" t="n">
        <x:v>5</x:v>
      </x:c>
      <x:c r="G3845" s="380" t="n">
        <x:f>--(F3845&lt;='Estimator'!$B$7)</x:f>
        <x:v>1</x:v>
      </x:c>
      <x:c r="H3845" s="381" t="n">
        <x:f>SUMIFS('Climate Data'!$G$7:$G$366,'Climate Data'!$A$7:$A$366,'Estimator'!$B$4,'Climate Data'!$B$7:$B$366,C3845)</x:f>
        <x:v>0.49078341013824883</x:v>
      </x:c>
      <x:c r="I3845" s="382" t="n">
        <x:f>SUMIFS('Climate Data'!$H$7:$H$366,'Climate Data'!$A$7:$A$366,'Estimator'!$B$4,'Climate Data'!$B$7:$B$366,C3845)</x:f>
        <x:v>8.998122065727701</x:v>
      </x:c>
      <x:c r="J3845" s="381" t="n">
        <x:f>SUMIFS('Wind Proxy'!$H$8:$H$19,'Wind Proxy'!$A$8:$A$19,'Estimator'!$B$4,'Wind Proxy'!$B$8:$B$19,C3845)</x:f>
        <x:v>0.13739545997610514</x:v>
      </x:c>
    </x:row>
    <x:row r="3846">
      <x:c r="A3846" s="379" t="n">
        <x:v>49497</x:v>
      </x:c>
      <x:c r="B3846" s="380" t="n">
        <x:v>2035</x:v>
      </x:c>
      <x:c r="C3846" s="380" t="n">
        <x:v>7</x:v>
      </x:c>
      <x:c r="D3846" s="380" t="str">
        <x:v>Jul</x:v>
      </x:c>
      <x:c r="E3846" s="380" t="n">
        <x:v>7</x:v>
      </x:c>
      <x:c r="F3846" s="380" t="n">
        <x:v>6</x:v>
      </x:c>
      <x:c r="G3846" s="380" t="n">
        <x:f>--(F3846&lt;='Estimator'!$B$7)</x:f>
        <x:v>0</x:v>
      </x:c>
      <x:c r="H3846" s="381" t="n">
        <x:f>SUMIFS('Climate Data'!$G$7:$G$366,'Climate Data'!$A$7:$A$366,'Estimator'!$B$4,'Climate Data'!$B$7:$B$366,C3846)</x:f>
        <x:v>0.49078341013824883</x:v>
      </x:c>
      <x:c r="I3846" s="382" t="n">
        <x:f>SUMIFS('Climate Data'!$H$7:$H$366,'Climate Data'!$A$7:$A$366,'Estimator'!$B$4,'Climate Data'!$B$7:$B$366,C3846)</x:f>
        <x:v>8.998122065727701</x:v>
      </x:c>
      <x:c r="J3846" s="381" t="n">
        <x:f>SUMIFS('Wind Proxy'!$H$8:$H$19,'Wind Proxy'!$A$8:$A$19,'Estimator'!$B$4,'Wind Proxy'!$B$8:$B$19,C3846)</x:f>
        <x:v>0.13739545997610514</x:v>
      </x:c>
    </x:row>
    <x:row r="3847">
      <x:c r="A3847" s="379" t="n">
        <x:v>49498</x:v>
      </x:c>
      <x:c r="B3847" s="380" t="n">
        <x:v>2035</x:v>
      </x:c>
      <x:c r="C3847" s="380" t="n">
        <x:v>7</x:v>
      </x:c>
      <x:c r="D3847" s="380" t="str">
        <x:v>Jul</x:v>
      </x:c>
      <x:c r="E3847" s="380" t="n">
        <x:v>8</x:v>
      </x:c>
      <x:c r="F3847" s="380" t="n">
        <x:v>7</x:v>
      </x:c>
      <x:c r="G3847" s="380" t="n">
        <x:f>--(F3847&lt;='Estimator'!$B$7)</x:f>
        <x:v>0</x:v>
      </x:c>
      <x:c r="H3847" s="381" t="n">
        <x:f>SUMIFS('Climate Data'!$G$7:$G$366,'Climate Data'!$A$7:$A$366,'Estimator'!$B$4,'Climate Data'!$B$7:$B$366,C3847)</x:f>
        <x:v>0.49078341013824883</x:v>
      </x:c>
      <x:c r="I3847" s="382" t="n">
        <x:f>SUMIFS('Climate Data'!$H$7:$H$366,'Climate Data'!$A$7:$A$366,'Estimator'!$B$4,'Climate Data'!$B$7:$B$366,C3847)</x:f>
        <x:v>8.998122065727701</x:v>
      </x:c>
      <x:c r="J3847" s="381" t="n">
        <x:f>SUMIFS('Wind Proxy'!$H$8:$H$19,'Wind Proxy'!$A$8:$A$19,'Estimator'!$B$4,'Wind Proxy'!$B$8:$B$19,C3847)</x:f>
        <x:v>0.13739545997610514</x:v>
      </x:c>
    </x:row>
    <x:row r="3848">
      <x:c r="A3848" s="379" t="n">
        <x:v>49499</x:v>
      </x:c>
      <x:c r="B3848" s="380" t="n">
        <x:v>2035</x:v>
      </x:c>
      <x:c r="C3848" s="380" t="n">
        <x:v>7</x:v>
      </x:c>
      <x:c r="D3848" s="380" t="str">
        <x:v>Jul</x:v>
      </x:c>
      <x:c r="E3848" s="380" t="n">
        <x:v>9</x:v>
      </x:c>
      <x:c r="F3848" s="380" t="n">
        <x:v>1</x:v>
      </x:c>
      <x:c r="G3848" s="380" t="n">
        <x:f>--(F3848&lt;='Estimator'!$B$7)</x:f>
        <x:v>1</x:v>
      </x:c>
      <x:c r="H3848" s="381" t="n">
        <x:f>SUMIFS('Climate Data'!$G$7:$G$366,'Climate Data'!$A$7:$A$366,'Estimator'!$B$4,'Climate Data'!$B$7:$B$366,C3848)</x:f>
        <x:v>0.49078341013824883</x:v>
      </x:c>
      <x:c r="I3848" s="382" t="n">
        <x:f>SUMIFS('Climate Data'!$H$7:$H$366,'Climate Data'!$A$7:$A$366,'Estimator'!$B$4,'Climate Data'!$B$7:$B$366,C3848)</x:f>
        <x:v>8.998122065727701</x:v>
      </x:c>
      <x:c r="J3848" s="381" t="n">
        <x:f>SUMIFS('Wind Proxy'!$H$8:$H$19,'Wind Proxy'!$A$8:$A$19,'Estimator'!$B$4,'Wind Proxy'!$B$8:$B$19,C3848)</x:f>
        <x:v>0.13739545997610514</x:v>
      </x:c>
    </x:row>
    <x:row r="3849">
      <x:c r="A3849" s="379" t="n">
        <x:v>49500</x:v>
      </x:c>
      <x:c r="B3849" s="380" t="n">
        <x:v>2035</x:v>
      </x:c>
      <x:c r="C3849" s="380" t="n">
        <x:v>7</x:v>
      </x:c>
      <x:c r="D3849" s="380" t="str">
        <x:v>Jul</x:v>
      </x:c>
      <x:c r="E3849" s="380" t="n">
        <x:v>10</x:v>
      </x:c>
      <x:c r="F3849" s="380" t="n">
        <x:v>2</x:v>
      </x:c>
      <x:c r="G3849" s="380" t="n">
        <x:f>--(F3849&lt;='Estimator'!$B$7)</x:f>
        <x:v>1</x:v>
      </x:c>
      <x:c r="H3849" s="381" t="n">
        <x:f>SUMIFS('Climate Data'!$G$7:$G$366,'Climate Data'!$A$7:$A$366,'Estimator'!$B$4,'Climate Data'!$B$7:$B$366,C3849)</x:f>
        <x:v>0.49078341013824883</x:v>
      </x:c>
      <x:c r="I3849" s="382" t="n">
        <x:f>SUMIFS('Climate Data'!$H$7:$H$366,'Climate Data'!$A$7:$A$366,'Estimator'!$B$4,'Climate Data'!$B$7:$B$366,C3849)</x:f>
        <x:v>8.998122065727701</x:v>
      </x:c>
      <x:c r="J3849" s="381" t="n">
        <x:f>SUMIFS('Wind Proxy'!$H$8:$H$19,'Wind Proxy'!$A$8:$A$19,'Estimator'!$B$4,'Wind Proxy'!$B$8:$B$19,C3849)</x:f>
        <x:v>0.13739545997610514</x:v>
      </x:c>
    </x:row>
    <x:row r="3850">
      <x:c r="A3850" s="379" t="n">
        <x:v>49501</x:v>
      </x:c>
      <x:c r="B3850" s="380" t="n">
        <x:v>2035</x:v>
      </x:c>
      <x:c r="C3850" s="380" t="n">
        <x:v>7</x:v>
      </x:c>
      <x:c r="D3850" s="380" t="str">
        <x:v>Jul</x:v>
      </x:c>
      <x:c r="E3850" s="380" t="n">
        <x:v>11</x:v>
      </x:c>
      <x:c r="F3850" s="380" t="n">
        <x:v>3</x:v>
      </x:c>
      <x:c r="G3850" s="380" t="n">
        <x:f>--(F3850&lt;='Estimator'!$B$7)</x:f>
        <x:v>1</x:v>
      </x:c>
      <x:c r="H3850" s="381" t="n">
        <x:f>SUMIFS('Climate Data'!$G$7:$G$366,'Climate Data'!$A$7:$A$366,'Estimator'!$B$4,'Climate Data'!$B$7:$B$366,C3850)</x:f>
        <x:v>0.49078341013824883</x:v>
      </x:c>
      <x:c r="I3850" s="382" t="n">
        <x:f>SUMIFS('Climate Data'!$H$7:$H$366,'Climate Data'!$A$7:$A$366,'Estimator'!$B$4,'Climate Data'!$B$7:$B$366,C3850)</x:f>
        <x:v>8.998122065727701</x:v>
      </x:c>
      <x:c r="J3850" s="381" t="n">
        <x:f>SUMIFS('Wind Proxy'!$H$8:$H$19,'Wind Proxy'!$A$8:$A$19,'Estimator'!$B$4,'Wind Proxy'!$B$8:$B$19,C3850)</x:f>
        <x:v>0.13739545997610514</x:v>
      </x:c>
    </x:row>
    <x:row r="3851">
      <x:c r="A3851" s="379" t="n">
        <x:v>49502</x:v>
      </x:c>
      <x:c r="B3851" s="380" t="n">
        <x:v>2035</x:v>
      </x:c>
      <x:c r="C3851" s="380" t="n">
        <x:v>7</x:v>
      </x:c>
      <x:c r="D3851" s="380" t="str">
        <x:v>Jul</x:v>
      </x:c>
      <x:c r="E3851" s="380" t="n">
        <x:v>12</x:v>
      </x:c>
      <x:c r="F3851" s="380" t="n">
        <x:v>4</x:v>
      </x:c>
      <x:c r="G3851" s="380" t="n">
        <x:f>--(F3851&lt;='Estimator'!$B$7)</x:f>
        <x:v>1</x:v>
      </x:c>
      <x:c r="H3851" s="381" t="n">
        <x:f>SUMIFS('Climate Data'!$G$7:$G$366,'Climate Data'!$A$7:$A$366,'Estimator'!$B$4,'Climate Data'!$B$7:$B$366,C3851)</x:f>
        <x:v>0.49078341013824883</x:v>
      </x:c>
      <x:c r="I3851" s="382" t="n">
        <x:f>SUMIFS('Climate Data'!$H$7:$H$366,'Climate Data'!$A$7:$A$366,'Estimator'!$B$4,'Climate Data'!$B$7:$B$366,C3851)</x:f>
        <x:v>8.998122065727701</x:v>
      </x:c>
      <x:c r="J3851" s="381" t="n">
        <x:f>SUMIFS('Wind Proxy'!$H$8:$H$19,'Wind Proxy'!$A$8:$A$19,'Estimator'!$B$4,'Wind Proxy'!$B$8:$B$19,C3851)</x:f>
        <x:v>0.13739545997610514</x:v>
      </x:c>
    </x:row>
    <x:row r="3852">
      <x:c r="A3852" s="379" t="n">
        <x:v>49503</x:v>
      </x:c>
      <x:c r="B3852" s="380" t="n">
        <x:v>2035</x:v>
      </x:c>
      <x:c r="C3852" s="380" t="n">
        <x:v>7</x:v>
      </x:c>
      <x:c r="D3852" s="380" t="str">
        <x:v>Jul</x:v>
      </x:c>
      <x:c r="E3852" s="380" t="n">
        <x:v>13</x:v>
      </x:c>
      <x:c r="F3852" s="380" t="n">
        <x:v>5</x:v>
      </x:c>
      <x:c r="G3852" s="380" t="n">
        <x:f>--(F3852&lt;='Estimator'!$B$7)</x:f>
        <x:v>1</x:v>
      </x:c>
      <x:c r="H3852" s="381" t="n">
        <x:f>SUMIFS('Climate Data'!$G$7:$G$366,'Climate Data'!$A$7:$A$366,'Estimator'!$B$4,'Climate Data'!$B$7:$B$366,C3852)</x:f>
        <x:v>0.49078341013824883</x:v>
      </x:c>
      <x:c r="I3852" s="382" t="n">
        <x:f>SUMIFS('Climate Data'!$H$7:$H$366,'Climate Data'!$A$7:$A$366,'Estimator'!$B$4,'Climate Data'!$B$7:$B$366,C3852)</x:f>
        <x:v>8.998122065727701</x:v>
      </x:c>
      <x:c r="J3852" s="381" t="n">
        <x:f>SUMIFS('Wind Proxy'!$H$8:$H$19,'Wind Proxy'!$A$8:$A$19,'Estimator'!$B$4,'Wind Proxy'!$B$8:$B$19,C3852)</x:f>
        <x:v>0.13739545997610514</x:v>
      </x:c>
    </x:row>
    <x:row r="3853">
      <x:c r="A3853" s="379" t="n">
        <x:v>49504</x:v>
      </x:c>
      <x:c r="B3853" s="380" t="n">
        <x:v>2035</x:v>
      </x:c>
      <x:c r="C3853" s="380" t="n">
        <x:v>7</x:v>
      </x:c>
      <x:c r="D3853" s="380" t="str">
        <x:v>Jul</x:v>
      </x:c>
      <x:c r="E3853" s="380" t="n">
        <x:v>14</x:v>
      </x:c>
      <x:c r="F3853" s="380" t="n">
        <x:v>6</x:v>
      </x:c>
      <x:c r="G3853" s="380" t="n">
        <x:f>--(F3853&lt;='Estimator'!$B$7)</x:f>
        <x:v>0</x:v>
      </x:c>
      <x:c r="H3853" s="381" t="n">
        <x:f>SUMIFS('Climate Data'!$G$7:$G$366,'Climate Data'!$A$7:$A$366,'Estimator'!$B$4,'Climate Data'!$B$7:$B$366,C3853)</x:f>
        <x:v>0.49078341013824883</x:v>
      </x:c>
      <x:c r="I3853" s="382" t="n">
        <x:f>SUMIFS('Climate Data'!$H$7:$H$366,'Climate Data'!$A$7:$A$366,'Estimator'!$B$4,'Climate Data'!$B$7:$B$366,C3853)</x:f>
        <x:v>8.998122065727701</x:v>
      </x:c>
      <x:c r="J3853" s="381" t="n">
        <x:f>SUMIFS('Wind Proxy'!$H$8:$H$19,'Wind Proxy'!$A$8:$A$19,'Estimator'!$B$4,'Wind Proxy'!$B$8:$B$19,C3853)</x:f>
        <x:v>0.13739545997610514</x:v>
      </x:c>
    </x:row>
    <x:row r="3854">
      <x:c r="A3854" s="379" t="n">
        <x:v>49505</x:v>
      </x:c>
      <x:c r="B3854" s="380" t="n">
        <x:v>2035</x:v>
      </x:c>
      <x:c r="C3854" s="380" t="n">
        <x:v>7</x:v>
      </x:c>
      <x:c r="D3854" s="380" t="str">
        <x:v>Jul</x:v>
      </x:c>
      <x:c r="E3854" s="380" t="n">
        <x:v>15</x:v>
      </x:c>
      <x:c r="F3854" s="380" t="n">
        <x:v>7</x:v>
      </x:c>
      <x:c r="G3854" s="380" t="n">
        <x:f>--(F3854&lt;='Estimator'!$B$7)</x:f>
        <x:v>0</x:v>
      </x:c>
      <x:c r="H3854" s="381" t="n">
        <x:f>SUMIFS('Climate Data'!$G$7:$G$366,'Climate Data'!$A$7:$A$366,'Estimator'!$B$4,'Climate Data'!$B$7:$B$366,C3854)</x:f>
        <x:v>0.49078341013824883</x:v>
      </x:c>
      <x:c r="I3854" s="382" t="n">
        <x:f>SUMIFS('Climate Data'!$H$7:$H$366,'Climate Data'!$A$7:$A$366,'Estimator'!$B$4,'Climate Data'!$B$7:$B$366,C3854)</x:f>
        <x:v>8.998122065727701</x:v>
      </x:c>
      <x:c r="J3854" s="381" t="n">
        <x:f>SUMIFS('Wind Proxy'!$H$8:$H$19,'Wind Proxy'!$A$8:$A$19,'Estimator'!$B$4,'Wind Proxy'!$B$8:$B$19,C3854)</x:f>
        <x:v>0.13739545997610514</x:v>
      </x:c>
    </x:row>
    <x:row r="3855">
      <x:c r="A3855" s="379" t="n">
        <x:v>49506</x:v>
      </x:c>
      <x:c r="B3855" s="380" t="n">
        <x:v>2035</x:v>
      </x:c>
      <x:c r="C3855" s="380" t="n">
        <x:v>7</x:v>
      </x:c>
      <x:c r="D3855" s="380" t="str">
        <x:v>Jul</x:v>
      </x:c>
      <x:c r="E3855" s="380" t="n">
        <x:v>16</x:v>
      </x:c>
      <x:c r="F3855" s="380" t="n">
        <x:v>1</x:v>
      </x:c>
      <x:c r="G3855" s="380" t="n">
        <x:f>--(F3855&lt;='Estimator'!$B$7)</x:f>
        <x:v>1</x:v>
      </x:c>
      <x:c r="H3855" s="381" t="n">
        <x:f>SUMIFS('Climate Data'!$G$7:$G$366,'Climate Data'!$A$7:$A$366,'Estimator'!$B$4,'Climate Data'!$B$7:$B$366,C3855)</x:f>
        <x:v>0.49078341013824883</x:v>
      </x:c>
      <x:c r="I3855" s="382" t="n">
        <x:f>SUMIFS('Climate Data'!$H$7:$H$366,'Climate Data'!$A$7:$A$366,'Estimator'!$B$4,'Climate Data'!$B$7:$B$366,C3855)</x:f>
        <x:v>8.998122065727701</x:v>
      </x:c>
      <x:c r="J3855" s="381" t="n">
        <x:f>SUMIFS('Wind Proxy'!$H$8:$H$19,'Wind Proxy'!$A$8:$A$19,'Estimator'!$B$4,'Wind Proxy'!$B$8:$B$19,C3855)</x:f>
        <x:v>0.13739545997610514</x:v>
      </x:c>
    </x:row>
    <x:row r="3856">
      <x:c r="A3856" s="379" t="n">
        <x:v>49507</x:v>
      </x:c>
      <x:c r="B3856" s="380" t="n">
        <x:v>2035</x:v>
      </x:c>
      <x:c r="C3856" s="380" t="n">
        <x:v>7</x:v>
      </x:c>
      <x:c r="D3856" s="380" t="str">
        <x:v>Jul</x:v>
      </x:c>
      <x:c r="E3856" s="380" t="n">
        <x:v>17</x:v>
      </x:c>
      <x:c r="F3856" s="380" t="n">
        <x:v>2</x:v>
      </x:c>
      <x:c r="G3856" s="380" t="n">
        <x:f>--(F3856&lt;='Estimator'!$B$7)</x:f>
        <x:v>1</x:v>
      </x:c>
      <x:c r="H3856" s="381" t="n">
        <x:f>SUMIFS('Climate Data'!$G$7:$G$366,'Climate Data'!$A$7:$A$366,'Estimator'!$B$4,'Climate Data'!$B$7:$B$366,C3856)</x:f>
        <x:v>0.49078341013824883</x:v>
      </x:c>
      <x:c r="I3856" s="382" t="n">
        <x:f>SUMIFS('Climate Data'!$H$7:$H$366,'Climate Data'!$A$7:$A$366,'Estimator'!$B$4,'Climate Data'!$B$7:$B$366,C3856)</x:f>
        <x:v>8.998122065727701</x:v>
      </x:c>
      <x:c r="J3856" s="381" t="n">
        <x:f>SUMIFS('Wind Proxy'!$H$8:$H$19,'Wind Proxy'!$A$8:$A$19,'Estimator'!$B$4,'Wind Proxy'!$B$8:$B$19,C3856)</x:f>
        <x:v>0.13739545997610514</x:v>
      </x:c>
    </x:row>
    <x:row r="3857">
      <x:c r="A3857" s="379" t="n">
        <x:v>49508</x:v>
      </x:c>
      <x:c r="B3857" s="380" t="n">
        <x:v>2035</x:v>
      </x:c>
      <x:c r="C3857" s="380" t="n">
        <x:v>7</x:v>
      </x:c>
      <x:c r="D3857" s="380" t="str">
        <x:v>Jul</x:v>
      </x:c>
      <x:c r="E3857" s="380" t="n">
        <x:v>18</x:v>
      </x:c>
      <x:c r="F3857" s="380" t="n">
        <x:v>3</x:v>
      </x:c>
      <x:c r="G3857" s="380" t="n">
        <x:f>--(F3857&lt;='Estimator'!$B$7)</x:f>
        <x:v>1</x:v>
      </x:c>
      <x:c r="H3857" s="381" t="n">
        <x:f>SUMIFS('Climate Data'!$G$7:$G$366,'Climate Data'!$A$7:$A$366,'Estimator'!$B$4,'Climate Data'!$B$7:$B$366,C3857)</x:f>
        <x:v>0.49078341013824883</x:v>
      </x:c>
      <x:c r="I3857" s="382" t="n">
        <x:f>SUMIFS('Climate Data'!$H$7:$H$366,'Climate Data'!$A$7:$A$366,'Estimator'!$B$4,'Climate Data'!$B$7:$B$366,C3857)</x:f>
        <x:v>8.998122065727701</x:v>
      </x:c>
      <x:c r="J3857" s="381" t="n">
        <x:f>SUMIFS('Wind Proxy'!$H$8:$H$19,'Wind Proxy'!$A$8:$A$19,'Estimator'!$B$4,'Wind Proxy'!$B$8:$B$19,C3857)</x:f>
        <x:v>0.13739545997610514</x:v>
      </x:c>
    </x:row>
    <x:row r="3858">
      <x:c r="A3858" s="379" t="n">
        <x:v>49509</x:v>
      </x:c>
      <x:c r="B3858" s="380" t="n">
        <x:v>2035</x:v>
      </x:c>
      <x:c r="C3858" s="380" t="n">
        <x:v>7</x:v>
      </x:c>
      <x:c r="D3858" s="380" t="str">
        <x:v>Jul</x:v>
      </x:c>
      <x:c r="E3858" s="380" t="n">
        <x:v>19</x:v>
      </x:c>
      <x:c r="F3858" s="380" t="n">
        <x:v>4</x:v>
      </x:c>
      <x:c r="G3858" s="380" t="n">
        <x:f>--(F3858&lt;='Estimator'!$B$7)</x:f>
        <x:v>1</x:v>
      </x:c>
      <x:c r="H3858" s="381" t="n">
        <x:f>SUMIFS('Climate Data'!$G$7:$G$366,'Climate Data'!$A$7:$A$366,'Estimator'!$B$4,'Climate Data'!$B$7:$B$366,C3858)</x:f>
        <x:v>0.49078341013824883</x:v>
      </x:c>
      <x:c r="I3858" s="382" t="n">
        <x:f>SUMIFS('Climate Data'!$H$7:$H$366,'Climate Data'!$A$7:$A$366,'Estimator'!$B$4,'Climate Data'!$B$7:$B$366,C3858)</x:f>
        <x:v>8.998122065727701</x:v>
      </x:c>
      <x:c r="J3858" s="381" t="n">
        <x:f>SUMIFS('Wind Proxy'!$H$8:$H$19,'Wind Proxy'!$A$8:$A$19,'Estimator'!$B$4,'Wind Proxy'!$B$8:$B$19,C3858)</x:f>
        <x:v>0.13739545997610514</x:v>
      </x:c>
    </x:row>
    <x:row r="3859">
      <x:c r="A3859" s="379" t="n">
        <x:v>49510</x:v>
      </x:c>
      <x:c r="B3859" s="380" t="n">
        <x:v>2035</x:v>
      </x:c>
      <x:c r="C3859" s="380" t="n">
        <x:v>7</x:v>
      </x:c>
      <x:c r="D3859" s="380" t="str">
        <x:v>Jul</x:v>
      </x:c>
      <x:c r="E3859" s="380" t="n">
        <x:v>20</x:v>
      </x:c>
      <x:c r="F3859" s="380" t="n">
        <x:v>5</x:v>
      </x:c>
      <x:c r="G3859" s="380" t="n">
        <x:f>--(F3859&lt;='Estimator'!$B$7)</x:f>
        <x:v>1</x:v>
      </x:c>
      <x:c r="H3859" s="381" t="n">
        <x:f>SUMIFS('Climate Data'!$G$7:$G$366,'Climate Data'!$A$7:$A$366,'Estimator'!$B$4,'Climate Data'!$B$7:$B$366,C3859)</x:f>
        <x:v>0.49078341013824883</x:v>
      </x:c>
      <x:c r="I3859" s="382" t="n">
        <x:f>SUMIFS('Climate Data'!$H$7:$H$366,'Climate Data'!$A$7:$A$366,'Estimator'!$B$4,'Climate Data'!$B$7:$B$366,C3859)</x:f>
        <x:v>8.998122065727701</x:v>
      </x:c>
      <x:c r="J3859" s="381" t="n">
        <x:f>SUMIFS('Wind Proxy'!$H$8:$H$19,'Wind Proxy'!$A$8:$A$19,'Estimator'!$B$4,'Wind Proxy'!$B$8:$B$19,C3859)</x:f>
        <x:v>0.13739545997610514</x:v>
      </x:c>
    </x:row>
    <x:row r="3860">
      <x:c r="A3860" s="379" t="n">
        <x:v>49511</x:v>
      </x:c>
      <x:c r="B3860" s="380" t="n">
        <x:v>2035</x:v>
      </x:c>
      <x:c r="C3860" s="380" t="n">
        <x:v>7</x:v>
      </x:c>
      <x:c r="D3860" s="380" t="str">
        <x:v>Jul</x:v>
      </x:c>
      <x:c r="E3860" s="380" t="n">
        <x:v>21</x:v>
      </x:c>
      <x:c r="F3860" s="380" t="n">
        <x:v>6</x:v>
      </x:c>
      <x:c r="G3860" s="380" t="n">
        <x:f>--(F3860&lt;='Estimator'!$B$7)</x:f>
        <x:v>0</x:v>
      </x:c>
      <x:c r="H3860" s="381" t="n">
        <x:f>SUMIFS('Climate Data'!$G$7:$G$366,'Climate Data'!$A$7:$A$366,'Estimator'!$B$4,'Climate Data'!$B$7:$B$366,C3860)</x:f>
        <x:v>0.49078341013824883</x:v>
      </x:c>
      <x:c r="I3860" s="382" t="n">
        <x:f>SUMIFS('Climate Data'!$H$7:$H$366,'Climate Data'!$A$7:$A$366,'Estimator'!$B$4,'Climate Data'!$B$7:$B$366,C3860)</x:f>
        <x:v>8.998122065727701</x:v>
      </x:c>
      <x:c r="J3860" s="381" t="n">
        <x:f>SUMIFS('Wind Proxy'!$H$8:$H$19,'Wind Proxy'!$A$8:$A$19,'Estimator'!$B$4,'Wind Proxy'!$B$8:$B$19,C3860)</x:f>
        <x:v>0.13739545997610514</x:v>
      </x:c>
    </x:row>
    <x:row r="3861">
      <x:c r="A3861" s="379" t="n">
        <x:v>49512</x:v>
      </x:c>
      <x:c r="B3861" s="380" t="n">
        <x:v>2035</x:v>
      </x:c>
      <x:c r="C3861" s="380" t="n">
        <x:v>7</x:v>
      </x:c>
      <x:c r="D3861" s="380" t="str">
        <x:v>Jul</x:v>
      </x:c>
      <x:c r="E3861" s="380" t="n">
        <x:v>22</x:v>
      </x:c>
      <x:c r="F3861" s="380" t="n">
        <x:v>7</x:v>
      </x:c>
      <x:c r="G3861" s="380" t="n">
        <x:f>--(F3861&lt;='Estimator'!$B$7)</x:f>
        <x:v>0</x:v>
      </x:c>
      <x:c r="H3861" s="381" t="n">
        <x:f>SUMIFS('Climate Data'!$G$7:$G$366,'Climate Data'!$A$7:$A$366,'Estimator'!$B$4,'Climate Data'!$B$7:$B$366,C3861)</x:f>
        <x:v>0.49078341013824883</x:v>
      </x:c>
      <x:c r="I3861" s="382" t="n">
        <x:f>SUMIFS('Climate Data'!$H$7:$H$366,'Climate Data'!$A$7:$A$366,'Estimator'!$B$4,'Climate Data'!$B$7:$B$366,C3861)</x:f>
        <x:v>8.998122065727701</x:v>
      </x:c>
      <x:c r="J3861" s="381" t="n">
        <x:f>SUMIFS('Wind Proxy'!$H$8:$H$19,'Wind Proxy'!$A$8:$A$19,'Estimator'!$B$4,'Wind Proxy'!$B$8:$B$19,C3861)</x:f>
        <x:v>0.13739545997610514</x:v>
      </x:c>
    </x:row>
    <x:row r="3862">
      <x:c r="A3862" s="379" t="n">
        <x:v>49513</x:v>
      </x:c>
      <x:c r="B3862" s="380" t="n">
        <x:v>2035</x:v>
      </x:c>
      <x:c r="C3862" s="380" t="n">
        <x:v>7</x:v>
      </x:c>
      <x:c r="D3862" s="380" t="str">
        <x:v>Jul</x:v>
      </x:c>
      <x:c r="E3862" s="380" t="n">
        <x:v>23</x:v>
      </x:c>
      <x:c r="F3862" s="380" t="n">
        <x:v>1</x:v>
      </x:c>
      <x:c r="G3862" s="380" t="n">
        <x:f>--(F3862&lt;='Estimator'!$B$7)</x:f>
        <x:v>1</x:v>
      </x:c>
      <x:c r="H3862" s="381" t="n">
        <x:f>SUMIFS('Climate Data'!$G$7:$G$366,'Climate Data'!$A$7:$A$366,'Estimator'!$B$4,'Climate Data'!$B$7:$B$366,C3862)</x:f>
        <x:v>0.49078341013824883</x:v>
      </x:c>
      <x:c r="I3862" s="382" t="n">
        <x:f>SUMIFS('Climate Data'!$H$7:$H$366,'Climate Data'!$A$7:$A$366,'Estimator'!$B$4,'Climate Data'!$B$7:$B$366,C3862)</x:f>
        <x:v>8.998122065727701</x:v>
      </x:c>
      <x:c r="J3862" s="381" t="n">
        <x:f>SUMIFS('Wind Proxy'!$H$8:$H$19,'Wind Proxy'!$A$8:$A$19,'Estimator'!$B$4,'Wind Proxy'!$B$8:$B$19,C3862)</x:f>
        <x:v>0.13739545997610514</x:v>
      </x:c>
    </x:row>
    <x:row r="3863">
      <x:c r="A3863" s="379" t="n">
        <x:v>49514</x:v>
      </x:c>
      <x:c r="B3863" s="380" t="n">
        <x:v>2035</x:v>
      </x:c>
      <x:c r="C3863" s="380" t="n">
        <x:v>7</x:v>
      </x:c>
      <x:c r="D3863" s="380" t="str">
        <x:v>Jul</x:v>
      </x:c>
      <x:c r="E3863" s="380" t="n">
        <x:v>24</x:v>
      </x:c>
      <x:c r="F3863" s="380" t="n">
        <x:v>2</x:v>
      </x:c>
      <x:c r="G3863" s="380" t="n">
        <x:f>--(F3863&lt;='Estimator'!$B$7)</x:f>
        <x:v>1</x:v>
      </x:c>
      <x:c r="H3863" s="381" t="n">
        <x:f>SUMIFS('Climate Data'!$G$7:$G$366,'Climate Data'!$A$7:$A$366,'Estimator'!$B$4,'Climate Data'!$B$7:$B$366,C3863)</x:f>
        <x:v>0.49078341013824883</x:v>
      </x:c>
      <x:c r="I3863" s="382" t="n">
        <x:f>SUMIFS('Climate Data'!$H$7:$H$366,'Climate Data'!$A$7:$A$366,'Estimator'!$B$4,'Climate Data'!$B$7:$B$366,C3863)</x:f>
        <x:v>8.998122065727701</x:v>
      </x:c>
      <x:c r="J3863" s="381" t="n">
        <x:f>SUMIFS('Wind Proxy'!$H$8:$H$19,'Wind Proxy'!$A$8:$A$19,'Estimator'!$B$4,'Wind Proxy'!$B$8:$B$19,C3863)</x:f>
        <x:v>0.13739545997610514</x:v>
      </x:c>
    </x:row>
    <x:row r="3864">
      <x:c r="A3864" s="379" t="n">
        <x:v>49515</x:v>
      </x:c>
      <x:c r="B3864" s="380" t="n">
        <x:v>2035</x:v>
      </x:c>
      <x:c r="C3864" s="380" t="n">
        <x:v>7</x:v>
      </x:c>
      <x:c r="D3864" s="380" t="str">
        <x:v>Jul</x:v>
      </x:c>
      <x:c r="E3864" s="380" t="n">
        <x:v>25</x:v>
      </x:c>
      <x:c r="F3864" s="380" t="n">
        <x:v>3</x:v>
      </x:c>
      <x:c r="G3864" s="380" t="n">
        <x:f>--(F3864&lt;='Estimator'!$B$7)</x:f>
        <x:v>1</x:v>
      </x:c>
      <x:c r="H3864" s="381" t="n">
        <x:f>SUMIFS('Climate Data'!$G$7:$G$366,'Climate Data'!$A$7:$A$366,'Estimator'!$B$4,'Climate Data'!$B$7:$B$366,C3864)</x:f>
        <x:v>0.49078341013824883</x:v>
      </x:c>
      <x:c r="I3864" s="382" t="n">
        <x:f>SUMIFS('Climate Data'!$H$7:$H$366,'Climate Data'!$A$7:$A$366,'Estimator'!$B$4,'Climate Data'!$B$7:$B$366,C3864)</x:f>
        <x:v>8.998122065727701</x:v>
      </x:c>
      <x:c r="J3864" s="381" t="n">
        <x:f>SUMIFS('Wind Proxy'!$H$8:$H$19,'Wind Proxy'!$A$8:$A$19,'Estimator'!$B$4,'Wind Proxy'!$B$8:$B$19,C3864)</x:f>
        <x:v>0.13739545997610514</x:v>
      </x:c>
    </x:row>
    <x:row r="3865">
      <x:c r="A3865" s="379" t="n">
        <x:v>49516</x:v>
      </x:c>
      <x:c r="B3865" s="380" t="n">
        <x:v>2035</x:v>
      </x:c>
      <x:c r="C3865" s="380" t="n">
        <x:v>7</x:v>
      </x:c>
      <x:c r="D3865" s="380" t="str">
        <x:v>Jul</x:v>
      </x:c>
      <x:c r="E3865" s="380" t="n">
        <x:v>26</x:v>
      </x:c>
      <x:c r="F3865" s="380" t="n">
        <x:v>4</x:v>
      </x:c>
      <x:c r="G3865" s="380" t="n">
        <x:f>--(F3865&lt;='Estimator'!$B$7)</x:f>
        <x:v>1</x:v>
      </x:c>
      <x:c r="H3865" s="381" t="n">
        <x:f>SUMIFS('Climate Data'!$G$7:$G$366,'Climate Data'!$A$7:$A$366,'Estimator'!$B$4,'Climate Data'!$B$7:$B$366,C3865)</x:f>
        <x:v>0.49078341013824883</x:v>
      </x:c>
      <x:c r="I3865" s="382" t="n">
        <x:f>SUMIFS('Climate Data'!$H$7:$H$366,'Climate Data'!$A$7:$A$366,'Estimator'!$B$4,'Climate Data'!$B$7:$B$366,C3865)</x:f>
        <x:v>8.998122065727701</x:v>
      </x:c>
      <x:c r="J3865" s="381" t="n">
        <x:f>SUMIFS('Wind Proxy'!$H$8:$H$19,'Wind Proxy'!$A$8:$A$19,'Estimator'!$B$4,'Wind Proxy'!$B$8:$B$19,C3865)</x:f>
        <x:v>0.13739545997610514</x:v>
      </x:c>
    </x:row>
    <x:row r="3866">
      <x:c r="A3866" s="379" t="n">
        <x:v>49517</x:v>
      </x:c>
      <x:c r="B3866" s="380" t="n">
        <x:v>2035</x:v>
      </x:c>
      <x:c r="C3866" s="380" t="n">
        <x:v>7</x:v>
      </x:c>
      <x:c r="D3866" s="380" t="str">
        <x:v>Jul</x:v>
      </x:c>
      <x:c r="E3866" s="380" t="n">
        <x:v>27</x:v>
      </x:c>
      <x:c r="F3866" s="380" t="n">
        <x:v>5</x:v>
      </x:c>
      <x:c r="G3866" s="380" t="n">
        <x:f>--(F3866&lt;='Estimator'!$B$7)</x:f>
        <x:v>1</x:v>
      </x:c>
      <x:c r="H3866" s="381" t="n">
        <x:f>SUMIFS('Climate Data'!$G$7:$G$366,'Climate Data'!$A$7:$A$366,'Estimator'!$B$4,'Climate Data'!$B$7:$B$366,C3866)</x:f>
        <x:v>0.49078341013824883</x:v>
      </x:c>
      <x:c r="I3866" s="382" t="n">
        <x:f>SUMIFS('Climate Data'!$H$7:$H$366,'Climate Data'!$A$7:$A$366,'Estimator'!$B$4,'Climate Data'!$B$7:$B$366,C3866)</x:f>
        <x:v>8.998122065727701</x:v>
      </x:c>
      <x:c r="J3866" s="381" t="n">
        <x:f>SUMIFS('Wind Proxy'!$H$8:$H$19,'Wind Proxy'!$A$8:$A$19,'Estimator'!$B$4,'Wind Proxy'!$B$8:$B$19,C3866)</x:f>
        <x:v>0.13739545997610514</x:v>
      </x:c>
    </x:row>
    <x:row r="3867">
      <x:c r="A3867" s="379" t="n">
        <x:v>49518</x:v>
      </x:c>
      <x:c r="B3867" s="380" t="n">
        <x:v>2035</x:v>
      </x:c>
      <x:c r="C3867" s="380" t="n">
        <x:v>7</x:v>
      </x:c>
      <x:c r="D3867" s="380" t="str">
        <x:v>Jul</x:v>
      </x:c>
      <x:c r="E3867" s="380" t="n">
        <x:v>28</x:v>
      </x:c>
      <x:c r="F3867" s="380" t="n">
        <x:v>6</x:v>
      </x:c>
      <x:c r="G3867" s="380" t="n">
        <x:f>--(F3867&lt;='Estimator'!$B$7)</x:f>
        <x:v>0</x:v>
      </x:c>
      <x:c r="H3867" s="381" t="n">
        <x:f>SUMIFS('Climate Data'!$G$7:$G$366,'Climate Data'!$A$7:$A$366,'Estimator'!$B$4,'Climate Data'!$B$7:$B$366,C3867)</x:f>
        <x:v>0.49078341013824883</x:v>
      </x:c>
      <x:c r="I3867" s="382" t="n">
        <x:f>SUMIFS('Climate Data'!$H$7:$H$366,'Climate Data'!$A$7:$A$366,'Estimator'!$B$4,'Climate Data'!$B$7:$B$366,C3867)</x:f>
        <x:v>8.998122065727701</x:v>
      </x:c>
      <x:c r="J3867" s="381" t="n">
        <x:f>SUMIFS('Wind Proxy'!$H$8:$H$19,'Wind Proxy'!$A$8:$A$19,'Estimator'!$B$4,'Wind Proxy'!$B$8:$B$19,C3867)</x:f>
        <x:v>0.13739545997610514</x:v>
      </x:c>
    </x:row>
    <x:row r="3868">
      <x:c r="A3868" s="379" t="n">
        <x:v>49519</x:v>
      </x:c>
      <x:c r="B3868" s="380" t="n">
        <x:v>2035</x:v>
      </x:c>
      <x:c r="C3868" s="380" t="n">
        <x:v>7</x:v>
      </x:c>
      <x:c r="D3868" s="380" t="str">
        <x:v>Jul</x:v>
      </x:c>
      <x:c r="E3868" s="380" t="n">
        <x:v>29</x:v>
      </x:c>
      <x:c r="F3868" s="380" t="n">
        <x:v>7</x:v>
      </x:c>
      <x:c r="G3868" s="380" t="n">
        <x:f>--(F3868&lt;='Estimator'!$B$7)</x:f>
        <x:v>0</x:v>
      </x:c>
      <x:c r="H3868" s="381" t="n">
        <x:f>SUMIFS('Climate Data'!$G$7:$G$366,'Climate Data'!$A$7:$A$366,'Estimator'!$B$4,'Climate Data'!$B$7:$B$366,C3868)</x:f>
        <x:v>0.49078341013824883</x:v>
      </x:c>
      <x:c r="I3868" s="382" t="n">
        <x:f>SUMIFS('Climate Data'!$H$7:$H$366,'Climate Data'!$A$7:$A$366,'Estimator'!$B$4,'Climate Data'!$B$7:$B$366,C3868)</x:f>
        <x:v>8.998122065727701</x:v>
      </x:c>
      <x:c r="J3868" s="381" t="n">
        <x:f>SUMIFS('Wind Proxy'!$H$8:$H$19,'Wind Proxy'!$A$8:$A$19,'Estimator'!$B$4,'Wind Proxy'!$B$8:$B$19,C3868)</x:f>
        <x:v>0.13739545997610514</x:v>
      </x:c>
    </x:row>
    <x:row r="3869">
      <x:c r="A3869" s="379" t="n">
        <x:v>49520</x:v>
      </x:c>
      <x:c r="B3869" s="380" t="n">
        <x:v>2035</x:v>
      </x:c>
      <x:c r="C3869" s="380" t="n">
        <x:v>7</x:v>
      </x:c>
      <x:c r="D3869" s="380" t="str">
        <x:v>Jul</x:v>
      </x:c>
      <x:c r="E3869" s="380" t="n">
        <x:v>30</x:v>
      </x:c>
      <x:c r="F3869" s="380" t="n">
        <x:v>1</x:v>
      </x:c>
      <x:c r="G3869" s="380" t="n">
        <x:f>--(F3869&lt;='Estimator'!$B$7)</x:f>
        <x:v>1</x:v>
      </x:c>
      <x:c r="H3869" s="381" t="n">
        <x:f>SUMIFS('Climate Data'!$G$7:$G$366,'Climate Data'!$A$7:$A$366,'Estimator'!$B$4,'Climate Data'!$B$7:$B$366,C3869)</x:f>
        <x:v>0.49078341013824883</x:v>
      </x:c>
      <x:c r="I3869" s="382" t="n">
        <x:f>SUMIFS('Climate Data'!$H$7:$H$366,'Climate Data'!$A$7:$A$366,'Estimator'!$B$4,'Climate Data'!$B$7:$B$366,C3869)</x:f>
        <x:v>8.998122065727701</x:v>
      </x:c>
      <x:c r="J3869" s="381" t="n">
        <x:f>SUMIFS('Wind Proxy'!$H$8:$H$19,'Wind Proxy'!$A$8:$A$19,'Estimator'!$B$4,'Wind Proxy'!$B$8:$B$19,C3869)</x:f>
        <x:v>0.13739545997610514</x:v>
      </x:c>
    </x:row>
    <x:row r="3870">
      <x:c r="A3870" s="379" t="n">
        <x:v>49521</x:v>
      </x:c>
      <x:c r="B3870" s="380" t="n">
        <x:v>2035</x:v>
      </x:c>
      <x:c r="C3870" s="380" t="n">
        <x:v>7</x:v>
      </x:c>
      <x:c r="D3870" s="380" t="str">
        <x:v>Jul</x:v>
      </x:c>
      <x:c r="E3870" s="380" t="n">
        <x:v>31</x:v>
      </x:c>
      <x:c r="F3870" s="380" t="n">
        <x:v>2</x:v>
      </x:c>
      <x:c r="G3870" s="380" t="n">
        <x:f>--(F3870&lt;='Estimator'!$B$7)</x:f>
        <x:v>1</x:v>
      </x:c>
      <x:c r="H3870" s="381" t="n">
        <x:f>SUMIFS('Climate Data'!$G$7:$G$366,'Climate Data'!$A$7:$A$366,'Estimator'!$B$4,'Climate Data'!$B$7:$B$366,C3870)</x:f>
        <x:v>0.49078341013824883</x:v>
      </x:c>
      <x:c r="I3870" s="382" t="n">
        <x:f>SUMIFS('Climate Data'!$H$7:$H$366,'Climate Data'!$A$7:$A$366,'Estimator'!$B$4,'Climate Data'!$B$7:$B$366,C3870)</x:f>
        <x:v>8.998122065727701</x:v>
      </x:c>
      <x:c r="J3870" s="381" t="n">
        <x:f>SUMIFS('Wind Proxy'!$H$8:$H$19,'Wind Proxy'!$A$8:$A$19,'Estimator'!$B$4,'Wind Proxy'!$B$8:$B$19,C3870)</x:f>
        <x:v>0.13739545997610514</x:v>
      </x:c>
    </x:row>
    <x:row r="3871">
      <x:c r="A3871" s="379" t="n">
        <x:v>49522</x:v>
      </x:c>
      <x:c r="B3871" s="380" t="n">
        <x:v>2035</x:v>
      </x:c>
      <x:c r="C3871" s="380" t="n">
        <x:v>8</x:v>
      </x:c>
      <x:c r="D3871" s="380" t="str">
        <x:v>Aug</x:v>
      </x:c>
      <x:c r="E3871" s="380" t="n">
        <x:v>1</x:v>
      </x:c>
      <x:c r="F3871" s="380" t="n">
        <x:v>3</x:v>
      </x:c>
      <x:c r="G3871" s="380" t="n">
        <x:f>--(F3871&lt;='Estimator'!$B$7)</x:f>
        <x:v>1</x:v>
      </x:c>
      <x:c r="H3871" s="381" t="n">
        <x:f>SUMIFS('Climate Data'!$G$7:$G$366,'Climate Data'!$A$7:$A$366,'Estimator'!$B$4,'Climate Data'!$B$7:$B$366,C3871)</x:f>
        <x:v>0.47274749721913234</x:v>
      </x:c>
      <x:c r="I3871" s="382" t="n">
        <x:f>SUMIFS('Climate Data'!$H$7:$H$366,'Climate Data'!$A$7:$A$366,'Estimator'!$B$4,'Climate Data'!$B$7:$B$366,C3871)</x:f>
        <x:v>7.9971764705882356</x:v>
      </x:c>
      <x:c r="J3871" s="381" t="n">
        <x:f>SUMIFS('Wind Proxy'!$H$8:$H$19,'Wind Proxy'!$A$8:$A$19,'Estimator'!$B$4,'Wind Proxy'!$B$8:$B$19,C3871)</x:f>
        <x:v>0.13739545997610514</x:v>
      </x:c>
    </x:row>
    <x:row r="3872">
      <x:c r="A3872" s="379" t="n">
        <x:v>49523</x:v>
      </x:c>
      <x:c r="B3872" s="380" t="n">
        <x:v>2035</x:v>
      </x:c>
      <x:c r="C3872" s="380" t="n">
        <x:v>8</x:v>
      </x:c>
      <x:c r="D3872" s="380" t="str">
        <x:v>Aug</x:v>
      </x:c>
      <x:c r="E3872" s="380" t="n">
        <x:v>2</x:v>
      </x:c>
      <x:c r="F3872" s="380" t="n">
        <x:v>4</x:v>
      </x:c>
      <x:c r="G3872" s="380" t="n">
        <x:f>--(F3872&lt;='Estimator'!$B$7)</x:f>
        <x:v>1</x:v>
      </x:c>
      <x:c r="H3872" s="381" t="n">
        <x:f>SUMIFS('Climate Data'!$G$7:$G$366,'Climate Data'!$A$7:$A$366,'Estimator'!$B$4,'Climate Data'!$B$7:$B$366,C3872)</x:f>
        <x:v>0.47274749721913234</x:v>
      </x:c>
      <x:c r="I3872" s="382" t="n">
        <x:f>SUMIFS('Climate Data'!$H$7:$H$366,'Climate Data'!$A$7:$A$366,'Estimator'!$B$4,'Climate Data'!$B$7:$B$366,C3872)</x:f>
        <x:v>7.9971764705882356</x:v>
      </x:c>
      <x:c r="J3872" s="381" t="n">
        <x:f>SUMIFS('Wind Proxy'!$H$8:$H$19,'Wind Proxy'!$A$8:$A$19,'Estimator'!$B$4,'Wind Proxy'!$B$8:$B$19,C3872)</x:f>
        <x:v>0.13739545997610514</x:v>
      </x:c>
    </x:row>
    <x:row r="3873">
      <x:c r="A3873" s="379" t="n">
        <x:v>49524</x:v>
      </x:c>
      <x:c r="B3873" s="380" t="n">
        <x:v>2035</x:v>
      </x:c>
      <x:c r="C3873" s="380" t="n">
        <x:v>8</x:v>
      </x:c>
      <x:c r="D3873" s="380" t="str">
        <x:v>Aug</x:v>
      </x:c>
      <x:c r="E3873" s="380" t="n">
        <x:v>3</x:v>
      </x:c>
      <x:c r="F3873" s="380" t="n">
        <x:v>5</x:v>
      </x:c>
      <x:c r="G3873" s="380" t="n">
        <x:f>--(F3873&lt;='Estimator'!$B$7)</x:f>
        <x:v>1</x:v>
      </x:c>
      <x:c r="H3873" s="381" t="n">
        <x:f>SUMIFS('Climate Data'!$G$7:$G$366,'Climate Data'!$A$7:$A$366,'Estimator'!$B$4,'Climate Data'!$B$7:$B$366,C3873)</x:f>
        <x:v>0.47274749721913234</x:v>
      </x:c>
      <x:c r="I3873" s="382" t="n">
        <x:f>SUMIFS('Climate Data'!$H$7:$H$366,'Climate Data'!$A$7:$A$366,'Estimator'!$B$4,'Climate Data'!$B$7:$B$366,C3873)</x:f>
        <x:v>7.9971764705882356</x:v>
      </x:c>
      <x:c r="J3873" s="381" t="n">
        <x:f>SUMIFS('Wind Proxy'!$H$8:$H$19,'Wind Proxy'!$A$8:$A$19,'Estimator'!$B$4,'Wind Proxy'!$B$8:$B$19,C3873)</x:f>
        <x:v>0.13739545997610514</x:v>
      </x:c>
    </x:row>
    <x:row r="3874">
      <x:c r="A3874" s="379" t="n">
        <x:v>49525</x:v>
      </x:c>
      <x:c r="B3874" s="380" t="n">
        <x:v>2035</x:v>
      </x:c>
      <x:c r="C3874" s="380" t="n">
        <x:v>8</x:v>
      </x:c>
      <x:c r="D3874" s="380" t="str">
        <x:v>Aug</x:v>
      </x:c>
      <x:c r="E3874" s="380" t="n">
        <x:v>4</x:v>
      </x:c>
      <x:c r="F3874" s="380" t="n">
        <x:v>6</x:v>
      </x:c>
      <x:c r="G3874" s="380" t="n">
        <x:f>--(F3874&lt;='Estimator'!$B$7)</x:f>
        <x:v>0</x:v>
      </x:c>
      <x:c r="H3874" s="381" t="n">
        <x:f>SUMIFS('Climate Data'!$G$7:$G$366,'Climate Data'!$A$7:$A$366,'Estimator'!$B$4,'Climate Data'!$B$7:$B$366,C3874)</x:f>
        <x:v>0.47274749721913234</x:v>
      </x:c>
      <x:c r="I3874" s="382" t="n">
        <x:f>SUMIFS('Climate Data'!$H$7:$H$366,'Climate Data'!$A$7:$A$366,'Estimator'!$B$4,'Climate Data'!$B$7:$B$366,C3874)</x:f>
        <x:v>7.9971764705882356</x:v>
      </x:c>
      <x:c r="J3874" s="381" t="n">
        <x:f>SUMIFS('Wind Proxy'!$H$8:$H$19,'Wind Proxy'!$A$8:$A$19,'Estimator'!$B$4,'Wind Proxy'!$B$8:$B$19,C3874)</x:f>
        <x:v>0.13739545997610514</x:v>
      </x:c>
    </x:row>
    <x:row r="3875">
      <x:c r="A3875" s="379" t="n">
        <x:v>49526</x:v>
      </x:c>
      <x:c r="B3875" s="380" t="n">
        <x:v>2035</x:v>
      </x:c>
      <x:c r="C3875" s="380" t="n">
        <x:v>8</x:v>
      </x:c>
      <x:c r="D3875" s="380" t="str">
        <x:v>Aug</x:v>
      </x:c>
      <x:c r="E3875" s="380" t="n">
        <x:v>5</x:v>
      </x:c>
      <x:c r="F3875" s="380" t="n">
        <x:v>7</x:v>
      </x:c>
      <x:c r="G3875" s="380" t="n">
        <x:f>--(F3875&lt;='Estimator'!$B$7)</x:f>
        <x:v>0</x:v>
      </x:c>
      <x:c r="H3875" s="381" t="n">
        <x:f>SUMIFS('Climate Data'!$G$7:$G$366,'Climate Data'!$A$7:$A$366,'Estimator'!$B$4,'Climate Data'!$B$7:$B$366,C3875)</x:f>
        <x:v>0.47274749721913234</x:v>
      </x:c>
      <x:c r="I3875" s="382" t="n">
        <x:f>SUMIFS('Climate Data'!$H$7:$H$366,'Climate Data'!$A$7:$A$366,'Estimator'!$B$4,'Climate Data'!$B$7:$B$366,C3875)</x:f>
        <x:v>7.9971764705882356</x:v>
      </x:c>
      <x:c r="J3875" s="381" t="n">
        <x:f>SUMIFS('Wind Proxy'!$H$8:$H$19,'Wind Proxy'!$A$8:$A$19,'Estimator'!$B$4,'Wind Proxy'!$B$8:$B$19,C3875)</x:f>
        <x:v>0.13739545997610514</x:v>
      </x:c>
    </x:row>
    <x:row r="3876">
      <x:c r="A3876" s="379" t="n">
        <x:v>49527</x:v>
      </x:c>
      <x:c r="B3876" s="380" t="n">
        <x:v>2035</x:v>
      </x:c>
      <x:c r="C3876" s="380" t="n">
        <x:v>8</x:v>
      </x:c>
      <x:c r="D3876" s="380" t="str">
        <x:v>Aug</x:v>
      </x:c>
      <x:c r="E3876" s="380" t="n">
        <x:v>6</x:v>
      </x:c>
      <x:c r="F3876" s="380" t="n">
        <x:v>1</x:v>
      </x:c>
      <x:c r="G3876" s="380" t="n">
        <x:f>--(F3876&lt;='Estimator'!$B$7)</x:f>
        <x:v>1</x:v>
      </x:c>
      <x:c r="H3876" s="381" t="n">
        <x:f>SUMIFS('Climate Data'!$G$7:$G$366,'Climate Data'!$A$7:$A$366,'Estimator'!$B$4,'Climate Data'!$B$7:$B$366,C3876)</x:f>
        <x:v>0.47274749721913234</x:v>
      </x:c>
      <x:c r="I3876" s="382" t="n">
        <x:f>SUMIFS('Climate Data'!$H$7:$H$366,'Climate Data'!$A$7:$A$366,'Estimator'!$B$4,'Climate Data'!$B$7:$B$366,C3876)</x:f>
        <x:v>7.9971764705882356</x:v>
      </x:c>
      <x:c r="J3876" s="381" t="n">
        <x:f>SUMIFS('Wind Proxy'!$H$8:$H$19,'Wind Proxy'!$A$8:$A$19,'Estimator'!$B$4,'Wind Proxy'!$B$8:$B$19,C3876)</x:f>
        <x:v>0.13739545997610514</x:v>
      </x:c>
    </x:row>
    <x:row r="3877">
      <x:c r="A3877" s="379" t="n">
        <x:v>49528</x:v>
      </x:c>
      <x:c r="B3877" s="380" t="n">
        <x:v>2035</x:v>
      </x:c>
      <x:c r="C3877" s="380" t="n">
        <x:v>8</x:v>
      </x:c>
      <x:c r="D3877" s="380" t="str">
        <x:v>Aug</x:v>
      </x:c>
      <x:c r="E3877" s="380" t="n">
        <x:v>7</x:v>
      </x:c>
      <x:c r="F3877" s="380" t="n">
        <x:v>2</x:v>
      </x:c>
      <x:c r="G3877" s="380" t="n">
        <x:f>--(F3877&lt;='Estimator'!$B$7)</x:f>
        <x:v>1</x:v>
      </x:c>
      <x:c r="H3877" s="381" t="n">
        <x:f>SUMIFS('Climate Data'!$G$7:$G$366,'Climate Data'!$A$7:$A$366,'Estimator'!$B$4,'Climate Data'!$B$7:$B$366,C3877)</x:f>
        <x:v>0.47274749721913234</x:v>
      </x:c>
      <x:c r="I3877" s="382" t="n">
        <x:f>SUMIFS('Climate Data'!$H$7:$H$366,'Climate Data'!$A$7:$A$366,'Estimator'!$B$4,'Climate Data'!$B$7:$B$366,C3877)</x:f>
        <x:v>7.9971764705882356</x:v>
      </x:c>
      <x:c r="J3877" s="381" t="n">
        <x:f>SUMIFS('Wind Proxy'!$H$8:$H$19,'Wind Proxy'!$A$8:$A$19,'Estimator'!$B$4,'Wind Proxy'!$B$8:$B$19,C3877)</x:f>
        <x:v>0.13739545997610514</x:v>
      </x:c>
    </x:row>
    <x:row r="3878">
      <x:c r="A3878" s="379" t="n">
        <x:v>49529</x:v>
      </x:c>
      <x:c r="B3878" s="380" t="n">
        <x:v>2035</x:v>
      </x:c>
      <x:c r="C3878" s="380" t="n">
        <x:v>8</x:v>
      </x:c>
      <x:c r="D3878" s="380" t="str">
        <x:v>Aug</x:v>
      </x:c>
      <x:c r="E3878" s="380" t="n">
        <x:v>8</x:v>
      </x:c>
      <x:c r="F3878" s="380" t="n">
        <x:v>3</x:v>
      </x:c>
      <x:c r="G3878" s="380" t="n">
        <x:f>--(F3878&lt;='Estimator'!$B$7)</x:f>
        <x:v>1</x:v>
      </x:c>
      <x:c r="H3878" s="381" t="n">
        <x:f>SUMIFS('Climate Data'!$G$7:$G$366,'Climate Data'!$A$7:$A$366,'Estimator'!$B$4,'Climate Data'!$B$7:$B$366,C3878)</x:f>
        <x:v>0.47274749721913234</x:v>
      </x:c>
      <x:c r="I3878" s="382" t="n">
        <x:f>SUMIFS('Climate Data'!$H$7:$H$366,'Climate Data'!$A$7:$A$366,'Estimator'!$B$4,'Climate Data'!$B$7:$B$366,C3878)</x:f>
        <x:v>7.9971764705882356</x:v>
      </x:c>
      <x:c r="J3878" s="381" t="n">
        <x:f>SUMIFS('Wind Proxy'!$H$8:$H$19,'Wind Proxy'!$A$8:$A$19,'Estimator'!$B$4,'Wind Proxy'!$B$8:$B$19,C3878)</x:f>
        <x:v>0.13739545997610514</x:v>
      </x:c>
    </x:row>
    <x:row r="3879">
      <x:c r="A3879" s="379" t="n">
        <x:v>49530</x:v>
      </x:c>
      <x:c r="B3879" s="380" t="n">
        <x:v>2035</x:v>
      </x:c>
      <x:c r="C3879" s="380" t="n">
        <x:v>8</x:v>
      </x:c>
      <x:c r="D3879" s="380" t="str">
        <x:v>Aug</x:v>
      </x:c>
      <x:c r="E3879" s="380" t="n">
        <x:v>9</x:v>
      </x:c>
      <x:c r="F3879" s="380" t="n">
        <x:v>4</x:v>
      </x:c>
      <x:c r="G3879" s="380" t="n">
        <x:f>--(F3879&lt;='Estimator'!$B$7)</x:f>
        <x:v>1</x:v>
      </x:c>
      <x:c r="H3879" s="381" t="n">
        <x:f>SUMIFS('Climate Data'!$G$7:$G$366,'Climate Data'!$A$7:$A$366,'Estimator'!$B$4,'Climate Data'!$B$7:$B$366,C3879)</x:f>
        <x:v>0.47274749721913234</x:v>
      </x:c>
      <x:c r="I3879" s="382" t="n">
        <x:f>SUMIFS('Climate Data'!$H$7:$H$366,'Climate Data'!$A$7:$A$366,'Estimator'!$B$4,'Climate Data'!$B$7:$B$366,C3879)</x:f>
        <x:v>7.9971764705882356</x:v>
      </x:c>
      <x:c r="J3879" s="381" t="n">
        <x:f>SUMIFS('Wind Proxy'!$H$8:$H$19,'Wind Proxy'!$A$8:$A$19,'Estimator'!$B$4,'Wind Proxy'!$B$8:$B$19,C3879)</x:f>
        <x:v>0.13739545997610514</x:v>
      </x:c>
    </x:row>
    <x:row r="3880">
      <x:c r="A3880" s="379" t="n">
        <x:v>49531</x:v>
      </x:c>
      <x:c r="B3880" s="380" t="n">
        <x:v>2035</x:v>
      </x:c>
      <x:c r="C3880" s="380" t="n">
        <x:v>8</x:v>
      </x:c>
      <x:c r="D3880" s="380" t="str">
        <x:v>Aug</x:v>
      </x:c>
      <x:c r="E3880" s="380" t="n">
        <x:v>10</x:v>
      </x:c>
      <x:c r="F3880" s="380" t="n">
        <x:v>5</x:v>
      </x:c>
      <x:c r="G3880" s="380" t="n">
        <x:f>--(F3880&lt;='Estimator'!$B$7)</x:f>
        <x:v>1</x:v>
      </x:c>
      <x:c r="H3880" s="381" t="n">
        <x:f>SUMIFS('Climate Data'!$G$7:$G$366,'Climate Data'!$A$7:$A$366,'Estimator'!$B$4,'Climate Data'!$B$7:$B$366,C3880)</x:f>
        <x:v>0.47274749721913234</x:v>
      </x:c>
      <x:c r="I3880" s="382" t="n">
        <x:f>SUMIFS('Climate Data'!$H$7:$H$366,'Climate Data'!$A$7:$A$366,'Estimator'!$B$4,'Climate Data'!$B$7:$B$366,C3880)</x:f>
        <x:v>7.9971764705882356</x:v>
      </x:c>
      <x:c r="J3880" s="381" t="n">
        <x:f>SUMIFS('Wind Proxy'!$H$8:$H$19,'Wind Proxy'!$A$8:$A$19,'Estimator'!$B$4,'Wind Proxy'!$B$8:$B$19,C3880)</x:f>
        <x:v>0.13739545997610514</x:v>
      </x:c>
    </x:row>
    <x:row r="3881">
      <x:c r="A3881" s="379" t="n">
        <x:v>49532</x:v>
      </x:c>
      <x:c r="B3881" s="380" t="n">
        <x:v>2035</x:v>
      </x:c>
      <x:c r="C3881" s="380" t="n">
        <x:v>8</x:v>
      </x:c>
      <x:c r="D3881" s="380" t="str">
        <x:v>Aug</x:v>
      </x:c>
      <x:c r="E3881" s="380" t="n">
        <x:v>11</x:v>
      </x:c>
      <x:c r="F3881" s="380" t="n">
        <x:v>6</x:v>
      </x:c>
      <x:c r="G3881" s="380" t="n">
        <x:f>--(F3881&lt;='Estimator'!$B$7)</x:f>
        <x:v>0</x:v>
      </x:c>
      <x:c r="H3881" s="381" t="n">
        <x:f>SUMIFS('Climate Data'!$G$7:$G$366,'Climate Data'!$A$7:$A$366,'Estimator'!$B$4,'Climate Data'!$B$7:$B$366,C3881)</x:f>
        <x:v>0.47274749721913234</x:v>
      </x:c>
      <x:c r="I3881" s="382" t="n">
        <x:f>SUMIFS('Climate Data'!$H$7:$H$366,'Climate Data'!$A$7:$A$366,'Estimator'!$B$4,'Climate Data'!$B$7:$B$366,C3881)</x:f>
        <x:v>7.9971764705882356</x:v>
      </x:c>
      <x:c r="J3881" s="381" t="n">
        <x:f>SUMIFS('Wind Proxy'!$H$8:$H$19,'Wind Proxy'!$A$8:$A$19,'Estimator'!$B$4,'Wind Proxy'!$B$8:$B$19,C3881)</x:f>
        <x:v>0.13739545997610514</x:v>
      </x:c>
    </x:row>
    <x:row r="3882">
      <x:c r="A3882" s="379" t="n">
        <x:v>49533</x:v>
      </x:c>
      <x:c r="B3882" s="380" t="n">
        <x:v>2035</x:v>
      </x:c>
      <x:c r="C3882" s="380" t="n">
        <x:v>8</x:v>
      </x:c>
      <x:c r="D3882" s="380" t="str">
        <x:v>Aug</x:v>
      </x:c>
      <x:c r="E3882" s="380" t="n">
        <x:v>12</x:v>
      </x:c>
      <x:c r="F3882" s="380" t="n">
        <x:v>7</x:v>
      </x:c>
      <x:c r="G3882" s="380" t="n">
        <x:f>--(F3882&lt;='Estimator'!$B$7)</x:f>
        <x:v>0</x:v>
      </x:c>
      <x:c r="H3882" s="381" t="n">
        <x:f>SUMIFS('Climate Data'!$G$7:$G$366,'Climate Data'!$A$7:$A$366,'Estimator'!$B$4,'Climate Data'!$B$7:$B$366,C3882)</x:f>
        <x:v>0.47274749721913234</x:v>
      </x:c>
      <x:c r="I3882" s="382" t="n">
        <x:f>SUMIFS('Climate Data'!$H$7:$H$366,'Climate Data'!$A$7:$A$366,'Estimator'!$B$4,'Climate Data'!$B$7:$B$366,C3882)</x:f>
        <x:v>7.9971764705882356</x:v>
      </x:c>
      <x:c r="J3882" s="381" t="n">
        <x:f>SUMIFS('Wind Proxy'!$H$8:$H$19,'Wind Proxy'!$A$8:$A$19,'Estimator'!$B$4,'Wind Proxy'!$B$8:$B$19,C3882)</x:f>
        <x:v>0.13739545997610514</x:v>
      </x:c>
    </x:row>
    <x:row r="3883">
      <x:c r="A3883" s="379" t="n">
        <x:v>49534</x:v>
      </x:c>
      <x:c r="B3883" s="380" t="n">
        <x:v>2035</x:v>
      </x:c>
      <x:c r="C3883" s="380" t="n">
        <x:v>8</x:v>
      </x:c>
      <x:c r="D3883" s="380" t="str">
        <x:v>Aug</x:v>
      </x:c>
      <x:c r="E3883" s="380" t="n">
        <x:v>13</x:v>
      </x:c>
      <x:c r="F3883" s="380" t="n">
        <x:v>1</x:v>
      </x:c>
      <x:c r="G3883" s="380" t="n">
        <x:f>--(F3883&lt;='Estimator'!$B$7)</x:f>
        <x:v>1</x:v>
      </x:c>
      <x:c r="H3883" s="381" t="n">
        <x:f>SUMIFS('Climate Data'!$G$7:$G$366,'Climate Data'!$A$7:$A$366,'Estimator'!$B$4,'Climate Data'!$B$7:$B$366,C3883)</x:f>
        <x:v>0.47274749721913234</x:v>
      </x:c>
      <x:c r="I3883" s="382" t="n">
        <x:f>SUMIFS('Climate Data'!$H$7:$H$366,'Climate Data'!$A$7:$A$366,'Estimator'!$B$4,'Climate Data'!$B$7:$B$366,C3883)</x:f>
        <x:v>7.9971764705882356</x:v>
      </x:c>
      <x:c r="J3883" s="381" t="n">
        <x:f>SUMIFS('Wind Proxy'!$H$8:$H$19,'Wind Proxy'!$A$8:$A$19,'Estimator'!$B$4,'Wind Proxy'!$B$8:$B$19,C3883)</x:f>
        <x:v>0.13739545997610514</x:v>
      </x:c>
    </x:row>
    <x:row r="3884">
      <x:c r="A3884" s="379" t="n">
        <x:v>49535</x:v>
      </x:c>
      <x:c r="B3884" s="380" t="n">
        <x:v>2035</x:v>
      </x:c>
      <x:c r="C3884" s="380" t="n">
        <x:v>8</x:v>
      </x:c>
      <x:c r="D3884" s="380" t="str">
        <x:v>Aug</x:v>
      </x:c>
      <x:c r="E3884" s="380" t="n">
        <x:v>14</x:v>
      </x:c>
      <x:c r="F3884" s="380" t="n">
        <x:v>2</x:v>
      </x:c>
      <x:c r="G3884" s="380" t="n">
        <x:f>--(F3884&lt;='Estimator'!$B$7)</x:f>
        <x:v>1</x:v>
      </x:c>
      <x:c r="H3884" s="381" t="n">
        <x:f>SUMIFS('Climate Data'!$G$7:$G$366,'Climate Data'!$A$7:$A$366,'Estimator'!$B$4,'Climate Data'!$B$7:$B$366,C3884)</x:f>
        <x:v>0.47274749721913234</x:v>
      </x:c>
      <x:c r="I3884" s="382" t="n">
        <x:f>SUMIFS('Climate Data'!$H$7:$H$366,'Climate Data'!$A$7:$A$366,'Estimator'!$B$4,'Climate Data'!$B$7:$B$366,C3884)</x:f>
        <x:v>7.9971764705882356</x:v>
      </x:c>
      <x:c r="J3884" s="381" t="n">
        <x:f>SUMIFS('Wind Proxy'!$H$8:$H$19,'Wind Proxy'!$A$8:$A$19,'Estimator'!$B$4,'Wind Proxy'!$B$8:$B$19,C3884)</x:f>
        <x:v>0.13739545997610514</x:v>
      </x:c>
    </x:row>
    <x:row r="3885">
      <x:c r="A3885" s="379" t="n">
        <x:v>49536</x:v>
      </x:c>
      <x:c r="B3885" s="380" t="n">
        <x:v>2035</x:v>
      </x:c>
      <x:c r="C3885" s="380" t="n">
        <x:v>8</x:v>
      </x:c>
      <x:c r="D3885" s="380" t="str">
        <x:v>Aug</x:v>
      </x:c>
      <x:c r="E3885" s="380" t="n">
        <x:v>15</x:v>
      </x:c>
      <x:c r="F3885" s="380" t="n">
        <x:v>3</x:v>
      </x:c>
      <x:c r="G3885" s="380" t="n">
        <x:f>--(F3885&lt;='Estimator'!$B$7)</x:f>
        <x:v>1</x:v>
      </x:c>
      <x:c r="H3885" s="381" t="n">
        <x:f>SUMIFS('Climate Data'!$G$7:$G$366,'Climate Data'!$A$7:$A$366,'Estimator'!$B$4,'Climate Data'!$B$7:$B$366,C3885)</x:f>
        <x:v>0.47274749721913234</x:v>
      </x:c>
      <x:c r="I3885" s="382" t="n">
        <x:f>SUMIFS('Climate Data'!$H$7:$H$366,'Climate Data'!$A$7:$A$366,'Estimator'!$B$4,'Climate Data'!$B$7:$B$366,C3885)</x:f>
        <x:v>7.9971764705882356</x:v>
      </x:c>
      <x:c r="J3885" s="381" t="n">
        <x:f>SUMIFS('Wind Proxy'!$H$8:$H$19,'Wind Proxy'!$A$8:$A$19,'Estimator'!$B$4,'Wind Proxy'!$B$8:$B$19,C3885)</x:f>
        <x:v>0.13739545997610514</x:v>
      </x:c>
    </x:row>
    <x:row r="3886">
      <x:c r="A3886" s="379" t="n">
        <x:v>49537</x:v>
      </x:c>
      <x:c r="B3886" s="380" t="n">
        <x:v>2035</x:v>
      </x:c>
      <x:c r="C3886" s="380" t="n">
        <x:v>8</x:v>
      </x:c>
      <x:c r="D3886" s="380" t="str">
        <x:v>Aug</x:v>
      </x:c>
      <x:c r="E3886" s="380" t="n">
        <x:v>16</x:v>
      </x:c>
      <x:c r="F3886" s="380" t="n">
        <x:v>4</x:v>
      </x:c>
      <x:c r="G3886" s="380" t="n">
        <x:f>--(F3886&lt;='Estimator'!$B$7)</x:f>
        <x:v>1</x:v>
      </x:c>
      <x:c r="H3886" s="381" t="n">
        <x:f>SUMIFS('Climate Data'!$G$7:$G$366,'Climate Data'!$A$7:$A$366,'Estimator'!$B$4,'Climate Data'!$B$7:$B$366,C3886)</x:f>
        <x:v>0.47274749721913234</x:v>
      </x:c>
      <x:c r="I3886" s="382" t="n">
        <x:f>SUMIFS('Climate Data'!$H$7:$H$366,'Climate Data'!$A$7:$A$366,'Estimator'!$B$4,'Climate Data'!$B$7:$B$366,C3886)</x:f>
        <x:v>7.9971764705882356</x:v>
      </x:c>
      <x:c r="J3886" s="381" t="n">
        <x:f>SUMIFS('Wind Proxy'!$H$8:$H$19,'Wind Proxy'!$A$8:$A$19,'Estimator'!$B$4,'Wind Proxy'!$B$8:$B$19,C3886)</x:f>
        <x:v>0.13739545997610514</x:v>
      </x:c>
    </x:row>
    <x:row r="3887">
      <x:c r="A3887" s="379" t="n">
        <x:v>49538</x:v>
      </x:c>
      <x:c r="B3887" s="380" t="n">
        <x:v>2035</x:v>
      </x:c>
      <x:c r="C3887" s="380" t="n">
        <x:v>8</x:v>
      </x:c>
      <x:c r="D3887" s="380" t="str">
        <x:v>Aug</x:v>
      </x:c>
      <x:c r="E3887" s="380" t="n">
        <x:v>17</x:v>
      </x:c>
      <x:c r="F3887" s="380" t="n">
        <x:v>5</x:v>
      </x:c>
      <x:c r="G3887" s="380" t="n">
        <x:f>--(F3887&lt;='Estimator'!$B$7)</x:f>
        <x:v>1</x:v>
      </x:c>
      <x:c r="H3887" s="381" t="n">
        <x:f>SUMIFS('Climate Data'!$G$7:$G$366,'Climate Data'!$A$7:$A$366,'Estimator'!$B$4,'Climate Data'!$B$7:$B$366,C3887)</x:f>
        <x:v>0.47274749721913234</x:v>
      </x:c>
      <x:c r="I3887" s="382" t="n">
        <x:f>SUMIFS('Climate Data'!$H$7:$H$366,'Climate Data'!$A$7:$A$366,'Estimator'!$B$4,'Climate Data'!$B$7:$B$366,C3887)</x:f>
        <x:v>7.9971764705882356</x:v>
      </x:c>
      <x:c r="J3887" s="381" t="n">
        <x:f>SUMIFS('Wind Proxy'!$H$8:$H$19,'Wind Proxy'!$A$8:$A$19,'Estimator'!$B$4,'Wind Proxy'!$B$8:$B$19,C3887)</x:f>
        <x:v>0.13739545997610514</x:v>
      </x:c>
    </x:row>
    <x:row r="3888">
      <x:c r="A3888" s="379" t="n">
        <x:v>49539</x:v>
      </x:c>
      <x:c r="B3888" s="380" t="n">
        <x:v>2035</x:v>
      </x:c>
      <x:c r="C3888" s="380" t="n">
        <x:v>8</x:v>
      </x:c>
      <x:c r="D3888" s="380" t="str">
        <x:v>Aug</x:v>
      </x:c>
      <x:c r="E3888" s="380" t="n">
        <x:v>18</x:v>
      </x:c>
      <x:c r="F3888" s="380" t="n">
        <x:v>6</x:v>
      </x:c>
      <x:c r="G3888" s="380" t="n">
        <x:f>--(F3888&lt;='Estimator'!$B$7)</x:f>
        <x:v>0</x:v>
      </x:c>
      <x:c r="H3888" s="381" t="n">
        <x:f>SUMIFS('Climate Data'!$G$7:$G$366,'Climate Data'!$A$7:$A$366,'Estimator'!$B$4,'Climate Data'!$B$7:$B$366,C3888)</x:f>
        <x:v>0.47274749721913234</x:v>
      </x:c>
      <x:c r="I3888" s="382" t="n">
        <x:f>SUMIFS('Climate Data'!$H$7:$H$366,'Climate Data'!$A$7:$A$366,'Estimator'!$B$4,'Climate Data'!$B$7:$B$366,C3888)</x:f>
        <x:v>7.9971764705882356</x:v>
      </x:c>
      <x:c r="J3888" s="381" t="n">
        <x:f>SUMIFS('Wind Proxy'!$H$8:$H$19,'Wind Proxy'!$A$8:$A$19,'Estimator'!$B$4,'Wind Proxy'!$B$8:$B$19,C3888)</x:f>
        <x:v>0.13739545997610514</x:v>
      </x:c>
    </x:row>
    <x:row r="3889">
      <x:c r="A3889" s="379" t="n">
        <x:v>49540</x:v>
      </x:c>
      <x:c r="B3889" s="380" t="n">
        <x:v>2035</x:v>
      </x:c>
      <x:c r="C3889" s="380" t="n">
        <x:v>8</x:v>
      </x:c>
      <x:c r="D3889" s="380" t="str">
        <x:v>Aug</x:v>
      </x:c>
      <x:c r="E3889" s="380" t="n">
        <x:v>19</x:v>
      </x:c>
      <x:c r="F3889" s="380" t="n">
        <x:v>7</x:v>
      </x:c>
      <x:c r="G3889" s="380" t="n">
        <x:f>--(F3889&lt;='Estimator'!$B$7)</x:f>
        <x:v>0</x:v>
      </x:c>
      <x:c r="H3889" s="381" t="n">
        <x:f>SUMIFS('Climate Data'!$G$7:$G$366,'Climate Data'!$A$7:$A$366,'Estimator'!$B$4,'Climate Data'!$B$7:$B$366,C3889)</x:f>
        <x:v>0.47274749721913234</x:v>
      </x:c>
      <x:c r="I3889" s="382" t="n">
        <x:f>SUMIFS('Climate Data'!$H$7:$H$366,'Climate Data'!$A$7:$A$366,'Estimator'!$B$4,'Climate Data'!$B$7:$B$366,C3889)</x:f>
        <x:v>7.9971764705882356</x:v>
      </x:c>
      <x:c r="J3889" s="381" t="n">
        <x:f>SUMIFS('Wind Proxy'!$H$8:$H$19,'Wind Proxy'!$A$8:$A$19,'Estimator'!$B$4,'Wind Proxy'!$B$8:$B$19,C3889)</x:f>
        <x:v>0.13739545997610514</x:v>
      </x:c>
    </x:row>
    <x:row r="3890">
      <x:c r="A3890" s="379" t="n">
        <x:v>49541</x:v>
      </x:c>
      <x:c r="B3890" s="380" t="n">
        <x:v>2035</x:v>
      </x:c>
      <x:c r="C3890" s="380" t="n">
        <x:v>8</x:v>
      </x:c>
      <x:c r="D3890" s="380" t="str">
        <x:v>Aug</x:v>
      </x:c>
      <x:c r="E3890" s="380" t="n">
        <x:v>20</x:v>
      </x:c>
      <x:c r="F3890" s="380" t="n">
        <x:v>1</x:v>
      </x:c>
      <x:c r="G3890" s="380" t="n">
        <x:f>--(F3890&lt;='Estimator'!$B$7)</x:f>
        <x:v>1</x:v>
      </x:c>
      <x:c r="H3890" s="381" t="n">
        <x:f>SUMIFS('Climate Data'!$G$7:$G$366,'Climate Data'!$A$7:$A$366,'Estimator'!$B$4,'Climate Data'!$B$7:$B$366,C3890)</x:f>
        <x:v>0.47274749721913234</x:v>
      </x:c>
      <x:c r="I3890" s="382" t="n">
        <x:f>SUMIFS('Climate Data'!$H$7:$H$366,'Climate Data'!$A$7:$A$366,'Estimator'!$B$4,'Climate Data'!$B$7:$B$366,C3890)</x:f>
        <x:v>7.9971764705882356</x:v>
      </x:c>
      <x:c r="J3890" s="381" t="n">
        <x:f>SUMIFS('Wind Proxy'!$H$8:$H$19,'Wind Proxy'!$A$8:$A$19,'Estimator'!$B$4,'Wind Proxy'!$B$8:$B$19,C3890)</x:f>
        <x:v>0.13739545997610514</x:v>
      </x:c>
    </x:row>
    <x:row r="3891">
      <x:c r="A3891" s="379" t="n">
        <x:v>49542</x:v>
      </x:c>
      <x:c r="B3891" s="380" t="n">
        <x:v>2035</x:v>
      </x:c>
      <x:c r="C3891" s="380" t="n">
        <x:v>8</x:v>
      </x:c>
      <x:c r="D3891" s="380" t="str">
        <x:v>Aug</x:v>
      </x:c>
      <x:c r="E3891" s="380" t="n">
        <x:v>21</x:v>
      </x:c>
      <x:c r="F3891" s="380" t="n">
        <x:v>2</x:v>
      </x:c>
      <x:c r="G3891" s="380" t="n">
        <x:f>--(F3891&lt;='Estimator'!$B$7)</x:f>
        <x:v>1</x:v>
      </x:c>
      <x:c r="H3891" s="381" t="n">
        <x:f>SUMIFS('Climate Data'!$G$7:$G$366,'Climate Data'!$A$7:$A$366,'Estimator'!$B$4,'Climate Data'!$B$7:$B$366,C3891)</x:f>
        <x:v>0.47274749721913234</x:v>
      </x:c>
      <x:c r="I3891" s="382" t="n">
        <x:f>SUMIFS('Climate Data'!$H$7:$H$366,'Climate Data'!$A$7:$A$366,'Estimator'!$B$4,'Climate Data'!$B$7:$B$366,C3891)</x:f>
        <x:v>7.9971764705882356</x:v>
      </x:c>
      <x:c r="J3891" s="381" t="n">
        <x:f>SUMIFS('Wind Proxy'!$H$8:$H$19,'Wind Proxy'!$A$8:$A$19,'Estimator'!$B$4,'Wind Proxy'!$B$8:$B$19,C3891)</x:f>
        <x:v>0.13739545997610514</x:v>
      </x:c>
    </x:row>
    <x:row r="3892">
      <x:c r="A3892" s="379" t="n">
        <x:v>49543</x:v>
      </x:c>
      <x:c r="B3892" s="380" t="n">
        <x:v>2035</x:v>
      </x:c>
      <x:c r="C3892" s="380" t="n">
        <x:v>8</x:v>
      </x:c>
      <x:c r="D3892" s="380" t="str">
        <x:v>Aug</x:v>
      </x:c>
      <x:c r="E3892" s="380" t="n">
        <x:v>22</x:v>
      </x:c>
      <x:c r="F3892" s="380" t="n">
        <x:v>3</x:v>
      </x:c>
      <x:c r="G3892" s="380" t="n">
        <x:f>--(F3892&lt;='Estimator'!$B$7)</x:f>
        <x:v>1</x:v>
      </x:c>
      <x:c r="H3892" s="381" t="n">
        <x:f>SUMIFS('Climate Data'!$G$7:$G$366,'Climate Data'!$A$7:$A$366,'Estimator'!$B$4,'Climate Data'!$B$7:$B$366,C3892)</x:f>
        <x:v>0.47274749721913234</x:v>
      </x:c>
      <x:c r="I3892" s="382" t="n">
        <x:f>SUMIFS('Climate Data'!$H$7:$H$366,'Climate Data'!$A$7:$A$366,'Estimator'!$B$4,'Climate Data'!$B$7:$B$366,C3892)</x:f>
        <x:v>7.9971764705882356</x:v>
      </x:c>
      <x:c r="J3892" s="381" t="n">
        <x:f>SUMIFS('Wind Proxy'!$H$8:$H$19,'Wind Proxy'!$A$8:$A$19,'Estimator'!$B$4,'Wind Proxy'!$B$8:$B$19,C3892)</x:f>
        <x:v>0.13739545997610514</x:v>
      </x:c>
    </x:row>
    <x:row r="3893">
      <x:c r="A3893" s="379" t="n">
        <x:v>49544</x:v>
      </x:c>
      <x:c r="B3893" s="380" t="n">
        <x:v>2035</x:v>
      </x:c>
      <x:c r="C3893" s="380" t="n">
        <x:v>8</x:v>
      </x:c>
      <x:c r="D3893" s="380" t="str">
        <x:v>Aug</x:v>
      </x:c>
      <x:c r="E3893" s="380" t="n">
        <x:v>23</x:v>
      </x:c>
      <x:c r="F3893" s="380" t="n">
        <x:v>4</x:v>
      </x:c>
      <x:c r="G3893" s="380" t="n">
        <x:f>--(F3893&lt;='Estimator'!$B$7)</x:f>
        <x:v>1</x:v>
      </x:c>
      <x:c r="H3893" s="381" t="n">
        <x:f>SUMIFS('Climate Data'!$G$7:$G$366,'Climate Data'!$A$7:$A$366,'Estimator'!$B$4,'Climate Data'!$B$7:$B$366,C3893)</x:f>
        <x:v>0.47274749721913234</x:v>
      </x:c>
      <x:c r="I3893" s="382" t="n">
        <x:f>SUMIFS('Climate Data'!$H$7:$H$366,'Climate Data'!$A$7:$A$366,'Estimator'!$B$4,'Climate Data'!$B$7:$B$366,C3893)</x:f>
        <x:v>7.9971764705882356</x:v>
      </x:c>
      <x:c r="J3893" s="381" t="n">
        <x:f>SUMIFS('Wind Proxy'!$H$8:$H$19,'Wind Proxy'!$A$8:$A$19,'Estimator'!$B$4,'Wind Proxy'!$B$8:$B$19,C3893)</x:f>
        <x:v>0.13739545997610514</x:v>
      </x:c>
    </x:row>
    <x:row r="3894">
      <x:c r="A3894" s="379" t="n">
        <x:v>49545</x:v>
      </x:c>
      <x:c r="B3894" s="380" t="n">
        <x:v>2035</x:v>
      </x:c>
      <x:c r="C3894" s="380" t="n">
        <x:v>8</x:v>
      </x:c>
      <x:c r="D3894" s="380" t="str">
        <x:v>Aug</x:v>
      </x:c>
      <x:c r="E3894" s="380" t="n">
        <x:v>24</x:v>
      </x:c>
      <x:c r="F3894" s="380" t="n">
        <x:v>5</x:v>
      </x:c>
      <x:c r="G3894" s="380" t="n">
        <x:f>--(F3894&lt;='Estimator'!$B$7)</x:f>
        <x:v>1</x:v>
      </x:c>
      <x:c r="H3894" s="381" t="n">
        <x:f>SUMIFS('Climate Data'!$G$7:$G$366,'Climate Data'!$A$7:$A$366,'Estimator'!$B$4,'Climate Data'!$B$7:$B$366,C3894)</x:f>
        <x:v>0.47274749721913234</x:v>
      </x:c>
      <x:c r="I3894" s="382" t="n">
        <x:f>SUMIFS('Climate Data'!$H$7:$H$366,'Climate Data'!$A$7:$A$366,'Estimator'!$B$4,'Climate Data'!$B$7:$B$366,C3894)</x:f>
        <x:v>7.9971764705882356</x:v>
      </x:c>
      <x:c r="J3894" s="381" t="n">
        <x:f>SUMIFS('Wind Proxy'!$H$8:$H$19,'Wind Proxy'!$A$8:$A$19,'Estimator'!$B$4,'Wind Proxy'!$B$8:$B$19,C3894)</x:f>
        <x:v>0.13739545997610514</x:v>
      </x:c>
    </x:row>
    <x:row r="3895">
      <x:c r="A3895" s="379" t="n">
        <x:v>49546</x:v>
      </x:c>
      <x:c r="B3895" s="380" t="n">
        <x:v>2035</x:v>
      </x:c>
      <x:c r="C3895" s="380" t="n">
        <x:v>8</x:v>
      </x:c>
      <x:c r="D3895" s="380" t="str">
        <x:v>Aug</x:v>
      </x:c>
      <x:c r="E3895" s="380" t="n">
        <x:v>25</x:v>
      </x:c>
      <x:c r="F3895" s="380" t="n">
        <x:v>6</x:v>
      </x:c>
      <x:c r="G3895" s="380" t="n">
        <x:f>--(F3895&lt;='Estimator'!$B$7)</x:f>
        <x:v>0</x:v>
      </x:c>
      <x:c r="H3895" s="381" t="n">
        <x:f>SUMIFS('Climate Data'!$G$7:$G$366,'Climate Data'!$A$7:$A$366,'Estimator'!$B$4,'Climate Data'!$B$7:$B$366,C3895)</x:f>
        <x:v>0.47274749721913234</x:v>
      </x:c>
      <x:c r="I3895" s="382" t="n">
        <x:f>SUMIFS('Climate Data'!$H$7:$H$366,'Climate Data'!$A$7:$A$366,'Estimator'!$B$4,'Climate Data'!$B$7:$B$366,C3895)</x:f>
        <x:v>7.9971764705882356</x:v>
      </x:c>
      <x:c r="J3895" s="381" t="n">
        <x:f>SUMIFS('Wind Proxy'!$H$8:$H$19,'Wind Proxy'!$A$8:$A$19,'Estimator'!$B$4,'Wind Proxy'!$B$8:$B$19,C3895)</x:f>
        <x:v>0.13739545997610514</x:v>
      </x:c>
    </x:row>
    <x:row r="3896">
      <x:c r="A3896" s="379" t="n">
        <x:v>49547</x:v>
      </x:c>
      <x:c r="B3896" s="380" t="n">
        <x:v>2035</x:v>
      </x:c>
      <x:c r="C3896" s="380" t="n">
        <x:v>8</x:v>
      </x:c>
      <x:c r="D3896" s="380" t="str">
        <x:v>Aug</x:v>
      </x:c>
      <x:c r="E3896" s="380" t="n">
        <x:v>26</x:v>
      </x:c>
      <x:c r="F3896" s="380" t="n">
        <x:v>7</x:v>
      </x:c>
      <x:c r="G3896" s="380" t="n">
        <x:f>--(F3896&lt;='Estimator'!$B$7)</x:f>
        <x:v>0</x:v>
      </x:c>
      <x:c r="H3896" s="381" t="n">
        <x:f>SUMIFS('Climate Data'!$G$7:$G$366,'Climate Data'!$A$7:$A$366,'Estimator'!$B$4,'Climate Data'!$B$7:$B$366,C3896)</x:f>
        <x:v>0.47274749721913234</x:v>
      </x:c>
      <x:c r="I3896" s="382" t="n">
        <x:f>SUMIFS('Climate Data'!$H$7:$H$366,'Climate Data'!$A$7:$A$366,'Estimator'!$B$4,'Climate Data'!$B$7:$B$366,C3896)</x:f>
        <x:v>7.9971764705882356</x:v>
      </x:c>
      <x:c r="J3896" s="381" t="n">
        <x:f>SUMIFS('Wind Proxy'!$H$8:$H$19,'Wind Proxy'!$A$8:$A$19,'Estimator'!$B$4,'Wind Proxy'!$B$8:$B$19,C3896)</x:f>
        <x:v>0.13739545997610514</x:v>
      </x:c>
    </x:row>
    <x:row r="3897">
      <x:c r="A3897" s="379" t="n">
        <x:v>49548</x:v>
      </x:c>
      <x:c r="B3897" s="380" t="n">
        <x:v>2035</x:v>
      </x:c>
      <x:c r="C3897" s="380" t="n">
        <x:v>8</x:v>
      </x:c>
      <x:c r="D3897" s="380" t="str">
        <x:v>Aug</x:v>
      </x:c>
      <x:c r="E3897" s="380" t="n">
        <x:v>27</x:v>
      </x:c>
      <x:c r="F3897" s="380" t="n">
        <x:v>1</x:v>
      </x:c>
      <x:c r="G3897" s="380" t="n">
        <x:f>--(F3897&lt;='Estimator'!$B$7)</x:f>
        <x:v>1</x:v>
      </x:c>
      <x:c r="H3897" s="381" t="n">
        <x:f>SUMIFS('Climate Data'!$G$7:$G$366,'Climate Data'!$A$7:$A$366,'Estimator'!$B$4,'Climate Data'!$B$7:$B$366,C3897)</x:f>
        <x:v>0.47274749721913234</x:v>
      </x:c>
      <x:c r="I3897" s="382" t="n">
        <x:f>SUMIFS('Climate Data'!$H$7:$H$366,'Climate Data'!$A$7:$A$366,'Estimator'!$B$4,'Climate Data'!$B$7:$B$366,C3897)</x:f>
        <x:v>7.9971764705882356</x:v>
      </x:c>
      <x:c r="J3897" s="381" t="n">
        <x:f>SUMIFS('Wind Proxy'!$H$8:$H$19,'Wind Proxy'!$A$8:$A$19,'Estimator'!$B$4,'Wind Proxy'!$B$8:$B$19,C3897)</x:f>
        <x:v>0.13739545997610514</x:v>
      </x:c>
    </x:row>
    <x:row r="3898">
      <x:c r="A3898" s="379" t="n">
        <x:v>49549</x:v>
      </x:c>
      <x:c r="B3898" s="380" t="n">
        <x:v>2035</x:v>
      </x:c>
      <x:c r="C3898" s="380" t="n">
        <x:v>8</x:v>
      </x:c>
      <x:c r="D3898" s="380" t="str">
        <x:v>Aug</x:v>
      </x:c>
      <x:c r="E3898" s="380" t="n">
        <x:v>28</x:v>
      </x:c>
      <x:c r="F3898" s="380" t="n">
        <x:v>2</x:v>
      </x:c>
      <x:c r="G3898" s="380" t="n">
        <x:f>--(F3898&lt;='Estimator'!$B$7)</x:f>
        <x:v>1</x:v>
      </x:c>
      <x:c r="H3898" s="381" t="n">
        <x:f>SUMIFS('Climate Data'!$G$7:$G$366,'Climate Data'!$A$7:$A$366,'Estimator'!$B$4,'Climate Data'!$B$7:$B$366,C3898)</x:f>
        <x:v>0.47274749721913234</x:v>
      </x:c>
      <x:c r="I3898" s="382" t="n">
        <x:f>SUMIFS('Climate Data'!$H$7:$H$366,'Climate Data'!$A$7:$A$366,'Estimator'!$B$4,'Climate Data'!$B$7:$B$366,C3898)</x:f>
        <x:v>7.9971764705882356</x:v>
      </x:c>
      <x:c r="J3898" s="381" t="n">
        <x:f>SUMIFS('Wind Proxy'!$H$8:$H$19,'Wind Proxy'!$A$8:$A$19,'Estimator'!$B$4,'Wind Proxy'!$B$8:$B$19,C3898)</x:f>
        <x:v>0.13739545997610514</x:v>
      </x:c>
    </x:row>
    <x:row r="3899">
      <x:c r="A3899" s="379" t="n">
        <x:v>49550</x:v>
      </x:c>
      <x:c r="B3899" s="380" t="n">
        <x:v>2035</x:v>
      </x:c>
      <x:c r="C3899" s="380" t="n">
        <x:v>8</x:v>
      </x:c>
      <x:c r="D3899" s="380" t="str">
        <x:v>Aug</x:v>
      </x:c>
      <x:c r="E3899" s="380" t="n">
        <x:v>29</x:v>
      </x:c>
      <x:c r="F3899" s="380" t="n">
        <x:v>3</x:v>
      </x:c>
      <x:c r="G3899" s="380" t="n">
        <x:f>--(F3899&lt;='Estimator'!$B$7)</x:f>
        <x:v>1</x:v>
      </x:c>
      <x:c r="H3899" s="381" t="n">
        <x:f>SUMIFS('Climate Data'!$G$7:$G$366,'Climate Data'!$A$7:$A$366,'Estimator'!$B$4,'Climate Data'!$B$7:$B$366,C3899)</x:f>
        <x:v>0.47274749721913234</x:v>
      </x:c>
      <x:c r="I3899" s="382" t="n">
        <x:f>SUMIFS('Climate Data'!$H$7:$H$366,'Climate Data'!$A$7:$A$366,'Estimator'!$B$4,'Climate Data'!$B$7:$B$366,C3899)</x:f>
        <x:v>7.9971764705882356</x:v>
      </x:c>
      <x:c r="J3899" s="381" t="n">
        <x:f>SUMIFS('Wind Proxy'!$H$8:$H$19,'Wind Proxy'!$A$8:$A$19,'Estimator'!$B$4,'Wind Proxy'!$B$8:$B$19,C3899)</x:f>
        <x:v>0.13739545997610514</x:v>
      </x:c>
    </x:row>
    <x:row r="3900">
      <x:c r="A3900" s="379" t="n">
        <x:v>49551</x:v>
      </x:c>
      <x:c r="B3900" s="380" t="n">
        <x:v>2035</x:v>
      </x:c>
      <x:c r="C3900" s="380" t="n">
        <x:v>8</x:v>
      </x:c>
      <x:c r="D3900" s="380" t="str">
        <x:v>Aug</x:v>
      </x:c>
      <x:c r="E3900" s="380" t="n">
        <x:v>30</x:v>
      </x:c>
      <x:c r="F3900" s="380" t="n">
        <x:v>4</x:v>
      </x:c>
      <x:c r="G3900" s="380" t="n">
        <x:f>--(F3900&lt;='Estimator'!$B$7)</x:f>
        <x:v>1</x:v>
      </x:c>
      <x:c r="H3900" s="381" t="n">
        <x:f>SUMIFS('Climate Data'!$G$7:$G$366,'Climate Data'!$A$7:$A$366,'Estimator'!$B$4,'Climate Data'!$B$7:$B$366,C3900)</x:f>
        <x:v>0.47274749721913234</x:v>
      </x:c>
      <x:c r="I3900" s="382" t="n">
        <x:f>SUMIFS('Climate Data'!$H$7:$H$366,'Climate Data'!$A$7:$A$366,'Estimator'!$B$4,'Climate Data'!$B$7:$B$366,C3900)</x:f>
        <x:v>7.9971764705882356</x:v>
      </x:c>
      <x:c r="J3900" s="381" t="n">
        <x:f>SUMIFS('Wind Proxy'!$H$8:$H$19,'Wind Proxy'!$A$8:$A$19,'Estimator'!$B$4,'Wind Proxy'!$B$8:$B$19,C3900)</x:f>
        <x:v>0.13739545997610514</x:v>
      </x:c>
    </x:row>
    <x:row r="3901">
      <x:c r="A3901" s="379" t="n">
        <x:v>49552</x:v>
      </x:c>
      <x:c r="B3901" s="380" t="n">
        <x:v>2035</x:v>
      </x:c>
      <x:c r="C3901" s="380" t="n">
        <x:v>8</x:v>
      </x:c>
      <x:c r="D3901" s="380" t="str">
        <x:v>Aug</x:v>
      </x:c>
      <x:c r="E3901" s="380" t="n">
        <x:v>31</x:v>
      </x:c>
      <x:c r="F3901" s="380" t="n">
        <x:v>5</x:v>
      </x:c>
      <x:c r="G3901" s="380" t="n">
        <x:f>--(F3901&lt;='Estimator'!$B$7)</x:f>
        <x:v>1</x:v>
      </x:c>
      <x:c r="H3901" s="381" t="n">
        <x:f>SUMIFS('Climate Data'!$G$7:$G$366,'Climate Data'!$A$7:$A$366,'Estimator'!$B$4,'Climate Data'!$B$7:$B$366,C3901)</x:f>
        <x:v>0.47274749721913234</x:v>
      </x:c>
      <x:c r="I3901" s="382" t="n">
        <x:f>SUMIFS('Climate Data'!$H$7:$H$366,'Climate Data'!$A$7:$A$366,'Estimator'!$B$4,'Climate Data'!$B$7:$B$366,C3901)</x:f>
        <x:v>7.9971764705882356</x:v>
      </x:c>
      <x:c r="J3901" s="381" t="n">
        <x:f>SUMIFS('Wind Proxy'!$H$8:$H$19,'Wind Proxy'!$A$8:$A$19,'Estimator'!$B$4,'Wind Proxy'!$B$8:$B$19,C3901)</x:f>
        <x:v>0.13739545997610514</x:v>
      </x:c>
    </x:row>
    <x:row r="3902">
      <x:c r="A3902" s="379" t="n">
        <x:v>49553</x:v>
      </x:c>
      <x:c r="B3902" s="380" t="n">
        <x:v>2035</x:v>
      </x:c>
      <x:c r="C3902" s="380" t="n">
        <x:v>9</x:v>
      </x:c>
      <x:c r="D3902" s="380" t="str">
        <x:v>Sep</x:v>
      </x:c>
      <x:c r="E3902" s="380" t="n">
        <x:v>1</x:v>
      </x:c>
      <x:c r="F3902" s="380" t="n">
        <x:v>6</x:v>
      </x:c>
      <x:c r="G3902" s="380" t="n">
        <x:f>--(F3902&lt;='Estimator'!$B$7)</x:f>
        <x:v>0</x:v>
      </x:c>
      <x:c r="H3902" s="381" t="n">
        <x:f>SUMIFS('Climate Data'!$G$7:$G$366,'Climate Data'!$A$7:$A$366,'Estimator'!$B$4,'Climate Data'!$B$7:$B$366,C3902)</x:f>
        <x:v>0.4160919540229885</x:v>
      </x:c>
      <x:c r="I3902" s="382" t="n">
        <x:f>SUMIFS('Climate Data'!$H$7:$H$366,'Climate Data'!$A$7:$A$366,'Estimator'!$B$4,'Climate Data'!$B$7:$B$366,C3902)</x:f>
        <x:v>8.019060773480662</x:v>
      </x:c>
      <x:c r="J3902" s="381" t="n">
        <x:f>SUMIFS('Wind Proxy'!$H$8:$H$19,'Wind Proxy'!$A$8:$A$19,'Estimator'!$B$4,'Wind Proxy'!$B$8:$B$19,C3902)</x:f>
        <x:v>0.22222222222222224</x:v>
      </x:c>
    </x:row>
    <x:row r="3903">
      <x:c r="A3903" s="379" t="n">
        <x:v>49554</x:v>
      </x:c>
      <x:c r="B3903" s="380" t="n">
        <x:v>2035</x:v>
      </x:c>
      <x:c r="C3903" s="380" t="n">
        <x:v>9</x:v>
      </x:c>
      <x:c r="D3903" s="380" t="str">
        <x:v>Sep</x:v>
      </x:c>
      <x:c r="E3903" s="380" t="n">
        <x:v>2</x:v>
      </x:c>
      <x:c r="F3903" s="380" t="n">
        <x:v>7</x:v>
      </x:c>
      <x:c r="G3903" s="380" t="n">
        <x:f>--(F3903&lt;='Estimator'!$B$7)</x:f>
        <x:v>0</x:v>
      </x:c>
      <x:c r="H3903" s="381" t="n">
        <x:f>SUMIFS('Climate Data'!$G$7:$G$366,'Climate Data'!$A$7:$A$366,'Estimator'!$B$4,'Climate Data'!$B$7:$B$366,C3903)</x:f>
        <x:v>0.4160919540229885</x:v>
      </x:c>
      <x:c r="I3903" s="382" t="n">
        <x:f>SUMIFS('Climate Data'!$H$7:$H$366,'Climate Data'!$A$7:$A$366,'Estimator'!$B$4,'Climate Data'!$B$7:$B$366,C3903)</x:f>
        <x:v>8.019060773480662</x:v>
      </x:c>
      <x:c r="J3903" s="381" t="n">
        <x:f>SUMIFS('Wind Proxy'!$H$8:$H$19,'Wind Proxy'!$A$8:$A$19,'Estimator'!$B$4,'Wind Proxy'!$B$8:$B$19,C3903)</x:f>
        <x:v>0.22222222222222224</x:v>
      </x:c>
    </x:row>
    <x:row r="3904">
      <x:c r="A3904" s="379" t="n">
        <x:v>49555</x:v>
      </x:c>
      <x:c r="B3904" s="380" t="n">
        <x:v>2035</x:v>
      </x:c>
      <x:c r="C3904" s="380" t="n">
        <x:v>9</x:v>
      </x:c>
      <x:c r="D3904" s="380" t="str">
        <x:v>Sep</x:v>
      </x:c>
      <x:c r="E3904" s="380" t="n">
        <x:v>3</x:v>
      </x:c>
      <x:c r="F3904" s="380" t="n">
        <x:v>1</x:v>
      </x:c>
      <x:c r="G3904" s="380" t="n">
        <x:f>--(F3904&lt;='Estimator'!$B$7)</x:f>
        <x:v>1</x:v>
      </x:c>
      <x:c r="H3904" s="381" t="n">
        <x:f>SUMIFS('Climate Data'!$G$7:$G$366,'Climate Data'!$A$7:$A$366,'Estimator'!$B$4,'Climate Data'!$B$7:$B$366,C3904)</x:f>
        <x:v>0.4160919540229885</x:v>
      </x:c>
      <x:c r="I3904" s="382" t="n">
        <x:f>SUMIFS('Climate Data'!$H$7:$H$366,'Climate Data'!$A$7:$A$366,'Estimator'!$B$4,'Climate Data'!$B$7:$B$366,C3904)</x:f>
        <x:v>8.019060773480662</x:v>
      </x:c>
      <x:c r="J3904" s="381" t="n">
        <x:f>SUMIFS('Wind Proxy'!$H$8:$H$19,'Wind Proxy'!$A$8:$A$19,'Estimator'!$B$4,'Wind Proxy'!$B$8:$B$19,C3904)</x:f>
        <x:v>0.22222222222222224</x:v>
      </x:c>
    </x:row>
    <x:row r="3905">
      <x:c r="A3905" s="379" t="n">
        <x:v>49556</x:v>
      </x:c>
      <x:c r="B3905" s="380" t="n">
        <x:v>2035</x:v>
      </x:c>
      <x:c r="C3905" s="380" t="n">
        <x:v>9</x:v>
      </x:c>
      <x:c r="D3905" s="380" t="str">
        <x:v>Sep</x:v>
      </x:c>
      <x:c r="E3905" s="380" t="n">
        <x:v>4</x:v>
      </x:c>
      <x:c r="F3905" s="380" t="n">
        <x:v>2</x:v>
      </x:c>
      <x:c r="G3905" s="380" t="n">
        <x:f>--(F3905&lt;='Estimator'!$B$7)</x:f>
        <x:v>1</x:v>
      </x:c>
      <x:c r="H3905" s="381" t="n">
        <x:f>SUMIFS('Climate Data'!$G$7:$G$366,'Climate Data'!$A$7:$A$366,'Estimator'!$B$4,'Climate Data'!$B$7:$B$366,C3905)</x:f>
        <x:v>0.4160919540229885</x:v>
      </x:c>
      <x:c r="I3905" s="382" t="n">
        <x:f>SUMIFS('Climate Data'!$H$7:$H$366,'Climate Data'!$A$7:$A$366,'Estimator'!$B$4,'Climate Data'!$B$7:$B$366,C3905)</x:f>
        <x:v>8.019060773480662</x:v>
      </x:c>
      <x:c r="J3905" s="381" t="n">
        <x:f>SUMIFS('Wind Proxy'!$H$8:$H$19,'Wind Proxy'!$A$8:$A$19,'Estimator'!$B$4,'Wind Proxy'!$B$8:$B$19,C3905)</x:f>
        <x:v>0.22222222222222224</x:v>
      </x:c>
    </x:row>
    <x:row r="3906">
      <x:c r="A3906" s="379" t="n">
        <x:v>49557</x:v>
      </x:c>
      <x:c r="B3906" s="380" t="n">
        <x:v>2035</x:v>
      </x:c>
      <x:c r="C3906" s="380" t="n">
        <x:v>9</x:v>
      </x:c>
      <x:c r="D3906" s="380" t="str">
        <x:v>Sep</x:v>
      </x:c>
      <x:c r="E3906" s="380" t="n">
        <x:v>5</x:v>
      </x:c>
      <x:c r="F3906" s="380" t="n">
        <x:v>3</x:v>
      </x:c>
      <x:c r="G3906" s="380" t="n">
        <x:f>--(F3906&lt;='Estimator'!$B$7)</x:f>
        <x:v>1</x:v>
      </x:c>
      <x:c r="H3906" s="381" t="n">
        <x:f>SUMIFS('Climate Data'!$G$7:$G$366,'Climate Data'!$A$7:$A$366,'Estimator'!$B$4,'Climate Data'!$B$7:$B$366,C3906)</x:f>
        <x:v>0.4160919540229885</x:v>
      </x:c>
      <x:c r="I3906" s="382" t="n">
        <x:f>SUMIFS('Climate Data'!$H$7:$H$366,'Climate Data'!$A$7:$A$366,'Estimator'!$B$4,'Climate Data'!$B$7:$B$366,C3906)</x:f>
        <x:v>8.019060773480662</x:v>
      </x:c>
      <x:c r="J3906" s="381" t="n">
        <x:f>SUMIFS('Wind Proxy'!$H$8:$H$19,'Wind Proxy'!$A$8:$A$19,'Estimator'!$B$4,'Wind Proxy'!$B$8:$B$19,C3906)</x:f>
        <x:v>0.22222222222222224</x:v>
      </x:c>
    </x:row>
    <x:row r="3907">
      <x:c r="A3907" s="379" t="n">
        <x:v>49558</x:v>
      </x:c>
      <x:c r="B3907" s="380" t="n">
        <x:v>2035</x:v>
      </x:c>
      <x:c r="C3907" s="380" t="n">
        <x:v>9</x:v>
      </x:c>
      <x:c r="D3907" s="380" t="str">
        <x:v>Sep</x:v>
      </x:c>
      <x:c r="E3907" s="380" t="n">
        <x:v>6</x:v>
      </x:c>
      <x:c r="F3907" s="380" t="n">
        <x:v>4</x:v>
      </x:c>
      <x:c r="G3907" s="380" t="n">
        <x:f>--(F3907&lt;='Estimator'!$B$7)</x:f>
        <x:v>1</x:v>
      </x:c>
      <x:c r="H3907" s="381" t="n">
        <x:f>SUMIFS('Climate Data'!$G$7:$G$366,'Climate Data'!$A$7:$A$366,'Estimator'!$B$4,'Climate Data'!$B$7:$B$366,C3907)</x:f>
        <x:v>0.4160919540229885</x:v>
      </x:c>
      <x:c r="I3907" s="382" t="n">
        <x:f>SUMIFS('Climate Data'!$H$7:$H$366,'Climate Data'!$A$7:$A$366,'Estimator'!$B$4,'Climate Data'!$B$7:$B$366,C3907)</x:f>
        <x:v>8.019060773480662</x:v>
      </x:c>
      <x:c r="J3907" s="381" t="n">
        <x:f>SUMIFS('Wind Proxy'!$H$8:$H$19,'Wind Proxy'!$A$8:$A$19,'Estimator'!$B$4,'Wind Proxy'!$B$8:$B$19,C3907)</x:f>
        <x:v>0.22222222222222224</x:v>
      </x:c>
    </x:row>
    <x:row r="3908">
      <x:c r="A3908" s="379" t="n">
        <x:v>49559</x:v>
      </x:c>
      <x:c r="B3908" s="380" t="n">
        <x:v>2035</x:v>
      </x:c>
      <x:c r="C3908" s="380" t="n">
        <x:v>9</x:v>
      </x:c>
      <x:c r="D3908" s="380" t="str">
        <x:v>Sep</x:v>
      </x:c>
      <x:c r="E3908" s="380" t="n">
        <x:v>7</x:v>
      </x:c>
      <x:c r="F3908" s="380" t="n">
        <x:v>5</x:v>
      </x:c>
      <x:c r="G3908" s="380" t="n">
        <x:f>--(F3908&lt;='Estimator'!$B$7)</x:f>
        <x:v>1</x:v>
      </x:c>
      <x:c r="H3908" s="381" t="n">
        <x:f>SUMIFS('Climate Data'!$G$7:$G$366,'Climate Data'!$A$7:$A$366,'Estimator'!$B$4,'Climate Data'!$B$7:$B$366,C3908)</x:f>
        <x:v>0.4160919540229885</x:v>
      </x:c>
      <x:c r="I3908" s="382" t="n">
        <x:f>SUMIFS('Climate Data'!$H$7:$H$366,'Climate Data'!$A$7:$A$366,'Estimator'!$B$4,'Climate Data'!$B$7:$B$366,C3908)</x:f>
        <x:v>8.019060773480662</x:v>
      </x:c>
      <x:c r="J3908" s="381" t="n">
        <x:f>SUMIFS('Wind Proxy'!$H$8:$H$19,'Wind Proxy'!$A$8:$A$19,'Estimator'!$B$4,'Wind Proxy'!$B$8:$B$19,C3908)</x:f>
        <x:v>0.22222222222222224</x:v>
      </x:c>
    </x:row>
    <x:row r="3909">
      <x:c r="A3909" s="379" t="n">
        <x:v>49560</x:v>
      </x:c>
      <x:c r="B3909" s="380" t="n">
        <x:v>2035</x:v>
      </x:c>
      <x:c r="C3909" s="380" t="n">
        <x:v>9</x:v>
      </x:c>
      <x:c r="D3909" s="380" t="str">
        <x:v>Sep</x:v>
      </x:c>
      <x:c r="E3909" s="380" t="n">
        <x:v>8</x:v>
      </x:c>
      <x:c r="F3909" s="380" t="n">
        <x:v>6</x:v>
      </x:c>
      <x:c r="G3909" s="380" t="n">
        <x:f>--(F3909&lt;='Estimator'!$B$7)</x:f>
        <x:v>0</x:v>
      </x:c>
      <x:c r="H3909" s="381" t="n">
        <x:f>SUMIFS('Climate Data'!$G$7:$G$366,'Climate Data'!$A$7:$A$366,'Estimator'!$B$4,'Climate Data'!$B$7:$B$366,C3909)</x:f>
        <x:v>0.4160919540229885</x:v>
      </x:c>
      <x:c r="I3909" s="382" t="n">
        <x:f>SUMIFS('Climate Data'!$H$7:$H$366,'Climate Data'!$A$7:$A$366,'Estimator'!$B$4,'Climate Data'!$B$7:$B$366,C3909)</x:f>
        <x:v>8.019060773480662</x:v>
      </x:c>
      <x:c r="J3909" s="381" t="n">
        <x:f>SUMIFS('Wind Proxy'!$H$8:$H$19,'Wind Proxy'!$A$8:$A$19,'Estimator'!$B$4,'Wind Proxy'!$B$8:$B$19,C3909)</x:f>
        <x:v>0.22222222222222224</x:v>
      </x:c>
    </x:row>
    <x:row r="3910">
      <x:c r="A3910" s="379" t="n">
        <x:v>49561</x:v>
      </x:c>
      <x:c r="B3910" s="380" t="n">
        <x:v>2035</x:v>
      </x:c>
      <x:c r="C3910" s="380" t="n">
        <x:v>9</x:v>
      </x:c>
      <x:c r="D3910" s="380" t="str">
        <x:v>Sep</x:v>
      </x:c>
      <x:c r="E3910" s="380" t="n">
        <x:v>9</x:v>
      </x:c>
      <x:c r="F3910" s="380" t="n">
        <x:v>7</x:v>
      </x:c>
      <x:c r="G3910" s="380" t="n">
        <x:f>--(F3910&lt;='Estimator'!$B$7)</x:f>
        <x:v>0</x:v>
      </x:c>
      <x:c r="H3910" s="381" t="n">
        <x:f>SUMIFS('Climate Data'!$G$7:$G$366,'Climate Data'!$A$7:$A$366,'Estimator'!$B$4,'Climate Data'!$B$7:$B$366,C3910)</x:f>
        <x:v>0.4160919540229885</x:v>
      </x:c>
      <x:c r="I3910" s="382" t="n">
        <x:f>SUMIFS('Climate Data'!$H$7:$H$366,'Climate Data'!$A$7:$A$366,'Estimator'!$B$4,'Climate Data'!$B$7:$B$366,C3910)</x:f>
        <x:v>8.019060773480662</x:v>
      </x:c>
      <x:c r="J3910" s="381" t="n">
        <x:f>SUMIFS('Wind Proxy'!$H$8:$H$19,'Wind Proxy'!$A$8:$A$19,'Estimator'!$B$4,'Wind Proxy'!$B$8:$B$19,C3910)</x:f>
        <x:v>0.22222222222222224</x:v>
      </x:c>
    </x:row>
    <x:row r="3911">
      <x:c r="A3911" s="379" t="n">
        <x:v>49562</x:v>
      </x:c>
      <x:c r="B3911" s="380" t="n">
        <x:v>2035</x:v>
      </x:c>
      <x:c r="C3911" s="380" t="n">
        <x:v>9</x:v>
      </x:c>
      <x:c r="D3911" s="380" t="str">
        <x:v>Sep</x:v>
      </x:c>
      <x:c r="E3911" s="380" t="n">
        <x:v>10</x:v>
      </x:c>
      <x:c r="F3911" s="380" t="n">
        <x:v>1</x:v>
      </x:c>
      <x:c r="G3911" s="380" t="n">
        <x:f>--(F3911&lt;='Estimator'!$B$7)</x:f>
        <x:v>1</x:v>
      </x:c>
      <x:c r="H3911" s="381" t="n">
        <x:f>SUMIFS('Climate Data'!$G$7:$G$366,'Climate Data'!$A$7:$A$366,'Estimator'!$B$4,'Climate Data'!$B$7:$B$366,C3911)</x:f>
        <x:v>0.4160919540229885</x:v>
      </x:c>
      <x:c r="I3911" s="382" t="n">
        <x:f>SUMIFS('Climate Data'!$H$7:$H$366,'Climate Data'!$A$7:$A$366,'Estimator'!$B$4,'Climate Data'!$B$7:$B$366,C3911)</x:f>
        <x:v>8.019060773480662</x:v>
      </x:c>
      <x:c r="J3911" s="381" t="n">
        <x:f>SUMIFS('Wind Proxy'!$H$8:$H$19,'Wind Proxy'!$A$8:$A$19,'Estimator'!$B$4,'Wind Proxy'!$B$8:$B$19,C3911)</x:f>
        <x:v>0.22222222222222224</x:v>
      </x:c>
    </x:row>
    <x:row r="3912">
      <x:c r="A3912" s="379" t="n">
        <x:v>49563</x:v>
      </x:c>
      <x:c r="B3912" s="380" t="n">
        <x:v>2035</x:v>
      </x:c>
      <x:c r="C3912" s="380" t="n">
        <x:v>9</x:v>
      </x:c>
      <x:c r="D3912" s="380" t="str">
        <x:v>Sep</x:v>
      </x:c>
      <x:c r="E3912" s="380" t="n">
        <x:v>11</x:v>
      </x:c>
      <x:c r="F3912" s="380" t="n">
        <x:v>2</x:v>
      </x:c>
      <x:c r="G3912" s="380" t="n">
        <x:f>--(F3912&lt;='Estimator'!$B$7)</x:f>
        <x:v>1</x:v>
      </x:c>
      <x:c r="H3912" s="381" t="n">
        <x:f>SUMIFS('Climate Data'!$G$7:$G$366,'Climate Data'!$A$7:$A$366,'Estimator'!$B$4,'Climate Data'!$B$7:$B$366,C3912)</x:f>
        <x:v>0.4160919540229885</x:v>
      </x:c>
      <x:c r="I3912" s="382" t="n">
        <x:f>SUMIFS('Climate Data'!$H$7:$H$366,'Climate Data'!$A$7:$A$366,'Estimator'!$B$4,'Climate Data'!$B$7:$B$366,C3912)</x:f>
        <x:v>8.019060773480662</x:v>
      </x:c>
      <x:c r="J3912" s="381" t="n">
        <x:f>SUMIFS('Wind Proxy'!$H$8:$H$19,'Wind Proxy'!$A$8:$A$19,'Estimator'!$B$4,'Wind Proxy'!$B$8:$B$19,C3912)</x:f>
        <x:v>0.22222222222222224</x:v>
      </x:c>
    </x:row>
    <x:row r="3913">
      <x:c r="A3913" s="379" t="n">
        <x:v>49564</x:v>
      </x:c>
      <x:c r="B3913" s="380" t="n">
        <x:v>2035</x:v>
      </x:c>
      <x:c r="C3913" s="380" t="n">
        <x:v>9</x:v>
      </x:c>
      <x:c r="D3913" s="380" t="str">
        <x:v>Sep</x:v>
      </x:c>
      <x:c r="E3913" s="380" t="n">
        <x:v>12</x:v>
      </x:c>
      <x:c r="F3913" s="380" t="n">
        <x:v>3</x:v>
      </x:c>
      <x:c r="G3913" s="380" t="n">
        <x:f>--(F3913&lt;='Estimator'!$B$7)</x:f>
        <x:v>1</x:v>
      </x:c>
      <x:c r="H3913" s="381" t="n">
        <x:f>SUMIFS('Climate Data'!$G$7:$G$366,'Climate Data'!$A$7:$A$366,'Estimator'!$B$4,'Climate Data'!$B$7:$B$366,C3913)</x:f>
        <x:v>0.4160919540229885</x:v>
      </x:c>
      <x:c r="I3913" s="382" t="n">
        <x:f>SUMIFS('Climate Data'!$H$7:$H$366,'Climate Data'!$A$7:$A$366,'Estimator'!$B$4,'Climate Data'!$B$7:$B$366,C3913)</x:f>
        <x:v>8.019060773480662</x:v>
      </x:c>
      <x:c r="J3913" s="381" t="n">
        <x:f>SUMIFS('Wind Proxy'!$H$8:$H$19,'Wind Proxy'!$A$8:$A$19,'Estimator'!$B$4,'Wind Proxy'!$B$8:$B$19,C3913)</x:f>
        <x:v>0.22222222222222224</x:v>
      </x:c>
    </x:row>
    <x:row r="3914">
      <x:c r="A3914" s="379" t="n">
        <x:v>49565</x:v>
      </x:c>
      <x:c r="B3914" s="380" t="n">
        <x:v>2035</x:v>
      </x:c>
      <x:c r="C3914" s="380" t="n">
        <x:v>9</x:v>
      </x:c>
      <x:c r="D3914" s="380" t="str">
        <x:v>Sep</x:v>
      </x:c>
      <x:c r="E3914" s="380" t="n">
        <x:v>13</x:v>
      </x:c>
      <x:c r="F3914" s="380" t="n">
        <x:v>4</x:v>
      </x:c>
      <x:c r="G3914" s="380" t="n">
        <x:f>--(F3914&lt;='Estimator'!$B$7)</x:f>
        <x:v>1</x:v>
      </x:c>
      <x:c r="H3914" s="381" t="n">
        <x:f>SUMIFS('Climate Data'!$G$7:$G$366,'Climate Data'!$A$7:$A$366,'Estimator'!$B$4,'Climate Data'!$B$7:$B$366,C3914)</x:f>
        <x:v>0.4160919540229885</x:v>
      </x:c>
      <x:c r="I3914" s="382" t="n">
        <x:f>SUMIFS('Climate Data'!$H$7:$H$366,'Climate Data'!$A$7:$A$366,'Estimator'!$B$4,'Climate Data'!$B$7:$B$366,C3914)</x:f>
        <x:v>8.019060773480662</x:v>
      </x:c>
      <x:c r="J3914" s="381" t="n">
        <x:f>SUMIFS('Wind Proxy'!$H$8:$H$19,'Wind Proxy'!$A$8:$A$19,'Estimator'!$B$4,'Wind Proxy'!$B$8:$B$19,C3914)</x:f>
        <x:v>0.22222222222222224</x:v>
      </x:c>
    </x:row>
    <x:row r="3915">
      <x:c r="A3915" s="379" t="n">
        <x:v>49566</x:v>
      </x:c>
      <x:c r="B3915" s="380" t="n">
        <x:v>2035</x:v>
      </x:c>
      <x:c r="C3915" s="380" t="n">
        <x:v>9</x:v>
      </x:c>
      <x:c r="D3915" s="380" t="str">
        <x:v>Sep</x:v>
      </x:c>
      <x:c r="E3915" s="380" t="n">
        <x:v>14</x:v>
      </x:c>
      <x:c r="F3915" s="380" t="n">
        <x:v>5</x:v>
      </x:c>
      <x:c r="G3915" s="380" t="n">
        <x:f>--(F3915&lt;='Estimator'!$B$7)</x:f>
        <x:v>1</x:v>
      </x:c>
      <x:c r="H3915" s="381" t="n">
        <x:f>SUMIFS('Climate Data'!$G$7:$G$366,'Climate Data'!$A$7:$A$366,'Estimator'!$B$4,'Climate Data'!$B$7:$B$366,C3915)</x:f>
        <x:v>0.4160919540229885</x:v>
      </x:c>
      <x:c r="I3915" s="382" t="n">
        <x:f>SUMIFS('Climate Data'!$H$7:$H$366,'Climate Data'!$A$7:$A$366,'Estimator'!$B$4,'Climate Data'!$B$7:$B$366,C3915)</x:f>
        <x:v>8.019060773480662</x:v>
      </x:c>
      <x:c r="J3915" s="381" t="n">
        <x:f>SUMIFS('Wind Proxy'!$H$8:$H$19,'Wind Proxy'!$A$8:$A$19,'Estimator'!$B$4,'Wind Proxy'!$B$8:$B$19,C3915)</x:f>
        <x:v>0.22222222222222224</x:v>
      </x:c>
    </x:row>
    <x:row r="3916">
      <x:c r="A3916" s="379" t="n">
        <x:v>49567</x:v>
      </x:c>
      <x:c r="B3916" s="380" t="n">
        <x:v>2035</x:v>
      </x:c>
      <x:c r="C3916" s="380" t="n">
        <x:v>9</x:v>
      </x:c>
      <x:c r="D3916" s="380" t="str">
        <x:v>Sep</x:v>
      </x:c>
      <x:c r="E3916" s="380" t="n">
        <x:v>15</x:v>
      </x:c>
      <x:c r="F3916" s="380" t="n">
        <x:v>6</x:v>
      </x:c>
      <x:c r="G3916" s="380" t="n">
        <x:f>--(F3916&lt;='Estimator'!$B$7)</x:f>
        <x:v>0</x:v>
      </x:c>
      <x:c r="H3916" s="381" t="n">
        <x:f>SUMIFS('Climate Data'!$G$7:$G$366,'Climate Data'!$A$7:$A$366,'Estimator'!$B$4,'Climate Data'!$B$7:$B$366,C3916)</x:f>
        <x:v>0.4160919540229885</x:v>
      </x:c>
      <x:c r="I3916" s="382" t="n">
        <x:f>SUMIFS('Climate Data'!$H$7:$H$366,'Climate Data'!$A$7:$A$366,'Estimator'!$B$4,'Climate Data'!$B$7:$B$366,C3916)</x:f>
        <x:v>8.019060773480662</x:v>
      </x:c>
      <x:c r="J3916" s="381" t="n">
        <x:f>SUMIFS('Wind Proxy'!$H$8:$H$19,'Wind Proxy'!$A$8:$A$19,'Estimator'!$B$4,'Wind Proxy'!$B$8:$B$19,C3916)</x:f>
        <x:v>0.22222222222222224</x:v>
      </x:c>
    </x:row>
    <x:row r="3917">
      <x:c r="A3917" s="379" t="n">
        <x:v>49568</x:v>
      </x:c>
      <x:c r="B3917" s="380" t="n">
        <x:v>2035</x:v>
      </x:c>
      <x:c r="C3917" s="380" t="n">
        <x:v>9</x:v>
      </x:c>
      <x:c r="D3917" s="380" t="str">
        <x:v>Sep</x:v>
      </x:c>
      <x:c r="E3917" s="380" t="n">
        <x:v>16</x:v>
      </x:c>
      <x:c r="F3917" s="380" t="n">
        <x:v>7</x:v>
      </x:c>
      <x:c r="G3917" s="380" t="n">
        <x:f>--(F3917&lt;='Estimator'!$B$7)</x:f>
        <x:v>0</x:v>
      </x:c>
      <x:c r="H3917" s="381" t="n">
        <x:f>SUMIFS('Climate Data'!$G$7:$G$366,'Climate Data'!$A$7:$A$366,'Estimator'!$B$4,'Climate Data'!$B$7:$B$366,C3917)</x:f>
        <x:v>0.4160919540229885</x:v>
      </x:c>
      <x:c r="I3917" s="382" t="n">
        <x:f>SUMIFS('Climate Data'!$H$7:$H$366,'Climate Data'!$A$7:$A$366,'Estimator'!$B$4,'Climate Data'!$B$7:$B$366,C3917)</x:f>
        <x:v>8.019060773480662</x:v>
      </x:c>
      <x:c r="J3917" s="381" t="n">
        <x:f>SUMIFS('Wind Proxy'!$H$8:$H$19,'Wind Proxy'!$A$8:$A$19,'Estimator'!$B$4,'Wind Proxy'!$B$8:$B$19,C3917)</x:f>
        <x:v>0.22222222222222224</x:v>
      </x:c>
    </x:row>
    <x:row r="3918">
      <x:c r="A3918" s="379" t="n">
        <x:v>49569</x:v>
      </x:c>
      <x:c r="B3918" s="380" t="n">
        <x:v>2035</x:v>
      </x:c>
      <x:c r="C3918" s="380" t="n">
        <x:v>9</x:v>
      </x:c>
      <x:c r="D3918" s="380" t="str">
        <x:v>Sep</x:v>
      </x:c>
      <x:c r="E3918" s="380" t="n">
        <x:v>17</x:v>
      </x:c>
      <x:c r="F3918" s="380" t="n">
        <x:v>1</x:v>
      </x:c>
      <x:c r="G3918" s="380" t="n">
        <x:f>--(F3918&lt;='Estimator'!$B$7)</x:f>
        <x:v>1</x:v>
      </x:c>
      <x:c r="H3918" s="381" t="n">
        <x:f>SUMIFS('Climate Data'!$G$7:$G$366,'Climate Data'!$A$7:$A$366,'Estimator'!$B$4,'Climate Data'!$B$7:$B$366,C3918)</x:f>
        <x:v>0.4160919540229885</x:v>
      </x:c>
      <x:c r="I3918" s="382" t="n">
        <x:f>SUMIFS('Climate Data'!$H$7:$H$366,'Climate Data'!$A$7:$A$366,'Estimator'!$B$4,'Climate Data'!$B$7:$B$366,C3918)</x:f>
        <x:v>8.019060773480662</x:v>
      </x:c>
      <x:c r="J3918" s="381" t="n">
        <x:f>SUMIFS('Wind Proxy'!$H$8:$H$19,'Wind Proxy'!$A$8:$A$19,'Estimator'!$B$4,'Wind Proxy'!$B$8:$B$19,C3918)</x:f>
        <x:v>0.22222222222222224</x:v>
      </x:c>
    </x:row>
    <x:row r="3919">
      <x:c r="A3919" s="379" t="n">
        <x:v>49570</x:v>
      </x:c>
      <x:c r="B3919" s="380" t="n">
        <x:v>2035</x:v>
      </x:c>
      <x:c r="C3919" s="380" t="n">
        <x:v>9</x:v>
      </x:c>
      <x:c r="D3919" s="380" t="str">
        <x:v>Sep</x:v>
      </x:c>
      <x:c r="E3919" s="380" t="n">
        <x:v>18</x:v>
      </x:c>
      <x:c r="F3919" s="380" t="n">
        <x:v>2</x:v>
      </x:c>
      <x:c r="G3919" s="380" t="n">
        <x:f>--(F3919&lt;='Estimator'!$B$7)</x:f>
        <x:v>1</x:v>
      </x:c>
      <x:c r="H3919" s="381" t="n">
        <x:f>SUMIFS('Climate Data'!$G$7:$G$366,'Climate Data'!$A$7:$A$366,'Estimator'!$B$4,'Climate Data'!$B$7:$B$366,C3919)</x:f>
        <x:v>0.4160919540229885</x:v>
      </x:c>
      <x:c r="I3919" s="382" t="n">
        <x:f>SUMIFS('Climate Data'!$H$7:$H$366,'Climate Data'!$A$7:$A$366,'Estimator'!$B$4,'Climate Data'!$B$7:$B$366,C3919)</x:f>
        <x:v>8.019060773480662</x:v>
      </x:c>
      <x:c r="J3919" s="381" t="n">
        <x:f>SUMIFS('Wind Proxy'!$H$8:$H$19,'Wind Proxy'!$A$8:$A$19,'Estimator'!$B$4,'Wind Proxy'!$B$8:$B$19,C3919)</x:f>
        <x:v>0.22222222222222224</x:v>
      </x:c>
    </x:row>
    <x:row r="3920">
      <x:c r="A3920" s="379" t="n">
        <x:v>49571</x:v>
      </x:c>
      <x:c r="B3920" s="380" t="n">
        <x:v>2035</x:v>
      </x:c>
      <x:c r="C3920" s="380" t="n">
        <x:v>9</x:v>
      </x:c>
      <x:c r="D3920" s="380" t="str">
        <x:v>Sep</x:v>
      </x:c>
      <x:c r="E3920" s="380" t="n">
        <x:v>19</x:v>
      </x:c>
      <x:c r="F3920" s="380" t="n">
        <x:v>3</x:v>
      </x:c>
      <x:c r="G3920" s="380" t="n">
        <x:f>--(F3920&lt;='Estimator'!$B$7)</x:f>
        <x:v>1</x:v>
      </x:c>
      <x:c r="H3920" s="381" t="n">
        <x:f>SUMIFS('Climate Data'!$G$7:$G$366,'Climate Data'!$A$7:$A$366,'Estimator'!$B$4,'Climate Data'!$B$7:$B$366,C3920)</x:f>
        <x:v>0.4160919540229885</x:v>
      </x:c>
      <x:c r="I3920" s="382" t="n">
        <x:f>SUMIFS('Climate Data'!$H$7:$H$366,'Climate Data'!$A$7:$A$366,'Estimator'!$B$4,'Climate Data'!$B$7:$B$366,C3920)</x:f>
        <x:v>8.019060773480662</x:v>
      </x:c>
      <x:c r="J3920" s="381" t="n">
        <x:f>SUMIFS('Wind Proxy'!$H$8:$H$19,'Wind Proxy'!$A$8:$A$19,'Estimator'!$B$4,'Wind Proxy'!$B$8:$B$19,C3920)</x:f>
        <x:v>0.22222222222222224</x:v>
      </x:c>
    </x:row>
    <x:row r="3921">
      <x:c r="A3921" s="379" t="n">
        <x:v>49572</x:v>
      </x:c>
      <x:c r="B3921" s="380" t="n">
        <x:v>2035</x:v>
      </x:c>
      <x:c r="C3921" s="380" t="n">
        <x:v>9</x:v>
      </x:c>
      <x:c r="D3921" s="380" t="str">
        <x:v>Sep</x:v>
      </x:c>
      <x:c r="E3921" s="380" t="n">
        <x:v>20</x:v>
      </x:c>
      <x:c r="F3921" s="380" t="n">
        <x:v>4</x:v>
      </x:c>
      <x:c r="G3921" s="380" t="n">
        <x:f>--(F3921&lt;='Estimator'!$B$7)</x:f>
        <x:v>1</x:v>
      </x:c>
      <x:c r="H3921" s="381" t="n">
        <x:f>SUMIFS('Climate Data'!$G$7:$G$366,'Climate Data'!$A$7:$A$366,'Estimator'!$B$4,'Climate Data'!$B$7:$B$366,C3921)</x:f>
        <x:v>0.4160919540229885</x:v>
      </x:c>
      <x:c r="I3921" s="382" t="n">
        <x:f>SUMIFS('Climate Data'!$H$7:$H$366,'Climate Data'!$A$7:$A$366,'Estimator'!$B$4,'Climate Data'!$B$7:$B$366,C3921)</x:f>
        <x:v>8.019060773480662</x:v>
      </x:c>
      <x:c r="J3921" s="381" t="n">
        <x:f>SUMIFS('Wind Proxy'!$H$8:$H$19,'Wind Proxy'!$A$8:$A$19,'Estimator'!$B$4,'Wind Proxy'!$B$8:$B$19,C3921)</x:f>
        <x:v>0.22222222222222224</x:v>
      </x:c>
    </x:row>
    <x:row r="3922">
      <x:c r="A3922" s="379" t="n">
        <x:v>49573</x:v>
      </x:c>
      <x:c r="B3922" s="380" t="n">
        <x:v>2035</x:v>
      </x:c>
      <x:c r="C3922" s="380" t="n">
        <x:v>9</x:v>
      </x:c>
      <x:c r="D3922" s="380" t="str">
        <x:v>Sep</x:v>
      </x:c>
      <x:c r="E3922" s="380" t="n">
        <x:v>21</x:v>
      </x:c>
      <x:c r="F3922" s="380" t="n">
        <x:v>5</x:v>
      </x:c>
      <x:c r="G3922" s="380" t="n">
        <x:f>--(F3922&lt;='Estimator'!$B$7)</x:f>
        <x:v>1</x:v>
      </x:c>
      <x:c r="H3922" s="381" t="n">
        <x:f>SUMIFS('Climate Data'!$G$7:$G$366,'Climate Data'!$A$7:$A$366,'Estimator'!$B$4,'Climate Data'!$B$7:$B$366,C3922)</x:f>
        <x:v>0.4160919540229885</x:v>
      </x:c>
      <x:c r="I3922" s="382" t="n">
        <x:f>SUMIFS('Climate Data'!$H$7:$H$366,'Climate Data'!$A$7:$A$366,'Estimator'!$B$4,'Climate Data'!$B$7:$B$366,C3922)</x:f>
        <x:v>8.019060773480662</x:v>
      </x:c>
      <x:c r="J3922" s="381" t="n">
        <x:f>SUMIFS('Wind Proxy'!$H$8:$H$19,'Wind Proxy'!$A$8:$A$19,'Estimator'!$B$4,'Wind Proxy'!$B$8:$B$19,C3922)</x:f>
        <x:v>0.22222222222222224</x:v>
      </x:c>
    </x:row>
    <x:row r="3923">
      <x:c r="A3923" s="379" t="n">
        <x:v>49574</x:v>
      </x:c>
      <x:c r="B3923" s="380" t="n">
        <x:v>2035</x:v>
      </x:c>
      <x:c r="C3923" s="380" t="n">
        <x:v>9</x:v>
      </x:c>
      <x:c r="D3923" s="380" t="str">
        <x:v>Sep</x:v>
      </x:c>
      <x:c r="E3923" s="380" t="n">
        <x:v>22</x:v>
      </x:c>
      <x:c r="F3923" s="380" t="n">
        <x:v>6</x:v>
      </x:c>
      <x:c r="G3923" s="380" t="n">
        <x:f>--(F3923&lt;='Estimator'!$B$7)</x:f>
        <x:v>0</x:v>
      </x:c>
      <x:c r="H3923" s="381" t="n">
        <x:f>SUMIFS('Climate Data'!$G$7:$G$366,'Climate Data'!$A$7:$A$366,'Estimator'!$B$4,'Climate Data'!$B$7:$B$366,C3923)</x:f>
        <x:v>0.4160919540229885</x:v>
      </x:c>
      <x:c r="I3923" s="382" t="n">
        <x:f>SUMIFS('Climate Data'!$H$7:$H$366,'Climate Data'!$A$7:$A$366,'Estimator'!$B$4,'Climate Data'!$B$7:$B$366,C3923)</x:f>
        <x:v>8.019060773480662</x:v>
      </x:c>
      <x:c r="J3923" s="381" t="n">
        <x:f>SUMIFS('Wind Proxy'!$H$8:$H$19,'Wind Proxy'!$A$8:$A$19,'Estimator'!$B$4,'Wind Proxy'!$B$8:$B$19,C3923)</x:f>
        <x:v>0.22222222222222224</x:v>
      </x:c>
    </x:row>
    <x:row r="3924">
      <x:c r="A3924" s="379" t="n">
        <x:v>49575</x:v>
      </x:c>
      <x:c r="B3924" s="380" t="n">
        <x:v>2035</x:v>
      </x:c>
      <x:c r="C3924" s="380" t="n">
        <x:v>9</x:v>
      </x:c>
      <x:c r="D3924" s="380" t="str">
        <x:v>Sep</x:v>
      </x:c>
      <x:c r="E3924" s="380" t="n">
        <x:v>23</x:v>
      </x:c>
      <x:c r="F3924" s="380" t="n">
        <x:v>7</x:v>
      </x:c>
      <x:c r="G3924" s="380" t="n">
        <x:f>--(F3924&lt;='Estimator'!$B$7)</x:f>
        <x:v>0</x:v>
      </x:c>
      <x:c r="H3924" s="381" t="n">
        <x:f>SUMIFS('Climate Data'!$G$7:$G$366,'Climate Data'!$A$7:$A$366,'Estimator'!$B$4,'Climate Data'!$B$7:$B$366,C3924)</x:f>
        <x:v>0.4160919540229885</x:v>
      </x:c>
      <x:c r="I3924" s="382" t="n">
        <x:f>SUMIFS('Climate Data'!$H$7:$H$366,'Climate Data'!$A$7:$A$366,'Estimator'!$B$4,'Climate Data'!$B$7:$B$366,C3924)</x:f>
        <x:v>8.019060773480662</x:v>
      </x:c>
      <x:c r="J3924" s="381" t="n">
        <x:f>SUMIFS('Wind Proxy'!$H$8:$H$19,'Wind Proxy'!$A$8:$A$19,'Estimator'!$B$4,'Wind Proxy'!$B$8:$B$19,C3924)</x:f>
        <x:v>0.22222222222222224</x:v>
      </x:c>
    </x:row>
    <x:row r="3925">
      <x:c r="A3925" s="379" t="n">
        <x:v>49576</x:v>
      </x:c>
      <x:c r="B3925" s="380" t="n">
        <x:v>2035</x:v>
      </x:c>
      <x:c r="C3925" s="380" t="n">
        <x:v>9</x:v>
      </x:c>
      <x:c r="D3925" s="380" t="str">
        <x:v>Sep</x:v>
      </x:c>
      <x:c r="E3925" s="380" t="n">
        <x:v>24</x:v>
      </x:c>
      <x:c r="F3925" s="380" t="n">
        <x:v>1</x:v>
      </x:c>
      <x:c r="G3925" s="380" t="n">
        <x:f>--(F3925&lt;='Estimator'!$B$7)</x:f>
        <x:v>1</x:v>
      </x:c>
      <x:c r="H3925" s="381" t="n">
        <x:f>SUMIFS('Climate Data'!$G$7:$G$366,'Climate Data'!$A$7:$A$366,'Estimator'!$B$4,'Climate Data'!$B$7:$B$366,C3925)</x:f>
        <x:v>0.4160919540229885</x:v>
      </x:c>
      <x:c r="I3925" s="382" t="n">
        <x:f>SUMIFS('Climate Data'!$H$7:$H$366,'Climate Data'!$A$7:$A$366,'Estimator'!$B$4,'Climate Data'!$B$7:$B$366,C3925)</x:f>
        <x:v>8.019060773480662</x:v>
      </x:c>
      <x:c r="J3925" s="381" t="n">
        <x:f>SUMIFS('Wind Proxy'!$H$8:$H$19,'Wind Proxy'!$A$8:$A$19,'Estimator'!$B$4,'Wind Proxy'!$B$8:$B$19,C3925)</x:f>
        <x:v>0.22222222222222224</x:v>
      </x:c>
    </x:row>
    <x:row r="3926">
      <x:c r="A3926" s="379" t="n">
        <x:v>49577</x:v>
      </x:c>
      <x:c r="B3926" s="380" t="n">
        <x:v>2035</x:v>
      </x:c>
      <x:c r="C3926" s="380" t="n">
        <x:v>9</x:v>
      </x:c>
      <x:c r="D3926" s="380" t="str">
        <x:v>Sep</x:v>
      </x:c>
      <x:c r="E3926" s="380" t="n">
        <x:v>25</x:v>
      </x:c>
      <x:c r="F3926" s="380" t="n">
        <x:v>2</x:v>
      </x:c>
      <x:c r="G3926" s="380" t="n">
        <x:f>--(F3926&lt;='Estimator'!$B$7)</x:f>
        <x:v>1</x:v>
      </x:c>
      <x:c r="H3926" s="381" t="n">
        <x:f>SUMIFS('Climate Data'!$G$7:$G$366,'Climate Data'!$A$7:$A$366,'Estimator'!$B$4,'Climate Data'!$B$7:$B$366,C3926)</x:f>
        <x:v>0.4160919540229885</x:v>
      </x:c>
      <x:c r="I3926" s="382" t="n">
        <x:f>SUMIFS('Climate Data'!$H$7:$H$366,'Climate Data'!$A$7:$A$366,'Estimator'!$B$4,'Climate Data'!$B$7:$B$366,C3926)</x:f>
        <x:v>8.019060773480662</x:v>
      </x:c>
      <x:c r="J3926" s="381" t="n">
        <x:f>SUMIFS('Wind Proxy'!$H$8:$H$19,'Wind Proxy'!$A$8:$A$19,'Estimator'!$B$4,'Wind Proxy'!$B$8:$B$19,C3926)</x:f>
        <x:v>0.22222222222222224</x:v>
      </x:c>
    </x:row>
    <x:row r="3927">
      <x:c r="A3927" s="379" t="n">
        <x:v>49578</x:v>
      </x:c>
      <x:c r="B3927" s="380" t="n">
        <x:v>2035</x:v>
      </x:c>
      <x:c r="C3927" s="380" t="n">
        <x:v>9</x:v>
      </x:c>
      <x:c r="D3927" s="380" t="str">
        <x:v>Sep</x:v>
      </x:c>
      <x:c r="E3927" s="380" t="n">
        <x:v>26</x:v>
      </x:c>
      <x:c r="F3927" s="380" t="n">
        <x:v>3</x:v>
      </x:c>
      <x:c r="G3927" s="380" t="n">
        <x:f>--(F3927&lt;='Estimator'!$B$7)</x:f>
        <x:v>1</x:v>
      </x:c>
      <x:c r="H3927" s="381" t="n">
        <x:f>SUMIFS('Climate Data'!$G$7:$G$366,'Climate Data'!$A$7:$A$366,'Estimator'!$B$4,'Climate Data'!$B$7:$B$366,C3927)</x:f>
        <x:v>0.4160919540229885</x:v>
      </x:c>
      <x:c r="I3927" s="382" t="n">
        <x:f>SUMIFS('Climate Data'!$H$7:$H$366,'Climate Data'!$A$7:$A$366,'Estimator'!$B$4,'Climate Data'!$B$7:$B$366,C3927)</x:f>
        <x:v>8.019060773480662</x:v>
      </x:c>
      <x:c r="J3927" s="381" t="n">
        <x:f>SUMIFS('Wind Proxy'!$H$8:$H$19,'Wind Proxy'!$A$8:$A$19,'Estimator'!$B$4,'Wind Proxy'!$B$8:$B$19,C3927)</x:f>
        <x:v>0.22222222222222224</x:v>
      </x:c>
    </x:row>
    <x:row r="3928">
      <x:c r="A3928" s="379" t="n">
        <x:v>49579</x:v>
      </x:c>
      <x:c r="B3928" s="380" t="n">
        <x:v>2035</x:v>
      </x:c>
      <x:c r="C3928" s="380" t="n">
        <x:v>9</x:v>
      </x:c>
      <x:c r="D3928" s="380" t="str">
        <x:v>Sep</x:v>
      </x:c>
      <x:c r="E3928" s="380" t="n">
        <x:v>27</x:v>
      </x:c>
      <x:c r="F3928" s="380" t="n">
        <x:v>4</x:v>
      </x:c>
      <x:c r="G3928" s="380" t="n">
        <x:f>--(F3928&lt;='Estimator'!$B$7)</x:f>
        <x:v>1</x:v>
      </x:c>
      <x:c r="H3928" s="381" t="n">
        <x:f>SUMIFS('Climate Data'!$G$7:$G$366,'Climate Data'!$A$7:$A$366,'Estimator'!$B$4,'Climate Data'!$B$7:$B$366,C3928)</x:f>
        <x:v>0.4160919540229885</x:v>
      </x:c>
      <x:c r="I3928" s="382" t="n">
        <x:f>SUMIFS('Climate Data'!$H$7:$H$366,'Climate Data'!$A$7:$A$366,'Estimator'!$B$4,'Climate Data'!$B$7:$B$366,C3928)</x:f>
        <x:v>8.019060773480662</x:v>
      </x:c>
      <x:c r="J3928" s="381" t="n">
        <x:f>SUMIFS('Wind Proxy'!$H$8:$H$19,'Wind Proxy'!$A$8:$A$19,'Estimator'!$B$4,'Wind Proxy'!$B$8:$B$19,C3928)</x:f>
        <x:v>0.22222222222222224</x:v>
      </x:c>
    </x:row>
    <x:row r="3929">
      <x:c r="A3929" s="379" t="n">
        <x:v>49580</x:v>
      </x:c>
      <x:c r="B3929" s="380" t="n">
        <x:v>2035</x:v>
      </x:c>
      <x:c r="C3929" s="380" t="n">
        <x:v>9</x:v>
      </x:c>
      <x:c r="D3929" s="380" t="str">
        <x:v>Sep</x:v>
      </x:c>
      <x:c r="E3929" s="380" t="n">
        <x:v>28</x:v>
      </x:c>
      <x:c r="F3929" s="380" t="n">
        <x:v>5</x:v>
      </x:c>
      <x:c r="G3929" s="380" t="n">
        <x:f>--(F3929&lt;='Estimator'!$B$7)</x:f>
        <x:v>1</x:v>
      </x:c>
      <x:c r="H3929" s="381" t="n">
        <x:f>SUMIFS('Climate Data'!$G$7:$G$366,'Climate Data'!$A$7:$A$366,'Estimator'!$B$4,'Climate Data'!$B$7:$B$366,C3929)</x:f>
        <x:v>0.4160919540229885</x:v>
      </x:c>
      <x:c r="I3929" s="382" t="n">
        <x:f>SUMIFS('Climate Data'!$H$7:$H$366,'Climate Data'!$A$7:$A$366,'Estimator'!$B$4,'Climate Data'!$B$7:$B$366,C3929)</x:f>
        <x:v>8.019060773480662</x:v>
      </x:c>
      <x:c r="J3929" s="381" t="n">
        <x:f>SUMIFS('Wind Proxy'!$H$8:$H$19,'Wind Proxy'!$A$8:$A$19,'Estimator'!$B$4,'Wind Proxy'!$B$8:$B$19,C3929)</x:f>
        <x:v>0.22222222222222224</x:v>
      </x:c>
    </x:row>
    <x:row r="3930">
      <x:c r="A3930" s="379" t="n">
        <x:v>49581</x:v>
      </x:c>
      <x:c r="B3930" s="380" t="n">
        <x:v>2035</x:v>
      </x:c>
      <x:c r="C3930" s="380" t="n">
        <x:v>9</x:v>
      </x:c>
      <x:c r="D3930" s="380" t="str">
        <x:v>Sep</x:v>
      </x:c>
      <x:c r="E3930" s="380" t="n">
        <x:v>29</x:v>
      </x:c>
      <x:c r="F3930" s="380" t="n">
        <x:v>6</x:v>
      </x:c>
      <x:c r="G3930" s="380" t="n">
        <x:f>--(F3930&lt;='Estimator'!$B$7)</x:f>
        <x:v>0</x:v>
      </x:c>
      <x:c r="H3930" s="381" t="n">
        <x:f>SUMIFS('Climate Data'!$G$7:$G$366,'Climate Data'!$A$7:$A$366,'Estimator'!$B$4,'Climate Data'!$B$7:$B$366,C3930)</x:f>
        <x:v>0.4160919540229885</x:v>
      </x:c>
      <x:c r="I3930" s="382" t="n">
        <x:f>SUMIFS('Climate Data'!$H$7:$H$366,'Climate Data'!$A$7:$A$366,'Estimator'!$B$4,'Climate Data'!$B$7:$B$366,C3930)</x:f>
        <x:v>8.019060773480662</x:v>
      </x:c>
      <x:c r="J3930" s="381" t="n">
        <x:f>SUMIFS('Wind Proxy'!$H$8:$H$19,'Wind Proxy'!$A$8:$A$19,'Estimator'!$B$4,'Wind Proxy'!$B$8:$B$19,C3930)</x:f>
        <x:v>0.22222222222222224</x:v>
      </x:c>
    </x:row>
    <x:row r="3931">
      <x:c r="A3931" s="379" t="n">
        <x:v>49582</x:v>
      </x:c>
      <x:c r="B3931" s="380" t="n">
        <x:v>2035</x:v>
      </x:c>
      <x:c r="C3931" s="380" t="n">
        <x:v>9</x:v>
      </x:c>
      <x:c r="D3931" s="380" t="str">
        <x:v>Sep</x:v>
      </x:c>
      <x:c r="E3931" s="380" t="n">
        <x:v>30</x:v>
      </x:c>
      <x:c r="F3931" s="380" t="n">
        <x:v>7</x:v>
      </x:c>
      <x:c r="G3931" s="380" t="n">
        <x:f>--(F3931&lt;='Estimator'!$B$7)</x:f>
        <x:v>0</x:v>
      </x:c>
      <x:c r="H3931" s="381" t="n">
        <x:f>SUMIFS('Climate Data'!$G$7:$G$366,'Climate Data'!$A$7:$A$366,'Estimator'!$B$4,'Climate Data'!$B$7:$B$366,C3931)</x:f>
        <x:v>0.4160919540229885</x:v>
      </x:c>
      <x:c r="I3931" s="382" t="n">
        <x:f>SUMIFS('Climate Data'!$H$7:$H$366,'Climate Data'!$A$7:$A$366,'Estimator'!$B$4,'Climate Data'!$B$7:$B$366,C3931)</x:f>
        <x:v>8.019060773480662</x:v>
      </x:c>
      <x:c r="J3931" s="381" t="n">
        <x:f>SUMIFS('Wind Proxy'!$H$8:$H$19,'Wind Proxy'!$A$8:$A$19,'Estimator'!$B$4,'Wind Proxy'!$B$8:$B$19,C3931)</x:f>
        <x:v>0.22222222222222224</x:v>
      </x:c>
    </x:row>
    <x:row r="3932">
      <x:c r="A3932" s="379" t="n">
        <x:v>49583</x:v>
      </x:c>
      <x:c r="B3932" s="380" t="n">
        <x:v>2035</x:v>
      </x:c>
      <x:c r="C3932" s="380" t="n">
        <x:v>10</x:v>
      </x:c>
      <x:c r="D3932" s="380" t="str">
        <x:v>Oct</x:v>
      </x:c>
      <x:c r="E3932" s="380" t="n">
        <x:v>1</x:v>
      </x:c>
      <x:c r="F3932" s="380" t="n">
        <x:v>1</x:v>
      </x:c>
      <x:c r="G3932" s="380" t="n">
        <x:f>--(F3932&lt;='Estimator'!$B$7)</x:f>
        <x:v>1</x:v>
      </x:c>
      <x:c r="H3932" s="381" t="n">
        <x:f>SUMIFS('Climate Data'!$G$7:$G$366,'Climate Data'!$A$7:$A$366,'Estimator'!$B$4,'Climate Data'!$B$7:$B$366,C3932)</x:f>
        <x:v>0.3721198156682028</x:v>
      </x:c>
      <x:c r="I3932" s="382" t="n">
        <x:f>SUMIFS('Climate Data'!$H$7:$H$366,'Climate Data'!$A$7:$A$366,'Estimator'!$B$4,'Climate Data'!$B$7:$B$366,C3932)</x:f>
        <x:v>7.940557275541795</x:v>
      </x:c>
      <x:c r="J3932" s="381" t="n">
        <x:f>SUMIFS('Wind Proxy'!$H$8:$H$19,'Wind Proxy'!$A$8:$A$19,'Estimator'!$B$4,'Wind Proxy'!$B$8:$B$19,C3932)</x:f>
        <x:v>0.21505376344086022</x:v>
      </x:c>
    </x:row>
    <x:row r="3933">
      <x:c r="A3933" s="379" t="n">
        <x:v>49584</x:v>
      </x:c>
      <x:c r="B3933" s="380" t="n">
        <x:v>2035</x:v>
      </x:c>
      <x:c r="C3933" s="380" t="n">
        <x:v>10</x:v>
      </x:c>
      <x:c r="D3933" s="380" t="str">
        <x:v>Oct</x:v>
      </x:c>
      <x:c r="E3933" s="380" t="n">
        <x:v>2</x:v>
      </x:c>
      <x:c r="F3933" s="380" t="n">
        <x:v>2</x:v>
      </x:c>
      <x:c r="G3933" s="380" t="n">
        <x:f>--(F3933&lt;='Estimator'!$B$7)</x:f>
        <x:v>1</x:v>
      </x:c>
      <x:c r="H3933" s="381" t="n">
        <x:f>SUMIFS('Climate Data'!$G$7:$G$366,'Climate Data'!$A$7:$A$366,'Estimator'!$B$4,'Climate Data'!$B$7:$B$366,C3933)</x:f>
        <x:v>0.3721198156682028</x:v>
      </x:c>
      <x:c r="I3933" s="382" t="n">
        <x:f>SUMIFS('Climate Data'!$H$7:$H$366,'Climate Data'!$A$7:$A$366,'Estimator'!$B$4,'Climate Data'!$B$7:$B$366,C3933)</x:f>
        <x:v>7.940557275541795</x:v>
      </x:c>
      <x:c r="J3933" s="381" t="n">
        <x:f>SUMIFS('Wind Proxy'!$H$8:$H$19,'Wind Proxy'!$A$8:$A$19,'Estimator'!$B$4,'Wind Proxy'!$B$8:$B$19,C3933)</x:f>
        <x:v>0.21505376344086022</x:v>
      </x:c>
    </x:row>
    <x:row r="3934">
      <x:c r="A3934" s="379" t="n">
        <x:v>49585</x:v>
      </x:c>
      <x:c r="B3934" s="380" t="n">
        <x:v>2035</x:v>
      </x:c>
      <x:c r="C3934" s="380" t="n">
        <x:v>10</x:v>
      </x:c>
      <x:c r="D3934" s="380" t="str">
        <x:v>Oct</x:v>
      </x:c>
      <x:c r="E3934" s="380" t="n">
        <x:v>3</x:v>
      </x:c>
      <x:c r="F3934" s="380" t="n">
        <x:v>3</x:v>
      </x:c>
      <x:c r="G3934" s="380" t="n">
        <x:f>--(F3934&lt;='Estimator'!$B$7)</x:f>
        <x:v>1</x:v>
      </x:c>
      <x:c r="H3934" s="381" t="n">
        <x:f>SUMIFS('Climate Data'!$G$7:$G$366,'Climate Data'!$A$7:$A$366,'Estimator'!$B$4,'Climate Data'!$B$7:$B$366,C3934)</x:f>
        <x:v>0.3721198156682028</x:v>
      </x:c>
      <x:c r="I3934" s="382" t="n">
        <x:f>SUMIFS('Climate Data'!$H$7:$H$366,'Climate Data'!$A$7:$A$366,'Estimator'!$B$4,'Climate Data'!$B$7:$B$366,C3934)</x:f>
        <x:v>7.940557275541795</x:v>
      </x:c>
      <x:c r="J3934" s="381" t="n">
        <x:f>SUMIFS('Wind Proxy'!$H$8:$H$19,'Wind Proxy'!$A$8:$A$19,'Estimator'!$B$4,'Wind Proxy'!$B$8:$B$19,C3934)</x:f>
        <x:v>0.21505376344086022</x:v>
      </x:c>
    </x:row>
    <x:row r="3935">
      <x:c r="A3935" s="379" t="n">
        <x:v>49586</x:v>
      </x:c>
      <x:c r="B3935" s="380" t="n">
        <x:v>2035</x:v>
      </x:c>
      <x:c r="C3935" s="380" t="n">
        <x:v>10</x:v>
      </x:c>
      <x:c r="D3935" s="380" t="str">
        <x:v>Oct</x:v>
      </x:c>
      <x:c r="E3935" s="380" t="n">
        <x:v>4</x:v>
      </x:c>
      <x:c r="F3935" s="380" t="n">
        <x:v>4</x:v>
      </x:c>
      <x:c r="G3935" s="380" t="n">
        <x:f>--(F3935&lt;='Estimator'!$B$7)</x:f>
        <x:v>1</x:v>
      </x:c>
      <x:c r="H3935" s="381" t="n">
        <x:f>SUMIFS('Climate Data'!$G$7:$G$366,'Climate Data'!$A$7:$A$366,'Estimator'!$B$4,'Climate Data'!$B$7:$B$366,C3935)</x:f>
        <x:v>0.3721198156682028</x:v>
      </x:c>
      <x:c r="I3935" s="382" t="n">
        <x:f>SUMIFS('Climate Data'!$H$7:$H$366,'Climate Data'!$A$7:$A$366,'Estimator'!$B$4,'Climate Data'!$B$7:$B$366,C3935)</x:f>
        <x:v>7.940557275541795</x:v>
      </x:c>
      <x:c r="J3935" s="381" t="n">
        <x:f>SUMIFS('Wind Proxy'!$H$8:$H$19,'Wind Proxy'!$A$8:$A$19,'Estimator'!$B$4,'Wind Proxy'!$B$8:$B$19,C3935)</x:f>
        <x:v>0.21505376344086022</x:v>
      </x:c>
    </x:row>
    <x:row r="3936">
      <x:c r="A3936" s="379" t="n">
        <x:v>49587</x:v>
      </x:c>
      <x:c r="B3936" s="380" t="n">
        <x:v>2035</x:v>
      </x:c>
      <x:c r="C3936" s="380" t="n">
        <x:v>10</x:v>
      </x:c>
      <x:c r="D3936" s="380" t="str">
        <x:v>Oct</x:v>
      </x:c>
      <x:c r="E3936" s="380" t="n">
        <x:v>5</x:v>
      </x:c>
      <x:c r="F3936" s="380" t="n">
        <x:v>5</x:v>
      </x:c>
      <x:c r="G3936" s="380" t="n">
        <x:f>--(F3936&lt;='Estimator'!$B$7)</x:f>
        <x:v>1</x:v>
      </x:c>
      <x:c r="H3936" s="381" t="n">
        <x:f>SUMIFS('Climate Data'!$G$7:$G$366,'Climate Data'!$A$7:$A$366,'Estimator'!$B$4,'Climate Data'!$B$7:$B$366,C3936)</x:f>
        <x:v>0.3721198156682028</x:v>
      </x:c>
      <x:c r="I3936" s="382" t="n">
        <x:f>SUMIFS('Climate Data'!$H$7:$H$366,'Climate Data'!$A$7:$A$366,'Estimator'!$B$4,'Climate Data'!$B$7:$B$366,C3936)</x:f>
        <x:v>7.940557275541795</x:v>
      </x:c>
      <x:c r="J3936" s="381" t="n">
        <x:f>SUMIFS('Wind Proxy'!$H$8:$H$19,'Wind Proxy'!$A$8:$A$19,'Estimator'!$B$4,'Wind Proxy'!$B$8:$B$19,C3936)</x:f>
        <x:v>0.21505376344086022</x:v>
      </x:c>
    </x:row>
    <x:row r="3937">
      <x:c r="A3937" s="379" t="n">
        <x:v>49588</x:v>
      </x:c>
      <x:c r="B3937" s="380" t="n">
        <x:v>2035</x:v>
      </x:c>
      <x:c r="C3937" s="380" t="n">
        <x:v>10</x:v>
      </x:c>
      <x:c r="D3937" s="380" t="str">
        <x:v>Oct</x:v>
      </x:c>
      <x:c r="E3937" s="380" t="n">
        <x:v>6</x:v>
      </x:c>
      <x:c r="F3937" s="380" t="n">
        <x:v>6</x:v>
      </x:c>
      <x:c r="G3937" s="380" t="n">
        <x:f>--(F3937&lt;='Estimator'!$B$7)</x:f>
        <x:v>0</x:v>
      </x:c>
      <x:c r="H3937" s="381" t="n">
        <x:f>SUMIFS('Climate Data'!$G$7:$G$366,'Climate Data'!$A$7:$A$366,'Estimator'!$B$4,'Climate Data'!$B$7:$B$366,C3937)</x:f>
        <x:v>0.3721198156682028</x:v>
      </x:c>
      <x:c r="I3937" s="382" t="n">
        <x:f>SUMIFS('Climate Data'!$H$7:$H$366,'Climate Data'!$A$7:$A$366,'Estimator'!$B$4,'Climate Data'!$B$7:$B$366,C3937)</x:f>
        <x:v>7.940557275541795</x:v>
      </x:c>
      <x:c r="J3937" s="381" t="n">
        <x:f>SUMIFS('Wind Proxy'!$H$8:$H$19,'Wind Proxy'!$A$8:$A$19,'Estimator'!$B$4,'Wind Proxy'!$B$8:$B$19,C3937)</x:f>
        <x:v>0.21505376344086022</x:v>
      </x:c>
    </x:row>
    <x:row r="3938">
      <x:c r="A3938" s="379" t="n">
        <x:v>49589</x:v>
      </x:c>
      <x:c r="B3938" s="380" t="n">
        <x:v>2035</x:v>
      </x:c>
      <x:c r="C3938" s="380" t="n">
        <x:v>10</x:v>
      </x:c>
      <x:c r="D3938" s="380" t="str">
        <x:v>Oct</x:v>
      </x:c>
      <x:c r="E3938" s="380" t="n">
        <x:v>7</x:v>
      </x:c>
      <x:c r="F3938" s="380" t="n">
        <x:v>7</x:v>
      </x:c>
      <x:c r="G3938" s="380" t="n">
        <x:f>--(F3938&lt;='Estimator'!$B$7)</x:f>
        <x:v>0</x:v>
      </x:c>
      <x:c r="H3938" s="381" t="n">
        <x:f>SUMIFS('Climate Data'!$G$7:$G$366,'Climate Data'!$A$7:$A$366,'Estimator'!$B$4,'Climate Data'!$B$7:$B$366,C3938)</x:f>
        <x:v>0.3721198156682028</x:v>
      </x:c>
      <x:c r="I3938" s="382" t="n">
        <x:f>SUMIFS('Climate Data'!$H$7:$H$366,'Climate Data'!$A$7:$A$366,'Estimator'!$B$4,'Climate Data'!$B$7:$B$366,C3938)</x:f>
        <x:v>7.940557275541795</x:v>
      </x:c>
      <x:c r="J3938" s="381" t="n">
        <x:f>SUMIFS('Wind Proxy'!$H$8:$H$19,'Wind Proxy'!$A$8:$A$19,'Estimator'!$B$4,'Wind Proxy'!$B$8:$B$19,C3938)</x:f>
        <x:v>0.21505376344086022</x:v>
      </x:c>
    </x:row>
    <x:row r="3939">
      <x:c r="A3939" s="379" t="n">
        <x:v>49590</x:v>
      </x:c>
      <x:c r="B3939" s="380" t="n">
        <x:v>2035</x:v>
      </x:c>
      <x:c r="C3939" s="380" t="n">
        <x:v>10</x:v>
      </x:c>
      <x:c r="D3939" s="380" t="str">
        <x:v>Oct</x:v>
      </x:c>
      <x:c r="E3939" s="380" t="n">
        <x:v>8</x:v>
      </x:c>
      <x:c r="F3939" s="380" t="n">
        <x:v>1</x:v>
      </x:c>
      <x:c r="G3939" s="380" t="n">
        <x:f>--(F3939&lt;='Estimator'!$B$7)</x:f>
        <x:v>1</x:v>
      </x:c>
      <x:c r="H3939" s="381" t="n">
        <x:f>SUMIFS('Climate Data'!$G$7:$G$366,'Climate Data'!$A$7:$A$366,'Estimator'!$B$4,'Climate Data'!$B$7:$B$366,C3939)</x:f>
        <x:v>0.3721198156682028</x:v>
      </x:c>
      <x:c r="I3939" s="382" t="n">
        <x:f>SUMIFS('Climate Data'!$H$7:$H$366,'Climate Data'!$A$7:$A$366,'Estimator'!$B$4,'Climate Data'!$B$7:$B$366,C3939)</x:f>
        <x:v>7.940557275541795</x:v>
      </x:c>
      <x:c r="J3939" s="381" t="n">
        <x:f>SUMIFS('Wind Proxy'!$H$8:$H$19,'Wind Proxy'!$A$8:$A$19,'Estimator'!$B$4,'Wind Proxy'!$B$8:$B$19,C3939)</x:f>
        <x:v>0.21505376344086022</x:v>
      </x:c>
    </x:row>
    <x:row r="3940">
      <x:c r="A3940" s="379" t="n">
        <x:v>49591</x:v>
      </x:c>
      <x:c r="B3940" s="380" t="n">
        <x:v>2035</x:v>
      </x:c>
      <x:c r="C3940" s="380" t="n">
        <x:v>10</x:v>
      </x:c>
      <x:c r="D3940" s="380" t="str">
        <x:v>Oct</x:v>
      </x:c>
      <x:c r="E3940" s="380" t="n">
        <x:v>9</x:v>
      </x:c>
      <x:c r="F3940" s="380" t="n">
        <x:v>2</x:v>
      </x:c>
      <x:c r="G3940" s="380" t="n">
        <x:f>--(F3940&lt;='Estimator'!$B$7)</x:f>
        <x:v>1</x:v>
      </x:c>
      <x:c r="H3940" s="381" t="n">
        <x:f>SUMIFS('Climate Data'!$G$7:$G$366,'Climate Data'!$A$7:$A$366,'Estimator'!$B$4,'Climate Data'!$B$7:$B$366,C3940)</x:f>
        <x:v>0.3721198156682028</x:v>
      </x:c>
      <x:c r="I3940" s="382" t="n">
        <x:f>SUMIFS('Climate Data'!$H$7:$H$366,'Climate Data'!$A$7:$A$366,'Estimator'!$B$4,'Climate Data'!$B$7:$B$366,C3940)</x:f>
        <x:v>7.940557275541795</x:v>
      </x:c>
      <x:c r="J3940" s="381" t="n">
        <x:f>SUMIFS('Wind Proxy'!$H$8:$H$19,'Wind Proxy'!$A$8:$A$19,'Estimator'!$B$4,'Wind Proxy'!$B$8:$B$19,C3940)</x:f>
        <x:v>0.21505376344086022</x:v>
      </x:c>
    </x:row>
    <x:row r="3941">
      <x:c r="A3941" s="379" t="n">
        <x:v>49592</x:v>
      </x:c>
      <x:c r="B3941" s="380" t="n">
        <x:v>2035</x:v>
      </x:c>
      <x:c r="C3941" s="380" t="n">
        <x:v>10</x:v>
      </x:c>
      <x:c r="D3941" s="380" t="str">
        <x:v>Oct</x:v>
      </x:c>
      <x:c r="E3941" s="380" t="n">
        <x:v>10</x:v>
      </x:c>
      <x:c r="F3941" s="380" t="n">
        <x:v>3</x:v>
      </x:c>
      <x:c r="G3941" s="380" t="n">
        <x:f>--(F3941&lt;='Estimator'!$B$7)</x:f>
        <x:v>1</x:v>
      </x:c>
      <x:c r="H3941" s="381" t="n">
        <x:f>SUMIFS('Climate Data'!$G$7:$G$366,'Climate Data'!$A$7:$A$366,'Estimator'!$B$4,'Climate Data'!$B$7:$B$366,C3941)</x:f>
        <x:v>0.3721198156682028</x:v>
      </x:c>
      <x:c r="I3941" s="382" t="n">
        <x:f>SUMIFS('Climate Data'!$H$7:$H$366,'Climate Data'!$A$7:$A$366,'Estimator'!$B$4,'Climate Data'!$B$7:$B$366,C3941)</x:f>
        <x:v>7.940557275541795</x:v>
      </x:c>
      <x:c r="J3941" s="381" t="n">
        <x:f>SUMIFS('Wind Proxy'!$H$8:$H$19,'Wind Proxy'!$A$8:$A$19,'Estimator'!$B$4,'Wind Proxy'!$B$8:$B$19,C3941)</x:f>
        <x:v>0.21505376344086022</x:v>
      </x:c>
    </x:row>
    <x:row r="3942">
      <x:c r="A3942" s="379" t="n">
        <x:v>49593</x:v>
      </x:c>
      <x:c r="B3942" s="380" t="n">
        <x:v>2035</x:v>
      </x:c>
      <x:c r="C3942" s="380" t="n">
        <x:v>10</x:v>
      </x:c>
      <x:c r="D3942" s="380" t="str">
        <x:v>Oct</x:v>
      </x:c>
      <x:c r="E3942" s="380" t="n">
        <x:v>11</x:v>
      </x:c>
      <x:c r="F3942" s="380" t="n">
        <x:v>4</x:v>
      </x:c>
      <x:c r="G3942" s="380" t="n">
        <x:f>--(F3942&lt;='Estimator'!$B$7)</x:f>
        <x:v>1</x:v>
      </x:c>
      <x:c r="H3942" s="381" t="n">
        <x:f>SUMIFS('Climate Data'!$G$7:$G$366,'Climate Data'!$A$7:$A$366,'Estimator'!$B$4,'Climate Data'!$B$7:$B$366,C3942)</x:f>
        <x:v>0.3721198156682028</x:v>
      </x:c>
      <x:c r="I3942" s="382" t="n">
        <x:f>SUMIFS('Climate Data'!$H$7:$H$366,'Climate Data'!$A$7:$A$366,'Estimator'!$B$4,'Climate Data'!$B$7:$B$366,C3942)</x:f>
        <x:v>7.940557275541795</x:v>
      </x:c>
      <x:c r="J3942" s="381" t="n">
        <x:f>SUMIFS('Wind Proxy'!$H$8:$H$19,'Wind Proxy'!$A$8:$A$19,'Estimator'!$B$4,'Wind Proxy'!$B$8:$B$19,C3942)</x:f>
        <x:v>0.21505376344086022</x:v>
      </x:c>
    </x:row>
    <x:row r="3943">
      <x:c r="A3943" s="379" t="n">
        <x:v>49594</x:v>
      </x:c>
      <x:c r="B3943" s="380" t="n">
        <x:v>2035</x:v>
      </x:c>
      <x:c r="C3943" s="380" t="n">
        <x:v>10</x:v>
      </x:c>
      <x:c r="D3943" s="380" t="str">
        <x:v>Oct</x:v>
      </x:c>
      <x:c r="E3943" s="380" t="n">
        <x:v>12</x:v>
      </x:c>
      <x:c r="F3943" s="380" t="n">
        <x:v>5</x:v>
      </x:c>
      <x:c r="G3943" s="380" t="n">
        <x:f>--(F3943&lt;='Estimator'!$B$7)</x:f>
        <x:v>1</x:v>
      </x:c>
      <x:c r="H3943" s="381" t="n">
        <x:f>SUMIFS('Climate Data'!$G$7:$G$366,'Climate Data'!$A$7:$A$366,'Estimator'!$B$4,'Climate Data'!$B$7:$B$366,C3943)</x:f>
        <x:v>0.3721198156682028</x:v>
      </x:c>
      <x:c r="I3943" s="382" t="n">
        <x:f>SUMIFS('Climate Data'!$H$7:$H$366,'Climate Data'!$A$7:$A$366,'Estimator'!$B$4,'Climate Data'!$B$7:$B$366,C3943)</x:f>
        <x:v>7.940557275541795</x:v>
      </x:c>
      <x:c r="J3943" s="381" t="n">
        <x:f>SUMIFS('Wind Proxy'!$H$8:$H$19,'Wind Proxy'!$A$8:$A$19,'Estimator'!$B$4,'Wind Proxy'!$B$8:$B$19,C3943)</x:f>
        <x:v>0.21505376344086022</x:v>
      </x:c>
    </x:row>
    <x:row r="3944">
      <x:c r="A3944" s="379" t="n">
        <x:v>49595</x:v>
      </x:c>
      <x:c r="B3944" s="380" t="n">
        <x:v>2035</x:v>
      </x:c>
      <x:c r="C3944" s="380" t="n">
        <x:v>10</x:v>
      </x:c>
      <x:c r="D3944" s="380" t="str">
        <x:v>Oct</x:v>
      </x:c>
      <x:c r="E3944" s="380" t="n">
        <x:v>13</x:v>
      </x:c>
      <x:c r="F3944" s="380" t="n">
        <x:v>6</x:v>
      </x:c>
      <x:c r="G3944" s="380" t="n">
        <x:f>--(F3944&lt;='Estimator'!$B$7)</x:f>
        <x:v>0</x:v>
      </x:c>
      <x:c r="H3944" s="381" t="n">
        <x:f>SUMIFS('Climate Data'!$G$7:$G$366,'Climate Data'!$A$7:$A$366,'Estimator'!$B$4,'Climate Data'!$B$7:$B$366,C3944)</x:f>
        <x:v>0.3721198156682028</x:v>
      </x:c>
      <x:c r="I3944" s="382" t="n">
        <x:f>SUMIFS('Climate Data'!$H$7:$H$366,'Climate Data'!$A$7:$A$366,'Estimator'!$B$4,'Climate Data'!$B$7:$B$366,C3944)</x:f>
        <x:v>7.940557275541795</x:v>
      </x:c>
      <x:c r="J3944" s="381" t="n">
        <x:f>SUMIFS('Wind Proxy'!$H$8:$H$19,'Wind Proxy'!$A$8:$A$19,'Estimator'!$B$4,'Wind Proxy'!$B$8:$B$19,C3944)</x:f>
        <x:v>0.21505376344086022</x:v>
      </x:c>
    </x:row>
    <x:row r="3945">
      <x:c r="A3945" s="379" t="n">
        <x:v>49596</x:v>
      </x:c>
      <x:c r="B3945" s="380" t="n">
        <x:v>2035</x:v>
      </x:c>
      <x:c r="C3945" s="380" t="n">
        <x:v>10</x:v>
      </x:c>
      <x:c r="D3945" s="380" t="str">
        <x:v>Oct</x:v>
      </x:c>
      <x:c r="E3945" s="380" t="n">
        <x:v>14</x:v>
      </x:c>
      <x:c r="F3945" s="380" t="n">
        <x:v>7</x:v>
      </x:c>
      <x:c r="G3945" s="380" t="n">
        <x:f>--(F3945&lt;='Estimator'!$B$7)</x:f>
        <x:v>0</x:v>
      </x:c>
      <x:c r="H3945" s="381" t="n">
        <x:f>SUMIFS('Climate Data'!$G$7:$G$366,'Climate Data'!$A$7:$A$366,'Estimator'!$B$4,'Climate Data'!$B$7:$B$366,C3945)</x:f>
        <x:v>0.3721198156682028</x:v>
      </x:c>
      <x:c r="I3945" s="382" t="n">
        <x:f>SUMIFS('Climate Data'!$H$7:$H$366,'Climate Data'!$A$7:$A$366,'Estimator'!$B$4,'Climate Data'!$B$7:$B$366,C3945)</x:f>
        <x:v>7.940557275541795</x:v>
      </x:c>
      <x:c r="J3945" s="381" t="n">
        <x:f>SUMIFS('Wind Proxy'!$H$8:$H$19,'Wind Proxy'!$A$8:$A$19,'Estimator'!$B$4,'Wind Proxy'!$B$8:$B$19,C3945)</x:f>
        <x:v>0.21505376344086022</x:v>
      </x:c>
    </x:row>
    <x:row r="3946">
      <x:c r="A3946" s="379" t="n">
        <x:v>49597</x:v>
      </x:c>
      <x:c r="B3946" s="380" t="n">
        <x:v>2035</x:v>
      </x:c>
      <x:c r="C3946" s="380" t="n">
        <x:v>10</x:v>
      </x:c>
      <x:c r="D3946" s="380" t="str">
        <x:v>Oct</x:v>
      </x:c>
      <x:c r="E3946" s="380" t="n">
        <x:v>15</x:v>
      </x:c>
      <x:c r="F3946" s="380" t="n">
        <x:v>1</x:v>
      </x:c>
      <x:c r="G3946" s="380" t="n">
        <x:f>--(F3946&lt;='Estimator'!$B$7)</x:f>
        <x:v>1</x:v>
      </x:c>
      <x:c r="H3946" s="381" t="n">
        <x:f>SUMIFS('Climate Data'!$G$7:$G$366,'Climate Data'!$A$7:$A$366,'Estimator'!$B$4,'Climate Data'!$B$7:$B$366,C3946)</x:f>
        <x:v>0.3721198156682028</x:v>
      </x:c>
      <x:c r="I3946" s="382" t="n">
        <x:f>SUMIFS('Climate Data'!$H$7:$H$366,'Climate Data'!$A$7:$A$366,'Estimator'!$B$4,'Climate Data'!$B$7:$B$366,C3946)</x:f>
        <x:v>7.940557275541795</x:v>
      </x:c>
      <x:c r="J3946" s="381" t="n">
        <x:f>SUMIFS('Wind Proxy'!$H$8:$H$19,'Wind Proxy'!$A$8:$A$19,'Estimator'!$B$4,'Wind Proxy'!$B$8:$B$19,C3946)</x:f>
        <x:v>0.21505376344086022</x:v>
      </x:c>
    </x:row>
    <x:row r="3947">
      <x:c r="A3947" s="379" t="n">
        <x:v>49598</x:v>
      </x:c>
      <x:c r="B3947" s="380" t="n">
        <x:v>2035</x:v>
      </x:c>
      <x:c r="C3947" s="380" t="n">
        <x:v>10</x:v>
      </x:c>
      <x:c r="D3947" s="380" t="str">
        <x:v>Oct</x:v>
      </x:c>
      <x:c r="E3947" s="380" t="n">
        <x:v>16</x:v>
      </x:c>
      <x:c r="F3947" s="380" t="n">
        <x:v>2</x:v>
      </x:c>
      <x:c r="G3947" s="380" t="n">
        <x:f>--(F3947&lt;='Estimator'!$B$7)</x:f>
        <x:v>1</x:v>
      </x:c>
      <x:c r="H3947" s="381" t="n">
        <x:f>SUMIFS('Climate Data'!$G$7:$G$366,'Climate Data'!$A$7:$A$366,'Estimator'!$B$4,'Climate Data'!$B$7:$B$366,C3947)</x:f>
        <x:v>0.3721198156682028</x:v>
      </x:c>
      <x:c r="I3947" s="382" t="n">
        <x:f>SUMIFS('Climate Data'!$H$7:$H$366,'Climate Data'!$A$7:$A$366,'Estimator'!$B$4,'Climate Data'!$B$7:$B$366,C3947)</x:f>
        <x:v>7.940557275541795</x:v>
      </x:c>
      <x:c r="J3947" s="381" t="n">
        <x:f>SUMIFS('Wind Proxy'!$H$8:$H$19,'Wind Proxy'!$A$8:$A$19,'Estimator'!$B$4,'Wind Proxy'!$B$8:$B$19,C3947)</x:f>
        <x:v>0.21505376344086022</x:v>
      </x:c>
    </x:row>
    <x:row r="3948">
      <x:c r="A3948" s="379" t="n">
        <x:v>49599</x:v>
      </x:c>
      <x:c r="B3948" s="380" t="n">
        <x:v>2035</x:v>
      </x:c>
      <x:c r="C3948" s="380" t="n">
        <x:v>10</x:v>
      </x:c>
      <x:c r="D3948" s="380" t="str">
        <x:v>Oct</x:v>
      </x:c>
      <x:c r="E3948" s="380" t="n">
        <x:v>17</x:v>
      </x:c>
      <x:c r="F3948" s="380" t="n">
        <x:v>3</x:v>
      </x:c>
      <x:c r="G3948" s="380" t="n">
        <x:f>--(F3948&lt;='Estimator'!$B$7)</x:f>
        <x:v>1</x:v>
      </x:c>
      <x:c r="H3948" s="381" t="n">
        <x:f>SUMIFS('Climate Data'!$G$7:$G$366,'Climate Data'!$A$7:$A$366,'Estimator'!$B$4,'Climate Data'!$B$7:$B$366,C3948)</x:f>
        <x:v>0.3721198156682028</x:v>
      </x:c>
      <x:c r="I3948" s="382" t="n">
        <x:f>SUMIFS('Climate Data'!$H$7:$H$366,'Climate Data'!$A$7:$A$366,'Estimator'!$B$4,'Climate Data'!$B$7:$B$366,C3948)</x:f>
        <x:v>7.940557275541795</x:v>
      </x:c>
      <x:c r="J3948" s="381" t="n">
        <x:f>SUMIFS('Wind Proxy'!$H$8:$H$19,'Wind Proxy'!$A$8:$A$19,'Estimator'!$B$4,'Wind Proxy'!$B$8:$B$19,C3948)</x:f>
        <x:v>0.21505376344086022</x:v>
      </x:c>
    </x:row>
    <x:row r="3949">
      <x:c r="A3949" s="379" t="n">
        <x:v>49600</x:v>
      </x:c>
      <x:c r="B3949" s="380" t="n">
        <x:v>2035</x:v>
      </x:c>
      <x:c r="C3949" s="380" t="n">
        <x:v>10</x:v>
      </x:c>
      <x:c r="D3949" s="380" t="str">
        <x:v>Oct</x:v>
      </x:c>
      <x:c r="E3949" s="380" t="n">
        <x:v>18</x:v>
      </x:c>
      <x:c r="F3949" s="380" t="n">
        <x:v>4</x:v>
      </x:c>
      <x:c r="G3949" s="380" t="n">
        <x:f>--(F3949&lt;='Estimator'!$B$7)</x:f>
        <x:v>1</x:v>
      </x:c>
      <x:c r="H3949" s="381" t="n">
        <x:f>SUMIFS('Climate Data'!$G$7:$G$366,'Climate Data'!$A$7:$A$366,'Estimator'!$B$4,'Climate Data'!$B$7:$B$366,C3949)</x:f>
        <x:v>0.3721198156682028</x:v>
      </x:c>
      <x:c r="I3949" s="382" t="n">
        <x:f>SUMIFS('Climate Data'!$H$7:$H$366,'Climate Data'!$A$7:$A$366,'Estimator'!$B$4,'Climate Data'!$B$7:$B$366,C3949)</x:f>
        <x:v>7.940557275541795</x:v>
      </x:c>
      <x:c r="J3949" s="381" t="n">
        <x:f>SUMIFS('Wind Proxy'!$H$8:$H$19,'Wind Proxy'!$A$8:$A$19,'Estimator'!$B$4,'Wind Proxy'!$B$8:$B$19,C3949)</x:f>
        <x:v>0.21505376344086022</x:v>
      </x:c>
    </x:row>
    <x:row r="3950">
      <x:c r="A3950" s="379" t="n">
        <x:v>49601</x:v>
      </x:c>
      <x:c r="B3950" s="380" t="n">
        <x:v>2035</x:v>
      </x:c>
      <x:c r="C3950" s="380" t="n">
        <x:v>10</x:v>
      </x:c>
      <x:c r="D3950" s="380" t="str">
        <x:v>Oct</x:v>
      </x:c>
      <x:c r="E3950" s="380" t="n">
        <x:v>19</x:v>
      </x:c>
      <x:c r="F3950" s="380" t="n">
        <x:v>5</x:v>
      </x:c>
      <x:c r="G3950" s="380" t="n">
        <x:f>--(F3950&lt;='Estimator'!$B$7)</x:f>
        <x:v>1</x:v>
      </x:c>
      <x:c r="H3950" s="381" t="n">
        <x:f>SUMIFS('Climate Data'!$G$7:$G$366,'Climate Data'!$A$7:$A$366,'Estimator'!$B$4,'Climate Data'!$B$7:$B$366,C3950)</x:f>
        <x:v>0.3721198156682028</x:v>
      </x:c>
      <x:c r="I3950" s="382" t="n">
        <x:f>SUMIFS('Climate Data'!$H$7:$H$366,'Climate Data'!$A$7:$A$366,'Estimator'!$B$4,'Climate Data'!$B$7:$B$366,C3950)</x:f>
        <x:v>7.940557275541795</x:v>
      </x:c>
      <x:c r="J3950" s="381" t="n">
        <x:f>SUMIFS('Wind Proxy'!$H$8:$H$19,'Wind Proxy'!$A$8:$A$19,'Estimator'!$B$4,'Wind Proxy'!$B$8:$B$19,C3950)</x:f>
        <x:v>0.21505376344086022</x:v>
      </x:c>
    </x:row>
    <x:row r="3951">
      <x:c r="A3951" s="379" t="n">
        <x:v>49602</x:v>
      </x:c>
      <x:c r="B3951" s="380" t="n">
        <x:v>2035</x:v>
      </x:c>
      <x:c r="C3951" s="380" t="n">
        <x:v>10</x:v>
      </x:c>
      <x:c r="D3951" s="380" t="str">
        <x:v>Oct</x:v>
      </x:c>
      <x:c r="E3951" s="380" t="n">
        <x:v>20</x:v>
      </x:c>
      <x:c r="F3951" s="380" t="n">
        <x:v>6</x:v>
      </x:c>
      <x:c r="G3951" s="380" t="n">
        <x:f>--(F3951&lt;='Estimator'!$B$7)</x:f>
        <x:v>0</x:v>
      </x:c>
      <x:c r="H3951" s="381" t="n">
        <x:f>SUMIFS('Climate Data'!$G$7:$G$366,'Climate Data'!$A$7:$A$366,'Estimator'!$B$4,'Climate Data'!$B$7:$B$366,C3951)</x:f>
        <x:v>0.3721198156682028</x:v>
      </x:c>
      <x:c r="I3951" s="382" t="n">
        <x:f>SUMIFS('Climate Data'!$H$7:$H$366,'Climate Data'!$A$7:$A$366,'Estimator'!$B$4,'Climate Data'!$B$7:$B$366,C3951)</x:f>
        <x:v>7.940557275541795</x:v>
      </x:c>
      <x:c r="J3951" s="381" t="n">
        <x:f>SUMIFS('Wind Proxy'!$H$8:$H$19,'Wind Proxy'!$A$8:$A$19,'Estimator'!$B$4,'Wind Proxy'!$B$8:$B$19,C3951)</x:f>
        <x:v>0.21505376344086022</x:v>
      </x:c>
    </x:row>
    <x:row r="3952">
      <x:c r="A3952" s="379" t="n">
        <x:v>49603</x:v>
      </x:c>
      <x:c r="B3952" s="380" t="n">
        <x:v>2035</x:v>
      </x:c>
      <x:c r="C3952" s="380" t="n">
        <x:v>10</x:v>
      </x:c>
      <x:c r="D3952" s="380" t="str">
        <x:v>Oct</x:v>
      </x:c>
      <x:c r="E3952" s="380" t="n">
        <x:v>21</x:v>
      </x:c>
      <x:c r="F3952" s="380" t="n">
        <x:v>7</x:v>
      </x:c>
      <x:c r="G3952" s="380" t="n">
        <x:f>--(F3952&lt;='Estimator'!$B$7)</x:f>
        <x:v>0</x:v>
      </x:c>
      <x:c r="H3952" s="381" t="n">
        <x:f>SUMIFS('Climate Data'!$G$7:$G$366,'Climate Data'!$A$7:$A$366,'Estimator'!$B$4,'Climate Data'!$B$7:$B$366,C3952)</x:f>
        <x:v>0.3721198156682028</x:v>
      </x:c>
      <x:c r="I3952" s="382" t="n">
        <x:f>SUMIFS('Climate Data'!$H$7:$H$366,'Climate Data'!$A$7:$A$366,'Estimator'!$B$4,'Climate Data'!$B$7:$B$366,C3952)</x:f>
        <x:v>7.940557275541795</x:v>
      </x:c>
      <x:c r="J3952" s="381" t="n">
        <x:f>SUMIFS('Wind Proxy'!$H$8:$H$19,'Wind Proxy'!$A$8:$A$19,'Estimator'!$B$4,'Wind Proxy'!$B$8:$B$19,C3952)</x:f>
        <x:v>0.21505376344086022</x:v>
      </x:c>
    </x:row>
    <x:row r="3953">
      <x:c r="A3953" s="379" t="n">
        <x:v>49604</x:v>
      </x:c>
      <x:c r="B3953" s="380" t="n">
        <x:v>2035</x:v>
      </x:c>
      <x:c r="C3953" s="380" t="n">
        <x:v>10</x:v>
      </x:c>
      <x:c r="D3953" s="380" t="str">
        <x:v>Oct</x:v>
      </x:c>
      <x:c r="E3953" s="380" t="n">
        <x:v>22</x:v>
      </x:c>
      <x:c r="F3953" s="380" t="n">
        <x:v>1</x:v>
      </x:c>
      <x:c r="G3953" s="380" t="n">
        <x:f>--(F3953&lt;='Estimator'!$B$7)</x:f>
        <x:v>1</x:v>
      </x:c>
      <x:c r="H3953" s="381" t="n">
        <x:f>SUMIFS('Climate Data'!$G$7:$G$366,'Climate Data'!$A$7:$A$366,'Estimator'!$B$4,'Climate Data'!$B$7:$B$366,C3953)</x:f>
        <x:v>0.3721198156682028</x:v>
      </x:c>
      <x:c r="I3953" s="382" t="n">
        <x:f>SUMIFS('Climate Data'!$H$7:$H$366,'Climate Data'!$A$7:$A$366,'Estimator'!$B$4,'Climate Data'!$B$7:$B$366,C3953)</x:f>
        <x:v>7.940557275541795</x:v>
      </x:c>
      <x:c r="J3953" s="381" t="n">
        <x:f>SUMIFS('Wind Proxy'!$H$8:$H$19,'Wind Proxy'!$A$8:$A$19,'Estimator'!$B$4,'Wind Proxy'!$B$8:$B$19,C3953)</x:f>
        <x:v>0.21505376344086022</x:v>
      </x:c>
    </x:row>
    <x:row r="3954">
      <x:c r="A3954" s="379" t="n">
        <x:v>49605</x:v>
      </x:c>
      <x:c r="B3954" s="380" t="n">
        <x:v>2035</x:v>
      </x:c>
      <x:c r="C3954" s="380" t="n">
        <x:v>10</x:v>
      </x:c>
      <x:c r="D3954" s="380" t="str">
        <x:v>Oct</x:v>
      </x:c>
      <x:c r="E3954" s="380" t="n">
        <x:v>23</x:v>
      </x:c>
      <x:c r="F3954" s="380" t="n">
        <x:v>2</x:v>
      </x:c>
      <x:c r="G3954" s="380" t="n">
        <x:f>--(F3954&lt;='Estimator'!$B$7)</x:f>
        <x:v>1</x:v>
      </x:c>
      <x:c r="H3954" s="381" t="n">
        <x:f>SUMIFS('Climate Data'!$G$7:$G$366,'Climate Data'!$A$7:$A$366,'Estimator'!$B$4,'Climate Data'!$B$7:$B$366,C3954)</x:f>
        <x:v>0.3721198156682028</x:v>
      </x:c>
      <x:c r="I3954" s="382" t="n">
        <x:f>SUMIFS('Climate Data'!$H$7:$H$366,'Climate Data'!$A$7:$A$366,'Estimator'!$B$4,'Climate Data'!$B$7:$B$366,C3954)</x:f>
        <x:v>7.940557275541795</x:v>
      </x:c>
      <x:c r="J3954" s="381" t="n">
        <x:f>SUMIFS('Wind Proxy'!$H$8:$H$19,'Wind Proxy'!$A$8:$A$19,'Estimator'!$B$4,'Wind Proxy'!$B$8:$B$19,C3954)</x:f>
        <x:v>0.21505376344086022</x:v>
      </x:c>
    </x:row>
    <x:row r="3955">
      <x:c r="A3955" s="379" t="n">
        <x:v>49606</x:v>
      </x:c>
      <x:c r="B3955" s="380" t="n">
        <x:v>2035</x:v>
      </x:c>
      <x:c r="C3955" s="380" t="n">
        <x:v>10</x:v>
      </x:c>
      <x:c r="D3955" s="380" t="str">
        <x:v>Oct</x:v>
      </x:c>
      <x:c r="E3955" s="380" t="n">
        <x:v>24</x:v>
      </x:c>
      <x:c r="F3955" s="380" t="n">
        <x:v>3</x:v>
      </x:c>
      <x:c r="G3955" s="380" t="n">
        <x:f>--(F3955&lt;='Estimator'!$B$7)</x:f>
        <x:v>1</x:v>
      </x:c>
      <x:c r="H3955" s="381" t="n">
        <x:f>SUMIFS('Climate Data'!$G$7:$G$366,'Climate Data'!$A$7:$A$366,'Estimator'!$B$4,'Climate Data'!$B$7:$B$366,C3955)</x:f>
        <x:v>0.3721198156682028</x:v>
      </x:c>
      <x:c r="I3955" s="382" t="n">
        <x:f>SUMIFS('Climate Data'!$H$7:$H$366,'Climate Data'!$A$7:$A$366,'Estimator'!$B$4,'Climate Data'!$B$7:$B$366,C3955)</x:f>
        <x:v>7.940557275541795</x:v>
      </x:c>
      <x:c r="J3955" s="381" t="n">
        <x:f>SUMIFS('Wind Proxy'!$H$8:$H$19,'Wind Proxy'!$A$8:$A$19,'Estimator'!$B$4,'Wind Proxy'!$B$8:$B$19,C3955)</x:f>
        <x:v>0.21505376344086022</x:v>
      </x:c>
    </x:row>
    <x:row r="3956">
      <x:c r="A3956" s="379" t="n">
        <x:v>49607</x:v>
      </x:c>
      <x:c r="B3956" s="380" t="n">
        <x:v>2035</x:v>
      </x:c>
      <x:c r="C3956" s="380" t="n">
        <x:v>10</x:v>
      </x:c>
      <x:c r="D3956" s="380" t="str">
        <x:v>Oct</x:v>
      </x:c>
      <x:c r="E3956" s="380" t="n">
        <x:v>25</x:v>
      </x:c>
      <x:c r="F3956" s="380" t="n">
        <x:v>4</x:v>
      </x:c>
      <x:c r="G3956" s="380" t="n">
        <x:f>--(F3956&lt;='Estimator'!$B$7)</x:f>
        <x:v>1</x:v>
      </x:c>
      <x:c r="H3956" s="381" t="n">
        <x:f>SUMIFS('Climate Data'!$G$7:$G$366,'Climate Data'!$A$7:$A$366,'Estimator'!$B$4,'Climate Data'!$B$7:$B$366,C3956)</x:f>
        <x:v>0.3721198156682028</x:v>
      </x:c>
      <x:c r="I3956" s="382" t="n">
        <x:f>SUMIFS('Climate Data'!$H$7:$H$366,'Climate Data'!$A$7:$A$366,'Estimator'!$B$4,'Climate Data'!$B$7:$B$366,C3956)</x:f>
        <x:v>7.940557275541795</x:v>
      </x:c>
      <x:c r="J3956" s="381" t="n">
        <x:f>SUMIFS('Wind Proxy'!$H$8:$H$19,'Wind Proxy'!$A$8:$A$19,'Estimator'!$B$4,'Wind Proxy'!$B$8:$B$19,C3956)</x:f>
        <x:v>0.21505376344086022</x:v>
      </x:c>
    </x:row>
    <x:row r="3957">
      <x:c r="A3957" s="379" t="n">
        <x:v>49608</x:v>
      </x:c>
      <x:c r="B3957" s="380" t="n">
        <x:v>2035</x:v>
      </x:c>
      <x:c r="C3957" s="380" t="n">
        <x:v>10</x:v>
      </x:c>
      <x:c r="D3957" s="380" t="str">
        <x:v>Oct</x:v>
      </x:c>
      <x:c r="E3957" s="380" t="n">
        <x:v>26</x:v>
      </x:c>
      <x:c r="F3957" s="380" t="n">
        <x:v>5</x:v>
      </x:c>
      <x:c r="G3957" s="380" t="n">
        <x:f>--(F3957&lt;='Estimator'!$B$7)</x:f>
        <x:v>1</x:v>
      </x:c>
      <x:c r="H3957" s="381" t="n">
        <x:f>SUMIFS('Climate Data'!$G$7:$G$366,'Climate Data'!$A$7:$A$366,'Estimator'!$B$4,'Climate Data'!$B$7:$B$366,C3957)</x:f>
        <x:v>0.3721198156682028</x:v>
      </x:c>
      <x:c r="I3957" s="382" t="n">
        <x:f>SUMIFS('Climate Data'!$H$7:$H$366,'Climate Data'!$A$7:$A$366,'Estimator'!$B$4,'Climate Data'!$B$7:$B$366,C3957)</x:f>
        <x:v>7.940557275541795</x:v>
      </x:c>
      <x:c r="J3957" s="381" t="n">
        <x:f>SUMIFS('Wind Proxy'!$H$8:$H$19,'Wind Proxy'!$A$8:$A$19,'Estimator'!$B$4,'Wind Proxy'!$B$8:$B$19,C3957)</x:f>
        <x:v>0.21505376344086022</x:v>
      </x:c>
    </x:row>
    <x:row r="3958">
      <x:c r="A3958" s="379" t="n">
        <x:v>49609</x:v>
      </x:c>
      <x:c r="B3958" s="380" t="n">
        <x:v>2035</x:v>
      </x:c>
      <x:c r="C3958" s="380" t="n">
        <x:v>10</x:v>
      </x:c>
      <x:c r="D3958" s="380" t="str">
        <x:v>Oct</x:v>
      </x:c>
      <x:c r="E3958" s="380" t="n">
        <x:v>27</x:v>
      </x:c>
      <x:c r="F3958" s="380" t="n">
        <x:v>6</x:v>
      </x:c>
      <x:c r="G3958" s="380" t="n">
        <x:f>--(F3958&lt;='Estimator'!$B$7)</x:f>
        <x:v>0</x:v>
      </x:c>
      <x:c r="H3958" s="381" t="n">
        <x:f>SUMIFS('Climate Data'!$G$7:$G$366,'Climate Data'!$A$7:$A$366,'Estimator'!$B$4,'Climate Data'!$B$7:$B$366,C3958)</x:f>
        <x:v>0.3721198156682028</x:v>
      </x:c>
      <x:c r="I3958" s="382" t="n">
        <x:f>SUMIFS('Climate Data'!$H$7:$H$366,'Climate Data'!$A$7:$A$366,'Estimator'!$B$4,'Climate Data'!$B$7:$B$366,C3958)</x:f>
        <x:v>7.940557275541795</x:v>
      </x:c>
      <x:c r="J3958" s="381" t="n">
        <x:f>SUMIFS('Wind Proxy'!$H$8:$H$19,'Wind Proxy'!$A$8:$A$19,'Estimator'!$B$4,'Wind Proxy'!$B$8:$B$19,C3958)</x:f>
        <x:v>0.21505376344086022</x:v>
      </x:c>
    </x:row>
    <x:row r="3959">
      <x:c r="A3959" s="379" t="n">
        <x:v>49610</x:v>
      </x:c>
      <x:c r="B3959" s="380" t="n">
        <x:v>2035</x:v>
      </x:c>
      <x:c r="C3959" s="380" t="n">
        <x:v>10</x:v>
      </x:c>
      <x:c r="D3959" s="380" t="str">
        <x:v>Oct</x:v>
      </x:c>
      <x:c r="E3959" s="380" t="n">
        <x:v>28</x:v>
      </x:c>
      <x:c r="F3959" s="380" t="n">
        <x:v>7</x:v>
      </x:c>
      <x:c r="G3959" s="380" t="n">
        <x:f>--(F3959&lt;='Estimator'!$B$7)</x:f>
        <x:v>0</x:v>
      </x:c>
      <x:c r="H3959" s="381" t="n">
        <x:f>SUMIFS('Climate Data'!$G$7:$G$366,'Climate Data'!$A$7:$A$366,'Estimator'!$B$4,'Climate Data'!$B$7:$B$366,C3959)</x:f>
        <x:v>0.3721198156682028</x:v>
      </x:c>
      <x:c r="I3959" s="382" t="n">
        <x:f>SUMIFS('Climate Data'!$H$7:$H$366,'Climate Data'!$A$7:$A$366,'Estimator'!$B$4,'Climate Data'!$B$7:$B$366,C3959)</x:f>
        <x:v>7.940557275541795</x:v>
      </x:c>
      <x:c r="J3959" s="381" t="n">
        <x:f>SUMIFS('Wind Proxy'!$H$8:$H$19,'Wind Proxy'!$A$8:$A$19,'Estimator'!$B$4,'Wind Proxy'!$B$8:$B$19,C3959)</x:f>
        <x:v>0.21505376344086022</x:v>
      </x:c>
    </x:row>
    <x:row r="3960">
      <x:c r="A3960" s="379" t="n">
        <x:v>49611</x:v>
      </x:c>
      <x:c r="B3960" s="380" t="n">
        <x:v>2035</x:v>
      </x:c>
      <x:c r="C3960" s="380" t="n">
        <x:v>10</x:v>
      </x:c>
      <x:c r="D3960" s="380" t="str">
        <x:v>Oct</x:v>
      </x:c>
      <x:c r="E3960" s="380" t="n">
        <x:v>29</x:v>
      </x:c>
      <x:c r="F3960" s="380" t="n">
        <x:v>1</x:v>
      </x:c>
      <x:c r="G3960" s="380" t="n">
        <x:f>--(F3960&lt;='Estimator'!$B$7)</x:f>
        <x:v>1</x:v>
      </x:c>
      <x:c r="H3960" s="381" t="n">
        <x:f>SUMIFS('Climate Data'!$G$7:$G$366,'Climate Data'!$A$7:$A$366,'Estimator'!$B$4,'Climate Data'!$B$7:$B$366,C3960)</x:f>
        <x:v>0.3721198156682028</x:v>
      </x:c>
      <x:c r="I3960" s="382" t="n">
        <x:f>SUMIFS('Climate Data'!$H$7:$H$366,'Climate Data'!$A$7:$A$366,'Estimator'!$B$4,'Climate Data'!$B$7:$B$366,C3960)</x:f>
        <x:v>7.940557275541795</x:v>
      </x:c>
      <x:c r="J3960" s="381" t="n">
        <x:f>SUMIFS('Wind Proxy'!$H$8:$H$19,'Wind Proxy'!$A$8:$A$19,'Estimator'!$B$4,'Wind Proxy'!$B$8:$B$19,C3960)</x:f>
        <x:v>0.21505376344086022</x:v>
      </x:c>
    </x:row>
    <x:row r="3961">
      <x:c r="A3961" s="379" t="n">
        <x:v>49612</x:v>
      </x:c>
      <x:c r="B3961" s="380" t="n">
        <x:v>2035</x:v>
      </x:c>
      <x:c r="C3961" s="380" t="n">
        <x:v>10</x:v>
      </x:c>
      <x:c r="D3961" s="380" t="str">
        <x:v>Oct</x:v>
      </x:c>
      <x:c r="E3961" s="380" t="n">
        <x:v>30</x:v>
      </x:c>
      <x:c r="F3961" s="380" t="n">
        <x:v>2</x:v>
      </x:c>
      <x:c r="G3961" s="380" t="n">
        <x:f>--(F3961&lt;='Estimator'!$B$7)</x:f>
        <x:v>1</x:v>
      </x:c>
      <x:c r="H3961" s="381" t="n">
        <x:f>SUMIFS('Climate Data'!$G$7:$G$366,'Climate Data'!$A$7:$A$366,'Estimator'!$B$4,'Climate Data'!$B$7:$B$366,C3961)</x:f>
        <x:v>0.3721198156682028</x:v>
      </x:c>
      <x:c r="I3961" s="382" t="n">
        <x:f>SUMIFS('Climate Data'!$H$7:$H$366,'Climate Data'!$A$7:$A$366,'Estimator'!$B$4,'Climate Data'!$B$7:$B$366,C3961)</x:f>
        <x:v>7.940557275541795</x:v>
      </x:c>
      <x:c r="J3961" s="381" t="n">
        <x:f>SUMIFS('Wind Proxy'!$H$8:$H$19,'Wind Proxy'!$A$8:$A$19,'Estimator'!$B$4,'Wind Proxy'!$B$8:$B$19,C3961)</x:f>
        <x:v>0.21505376344086022</x:v>
      </x:c>
    </x:row>
    <x:row r="3962">
      <x:c r="A3962" s="379" t="n">
        <x:v>49613</x:v>
      </x:c>
      <x:c r="B3962" s="380" t="n">
        <x:v>2035</x:v>
      </x:c>
      <x:c r="C3962" s="380" t="n">
        <x:v>10</x:v>
      </x:c>
      <x:c r="D3962" s="380" t="str">
        <x:v>Oct</x:v>
      </x:c>
      <x:c r="E3962" s="380" t="n">
        <x:v>31</x:v>
      </x:c>
      <x:c r="F3962" s="380" t="n">
        <x:v>3</x:v>
      </x:c>
      <x:c r="G3962" s="380" t="n">
        <x:f>--(F3962&lt;='Estimator'!$B$7)</x:f>
        <x:v>1</x:v>
      </x:c>
      <x:c r="H3962" s="381" t="n">
        <x:f>SUMIFS('Climate Data'!$G$7:$G$366,'Climate Data'!$A$7:$A$366,'Estimator'!$B$4,'Climate Data'!$B$7:$B$366,C3962)</x:f>
        <x:v>0.3721198156682028</x:v>
      </x:c>
      <x:c r="I3962" s="382" t="n">
        <x:f>SUMIFS('Climate Data'!$H$7:$H$366,'Climate Data'!$A$7:$A$366,'Estimator'!$B$4,'Climate Data'!$B$7:$B$366,C3962)</x:f>
        <x:v>7.940557275541795</x:v>
      </x:c>
      <x:c r="J3962" s="381" t="n">
        <x:f>SUMIFS('Wind Proxy'!$H$8:$H$19,'Wind Proxy'!$A$8:$A$19,'Estimator'!$B$4,'Wind Proxy'!$B$8:$B$19,C3962)</x:f>
        <x:v>0.21505376344086022</x:v>
      </x:c>
    </x:row>
    <x:row r="3963">
      <x:c r="A3963" s="379" t="n">
        <x:v>49614</x:v>
      </x:c>
      <x:c r="B3963" s="380" t="n">
        <x:v>2035</x:v>
      </x:c>
      <x:c r="C3963" s="380" t="n">
        <x:v>11</x:v>
      </x:c>
      <x:c r="D3963" s="380" t="str">
        <x:v>Nov</x:v>
      </x:c>
      <x:c r="E3963" s="380" t="n">
        <x:v>1</x:v>
      </x:c>
      <x:c r="F3963" s="380" t="n">
        <x:v>4</x:v>
      </x:c>
      <x:c r="G3963" s="380" t="n">
        <x:f>--(F3963&lt;='Estimator'!$B$7)</x:f>
        <x:v>1</x:v>
      </x:c>
      <x:c r="H3963" s="381" t="n">
        <x:f>SUMIFS('Climate Data'!$G$7:$G$366,'Climate Data'!$A$7:$A$366,'Estimator'!$B$4,'Climate Data'!$B$7:$B$366,C3963)</x:f>
        <x:v>0.3111111111111111</x:v>
      </x:c>
      <x:c r="I3963" s="382" t="n">
        <x:f>SUMIFS('Climate Data'!$H$7:$H$366,'Climate Data'!$A$7:$A$366,'Estimator'!$B$4,'Climate Data'!$B$7:$B$366,C3963)</x:f>
        <x:v>7.382142857142857</x:v>
      </x:c>
      <x:c r="J3963" s="381" t="n">
        <x:f>SUMIFS('Wind Proxy'!$H$8:$H$19,'Wind Proxy'!$A$8:$A$19,'Estimator'!$B$4,'Wind Proxy'!$B$8:$B$19,C3963)</x:f>
        <x:v>0.22222222222222224</x:v>
      </x:c>
    </x:row>
    <x:row r="3964">
      <x:c r="A3964" s="379" t="n">
        <x:v>49615</x:v>
      </x:c>
      <x:c r="B3964" s="380" t="n">
        <x:v>2035</x:v>
      </x:c>
      <x:c r="C3964" s="380" t="n">
        <x:v>11</x:v>
      </x:c>
      <x:c r="D3964" s="380" t="str">
        <x:v>Nov</x:v>
      </x:c>
      <x:c r="E3964" s="380" t="n">
        <x:v>2</x:v>
      </x:c>
      <x:c r="F3964" s="380" t="n">
        <x:v>5</x:v>
      </x:c>
      <x:c r="G3964" s="380" t="n">
        <x:f>--(F3964&lt;='Estimator'!$B$7)</x:f>
        <x:v>1</x:v>
      </x:c>
      <x:c r="H3964" s="381" t="n">
        <x:f>SUMIFS('Climate Data'!$G$7:$G$366,'Climate Data'!$A$7:$A$366,'Estimator'!$B$4,'Climate Data'!$B$7:$B$366,C3964)</x:f>
        <x:v>0.3111111111111111</x:v>
      </x:c>
      <x:c r="I3964" s="382" t="n">
        <x:f>SUMIFS('Climate Data'!$H$7:$H$366,'Climate Data'!$A$7:$A$366,'Estimator'!$B$4,'Climate Data'!$B$7:$B$366,C3964)</x:f>
        <x:v>7.382142857142857</x:v>
      </x:c>
      <x:c r="J3964" s="381" t="n">
        <x:f>SUMIFS('Wind Proxy'!$H$8:$H$19,'Wind Proxy'!$A$8:$A$19,'Estimator'!$B$4,'Wind Proxy'!$B$8:$B$19,C3964)</x:f>
        <x:v>0.22222222222222224</x:v>
      </x:c>
    </x:row>
    <x:row r="3965">
      <x:c r="A3965" s="379" t="n">
        <x:v>49616</x:v>
      </x:c>
      <x:c r="B3965" s="380" t="n">
        <x:v>2035</x:v>
      </x:c>
      <x:c r="C3965" s="380" t="n">
        <x:v>11</x:v>
      </x:c>
      <x:c r="D3965" s="380" t="str">
        <x:v>Nov</x:v>
      </x:c>
      <x:c r="E3965" s="380" t="n">
        <x:v>3</x:v>
      </x:c>
      <x:c r="F3965" s="380" t="n">
        <x:v>6</x:v>
      </x:c>
      <x:c r="G3965" s="380" t="n">
        <x:f>--(F3965&lt;='Estimator'!$B$7)</x:f>
        <x:v>0</x:v>
      </x:c>
      <x:c r="H3965" s="381" t="n">
        <x:f>SUMIFS('Climate Data'!$G$7:$G$366,'Climate Data'!$A$7:$A$366,'Estimator'!$B$4,'Climate Data'!$B$7:$B$366,C3965)</x:f>
        <x:v>0.3111111111111111</x:v>
      </x:c>
      <x:c r="I3965" s="382" t="n">
        <x:f>SUMIFS('Climate Data'!$H$7:$H$366,'Climate Data'!$A$7:$A$366,'Estimator'!$B$4,'Climate Data'!$B$7:$B$366,C3965)</x:f>
        <x:v>7.382142857142857</x:v>
      </x:c>
      <x:c r="J3965" s="381" t="n">
        <x:f>SUMIFS('Wind Proxy'!$H$8:$H$19,'Wind Proxy'!$A$8:$A$19,'Estimator'!$B$4,'Wind Proxy'!$B$8:$B$19,C3965)</x:f>
        <x:v>0.22222222222222224</x:v>
      </x:c>
    </x:row>
    <x:row r="3966">
      <x:c r="A3966" s="379" t="n">
        <x:v>49617</x:v>
      </x:c>
      <x:c r="B3966" s="380" t="n">
        <x:v>2035</x:v>
      </x:c>
      <x:c r="C3966" s="380" t="n">
        <x:v>11</x:v>
      </x:c>
      <x:c r="D3966" s="380" t="str">
        <x:v>Nov</x:v>
      </x:c>
      <x:c r="E3966" s="380" t="n">
        <x:v>4</x:v>
      </x:c>
      <x:c r="F3966" s="380" t="n">
        <x:v>7</x:v>
      </x:c>
      <x:c r="G3966" s="380" t="n">
        <x:f>--(F3966&lt;='Estimator'!$B$7)</x:f>
        <x:v>0</x:v>
      </x:c>
      <x:c r="H3966" s="381" t="n">
        <x:f>SUMIFS('Climate Data'!$G$7:$G$366,'Climate Data'!$A$7:$A$366,'Estimator'!$B$4,'Climate Data'!$B$7:$B$366,C3966)</x:f>
        <x:v>0.3111111111111111</x:v>
      </x:c>
      <x:c r="I3966" s="382" t="n">
        <x:f>SUMIFS('Climate Data'!$H$7:$H$366,'Climate Data'!$A$7:$A$366,'Estimator'!$B$4,'Climate Data'!$B$7:$B$366,C3966)</x:f>
        <x:v>7.382142857142857</x:v>
      </x:c>
      <x:c r="J3966" s="381" t="n">
        <x:f>SUMIFS('Wind Proxy'!$H$8:$H$19,'Wind Proxy'!$A$8:$A$19,'Estimator'!$B$4,'Wind Proxy'!$B$8:$B$19,C3966)</x:f>
        <x:v>0.22222222222222224</x:v>
      </x:c>
    </x:row>
    <x:row r="3967">
      <x:c r="A3967" s="379" t="n">
        <x:v>49618</x:v>
      </x:c>
      <x:c r="B3967" s="380" t="n">
        <x:v>2035</x:v>
      </x:c>
      <x:c r="C3967" s="380" t="n">
        <x:v>11</x:v>
      </x:c>
      <x:c r="D3967" s="380" t="str">
        <x:v>Nov</x:v>
      </x:c>
      <x:c r="E3967" s="380" t="n">
        <x:v>5</x:v>
      </x:c>
      <x:c r="F3967" s="380" t="n">
        <x:v>1</x:v>
      </x:c>
      <x:c r="G3967" s="380" t="n">
        <x:f>--(F3967&lt;='Estimator'!$B$7)</x:f>
        <x:v>1</x:v>
      </x:c>
      <x:c r="H3967" s="381" t="n">
        <x:f>SUMIFS('Climate Data'!$G$7:$G$366,'Climate Data'!$A$7:$A$366,'Estimator'!$B$4,'Climate Data'!$B$7:$B$366,C3967)</x:f>
        <x:v>0.3111111111111111</x:v>
      </x:c>
      <x:c r="I3967" s="382" t="n">
        <x:f>SUMIFS('Climate Data'!$H$7:$H$366,'Climate Data'!$A$7:$A$366,'Estimator'!$B$4,'Climate Data'!$B$7:$B$366,C3967)</x:f>
        <x:v>7.382142857142857</x:v>
      </x:c>
      <x:c r="J3967" s="381" t="n">
        <x:f>SUMIFS('Wind Proxy'!$H$8:$H$19,'Wind Proxy'!$A$8:$A$19,'Estimator'!$B$4,'Wind Proxy'!$B$8:$B$19,C3967)</x:f>
        <x:v>0.22222222222222224</x:v>
      </x:c>
    </x:row>
    <x:row r="3968">
      <x:c r="A3968" s="379" t="n">
        <x:v>49619</x:v>
      </x:c>
      <x:c r="B3968" s="380" t="n">
        <x:v>2035</x:v>
      </x:c>
      <x:c r="C3968" s="380" t="n">
        <x:v>11</x:v>
      </x:c>
      <x:c r="D3968" s="380" t="str">
        <x:v>Nov</x:v>
      </x:c>
      <x:c r="E3968" s="380" t="n">
        <x:v>6</x:v>
      </x:c>
      <x:c r="F3968" s="380" t="n">
        <x:v>2</x:v>
      </x:c>
      <x:c r="G3968" s="380" t="n">
        <x:f>--(F3968&lt;='Estimator'!$B$7)</x:f>
        <x:v>1</x:v>
      </x:c>
      <x:c r="H3968" s="381" t="n">
        <x:f>SUMIFS('Climate Data'!$G$7:$G$366,'Climate Data'!$A$7:$A$366,'Estimator'!$B$4,'Climate Data'!$B$7:$B$366,C3968)</x:f>
        <x:v>0.3111111111111111</x:v>
      </x:c>
      <x:c r="I3968" s="382" t="n">
        <x:f>SUMIFS('Climate Data'!$H$7:$H$366,'Climate Data'!$A$7:$A$366,'Estimator'!$B$4,'Climate Data'!$B$7:$B$366,C3968)</x:f>
        <x:v>7.382142857142857</x:v>
      </x:c>
      <x:c r="J3968" s="381" t="n">
        <x:f>SUMIFS('Wind Proxy'!$H$8:$H$19,'Wind Proxy'!$A$8:$A$19,'Estimator'!$B$4,'Wind Proxy'!$B$8:$B$19,C3968)</x:f>
        <x:v>0.22222222222222224</x:v>
      </x:c>
    </x:row>
    <x:row r="3969">
      <x:c r="A3969" s="379" t="n">
        <x:v>49620</x:v>
      </x:c>
      <x:c r="B3969" s="380" t="n">
        <x:v>2035</x:v>
      </x:c>
      <x:c r="C3969" s="380" t="n">
        <x:v>11</x:v>
      </x:c>
      <x:c r="D3969" s="380" t="str">
        <x:v>Nov</x:v>
      </x:c>
      <x:c r="E3969" s="380" t="n">
        <x:v>7</x:v>
      </x:c>
      <x:c r="F3969" s="380" t="n">
        <x:v>3</x:v>
      </x:c>
      <x:c r="G3969" s="380" t="n">
        <x:f>--(F3969&lt;='Estimator'!$B$7)</x:f>
        <x:v>1</x:v>
      </x:c>
      <x:c r="H3969" s="381" t="n">
        <x:f>SUMIFS('Climate Data'!$G$7:$G$366,'Climate Data'!$A$7:$A$366,'Estimator'!$B$4,'Climate Data'!$B$7:$B$366,C3969)</x:f>
        <x:v>0.3111111111111111</x:v>
      </x:c>
      <x:c r="I3969" s="382" t="n">
        <x:f>SUMIFS('Climate Data'!$H$7:$H$366,'Climate Data'!$A$7:$A$366,'Estimator'!$B$4,'Climate Data'!$B$7:$B$366,C3969)</x:f>
        <x:v>7.382142857142857</x:v>
      </x:c>
      <x:c r="J3969" s="381" t="n">
        <x:f>SUMIFS('Wind Proxy'!$H$8:$H$19,'Wind Proxy'!$A$8:$A$19,'Estimator'!$B$4,'Wind Proxy'!$B$8:$B$19,C3969)</x:f>
        <x:v>0.22222222222222224</x:v>
      </x:c>
    </x:row>
    <x:row r="3970">
      <x:c r="A3970" s="379" t="n">
        <x:v>49621</x:v>
      </x:c>
      <x:c r="B3970" s="380" t="n">
        <x:v>2035</x:v>
      </x:c>
      <x:c r="C3970" s="380" t="n">
        <x:v>11</x:v>
      </x:c>
      <x:c r="D3970" s="380" t="str">
        <x:v>Nov</x:v>
      </x:c>
      <x:c r="E3970" s="380" t="n">
        <x:v>8</x:v>
      </x:c>
      <x:c r="F3970" s="380" t="n">
        <x:v>4</x:v>
      </x:c>
      <x:c r="G3970" s="380" t="n">
        <x:f>--(F3970&lt;='Estimator'!$B$7)</x:f>
        <x:v>1</x:v>
      </x:c>
      <x:c r="H3970" s="381" t="n">
        <x:f>SUMIFS('Climate Data'!$G$7:$G$366,'Climate Data'!$A$7:$A$366,'Estimator'!$B$4,'Climate Data'!$B$7:$B$366,C3970)</x:f>
        <x:v>0.3111111111111111</x:v>
      </x:c>
      <x:c r="I3970" s="382" t="n">
        <x:f>SUMIFS('Climate Data'!$H$7:$H$366,'Climate Data'!$A$7:$A$366,'Estimator'!$B$4,'Climate Data'!$B$7:$B$366,C3970)</x:f>
        <x:v>7.382142857142857</x:v>
      </x:c>
      <x:c r="J3970" s="381" t="n">
        <x:f>SUMIFS('Wind Proxy'!$H$8:$H$19,'Wind Proxy'!$A$8:$A$19,'Estimator'!$B$4,'Wind Proxy'!$B$8:$B$19,C3970)</x:f>
        <x:v>0.22222222222222224</x:v>
      </x:c>
    </x:row>
    <x:row r="3971">
      <x:c r="A3971" s="379" t="n">
        <x:v>49622</x:v>
      </x:c>
      <x:c r="B3971" s="380" t="n">
        <x:v>2035</x:v>
      </x:c>
      <x:c r="C3971" s="380" t="n">
        <x:v>11</x:v>
      </x:c>
      <x:c r="D3971" s="380" t="str">
        <x:v>Nov</x:v>
      </x:c>
      <x:c r="E3971" s="380" t="n">
        <x:v>9</x:v>
      </x:c>
      <x:c r="F3971" s="380" t="n">
        <x:v>5</x:v>
      </x:c>
      <x:c r="G3971" s="380" t="n">
        <x:f>--(F3971&lt;='Estimator'!$B$7)</x:f>
        <x:v>1</x:v>
      </x:c>
      <x:c r="H3971" s="381" t="n">
        <x:f>SUMIFS('Climate Data'!$G$7:$G$366,'Climate Data'!$A$7:$A$366,'Estimator'!$B$4,'Climate Data'!$B$7:$B$366,C3971)</x:f>
        <x:v>0.3111111111111111</x:v>
      </x:c>
      <x:c r="I3971" s="382" t="n">
        <x:f>SUMIFS('Climate Data'!$H$7:$H$366,'Climate Data'!$A$7:$A$366,'Estimator'!$B$4,'Climate Data'!$B$7:$B$366,C3971)</x:f>
        <x:v>7.382142857142857</x:v>
      </x:c>
      <x:c r="J3971" s="381" t="n">
        <x:f>SUMIFS('Wind Proxy'!$H$8:$H$19,'Wind Proxy'!$A$8:$A$19,'Estimator'!$B$4,'Wind Proxy'!$B$8:$B$19,C3971)</x:f>
        <x:v>0.22222222222222224</x:v>
      </x:c>
    </x:row>
    <x:row r="3972">
      <x:c r="A3972" s="379" t="n">
        <x:v>49623</x:v>
      </x:c>
      <x:c r="B3972" s="380" t="n">
        <x:v>2035</x:v>
      </x:c>
      <x:c r="C3972" s="380" t="n">
        <x:v>11</x:v>
      </x:c>
      <x:c r="D3972" s="380" t="str">
        <x:v>Nov</x:v>
      </x:c>
      <x:c r="E3972" s="380" t="n">
        <x:v>10</x:v>
      </x:c>
      <x:c r="F3972" s="380" t="n">
        <x:v>6</x:v>
      </x:c>
      <x:c r="G3972" s="380" t="n">
        <x:f>--(F3972&lt;='Estimator'!$B$7)</x:f>
        <x:v>0</x:v>
      </x:c>
      <x:c r="H3972" s="381" t="n">
        <x:f>SUMIFS('Climate Data'!$G$7:$G$366,'Climate Data'!$A$7:$A$366,'Estimator'!$B$4,'Climate Data'!$B$7:$B$366,C3972)</x:f>
        <x:v>0.3111111111111111</x:v>
      </x:c>
      <x:c r="I3972" s="382" t="n">
        <x:f>SUMIFS('Climate Data'!$H$7:$H$366,'Climate Data'!$A$7:$A$366,'Estimator'!$B$4,'Climate Data'!$B$7:$B$366,C3972)</x:f>
        <x:v>7.382142857142857</x:v>
      </x:c>
      <x:c r="J3972" s="381" t="n">
        <x:f>SUMIFS('Wind Proxy'!$H$8:$H$19,'Wind Proxy'!$A$8:$A$19,'Estimator'!$B$4,'Wind Proxy'!$B$8:$B$19,C3972)</x:f>
        <x:v>0.22222222222222224</x:v>
      </x:c>
    </x:row>
    <x:row r="3973">
      <x:c r="A3973" s="379" t="n">
        <x:v>49624</x:v>
      </x:c>
      <x:c r="B3973" s="380" t="n">
        <x:v>2035</x:v>
      </x:c>
      <x:c r="C3973" s="380" t="n">
        <x:v>11</x:v>
      </x:c>
      <x:c r="D3973" s="380" t="str">
        <x:v>Nov</x:v>
      </x:c>
      <x:c r="E3973" s="380" t="n">
        <x:v>11</x:v>
      </x:c>
      <x:c r="F3973" s="380" t="n">
        <x:v>7</x:v>
      </x:c>
      <x:c r="G3973" s="380" t="n">
        <x:f>--(F3973&lt;='Estimator'!$B$7)</x:f>
        <x:v>0</x:v>
      </x:c>
      <x:c r="H3973" s="381" t="n">
        <x:f>SUMIFS('Climate Data'!$G$7:$G$366,'Climate Data'!$A$7:$A$366,'Estimator'!$B$4,'Climate Data'!$B$7:$B$366,C3973)</x:f>
        <x:v>0.3111111111111111</x:v>
      </x:c>
      <x:c r="I3973" s="382" t="n">
        <x:f>SUMIFS('Climate Data'!$H$7:$H$366,'Climate Data'!$A$7:$A$366,'Estimator'!$B$4,'Climate Data'!$B$7:$B$366,C3973)</x:f>
        <x:v>7.382142857142857</x:v>
      </x:c>
      <x:c r="J3973" s="381" t="n">
        <x:f>SUMIFS('Wind Proxy'!$H$8:$H$19,'Wind Proxy'!$A$8:$A$19,'Estimator'!$B$4,'Wind Proxy'!$B$8:$B$19,C3973)</x:f>
        <x:v>0.22222222222222224</x:v>
      </x:c>
    </x:row>
    <x:row r="3974">
      <x:c r="A3974" s="379" t="n">
        <x:v>49625</x:v>
      </x:c>
      <x:c r="B3974" s="380" t="n">
        <x:v>2035</x:v>
      </x:c>
      <x:c r="C3974" s="380" t="n">
        <x:v>11</x:v>
      </x:c>
      <x:c r="D3974" s="380" t="str">
        <x:v>Nov</x:v>
      </x:c>
      <x:c r="E3974" s="380" t="n">
        <x:v>12</x:v>
      </x:c>
      <x:c r="F3974" s="380" t="n">
        <x:v>1</x:v>
      </x:c>
      <x:c r="G3974" s="380" t="n">
        <x:f>--(F3974&lt;='Estimator'!$B$7)</x:f>
        <x:v>1</x:v>
      </x:c>
      <x:c r="H3974" s="381" t="n">
        <x:f>SUMIFS('Climate Data'!$G$7:$G$366,'Climate Data'!$A$7:$A$366,'Estimator'!$B$4,'Climate Data'!$B$7:$B$366,C3974)</x:f>
        <x:v>0.3111111111111111</x:v>
      </x:c>
      <x:c r="I3974" s="382" t="n">
        <x:f>SUMIFS('Climate Data'!$H$7:$H$366,'Climate Data'!$A$7:$A$366,'Estimator'!$B$4,'Climate Data'!$B$7:$B$366,C3974)</x:f>
        <x:v>7.382142857142857</x:v>
      </x:c>
      <x:c r="J3974" s="381" t="n">
        <x:f>SUMIFS('Wind Proxy'!$H$8:$H$19,'Wind Proxy'!$A$8:$A$19,'Estimator'!$B$4,'Wind Proxy'!$B$8:$B$19,C3974)</x:f>
        <x:v>0.22222222222222224</x:v>
      </x:c>
    </x:row>
    <x:row r="3975">
      <x:c r="A3975" s="379" t="n">
        <x:v>49626</x:v>
      </x:c>
      <x:c r="B3975" s="380" t="n">
        <x:v>2035</x:v>
      </x:c>
      <x:c r="C3975" s="380" t="n">
        <x:v>11</x:v>
      </x:c>
      <x:c r="D3975" s="380" t="str">
        <x:v>Nov</x:v>
      </x:c>
      <x:c r="E3975" s="380" t="n">
        <x:v>13</x:v>
      </x:c>
      <x:c r="F3975" s="380" t="n">
        <x:v>2</x:v>
      </x:c>
      <x:c r="G3975" s="380" t="n">
        <x:f>--(F3975&lt;='Estimator'!$B$7)</x:f>
        <x:v>1</x:v>
      </x:c>
      <x:c r="H3975" s="381" t="n">
        <x:f>SUMIFS('Climate Data'!$G$7:$G$366,'Climate Data'!$A$7:$A$366,'Estimator'!$B$4,'Climate Data'!$B$7:$B$366,C3975)</x:f>
        <x:v>0.3111111111111111</x:v>
      </x:c>
      <x:c r="I3975" s="382" t="n">
        <x:f>SUMIFS('Climate Data'!$H$7:$H$366,'Climate Data'!$A$7:$A$366,'Estimator'!$B$4,'Climate Data'!$B$7:$B$366,C3975)</x:f>
        <x:v>7.382142857142857</x:v>
      </x:c>
      <x:c r="J3975" s="381" t="n">
        <x:f>SUMIFS('Wind Proxy'!$H$8:$H$19,'Wind Proxy'!$A$8:$A$19,'Estimator'!$B$4,'Wind Proxy'!$B$8:$B$19,C3975)</x:f>
        <x:v>0.22222222222222224</x:v>
      </x:c>
    </x:row>
    <x:row r="3976">
      <x:c r="A3976" s="379" t="n">
        <x:v>49627</x:v>
      </x:c>
      <x:c r="B3976" s="380" t="n">
        <x:v>2035</x:v>
      </x:c>
      <x:c r="C3976" s="380" t="n">
        <x:v>11</x:v>
      </x:c>
      <x:c r="D3976" s="380" t="str">
        <x:v>Nov</x:v>
      </x:c>
      <x:c r="E3976" s="380" t="n">
        <x:v>14</x:v>
      </x:c>
      <x:c r="F3976" s="380" t="n">
        <x:v>3</x:v>
      </x:c>
      <x:c r="G3976" s="380" t="n">
        <x:f>--(F3976&lt;='Estimator'!$B$7)</x:f>
        <x:v>1</x:v>
      </x:c>
      <x:c r="H3976" s="381" t="n">
        <x:f>SUMIFS('Climate Data'!$G$7:$G$366,'Climate Data'!$A$7:$A$366,'Estimator'!$B$4,'Climate Data'!$B$7:$B$366,C3976)</x:f>
        <x:v>0.3111111111111111</x:v>
      </x:c>
      <x:c r="I3976" s="382" t="n">
        <x:f>SUMIFS('Climate Data'!$H$7:$H$366,'Climate Data'!$A$7:$A$366,'Estimator'!$B$4,'Climate Data'!$B$7:$B$366,C3976)</x:f>
        <x:v>7.382142857142857</x:v>
      </x:c>
      <x:c r="J3976" s="381" t="n">
        <x:f>SUMIFS('Wind Proxy'!$H$8:$H$19,'Wind Proxy'!$A$8:$A$19,'Estimator'!$B$4,'Wind Proxy'!$B$8:$B$19,C3976)</x:f>
        <x:v>0.22222222222222224</x:v>
      </x:c>
    </x:row>
    <x:row r="3977">
      <x:c r="A3977" s="379" t="n">
        <x:v>49628</x:v>
      </x:c>
      <x:c r="B3977" s="380" t="n">
        <x:v>2035</x:v>
      </x:c>
      <x:c r="C3977" s="380" t="n">
        <x:v>11</x:v>
      </x:c>
      <x:c r="D3977" s="380" t="str">
        <x:v>Nov</x:v>
      </x:c>
      <x:c r="E3977" s="380" t="n">
        <x:v>15</x:v>
      </x:c>
      <x:c r="F3977" s="380" t="n">
        <x:v>4</x:v>
      </x:c>
      <x:c r="G3977" s="380" t="n">
        <x:f>--(F3977&lt;='Estimator'!$B$7)</x:f>
        <x:v>1</x:v>
      </x:c>
      <x:c r="H3977" s="381" t="n">
        <x:f>SUMIFS('Climate Data'!$G$7:$G$366,'Climate Data'!$A$7:$A$366,'Estimator'!$B$4,'Climate Data'!$B$7:$B$366,C3977)</x:f>
        <x:v>0.3111111111111111</x:v>
      </x:c>
      <x:c r="I3977" s="382" t="n">
        <x:f>SUMIFS('Climate Data'!$H$7:$H$366,'Climate Data'!$A$7:$A$366,'Estimator'!$B$4,'Climate Data'!$B$7:$B$366,C3977)</x:f>
        <x:v>7.382142857142857</x:v>
      </x:c>
      <x:c r="J3977" s="381" t="n">
        <x:f>SUMIFS('Wind Proxy'!$H$8:$H$19,'Wind Proxy'!$A$8:$A$19,'Estimator'!$B$4,'Wind Proxy'!$B$8:$B$19,C3977)</x:f>
        <x:v>0.22222222222222224</x:v>
      </x:c>
    </x:row>
    <x:row r="3978">
      <x:c r="A3978" s="379" t="n">
        <x:v>49629</x:v>
      </x:c>
      <x:c r="B3978" s="380" t="n">
        <x:v>2035</x:v>
      </x:c>
      <x:c r="C3978" s="380" t="n">
        <x:v>11</x:v>
      </x:c>
      <x:c r="D3978" s="380" t="str">
        <x:v>Nov</x:v>
      </x:c>
      <x:c r="E3978" s="380" t="n">
        <x:v>16</x:v>
      </x:c>
      <x:c r="F3978" s="380" t="n">
        <x:v>5</x:v>
      </x:c>
      <x:c r="G3978" s="380" t="n">
        <x:f>--(F3978&lt;='Estimator'!$B$7)</x:f>
        <x:v>1</x:v>
      </x:c>
      <x:c r="H3978" s="381" t="n">
        <x:f>SUMIFS('Climate Data'!$G$7:$G$366,'Climate Data'!$A$7:$A$366,'Estimator'!$B$4,'Climate Data'!$B$7:$B$366,C3978)</x:f>
        <x:v>0.3111111111111111</x:v>
      </x:c>
      <x:c r="I3978" s="382" t="n">
        <x:f>SUMIFS('Climate Data'!$H$7:$H$366,'Climate Data'!$A$7:$A$366,'Estimator'!$B$4,'Climate Data'!$B$7:$B$366,C3978)</x:f>
        <x:v>7.382142857142857</x:v>
      </x:c>
      <x:c r="J3978" s="381" t="n">
        <x:f>SUMIFS('Wind Proxy'!$H$8:$H$19,'Wind Proxy'!$A$8:$A$19,'Estimator'!$B$4,'Wind Proxy'!$B$8:$B$19,C3978)</x:f>
        <x:v>0.22222222222222224</x:v>
      </x:c>
    </x:row>
    <x:row r="3979">
      <x:c r="A3979" s="379" t="n">
        <x:v>49630</x:v>
      </x:c>
      <x:c r="B3979" s="380" t="n">
        <x:v>2035</x:v>
      </x:c>
      <x:c r="C3979" s="380" t="n">
        <x:v>11</x:v>
      </x:c>
      <x:c r="D3979" s="380" t="str">
        <x:v>Nov</x:v>
      </x:c>
      <x:c r="E3979" s="380" t="n">
        <x:v>17</x:v>
      </x:c>
      <x:c r="F3979" s="380" t="n">
        <x:v>6</x:v>
      </x:c>
      <x:c r="G3979" s="380" t="n">
        <x:f>--(F3979&lt;='Estimator'!$B$7)</x:f>
        <x:v>0</x:v>
      </x:c>
      <x:c r="H3979" s="381" t="n">
        <x:f>SUMIFS('Climate Data'!$G$7:$G$366,'Climate Data'!$A$7:$A$366,'Estimator'!$B$4,'Climate Data'!$B$7:$B$366,C3979)</x:f>
        <x:v>0.3111111111111111</x:v>
      </x:c>
      <x:c r="I3979" s="382" t="n">
        <x:f>SUMIFS('Climate Data'!$H$7:$H$366,'Climate Data'!$A$7:$A$366,'Estimator'!$B$4,'Climate Data'!$B$7:$B$366,C3979)</x:f>
        <x:v>7.382142857142857</x:v>
      </x:c>
      <x:c r="J3979" s="381" t="n">
        <x:f>SUMIFS('Wind Proxy'!$H$8:$H$19,'Wind Proxy'!$A$8:$A$19,'Estimator'!$B$4,'Wind Proxy'!$B$8:$B$19,C3979)</x:f>
        <x:v>0.22222222222222224</x:v>
      </x:c>
    </x:row>
    <x:row r="3980">
      <x:c r="A3980" s="379" t="n">
        <x:v>49631</x:v>
      </x:c>
      <x:c r="B3980" s="380" t="n">
        <x:v>2035</x:v>
      </x:c>
      <x:c r="C3980" s="380" t="n">
        <x:v>11</x:v>
      </x:c>
      <x:c r="D3980" s="380" t="str">
        <x:v>Nov</x:v>
      </x:c>
      <x:c r="E3980" s="380" t="n">
        <x:v>18</x:v>
      </x:c>
      <x:c r="F3980" s="380" t="n">
        <x:v>7</x:v>
      </x:c>
      <x:c r="G3980" s="380" t="n">
        <x:f>--(F3980&lt;='Estimator'!$B$7)</x:f>
        <x:v>0</x:v>
      </x:c>
      <x:c r="H3980" s="381" t="n">
        <x:f>SUMIFS('Climate Data'!$G$7:$G$366,'Climate Data'!$A$7:$A$366,'Estimator'!$B$4,'Climate Data'!$B$7:$B$366,C3980)</x:f>
        <x:v>0.3111111111111111</x:v>
      </x:c>
      <x:c r="I3980" s="382" t="n">
        <x:f>SUMIFS('Climate Data'!$H$7:$H$366,'Climate Data'!$A$7:$A$366,'Estimator'!$B$4,'Climate Data'!$B$7:$B$366,C3980)</x:f>
        <x:v>7.382142857142857</x:v>
      </x:c>
      <x:c r="J3980" s="381" t="n">
        <x:f>SUMIFS('Wind Proxy'!$H$8:$H$19,'Wind Proxy'!$A$8:$A$19,'Estimator'!$B$4,'Wind Proxy'!$B$8:$B$19,C3980)</x:f>
        <x:v>0.22222222222222224</x:v>
      </x:c>
    </x:row>
    <x:row r="3981">
      <x:c r="A3981" s="379" t="n">
        <x:v>49632</x:v>
      </x:c>
      <x:c r="B3981" s="380" t="n">
        <x:v>2035</x:v>
      </x:c>
      <x:c r="C3981" s="380" t="n">
        <x:v>11</x:v>
      </x:c>
      <x:c r="D3981" s="380" t="str">
        <x:v>Nov</x:v>
      </x:c>
      <x:c r="E3981" s="380" t="n">
        <x:v>19</x:v>
      </x:c>
      <x:c r="F3981" s="380" t="n">
        <x:v>1</x:v>
      </x:c>
      <x:c r="G3981" s="380" t="n">
        <x:f>--(F3981&lt;='Estimator'!$B$7)</x:f>
        <x:v>1</x:v>
      </x:c>
      <x:c r="H3981" s="381" t="n">
        <x:f>SUMIFS('Climate Data'!$G$7:$G$366,'Climate Data'!$A$7:$A$366,'Estimator'!$B$4,'Climate Data'!$B$7:$B$366,C3981)</x:f>
        <x:v>0.3111111111111111</x:v>
      </x:c>
      <x:c r="I3981" s="382" t="n">
        <x:f>SUMIFS('Climate Data'!$H$7:$H$366,'Climate Data'!$A$7:$A$366,'Estimator'!$B$4,'Climate Data'!$B$7:$B$366,C3981)</x:f>
        <x:v>7.382142857142857</x:v>
      </x:c>
      <x:c r="J3981" s="381" t="n">
        <x:f>SUMIFS('Wind Proxy'!$H$8:$H$19,'Wind Proxy'!$A$8:$A$19,'Estimator'!$B$4,'Wind Proxy'!$B$8:$B$19,C3981)</x:f>
        <x:v>0.22222222222222224</x:v>
      </x:c>
    </x:row>
    <x:row r="3982">
      <x:c r="A3982" s="379" t="n">
        <x:v>49633</x:v>
      </x:c>
      <x:c r="B3982" s="380" t="n">
        <x:v>2035</x:v>
      </x:c>
      <x:c r="C3982" s="380" t="n">
        <x:v>11</x:v>
      </x:c>
      <x:c r="D3982" s="380" t="str">
        <x:v>Nov</x:v>
      </x:c>
      <x:c r="E3982" s="380" t="n">
        <x:v>20</x:v>
      </x:c>
      <x:c r="F3982" s="380" t="n">
        <x:v>2</x:v>
      </x:c>
      <x:c r="G3982" s="380" t="n">
        <x:f>--(F3982&lt;='Estimator'!$B$7)</x:f>
        <x:v>1</x:v>
      </x:c>
      <x:c r="H3982" s="381" t="n">
        <x:f>SUMIFS('Climate Data'!$G$7:$G$366,'Climate Data'!$A$7:$A$366,'Estimator'!$B$4,'Climate Data'!$B$7:$B$366,C3982)</x:f>
        <x:v>0.3111111111111111</x:v>
      </x:c>
      <x:c r="I3982" s="382" t="n">
        <x:f>SUMIFS('Climate Data'!$H$7:$H$366,'Climate Data'!$A$7:$A$366,'Estimator'!$B$4,'Climate Data'!$B$7:$B$366,C3982)</x:f>
        <x:v>7.382142857142857</x:v>
      </x:c>
      <x:c r="J3982" s="381" t="n">
        <x:f>SUMIFS('Wind Proxy'!$H$8:$H$19,'Wind Proxy'!$A$8:$A$19,'Estimator'!$B$4,'Wind Proxy'!$B$8:$B$19,C3982)</x:f>
        <x:v>0.22222222222222224</x:v>
      </x:c>
    </x:row>
    <x:row r="3983">
      <x:c r="A3983" s="379" t="n">
        <x:v>49634</x:v>
      </x:c>
      <x:c r="B3983" s="380" t="n">
        <x:v>2035</x:v>
      </x:c>
      <x:c r="C3983" s="380" t="n">
        <x:v>11</x:v>
      </x:c>
      <x:c r="D3983" s="380" t="str">
        <x:v>Nov</x:v>
      </x:c>
      <x:c r="E3983" s="380" t="n">
        <x:v>21</x:v>
      </x:c>
      <x:c r="F3983" s="380" t="n">
        <x:v>3</x:v>
      </x:c>
      <x:c r="G3983" s="380" t="n">
        <x:f>--(F3983&lt;='Estimator'!$B$7)</x:f>
        <x:v>1</x:v>
      </x:c>
      <x:c r="H3983" s="381" t="n">
        <x:f>SUMIFS('Climate Data'!$G$7:$G$366,'Climate Data'!$A$7:$A$366,'Estimator'!$B$4,'Climate Data'!$B$7:$B$366,C3983)</x:f>
        <x:v>0.3111111111111111</x:v>
      </x:c>
      <x:c r="I3983" s="382" t="n">
        <x:f>SUMIFS('Climate Data'!$H$7:$H$366,'Climate Data'!$A$7:$A$366,'Estimator'!$B$4,'Climate Data'!$B$7:$B$366,C3983)</x:f>
        <x:v>7.382142857142857</x:v>
      </x:c>
      <x:c r="J3983" s="381" t="n">
        <x:f>SUMIFS('Wind Proxy'!$H$8:$H$19,'Wind Proxy'!$A$8:$A$19,'Estimator'!$B$4,'Wind Proxy'!$B$8:$B$19,C3983)</x:f>
        <x:v>0.22222222222222224</x:v>
      </x:c>
    </x:row>
    <x:row r="3984">
      <x:c r="A3984" s="379" t="n">
        <x:v>49635</x:v>
      </x:c>
      <x:c r="B3984" s="380" t="n">
        <x:v>2035</x:v>
      </x:c>
      <x:c r="C3984" s="380" t="n">
        <x:v>11</x:v>
      </x:c>
      <x:c r="D3984" s="380" t="str">
        <x:v>Nov</x:v>
      </x:c>
      <x:c r="E3984" s="380" t="n">
        <x:v>22</x:v>
      </x:c>
      <x:c r="F3984" s="380" t="n">
        <x:v>4</x:v>
      </x:c>
      <x:c r="G3984" s="380" t="n">
        <x:f>--(F3984&lt;='Estimator'!$B$7)</x:f>
        <x:v>1</x:v>
      </x:c>
      <x:c r="H3984" s="381" t="n">
        <x:f>SUMIFS('Climate Data'!$G$7:$G$366,'Climate Data'!$A$7:$A$366,'Estimator'!$B$4,'Climate Data'!$B$7:$B$366,C3984)</x:f>
        <x:v>0.3111111111111111</x:v>
      </x:c>
      <x:c r="I3984" s="382" t="n">
        <x:f>SUMIFS('Climate Data'!$H$7:$H$366,'Climate Data'!$A$7:$A$366,'Estimator'!$B$4,'Climate Data'!$B$7:$B$366,C3984)</x:f>
        <x:v>7.382142857142857</x:v>
      </x:c>
      <x:c r="J3984" s="381" t="n">
        <x:f>SUMIFS('Wind Proxy'!$H$8:$H$19,'Wind Proxy'!$A$8:$A$19,'Estimator'!$B$4,'Wind Proxy'!$B$8:$B$19,C3984)</x:f>
        <x:v>0.22222222222222224</x:v>
      </x:c>
    </x:row>
    <x:row r="3985">
      <x:c r="A3985" s="379" t="n">
        <x:v>49636</x:v>
      </x:c>
      <x:c r="B3985" s="380" t="n">
        <x:v>2035</x:v>
      </x:c>
      <x:c r="C3985" s="380" t="n">
        <x:v>11</x:v>
      </x:c>
      <x:c r="D3985" s="380" t="str">
        <x:v>Nov</x:v>
      </x:c>
      <x:c r="E3985" s="380" t="n">
        <x:v>23</x:v>
      </x:c>
      <x:c r="F3985" s="380" t="n">
        <x:v>5</x:v>
      </x:c>
      <x:c r="G3985" s="380" t="n">
        <x:f>--(F3985&lt;='Estimator'!$B$7)</x:f>
        <x:v>1</x:v>
      </x:c>
      <x:c r="H3985" s="381" t="n">
        <x:f>SUMIFS('Climate Data'!$G$7:$G$366,'Climate Data'!$A$7:$A$366,'Estimator'!$B$4,'Climate Data'!$B$7:$B$366,C3985)</x:f>
        <x:v>0.3111111111111111</x:v>
      </x:c>
      <x:c r="I3985" s="382" t="n">
        <x:f>SUMIFS('Climate Data'!$H$7:$H$366,'Climate Data'!$A$7:$A$366,'Estimator'!$B$4,'Climate Data'!$B$7:$B$366,C3985)</x:f>
        <x:v>7.382142857142857</x:v>
      </x:c>
      <x:c r="J3985" s="381" t="n">
        <x:f>SUMIFS('Wind Proxy'!$H$8:$H$19,'Wind Proxy'!$A$8:$A$19,'Estimator'!$B$4,'Wind Proxy'!$B$8:$B$19,C3985)</x:f>
        <x:v>0.22222222222222224</x:v>
      </x:c>
    </x:row>
    <x:row r="3986">
      <x:c r="A3986" s="379" t="n">
        <x:v>49637</x:v>
      </x:c>
      <x:c r="B3986" s="380" t="n">
        <x:v>2035</x:v>
      </x:c>
      <x:c r="C3986" s="380" t="n">
        <x:v>11</x:v>
      </x:c>
      <x:c r="D3986" s="380" t="str">
        <x:v>Nov</x:v>
      </x:c>
      <x:c r="E3986" s="380" t="n">
        <x:v>24</x:v>
      </x:c>
      <x:c r="F3986" s="380" t="n">
        <x:v>6</x:v>
      </x:c>
      <x:c r="G3986" s="380" t="n">
        <x:f>--(F3986&lt;='Estimator'!$B$7)</x:f>
        <x:v>0</x:v>
      </x:c>
      <x:c r="H3986" s="381" t="n">
        <x:f>SUMIFS('Climate Data'!$G$7:$G$366,'Climate Data'!$A$7:$A$366,'Estimator'!$B$4,'Climate Data'!$B$7:$B$366,C3986)</x:f>
        <x:v>0.3111111111111111</x:v>
      </x:c>
      <x:c r="I3986" s="382" t="n">
        <x:f>SUMIFS('Climate Data'!$H$7:$H$366,'Climate Data'!$A$7:$A$366,'Estimator'!$B$4,'Climate Data'!$B$7:$B$366,C3986)</x:f>
        <x:v>7.382142857142857</x:v>
      </x:c>
      <x:c r="J3986" s="381" t="n">
        <x:f>SUMIFS('Wind Proxy'!$H$8:$H$19,'Wind Proxy'!$A$8:$A$19,'Estimator'!$B$4,'Wind Proxy'!$B$8:$B$19,C3986)</x:f>
        <x:v>0.22222222222222224</x:v>
      </x:c>
    </x:row>
    <x:row r="3987">
      <x:c r="A3987" s="379" t="n">
        <x:v>49638</x:v>
      </x:c>
      <x:c r="B3987" s="380" t="n">
        <x:v>2035</x:v>
      </x:c>
      <x:c r="C3987" s="380" t="n">
        <x:v>11</x:v>
      </x:c>
      <x:c r="D3987" s="380" t="str">
        <x:v>Nov</x:v>
      </x:c>
      <x:c r="E3987" s="380" t="n">
        <x:v>25</x:v>
      </x:c>
      <x:c r="F3987" s="380" t="n">
        <x:v>7</x:v>
      </x:c>
      <x:c r="G3987" s="380" t="n">
        <x:f>--(F3987&lt;='Estimator'!$B$7)</x:f>
        <x:v>0</x:v>
      </x:c>
      <x:c r="H3987" s="381" t="n">
        <x:f>SUMIFS('Climate Data'!$G$7:$G$366,'Climate Data'!$A$7:$A$366,'Estimator'!$B$4,'Climate Data'!$B$7:$B$366,C3987)</x:f>
        <x:v>0.3111111111111111</x:v>
      </x:c>
      <x:c r="I3987" s="382" t="n">
        <x:f>SUMIFS('Climate Data'!$H$7:$H$366,'Climate Data'!$A$7:$A$366,'Estimator'!$B$4,'Climate Data'!$B$7:$B$366,C3987)</x:f>
        <x:v>7.382142857142857</x:v>
      </x:c>
      <x:c r="J3987" s="381" t="n">
        <x:f>SUMIFS('Wind Proxy'!$H$8:$H$19,'Wind Proxy'!$A$8:$A$19,'Estimator'!$B$4,'Wind Proxy'!$B$8:$B$19,C3987)</x:f>
        <x:v>0.22222222222222224</x:v>
      </x:c>
    </x:row>
    <x:row r="3988">
      <x:c r="A3988" s="379" t="n">
        <x:v>49639</x:v>
      </x:c>
      <x:c r="B3988" s="380" t="n">
        <x:v>2035</x:v>
      </x:c>
      <x:c r="C3988" s="380" t="n">
        <x:v>11</x:v>
      </x:c>
      <x:c r="D3988" s="380" t="str">
        <x:v>Nov</x:v>
      </x:c>
      <x:c r="E3988" s="380" t="n">
        <x:v>26</x:v>
      </x:c>
      <x:c r="F3988" s="380" t="n">
        <x:v>1</x:v>
      </x:c>
      <x:c r="G3988" s="380" t="n">
        <x:f>--(F3988&lt;='Estimator'!$B$7)</x:f>
        <x:v>1</x:v>
      </x:c>
      <x:c r="H3988" s="381" t="n">
        <x:f>SUMIFS('Climate Data'!$G$7:$G$366,'Climate Data'!$A$7:$A$366,'Estimator'!$B$4,'Climate Data'!$B$7:$B$366,C3988)</x:f>
        <x:v>0.3111111111111111</x:v>
      </x:c>
      <x:c r="I3988" s="382" t="n">
        <x:f>SUMIFS('Climate Data'!$H$7:$H$366,'Climate Data'!$A$7:$A$366,'Estimator'!$B$4,'Climate Data'!$B$7:$B$366,C3988)</x:f>
        <x:v>7.382142857142857</x:v>
      </x:c>
      <x:c r="J3988" s="381" t="n">
        <x:f>SUMIFS('Wind Proxy'!$H$8:$H$19,'Wind Proxy'!$A$8:$A$19,'Estimator'!$B$4,'Wind Proxy'!$B$8:$B$19,C3988)</x:f>
        <x:v>0.22222222222222224</x:v>
      </x:c>
    </x:row>
    <x:row r="3989">
      <x:c r="A3989" s="379" t="n">
        <x:v>49640</x:v>
      </x:c>
      <x:c r="B3989" s="380" t="n">
        <x:v>2035</x:v>
      </x:c>
      <x:c r="C3989" s="380" t="n">
        <x:v>11</x:v>
      </x:c>
      <x:c r="D3989" s="380" t="str">
        <x:v>Nov</x:v>
      </x:c>
      <x:c r="E3989" s="380" t="n">
        <x:v>27</x:v>
      </x:c>
      <x:c r="F3989" s="380" t="n">
        <x:v>2</x:v>
      </x:c>
      <x:c r="G3989" s="380" t="n">
        <x:f>--(F3989&lt;='Estimator'!$B$7)</x:f>
        <x:v>1</x:v>
      </x:c>
      <x:c r="H3989" s="381" t="n">
        <x:f>SUMIFS('Climate Data'!$G$7:$G$366,'Climate Data'!$A$7:$A$366,'Estimator'!$B$4,'Climate Data'!$B$7:$B$366,C3989)</x:f>
        <x:v>0.3111111111111111</x:v>
      </x:c>
      <x:c r="I3989" s="382" t="n">
        <x:f>SUMIFS('Climate Data'!$H$7:$H$366,'Climate Data'!$A$7:$A$366,'Estimator'!$B$4,'Climate Data'!$B$7:$B$366,C3989)</x:f>
        <x:v>7.382142857142857</x:v>
      </x:c>
      <x:c r="J3989" s="381" t="n">
        <x:f>SUMIFS('Wind Proxy'!$H$8:$H$19,'Wind Proxy'!$A$8:$A$19,'Estimator'!$B$4,'Wind Proxy'!$B$8:$B$19,C3989)</x:f>
        <x:v>0.22222222222222224</x:v>
      </x:c>
    </x:row>
    <x:row r="3990">
      <x:c r="A3990" s="379" t="n">
        <x:v>49641</x:v>
      </x:c>
      <x:c r="B3990" s="380" t="n">
        <x:v>2035</x:v>
      </x:c>
      <x:c r="C3990" s="380" t="n">
        <x:v>11</x:v>
      </x:c>
      <x:c r="D3990" s="380" t="str">
        <x:v>Nov</x:v>
      </x:c>
      <x:c r="E3990" s="380" t="n">
        <x:v>28</x:v>
      </x:c>
      <x:c r="F3990" s="380" t="n">
        <x:v>3</x:v>
      </x:c>
      <x:c r="G3990" s="380" t="n">
        <x:f>--(F3990&lt;='Estimator'!$B$7)</x:f>
        <x:v>1</x:v>
      </x:c>
      <x:c r="H3990" s="381" t="n">
        <x:f>SUMIFS('Climate Data'!$G$7:$G$366,'Climate Data'!$A$7:$A$366,'Estimator'!$B$4,'Climate Data'!$B$7:$B$366,C3990)</x:f>
        <x:v>0.3111111111111111</x:v>
      </x:c>
      <x:c r="I3990" s="382" t="n">
        <x:f>SUMIFS('Climate Data'!$H$7:$H$366,'Climate Data'!$A$7:$A$366,'Estimator'!$B$4,'Climate Data'!$B$7:$B$366,C3990)</x:f>
        <x:v>7.382142857142857</x:v>
      </x:c>
      <x:c r="J3990" s="381" t="n">
        <x:f>SUMIFS('Wind Proxy'!$H$8:$H$19,'Wind Proxy'!$A$8:$A$19,'Estimator'!$B$4,'Wind Proxy'!$B$8:$B$19,C3990)</x:f>
        <x:v>0.22222222222222224</x:v>
      </x:c>
    </x:row>
    <x:row r="3991">
      <x:c r="A3991" s="379" t="n">
        <x:v>49642</x:v>
      </x:c>
      <x:c r="B3991" s="380" t="n">
        <x:v>2035</x:v>
      </x:c>
      <x:c r="C3991" s="380" t="n">
        <x:v>11</x:v>
      </x:c>
      <x:c r="D3991" s="380" t="str">
        <x:v>Nov</x:v>
      </x:c>
      <x:c r="E3991" s="380" t="n">
        <x:v>29</x:v>
      </x:c>
      <x:c r="F3991" s="380" t="n">
        <x:v>4</x:v>
      </x:c>
      <x:c r="G3991" s="380" t="n">
        <x:f>--(F3991&lt;='Estimator'!$B$7)</x:f>
        <x:v>1</x:v>
      </x:c>
      <x:c r="H3991" s="381" t="n">
        <x:f>SUMIFS('Climate Data'!$G$7:$G$366,'Climate Data'!$A$7:$A$366,'Estimator'!$B$4,'Climate Data'!$B$7:$B$366,C3991)</x:f>
        <x:v>0.3111111111111111</x:v>
      </x:c>
      <x:c r="I3991" s="382" t="n">
        <x:f>SUMIFS('Climate Data'!$H$7:$H$366,'Climate Data'!$A$7:$A$366,'Estimator'!$B$4,'Climate Data'!$B$7:$B$366,C3991)</x:f>
        <x:v>7.382142857142857</x:v>
      </x:c>
      <x:c r="J3991" s="381" t="n">
        <x:f>SUMIFS('Wind Proxy'!$H$8:$H$19,'Wind Proxy'!$A$8:$A$19,'Estimator'!$B$4,'Wind Proxy'!$B$8:$B$19,C3991)</x:f>
        <x:v>0.22222222222222224</x:v>
      </x:c>
    </x:row>
    <x:row r="3992">
      <x:c r="A3992" s="379" t="n">
        <x:v>49643</x:v>
      </x:c>
      <x:c r="B3992" s="380" t="n">
        <x:v>2035</x:v>
      </x:c>
      <x:c r="C3992" s="380" t="n">
        <x:v>11</x:v>
      </x:c>
      <x:c r="D3992" s="380" t="str">
        <x:v>Nov</x:v>
      </x:c>
      <x:c r="E3992" s="380" t="n">
        <x:v>30</x:v>
      </x:c>
      <x:c r="F3992" s="380" t="n">
        <x:v>5</x:v>
      </x:c>
      <x:c r="G3992" s="380" t="n">
        <x:f>--(F3992&lt;='Estimator'!$B$7)</x:f>
        <x:v>1</x:v>
      </x:c>
      <x:c r="H3992" s="381" t="n">
        <x:f>SUMIFS('Climate Data'!$G$7:$G$366,'Climate Data'!$A$7:$A$366,'Estimator'!$B$4,'Climate Data'!$B$7:$B$366,C3992)</x:f>
        <x:v>0.3111111111111111</x:v>
      </x:c>
      <x:c r="I3992" s="382" t="n">
        <x:f>SUMIFS('Climate Data'!$H$7:$H$366,'Climate Data'!$A$7:$A$366,'Estimator'!$B$4,'Climate Data'!$B$7:$B$366,C3992)</x:f>
        <x:v>7.382142857142857</x:v>
      </x:c>
      <x:c r="J3992" s="381" t="n">
        <x:f>SUMIFS('Wind Proxy'!$H$8:$H$19,'Wind Proxy'!$A$8:$A$19,'Estimator'!$B$4,'Wind Proxy'!$B$8:$B$19,C3992)</x:f>
        <x:v>0.22222222222222224</x:v>
      </x:c>
    </x:row>
    <x:row r="3993">
      <x:c r="A3993" s="379" t="n">
        <x:v>49644</x:v>
      </x:c>
      <x:c r="B3993" s="380" t="n">
        <x:v>2035</x:v>
      </x:c>
      <x:c r="C3993" s="380" t="n">
        <x:v>12</x:v>
      </x:c>
      <x:c r="D3993" s="380" t="str">
        <x:v>Dec</x:v>
      </x:c>
      <x:c r="E3993" s="380" t="n">
        <x:v>1</x:v>
      </x:c>
      <x:c r="F3993" s="380" t="n">
        <x:v>6</x:v>
      </x:c>
      <x:c r="G3993" s="380" t="n">
        <x:f>--(F3993&lt;='Estimator'!$B$7)</x:f>
        <x:v>0</x:v>
      </x:c>
      <x:c r="H3993" s="381" t="n">
        <x:f>SUMIFS('Climate Data'!$G$7:$G$366,'Climate Data'!$A$7:$A$366,'Estimator'!$B$4,'Climate Data'!$B$7:$B$366,C3993)</x:f>
        <x:v>0.2914349276974416</x:v>
      </x:c>
      <x:c r="I3993" s="382" t="n">
        <x:f>SUMIFS('Climate Data'!$H$7:$H$366,'Climate Data'!$A$7:$A$366,'Estimator'!$B$4,'Climate Data'!$B$7:$B$366,C3993)</x:f>
        <x:v>9.043129770992365</x:v>
      </x:c>
      <x:c r="J3993" s="381" t="n">
        <x:f>SUMIFS('Wind Proxy'!$H$8:$H$19,'Wind Proxy'!$A$8:$A$19,'Estimator'!$B$4,'Wind Proxy'!$B$8:$B$19,C3993)</x:f>
        <x:v>0.12544802867383514</x:v>
      </x:c>
    </x:row>
    <x:row r="3994">
      <x:c r="A3994" s="379" t="n">
        <x:v>49645</x:v>
      </x:c>
      <x:c r="B3994" s="380" t="n">
        <x:v>2035</x:v>
      </x:c>
      <x:c r="C3994" s="380" t="n">
        <x:v>12</x:v>
      </x:c>
      <x:c r="D3994" s="380" t="str">
        <x:v>Dec</x:v>
      </x:c>
      <x:c r="E3994" s="380" t="n">
        <x:v>2</x:v>
      </x:c>
      <x:c r="F3994" s="380" t="n">
        <x:v>7</x:v>
      </x:c>
      <x:c r="G3994" s="380" t="n">
        <x:f>--(F3994&lt;='Estimator'!$B$7)</x:f>
        <x:v>0</x:v>
      </x:c>
      <x:c r="H3994" s="381" t="n">
        <x:f>SUMIFS('Climate Data'!$G$7:$G$366,'Climate Data'!$A$7:$A$366,'Estimator'!$B$4,'Climate Data'!$B$7:$B$366,C3994)</x:f>
        <x:v>0.2914349276974416</x:v>
      </x:c>
      <x:c r="I3994" s="382" t="n">
        <x:f>SUMIFS('Climate Data'!$H$7:$H$366,'Climate Data'!$A$7:$A$366,'Estimator'!$B$4,'Climate Data'!$B$7:$B$366,C3994)</x:f>
        <x:v>9.043129770992365</x:v>
      </x:c>
      <x:c r="J3994" s="381" t="n">
        <x:f>SUMIFS('Wind Proxy'!$H$8:$H$19,'Wind Proxy'!$A$8:$A$19,'Estimator'!$B$4,'Wind Proxy'!$B$8:$B$19,C3994)</x:f>
        <x:v>0.12544802867383514</x:v>
      </x:c>
    </x:row>
    <x:row r="3995">
      <x:c r="A3995" s="379" t="n">
        <x:v>49646</x:v>
      </x:c>
      <x:c r="B3995" s="380" t="n">
        <x:v>2035</x:v>
      </x:c>
      <x:c r="C3995" s="380" t="n">
        <x:v>12</x:v>
      </x:c>
      <x:c r="D3995" s="380" t="str">
        <x:v>Dec</x:v>
      </x:c>
      <x:c r="E3995" s="380" t="n">
        <x:v>3</x:v>
      </x:c>
      <x:c r="F3995" s="380" t="n">
        <x:v>1</x:v>
      </x:c>
      <x:c r="G3995" s="380" t="n">
        <x:f>--(F3995&lt;='Estimator'!$B$7)</x:f>
        <x:v>1</x:v>
      </x:c>
      <x:c r="H3995" s="381" t="n">
        <x:f>SUMIFS('Climate Data'!$G$7:$G$366,'Climate Data'!$A$7:$A$366,'Estimator'!$B$4,'Climate Data'!$B$7:$B$366,C3995)</x:f>
        <x:v>0.2914349276974416</x:v>
      </x:c>
      <x:c r="I3995" s="382" t="n">
        <x:f>SUMIFS('Climate Data'!$H$7:$H$366,'Climate Data'!$A$7:$A$366,'Estimator'!$B$4,'Climate Data'!$B$7:$B$366,C3995)</x:f>
        <x:v>9.043129770992365</x:v>
      </x:c>
      <x:c r="J3995" s="381" t="n">
        <x:f>SUMIFS('Wind Proxy'!$H$8:$H$19,'Wind Proxy'!$A$8:$A$19,'Estimator'!$B$4,'Wind Proxy'!$B$8:$B$19,C3995)</x:f>
        <x:v>0.12544802867383514</x:v>
      </x:c>
    </x:row>
    <x:row r="3996">
      <x:c r="A3996" s="379" t="n">
        <x:v>49647</x:v>
      </x:c>
      <x:c r="B3996" s="380" t="n">
        <x:v>2035</x:v>
      </x:c>
      <x:c r="C3996" s="380" t="n">
        <x:v>12</x:v>
      </x:c>
      <x:c r="D3996" s="380" t="str">
        <x:v>Dec</x:v>
      </x:c>
      <x:c r="E3996" s="380" t="n">
        <x:v>4</x:v>
      </x:c>
      <x:c r="F3996" s="380" t="n">
        <x:v>2</x:v>
      </x:c>
      <x:c r="G3996" s="380" t="n">
        <x:f>--(F3996&lt;='Estimator'!$B$7)</x:f>
        <x:v>1</x:v>
      </x:c>
      <x:c r="H3996" s="381" t="n">
        <x:f>SUMIFS('Climate Data'!$G$7:$G$366,'Climate Data'!$A$7:$A$366,'Estimator'!$B$4,'Climate Data'!$B$7:$B$366,C3996)</x:f>
        <x:v>0.2914349276974416</x:v>
      </x:c>
      <x:c r="I3996" s="382" t="n">
        <x:f>SUMIFS('Climate Data'!$H$7:$H$366,'Climate Data'!$A$7:$A$366,'Estimator'!$B$4,'Climate Data'!$B$7:$B$366,C3996)</x:f>
        <x:v>9.043129770992365</x:v>
      </x:c>
      <x:c r="J3996" s="381" t="n">
        <x:f>SUMIFS('Wind Proxy'!$H$8:$H$19,'Wind Proxy'!$A$8:$A$19,'Estimator'!$B$4,'Wind Proxy'!$B$8:$B$19,C3996)</x:f>
        <x:v>0.12544802867383514</x:v>
      </x:c>
    </x:row>
    <x:row r="3997">
      <x:c r="A3997" s="379" t="n">
        <x:v>49648</x:v>
      </x:c>
      <x:c r="B3997" s="380" t="n">
        <x:v>2035</x:v>
      </x:c>
      <x:c r="C3997" s="380" t="n">
        <x:v>12</x:v>
      </x:c>
      <x:c r="D3997" s="380" t="str">
        <x:v>Dec</x:v>
      </x:c>
      <x:c r="E3997" s="380" t="n">
        <x:v>5</x:v>
      </x:c>
      <x:c r="F3997" s="380" t="n">
        <x:v>3</x:v>
      </x:c>
      <x:c r="G3997" s="380" t="n">
        <x:f>--(F3997&lt;='Estimator'!$B$7)</x:f>
        <x:v>1</x:v>
      </x:c>
      <x:c r="H3997" s="381" t="n">
        <x:f>SUMIFS('Climate Data'!$G$7:$G$366,'Climate Data'!$A$7:$A$366,'Estimator'!$B$4,'Climate Data'!$B$7:$B$366,C3997)</x:f>
        <x:v>0.2914349276974416</x:v>
      </x:c>
      <x:c r="I3997" s="382" t="n">
        <x:f>SUMIFS('Climate Data'!$H$7:$H$366,'Climate Data'!$A$7:$A$366,'Estimator'!$B$4,'Climate Data'!$B$7:$B$366,C3997)</x:f>
        <x:v>9.043129770992365</x:v>
      </x:c>
      <x:c r="J3997" s="381" t="n">
        <x:f>SUMIFS('Wind Proxy'!$H$8:$H$19,'Wind Proxy'!$A$8:$A$19,'Estimator'!$B$4,'Wind Proxy'!$B$8:$B$19,C3997)</x:f>
        <x:v>0.12544802867383514</x:v>
      </x:c>
    </x:row>
    <x:row r="3998">
      <x:c r="A3998" s="379" t="n">
        <x:v>49649</x:v>
      </x:c>
      <x:c r="B3998" s="380" t="n">
        <x:v>2035</x:v>
      </x:c>
      <x:c r="C3998" s="380" t="n">
        <x:v>12</x:v>
      </x:c>
      <x:c r="D3998" s="380" t="str">
        <x:v>Dec</x:v>
      </x:c>
      <x:c r="E3998" s="380" t="n">
        <x:v>6</x:v>
      </x:c>
      <x:c r="F3998" s="380" t="n">
        <x:v>4</x:v>
      </x:c>
      <x:c r="G3998" s="380" t="n">
        <x:f>--(F3998&lt;='Estimator'!$B$7)</x:f>
        <x:v>1</x:v>
      </x:c>
      <x:c r="H3998" s="381" t="n">
        <x:f>SUMIFS('Climate Data'!$G$7:$G$366,'Climate Data'!$A$7:$A$366,'Estimator'!$B$4,'Climate Data'!$B$7:$B$366,C3998)</x:f>
        <x:v>0.2914349276974416</x:v>
      </x:c>
      <x:c r="I3998" s="382" t="n">
        <x:f>SUMIFS('Climate Data'!$H$7:$H$366,'Climate Data'!$A$7:$A$366,'Estimator'!$B$4,'Climate Data'!$B$7:$B$366,C3998)</x:f>
        <x:v>9.043129770992365</x:v>
      </x:c>
      <x:c r="J3998" s="381" t="n">
        <x:f>SUMIFS('Wind Proxy'!$H$8:$H$19,'Wind Proxy'!$A$8:$A$19,'Estimator'!$B$4,'Wind Proxy'!$B$8:$B$19,C3998)</x:f>
        <x:v>0.12544802867383514</x:v>
      </x:c>
    </x:row>
    <x:row r="3999">
      <x:c r="A3999" s="379" t="n">
        <x:v>49650</x:v>
      </x:c>
      <x:c r="B3999" s="380" t="n">
        <x:v>2035</x:v>
      </x:c>
      <x:c r="C3999" s="380" t="n">
        <x:v>12</x:v>
      </x:c>
      <x:c r="D3999" s="380" t="str">
        <x:v>Dec</x:v>
      </x:c>
      <x:c r="E3999" s="380" t="n">
        <x:v>7</x:v>
      </x:c>
      <x:c r="F3999" s="380" t="n">
        <x:v>5</x:v>
      </x:c>
      <x:c r="G3999" s="380" t="n">
        <x:f>--(F3999&lt;='Estimator'!$B$7)</x:f>
        <x:v>1</x:v>
      </x:c>
      <x:c r="H3999" s="381" t="n">
        <x:f>SUMIFS('Climate Data'!$G$7:$G$366,'Climate Data'!$A$7:$A$366,'Estimator'!$B$4,'Climate Data'!$B$7:$B$366,C3999)</x:f>
        <x:v>0.2914349276974416</x:v>
      </x:c>
      <x:c r="I3999" s="382" t="n">
        <x:f>SUMIFS('Climate Data'!$H$7:$H$366,'Climate Data'!$A$7:$A$366,'Estimator'!$B$4,'Climate Data'!$B$7:$B$366,C3999)</x:f>
        <x:v>9.043129770992365</x:v>
      </x:c>
      <x:c r="J3999" s="381" t="n">
        <x:f>SUMIFS('Wind Proxy'!$H$8:$H$19,'Wind Proxy'!$A$8:$A$19,'Estimator'!$B$4,'Wind Proxy'!$B$8:$B$19,C3999)</x:f>
        <x:v>0.12544802867383514</x:v>
      </x:c>
    </x:row>
    <x:row r="4000">
      <x:c r="A4000" s="379" t="n">
        <x:v>49651</x:v>
      </x:c>
      <x:c r="B4000" s="380" t="n">
        <x:v>2035</x:v>
      </x:c>
      <x:c r="C4000" s="380" t="n">
        <x:v>12</x:v>
      </x:c>
      <x:c r="D4000" s="380" t="str">
        <x:v>Dec</x:v>
      </x:c>
      <x:c r="E4000" s="380" t="n">
        <x:v>8</x:v>
      </x:c>
      <x:c r="F4000" s="380" t="n">
        <x:v>6</x:v>
      </x:c>
      <x:c r="G4000" s="380" t="n">
        <x:f>--(F4000&lt;='Estimator'!$B$7)</x:f>
        <x:v>0</x:v>
      </x:c>
      <x:c r="H4000" s="381" t="n">
        <x:f>SUMIFS('Climate Data'!$G$7:$G$366,'Climate Data'!$A$7:$A$366,'Estimator'!$B$4,'Climate Data'!$B$7:$B$366,C4000)</x:f>
        <x:v>0.2914349276974416</x:v>
      </x:c>
      <x:c r="I4000" s="382" t="n">
        <x:f>SUMIFS('Climate Data'!$H$7:$H$366,'Climate Data'!$A$7:$A$366,'Estimator'!$B$4,'Climate Data'!$B$7:$B$366,C4000)</x:f>
        <x:v>9.043129770992365</x:v>
      </x:c>
      <x:c r="J4000" s="381" t="n">
        <x:f>SUMIFS('Wind Proxy'!$H$8:$H$19,'Wind Proxy'!$A$8:$A$19,'Estimator'!$B$4,'Wind Proxy'!$B$8:$B$19,C4000)</x:f>
        <x:v>0.12544802867383514</x:v>
      </x:c>
    </x:row>
    <x:row r="4001">
      <x:c r="A4001" s="379" t="n">
        <x:v>49652</x:v>
      </x:c>
      <x:c r="B4001" s="380" t="n">
        <x:v>2035</x:v>
      </x:c>
      <x:c r="C4001" s="380" t="n">
        <x:v>12</x:v>
      </x:c>
      <x:c r="D4001" s="380" t="str">
        <x:v>Dec</x:v>
      </x:c>
      <x:c r="E4001" s="380" t="n">
        <x:v>9</x:v>
      </x:c>
      <x:c r="F4001" s="380" t="n">
        <x:v>7</x:v>
      </x:c>
      <x:c r="G4001" s="380" t="n">
        <x:f>--(F4001&lt;='Estimator'!$B$7)</x:f>
        <x:v>0</x:v>
      </x:c>
      <x:c r="H4001" s="381" t="n">
        <x:f>SUMIFS('Climate Data'!$G$7:$G$366,'Climate Data'!$A$7:$A$366,'Estimator'!$B$4,'Climate Data'!$B$7:$B$366,C4001)</x:f>
        <x:v>0.2914349276974416</x:v>
      </x:c>
      <x:c r="I4001" s="382" t="n">
        <x:f>SUMIFS('Climate Data'!$H$7:$H$366,'Climate Data'!$A$7:$A$366,'Estimator'!$B$4,'Climate Data'!$B$7:$B$366,C4001)</x:f>
        <x:v>9.043129770992365</x:v>
      </x:c>
      <x:c r="J4001" s="381" t="n">
        <x:f>SUMIFS('Wind Proxy'!$H$8:$H$19,'Wind Proxy'!$A$8:$A$19,'Estimator'!$B$4,'Wind Proxy'!$B$8:$B$19,C4001)</x:f>
        <x:v>0.12544802867383514</x:v>
      </x:c>
    </x:row>
    <x:row r="4002">
      <x:c r="A4002" s="379" t="n">
        <x:v>49653</x:v>
      </x:c>
      <x:c r="B4002" s="380" t="n">
        <x:v>2035</x:v>
      </x:c>
      <x:c r="C4002" s="380" t="n">
        <x:v>12</x:v>
      </x:c>
      <x:c r="D4002" s="380" t="str">
        <x:v>Dec</x:v>
      </x:c>
      <x:c r="E4002" s="380" t="n">
        <x:v>10</x:v>
      </x:c>
      <x:c r="F4002" s="380" t="n">
        <x:v>1</x:v>
      </x:c>
      <x:c r="G4002" s="380" t="n">
        <x:f>--(F4002&lt;='Estimator'!$B$7)</x:f>
        <x:v>1</x:v>
      </x:c>
      <x:c r="H4002" s="381" t="n">
        <x:f>SUMIFS('Climate Data'!$G$7:$G$366,'Climate Data'!$A$7:$A$366,'Estimator'!$B$4,'Climate Data'!$B$7:$B$366,C4002)</x:f>
        <x:v>0.2914349276974416</x:v>
      </x:c>
      <x:c r="I4002" s="382" t="n">
        <x:f>SUMIFS('Climate Data'!$H$7:$H$366,'Climate Data'!$A$7:$A$366,'Estimator'!$B$4,'Climate Data'!$B$7:$B$366,C4002)</x:f>
        <x:v>9.043129770992365</x:v>
      </x:c>
      <x:c r="J4002" s="381" t="n">
        <x:f>SUMIFS('Wind Proxy'!$H$8:$H$19,'Wind Proxy'!$A$8:$A$19,'Estimator'!$B$4,'Wind Proxy'!$B$8:$B$19,C4002)</x:f>
        <x:v>0.12544802867383514</x:v>
      </x:c>
    </x:row>
    <x:row r="4003">
      <x:c r="A4003" s="379" t="n">
        <x:v>49654</x:v>
      </x:c>
      <x:c r="B4003" s="380" t="n">
        <x:v>2035</x:v>
      </x:c>
      <x:c r="C4003" s="380" t="n">
        <x:v>12</x:v>
      </x:c>
      <x:c r="D4003" s="380" t="str">
        <x:v>Dec</x:v>
      </x:c>
      <x:c r="E4003" s="380" t="n">
        <x:v>11</x:v>
      </x:c>
      <x:c r="F4003" s="380" t="n">
        <x:v>2</x:v>
      </x:c>
      <x:c r="G4003" s="380" t="n">
        <x:f>--(F4003&lt;='Estimator'!$B$7)</x:f>
        <x:v>1</x:v>
      </x:c>
      <x:c r="H4003" s="381" t="n">
        <x:f>SUMIFS('Climate Data'!$G$7:$G$366,'Climate Data'!$A$7:$A$366,'Estimator'!$B$4,'Climate Data'!$B$7:$B$366,C4003)</x:f>
        <x:v>0.2914349276974416</x:v>
      </x:c>
      <x:c r="I4003" s="382" t="n">
        <x:f>SUMIFS('Climate Data'!$H$7:$H$366,'Climate Data'!$A$7:$A$366,'Estimator'!$B$4,'Climate Data'!$B$7:$B$366,C4003)</x:f>
        <x:v>9.043129770992365</x:v>
      </x:c>
      <x:c r="J4003" s="381" t="n">
        <x:f>SUMIFS('Wind Proxy'!$H$8:$H$19,'Wind Proxy'!$A$8:$A$19,'Estimator'!$B$4,'Wind Proxy'!$B$8:$B$19,C4003)</x:f>
        <x:v>0.12544802867383514</x:v>
      </x:c>
    </x:row>
    <x:row r="4004">
      <x:c r="A4004" s="379" t="n">
        <x:v>49655</x:v>
      </x:c>
      <x:c r="B4004" s="380" t="n">
        <x:v>2035</x:v>
      </x:c>
      <x:c r="C4004" s="380" t="n">
        <x:v>12</x:v>
      </x:c>
      <x:c r="D4004" s="380" t="str">
        <x:v>Dec</x:v>
      </x:c>
      <x:c r="E4004" s="380" t="n">
        <x:v>12</x:v>
      </x:c>
      <x:c r="F4004" s="380" t="n">
        <x:v>3</x:v>
      </x:c>
      <x:c r="G4004" s="380" t="n">
        <x:f>--(F4004&lt;='Estimator'!$B$7)</x:f>
        <x:v>1</x:v>
      </x:c>
      <x:c r="H4004" s="381" t="n">
        <x:f>SUMIFS('Climate Data'!$G$7:$G$366,'Climate Data'!$A$7:$A$366,'Estimator'!$B$4,'Climate Data'!$B$7:$B$366,C4004)</x:f>
        <x:v>0.2914349276974416</x:v>
      </x:c>
      <x:c r="I4004" s="382" t="n">
        <x:f>SUMIFS('Climate Data'!$H$7:$H$366,'Climate Data'!$A$7:$A$366,'Estimator'!$B$4,'Climate Data'!$B$7:$B$366,C4004)</x:f>
        <x:v>9.043129770992365</x:v>
      </x:c>
      <x:c r="J4004" s="381" t="n">
        <x:f>SUMIFS('Wind Proxy'!$H$8:$H$19,'Wind Proxy'!$A$8:$A$19,'Estimator'!$B$4,'Wind Proxy'!$B$8:$B$19,C4004)</x:f>
        <x:v>0.12544802867383514</x:v>
      </x:c>
    </x:row>
    <x:row r="4005">
      <x:c r="A4005" s="379" t="n">
        <x:v>49656</x:v>
      </x:c>
      <x:c r="B4005" s="380" t="n">
        <x:v>2035</x:v>
      </x:c>
      <x:c r="C4005" s="380" t="n">
        <x:v>12</x:v>
      </x:c>
      <x:c r="D4005" s="380" t="str">
        <x:v>Dec</x:v>
      </x:c>
      <x:c r="E4005" s="380" t="n">
        <x:v>13</x:v>
      </x:c>
      <x:c r="F4005" s="380" t="n">
        <x:v>4</x:v>
      </x:c>
      <x:c r="G4005" s="380" t="n">
        <x:f>--(F4005&lt;='Estimator'!$B$7)</x:f>
        <x:v>1</x:v>
      </x:c>
      <x:c r="H4005" s="381" t="n">
        <x:f>SUMIFS('Climate Data'!$G$7:$G$366,'Climate Data'!$A$7:$A$366,'Estimator'!$B$4,'Climate Data'!$B$7:$B$366,C4005)</x:f>
        <x:v>0.2914349276974416</x:v>
      </x:c>
      <x:c r="I4005" s="382" t="n">
        <x:f>SUMIFS('Climate Data'!$H$7:$H$366,'Climate Data'!$A$7:$A$366,'Estimator'!$B$4,'Climate Data'!$B$7:$B$366,C4005)</x:f>
        <x:v>9.043129770992365</x:v>
      </x:c>
      <x:c r="J4005" s="381" t="n">
        <x:f>SUMIFS('Wind Proxy'!$H$8:$H$19,'Wind Proxy'!$A$8:$A$19,'Estimator'!$B$4,'Wind Proxy'!$B$8:$B$19,C4005)</x:f>
        <x:v>0.12544802867383514</x:v>
      </x:c>
    </x:row>
    <x:row r="4006">
      <x:c r="A4006" s="379" t="n">
        <x:v>49657</x:v>
      </x:c>
      <x:c r="B4006" s="380" t="n">
        <x:v>2035</x:v>
      </x:c>
      <x:c r="C4006" s="380" t="n">
        <x:v>12</x:v>
      </x:c>
      <x:c r="D4006" s="380" t="str">
        <x:v>Dec</x:v>
      </x:c>
      <x:c r="E4006" s="380" t="n">
        <x:v>14</x:v>
      </x:c>
      <x:c r="F4006" s="380" t="n">
        <x:v>5</x:v>
      </x:c>
      <x:c r="G4006" s="380" t="n">
        <x:f>--(F4006&lt;='Estimator'!$B$7)</x:f>
        <x:v>1</x:v>
      </x:c>
      <x:c r="H4006" s="381" t="n">
        <x:f>SUMIFS('Climate Data'!$G$7:$G$366,'Climate Data'!$A$7:$A$366,'Estimator'!$B$4,'Climate Data'!$B$7:$B$366,C4006)</x:f>
        <x:v>0.2914349276974416</x:v>
      </x:c>
      <x:c r="I4006" s="382" t="n">
        <x:f>SUMIFS('Climate Data'!$H$7:$H$366,'Climate Data'!$A$7:$A$366,'Estimator'!$B$4,'Climate Data'!$B$7:$B$366,C4006)</x:f>
        <x:v>9.043129770992365</x:v>
      </x:c>
      <x:c r="J4006" s="381" t="n">
        <x:f>SUMIFS('Wind Proxy'!$H$8:$H$19,'Wind Proxy'!$A$8:$A$19,'Estimator'!$B$4,'Wind Proxy'!$B$8:$B$19,C4006)</x:f>
        <x:v>0.12544802867383514</x:v>
      </x:c>
    </x:row>
    <x:row r="4007">
      <x:c r="A4007" s="379" t="n">
        <x:v>49658</x:v>
      </x:c>
      <x:c r="B4007" s="380" t="n">
        <x:v>2035</x:v>
      </x:c>
      <x:c r="C4007" s="380" t="n">
        <x:v>12</x:v>
      </x:c>
      <x:c r="D4007" s="380" t="str">
        <x:v>Dec</x:v>
      </x:c>
      <x:c r="E4007" s="380" t="n">
        <x:v>15</x:v>
      </x:c>
      <x:c r="F4007" s="380" t="n">
        <x:v>6</x:v>
      </x:c>
      <x:c r="G4007" s="380" t="n">
        <x:f>--(F4007&lt;='Estimator'!$B$7)</x:f>
        <x:v>0</x:v>
      </x:c>
      <x:c r="H4007" s="381" t="n">
        <x:f>SUMIFS('Climate Data'!$G$7:$G$366,'Climate Data'!$A$7:$A$366,'Estimator'!$B$4,'Climate Data'!$B$7:$B$366,C4007)</x:f>
        <x:v>0.2914349276974416</x:v>
      </x:c>
      <x:c r="I4007" s="382" t="n">
        <x:f>SUMIFS('Climate Data'!$H$7:$H$366,'Climate Data'!$A$7:$A$366,'Estimator'!$B$4,'Climate Data'!$B$7:$B$366,C4007)</x:f>
        <x:v>9.043129770992365</x:v>
      </x:c>
      <x:c r="J4007" s="381" t="n">
        <x:f>SUMIFS('Wind Proxy'!$H$8:$H$19,'Wind Proxy'!$A$8:$A$19,'Estimator'!$B$4,'Wind Proxy'!$B$8:$B$19,C4007)</x:f>
        <x:v>0.12544802867383514</x:v>
      </x:c>
    </x:row>
    <x:row r="4008">
      <x:c r="A4008" s="379" t="n">
        <x:v>49659</x:v>
      </x:c>
      <x:c r="B4008" s="380" t="n">
        <x:v>2035</x:v>
      </x:c>
      <x:c r="C4008" s="380" t="n">
        <x:v>12</x:v>
      </x:c>
      <x:c r="D4008" s="380" t="str">
        <x:v>Dec</x:v>
      </x:c>
      <x:c r="E4008" s="380" t="n">
        <x:v>16</x:v>
      </x:c>
      <x:c r="F4008" s="380" t="n">
        <x:v>7</x:v>
      </x:c>
      <x:c r="G4008" s="380" t="n">
        <x:f>--(F4008&lt;='Estimator'!$B$7)</x:f>
        <x:v>0</x:v>
      </x:c>
      <x:c r="H4008" s="381" t="n">
        <x:f>SUMIFS('Climate Data'!$G$7:$G$366,'Climate Data'!$A$7:$A$366,'Estimator'!$B$4,'Climate Data'!$B$7:$B$366,C4008)</x:f>
        <x:v>0.2914349276974416</x:v>
      </x:c>
      <x:c r="I4008" s="382" t="n">
        <x:f>SUMIFS('Climate Data'!$H$7:$H$366,'Climate Data'!$A$7:$A$366,'Estimator'!$B$4,'Climate Data'!$B$7:$B$366,C4008)</x:f>
        <x:v>9.043129770992365</x:v>
      </x:c>
      <x:c r="J4008" s="381" t="n">
        <x:f>SUMIFS('Wind Proxy'!$H$8:$H$19,'Wind Proxy'!$A$8:$A$19,'Estimator'!$B$4,'Wind Proxy'!$B$8:$B$19,C4008)</x:f>
        <x:v>0.12544802867383514</x:v>
      </x:c>
    </x:row>
    <x:row r="4009">
      <x:c r="A4009" s="379" t="n">
        <x:v>49660</x:v>
      </x:c>
      <x:c r="B4009" s="380" t="n">
        <x:v>2035</x:v>
      </x:c>
      <x:c r="C4009" s="380" t="n">
        <x:v>12</x:v>
      </x:c>
      <x:c r="D4009" s="380" t="str">
        <x:v>Dec</x:v>
      </x:c>
      <x:c r="E4009" s="380" t="n">
        <x:v>17</x:v>
      </x:c>
      <x:c r="F4009" s="380" t="n">
        <x:v>1</x:v>
      </x:c>
      <x:c r="G4009" s="380" t="n">
        <x:f>--(F4009&lt;='Estimator'!$B$7)</x:f>
        <x:v>1</x:v>
      </x:c>
      <x:c r="H4009" s="381" t="n">
        <x:f>SUMIFS('Climate Data'!$G$7:$G$366,'Climate Data'!$A$7:$A$366,'Estimator'!$B$4,'Climate Data'!$B$7:$B$366,C4009)</x:f>
        <x:v>0.2914349276974416</x:v>
      </x:c>
      <x:c r="I4009" s="382" t="n">
        <x:f>SUMIFS('Climate Data'!$H$7:$H$366,'Climate Data'!$A$7:$A$366,'Estimator'!$B$4,'Climate Data'!$B$7:$B$366,C4009)</x:f>
        <x:v>9.043129770992365</x:v>
      </x:c>
      <x:c r="J4009" s="381" t="n">
        <x:f>SUMIFS('Wind Proxy'!$H$8:$H$19,'Wind Proxy'!$A$8:$A$19,'Estimator'!$B$4,'Wind Proxy'!$B$8:$B$19,C4009)</x:f>
        <x:v>0.12544802867383514</x:v>
      </x:c>
    </x:row>
    <x:row r="4010">
      <x:c r="A4010" s="379" t="n">
        <x:v>49661</x:v>
      </x:c>
      <x:c r="B4010" s="380" t="n">
        <x:v>2035</x:v>
      </x:c>
      <x:c r="C4010" s="380" t="n">
        <x:v>12</x:v>
      </x:c>
      <x:c r="D4010" s="380" t="str">
        <x:v>Dec</x:v>
      </x:c>
      <x:c r="E4010" s="380" t="n">
        <x:v>18</x:v>
      </x:c>
      <x:c r="F4010" s="380" t="n">
        <x:v>2</x:v>
      </x:c>
      <x:c r="G4010" s="380" t="n">
        <x:f>--(F4010&lt;='Estimator'!$B$7)</x:f>
        <x:v>1</x:v>
      </x:c>
      <x:c r="H4010" s="381" t="n">
        <x:f>SUMIFS('Climate Data'!$G$7:$G$366,'Climate Data'!$A$7:$A$366,'Estimator'!$B$4,'Climate Data'!$B$7:$B$366,C4010)</x:f>
        <x:v>0.2914349276974416</x:v>
      </x:c>
      <x:c r="I4010" s="382" t="n">
        <x:f>SUMIFS('Climate Data'!$H$7:$H$366,'Climate Data'!$A$7:$A$366,'Estimator'!$B$4,'Climate Data'!$B$7:$B$366,C4010)</x:f>
        <x:v>9.043129770992365</x:v>
      </x:c>
      <x:c r="J4010" s="381" t="n">
        <x:f>SUMIFS('Wind Proxy'!$H$8:$H$19,'Wind Proxy'!$A$8:$A$19,'Estimator'!$B$4,'Wind Proxy'!$B$8:$B$19,C4010)</x:f>
        <x:v>0.12544802867383514</x:v>
      </x:c>
    </x:row>
    <x:row r="4011">
      <x:c r="A4011" s="379" t="n">
        <x:v>49662</x:v>
      </x:c>
      <x:c r="B4011" s="380" t="n">
        <x:v>2035</x:v>
      </x:c>
      <x:c r="C4011" s="380" t="n">
        <x:v>12</x:v>
      </x:c>
      <x:c r="D4011" s="380" t="str">
        <x:v>Dec</x:v>
      </x:c>
      <x:c r="E4011" s="380" t="n">
        <x:v>19</x:v>
      </x:c>
      <x:c r="F4011" s="380" t="n">
        <x:v>3</x:v>
      </x:c>
      <x:c r="G4011" s="380" t="n">
        <x:f>--(F4011&lt;='Estimator'!$B$7)</x:f>
        <x:v>1</x:v>
      </x:c>
      <x:c r="H4011" s="381" t="n">
        <x:f>SUMIFS('Climate Data'!$G$7:$G$366,'Climate Data'!$A$7:$A$366,'Estimator'!$B$4,'Climate Data'!$B$7:$B$366,C4011)</x:f>
        <x:v>0.2914349276974416</x:v>
      </x:c>
      <x:c r="I4011" s="382" t="n">
        <x:f>SUMIFS('Climate Data'!$H$7:$H$366,'Climate Data'!$A$7:$A$366,'Estimator'!$B$4,'Climate Data'!$B$7:$B$366,C4011)</x:f>
        <x:v>9.043129770992365</x:v>
      </x:c>
      <x:c r="J4011" s="381" t="n">
        <x:f>SUMIFS('Wind Proxy'!$H$8:$H$19,'Wind Proxy'!$A$8:$A$19,'Estimator'!$B$4,'Wind Proxy'!$B$8:$B$19,C4011)</x:f>
        <x:v>0.12544802867383514</x:v>
      </x:c>
    </x:row>
    <x:row r="4012">
      <x:c r="A4012" s="379" t="n">
        <x:v>49663</x:v>
      </x:c>
      <x:c r="B4012" s="380" t="n">
        <x:v>2035</x:v>
      </x:c>
      <x:c r="C4012" s="380" t="n">
        <x:v>12</x:v>
      </x:c>
      <x:c r="D4012" s="380" t="str">
        <x:v>Dec</x:v>
      </x:c>
      <x:c r="E4012" s="380" t="n">
        <x:v>20</x:v>
      </x:c>
      <x:c r="F4012" s="380" t="n">
        <x:v>4</x:v>
      </x:c>
      <x:c r="G4012" s="380" t="n">
        <x:f>--(F4012&lt;='Estimator'!$B$7)</x:f>
        <x:v>1</x:v>
      </x:c>
      <x:c r="H4012" s="381" t="n">
        <x:f>SUMIFS('Climate Data'!$G$7:$G$366,'Climate Data'!$A$7:$A$366,'Estimator'!$B$4,'Climate Data'!$B$7:$B$366,C4012)</x:f>
        <x:v>0.2914349276974416</x:v>
      </x:c>
      <x:c r="I4012" s="382" t="n">
        <x:f>SUMIFS('Climate Data'!$H$7:$H$366,'Climate Data'!$A$7:$A$366,'Estimator'!$B$4,'Climate Data'!$B$7:$B$366,C4012)</x:f>
        <x:v>9.043129770992365</x:v>
      </x:c>
      <x:c r="J4012" s="381" t="n">
        <x:f>SUMIFS('Wind Proxy'!$H$8:$H$19,'Wind Proxy'!$A$8:$A$19,'Estimator'!$B$4,'Wind Proxy'!$B$8:$B$19,C4012)</x:f>
        <x:v>0.12544802867383514</x:v>
      </x:c>
    </x:row>
    <x:row r="4013">
      <x:c r="A4013" s="379" t="n">
        <x:v>49664</x:v>
      </x:c>
      <x:c r="B4013" s="380" t="n">
        <x:v>2035</x:v>
      </x:c>
      <x:c r="C4013" s="380" t="n">
        <x:v>12</x:v>
      </x:c>
      <x:c r="D4013" s="380" t="str">
        <x:v>Dec</x:v>
      </x:c>
      <x:c r="E4013" s="380" t="n">
        <x:v>21</x:v>
      </x:c>
      <x:c r="F4013" s="380" t="n">
        <x:v>5</x:v>
      </x:c>
      <x:c r="G4013" s="380" t="n">
        <x:f>--(F4013&lt;='Estimator'!$B$7)</x:f>
        <x:v>1</x:v>
      </x:c>
      <x:c r="H4013" s="381" t="n">
        <x:f>SUMIFS('Climate Data'!$G$7:$G$366,'Climate Data'!$A$7:$A$366,'Estimator'!$B$4,'Climate Data'!$B$7:$B$366,C4013)</x:f>
        <x:v>0.2914349276974416</x:v>
      </x:c>
      <x:c r="I4013" s="382" t="n">
        <x:f>SUMIFS('Climate Data'!$H$7:$H$366,'Climate Data'!$A$7:$A$366,'Estimator'!$B$4,'Climate Data'!$B$7:$B$366,C4013)</x:f>
        <x:v>9.043129770992365</x:v>
      </x:c>
      <x:c r="J4013" s="381" t="n">
        <x:f>SUMIFS('Wind Proxy'!$H$8:$H$19,'Wind Proxy'!$A$8:$A$19,'Estimator'!$B$4,'Wind Proxy'!$B$8:$B$19,C4013)</x:f>
        <x:v>0.12544802867383514</x:v>
      </x:c>
    </x:row>
    <x:row r="4014">
      <x:c r="A4014" s="379" t="n">
        <x:v>49665</x:v>
      </x:c>
      <x:c r="B4014" s="380" t="n">
        <x:v>2035</x:v>
      </x:c>
      <x:c r="C4014" s="380" t="n">
        <x:v>12</x:v>
      </x:c>
      <x:c r="D4014" s="380" t="str">
        <x:v>Dec</x:v>
      </x:c>
      <x:c r="E4014" s="380" t="n">
        <x:v>22</x:v>
      </x:c>
      <x:c r="F4014" s="380" t="n">
        <x:v>6</x:v>
      </x:c>
      <x:c r="G4014" s="380" t="n">
        <x:f>--(F4014&lt;='Estimator'!$B$7)</x:f>
        <x:v>0</x:v>
      </x:c>
      <x:c r="H4014" s="381" t="n">
        <x:f>SUMIFS('Climate Data'!$G$7:$G$366,'Climate Data'!$A$7:$A$366,'Estimator'!$B$4,'Climate Data'!$B$7:$B$366,C4014)</x:f>
        <x:v>0.2914349276974416</x:v>
      </x:c>
      <x:c r="I4014" s="382" t="n">
        <x:f>SUMIFS('Climate Data'!$H$7:$H$366,'Climate Data'!$A$7:$A$366,'Estimator'!$B$4,'Climate Data'!$B$7:$B$366,C4014)</x:f>
        <x:v>9.043129770992365</x:v>
      </x:c>
      <x:c r="J4014" s="381" t="n">
        <x:f>SUMIFS('Wind Proxy'!$H$8:$H$19,'Wind Proxy'!$A$8:$A$19,'Estimator'!$B$4,'Wind Proxy'!$B$8:$B$19,C4014)</x:f>
        <x:v>0.12544802867383514</x:v>
      </x:c>
    </x:row>
    <x:row r="4015">
      <x:c r="A4015" s="379" t="n">
        <x:v>49666</x:v>
      </x:c>
      <x:c r="B4015" s="380" t="n">
        <x:v>2035</x:v>
      </x:c>
      <x:c r="C4015" s="380" t="n">
        <x:v>12</x:v>
      </x:c>
      <x:c r="D4015" s="380" t="str">
        <x:v>Dec</x:v>
      </x:c>
      <x:c r="E4015" s="380" t="n">
        <x:v>23</x:v>
      </x:c>
      <x:c r="F4015" s="380" t="n">
        <x:v>7</x:v>
      </x:c>
      <x:c r="G4015" s="380" t="n">
        <x:f>--(F4015&lt;='Estimator'!$B$7)</x:f>
        <x:v>0</x:v>
      </x:c>
      <x:c r="H4015" s="381" t="n">
        <x:f>SUMIFS('Climate Data'!$G$7:$G$366,'Climate Data'!$A$7:$A$366,'Estimator'!$B$4,'Climate Data'!$B$7:$B$366,C4015)</x:f>
        <x:v>0.2914349276974416</x:v>
      </x:c>
      <x:c r="I4015" s="382" t="n">
        <x:f>SUMIFS('Climate Data'!$H$7:$H$366,'Climate Data'!$A$7:$A$366,'Estimator'!$B$4,'Climate Data'!$B$7:$B$366,C4015)</x:f>
        <x:v>9.043129770992365</x:v>
      </x:c>
      <x:c r="J4015" s="381" t="n">
        <x:f>SUMIFS('Wind Proxy'!$H$8:$H$19,'Wind Proxy'!$A$8:$A$19,'Estimator'!$B$4,'Wind Proxy'!$B$8:$B$19,C4015)</x:f>
        <x:v>0.12544802867383514</x:v>
      </x:c>
    </x:row>
    <x:row r="4016">
      <x:c r="A4016" s="379" t="n">
        <x:v>49667</x:v>
      </x:c>
      <x:c r="B4016" s="380" t="n">
        <x:v>2035</x:v>
      </x:c>
      <x:c r="C4016" s="380" t="n">
        <x:v>12</x:v>
      </x:c>
      <x:c r="D4016" s="380" t="str">
        <x:v>Dec</x:v>
      </x:c>
      <x:c r="E4016" s="380" t="n">
        <x:v>24</x:v>
      </x:c>
      <x:c r="F4016" s="380" t="n">
        <x:v>1</x:v>
      </x:c>
      <x:c r="G4016" s="380" t="n">
        <x:f>--(F4016&lt;='Estimator'!$B$7)</x:f>
        <x:v>1</x:v>
      </x:c>
      <x:c r="H4016" s="381" t="n">
        <x:f>SUMIFS('Climate Data'!$G$7:$G$366,'Climate Data'!$A$7:$A$366,'Estimator'!$B$4,'Climate Data'!$B$7:$B$366,C4016)</x:f>
        <x:v>0.2914349276974416</x:v>
      </x:c>
      <x:c r="I4016" s="382" t="n">
        <x:f>SUMIFS('Climate Data'!$H$7:$H$366,'Climate Data'!$A$7:$A$366,'Estimator'!$B$4,'Climate Data'!$B$7:$B$366,C4016)</x:f>
        <x:v>9.043129770992365</x:v>
      </x:c>
      <x:c r="J4016" s="381" t="n">
        <x:f>SUMIFS('Wind Proxy'!$H$8:$H$19,'Wind Proxy'!$A$8:$A$19,'Estimator'!$B$4,'Wind Proxy'!$B$8:$B$19,C4016)</x:f>
        <x:v>0.12544802867383514</x:v>
      </x:c>
    </x:row>
    <x:row r="4017">
      <x:c r="A4017" s="379" t="n">
        <x:v>49668</x:v>
      </x:c>
      <x:c r="B4017" s="380" t="n">
        <x:v>2035</x:v>
      </x:c>
      <x:c r="C4017" s="380" t="n">
        <x:v>12</x:v>
      </x:c>
      <x:c r="D4017" s="380" t="str">
        <x:v>Dec</x:v>
      </x:c>
      <x:c r="E4017" s="380" t="n">
        <x:v>25</x:v>
      </x:c>
      <x:c r="F4017" s="380" t="n">
        <x:v>2</x:v>
      </x:c>
      <x:c r="G4017" s="380" t="n">
        <x:f>--(F4017&lt;='Estimator'!$B$7)</x:f>
        <x:v>1</x:v>
      </x:c>
      <x:c r="H4017" s="381" t="n">
        <x:f>SUMIFS('Climate Data'!$G$7:$G$366,'Climate Data'!$A$7:$A$366,'Estimator'!$B$4,'Climate Data'!$B$7:$B$366,C4017)</x:f>
        <x:v>0.2914349276974416</x:v>
      </x:c>
      <x:c r="I4017" s="382" t="n">
        <x:f>SUMIFS('Climate Data'!$H$7:$H$366,'Climate Data'!$A$7:$A$366,'Estimator'!$B$4,'Climate Data'!$B$7:$B$366,C4017)</x:f>
        <x:v>9.043129770992365</x:v>
      </x:c>
      <x:c r="J4017" s="381" t="n">
        <x:f>SUMIFS('Wind Proxy'!$H$8:$H$19,'Wind Proxy'!$A$8:$A$19,'Estimator'!$B$4,'Wind Proxy'!$B$8:$B$19,C4017)</x:f>
        <x:v>0.12544802867383514</x:v>
      </x:c>
    </x:row>
    <x:row r="4018">
      <x:c r="A4018" s="379" t="n">
        <x:v>49669</x:v>
      </x:c>
      <x:c r="B4018" s="380" t="n">
        <x:v>2035</x:v>
      </x:c>
      <x:c r="C4018" s="380" t="n">
        <x:v>12</x:v>
      </x:c>
      <x:c r="D4018" s="380" t="str">
        <x:v>Dec</x:v>
      </x:c>
      <x:c r="E4018" s="380" t="n">
        <x:v>26</x:v>
      </x:c>
      <x:c r="F4018" s="380" t="n">
        <x:v>3</x:v>
      </x:c>
      <x:c r="G4018" s="380" t="n">
        <x:f>--(F4018&lt;='Estimator'!$B$7)</x:f>
        <x:v>1</x:v>
      </x:c>
      <x:c r="H4018" s="381" t="n">
        <x:f>SUMIFS('Climate Data'!$G$7:$G$366,'Climate Data'!$A$7:$A$366,'Estimator'!$B$4,'Climate Data'!$B$7:$B$366,C4018)</x:f>
        <x:v>0.2914349276974416</x:v>
      </x:c>
      <x:c r="I4018" s="382" t="n">
        <x:f>SUMIFS('Climate Data'!$H$7:$H$366,'Climate Data'!$A$7:$A$366,'Estimator'!$B$4,'Climate Data'!$B$7:$B$366,C4018)</x:f>
        <x:v>9.043129770992365</x:v>
      </x:c>
      <x:c r="J4018" s="381" t="n">
        <x:f>SUMIFS('Wind Proxy'!$H$8:$H$19,'Wind Proxy'!$A$8:$A$19,'Estimator'!$B$4,'Wind Proxy'!$B$8:$B$19,C4018)</x:f>
        <x:v>0.12544802867383514</x:v>
      </x:c>
    </x:row>
    <x:row r="4019">
      <x:c r="A4019" s="379" t="n">
        <x:v>49670</x:v>
      </x:c>
      <x:c r="B4019" s="380" t="n">
        <x:v>2035</x:v>
      </x:c>
      <x:c r="C4019" s="380" t="n">
        <x:v>12</x:v>
      </x:c>
      <x:c r="D4019" s="380" t="str">
        <x:v>Dec</x:v>
      </x:c>
      <x:c r="E4019" s="380" t="n">
        <x:v>27</x:v>
      </x:c>
      <x:c r="F4019" s="380" t="n">
        <x:v>4</x:v>
      </x:c>
      <x:c r="G4019" s="380" t="n">
        <x:f>--(F4019&lt;='Estimator'!$B$7)</x:f>
        <x:v>1</x:v>
      </x:c>
      <x:c r="H4019" s="381" t="n">
        <x:f>SUMIFS('Climate Data'!$G$7:$G$366,'Climate Data'!$A$7:$A$366,'Estimator'!$B$4,'Climate Data'!$B$7:$B$366,C4019)</x:f>
        <x:v>0.2914349276974416</x:v>
      </x:c>
      <x:c r="I4019" s="382" t="n">
        <x:f>SUMIFS('Climate Data'!$H$7:$H$366,'Climate Data'!$A$7:$A$366,'Estimator'!$B$4,'Climate Data'!$B$7:$B$366,C4019)</x:f>
        <x:v>9.043129770992365</x:v>
      </x:c>
      <x:c r="J4019" s="381" t="n">
        <x:f>SUMIFS('Wind Proxy'!$H$8:$H$19,'Wind Proxy'!$A$8:$A$19,'Estimator'!$B$4,'Wind Proxy'!$B$8:$B$19,C4019)</x:f>
        <x:v>0.12544802867383514</x:v>
      </x:c>
    </x:row>
    <x:row r="4020">
      <x:c r="A4020" s="379" t="n">
        <x:v>49671</x:v>
      </x:c>
      <x:c r="B4020" s="380" t="n">
        <x:v>2035</x:v>
      </x:c>
      <x:c r="C4020" s="380" t="n">
        <x:v>12</x:v>
      </x:c>
      <x:c r="D4020" s="380" t="str">
        <x:v>Dec</x:v>
      </x:c>
      <x:c r="E4020" s="380" t="n">
        <x:v>28</x:v>
      </x:c>
      <x:c r="F4020" s="380" t="n">
        <x:v>5</x:v>
      </x:c>
      <x:c r="G4020" s="380" t="n">
        <x:f>--(F4020&lt;='Estimator'!$B$7)</x:f>
        <x:v>1</x:v>
      </x:c>
      <x:c r="H4020" s="381" t="n">
        <x:f>SUMIFS('Climate Data'!$G$7:$G$366,'Climate Data'!$A$7:$A$366,'Estimator'!$B$4,'Climate Data'!$B$7:$B$366,C4020)</x:f>
        <x:v>0.2914349276974416</x:v>
      </x:c>
      <x:c r="I4020" s="382" t="n">
        <x:f>SUMIFS('Climate Data'!$H$7:$H$366,'Climate Data'!$A$7:$A$366,'Estimator'!$B$4,'Climate Data'!$B$7:$B$366,C4020)</x:f>
        <x:v>9.043129770992365</x:v>
      </x:c>
      <x:c r="J4020" s="381" t="n">
        <x:f>SUMIFS('Wind Proxy'!$H$8:$H$19,'Wind Proxy'!$A$8:$A$19,'Estimator'!$B$4,'Wind Proxy'!$B$8:$B$19,C4020)</x:f>
        <x:v>0.12544802867383514</x:v>
      </x:c>
    </x:row>
    <x:row r="4021">
      <x:c r="A4021" s="379" t="n">
        <x:v>49672</x:v>
      </x:c>
      <x:c r="B4021" s="380" t="n">
        <x:v>2035</x:v>
      </x:c>
      <x:c r="C4021" s="380" t="n">
        <x:v>12</x:v>
      </x:c>
      <x:c r="D4021" s="380" t="str">
        <x:v>Dec</x:v>
      </x:c>
      <x:c r="E4021" s="380" t="n">
        <x:v>29</x:v>
      </x:c>
      <x:c r="F4021" s="380" t="n">
        <x:v>6</x:v>
      </x:c>
      <x:c r="G4021" s="380" t="n">
        <x:f>--(F4021&lt;='Estimator'!$B$7)</x:f>
        <x:v>0</x:v>
      </x:c>
      <x:c r="H4021" s="381" t="n">
        <x:f>SUMIFS('Climate Data'!$G$7:$G$366,'Climate Data'!$A$7:$A$366,'Estimator'!$B$4,'Climate Data'!$B$7:$B$366,C4021)</x:f>
        <x:v>0.2914349276974416</x:v>
      </x:c>
      <x:c r="I4021" s="382" t="n">
        <x:f>SUMIFS('Climate Data'!$H$7:$H$366,'Climate Data'!$A$7:$A$366,'Estimator'!$B$4,'Climate Data'!$B$7:$B$366,C4021)</x:f>
        <x:v>9.043129770992365</x:v>
      </x:c>
      <x:c r="J4021" s="381" t="n">
        <x:f>SUMIFS('Wind Proxy'!$H$8:$H$19,'Wind Proxy'!$A$8:$A$19,'Estimator'!$B$4,'Wind Proxy'!$B$8:$B$19,C4021)</x:f>
        <x:v>0.12544802867383514</x:v>
      </x:c>
    </x:row>
    <x:row r="4022">
      <x:c r="A4022" s="379" t="n">
        <x:v>49673</x:v>
      </x:c>
      <x:c r="B4022" s="380" t="n">
        <x:v>2035</x:v>
      </x:c>
      <x:c r="C4022" s="380" t="n">
        <x:v>12</x:v>
      </x:c>
      <x:c r="D4022" s="380" t="str">
        <x:v>Dec</x:v>
      </x:c>
      <x:c r="E4022" s="380" t="n">
        <x:v>30</x:v>
      </x:c>
      <x:c r="F4022" s="380" t="n">
        <x:v>7</x:v>
      </x:c>
      <x:c r="G4022" s="380" t="n">
        <x:f>--(F4022&lt;='Estimator'!$B$7)</x:f>
        <x:v>0</x:v>
      </x:c>
      <x:c r="H4022" s="381" t="n">
        <x:f>SUMIFS('Climate Data'!$G$7:$G$366,'Climate Data'!$A$7:$A$366,'Estimator'!$B$4,'Climate Data'!$B$7:$B$366,C4022)</x:f>
        <x:v>0.2914349276974416</x:v>
      </x:c>
      <x:c r="I4022" s="382" t="n">
        <x:f>SUMIFS('Climate Data'!$H$7:$H$366,'Climate Data'!$A$7:$A$366,'Estimator'!$B$4,'Climate Data'!$B$7:$B$366,C4022)</x:f>
        <x:v>9.043129770992365</x:v>
      </x:c>
      <x:c r="J4022" s="381" t="n">
        <x:f>SUMIFS('Wind Proxy'!$H$8:$H$19,'Wind Proxy'!$A$8:$A$19,'Estimator'!$B$4,'Wind Proxy'!$B$8:$B$19,C4022)</x:f>
        <x:v>0.12544802867383514</x:v>
      </x:c>
    </x:row>
    <x:row r="4023">
      <x:c r="A4023" s="379" t="n">
        <x:v>49674</x:v>
      </x:c>
      <x:c r="B4023" s="380" t="n">
        <x:v>2035</x:v>
      </x:c>
      <x:c r="C4023" s="380" t="n">
        <x:v>12</x:v>
      </x:c>
      <x:c r="D4023" s="380" t="str">
        <x:v>Dec</x:v>
      </x:c>
      <x:c r="E4023" s="380" t="n">
        <x:v>31</x:v>
      </x:c>
      <x:c r="F4023" s="380" t="n">
        <x:v>1</x:v>
      </x:c>
      <x:c r="G4023" s="380" t="n">
        <x:f>--(F4023&lt;='Estimator'!$B$7)</x:f>
        <x:v>1</x:v>
      </x:c>
      <x:c r="H4023" s="381" t="n">
        <x:f>SUMIFS('Climate Data'!$G$7:$G$366,'Climate Data'!$A$7:$A$366,'Estimator'!$B$4,'Climate Data'!$B$7:$B$366,C4023)</x:f>
        <x:v>0.2914349276974416</x:v>
      </x:c>
      <x:c r="I4023" s="382" t="n">
        <x:f>SUMIFS('Climate Data'!$H$7:$H$366,'Climate Data'!$A$7:$A$366,'Estimator'!$B$4,'Climate Data'!$B$7:$B$366,C4023)</x:f>
        <x:v>9.043129770992365</x:v>
      </x:c>
      <x:c r="J4023" s="381" t="n">
        <x:f>SUMIFS('Wind Proxy'!$H$8:$H$19,'Wind Proxy'!$A$8:$A$19,'Estimator'!$B$4,'Wind Proxy'!$B$8:$B$19,C4023)</x:f>
        <x:v>0.12544802867383514</x:v>
      </x:c>
    </x:row>
    <x:row r="4024">
      <x:c r="A4024" s="379" t="n">
        <x:v>49675</x:v>
      </x:c>
      <x:c r="B4024" s="380" t="n">
        <x:v>2036</x:v>
      </x:c>
      <x:c r="C4024" s="380" t="n">
        <x:v>1</x:v>
      </x:c>
      <x:c r="D4024" s="380" t="str">
        <x:v>Jan</x:v>
      </x:c>
      <x:c r="E4024" s="380" t="n">
        <x:v>1</x:v>
      </x:c>
      <x:c r="F4024" s="380" t="n">
        <x:v>2</x:v>
      </x:c>
      <x:c r="G4024" s="380" t="n">
        <x:f>--(F4024&lt;='Estimator'!$B$7)</x:f>
        <x:v>1</x:v>
      </x:c>
      <x:c r="H4024" s="381" t="n">
        <x:f>SUMIFS('Climate Data'!$G$7:$G$366,'Climate Data'!$A$7:$A$366,'Estimator'!$B$4,'Climate Data'!$B$7:$B$366,C4024)</x:f>
        <x:v>0.21802002224694106</x:v>
      </x:c>
      <x:c r="I4024" s="382" t="n">
        <x:f>SUMIFS('Climate Data'!$H$7:$H$366,'Climate Data'!$A$7:$A$366,'Estimator'!$B$4,'Climate Data'!$B$7:$B$366,C4024)</x:f>
        <x:v>8.596428571428572</x:v>
      </x:c>
      <x:c r="J4024" s="381" t="n">
        <x:f>SUMIFS('Wind Proxy'!$H$8:$H$19,'Wind Proxy'!$A$8:$A$19,'Estimator'!$B$4,'Wind Proxy'!$B$8:$B$19,C4024)</x:f>
        <x:v>0.12544802867383514</x:v>
      </x:c>
    </x:row>
    <x:row r="4025">
      <x:c r="A4025" s="379" t="n">
        <x:v>49676</x:v>
      </x:c>
      <x:c r="B4025" s="380" t="n">
        <x:v>2036</x:v>
      </x:c>
      <x:c r="C4025" s="380" t="n">
        <x:v>1</x:v>
      </x:c>
      <x:c r="D4025" s="380" t="str">
        <x:v>Jan</x:v>
      </x:c>
      <x:c r="E4025" s="380" t="n">
        <x:v>2</x:v>
      </x:c>
      <x:c r="F4025" s="380" t="n">
        <x:v>3</x:v>
      </x:c>
      <x:c r="G4025" s="380" t="n">
        <x:f>--(F4025&lt;='Estimator'!$B$7)</x:f>
        <x:v>1</x:v>
      </x:c>
      <x:c r="H4025" s="381" t="n">
        <x:f>SUMIFS('Climate Data'!$G$7:$G$366,'Climate Data'!$A$7:$A$366,'Estimator'!$B$4,'Climate Data'!$B$7:$B$366,C4025)</x:f>
        <x:v>0.21802002224694106</x:v>
      </x:c>
      <x:c r="I4025" s="382" t="n">
        <x:f>SUMIFS('Climate Data'!$H$7:$H$366,'Climate Data'!$A$7:$A$366,'Estimator'!$B$4,'Climate Data'!$B$7:$B$366,C4025)</x:f>
        <x:v>8.596428571428572</x:v>
      </x:c>
      <x:c r="J4025" s="381" t="n">
        <x:f>SUMIFS('Wind Proxy'!$H$8:$H$19,'Wind Proxy'!$A$8:$A$19,'Estimator'!$B$4,'Wind Proxy'!$B$8:$B$19,C4025)</x:f>
        <x:v>0.12544802867383514</x:v>
      </x:c>
    </x:row>
    <x:row r="4026">
      <x:c r="A4026" s="379" t="n">
        <x:v>49677</x:v>
      </x:c>
      <x:c r="B4026" s="380" t="n">
        <x:v>2036</x:v>
      </x:c>
      <x:c r="C4026" s="380" t="n">
        <x:v>1</x:v>
      </x:c>
      <x:c r="D4026" s="380" t="str">
        <x:v>Jan</x:v>
      </x:c>
      <x:c r="E4026" s="380" t="n">
        <x:v>3</x:v>
      </x:c>
      <x:c r="F4026" s="380" t="n">
        <x:v>4</x:v>
      </x:c>
      <x:c r="G4026" s="380" t="n">
        <x:f>--(F4026&lt;='Estimator'!$B$7)</x:f>
        <x:v>1</x:v>
      </x:c>
      <x:c r="H4026" s="381" t="n">
        <x:f>SUMIFS('Climate Data'!$G$7:$G$366,'Climate Data'!$A$7:$A$366,'Estimator'!$B$4,'Climate Data'!$B$7:$B$366,C4026)</x:f>
        <x:v>0.21802002224694106</x:v>
      </x:c>
      <x:c r="I4026" s="382" t="n">
        <x:f>SUMIFS('Climate Data'!$H$7:$H$366,'Climate Data'!$A$7:$A$366,'Estimator'!$B$4,'Climate Data'!$B$7:$B$366,C4026)</x:f>
        <x:v>8.596428571428572</x:v>
      </x:c>
      <x:c r="J4026" s="381" t="n">
        <x:f>SUMIFS('Wind Proxy'!$H$8:$H$19,'Wind Proxy'!$A$8:$A$19,'Estimator'!$B$4,'Wind Proxy'!$B$8:$B$19,C4026)</x:f>
        <x:v>0.12544802867383514</x:v>
      </x:c>
    </x:row>
    <x:row r="4027">
      <x:c r="A4027" s="379" t="n">
        <x:v>49678</x:v>
      </x:c>
      <x:c r="B4027" s="380" t="n">
        <x:v>2036</x:v>
      </x:c>
      <x:c r="C4027" s="380" t="n">
        <x:v>1</x:v>
      </x:c>
      <x:c r="D4027" s="380" t="str">
        <x:v>Jan</x:v>
      </x:c>
      <x:c r="E4027" s="380" t="n">
        <x:v>4</x:v>
      </x:c>
      <x:c r="F4027" s="380" t="n">
        <x:v>5</x:v>
      </x:c>
      <x:c r="G4027" s="380" t="n">
        <x:f>--(F4027&lt;='Estimator'!$B$7)</x:f>
        <x:v>1</x:v>
      </x:c>
      <x:c r="H4027" s="381" t="n">
        <x:f>SUMIFS('Climate Data'!$G$7:$G$366,'Climate Data'!$A$7:$A$366,'Estimator'!$B$4,'Climate Data'!$B$7:$B$366,C4027)</x:f>
        <x:v>0.21802002224694106</x:v>
      </x:c>
      <x:c r="I4027" s="382" t="n">
        <x:f>SUMIFS('Climate Data'!$H$7:$H$366,'Climate Data'!$A$7:$A$366,'Estimator'!$B$4,'Climate Data'!$B$7:$B$366,C4027)</x:f>
        <x:v>8.596428571428572</x:v>
      </x:c>
      <x:c r="J4027" s="381" t="n">
        <x:f>SUMIFS('Wind Proxy'!$H$8:$H$19,'Wind Proxy'!$A$8:$A$19,'Estimator'!$B$4,'Wind Proxy'!$B$8:$B$19,C4027)</x:f>
        <x:v>0.12544802867383514</x:v>
      </x:c>
    </x:row>
    <x:row r="4028">
      <x:c r="A4028" s="379" t="n">
        <x:v>49679</x:v>
      </x:c>
      <x:c r="B4028" s="380" t="n">
        <x:v>2036</x:v>
      </x:c>
      <x:c r="C4028" s="380" t="n">
        <x:v>1</x:v>
      </x:c>
      <x:c r="D4028" s="380" t="str">
        <x:v>Jan</x:v>
      </x:c>
      <x:c r="E4028" s="380" t="n">
        <x:v>5</x:v>
      </x:c>
      <x:c r="F4028" s="380" t="n">
        <x:v>6</x:v>
      </x:c>
      <x:c r="G4028" s="380" t="n">
        <x:f>--(F4028&lt;='Estimator'!$B$7)</x:f>
        <x:v>0</x:v>
      </x:c>
      <x:c r="H4028" s="381" t="n">
        <x:f>SUMIFS('Climate Data'!$G$7:$G$366,'Climate Data'!$A$7:$A$366,'Estimator'!$B$4,'Climate Data'!$B$7:$B$366,C4028)</x:f>
        <x:v>0.21802002224694106</x:v>
      </x:c>
      <x:c r="I4028" s="382" t="n">
        <x:f>SUMIFS('Climate Data'!$H$7:$H$366,'Climate Data'!$A$7:$A$366,'Estimator'!$B$4,'Climate Data'!$B$7:$B$366,C4028)</x:f>
        <x:v>8.596428571428572</x:v>
      </x:c>
      <x:c r="J4028" s="381" t="n">
        <x:f>SUMIFS('Wind Proxy'!$H$8:$H$19,'Wind Proxy'!$A$8:$A$19,'Estimator'!$B$4,'Wind Proxy'!$B$8:$B$19,C4028)</x:f>
        <x:v>0.12544802867383514</x:v>
      </x:c>
    </x:row>
    <x:row r="4029">
      <x:c r="A4029" s="379" t="n">
        <x:v>49680</x:v>
      </x:c>
      <x:c r="B4029" s="380" t="n">
        <x:v>2036</x:v>
      </x:c>
      <x:c r="C4029" s="380" t="n">
        <x:v>1</x:v>
      </x:c>
      <x:c r="D4029" s="380" t="str">
        <x:v>Jan</x:v>
      </x:c>
      <x:c r="E4029" s="380" t="n">
        <x:v>6</x:v>
      </x:c>
      <x:c r="F4029" s="380" t="n">
        <x:v>7</x:v>
      </x:c>
      <x:c r="G4029" s="380" t="n">
        <x:f>--(F4029&lt;='Estimator'!$B$7)</x:f>
        <x:v>0</x:v>
      </x:c>
      <x:c r="H4029" s="381" t="n">
        <x:f>SUMIFS('Climate Data'!$G$7:$G$366,'Climate Data'!$A$7:$A$366,'Estimator'!$B$4,'Climate Data'!$B$7:$B$366,C4029)</x:f>
        <x:v>0.21802002224694106</x:v>
      </x:c>
      <x:c r="I4029" s="382" t="n">
        <x:f>SUMIFS('Climate Data'!$H$7:$H$366,'Climate Data'!$A$7:$A$366,'Estimator'!$B$4,'Climate Data'!$B$7:$B$366,C4029)</x:f>
        <x:v>8.596428571428572</x:v>
      </x:c>
      <x:c r="J4029" s="381" t="n">
        <x:f>SUMIFS('Wind Proxy'!$H$8:$H$19,'Wind Proxy'!$A$8:$A$19,'Estimator'!$B$4,'Wind Proxy'!$B$8:$B$19,C4029)</x:f>
        <x:v>0.12544802867383514</x:v>
      </x:c>
    </x:row>
    <x:row r="4030">
      <x:c r="A4030" s="379" t="n">
        <x:v>49681</x:v>
      </x:c>
      <x:c r="B4030" s="380" t="n">
        <x:v>2036</x:v>
      </x:c>
      <x:c r="C4030" s="380" t="n">
        <x:v>1</x:v>
      </x:c>
      <x:c r="D4030" s="380" t="str">
        <x:v>Jan</x:v>
      </x:c>
      <x:c r="E4030" s="380" t="n">
        <x:v>7</x:v>
      </x:c>
      <x:c r="F4030" s="380" t="n">
        <x:v>1</x:v>
      </x:c>
      <x:c r="G4030" s="380" t="n">
        <x:f>--(F4030&lt;='Estimator'!$B$7)</x:f>
        <x:v>1</x:v>
      </x:c>
      <x:c r="H4030" s="381" t="n">
        <x:f>SUMIFS('Climate Data'!$G$7:$G$366,'Climate Data'!$A$7:$A$366,'Estimator'!$B$4,'Climate Data'!$B$7:$B$366,C4030)</x:f>
        <x:v>0.21802002224694106</x:v>
      </x:c>
      <x:c r="I4030" s="382" t="n">
        <x:f>SUMIFS('Climate Data'!$H$7:$H$366,'Climate Data'!$A$7:$A$366,'Estimator'!$B$4,'Climate Data'!$B$7:$B$366,C4030)</x:f>
        <x:v>8.596428571428572</x:v>
      </x:c>
      <x:c r="J4030" s="381" t="n">
        <x:f>SUMIFS('Wind Proxy'!$H$8:$H$19,'Wind Proxy'!$A$8:$A$19,'Estimator'!$B$4,'Wind Proxy'!$B$8:$B$19,C4030)</x:f>
        <x:v>0.12544802867383514</x:v>
      </x:c>
    </x:row>
    <x:row r="4031">
      <x:c r="A4031" s="379" t="n">
        <x:v>49682</x:v>
      </x:c>
      <x:c r="B4031" s="380" t="n">
        <x:v>2036</x:v>
      </x:c>
      <x:c r="C4031" s="380" t="n">
        <x:v>1</x:v>
      </x:c>
      <x:c r="D4031" s="380" t="str">
        <x:v>Jan</x:v>
      </x:c>
      <x:c r="E4031" s="380" t="n">
        <x:v>8</x:v>
      </x:c>
      <x:c r="F4031" s="380" t="n">
        <x:v>2</x:v>
      </x:c>
      <x:c r="G4031" s="380" t="n">
        <x:f>--(F4031&lt;='Estimator'!$B$7)</x:f>
        <x:v>1</x:v>
      </x:c>
      <x:c r="H4031" s="381" t="n">
        <x:f>SUMIFS('Climate Data'!$G$7:$G$366,'Climate Data'!$A$7:$A$366,'Estimator'!$B$4,'Climate Data'!$B$7:$B$366,C4031)</x:f>
        <x:v>0.21802002224694106</x:v>
      </x:c>
      <x:c r="I4031" s="382" t="n">
        <x:f>SUMIFS('Climate Data'!$H$7:$H$366,'Climate Data'!$A$7:$A$366,'Estimator'!$B$4,'Climate Data'!$B$7:$B$366,C4031)</x:f>
        <x:v>8.596428571428572</x:v>
      </x:c>
      <x:c r="J4031" s="381" t="n">
        <x:f>SUMIFS('Wind Proxy'!$H$8:$H$19,'Wind Proxy'!$A$8:$A$19,'Estimator'!$B$4,'Wind Proxy'!$B$8:$B$19,C4031)</x:f>
        <x:v>0.12544802867383514</x:v>
      </x:c>
    </x:row>
    <x:row r="4032">
      <x:c r="A4032" s="379" t="n">
        <x:v>49683</x:v>
      </x:c>
      <x:c r="B4032" s="380" t="n">
        <x:v>2036</x:v>
      </x:c>
      <x:c r="C4032" s="380" t="n">
        <x:v>1</x:v>
      </x:c>
      <x:c r="D4032" s="380" t="str">
        <x:v>Jan</x:v>
      </x:c>
      <x:c r="E4032" s="380" t="n">
        <x:v>9</x:v>
      </x:c>
      <x:c r="F4032" s="380" t="n">
        <x:v>3</x:v>
      </x:c>
      <x:c r="G4032" s="380" t="n">
        <x:f>--(F4032&lt;='Estimator'!$B$7)</x:f>
        <x:v>1</x:v>
      </x:c>
      <x:c r="H4032" s="381" t="n">
        <x:f>SUMIFS('Climate Data'!$G$7:$G$366,'Climate Data'!$A$7:$A$366,'Estimator'!$B$4,'Climate Data'!$B$7:$B$366,C4032)</x:f>
        <x:v>0.21802002224694106</x:v>
      </x:c>
      <x:c r="I4032" s="382" t="n">
        <x:f>SUMIFS('Climate Data'!$H$7:$H$366,'Climate Data'!$A$7:$A$366,'Estimator'!$B$4,'Climate Data'!$B$7:$B$366,C4032)</x:f>
        <x:v>8.596428571428572</x:v>
      </x:c>
      <x:c r="J4032" s="381" t="n">
        <x:f>SUMIFS('Wind Proxy'!$H$8:$H$19,'Wind Proxy'!$A$8:$A$19,'Estimator'!$B$4,'Wind Proxy'!$B$8:$B$19,C4032)</x:f>
        <x:v>0.12544802867383514</x:v>
      </x:c>
    </x:row>
    <x:row r="4033">
      <x:c r="A4033" s="379" t="n">
        <x:v>49684</x:v>
      </x:c>
      <x:c r="B4033" s="380" t="n">
        <x:v>2036</x:v>
      </x:c>
      <x:c r="C4033" s="380" t="n">
        <x:v>1</x:v>
      </x:c>
      <x:c r="D4033" s="380" t="str">
        <x:v>Jan</x:v>
      </x:c>
      <x:c r="E4033" s="380" t="n">
        <x:v>10</x:v>
      </x:c>
      <x:c r="F4033" s="380" t="n">
        <x:v>4</x:v>
      </x:c>
      <x:c r="G4033" s="380" t="n">
        <x:f>--(F4033&lt;='Estimator'!$B$7)</x:f>
        <x:v>1</x:v>
      </x:c>
      <x:c r="H4033" s="381" t="n">
        <x:f>SUMIFS('Climate Data'!$G$7:$G$366,'Climate Data'!$A$7:$A$366,'Estimator'!$B$4,'Climate Data'!$B$7:$B$366,C4033)</x:f>
        <x:v>0.21802002224694106</x:v>
      </x:c>
      <x:c r="I4033" s="382" t="n">
        <x:f>SUMIFS('Climate Data'!$H$7:$H$366,'Climate Data'!$A$7:$A$366,'Estimator'!$B$4,'Climate Data'!$B$7:$B$366,C4033)</x:f>
        <x:v>8.596428571428572</x:v>
      </x:c>
      <x:c r="J4033" s="381" t="n">
        <x:f>SUMIFS('Wind Proxy'!$H$8:$H$19,'Wind Proxy'!$A$8:$A$19,'Estimator'!$B$4,'Wind Proxy'!$B$8:$B$19,C4033)</x:f>
        <x:v>0.12544802867383514</x:v>
      </x:c>
    </x:row>
    <x:row r="4034">
      <x:c r="A4034" s="379" t="n">
        <x:v>49685</x:v>
      </x:c>
      <x:c r="B4034" s="380" t="n">
        <x:v>2036</x:v>
      </x:c>
      <x:c r="C4034" s="380" t="n">
        <x:v>1</x:v>
      </x:c>
      <x:c r="D4034" s="380" t="str">
        <x:v>Jan</x:v>
      </x:c>
      <x:c r="E4034" s="380" t="n">
        <x:v>11</x:v>
      </x:c>
      <x:c r="F4034" s="380" t="n">
        <x:v>5</x:v>
      </x:c>
      <x:c r="G4034" s="380" t="n">
        <x:f>--(F4034&lt;='Estimator'!$B$7)</x:f>
        <x:v>1</x:v>
      </x:c>
      <x:c r="H4034" s="381" t="n">
        <x:f>SUMIFS('Climate Data'!$G$7:$G$366,'Climate Data'!$A$7:$A$366,'Estimator'!$B$4,'Climate Data'!$B$7:$B$366,C4034)</x:f>
        <x:v>0.21802002224694106</x:v>
      </x:c>
      <x:c r="I4034" s="382" t="n">
        <x:f>SUMIFS('Climate Data'!$H$7:$H$366,'Climate Data'!$A$7:$A$366,'Estimator'!$B$4,'Climate Data'!$B$7:$B$366,C4034)</x:f>
        <x:v>8.596428571428572</x:v>
      </x:c>
      <x:c r="J4034" s="381" t="n">
        <x:f>SUMIFS('Wind Proxy'!$H$8:$H$19,'Wind Proxy'!$A$8:$A$19,'Estimator'!$B$4,'Wind Proxy'!$B$8:$B$19,C4034)</x:f>
        <x:v>0.12544802867383514</x:v>
      </x:c>
    </x:row>
    <x:row r="4035">
      <x:c r="A4035" s="379" t="n">
        <x:v>49686</x:v>
      </x:c>
      <x:c r="B4035" s="380" t="n">
        <x:v>2036</x:v>
      </x:c>
      <x:c r="C4035" s="380" t="n">
        <x:v>1</x:v>
      </x:c>
      <x:c r="D4035" s="380" t="str">
        <x:v>Jan</x:v>
      </x:c>
      <x:c r="E4035" s="380" t="n">
        <x:v>12</x:v>
      </x:c>
      <x:c r="F4035" s="380" t="n">
        <x:v>6</x:v>
      </x:c>
      <x:c r="G4035" s="380" t="n">
        <x:f>--(F4035&lt;='Estimator'!$B$7)</x:f>
        <x:v>0</x:v>
      </x:c>
      <x:c r="H4035" s="381" t="n">
        <x:f>SUMIFS('Climate Data'!$G$7:$G$366,'Climate Data'!$A$7:$A$366,'Estimator'!$B$4,'Climate Data'!$B$7:$B$366,C4035)</x:f>
        <x:v>0.21802002224694106</x:v>
      </x:c>
      <x:c r="I4035" s="382" t="n">
        <x:f>SUMIFS('Climate Data'!$H$7:$H$366,'Climate Data'!$A$7:$A$366,'Estimator'!$B$4,'Climate Data'!$B$7:$B$366,C4035)</x:f>
        <x:v>8.596428571428572</x:v>
      </x:c>
      <x:c r="J4035" s="381" t="n">
        <x:f>SUMIFS('Wind Proxy'!$H$8:$H$19,'Wind Proxy'!$A$8:$A$19,'Estimator'!$B$4,'Wind Proxy'!$B$8:$B$19,C4035)</x:f>
        <x:v>0.12544802867383514</x:v>
      </x:c>
    </x:row>
    <x:row r="4036">
      <x:c r="A4036" s="379" t="n">
        <x:v>49687</x:v>
      </x:c>
      <x:c r="B4036" s="380" t="n">
        <x:v>2036</x:v>
      </x:c>
      <x:c r="C4036" s="380" t="n">
        <x:v>1</x:v>
      </x:c>
      <x:c r="D4036" s="380" t="str">
        <x:v>Jan</x:v>
      </x:c>
      <x:c r="E4036" s="380" t="n">
        <x:v>13</x:v>
      </x:c>
      <x:c r="F4036" s="380" t="n">
        <x:v>7</x:v>
      </x:c>
      <x:c r="G4036" s="380" t="n">
        <x:f>--(F4036&lt;='Estimator'!$B$7)</x:f>
        <x:v>0</x:v>
      </x:c>
      <x:c r="H4036" s="381" t="n">
        <x:f>SUMIFS('Climate Data'!$G$7:$G$366,'Climate Data'!$A$7:$A$366,'Estimator'!$B$4,'Climate Data'!$B$7:$B$366,C4036)</x:f>
        <x:v>0.21802002224694106</x:v>
      </x:c>
      <x:c r="I4036" s="382" t="n">
        <x:f>SUMIFS('Climate Data'!$H$7:$H$366,'Climate Data'!$A$7:$A$366,'Estimator'!$B$4,'Climate Data'!$B$7:$B$366,C4036)</x:f>
        <x:v>8.596428571428572</x:v>
      </x:c>
      <x:c r="J4036" s="381" t="n">
        <x:f>SUMIFS('Wind Proxy'!$H$8:$H$19,'Wind Proxy'!$A$8:$A$19,'Estimator'!$B$4,'Wind Proxy'!$B$8:$B$19,C4036)</x:f>
        <x:v>0.12544802867383514</x:v>
      </x:c>
    </x:row>
    <x:row r="4037">
      <x:c r="A4037" s="379" t="n">
        <x:v>49688</x:v>
      </x:c>
      <x:c r="B4037" s="380" t="n">
        <x:v>2036</x:v>
      </x:c>
      <x:c r="C4037" s="380" t="n">
        <x:v>1</x:v>
      </x:c>
      <x:c r="D4037" s="380" t="str">
        <x:v>Jan</x:v>
      </x:c>
      <x:c r="E4037" s="380" t="n">
        <x:v>14</x:v>
      </x:c>
      <x:c r="F4037" s="380" t="n">
        <x:v>1</x:v>
      </x:c>
      <x:c r="G4037" s="380" t="n">
        <x:f>--(F4037&lt;='Estimator'!$B$7)</x:f>
        <x:v>1</x:v>
      </x:c>
      <x:c r="H4037" s="381" t="n">
        <x:f>SUMIFS('Climate Data'!$G$7:$G$366,'Climate Data'!$A$7:$A$366,'Estimator'!$B$4,'Climate Data'!$B$7:$B$366,C4037)</x:f>
        <x:v>0.21802002224694106</x:v>
      </x:c>
      <x:c r="I4037" s="382" t="n">
        <x:f>SUMIFS('Climate Data'!$H$7:$H$366,'Climate Data'!$A$7:$A$366,'Estimator'!$B$4,'Climate Data'!$B$7:$B$366,C4037)</x:f>
        <x:v>8.596428571428572</x:v>
      </x:c>
      <x:c r="J4037" s="381" t="n">
        <x:f>SUMIFS('Wind Proxy'!$H$8:$H$19,'Wind Proxy'!$A$8:$A$19,'Estimator'!$B$4,'Wind Proxy'!$B$8:$B$19,C4037)</x:f>
        <x:v>0.12544802867383514</x:v>
      </x:c>
    </x:row>
    <x:row r="4038">
      <x:c r="A4038" s="379" t="n">
        <x:v>49689</x:v>
      </x:c>
      <x:c r="B4038" s="380" t="n">
        <x:v>2036</x:v>
      </x:c>
      <x:c r="C4038" s="380" t="n">
        <x:v>1</x:v>
      </x:c>
      <x:c r="D4038" s="380" t="str">
        <x:v>Jan</x:v>
      </x:c>
      <x:c r="E4038" s="380" t="n">
        <x:v>15</x:v>
      </x:c>
      <x:c r="F4038" s="380" t="n">
        <x:v>2</x:v>
      </x:c>
      <x:c r="G4038" s="380" t="n">
        <x:f>--(F4038&lt;='Estimator'!$B$7)</x:f>
        <x:v>1</x:v>
      </x:c>
      <x:c r="H4038" s="381" t="n">
        <x:f>SUMIFS('Climate Data'!$G$7:$G$366,'Climate Data'!$A$7:$A$366,'Estimator'!$B$4,'Climate Data'!$B$7:$B$366,C4038)</x:f>
        <x:v>0.21802002224694106</x:v>
      </x:c>
      <x:c r="I4038" s="382" t="n">
        <x:f>SUMIFS('Climate Data'!$H$7:$H$366,'Climate Data'!$A$7:$A$366,'Estimator'!$B$4,'Climate Data'!$B$7:$B$366,C4038)</x:f>
        <x:v>8.596428571428572</x:v>
      </x:c>
      <x:c r="J4038" s="381" t="n">
        <x:f>SUMIFS('Wind Proxy'!$H$8:$H$19,'Wind Proxy'!$A$8:$A$19,'Estimator'!$B$4,'Wind Proxy'!$B$8:$B$19,C4038)</x:f>
        <x:v>0.12544802867383514</x:v>
      </x:c>
    </x:row>
    <x:row r="4039">
      <x:c r="A4039" s="379" t="n">
        <x:v>49690</x:v>
      </x:c>
      <x:c r="B4039" s="380" t="n">
        <x:v>2036</x:v>
      </x:c>
      <x:c r="C4039" s="380" t="n">
        <x:v>1</x:v>
      </x:c>
      <x:c r="D4039" s="380" t="str">
        <x:v>Jan</x:v>
      </x:c>
      <x:c r="E4039" s="380" t="n">
        <x:v>16</x:v>
      </x:c>
      <x:c r="F4039" s="380" t="n">
        <x:v>3</x:v>
      </x:c>
      <x:c r="G4039" s="380" t="n">
        <x:f>--(F4039&lt;='Estimator'!$B$7)</x:f>
        <x:v>1</x:v>
      </x:c>
      <x:c r="H4039" s="381" t="n">
        <x:f>SUMIFS('Climate Data'!$G$7:$G$366,'Climate Data'!$A$7:$A$366,'Estimator'!$B$4,'Climate Data'!$B$7:$B$366,C4039)</x:f>
        <x:v>0.21802002224694106</x:v>
      </x:c>
      <x:c r="I4039" s="382" t="n">
        <x:f>SUMIFS('Climate Data'!$H$7:$H$366,'Climate Data'!$A$7:$A$366,'Estimator'!$B$4,'Climate Data'!$B$7:$B$366,C4039)</x:f>
        <x:v>8.596428571428572</x:v>
      </x:c>
      <x:c r="J4039" s="381" t="n">
        <x:f>SUMIFS('Wind Proxy'!$H$8:$H$19,'Wind Proxy'!$A$8:$A$19,'Estimator'!$B$4,'Wind Proxy'!$B$8:$B$19,C4039)</x:f>
        <x:v>0.12544802867383514</x:v>
      </x:c>
    </x:row>
    <x:row r="4040">
      <x:c r="A4040" s="379" t="n">
        <x:v>49691</x:v>
      </x:c>
      <x:c r="B4040" s="380" t="n">
        <x:v>2036</x:v>
      </x:c>
      <x:c r="C4040" s="380" t="n">
        <x:v>1</x:v>
      </x:c>
      <x:c r="D4040" s="380" t="str">
        <x:v>Jan</x:v>
      </x:c>
      <x:c r="E4040" s="380" t="n">
        <x:v>17</x:v>
      </x:c>
      <x:c r="F4040" s="380" t="n">
        <x:v>4</x:v>
      </x:c>
      <x:c r="G4040" s="380" t="n">
        <x:f>--(F4040&lt;='Estimator'!$B$7)</x:f>
        <x:v>1</x:v>
      </x:c>
      <x:c r="H4040" s="381" t="n">
        <x:f>SUMIFS('Climate Data'!$G$7:$G$366,'Climate Data'!$A$7:$A$366,'Estimator'!$B$4,'Climate Data'!$B$7:$B$366,C4040)</x:f>
        <x:v>0.21802002224694106</x:v>
      </x:c>
      <x:c r="I4040" s="382" t="n">
        <x:f>SUMIFS('Climate Data'!$H$7:$H$366,'Climate Data'!$A$7:$A$366,'Estimator'!$B$4,'Climate Data'!$B$7:$B$366,C4040)</x:f>
        <x:v>8.596428571428572</x:v>
      </x:c>
      <x:c r="J4040" s="381" t="n">
        <x:f>SUMIFS('Wind Proxy'!$H$8:$H$19,'Wind Proxy'!$A$8:$A$19,'Estimator'!$B$4,'Wind Proxy'!$B$8:$B$19,C4040)</x:f>
        <x:v>0.12544802867383514</x:v>
      </x:c>
    </x:row>
    <x:row r="4041">
      <x:c r="A4041" s="379" t="n">
        <x:v>49692</x:v>
      </x:c>
      <x:c r="B4041" s="380" t="n">
        <x:v>2036</x:v>
      </x:c>
      <x:c r="C4041" s="380" t="n">
        <x:v>1</x:v>
      </x:c>
      <x:c r="D4041" s="380" t="str">
        <x:v>Jan</x:v>
      </x:c>
      <x:c r="E4041" s="380" t="n">
        <x:v>18</x:v>
      </x:c>
      <x:c r="F4041" s="380" t="n">
        <x:v>5</x:v>
      </x:c>
      <x:c r="G4041" s="380" t="n">
        <x:f>--(F4041&lt;='Estimator'!$B$7)</x:f>
        <x:v>1</x:v>
      </x:c>
      <x:c r="H4041" s="381" t="n">
        <x:f>SUMIFS('Climate Data'!$G$7:$G$366,'Climate Data'!$A$7:$A$366,'Estimator'!$B$4,'Climate Data'!$B$7:$B$366,C4041)</x:f>
        <x:v>0.21802002224694106</x:v>
      </x:c>
      <x:c r="I4041" s="382" t="n">
        <x:f>SUMIFS('Climate Data'!$H$7:$H$366,'Climate Data'!$A$7:$A$366,'Estimator'!$B$4,'Climate Data'!$B$7:$B$366,C4041)</x:f>
        <x:v>8.596428571428572</x:v>
      </x:c>
      <x:c r="J4041" s="381" t="n">
        <x:f>SUMIFS('Wind Proxy'!$H$8:$H$19,'Wind Proxy'!$A$8:$A$19,'Estimator'!$B$4,'Wind Proxy'!$B$8:$B$19,C4041)</x:f>
        <x:v>0.12544802867383514</x:v>
      </x:c>
    </x:row>
    <x:row r="4042">
      <x:c r="A4042" s="379" t="n">
        <x:v>49693</x:v>
      </x:c>
      <x:c r="B4042" s="380" t="n">
        <x:v>2036</x:v>
      </x:c>
      <x:c r="C4042" s="380" t="n">
        <x:v>1</x:v>
      </x:c>
      <x:c r="D4042" s="380" t="str">
        <x:v>Jan</x:v>
      </x:c>
      <x:c r="E4042" s="380" t="n">
        <x:v>19</x:v>
      </x:c>
      <x:c r="F4042" s="380" t="n">
        <x:v>6</x:v>
      </x:c>
      <x:c r="G4042" s="380" t="n">
        <x:f>--(F4042&lt;='Estimator'!$B$7)</x:f>
        <x:v>0</x:v>
      </x:c>
      <x:c r="H4042" s="381" t="n">
        <x:f>SUMIFS('Climate Data'!$G$7:$G$366,'Climate Data'!$A$7:$A$366,'Estimator'!$B$4,'Climate Data'!$B$7:$B$366,C4042)</x:f>
        <x:v>0.21802002224694106</x:v>
      </x:c>
      <x:c r="I4042" s="382" t="n">
        <x:f>SUMIFS('Climate Data'!$H$7:$H$366,'Climate Data'!$A$7:$A$366,'Estimator'!$B$4,'Climate Data'!$B$7:$B$366,C4042)</x:f>
        <x:v>8.596428571428572</x:v>
      </x:c>
      <x:c r="J4042" s="381" t="n">
        <x:f>SUMIFS('Wind Proxy'!$H$8:$H$19,'Wind Proxy'!$A$8:$A$19,'Estimator'!$B$4,'Wind Proxy'!$B$8:$B$19,C4042)</x:f>
        <x:v>0.12544802867383514</x:v>
      </x:c>
    </x:row>
    <x:row r="4043">
      <x:c r="A4043" s="379" t="n">
        <x:v>49694</x:v>
      </x:c>
      <x:c r="B4043" s="380" t="n">
        <x:v>2036</x:v>
      </x:c>
      <x:c r="C4043" s="380" t="n">
        <x:v>1</x:v>
      </x:c>
      <x:c r="D4043" s="380" t="str">
        <x:v>Jan</x:v>
      </x:c>
      <x:c r="E4043" s="380" t="n">
        <x:v>20</x:v>
      </x:c>
      <x:c r="F4043" s="380" t="n">
        <x:v>7</x:v>
      </x:c>
      <x:c r="G4043" s="380" t="n">
        <x:f>--(F4043&lt;='Estimator'!$B$7)</x:f>
        <x:v>0</x:v>
      </x:c>
      <x:c r="H4043" s="381" t="n">
        <x:f>SUMIFS('Climate Data'!$G$7:$G$366,'Climate Data'!$A$7:$A$366,'Estimator'!$B$4,'Climate Data'!$B$7:$B$366,C4043)</x:f>
        <x:v>0.21802002224694106</x:v>
      </x:c>
      <x:c r="I4043" s="382" t="n">
        <x:f>SUMIFS('Climate Data'!$H$7:$H$366,'Climate Data'!$A$7:$A$366,'Estimator'!$B$4,'Climate Data'!$B$7:$B$366,C4043)</x:f>
        <x:v>8.596428571428572</x:v>
      </x:c>
      <x:c r="J4043" s="381" t="n">
        <x:f>SUMIFS('Wind Proxy'!$H$8:$H$19,'Wind Proxy'!$A$8:$A$19,'Estimator'!$B$4,'Wind Proxy'!$B$8:$B$19,C4043)</x:f>
        <x:v>0.12544802867383514</x:v>
      </x:c>
    </x:row>
    <x:row r="4044">
      <x:c r="A4044" s="379" t="n">
        <x:v>49695</x:v>
      </x:c>
      <x:c r="B4044" s="380" t="n">
        <x:v>2036</x:v>
      </x:c>
      <x:c r="C4044" s="380" t="n">
        <x:v>1</x:v>
      </x:c>
      <x:c r="D4044" s="380" t="str">
        <x:v>Jan</x:v>
      </x:c>
      <x:c r="E4044" s="380" t="n">
        <x:v>21</x:v>
      </x:c>
      <x:c r="F4044" s="380" t="n">
        <x:v>1</x:v>
      </x:c>
      <x:c r="G4044" s="380" t="n">
        <x:f>--(F4044&lt;='Estimator'!$B$7)</x:f>
        <x:v>1</x:v>
      </x:c>
      <x:c r="H4044" s="381" t="n">
        <x:f>SUMIFS('Climate Data'!$G$7:$G$366,'Climate Data'!$A$7:$A$366,'Estimator'!$B$4,'Climate Data'!$B$7:$B$366,C4044)</x:f>
        <x:v>0.21802002224694106</x:v>
      </x:c>
      <x:c r="I4044" s="382" t="n">
        <x:f>SUMIFS('Climate Data'!$H$7:$H$366,'Climate Data'!$A$7:$A$366,'Estimator'!$B$4,'Climate Data'!$B$7:$B$366,C4044)</x:f>
        <x:v>8.596428571428572</x:v>
      </x:c>
      <x:c r="J4044" s="381" t="n">
        <x:f>SUMIFS('Wind Proxy'!$H$8:$H$19,'Wind Proxy'!$A$8:$A$19,'Estimator'!$B$4,'Wind Proxy'!$B$8:$B$19,C4044)</x:f>
        <x:v>0.12544802867383514</x:v>
      </x:c>
    </x:row>
    <x:row r="4045">
      <x:c r="A4045" s="379" t="n">
        <x:v>49696</x:v>
      </x:c>
      <x:c r="B4045" s="380" t="n">
        <x:v>2036</x:v>
      </x:c>
      <x:c r="C4045" s="380" t="n">
        <x:v>1</x:v>
      </x:c>
      <x:c r="D4045" s="380" t="str">
        <x:v>Jan</x:v>
      </x:c>
      <x:c r="E4045" s="380" t="n">
        <x:v>22</x:v>
      </x:c>
      <x:c r="F4045" s="380" t="n">
        <x:v>2</x:v>
      </x:c>
      <x:c r="G4045" s="380" t="n">
        <x:f>--(F4045&lt;='Estimator'!$B$7)</x:f>
        <x:v>1</x:v>
      </x:c>
      <x:c r="H4045" s="381" t="n">
        <x:f>SUMIFS('Climate Data'!$G$7:$G$366,'Climate Data'!$A$7:$A$366,'Estimator'!$B$4,'Climate Data'!$B$7:$B$366,C4045)</x:f>
        <x:v>0.21802002224694106</x:v>
      </x:c>
      <x:c r="I4045" s="382" t="n">
        <x:f>SUMIFS('Climate Data'!$H$7:$H$366,'Climate Data'!$A$7:$A$366,'Estimator'!$B$4,'Climate Data'!$B$7:$B$366,C4045)</x:f>
        <x:v>8.596428571428572</x:v>
      </x:c>
      <x:c r="J4045" s="381" t="n">
        <x:f>SUMIFS('Wind Proxy'!$H$8:$H$19,'Wind Proxy'!$A$8:$A$19,'Estimator'!$B$4,'Wind Proxy'!$B$8:$B$19,C4045)</x:f>
        <x:v>0.12544802867383514</x:v>
      </x:c>
    </x:row>
    <x:row r="4046">
      <x:c r="A4046" s="379" t="n">
        <x:v>49697</x:v>
      </x:c>
      <x:c r="B4046" s="380" t="n">
        <x:v>2036</x:v>
      </x:c>
      <x:c r="C4046" s="380" t="n">
        <x:v>1</x:v>
      </x:c>
      <x:c r="D4046" s="380" t="str">
        <x:v>Jan</x:v>
      </x:c>
      <x:c r="E4046" s="380" t="n">
        <x:v>23</x:v>
      </x:c>
      <x:c r="F4046" s="380" t="n">
        <x:v>3</x:v>
      </x:c>
      <x:c r="G4046" s="380" t="n">
        <x:f>--(F4046&lt;='Estimator'!$B$7)</x:f>
        <x:v>1</x:v>
      </x:c>
      <x:c r="H4046" s="381" t="n">
        <x:f>SUMIFS('Climate Data'!$G$7:$G$366,'Climate Data'!$A$7:$A$366,'Estimator'!$B$4,'Climate Data'!$B$7:$B$366,C4046)</x:f>
        <x:v>0.21802002224694106</x:v>
      </x:c>
      <x:c r="I4046" s="382" t="n">
        <x:f>SUMIFS('Climate Data'!$H$7:$H$366,'Climate Data'!$A$7:$A$366,'Estimator'!$B$4,'Climate Data'!$B$7:$B$366,C4046)</x:f>
        <x:v>8.596428571428572</x:v>
      </x:c>
      <x:c r="J4046" s="381" t="n">
        <x:f>SUMIFS('Wind Proxy'!$H$8:$H$19,'Wind Proxy'!$A$8:$A$19,'Estimator'!$B$4,'Wind Proxy'!$B$8:$B$19,C4046)</x:f>
        <x:v>0.12544802867383514</x:v>
      </x:c>
    </x:row>
    <x:row r="4047">
      <x:c r="A4047" s="379" t="n">
        <x:v>49698</x:v>
      </x:c>
      <x:c r="B4047" s="380" t="n">
        <x:v>2036</x:v>
      </x:c>
      <x:c r="C4047" s="380" t="n">
        <x:v>1</x:v>
      </x:c>
      <x:c r="D4047" s="380" t="str">
        <x:v>Jan</x:v>
      </x:c>
      <x:c r="E4047" s="380" t="n">
        <x:v>24</x:v>
      </x:c>
      <x:c r="F4047" s="380" t="n">
        <x:v>4</x:v>
      </x:c>
      <x:c r="G4047" s="380" t="n">
        <x:f>--(F4047&lt;='Estimator'!$B$7)</x:f>
        <x:v>1</x:v>
      </x:c>
      <x:c r="H4047" s="381" t="n">
        <x:f>SUMIFS('Climate Data'!$G$7:$G$366,'Climate Data'!$A$7:$A$366,'Estimator'!$B$4,'Climate Data'!$B$7:$B$366,C4047)</x:f>
        <x:v>0.21802002224694106</x:v>
      </x:c>
      <x:c r="I4047" s="382" t="n">
        <x:f>SUMIFS('Climate Data'!$H$7:$H$366,'Climate Data'!$A$7:$A$366,'Estimator'!$B$4,'Climate Data'!$B$7:$B$366,C4047)</x:f>
        <x:v>8.596428571428572</x:v>
      </x:c>
      <x:c r="J4047" s="381" t="n">
        <x:f>SUMIFS('Wind Proxy'!$H$8:$H$19,'Wind Proxy'!$A$8:$A$19,'Estimator'!$B$4,'Wind Proxy'!$B$8:$B$19,C4047)</x:f>
        <x:v>0.12544802867383514</x:v>
      </x:c>
    </x:row>
    <x:row r="4048">
      <x:c r="A4048" s="379" t="n">
        <x:v>49699</x:v>
      </x:c>
      <x:c r="B4048" s="380" t="n">
        <x:v>2036</x:v>
      </x:c>
      <x:c r="C4048" s="380" t="n">
        <x:v>1</x:v>
      </x:c>
      <x:c r="D4048" s="380" t="str">
        <x:v>Jan</x:v>
      </x:c>
      <x:c r="E4048" s="380" t="n">
        <x:v>25</x:v>
      </x:c>
      <x:c r="F4048" s="380" t="n">
        <x:v>5</x:v>
      </x:c>
      <x:c r="G4048" s="380" t="n">
        <x:f>--(F4048&lt;='Estimator'!$B$7)</x:f>
        <x:v>1</x:v>
      </x:c>
      <x:c r="H4048" s="381" t="n">
        <x:f>SUMIFS('Climate Data'!$G$7:$G$366,'Climate Data'!$A$7:$A$366,'Estimator'!$B$4,'Climate Data'!$B$7:$B$366,C4048)</x:f>
        <x:v>0.21802002224694106</x:v>
      </x:c>
      <x:c r="I4048" s="382" t="n">
        <x:f>SUMIFS('Climate Data'!$H$7:$H$366,'Climate Data'!$A$7:$A$366,'Estimator'!$B$4,'Climate Data'!$B$7:$B$366,C4048)</x:f>
        <x:v>8.596428571428572</x:v>
      </x:c>
      <x:c r="J4048" s="381" t="n">
        <x:f>SUMIFS('Wind Proxy'!$H$8:$H$19,'Wind Proxy'!$A$8:$A$19,'Estimator'!$B$4,'Wind Proxy'!$B$8:$B$19,C4048)</x:f>
        <x:v>0.12544802867383514</x:v>
      </x:c>
    </x:row>
    <x:row r="4049">
      <x:c r="A4049" s="379" t="n">
        <x:v>49700</x:v>
      </x:c>
      <x:c r="B4049" s="380" t="n">
        <x:v>2036</x:v>
      </x:c>
      <x:c r="C4049" s="380" t="n">
        <x:v>1</x:v>
      </x:c>
      <x:c r="D4049" s="380" t="str">
        <x:v>Jan</x:v>
      </x:c>
      <x:c r="E4049" s="380" t="n">
        <x:v>26</x:v>
      </x:c>
      <x:c r="F4049" s="380" t="n">
        <x:v>6</x:v>
      </x:c>
      <x:c r="G4049" s="380" t="n">
        <x:f>--(F4049&lt;='Estimator'!$B$7)</x:f>
        <x:v>0</x:v>
      </x:c>
      <x:c r="H4049" s="381" t="n">
        <x:f>SUMIFS('Climate Data'!$G$7:$G$366,'Climate Data'!$A$7:$A$366,'Estimator'!$B$4,'Climate Data'!$B$7:$B$366,C4049)</x:f>
        <x:v>0.21802002224694106</x:v>
      </x:c>
      <x:c r="I4049" s="382" t="n">
        <x:f>SUMIFS('Climate Data'!$H$7:$H$366,'Climate Data'!$A$7:$A$366,'Estimator'!$B$4,'Climate Data'!$B$7:$B$366,C4049)</x:f>
        <x:v>8.596428571428572</x:v>
      </x:c>
      <x:c r="J4049" s="381" t="n">
        <x:f>SUMIFS('Wind Proxy'!$H$8:$H$19,'Wind Proxy'!$A$8:$A$19,'Estimator'!$B$4,'Wind Proxy'!$B$8:$B$19,C4049)</x:f>
        <x:v>0.12544802867383514</x:v>
      </x:c>
    </x:row>
    <x:row r="4050">
      <x:c r="A4050" s="379" t="n">
        <x:v>49701</x:v>
      </x:c>
      <x:c r="B4050" s="380" t="n">
        <x:v>2036</x:v>
      </x:c>
      <x:c r="C4050" s="380" t="n">
        <x:v>1</x:v>
      </x:c>
      <x:c r="D4050" s="380" t="str">
        <x:v>Jan</x:v>
      </x:c>
      <x:c r="E4050" s="380" t="n">
        <x:v>27</x:v>
      </x:c>
      <x:c r="F4050" s="380" t="n">
        <x:v>7</x:v>
      </x:c>
      <x:c r="G4050" s="380" t="n">
        <x:f>--(F4050&lt;='Estimator'!$B$7)</x:f>
        <x:v>0</x:v>
      </x:c>
      <x:c r="H4050" s="381" t="n">
        <x:f>SUMIFS('Climate Data'!$G$7:$G$366,'Climate Data'!$A$7:$A$366,'Estimator'!$B$4,'Climate Data'!$B$7:$B$366,C4050)</x:f>
        <x:v>0.21802002224694106</x:v>
      </x:c>
      <x:c r="I4050" s="382" t="n">
        <x:f>SUMIFS('Climate Data'!$H$7:$H$366,'Climate Data'!$A$7:$A$366,'Estimator'!$B$4,'Climate Data'!$B$7:$B$366,C4050)</x:f>
        <x:v>8.596428571428572</x:v>
      </x:c>
      <x:c r="J4050" s="381" t="n">
        <x:f>SUMIFS('Wind Proxy'!$H$8:$H$19,'Wind Proxy'!$A$8:$A$19,'Estimator'!$B$4,'Wind Proxy'!$B$8:$B$19,C4050)</x:f>
        <x:v>0.12544802867383514</x:v>
      </x:c>
    </x:row>
    <x:row r="4051">
      <x:c r="A4051" s="379" t="n">
        <x:v>49702</x:v>
      </x:c>
      <x:c r="B4051" s="380" t="n">
        <x:v>2036</x:v>
      </x:c>
      <x:c r="C4051" s="380" t="n">
        <x:v>1</x:v>
      </x:c>
      <x:c r="D4051" s="380" t="str">
        <x:v>Jan</x:v>
      </x:c>
      <x:c r="E4051" s="380" t="n">
        <x:v>28</x:v>
      </x:c>
      <x:c r="F4051" s="380" t="n">
        <x:v>1</x:v>
      </x:c>
      <x:c r="G4051" s="380" t="n">
        <x:f>--(F4051&lt;='Estimator'!$B$7)</x:f>
        <x:v>1</x:v>
      </x:c>
      <x:c r="H4051" s="381" t="n">
        <x:f>SUMIFS('Climate Data'!$G$7:$G$366,'Climate Data'!$A$7:$A$366,'Estimator'!$B$4,'Climate Data'!$B$7:$B$366,C4051)</x:f>
        <x:v>0.21802002224694106</x:v>
      </x:c>
      <x:c r="I4051" s="382" t="n">
        <x:f>SUMIFS('Climate Data'!$H$7:$H$366,'Climate Data'!$A$7:$A$366,'Estimator'!$B$4,'Climate Data'!$B$7:$B$366,C4051)</x:f>
        <x:v>8.596428571428572</x:v>
      </x:c>
      <x:c r="J4051" s="381" t="n">
        <x:f>SUMIFS('Wind Proxy'!$H$8:$H$19,'Wind Proxy'!$A$8:$A$19,'Estimator'!$B$4,'Wind Proxy'!$B$8:$B$19,C4051)</x:f>
        <x:v>0.12544802867383514</x:v>
      </x:c>
    </x:row>
    <x:row r="4052">
      <x:c r="A4052" s="379" t="n">
        <x:v>49703</x:v>
      </x:c>
      <x:c r="B4052" s="380" t="n">
        <x:v>2036</x:v>
      </x:c>
      <x:c r="C4052" s="380" t="n">
        <x:v>1</x:v>
      </x:c>
      <x:c r="D4052" s="380" t="str">
        <x:v>Jan</x:v>
      </x:c>
      <x:c r="E4052" s="380" t="n">
        <x:v>29</x:v>
      </x:c>
      <x:c r="F4052" s="380" t="n">
        <x:v>2</x:v>
      </x:c>
      <x:c r="G4052" s="380" t="n">
        <x:f>--(F4052&lt;='Estimator'!$B$7)</x:f>
        <x:v>1</x:v>
      </x:c>
      <x:c r="H4052" s="381" t="n">
        <x:f>SUMIFS('Climate Data'!$G$7:$G$366,'Climate Data'!$A$7:$A$366,'Estimator'!$B$4,'Climate Data'!$B$7:$B$366,C4052)</x:f>
        <x:v>0.21802002224694106</x:v>
      </x:c>
      <x:c r="I4052" s="382" t="n">
        <x:f>SUMIFS('Climate Data'!$H$7:$H$366,'Climate Data'!$A$7:$A$366,'Estimator'!$B$4,'Climate Data'!$B$7:$B$366,C4052)</x:f>
        <x:v>8.596428571428572</x:v>
      </x:c>
      <x:c r="J4052" s="381" t="n">
        <x:f>SUMIFS('Wind Proxy'!$H$8:$H$19,'Wind Proxy'!$A$8:$A$19,'Estimator'!$B$4,'Wind Proxy'!$B$8:$B$19,C4052)</x:f>
        <x:v>0.12544802867383514</x:v>
      </x:c>
    </x:row>
    <x:row r="4053">
      <x:c r="A4053" s="379" t="n">
        <x:v>49704</x:v>
      </x:c>
      <x:c r="B4053" s="380" t="n">
        <x:v>2036</x:v>
      </x:c>
      <x:c r="C4053" s="380" t="n">
        <x:v>1</x:v>
      </x:c>
      <x:c r="D4053" s="380" t="str">
        <x:v>Jan</x:v>
      </x:c>
      <x:c r="E4053" s="380" t="n">
        <x:v>30</x:v>
      </x:c>
      <x:c r="F4053" s="380" t="n">
        <x:v>3</x:v>
      </x:c>
      <x:c r="G4053" s="380" t="n">
        <x:f>--(F4053&lt;='Estimator'!$B$7)</x:f>
        <x:v>1</x:v>
      </x:c>
      <x:c r="H4053" s="381" t="n">
        <x:f>SUMIFS('Climate Data'!$G$7:$G$366,'Climate Data'!$A$7:$A$366,'Estimator'!$B$4,'Climate Data'!$B$7:$B$366,C4053)</x:f>
        <x:v>0.21802002224694106</x:v>
      </x:c>
      <x:c r="I4053" s="382" t="n">
        <x:f>SUMIFS('Climate Data'!$H$7:$H$366,'Climate Data'!$A$7:$A$366,'Estimator'!$B$4,'Climate Data'!$B$7:$B$366,C4053)</x:f>
        <x:v>8.596428571428572</x:v>
      </x:c>
      <x:c r="J4053" s="381" t="n">
        <x:f>SUMIFS('Wind Proxy'!$H$8:$H$19,'Wind Proxy'!$A$8:$A$19,'Estimator'!$B$4,'Wind Proxy'!$B$8:$B$19,C4053)</x:f>
        <x:v>0.12544802867383514</x:v>
      </x:c>
    </x:row>
    <x:row r="4054">
      <x:c r="A4054" s="379" t="n">
        <x:v>49705</x:v>
      </x:c>
      <x:c r="B4054" s="380" t="n">
        <x:v>2036</x:v>
      </x:c>
      <x:c r="C4054" s="380" t="n">
        <x:v>1</x:v>
      </x:c>
      <x:c r="D4054" s="380" t="str">
        <x:v>Jan</x:v>
      </x:c>
      <x:c r="E4054" s="380" t="n">
        <x:v>31</x:v>
      </x:c>
      <x:c r="F4054" s="380" t="n">
        <x:v>4</x:v>
      </x:c>
      <x:c r="G4054" s="380" t="n">
        <x:f>--(F4054&lt;='Estimator'!$B$7)</x:f>
        <x:v>1</x:v>
      </x:c>
      <x:c r="H4054" s="381" t="n">
        <x:f>SUMIFS('Climate Data'!$G$7:$G$366,'Climate Data'!$A$7:$A$366,'Estimator'!$B$4,'Climate Data'!$B$7:$B$366,C4054)</x:f>
        <x:v>0.21802002224694106</x:v>
      </x:c>
      <x:c r="I4054" s="382" t="n">
        <x:f>SUMIFS('Climate Data'!$H$7:$H$366,'Climate Data'!$A$7:$A$366,'Estimator'!$B$4,'Climate Data'!$B$7:$B$366,C4054)</x:f>
        <x:v>8.596428571428572</x:v>
      </x:c>
      <x:c r="J4054" s="381" t="n">
        <x:f>SUMIFS('Wind Proxy'!$H$8:$H$19,'Wind Proxy'!$A$8:$A$19,'Estimator'!$B$4,'Wind Proxy'!$B$8:$B$19,C4054)</x:f>
        <x:v>0.12544802867383514</x:v>
      </x:c>
    </x:row>
    <x:row r="4055">
      <x:c r="A4055" s="379" t="n">
        <x:v>49706</x:v>
      </x:c>
      <x:c r="B4055" s="380" t="n">
        <x:v>2036</x:v>
      </x:c>
      <x:c r="C4055" s="380" t="n">
        <x:v>2</x:v>
      </x:c>
      <x:c r="D4055" s="380" t="str">
        <x:v>Feb</x:v>
      </x:c>
      <x:c r="E4055" s="380" t="n">
        <x:v>1</x:v>
      </x:c>
      <x:c r="F4055" s="380" t="n">
        <x:v>5</x:v>
      </x:c>
      <x:c r="G4055" s="380" t="n">
        <x:f>--(F4055&lt;='Estimator'!$B$7)</x:f>
        <x:v>1</x:v>
      </x:c>
      <x:c r="H4055" s="381" t="n">
        <x:f>SUMIFS('Climate Data'!$G$7:$G$366,'Climate Data'!$A$7:$A$366,'Estimator'!$B$4,'Climate Data'!$B$7:$B$366,C4055)</x:f>
        <x:v>0.23056278464541316</x:v>
      </x:c>
      <x:c r="I4055" s="382" t="n">
        <x:f>SUMIFS('Climate Data'!$H$7:$H$366,'Climate Data'!$A$7:$A$366,'Estimator'!$B$4,'Climate Data'!$B$7:$B$366,C4055)</x:f>
        <x:v>9.682010582010582</x:v>
      </x:c>
      <x:c r="J4055" s="381" t="n">
        <x:f>SUMIFS('Wind Proxy'!$H$8:$H$19,'Wind Proxy'!$A$8:$A$19,'Estimator'!$B$4,'Wind Proxy'!$B$8:$B$19,C4055)</x:f>
        <x:v>0.13757861635220128</x:v>
      </x:c>
    </x:row>
    <x:row r="4056">
      <x:c r="A4056" s="379" t="n">
        <x:v>49707</x:v>
      </x:c>
      <x:c r="B4056" s="380" t="n">
        <x:v>2036</x:v>
      </x:c>
      <x:c r="C4056" s="380" t="n">
        <x:v>2</x:v>
      </x:c>
      <x:c r="D4056" s="380" t="str">
        <x:v>Feb</x:v>
      </x:c>
      <x:c r="E4056" s="380" t="n">
        <x:v>2</x:v>
      </x:c>
      <x:c r="F4056" s="380" t="n">
        <x:v>6</x:v>
      </x:c>
      <x:c r="G4056" s="380" t="n">
        <x:f>--(F4056&lt;='Estimator'!$B$7)</x:f>
        <x:v>0</x:v>
      </x:c>
      <x:c r="H4056" s="381" t="n">
        <x:f>SUMIFS('Climate Data'!$G$7:$G$366,'Climate Data'!$A$7:$A$366,'Estimator'!$B$4,'Climate Data'!$B$7:$B$366,C4056)</x:f>
        <x:v>0.23056278464541316</x:v>
      </x:c>
      <x:c r="I4056" s="382" t="n">
        <x:f>SUMIFS('Climate Data'!$H$7:$H$366,'Climate Data'!$A$7:$A$366,'Estimator'!$B$4,'Climate Data'!$B$7:$B$366,C4056)</x:f>
        <x:v>9.682010582010582</x:v>
      </x:c>
      <x:c r="J4056" s="381" t="n">
        <x:f>SUMIFS('Wind Proxy'!$H$8:$H$19,'Wind Proxy'!$A$8:$A$19,'Estimator'!$B$4,'Wind Proxy'!$B$8:$B$19,C4056)</x:f>
        <x:v>0.13757861635220128</x:v>
      </x:c>
    </x:row>
    <x:row r="4057">
      <x:c r="A4057" s="379" t="n">
        <x:v>49708</x:v>
      </x:c>
      <x:c r="B4057" s="380" t="n">
        <x:v>2036</x:v>
      </x:c>
      <x:c r="C4057" s="380" t="n">
        <x:v>2</x:v>
      </x:c>
      <x:c r="D4057" s="380" t="str">
        <x:v>Feb</x:v>
      </x:c>
      <x:c r="E4057" s="380" t="n">
        <x:v>3</x:v>
      </x:c>
      <x:c r="F4057" s="380" t="n">
        <x:v>7</x:v>
      </x:c>
      <x:c r="G4057" s="380" t="n">
        <x:f>--(F4057&lt;='Estimator'!$B$7)</x:f>
        <x:v>0</x:v>
      </x:c>
      <x:c r="H4057" s="381" t="n">
        <x:f>SUMIFS('Climate Data'!$G$7:$G$366,'Climate Data'!$A$7:$A$366,'Estimator'!$B$4,'Climate Data'!$B$7:$B$366,C4057)</x:f>
        <x:v>0.23056278464541316</x:v>
      </x:c>
      <x:c r="I4057" s="382" t="n">
        <x:f>SUMIFS('Climate Data'!$H$7:$H$366,'Climate Data'!$A$7:$A$366,'Estimator'!$B$4,'Climate Data'!$B$7:$B$366,C4057)</x:f>
        <x:v>9.682010582010582</x:v>
      </x:c>
      <x:c r="J4057" s="381" t="n">
        <x:f>SUMIFS('Wind Proxy'!$H$8:$H$19,'Wind Proxy'!$A$8:$A$19,'Estimator'!$B$4,'Wind Proxy'!$B$8:$B$19,C4057)</x:f>
        <x:v>0.13757861635220128</x:v>
      </x:c>
    </x:row>
    <x:row r="4058">
      <x:c r="A4058" s="379" t="n">
        <x:v>49709</x:v>
      </x:c>
      <x:c r="B4058" s="380" t="n">
        <x:v>2036</x:v>
      </x:c>
      <x:c r="C4058" s="380" t="n">
        <x:v>2</x:v>
      </x:c>
      <x:c r="D4058" s="380" t="str">
        <x:v>Feb</x:v>
      </x:c>
      <x:c r="E4058" s="380" t="n">
        <x:v>4</x:v>
      </x:c>
      <x:c r="F4058" s="380" t="n">
        <x:v>1</x:v>
      </x:c>
      <x:c r="G4058" s="380" t="n">
        <x:f>--(F4058&lt;='Estimator'!$B$7)</x:f>
        <x:v>1</x:v>
      </x:c>
      <x:c r="H4058" s="381" t="n">
        <x:f>SUMIFS('Climate Data'!$G$7:$G$366,'Climate Data'!$A$7:$A$366,'Estimator'!$B$4,'Climate Data'!$B$7:$B$366,C4058)</x:f>
        <x:v>0.23056278464541316</x:v>
      </x:c>
      <x:c r="I4058" s="382" t="n">
        <x:f>SUMIFS('Climate Data'!$H$7:$H$366,'Climate Data'!$A$7:$A$366,'Estimator'!$B$4,'Climate Data'!$B$7:$B$366,C4058)</x:f>
        <x:v>9.682010582010582</x:v>
      </x:c>
      <x:c r="J4058" s="381" t="n">
        <x:f>SUMIFS('Wind Proxy'!$H$8:$H$19,'Wind Proxy'!$A$8:$A$19,'Estimator'!$B$4,'Wind Proxy'!$B$8:$B$19,C4058)</x:f>
        <x:v>0.13757861635220128</x:v>
      </x:c>
    </x:row>
    <x:row r="4059">
      <x:c r="A4059" s="379" t="n">
        <x:v>49710</x:v>
      </x:c>
      <x:c r="B4059" s="380" t="n">
        <x:v>2036</x:v>
      </x:c>
      <x:c r="C4059" s="380" t="n">
        <x:v>2</x:v>
      </x:c>
      <x:c r="D4059" s="380" t="str">
        <x:v>Feb</x:v>
      </x:c>
      <x:c r="E4059" s="380" t="n">
        <x:v>5</x:v>
      </x:c>
      <x:c r="F4059" s="380" t="n">
        <x:v>2</x:v>
      </x:c>
      <x:c r="G4059" s="380" t="n">
        <x:f>--(F4059&lt;='Estimator'!$B$7)</x:f>
        <x:v>1</x:v>
      </x:c>
      <x:c r="H4059" s="381" t="n">
        <x:f>SUMIFS('Climate Data'!$G$7:$G$366,'Climate Data'!$A$7:$A$366,'Estimator'!$B$4,'Climate Data'!$B$7:$B$366,C4059)</x:f>
        <x:v>0.23056278464541316</x:v>
      </x:c>
      <x:c r="I4059" s="382" t="n">
        <x:f>SUMIFS('Climate Data'!$H$7:$H$366,'Climate Data'!$A$7:$A$366,'Estimator'!$B$4,'Climate Data'!$B$7:$B$366,C4059)</x:f>
        <x:v>9.682010582010582</x:v>
      </x:c>
      <x:c r="J4059" s="381" t="n">
        <x:f>SUMIFS('Wind Proxy'!$H$8:$H$19,'Wind Proxy'!$A$8:$A$19,'Estimator'!$B$4,'Wind Proxy'!$B$8:$B$19,C4059)</x:f>
        <x:v>0.13757861635220128</x:v>
      </x:c>
    </x:row>
    <x:row r="4060">
      <x:c r="A4060" s="379" t="n">
        <x:v>49711</x:v>
      </x:c>
      <x:c r="B4060" s="380" t="n">
        <x:v>2036</x:v>
      </x:c>
      <x:c r="C4060" s="380" t="n">
        <x:v>2</x:v>
      </x:c>
      <x:c r="D4060" s="380" t="str">
        <x:v>Feb</x:v>
      </x:c>
      <x:c r="E4060" s="380" t="n">
        <x:v>6</x:v>
      </x:c>
      <x:c r="F4060" s="380" t="n">
        <x:v>3</x:v>
      </x:c>
      <x:c r="G4060" s="380" t="n">
        <x:f>--(F4060&lt;='Estimator'!$B$7)</x:f>
        <x:v>1</x:v>
      </x:c>
      <x:c r="H4060" s="381" t="n">
        <x:f>SUMIFS('Climate Data'!$G$7:$G$366,'Climate Data'!$A$7:$A$366,'Estimator'!$B$4,'Climate Data'!$B$7:$B$366,C4060)</x:f>
        <x:v>0.23056278464541316</x:v>
      </x:c>
      <x:c r="I4060" s="382" t="n">
        <x:f>SUMIFS('Climate Data'!$H$7:$H$366,'Climate Data'!$A$7:$A$366,'Estimator'!$B$4,'Climate Data'!$B$7:$B$366,C4060)</x:f>
        <x:v>9.682010582010582</x:v>
      </x:c>
      <x:c r="J4060" s="381" t="n">
        <x:f>SUMIFS('Wind Proxy'!$H$8:$H$19,'Wind Proxy'!$A$8:$A$19,'Estimator'!$B$4,'Wind Proxy'!$B$8:$B$19,C4060)</x:f>
        <x:v>0.13757861635220128</x:v>
      </x:c>
    </x:row>
    <x:row r="4061">
      <x:c r="A4061" s="379" t="n">
        <x:v>49712</x:v>
      </x:c>
      <x:c r="B4061" s="380" t="n">
        <x:v>2036</x:v>
      </x:c>
      <x:c r="C4061" s="380" t="n">
        <x:v>2</x:v>
      </x:c>
      <x:c r="D4061" s="380" t="str">
        <x:v>Feb</x:v>
      </x:c>
      <x:c r="E4061" s="380" t="n">
        <x:v>7</x:v>
      </x:c>
      <x:c r="F4061" s="380" t="n">
        <x:v>4</x:v>
      </x:c>
      <x:c r="G4061" s="380" t="n">
        <x:f>--(F4061&lt;='Estimator'!$B$7)</x:f>
        <x:v>1</x:v>
      </x:c>
      <x:c r="H4061" s="381" t="n">
        <x:f>SUMIFS('Climate Data'!$G$7:$G$366,'Climate Data'!$A$7:$A$366,'Estimator'!$B$4,'Climate Data'!$B$7:$B$366,C4061)</x:f>
        <x:v>0.23056278464541316</x:v>
      </x:c>
      <x:c r="I4061" s="382" t="n">
        <x:f>SUMIFS('Climate Data'!$H$7:$H$366,'Climate Data'!$A$7:$A$366,'Estimator'!$B$4,'Climate Data'!$B$7:$B$366,C4061)</x:f>
        <x:v>9.682010582010582</x:v>
      </x:c>
      <x:c r="J4061" s="381" t="n">
        <x:f>SUMIFS('Wind Proxy'!$H$8:$H$19,'Wind Proxy'!$A$8:$A$19,'Estimator'!$B$4,'Wind Proxy'!$B$8:$B$19,C4061)</x:f>
        <x:v>0.13757861635220128</x:v>
      </x:c>
    </x:row>
    <x:row r="4062">
      <x:c r="A4062" s="379" t="n">
        <x:v>49713</x:v>
      </x:c>
      <x:c r="B4062" s="380" t="n">
        <x:v>2036</x:v>
      </x:c>
      <x:c r="C4062" s="380" t="n">
        <x:v>2</x:v>
      </x:c>
      <x:c r="D4062" s="380" t="str">
        <x:v>Feb</x:v>
      </x:c>
      <x:c r="E4062" s="380" t="n">
        <x:v>8</x:v>
      </x:c>
      <x:c r="F4062" s="380" t="n">
        <x:v>5</x:v>
      </x:c>
      <x:c r="G4062" s="380" t="n">
        <x:f>--(F4062&lt;='Estimator'!$B$7)</x:f>
        <x:v>1</x:v>
      </x:c>
      <x:c r="H4062" s="381" t="n">
        <x:f>SUMIFS('Climate Data'!$G$7:$G$366,'Climate Data'!$A$7:$A$366,'Estimator'!$B$4,'Climate Data'!$B$7:$B$366,C4062)</x:f>
        <x:v>0.23056278464541316</x:v>
      </x:c>
      <x:c r="I4062" s="382" t="n">
        <x:f>SUMIFS('Climate Data'!$H$7:$H$366,'Climate Data'!$A$7:$A$366,'Estimator'!$B$4,'Climate Data'!$B$7:$B$366,C4062)</x:f>
        <x:v>9.682010582010582</x:v>
      </x:c>
      <x:c r="J4062" s="381" t="n">
        <x:f>SUMIFS('Wind Proxy'!$H$8:$H$19,'Wind Proxy'!$A$8:$A$19,'Estimator'!$B$4,'Wind Proxy'!$B$8:$B$19,C4062)</x:f>
        <x:v>0.13757861635220128</x:v>
      </x:c>
    </x:row>
    <x:row r="4063">
      <x:c r="A4063" s="379" t="n">
        <x:v>49714</x:v>
      </x:c>
      <x:c r="B4063" s="380" t="n">
        <x:v>2036</x:v>
      </x:c>
      <x:c r="C4063" s="380" t="n">
        <x:v>2</x:v>
      </x:c>
      <x:c r="D4063" s="380" t="str">
        <x:v>Feb</x:v>
      </x:c>
      <x:c r="E4063" s="380" t="n">
        <x:v>9</x:v>
      </x:c>
      <x:c r="F4063" s="380" t="n">
        <x:v>6</x:v>
      </x:c>
      <x:c r="G4063" s="380" t="n">
        <x:f>--(F4063&lt;='Estimator'!$B$7)</x:f>
        <x:v>0</x:v>
      </x:c>
      <x:c r="H4063" s="381" t="n">
        <x:f>SUMIFS('Climate Data'!$G$7:$G$366,'Climate Data'!$A$7:$A$366,'Estimator'!$B$4,'Climate Data'!$B$7:$B$366,C4063)</x:f>
        <x:v>0.23056278464541316</x:v>
      </x:c>
      <x:c r="I4063" s="382" t="n">
        <x:f>SUMIFS('Climate Data'!$H$7:$H$366,'Climate Data'!$A$7:$A$366,'Estimator'!$B$4,'Climate Data'!$B$7:$B$366,C4063)</x:f>
        <x:v>9.682010582010582</x:v>
      </x:c>
      <x:c r="J4063" s="381" t="n">
        <x:f>SUMIFS('Wind Proxy'!$H$8:$H$19,'Wind Proxy'!$A$8:$A$19,'Estimator'!$B$4,'Wind Proxy'!$B$8:$B$19,C4063)</x:f>
        <x:v>0.13757861635220128</x:v>
      </x:c>
    </x:row>
    <x:row r="4064">
      <x:c r="A4064" s="379" t="n">
        <x:v>49715</x:v>
      </x:c>
      <x:c r="B4064" s="380" t="n">
        <x:v>2036</x:v>
      </x:c>
      <x:c r="C4064" s="380" t="n">
        <x:v>2</x:v>
      </x:c>
      <x:c r="D4064" s="380" t="str">
        <x:v>Feb</x:v>
      </x:c>
      <x:c r="E4064" s="380" t="n">
        <x:v>10</x:v>
      </x:c>
      <x:c r="F4064" s="380" t="n">
        <x:v>7</x:v>
      </x:c>
      <x:c r="G4064" s="380" t="n">
        <x:f>--(F4064&lt;='Estimator'!$B$7)</x:f>
        <x:v>0</x:v>
      </x:c>
      <x:c r="H4064" s="381" t="n">
        <x:f>SUMIFS('Climate Data'!$G$7:$G$366,'Climate Data'!$A$7:$A$366,'Estimator'!$B$4,'Climate Data'!$B$7:$B$366,C4064)</x:f>
        <x:v>0.23056278464541316</x:v>
      </x:c>
      <x:c r="I4064" s="382" t="n">
        <x:f>SUMIFS('Climate Data'!$H$7:$H$366,'Climate Data'!$A$7:$A$366,'Estimator'!$B$4,'Climate Data'!$B$7:$B$366,C4064)</x:f>
        <x:v>9.682010582010582</x:v>
      </x:c>
      <x:c r="J4064" s="381" t="n">
        <x:f>SUMIFS('Wind Proxy'!$H$8:$H$19,'Wind Proxy'!$A$8:$A$19,'Estimator'!$B$4,'Wind Proxy'!$B$8:$B$19,C4064)</x:f>
        <x:v>0.13757861635220128</x:v>
      </x:c>
    </x:row>
    <x:row r="4065">
      <x:c r="A4065" s="379" t="n">
        <x:v>49716</x:v>
      </x:c>
      <x:c r="B4065" s="380" t="n">
        <x:v>2036</x:v>
      </x:c>
      <x:c r="C4065" s="380" t="n">
        <x:v>2</x:v>
      </x:c>
      <x:c r="D4065" s="380" t="str">
        <x:v>Feb</x:v>
      </x:c>
      <x:c r="E4065" s="380" t="n">
        <x:v>11</x:v>
      </x:c>
      <x:c r="F4065" s="380" t="n">
        <x:v>1</x:v>
      </x:c>
      <x:c r="G4065" s="380" t="n">
        <x:f>--(F4065&lt;='Estimator'!$B$7)</x:f>
        <x:v>1</x:v>
      </x:c>
      <x:c r="H4065" s="381" t="n">
        <x:f>SUMIFS('Climate Data'!$G$7:$G$366,'Climate Data'!$A$7:$A$366,'Estimator'!$B$4,'Climate Data'!$B$7:$B$366,C4065)</x:f>
        <x:v>0.23056278464541316</x:v>
      </x:c>
      <x:c r="I4065" s="382" t="n">
        <x:f>SUMIFS('Climate Data'!$H$7:$H$366,'Climate Data'!$A$7:$A$366,'Estimator'!$B$4,'Climate Data'!$B$7:$B$366,C4065)</x:f>
        <x:v>9.682010582010582</x:v>
      </x:c>
      <x:c r="J4065" s="381" t="n">
        <x:f>SUMIFS('Wind Proxy'!$H$8:$H$19,'Wind Proxy'!$A$8:$A$19,'Estimator'!$B$4,'Wind Proxy'!$B$8:$B$19,C4065)</x:f>
        <x:v>0.13757861635220128</x:v>
      </x:c>
    </x:row>
    <x:row r="4066">
      <x:c r="A4066" s="379" t="n">
        <x:v>49717</x:v>
      </x:c>
      <x:c r="B4066" s="380" t="n">
        <x:v>2036</x:v>
      </x:c>
      <x:c r="C4066" s="380" t="n">
        <x:v>2</x:v>
      </x:c>
      <x:c r="D4066" s="380" t="str">
        <x:v>Feb</x:v>
      </x:c>
      <x:c r="E4066" s="380" t="n">
        <x:v>12</x:v>
      </x:c>
      <x:c r="F4066" s="380" t="n">
        <x:v>2</x:v>
      </x:c>
      <x:c r="G4066" s="380" t="n">
        <x:f>--(F4066&lt;='Estimator'!$B$7)</x:f>
        <x:v>1</x:v>
      </x:c>
      <x:c r="H4066" s="381" t="n">
        <x:f>SUMIFS('Climate Data'!$G$7:$G$366,'Climate Data'!$A$7:$A$366,'Estimator'!$B$4,'Climate Data'!$B$7:$B$366,C4066)</x:f>
        <x:v>0.23056278464541316</x:v>
      </x:c>
      <x:c r="I4066" s="382" t="n">
        <x:f>SUMIFS('Climate Data'!$H$7:$H$366,'Climate Data'!$A$7:$A$366,'Estimator'!$B$4,'Climate Data'!$B$7:$B$366,C4066)</x:f>
        <x:v>9.682010582010582</x:v>
      </x:c>
      <x:c r="J4066" s="381" t="n">
        <x:f>SUMIFS('Wind Proxy'!$H$8:$H$19,'Wind Proxy'!$A$8:$A$19,'Estimator'!$B$4,'Wind Proxy'!$B$8:$B$19,C4066)</x:f>
        <x:v>0.13757861635220128</x:v>
      </x:c>
    </x:row>
    <x:row r="4067">
      <x:c r="A4067" s="379" t="n">
        <x:v>49718</x:v>
      </x:c>
      <x:c r="B4067" s="380" t="n">
        <x:v>2036</x:v>
      </x:c>
      <x:c r="C4067" s="380" t="n">
        <x:v>2</x:v>
      </x:c>
      <x:c r="D4067" s="380" t="str">
        <x:v>Feb</x:v>
      </x:c>
      <x:c r="E4067" s="380" t="n">
        <x:v>13</x:v>
      </x:c>
      <x:c r="F4067" s="380" t="n">
        <x:v>3</x:v>
      </x:c>
      <x:c r="G4067" s="380" t="n">
        <x:f>--(F4067&lt;='Estimator'!$B$7)</x:f>
        <x:v>1</x:v>
      </x:c>
      <x:c r="H4067" s="381" t="n">
        <x:f>SUMIFS('Climate Data'!$G$7:$G$366,'Climate Data'!$A$7:$A$366,'Estimator'!$B$4,'Climate Data'!$B$7:$B$366,C4067)</x:f>
        <x:v>0.23056278464541316</x:v>
      </x:c>
      <x:c r="I4067" s="382" t="n">
        <x:f>SUMIFS('Climate Data'!$H$7:$H$366,'Climate Data'!$A$7:$A$366,'Estimator'!$B$4,'Climate Data'!$B$7:$B$366,C4067)</x:f>
        <x:v>9.682010582010582</x:v>
      </x:c>
      <x:c r="J4067" s="381" t="n">
        <x:f>SUMIFS('Wind Proxy'!$H$8:$H$19,'Wind Proxy'!$A$8:$A$19,'Estimator'!$B$4,'Wind Proxy'!$B$8:$B$19,C4067)</x:f>
        <x:v>0.13757861635220128</x:v>
      </x:c>
    </x:row>
    <x:row r="4068">
      <x:c r="A4068" s="379" t="n">
        <x:v>49719</x:v>
      </x:c>
      <x:c r="B4068" s="380" t="n">
        <x:v>2036</x:v>
      </x:c>
      <x:c r="C4068" s="380" t="n">
        <x:v>2</x:v>
      </x:c>
      <x:c r="D4068" s="380" t="str">
        <x:v>Feb</x:v>
      </x:c>
      <x:c r="E4068" s="380" t="n">
        <x:v>14</x:v>
      </x:c>
      <x:c r="F4068" s="380" t="n">
        <x:v>4</x:v>
      </x:c>
      <x:c r="G4068" s="380" t="n">
        <x:f>--(F4068&lt;='Estimator'!$B$7)</x:f>
        <x:v>1</x:v>
      </x:c>
      <x:c r="H4068" s="381" t="n">
        <x:f>SUMIFS('Climate Data'!$G$7:$G$366,'Climate Data'!$A$7:$A$366,'Estimator'!$B$4,'Climate Data'!$B$7:$B$366,C4068)</x:f>
        <x:v>0.23056278464541316</x:v>
      </x:c>
      <x:c r="I4068" s="382" t="n">
        <x:f>SUMIFS('Climate Data'!$H$7:$H$366,'Climate Data'!$A$7:$A$366,'Estimator'!$B$4,'Climate Data'!$B$7:$B$366,C4068)</x:f>
        <x:v>9.682010582010582</x:v>
      </x:c>
      <x:c r="J4068" s="381" t="n">
        <x:f>SUMIFS('Wind Proxy'!$H$8:$H$19,'Wind Proxy'!$A$8:$A$19,'Estimator'!$B$4,'Wind Proxy'!$B$8:$B$19,C4068)</x:f>
        <x:v>0.13757861635220128</x:v>
      </x:c>
    </x:row>
    <x:row r="4069">
      <x:c r="A4069" s="379" t="n">
        <x:v>49720</x:v>
      </x:c>
      <x:c r="B4069" s="380" t="n">
        <x:v>2036</x:v>
      </x:c>
      <x:c r="C4069" s="380" t="n">
        <x:v>2</x:v>
      </x:c>
      <x:c r="D4069" s="380" t="str">
        <x:v>Feb</x:v>
      </x:c>
      <x:c r="E4069" s="380" t="n">
        <x:v>15</x:v>
      </x:c>
      <x:c r="F4069" s="380" t="n">
        <x:v>5</x:v>
      </x:c>
      <x:c r="G4069" s="380" t="n">
        <x:f>--(F4069&lt;='Estimator'!$B$7)</x:f>
        <x:v>1</x:v>
      </x:c>
      <x:c r="H4069" s="381" t="n">
        <x:f>SUMIFS('Climate Data'!$G$7:$G$366,'Climate Data'!$A$7:$A$366,'Estimator'!$B$4,'Climate Data'!$B$7:$B$366,C4069)</x:f>
        <x:v>0.23056278464541316</x:v>
      </x:c>
      <x:c r="I4069" s="382" t="n">
        <x:f>SUMIFS('Climate Data'!$H$7:$H$366,'Climate Data'!$A$7:$A$366,'Estimator'!$B$4,'Climate Data'!$B$7:$B$366,C4069)</x:f>
        <x:v>9.682010582010582</x:v>
      </x:c>
      <x:c r="J4069" s="381" t="n">
        <x:f>SUMIFS('Wind Proxy'!$H$8:$H$19,'Wind Proxy'!$A$8:$A$19,'Estimator'!$B$4,'Wind Proxy'!$B$8:$B$19,C4069)</x:f>
        <x:v>0.13757861635220128</x:v>
      </x:c>
    </x:row>
    <x:row r="4070">
      <x:c r="A4070" s="379" t="n">
        <x:v>49721</x:v>
      </x:c>
      <x:c r="B4070" s="380" t="n">
        <x:v>2036</x:v>
      </x:c>
      <x:c r="C4070" s="380" t="n">
        <x:v>2</x:v>
      </x:c>
      <x:c r="D4070" s="380" t="str">
        <x:v>Feb</x:v>
      </x:c>
      <x:c r="E4070" s="380" t="n">
        <x:v>16</x:v>
      </x:c>
      <x:c r="F4070" s="380" t="n">
        <x:v>6</x:v>
      </x:c>
      <x:c r="G4070" s="380" t="n">
        <x:f>--(F4070&lt;='Estimator'!$B$7)</x:f>
        <x:v>0</x:v>
      </x:c>
      <x:c r="H4070" s="381" t="n">
        <x:f>SUMIFS('Climate Data'!$G$7:$G$366,'Climate Data'!$A$7:$A$366,'Estimator'!$B$4,'Climate Data'!$B$7:$B$366,C4070)</x:f>
        <x:v>0.23056278464541316</x:v>
      </x:c>
      <x:c r="I4070" s="382" t="n">
        <x:f>SUMIFS('Climate Data'!$H$7:$H$366,'Climate Data'!$A$7:$A$366,'Estimator'!$B$4,'Climate Data'!$B$7:$B$366,C4070)</x:f>
        <x:v>9.682010582010582</x:v>
      </x:c>
      <x:c r="J4070" s="381" t="n">
        <x:f>SUMIFS('Wind Proxy'!$H$8:$H$19,'Wind Proxy'!$A$8:$A$19,'Estimator'!$B$4,'Wind Proxy'!$B$8:$B$19,C4070)</x:f>
        <x:v>0.13757861635220128</x:v>
      </x:c>
    </x:row>
    <x:row r="4071">
      <x:c r="A4071" s="379" t="n">
        <x:v>49722</x:v>
      </x:c>
      <x:c r="B4071" s="380" t="n">
        <x:v>2036</x:v>
      </x:c>
      <x:c r="C4071" s="380" t="n">
        <x:v>2</x:v>
      </x:c>
      <x:c r="D4071" s="380" t="str">
        <x:v>Feb</x:v>
      </x:c>
      <x:c r="E4071" s="380" t="n">
        <x:v>17</x:v>
      </x:c>
      <x:c r="F4071" s="380" t="n">
        <x:v>7</x:v>
      </x:c>
      <x:c r="G4071" s="380" t="n">
        <x:f>--(F4071&lt;='Estimator'!$B$7)</x:f>
        <x:v>0</x:v>
      </x:c>
      <x:c r="H4071" s="381" t="n">
        <x:f>SUMIFS('Climate Data'!$G$7:$G$366,'Climate Data'!$A$7:$A$366,'Estimator'!$B$4,'Climate Data'!$B$7:$B$366,C4071)</x:f>
        <x:v>0.23056278464541316</x:v>
      </x:c>
      <x:c r="I4071" s="382" t="n">
        <x:f>SUMIFS('Climate Data'!$H$7:$H$366,'Climate Data'!$A$7:$A$366,'Estimator'!$B$4,'Climate Data'!$B$7:$B$366,C4071)</x:f>
        <x:v>9.682010582010582</x:v>
      </x:c>
      <x:c r="J4071" s="381" t="n">
        <x:f>SUMIFS('Wind Proxy'!$H$8:$H$19,'Wind Proxy'!$A$8:$A$19,'Estimator'!$B$4,'Wind Proxy'!$B$8:$B$19,C4071)</x:f>
        <x:v>0.13757861635220128</x:v>
      </x:c>
    </x:row>
    <x:row r="4072">
      <x:c r="A4072" s="379" t="n">
        <x:v>49723</x:v>
      </x:c>
      <x:c r="B4072" s="380" t="n">
        <x:v>2036</x:v>
      </x:c>
      <x:c r="C4072" s="380" t="n">
        <x:v>2</x:v>
      </x:c>
      <x:c r="D4072" s="380" t="str">
        <x:v>Feb</x:v>
      </x:c>
      <x:c r="E4072" s="380" t="n">
        <x:v>18</x:v>
      </x:c>
      <x:c r="F4072" s="380" t="n">
        <x:v>1</x:v>
      </x:c>
      <x:c r="G4072" s="380" t="n">
        <x:f>--(F4072&lt;='Estimator'!$B$7)</x:f>
        <x:v>1</x:v>
      </x:c>
      <x:c r="H4072" s="381" t="n">
        <x:f>SUMIFS('Climate Data'!$G$7:$G$366,'Climate Data'!$A$7:$A$366,'Estimator'!$B$4,'Climate Data'!$B$7:$B$366,C4072)</x:f>
        <x:v>0.23056278464541316</x:v>
      </x:c>
      <x:c r="I4072" s="382" t="n">
        <x:f>SUMIFS('Climate Data'!$H$7:$H$366,'Climate Data'!$A$7:$A$366,'Estimator'!$B$4,'Climate Data'!$B$7:$B$366,C4072)</x:f>
        <x:v>9.682010582010582</x:v>
      </x:c>
      <x:c r="J4072" s="381" t="n">
        <x:f>SUMIFS('Wind Proxy'!$H$8:$H$19,'Wind Proxy'!$A$8:$A$19,'Estimator'!$B$4,'Wind Proxy'!$B$8:$B$19,C4072)</x:f>
        <x:v>0.13757861635220128</x:v>
      </x:c>
    </x:row>
    <x:row r="4073">
      <x:c r="A4073" s="379" t="n">
        <x:v>49724</x:v>
      </x:c>
      <x:c r="B4073" s="380" t="n">
        <x:v>2036</x:v>
      </x:c>
      <x:c r="C4073" s="380" t="n">
        <x:v>2</x:v>
      </x:c>
      <x:c r="D4073" s="380" t="str">
        <x:v>Feb</x:v>
      </x:c>
      <x:c r="E4073" s="380" t="n">
        <x:v>19</x:v>
      </x:c>
      <x:c r="F4073" s="380" t="n">
        <x:v>2</x:v>
      </x:c>
      <x:c r="G4073" s="380" t="n">
        <x:f>--(F4073&lt;='Estimator'!$B$7)</x:f>
        <x:v>1</x:v>
      </x:c>
      <x:c r="H4073" s="381" t="n">
        <x:f>SUMIFS('Climate Data'!$G$7:$G$366,'Climate Data'!$A$7:$A$366,'Estimator'!$B$4,'Climate Data'!$B$7:$B$366,C4073)</x:f>
        <x:v>0.23056278464541316</x:v>
      </x:c>
      <x:c r="I4073" s="382" t="n">
        <x:f>SUMIFS('Climate Data'!$H$7:$H$366,'Climate Data'!$A$7:$A$366,'Estimator'!$B$4,'Climate Data'!$B$7:$B$366,C4073)</x:f>
        <x:v>9.682010582010582</x:v>
      </x:c>
      <x:c r="J4073" s="381" t="n">
        <x:f>SUMIFS('Wind Proxy'!$H$8:$H$19,'Wind Proxy'!$A$8:$A$19,'Estimator'!$B$4,'Wind Proxy'!$B$8:$B$19,C4073)</x:f>
        <x:v>0.13757861635220128</x:v>
      </x:c>
    </x:row>
    <x:row r="4074">
      <x:c r="A4074" s="379" t="n">
        <x:v>49725</x:v>
      </x:c>
      <x:c r="B4074" s="380" t="n">
        <x:v>2036</x:v>
      </x:c>
      <x:c r="C4074" s="380" t="n">
        <x:v>2</x:v>
      </x:c>
      <x:c r="D4074" s="380" t="str">
        <x:v>Feb</x:v>
      </x:c>
      <x:c r="E4074" s="380" t="n">
        <x:v>20</x:v>
      </x:c>
      <x:c r="F4074" s="380" t="n">
        <x:v>3</x:v>
      </x:c>
      <x:c r="G4074" s="380" t="n">
        <x:f>--(F4074&lt;='Estimator'!$B$7)</x:f>
        <x:v>1</x:v>
      </x:c>
      <x:c r="H4074" s="381" t="n">
        <x:f>SUMIFS('Climate Data'!$G$7:$G$366,'Climate Data'!$A$7:$A$366,'Estimator'!$B$4,'Climate Data'!$B$7:$B$366,C4074)</x:f>
        <x:v>0.23056278464541316</x:v>
      </x:c>
      <x:c r="I4074" s="382" t="n">
        <x:f>SUMIFS('Climate Data'!$H$7:$H$366,'Climate Data'!$A$7:$A$366,'Estimator'!$B$4,'Climate Data'!$B$7:$B$366,C4074)</x:f>
        <x:v>9.682010582010582</x:v>
      </x:c>
      <x:c r="J4074" s="381" t="n">
        <x:f>SUMIFS('Wind Proxy'!$H$8:$H$19,'Wind Proxy'!$A$8:$A$19,'Estimator'!$B$4,'Wind Proxy'!$B$8:$B$19,C4074)</x:f>
        <x:v>0.13757861635220128</x:v>
      </x:c>
    </x:row>
    <x:row r="4075">
      <x:c r="A4075" s="379" t="n">
        <x:v>49726</x:v>
      </x:c>
      <x:c r="B4075" s="380" t="n">
        <x:v>2036</x:v>
      </x:c>
      <x:c r="C4075" s="380" t="n">
        <x:v>2</x:v>
      </x:c>
      <x:c r="D4075" s="380" t="str">
        <x:v>Feb</x:v>
      </x:c>
      <x:c r="E4075" s="380" t="n">
        <x:v>21</x:v>
      </x:c>
      <x:c r="F4075" s="380" t="n">
        <x:v>4</x:v>
      </x:c>
      <x:c r="G4075" s="380" t="n">
        <x:f>--(F4075&lt;='Estimator'!$B$7)</x:f>
        <x:v>1</x:v>
      </x:c>
      <x:c r="H4075" s="381" t="n">
        <x:f>SUMIFS('Climate Data'!$G$7:$G$366,'Climate Data'!$A$7:$A$366,'Estimator'!$B$4,'Climate Data'!$B$7:$B$366,C4075)</x:f>
        <x:v>0.23056278464541316</x:v>
      </x:c>
      <x:c r="I4075" s="382" t="n">
        <x:f>SUMIFS('Climate Data'!$H$7:$H$366,'Climate Data'!$A$7:$A$366,'Estimator'!$B$4,'Climate Data'!$B$7:$B$366,C4075)</x:f>
        <x:v>9.682010582010582</x:v>
      </x:c>
      <x:c r="J4075" s="381" t="n">
        <x:f>SUMIFS('Wind Proxy'!$H$8:$H$19,'Wind Proxy'!$A$8:$A$19,'Estimator'!$B$4,'Wind Proxy'!$B$8:$B$19,C4075)</x:f>
        <x:v>0.13757861635220128</x:v>
      </x:c>
    </x:row>
    <x:row r="4076">
      <x:c r="A4076" s="379" t="n">
        <x:v>49727</x:v>
      </x:c>
      <x:c r="B4076" s="380" t="n">
        <x:v>2036</x:v>
      </x:c>
      <x:c r="C4076" s="380" t="n">
        <x:v>2</x:v>
      </x:c>
      <x:c r="D4076" s="380" t="str">
        <x:v>Feb</x:v>
      </x:c>
      <x:c r="E4076" s="380" t="n">
        <x:v>22</x:v>
      </x:c>
      <x:c r="F4076" s="380" t="n">
        <x:v>5</x:v>
      </x:c>
      <x:c r="G4076" s="380" t="n">
        <x:f>--(F4076&lt;='Estimator'!$B$7)</x:f>
        <x:v>1</x:v>
      </x:c>
      <x:c r="H4076" s="381" t="n">
        <x:f>SUMIFS('Climate Data'!$G$7:$G$366,'Climate Data'!$A$7:$A$366,'Estimator'!$B$4,'Climate Data'!$B$7:$B$366,C4076)</x:f>
        <x:v>0.23056278464541316</x:v>
      </x:c>
      <x:c r="I4076" s="382" t="n">
        <x:f>SUMIFS('Climate Data'!$H$7:$H$366,'Climate Data'!$A$7:$A$366,'Estimator'!$B$4,'Climate Data'!$B$7:$B$366,C4076)</x:f>
        <x:v>9.682010582010582</x:v>
      </x:c>
      <x:c r="J4076" s="381" t="n">
        <x:f>SUMIFS('Wind Proxy'!$H$8:$H$19,'Wind Proxy'!$A$8:$A$19,'Estimator'!$B$4,'Wind Proxy'!$B$8:$B$19,C4076)</x:f>
        <x:v>0.13757861635220128</x:v>
      </x:c>
    </x:row>
    <x:row r="4077">
      <x:c r="A4077" s="379" t="n">
        <x:v>49728</x:v>
      </x:c>
      <x:c r="B4077" s="380" t="n">
        <x:v>2036</x:v>
      </x:c>
      <x:c r="C4077" s="380" t="n">
        <x:v>2</x:v>
      </x:c>
      <x:c r="D4077" s="380" t="str">
        <x:v>Feb</x:v>
      </x:c>
      <x:c r="E4077" s="380" t="n">
        <x:v>23</x:v>
      </x:c>
      <x:c r="F4077" s="380" t="n">
        <x:v>6</x:v>
      </x:c>
      <x:c r="G4077" s="380" t="n">
        <x:f>--(F4077&lt;='Estimator'!$B$7)</x:f>
        <x:v>0</x:v>
      </x:c>
      <x:c r="H4077" s="381" t="n">
        <x:f>SUMIFS('Climate Data'!$G$7:$G$366,'Climate Data'!$A$7:$A$366,'Estimator'!$B$4,'Climate Data'!$B$7:$B$366,C4077)</x:f>
        <x:v>0.23056278464541316</x:v>
      </x:c>
      <x:c r="I4077" s="382" t="n">
        <x:f>SUMIFS('Climate Data'!$H$7:$H$366,'Climate Data'!$A$7:$A$366,'Estimator'!$B$4,'Climate Data'!$B$7:$B$366,C4077)</x:f>
        <x:v>9.682010582010582</x:v>
      </x:c>
      <x:c r="J4077" s="381" t="n">
        <x:f>SUMIFS('Wind Proxy'!$H$8:$H$19,'Wind Proxy'!$A$8:$A$19,'Estimator'!$B$4,'Wind Proxy'!$B$8:$B$19,C4077)</x:f>
        <x:v>0.13757861635220128</x:v>
      </x:c>
    </x:row>
    <x:row r="4078">
      <x:c r="A4078" s="379" t="n">
        <x:v>49729</x:v>
      </x:c>
      <x:c r="B4078" s="380" t="n">
        <x:v>2036</x:v>
      </x:c>
      <x:c r="C4078" s="380" t="n">
        <x:v>2</x:v>
      </x:c>
      <x:c r="D4078" s="380" t="str">
        <x:v>Feb</x:v>
      </x:c>
      <x:c r="E4078" s="380" t="n">
        <x:v>24</x:v>
      </x:c>
      <x:c r="F4078" s="380" t="n">
        <x:v>7</x:v>
      </x:c>
      <x:c r="G4078" s="380" t="n">
        <x:f>--(F4078&lt;='Estimator'!$B$7)</x:f>
        <x:v>0</x:v>
      </x:c>
      <x:c r="H4078" s="381" t="n">
        <x:f>SUMIFS('Climate Data'!$G$7:$G$366,'Climate Data'!$A$7:$A$366,'Estimator'!$B$4,'Climate Data'!$B$7:$B$366,C4078)</x:f>
        <x:v>0.23056278464541316</x:v>
      </x:c>
      <x:c r="I4078" s="382" t="n">
        <x:f>SUMIFS('Climate Data'!$H$7:$H$366,'Climate Data'!$A$7:$A$366,'Estimator'!$B$4,'Climate Data'!$B$7:$B$366,C4078)</x:f>
        <x:v>9.682010582010582</x:v>
      </x:c>
      <x:c r="J4078" s="381" t="n">
        <x:f>SUMIFS('Wind Proxy'!$H$8:$H$19,'Wind Proxy'!$A$8:$A$19,'Estimator'!$B$4,'Wind Proxy'!$B$8:$B$19,C4078)</x:f>
        <x:v>0.13757861635220128</x:v>
      </x:c>
    </x:row>
    <x:row r="4079">
      <x:c r="A4079" s="379" t="n">
        <x:v>49730</x:v>
      </x:c>
      <x:c r="B4079" s="380" t="n">
        <x:v>2036</x:v>
      </x:c>
      <x:c r="C4079" s="380" t="n">
        <x:v>2</x:v>
      </x:c>
      <x:c r="D4079" s="380" t="str">
        <x:v>Feb</x:v>
      </x:c>
      <x:c r="E4079" s="380" t="n">
        <x:v>25</x:v>
      </x:c>
      <x:c r="F4079" s="380" t="n">
        <x:v>1</x:v>
      </x:c>
      <x:c r="G4079" s="380" t="n">
        <x:f>--(F4079&lt;='Estimator'!$B$7)</x:f>
        <x:v>1</x:v>
      </x:c>
      <x:c r="H4079" s="381" t="n">
        <x:f>SUMIFS('Climate Data'!$G$7:$G$366,'Climate Data'!$A$7:$A$366,'Estimator'!$B$4,'Climate Data'!$B$7:$B$366,C4079)</x:f>
        <x:v>0.23056278464541316</x:v>
      </x:c>
      <x:c r="I4079" s="382" t="n">
        <x:f>SUMIFS('Climate Data'!$H$7:$H$366,'Climate Data'!$A$7:$A$366,'Estimator'!$B$4,'Climate Data'!$B$7:$B$366,C4079)</x:f>
        <x:v>9.682010582010582</x:v>
      </x:c>
      <x:c r="J4079" s="381" t="n">
        <x:f>SUMIFS('Wind Proxy'!$H$8:$H$19,'Wind Proxy'!$A$8:$A$19,'Estimator'!$B$4,'Wind Proxy'!$B$8:$B$19,C4079)</x:f>
        <x:v>0.13757861635220128</x:v>
      </x:c>
    </x:row>
    <x:row r="4080">
      <x:c r="A4080" s="379" t="n">
        <x:v>49731</x:v>
      </x:c>
      <x:c r="B4080" s="380" t="n">
        <x:v>2036</x:v>
      </x:c>
      <x:c r="C4080" s="380" t="n">
        <x:v>2</x:v>
      </x:c>
      <x:c r="D4080" s="380" t="str">
        <x:v>Feb</x:v>
      </x:c>
      <x:c r="E4080" s="380" t="n">
        <x:v>26</x:v>
      </x:c>
      <x:c r="F4080" s="380" t="n">
        <x:v>2</x:v>
      </x:c>
      <x:c r="G4080" s="380" t="n">
        <x:f>--(F4080&lt;='Estimator'!$B$7)</x:f>
        <x:v>1</x:v>
      </x:c>
      <x:c r="H4080" s="381" t="n">
        <x:f>SUMIFS('Climate Data'!$G$7:$G$366,'Climate Data'!$A$7:$A$366,'Estimator'!$B$4,'Climate Data'!$B$7:$B$366,C4080)</x:f>
        <x:v>0.23056278464541316</x:v>
      </x:c>
      <x:c r="I4080" s="382" t="n">
        <x:f>SUMIFS('Climate Data'!$H$7:$H$366,'Climate Data'!$A$7:$A$366,'Estimator'!$B$4,'Climate Data'!$B$7:$B$366,C4080)</x:f>
        <x:v>9.682010582010582</x:v>
      </x:c>
      <x:c r="J4080" s="381" t="n">
        <x:f>SUMIFS('Wind Proxy'!$H$8:$H$19,'Wind Proxy'!$A$8:$A$19,'Estimator'!$B$4,'Wind Proxy'!$B$8:$B$19,C4080)</x:f>
        <x:v>0.13757861635220128</x:v>
      </x:c>
    </x:row>
    <x:row r="4081">
      <x:c r="A4081" s="379" t="n">
        <x:v>49732</x:v>
      </x:c>
      <x:c r="B4081" s="380" t="n">
        <x:v>2036</x:v>
      </x:c>
      <x:c r="C4081" s="380" t="n">
        <x:v>2</x:v>
      </x:c>
      <x:c r="D4081" s="380" t="str">
        <x:v>Feb</x:v>
      </x:c>
      <x:c r="E4081" s="380" t="n">
        <x:v>27</x:v>
      </x:c>
      <x:c r="F4081" s="380" t="n">
        <x:v>3</x:v>
      </x:c>
      <x:c r="G4081" s="380" t="n">
        <x:f>--(F4081&lt;='Estimator'!$B$7)</x:f>
        <x:v>1</x:v>
      </x:c>
      <x:c r="H4081" s="381" t="n">
        <x:f>SUMIFS('Climate Data'!$G$7:$G$366,'Climate Data'!$A$7:$A$366,'Estimator'!$B$4,'Climate Data'!$B$7:$B$366,C4081)</x:f>
        <x:v>0.23056278464541316</x:v>
      </x:c>
      <x:c r="I4081" s="382" t="n">
        <x:f>SUMIFS('Climate Data'!$H$7:$H$366,'Climate Data'!$A$7:$A$366,'Estimator'!$B$4,'Climate Data'!$B$7:$B$366,C4081)</x:f>
        <x:v>9.682010582010582</x:v>
      </x:c>
      <x:c r="J4081" s="381" t="n">
        <x:f>SUMIFS('Wind Proxy'!$H$8:$H$19,'Wind Proxy'!$A$8:$A$19,'Estimator'!$B$4,'Wind Proxy'!$B$8:$B$19,C4081)</x:f>
        <x:v>0.13757861635220128</x:v>
      </x:c>
    </x:row>
    <x:row r="4082">
      <x:c r="A4082" s="379" t="n">
        <x:v>49733</x:v>
      </x:c>
      <x:c r="B4082" s="380" t="n">
        <x:v>2036</x:v>
      </x:c>
      <x:c r="C4082" s="380" t="n">
        <x:v>2</x:v>
      </x:c>
      <x:c r="D4082" s="380" t="str">
        <x:v>Feb</x:v>
      </x:c>
      <x:c r="E4082" s="380" t="n">
        <x:v>28</x:v>
      </x:c>
      <x:c r="F4082" s="380" t="n">
        <x:v>4</x:v>
      </x:c>
      <x:c r="G4082" s="380" t="n">
        <x:f>--(F4082&lt;='Estimator'!$B$7)</x:f>
        <x:v>1</x:v>
      </x:c>
      <x:c r="H4082" s="381" t="n">
        <x:f>SUMIFS('Climate Data'!$G$7:$G$366,'Climate Data'!$A$7:$A$366,'Estimator'!$B$4,'Climate Data'!$B$7:$B$366,C4082)</x:f>
        <x:v>0.23056278464541316</x:v>
      </x:c>
      <x:c r="I4082" s="382" t="n">
        <x:f>SUMIFS('Climate Data'!$H$7:$H$366,'Climate Data'!$A$7:$A$366,'Estimator'!$B$4,'Climate Data'!$B$7:$B$366,C4082)</x:f>
        <x:v>9.682010582010582</x:v>
      </x:c>
      <x:c r="J4082" s="381" t="n">
        <x:f>SUMIFS('Wind Proxy'!$H$8:$H$19,'Wind Proxy'!$A$8:$A$19,'Estimator'!$B$4,'Wind Proxy'!$B$8:$B$19,C4082)</x:f>
        <x:v>0.13757861635220128</x:v>
      </x:c>
    </x:row>
    <x:row r="4083">
      <x:c r="A4083" s="379" t="n">
        <x:v>49734</x:v>
      </x:c>
      <x:c r="B4083" s="380" t="n">
        <x:v>2036</x:v>
      </x:c>
      <x:c r="C4083" s="380" t="n">
        <x:v>2</x:v>
      </x:c>
      <x:c r="D4083" s="380" t="str">
        <x:v>Feb</x:v>
      </x:c>
      <x:c r="E4083" s="380" t="n">
        <x:v>29</x:v>
      </x:c>
      <x:c r="F4083" s="380" t="n">
        <x:v>5</x:v>
      </x:c>
      <x:c r="G4083" s="380" t="n">
        <x:f>--(F4083&lt;='Estimator'!$B$7)</x:f>
        <x:v>1</x:v>
      </x:c>
      <x:c r="H4083" s="381" t="n">
        <x:f>SUMIFS('Climate Data'!$G$7:$G$366,'Climate Data'!$A$7:$A$366,'Estimator'!$B$4,'Climate Data'!$B$7:$B$366,C4083)</x:f>
        <x:v>0.23056278464541316</x:v>
      </x:c>
      <x:c r="I4083" s="382" t="n">
        <x:f>SUMIFS('Climate Data'!$H$7:$H$366,'Climate Data'!$A$7:$A$366,'Estimator'!$B$4,'Climate Data'!$B$7:$B$366,C4083)</x:f>
        <x:v>9.682010582010582</x:v>
      </x:c>
      <x:c r="J4083" s="381" t="n">
        <x:f>SUMIFS('Wind Proxy'!$H$8:$H$19,'Wind Proxy'!$A$8:$A$19,'Estimator'!$B$4,'Wind Proxy'!$B$8:$B$19,C4083)</x:f>
        <x:v>0.13757861635220128</x:v>
      </x:c>
    </x:row>
    <x:row r="4084">
      <x:c r="A4084" s="379" t="n">
        <x:v>49735</x:v>
      </x:c>
      <x:c r="B4084" s="380" t="n">
        <x:v>2036</x:v>
      </x:c>
      <x:c r="C4084" s="380" t="n">
        <x:v>3</x:v>
      </x:c>
      <x:c r="D4084" s="380" t="str">
        <x:v>Mar</x:v>
      </x:c>
      <x:c r="E4084" s="380" t="n">
        <x:v>1</x:v>
      </x:c>
      <x:c r="F4084" s="380" t="n">
        <x:v>6</x:v>
      </x:c>
      <x:c r="G4084" s="380" t="n">
        <x:f>--(F4084&lt;='Estimator'!$B$7)</x:f>
        <x:v>0</x:v>
      </x:c>
      <x:c r="H4084" s="381" t="n">
        <x:f>SUMIFS('Climate Data'!$G$7:$G$366,'Climate Data'!$A$7:$A$366,'Estimator'!$B$4,'Climate Data'!$B$7:$B$366,C4084)</x:f>
        <x:v>0.24916573971078979</x:v>
      </x:c>
      <x:c r="I4084" s="382" t="n">
        <x:f>SUMIFS('Climate Data'!$H$7:$H$366,'Climate Data'!$A$7:$A$366,'Estimator'!$B$4,'Climate Data'!$B$7:$B$366,C4084)</x:f>
        <x:v>9.709821428571429</x:v>
      </x:c>
      <x:c r="J4084" s="381" t="n">
        <x:f>SUMIFS('Wind Proxy'!$H$8:$H$19,'Wind Proxy'!$A$8:$A$19,'Estimator'!$B$4,'Wind Proxy'!$B$8:$B$19,C4084)</x:f>
        <x:v>0.11350059737156513</x:v>
      </x:c>
    </x:row>
    <x:row r="4085">
      <x:c r="A4085" s="379" t="n">
        <x:v>49736</x:v>
      </x:c>
      <x:c r="B4085" s="380" t="n">
        <x:v>2036</x:v>
      </x:c>
      <x:c r="C4085" s="380" t="n">
        <x:v>3</x:v>
      </x:c>
      <x:c r="D4085" s="380" t="str">
        <x:v>Mar</x:v>
      </x:c>
      <x:c r="E4085" s="380" t="n">
        <x:v>2</x:v>
      </x:c>
      <x:c r="F4085" s="380" t="n">
        <x:v>7</x:v>
      </x:c>
      <x:c r="G4085" s="380" t="n">
        <x:f>--(F4085&lt;='Estimator'!$B$7)</x:f>
        <x:v>0</x:v>
      </x:c>
      <x:c r="H4085" s="381" t="n">
        <x:f>SUMIFS('Climate Data'!$G$7:$G$366,'Climate Data'!$A$7:$A$366,'Estimator'!$B$4,'Climate Data'!$B$7:$B$366,C4085)</x:f>
        <x:v>0.24916573971078979</x:v>
      </x:c>
      <x:c r="I4085" s="382" t="n">
        <x:f>SUMIFS('Climate Data'!$H$7:$H$366,'Climate Data'!$A$7:$A$366,'Estimator'!$B$4,'Climate Data'!$B$7:$B$366,C4085)</x:f>
        <x:v>9.709821428571429</x:v>
      </x:c>
      <x:c r="J4085" s="381" t="n">
        <x:f>SUMIFS('Wind Proxy'!$H$8:$H$19,'Wind Proxy'!$A$8:$A$19,'Estimator'!$B$4,'Wind Proxy'!$B$8:$B$19,C4085)</x:f>
        <x:v>0.11350059737156513</x:v>
      </x:c>
    </x:row>
    <x:row r="4086">
      <x:c r="A4086" s="379" t="n">
        <x:v>49737</x:v>
      </x:c>
      <x:c r="B4086" s="380" t="n">
        <x:v>2036</x:v>
      </x:c>
      <x:c r="C4086" s="380" t="n">
        <x:v>3</x:v>
      </x:c>
      <x:c r="D4086" s="380" t="str">
        <x:v>Mar</x:v>
      </x:c>
      <x:c r="E4086" s="380" t="n">
        <x:v>3</x:v>
      </x:c>
      <x:c r="F4086" s="380" t="n">
        <x:v>1</x:v>
      </x:c>
      <x:c r="G4086" s="380" t="n">
        <x:f>--(F4086&lt;='Estimator'!$B$7)</x:f>
        <x:v>1</x:v>
      </x:c>
      <x:c r="H4086" s="381" t="n">
        <x:f>SUMIFS('Climate Data'!$G$7:$G$366,'Climate Data'!$A$7:$A$366,'Estimator'!$B$4,'Climate Data'!$B$7:$B$366,C4086)</x:f>
        <x:v>0.24916573971078979</x:v>
      </x:c>
      <x:c r="I4086" s="382" t="n">
        <x:f>SUMIFS('Climate Data'!$H$7:$H$366,'Climate Data'!$A$7:$A$366,'Estimator'!$B$4,'Climate Data'!$B$7:$B$366,C4086)</x:f>
        <x:v>9.709821428571429</x:v>
      </x:c>
      <x:c r="J4086" s="381" t="n">
        <x:f>SUMIFS('Wind Proxy'!$H$8:$H$19,'Wind Proxy'!$A$8:$A$19,'Estimator'!$B$4,'Wind Proxy'!$B$8:$B$19,C4086)</x:f>
        <x:v>0.11350059737156513</x:v>
      </x:c>
    </x:row>
    <x:row r="4087">
      <x:c r="A4087" s="379" t="n">
        <x:v>49738</x:v>
      </x:c>
      <x:c r="B4087" s="380" t="n">
        <x:v>2036</x:v>
      </x:c>
      <x:c r="C4087" s="380" t="n">
        <x:v>3</x:v>
      </x:c>
      <x:c r="D4087" s="380" t="str">
        <x:v>Mar</x:v>
      </x:c>
      <x:c r="E4087" s="380" t="n">
        <x:v>4</x:v>
      </x:c>
      <x:c r="F4087" s="380" t="n">
        <x:v>2</x:v>
      </x:c>
      <x:c r="G4087" s="380" t="n">
        <x:f>--(F4087&lt;='Estimator'!$B$7)</x:f>
        <x:v>1</x:v>
      </x:c>
      <x:c r="H4087" s="381" t="n">
        <x:f>SUMIFS('Climate Data'!$G$7:$G$366,'Climate Data'!$A$7:$A$366,'Estimator'!$B$4,'Climate Data'!$B$7:$B$366,C4087)</x:f>
        <x:v>0.24916573971078979</x:v>
      </x:c>
      <x:c r="I4087" s="382" t="n">
        <x:f>SUMIFS('Climate Data'!$H$7:$H$366,'Climate Data'!$A$7:$A$366,'Estimator'!$B$4,'Climate Data'!$B$7:$B$366,C4087)</x:f>
        <x:v>9.709821428571429</x:v>
      </x:c>
      <x:c r="J4087" s="381" t="n">
        <x:f>SUMIFS('Wind Proxy'!$H$8:$H$19,'Wind Proxy'!$A$8:$A$19,'Estimator'!$B$4,'Wind Proxy'!$B$8:$B$19,C4087)</x:f>
        <x:v>0.11350059737156513</x:v>
      </x:c>
    </x:row>
    <x:row r="4088">
      <x:c r="A4088" s="379" t="n">
        <x:v>49739</x:v>
      </x:c>
      <x:c r="B4088" s="380" t="n">
        <x:v>2036</x:v>
      </x:c>
      <x:c r="C4088" s="380" t="n">
        <x:v>3</x:v>
      </x:c>
      <x:c r="D4088" s="380" t="str">
        <x:v>Mar</x:v>
      </x:c>
      <x:c r="E4088" s="380" t="n">
        <x:v>5</x:v>
      </x:c>
      <x:c r="F4088" s="380" t="n">
        <x:v>3</x:v>
      </x:c>
      <x:c r="G4088" s="380" t="n">
        <x:f>--(F4088&lt;='Estimator'!$B$7)</x:f>
        <x:v>1</x:v>
      </x:c>
      <x:c r="H4088" s="381" t="n">
        <x:f>SUMIFS('Climate Data'!$G$7:$G$366,'Climate Data'!$A$7:$A$366,'Estimator'!$B$4,'Climate Data'!$B$7:$B$366,C4088)</x:f>
        <x:v>0.24916573971078979</x:v>
      </x:c>
      <x:c r="I4088" s="382" t="n">
        <x:f>SUMIFS('Climate Data'!$H$7:$H$366,'Climate Data'!$A$7:$A$366,'Estimator'!$B$4,'Climate Data'!$B$7:$B$366,C4088)</x:f>
        <x:v>9.709821428571429</x:v>
      </x:c>
      <x:c r="J4088" s="381" t="n">
        <x:f>SUMIFS('Wind Proxy'!$H$8:$H$19,'Wind Proxy'!$A$8:$A$19,'Estimator'!$B$4,'Wind Proxy'!$B$8:$B$19,C4088)</x:f>
        <x:v>0.11350059737156513</x:v>
      </x:c>
    </x:row>
    <x:row r="4089">
      <x:c r="A4089" s="379" t="n">
        <x:v>49740</x:v>
      </x:c>
      <x:c r="B4089" s="380" t="n">
        <x:v>2036</x:v>
      </x:c>
      <x:c r="C4089" s="380" t="n">
        <x:v>3</x:v>
      </x:c>
      <x:c r="D4089" s="380" t="str">
        <x:v>Mar</x:v>
      </x:c>
      <x:c r="E4089" s="380" t="n">
        <x:v>6</x:v>
      </x:c>
      <x:c r="F4089" s="380" t="n">
        <x:v>4</x:v>
      </x:c>
      <x:c r="G4089" s="380" t="n">
        <x:f>--(F4089&lt;='Estimator'!$B$7)</x:f>
        <x:v>1</x:v>
      </x:c>
      <x:c r="H4089" s="381" t="n">
        <x:f>SUMIFS('Climate Data'!$G$7:$G$366,'Climate Data'!$A$7:$A$366,'Estimator'!$B$4,'Climate Data'!$B$7:$B$366,C4089)</x:f>
        <x:v>0.24916573971078979</x:v>
      </x:c>
      <x:c r="I4089" s="382" t="n">
        <x:f>SUMIFS('Climate Data'!$H$7:$H$366,'Climate Data'!$A$7:$A$366,'Estimator'!$B$4,'Climate Data'!$B$7:$B$366,C4089)</x:f>
        <x:v>9.709821428571429</x:v>
      </x:c>
      <x:c r="J4089" s="381" t="n">
        <x:f>SUMIFS('Wind Proxy'!$H$8:$H$19,'Wind Proxy'!$A$8:$A$19,'Estimator'!$B$4,'Wind Proxy'!$B$8:$B$19,C4089)</x:f>
        <x:v>0.11350059737156513</x:v>
      </x:c>
    </x:row>
    <x:row r="4090">
      <x:c r="A4090" s="379" t="n">
        <x:v>49741</x:v>
      </x:c>
      <x:c r="B4090" s="380" t="n">
        <x:v>2036</x:v>
      </x:c>
      <x:c r="C4090" s="380" t="n">
        <x:v>3</x:v>
      </x:c>
      <x:c r="D4090" s="380" t="str">
        <x:v>Mar</x:v>
      </x:c>
      <x:c r="E4090" s="380" t="n">
        <x:v>7</x:v>
      </x:c>
      <x:c r="F4090" s="380" t="n">
        <x:v>5</x:v>
      </x:c>
      <x:c r="G4090" s="380" t="n">
        <x:f>--(F4090&lt;='Estimator'!$B$7)</x:f>
        <x:v>1</x:v>
      </x:c>
      <x:c r="H4090" s="381" t="n">
        <x:f>SUMIFS('Climate Data'!$G$7:$G$366,'Climate Data'!$A$7:$A$366,'Estimator'!$B$4,'Climate Data'!$B$7:$B$366,C4090)</x:f>
        <x:v>0.24916573971078979</x:v>
      </x:c>
      <x:c r="I4090" s="382" t="n">
        <x:f>SUMIFS('Climate Data'!$H$7:$H$366,'Climate Data'!$A$7:$A$366,'Estimator'!$B$4,'Climate Data'!$B$7:$B$366,C4090)</x:f>
        <x:v>9.709821428571429</x:v>
      </x:c>
      <x:c r="J4090" s="381" t="n">
        <x:f>SUMIFS('Wind Proxy'!$H$8:$H$19,'Wind Proxy'!$A$8:$A$19,'Estimator'!$B$4,'Wind Proxy'!$B$8:$B$19,C4090)</x:f>
        <x:v>0.11350059737156513</x:v>
      </x:c>
    </x:row>
    <x:row r="4091">
      <x:c r="A4091" s="379" t="n">
        <x:v>49742</x:v>
      </x:c>
      <x:c r="B4091" s="380" t="n">
        <x:v>2036</x:v>
      </x:c>
      <x:c r="C4091" s="380" t="n">
        <x:v>3</x:v>
      </x:c>
      <x:c r="D4091" s="380" t="str">
        <x:v>Mar</x:v>
      </x:c>
      <x:c r="E4091" s="380" t="n">
        <x:v>8</x:v>
      </x:c>
      <x:c r="F4091" s="380" t="n">
        <x:v>6</x:v>
      </x:c>
      <x:c r="G4091" s="380" t="n">
        <x:f>--(F4091&lt;='Estimator'!$B$7)</x:f>
        <x:v>0</x:v>
      </x:c>
      <x:c r="H4091" s="381" t="n">
        <x:f>SUMIFS('Climate Data'!$G$7:$G$366,'Climate Data'!$A$7:$A$366,'Estimator'!$B$4,'Climate Data'!$B$7:$B$366,C4091)</x:f>
        <x:v>0.24916573971078979</x:v>
      </x:c>
      <x:c r="I4091" s="382" t="n">
        <x:f>SUMIFS('Climate Data'!$H$7:$H$366,'Climate Data'!$A$7:$A$366,'Estimator'!$B$4,'Climate Data'!$B$7:$B$366,C4091)</x:f>
        <x:v>9.709821428571429</x:v>
      </x:c>
      <x:c r="J4091" s="381" t="n">
        <x:f>SUMIFS('Wind Proxy'!$H$8:$H$19,'Wind Proxy'!$A$8:$A$19,'Estimator'!$B$4,'Wind Proxy'!$B$8:$B$19,C4091)</x:f>
        <x:v>0.11350059737156513</x:v>
      </x:c>
    </x:row>
    <x:row r="4092">
      <x:c r="A4092" s="379" t="n">
        <x:v>49743</x:v>
      </x:c>
      <x:c r="B4092" s="380" t="n">
        <x:v>2036</x:v>
      </x:c>
      <x:c r="C4092" s="380" t="n">
        <x:v>3</x:v>
      </x:c>
      <x:c r="D4092" s="380" t="str">
        <x:v>Mar</x:v>
      </x:c>
      <x:c r="E4092" s="380" t="n">
        <x:v>9</x:v>
      </x:c>
      <x:c r="F4092" s="380" t="n">
        <x:v>7</x:v>
      </x:c>
      <x:c r="G4092" s="380" t="n">
        <x:f>--(F4092&lt;='Estimator'!$B$7)</x:f>
        <x:v>0</x:v>
      </x:c>
      <x:c r="H4092" s="381" t="n">
        <x:f>SUMIFS('Climate Data'!$G$7:$G$366,'Climate Data'!$A$7:$A$366,'Estimator'!$B$4,'Climate Data'!$B$7:$B$366,C4092)</x:f>
        <x:v>0.24916573971078979</x:v>
      </x:c>
      <x:c r="I4092" s="382" t="n">
        <x:f>SUMIFS('Climate Data'!$H$7:$H$366,'Climate Data'!$A$7:$A$366,'Estimator'!$B$4,'Climate Data'!$B$7:$B$366,C4092)</x:f>
        <x:v>9.709821428571429</x:v>
      </x:c>
      <x:c r="J4092" s="381" t="n">
        <x:f>SUMIFS('Wind Proxy'!$H$8:$H$19,'Wind Proxy'!$A$8:$A$19,'Estimator'!$B$4,'Wind Proxy'!$B$8:$B$19,C4092)</x:f>
        <x:v>0.11350059737156513</x:v>
      </x:c>
    </x:row>
    <x:row r="4093">
      <x:c r="A4093" s="379" t="n">
        <x:v>49744</x:v>
      </x:c>
      <x:c r="B4093" s="380" t="n">
        <x:v>2036</x:v>
      </x:c>
      <x:c r="C4093" s="380" t="n">
        <x:v>3</x:v>
      </x:c>
      <x:c r="D4093" s="380" t="str">
        <x:v>Mar</x:v>
      </x:c>
      <x:c r="E4093" s="380" t="n">
        <x:v>10</x:v>
      </x:c>
      <x:c r="F4093" s="380" t="n">
        <x:v>1</x:v>
      </x:c>
      <x:c r="G4093" s="380" t="n">
        <x:f>--(F4093&lt;='Estimator'!$B$7)</x:f>
        <x:v>1</x:v>
      </x:c>
      <x:c r="H4093" s="381" t="n">
        <x:f>SUMIFS('Climate Data'!$G$7:$G$366,'Climate Data'!$A$7:$A$366,'Estimator'!$B$4,'Climate Data'!$B$7:$B$366,C4093)</x:f>
        <x:v>0.24916573971078979</x:v>
      </x:c>
      <x:c r="I4093" s="382" t="n">
        <x:f>SUMIFS('Climate Data'!$H$7:$H$366,'Climate Data'!$A$7:$A$366,'Estimator'!$B$4,'Climate Data'!$B$7:$B$366,C4093)</x:f>
        <x:v>9.709821428571429</x:v>
      </x:c>
      <x:c r="J4093" s="381" t="n">
        <x:f>SUMIFS('Wind Proxy'!$H$8:$H$19,'Wind Proxy'!$A$8:$A$19,'Estimator'!$B$4,'Wind Proxy'!$B$8:$B$19,C4093)</x:f>
        <x:v>0.11350059737156513</x:v>
      </x:c>
    </x:row>
    <x:row r="4094">
      <x:c r="A4094" s="379" t="n">
        <x:v>49745</x:v>
      </x:c>
      <x:c r="B4094" s="380" t="n">
        <x:v>2036</x:v>
      </x:c>
      <x:c r="C4094" s="380" t="n">
        <x:v>3</x:v>
      </x:c>
      <x:c r="D4094" s="380" t="str">
        <x:v>Mar</x:v>
      </x:c>
      <x:c r="E4094" s="380" t="n">
        <x:v>11</x:v>
      </x:c>
      <x:c r="F4094" s="380" t="n">
        <x:v>2</x:v>
      </x:c>
      <x:c r="G4094" s="380" t="n">
        <x:f>--(F4094&lt;='Estimator'!$B$7)</x:f>
        <x:v>1</x:v>
      </x:c>
      <x:c r="H4094" s="381" t="n">
        <x:f>SUMIFS('Climate Data'!$G$7:$G$366,'Climate Data'!$A$7:$A$366,'Estimator'!$B$4,'Climate Data'!$B$7:$B$366,C4094)</x:f>
        <x:v>0.24916573971078979</x:v>
      </x:c>
      <x:c r="I4094" s="382" t="n">
        <x:f>SUMIFS('Climate Data'!$H$7:$H$366,'Climate Data'!$A$7:$A$366,'Estimator'!$B$4,'Climate Data'!$B$7:$B$366,C4094)</x:f>
        <x:v>9.709821428571429</x:v>
      </x:c>
      <x:c r="J4094" s="381" t="n">
        <x:f>SUMIFS('Wind Proxy'!$H$8:$H$19,'Wind Proxy'!$A$8:$A$19,'Estimator'!$B$4,'Wind Proxy'!$B$8:$B$19,C4094)</x:f>
        <x:v>0.11350059737156513</x:v>
      </x:c>
    </x:row>
    <x:row r="4095">
      <x:c r="A4095" s="379" t="n">
        <x:v>49746</x:v>
      </x:c>
      <x:c r="B4095" s="380" t="n">
        <x:v>2036</x:v>
      </x:c>
      <x:c r="C4095" s="380" t="n">
        <x:v>3</x:v>
      </x:c>
      <x:c r="D4095" s="380" t="str">
        <x:v>Mar</x:v>
      </x:c>
      <x:c r="E4095" s="380" t="n">
        <x:v>12</x:v>
      </x:c>
      <x:c r="F4095" s="380" t="n">
        <x:v>3</x:v>
      </x:c>
      <x:c r="G4095" s="380" t="n">
        <x:f>--(F4095&lt;='Estimator'!$B$7)</x:f>
        <x:v>1</x:v>
      </x:c>
      <x:c r="H4095" s="381" t="n">
        <x:f>SUMIFS('Climate Data'!$G$7:$G$366,'Climate Data'!$A$7:$A$366,'Estimator'!$B$4,'Climate Data'!$B$7:$B$366,C4095)</x:f>
        <x:v>0.24916573971078979</x:v>
      </x:c>
      <x:c r="I4095" s="382" t="n">
        <x:f>SUMIFS('Climate Data'!$H$7:$H$366,'Climate Data'!$A$7:$A$366,'Estimator'!$B$4,'Climate Data'!$B$7:$B$366,C4095)</x:f>
        <x:v>9.709821428571429</x:v>
      </x:c>
      <x:c r="J4095" s="381" t="n">
        <x:f>SUMIFS('Wind Proxy'!$H$8:$H$19,'Wind Proxy'!$A$8:$A$19,'Estimator'!$B$4,'Wind Proxy'!$B$8:$B$19,C4095)</x:f>
        <x:v>0.11350059737156513</x:v>
      </x:c>
    </x:row>
    <x:row r="4096">
      <x:c r="A4096" s="379" t="n">
        <x:v>49747</x:v>
      </x:c>
      <x:c r="B4096" s="380" t="n">
        <x:v>2036</x:v>
      </x:c>
      <x:c r="C4096" s="380" t="n">
        <x:v>3</x:v>
      </x:c>
      <x:c r="D4096" s="380" t="str">
        <x:v>Mar</x:v>
      </x:c>
      <x:c r="E4096" s="380" t="n">
        <x:v>13</x:v>
      </x:c>
      <x:c r="F4096" s="380" t="n">
        <x:v>4</x:v>
      </x:c>
      <x:c r="G4096" s="380" t="n">
        <x:f>--(F4096&lt;='Estimator'!$B$7)</x:f>
        <x:v>1</x:v>
      </x:c>
      <x:c r="H4096" s="381" t="n">
        <x:f>SUMIFS('Climate Data'!$G$7:$G$366,'Climate Data'!$A$7:$A$366,'Estimator'!$B$4,'Climate Data'!$B$7:$B$366,C4096)</x:f>
        <x:v>0.24916573971078979</x:v>
      </x:c>
      <x:c r="I4096" s="382" t="n">
        <x:f>SUMIFS('Climate Data'!$H$7:$H$366,'Climate Data'!$A$7:$A$366,'Estimator'!$B$4,'Climate Data'!$B$7:$B$366,C4096)</x:f>
        <x:v>9.709821428571429</x:v>
      </x:c>
      <x:c r="J4096" s="381" t="n">
        <x:f>SUMIFS('Wind Proxy'!$H$8:$H$19,'Wind Proxy'!$A$8:$A$19,'Estimator'!$B$4,'Wind Proxy'!$B$8:$B$19,C4096)</x:f>
        <x:v>0.11350059737156513</x:v>
      </x:c>
    </x:row>
    <x:row r="4097">
      <x:c r="A4097" s="379" t="n">
        <x:v>49748</x:v>
      </x:c>
      <x:c r="B4097" s="380" t="n">
        <x:v>2036</x:v>
      </x:c>
      <x:c r="C4097" s="380" t="n">
        <x:v>3</x:v>
      </x:c>
      <x:c r="D4097" s="380" t="str">
        <x:v>Mar</x:v>
      </x:c>
      <x:c r="E4097" s="380" t="n">
        <x:v>14</x:v>
      </x:c>
      <x:c r="F4097" s="380" t="n">
        <x:v>5</x:v>
      </x:c>
      <x:c r="G4097" s="380" t="n">
        <x:f>--(F4097&lt;='Estimator'!$B$7)</x:f>
        <x:v>1</x:v>
      </x:c>
      <x:c r="H4097" s="381" t="n">
        <x:f>SUMIFS('Climate Data'!$G$7:$G$366,'Climate Data'!$A$7:$A$366,'Estimator'!$B$4,'Climate Data'!$B$7:$B$366,C4097)</x:f>
        <x:v>0.24916573971078979</x:v>
      </x:c>
      <x:c r="I4097" s="382" t="n">
        <x:f>SUMIFS('Climate Data'!$H$7:$H$366,'Climate Data'!$A$7:$A$366,'Estimator'!$B$4,'Climate Data'!$B$7:$B$366,C4097)</x:f>
        <x:v>9.709821428571429</x:v>
      </x:c>
      <x:c r="J4097" s="381" t="n">
        <x:f>SUMIFS('Wind Proxy'!$H$8:$H$19,'Wind Proxy'!$A$8:$A$19,'Estimator'!$B$4,'Wind Proxy'!$B$8:$B$19,C4097)</x:f>
        <x:v>0.11350059737156513</x:v>
      </x:c>
    </x:row>
    <x:row r="4098">
      <x:c r="A4098" s="379" t="n">
        <x:v>49749</x:v>
      </x:c>
      <x:c r="B4098" s="380" t="n">
        <x:v>2036</x:v>
      </x:c>
      <x:c r="C4098" s="380" t="n">
        <x:v>3</x:v>
      </x:c>
      <x:c r="D4098" s="380" t="str">
        <x:v>Mar</x:v>
      </x:c>
      <x:c r="E4098" s="380" t="n">
        <x:v>15</x:v>
      </x:c>
      <x:c r="F4098" s="380" t="n">
        <x:v>6</x:v>
      </x:c>
      <x:c r="G4098" s="380" t="n">
        <x:f>--(F4098&lt;='Estimator'!$B$7)</x:f>
        <x:v>0</x:v>
      </x:c>
      <x:c r="H4098" s="381" t="n">
        <x:f>SUMIFS('Climate Data'!$G$7:$G$366,'Climate Data'!$A$7:$A$366,'Estimator'!$B$4,'Climate Data'!$B$7:$B$366,C4098)</x:f>
        <x:v>0.24916573971078979</x:v>
      </x:c>
      <x:c r="I4098" s="382" t="n">
        <x:f>SUMIFS('Climate Data'!$H$7:$H$366,'Climate Data'!$A$7:$A$366,'Estimator'!$B$4,'Climate Data'!$B$7:$B$366,C4098)</x:f>
        <x:v>9.709821428571429</x:v>
      </x:c>
      <x:c r="J4098" s="381" t="n">
        <x:f>SUMIFS('Wind Proxy'!$H$8:$H$19,'Wind Proxy'!$A$8:$A$19,'Estimator'!$B$4,'Wind Proxy'!$B$8:$B$19,C4098)</x:f>
        <x:v>0.11350059737156513</x:v>
      </x:c>
    </x:row>
    <x:row r="4099">
      <x:c r="A4099" s="379" t="n">
        <x:v>49750</x:v>
      </x:c>
      <x:c r="B4099" s="380" t="n">
        <x:v>2036</x:v>
      </x:c>
      <x:c r="C4099" s="380" t="n">
        <x:v>3</x:v>
      </x:c>
      <x:c r="D4099" s="380" t="str">
        <x:v>Mar</x:v>
      </x:c>
      <x:c r="E4099" s="380" t="n">
        <x:v>16</x:v>
      </x:c>
      <x:c r="F4099" s="380" t="n">
        <x:v>7</x:v>
      </x:c>
      <x:c r="G4099" s="380" t="n">
        <x:f>--(F4099&lt;='Estimator'!$B$7)</x:f>
        <x:v>0</x:v>
      </x:c>
      <x:c r="H4099" s="381" t="n">
        <x:f>SUMIFS('Climate Data'!$G$7:$G$366,'Climate Data'!$A$7:$A$366,'Estimator'!$B$4,'Climate Data'!$B$7:$B$366,C4099)</x:f>
        <x:v>0.24916573971078979</x:v>
      </x:c>
      <x:c r="I4099" s="382" t="n">
        <x:f>SUMIFS('Climate Data'!$H$7:$H$366,'Climate Data'!$A$7:$A$366,'Estimator'!$B$4,'Climate Data'!$B$7:$B$366,C4099)</x:f>
        <x:v>9.709821428571429</x:v>
      </x:c>
      <x:c r="J4099" s="381" t="n">
        <x:f>SUMIFS('Wind Proxy'!$H$8:$H$19,'Wind Proxy'!$A$8:$A$19,'Estimator'!$B$4,'Wind Proxy'!$B$8:$B$19,C4099)</x:f>
        <x:v>0.11350059737156513</x:v>
      </x:c>
    </x:row>
    <x:row r="4100">
      <x:c r="A4100" s="379" t="n">
        <x:v>49751</x:v>
      </x:c>
      <x:c r="B4100" s="380" t="n">
        <x:v>2036</x:v>
      </x:c>
      <x:c r="C4100" s="380" t="n">
        <x:v>3</x:v>
      </x:c>
      <x:c r="D4100" s="380" t="str">
        <x:v>Mar</x:v>
      </x:c>
      <x:c r="E4100" s="380" t="n">
        <x:v>17</x:v>
      </x:c>
      <x:c r="F4100" s="380" t="n">
        <x:v>1</x:v>
      </x:c>
      <x:c r="G4100" s="380" t="n">
        <x:f>--(F4100&lt;='Estimator'!$B$7)</x:f>
        <x:v>1</x:v>
      </x:c>
      <x:c r="H4100" s="381" t="n">
        <x:f>SUMIFS('Climate Data'!$G$7:$G$366,'Climate Data'!$A$7:$A$366,'Estimator'!$B$4,'Climate Data'!$B$7:$B$366,C4100)</x:f>
        <x:v>0.24916573971078979</x:v>
      </x:c>
      <x:c r="I4100" s="382" t="n">
        <x:f>SUMIFS('Climate Data'!$H$7:$H$366,'Climate Data'!$A$7:$A$366,'Estimator'!$B$4,'Climate Data'!$B$7:$B$366,C4100)</x:f>
        <x:v>9.709821428571429</x:v>
      </x:c>
      <x:c r="J4100" s="381" t="n">
        <x:f>SUMIFS('Wind Proxy'!$H$8:$H$19,'Wind Proxy'!$A$8:$A$19,'Estimator'!$B$4,'Wind Proxy'!$B$8:$B$19,C4100)</x:f>
        <x:v>0.11350059737156513</x:v>
      </x:c>
    </x:row>
    <x:row r="4101">
      <x:c r="A4101" s="379" t="n">
        <x:v>49752</x:v>
      </x:c>
      <x:c r="B4101" s="380" t="n">
        <x:v>2036</x:v>
      </x:c>
      <x:c r="C4101" s="380" t="n">
        <x:v>3</x:v>
      </x:c>
      <x:c r="D4101" s="380" t="str">
        <x:v>Mar</x:v>
      </x:c>
      <x:c r="E4101" s="380" t="n">
        <x:v>18</x:v>
      </x:c>
      <x:c r="F4101" s="380" t="n">
        <x:v>2</x:v>
      </x:c>
      <x:c r="G4101" s="380" t="n">
        <x:f>--(F4101&lt;='Estimator'!$B$7)</x:f>
        <x:v>1</x:v>
      </x:c>
      <x:c r="H4101" s="381" t="n">
        <x:f>SUMIFS('Climate Data'!$G$7:$G$366,'Climate Data'!$A$7:$A$366,'Estimator'!$B$4,'Climate Data'!$B$7:$B$366,C4101)</x:f>
        <x:v>0.24916573971078979</x:v>
      </x:c>
      <x:c r="I4101" s="382" t="n">
        <x:f>SUMIFS('Climate Data'!$H$7:$H$366,'Climate Data'!$A$7:$A$366,'Estimator'!$B$4,'Climate Data'!$B$7:$B$366,C4101)</x:f>
        <x:v>9.709821428571429</x:v>
      </x:c>
      <x:c r="J4101" s="381" t="n">
        <x:f>SUMIFS('Wind Proxy'!$H$8:$H$19,'Wind Proxy'!$A$8:$A$19,'Estimator'!$B$4,'Wind Proxy'!$B$8:$B$19,C4101)</x:f>
        <x:v>0.11350059737156513</x:v>
      </x:c>
    </x:row>
    <x:row r="4102">
      <x:c r="A4102" s="379" t="n">
        <x:v>49753</x:v>
      </x:c>
      <x:c r="B4102" s="380" t="n">
        <x:v>2036</x:v>
      </x:c>
      <x:c r="C4102" s="380" t="n">
        <x:v>3</x:v>
      </x:c>
      <x:c r="D4102" s="380" t="str">
        <x:v>Mar</x:v>
      </x:c>
      <x:c r="E4102" s="380" t="n">
        <x:v>19</x:v>
      </x:c>
      <x:c r="F4102" s="380" t="n">
        <x:v>3</x:v>
      </x:c>
      <x:c r="G4102" s="380" t="n">
        <x:f>--(F4102&lt;='Estimator'!$B$7)</x:f>
        <x:v>1</x:v>
      </x:c>
      <x:c r="H4102" s="381" t="n">
        <x:f>SUMIFS('Climate Data'!$G$7:$G$366,'Climate Data'!$A$7:$A$366,'Estimator'!$B$4,'Climate Data'!$B$7:$B$366,C4102)</x:f>
        <x:v>0.24916573971078979</x:v>
      </x:c>
      <x:c r="I4102" s="382" t="n">
        <x:f>SUMIFS('Climate Data'!$H$7:$H$366,'Climate Data'!$A$7:$A$366,'Estimator'!$B$4,'Climate Data'!$B$7:$B$366,C4102)</x:f>
        <x:v>9.709821428571429</x:v>
      </x:c>
      <x:c r="J4102" s="381" t="n">
        <x:f>SUMIFS('Wind Proxy'!$H$8:$H$19,'Wind Proxy'!$A$8:$A$19,'Estimator'!$B$4,'Wind Proxy'!$B$8:$B$19,C4102)</x:f>
        <x:v>0.11350059737156513</x:v>
      </x:c>
    </x:row>
    <x:row r="4103">
      <x:c r="A4103" s="379" t="n">
        <x:v>49754</x:v>
      </x:c>
      <x:c r="B4103" s="380" t="n">
        <x:v>2036</x:v>
      </x:c>
      <x:c r="C4103" s="380" t="n">
        <x:v>3</x:v>
      </x:c>
      <x:c r="D4103" s="380" t="str">
        <x:v>Mar</x:v>
      </x:c>
      <x:c r="E4103" s="380" t="n">
        <x:v>20</x:v>
      </x:c>
      <x:c r="F4103" s="380" t="n">
        <x:v>4</x:v>
      </x:c>
      <x:c r="G4103" s="380" t="n">
        <x:f>--(F4103&lt;='Estimator'!$B$7)</x:f>
        <x:v>1</x:v>
      </x:c>
      <x:c r="H4103" s="381" t="n">
        <x:f>SUMIFS('Climate Data'!$G$7:$G$366,'Climate Data'!$A$7:$A$366,'Estimator'!$B$4,'Climate Data'!$B$7:$B$366,C4103)</x:f>
        <x:v>0.24916573971078979</x:v>
      </x:c>
      <x:c r="I4103" s="382" t="n">
        <x:f>SUMIFS('Climate Data'!$H$7:$H$366,'Climate Data'!$A$7:$A$366,'Estimator'!$B$4,'Climate Data'!$B$7:$B$366,C4103)</x:f>
        <x:v>9.709821428571429</x:v>
      </x:c>
      <x:c r="J4103" s="381" t="n">
        <x:f>SUMIFS('Wind Proxy'!$H$8:$H$19,'Wind Proxy'!$A$8:$A$19,'Estimator'!$B$4,'Wind Proxy'!$B$8:$B$19,C4103)</x:f>
        <x:v>0.11350059737156513</x:v>
      </x:c>
    </x:row>
    <x:row r="4104">
      <x:c r="A4104" s="379" t="n">
        <x:v>49755</x:v>
      </x:c>
      <x:c r="B4104" s="380" t="n">
        <x:v>2036</x:v>
      </x:c>
      <x:c r="C4104" s="380" t="n">
        <x:v>3</x:v>
      </x:c>
      <x:c r="D4104" s="380" t="str">
        <x:v>Mar</x:v>
      </x:c>
      <x:c r="E4104" s="380" t="n">
        <x:v>21</x:v>
      </x:c>
      <x:c r="F4104" s="380" t="n">
        <x:v>5</x:v>
      </x:c>
      <x:c r="G4104" s="380" t="n">
        <x:f>--(F4104&lt;='Estimator'!$B$7)</x:f>
        <x:v>1</x:v>
      </x:c>
      <x:c r="H4104" s="381" t="n">
        <x:f>SUMIFS('Climate Data'!$G$7:$G$366,'Climate Data'!$A$7:$A$366,'Estimator'!$B$4,'Climate Data'!$B$7:$B$366,C4104)</x:f>
        <x:v>0.24916573971078979</x:v>
      </x:c>
      <x:c r="I4104" s="382" t="n">
        <x:f>SUMIFS('Climate Data'!$H$7:$H$366,'Climate Data'!$A$7:$A$366,'Estimator'!$B$4,'Climate Data'!$B$7:$B$366,C4104)</x:f>
        <x:v>9.709821428571429</x:v>
      </x:c>
      <x:c r="J4104" s="381" t="n">
        <x:f>SUMIFS('Wind Proxy'!$H$8:$H$19,'Wind Proxy'!$A$8:$A$19,'Estimator'!$B$4,'Wind Proxy'!$B$8:$B$19,C4104)</x:f>
        <x:v>0.11350059737156513</x:v>
      </x:c>
    </x:row>
    <x:row r="4105">
      <x:c r="A4105" s="379" t="n">
        <x:v>49756</x:v>
      </x:c>
      <x:c r="B4105" s="380" t="n">
        <x:v>2036</x:v>
      </x:c>
      <x:c r="C4105" s="380" t="n">
        <x:v>3</x:v>
      </x:c>
      <x:c r="D4105" s="380" t="str">
        <x:v>Mar</x:v>
      </x:c>
      <x:c r="E4105" s="380" t="n">
        <x:v>22</x:v>
      </x:c>
      <x:c r="F4105" s="380" t="n">
        <x:v>6</x:v>
      </x:c>
      <x:c r="G4105" s="380" t="n">
        <x:f>--(F4105&lt;='Estimator'!$B$7)</x:f>
        <x:v>0</x:v>
      </x:c>
      <x:c r="H4105" s="381" t="n">
        <x:f>SUMIFS('Climate Data'!$G$7:$G$366,'Climate Data'!$A$7:$A$366,'Estimator'!$B$4,'Climate Data'!$B$7:$B$366,C4105)</x:f>
        <x:v>0.24916573971078979</x:v>
      </x:c>
      <x:c r="I4105" s="382" t="n">
        <x:f>SUMIFS('Climate Data'!$H$7:$H$366,'Climate Data'!$A$7:$A$366,'Estimator'!$B$4,'Climate Data'!$B$7:$B$366,C4105)</x:f>
        <x:v>9.709821428571429</x:v>
      </x:c>
      <x:c r="J4105" s="381" t="n">
        <x:f>SUMIFS('Wind Proxy'!$H$8:$H$19,'Wind Proxy'!$A$8:$A$19,'Estimator'!$B$4,'Wind Proxy'!$B$8:$B$19,C4105)</x:f>
        <x:v>0.11350059737156513</x:v>
      </x:c>
    </x:row>
    <x:row r="4106">
      <x:c r="A4106" s="379" t="n">
        <x:v>49757</x:v>
      </x:c>
      <x:c r="B4106" s="380" t="n">
        <x:v>2036</x:v>
      </x:c>
      <x:c r="C4106" s="380" t="n">
        <x:v>3</x:v>
      </x:c>
      <x:c r="D4106" s="380" t="str">
        <x:v>Mar</x:v>
      </x:c>
      <x:c r="E4106" s="380" t="n">
        <x:v>23</x:v>
      </x:c>
      <x:c r="F4106" s="380" t="n">
        <x:v>7</x:v>
      </x:c>
      <x:c r="G4106" s="380" t="n">
        <x:f>--(F4106&lt;='Estimator'!$B$7)</x:f>
        <x:v>0</x:v>
      </x:c>
      <x:c r="H4106" s="381" t="n">
        <x:f>SUMIFS('Climate Data'!$G$7:$G$366,'Climate Data'!$A$7:$A$366,'Estimator'!$B$4,'Climate Data'!$B$7:$B$366,C4106)</x:f>
        <x:v>0.24916573971078979</x:v>
      </x:c>
      <x:c r="I4106" s="382" t="n">
        <x:f>SUMIFS('Climate Data'!$H$7:$H$366,'Climate Data'!$A$7:$A$366,'Estimator'!$B$4,'Climate Data'!$B$7:$B$366,C4106)</x:f>
        <x:v>9.709821428571429</x:v>
      </x:c>
      <x:c r="J4106" s="381" t="n">
        <x:f>SUMIFS('Wind Proxy'!$H$8:$H$19,'Wind Proxy'!$A$8:$A$19,'Estimator'!$B$4,'Wind Proxy'!$B$8:$B$19,C4106)</x:f>
        <x:v>0.11350059737156513</x:v>
      </x:c>
    </x:row>
    <x:row r="4107">
      <x:c r="A4107" s="379" t="n">
        <x:v>49758</x:v>
      </x:c>
      <x:c r="B4107" s="380" t="n">
        <x:v>2036</x:v>
      </x:c>
      <x:c r="C4107" s="380" t="n">
        <x:v>3</x:v>
      </x:c>
      <x:c r="D4107" s="380" t="str">
        <x:v>Mar</x:v>
      </x:c>
      <x:c r="E4107" s="380" t="n">
        <x:v>24</x:v>
      </x:c>
      <x:c r="F4107" s="380" t="n">
        <x:v>1</x:v>
      </x:c>
      <x:c r="G4107" s="380" t="n">
        <x:f>--(F4107&lt;='Estimator'!$B$7)</x:f>
        <x:v>1</x:v>
      </x:c>
      <x:c r="H4107" s="381" t="n">
        <x:f>SUMIFS('Climate Data'!$G$7:$G$366,'Climate Data'!$A$7:$A$366,'Estimator'!$B$4,'Climate Data'!$B$7:$B$366,C4107)</x:f>
        <x:v>0.24916573971078979</x:v>
      </x:c>
      <x:c r="I4107" s="382" t="n">
        <x:f>SUMIFS('Climate Data'!$H$7:$H$366,'Climate Data'!$A$7:$A$366,'Estimator'!$B$4,'Climate Data'!$B$7:$B$366,C4107)</x:f>
        <x:v>9.709821428571429</x:v>
      </x:c>
      <x:c r="J4107" s="381" t="n">
        <x:f>SUMIFS('Wind Proxy'!$H$8:$H$19,'Wind Proxy'!$A$8:$A$19,'Estimator'!$B$4,'Wind Proxy'!$B$8:$B$19,C4107)</x:f>
        <x:v>0.11350059737156513</x:v>
      </x:c>
    </x:row>
    <x:row r="4108">
      <x:c r="A4108" s="379" t="n">
        <x:v>49759</x:v>
      </x:c>
      <x:c r="B4108" s="380" t="n">
        <x:v>2036</x:v>
      </x:c>
      <x:c r="C4108" s="380" t="n">
        <x:v>3</x:v>
      </x:c>
      <x:c r="D4108" s="380" t="str">
        <x:v>Mar</x:v>
      </x:c>
      <x:c r="E4108" s="380" t="n">
        <x:v>25</x:v>
      </x:c>
      <x:c r="F4108" s="380" t="n">
        <x:v>2</x:v>
      </x:c>
      <x:c r="G4108" s="380" t="n">
        <x:f>--(F4108&lt;='Estimator'!$B$7)</x:f>
        <x:v>1</x:v>
      </x:c>
      <x:c r="H4108" s="381" t="n">
        <x:f>SUMIFS('Climate Data'!$G$7:$G$366,'Climate Data'!$A$7:$A$366,'Estimator'!$B$4,'Climate Data'!$B$7:$B$366,C4108)</x:f>
        <x:v>0.24916573971078979</x:v>
      </x:c>
      <x:c r="I4108" s="382" t="n">
        <x:f>SUMIFS('Climate Data'!$H$7:$H$366,'Climate Data'!$A$7:$A$366,'Estimator'!$B$4,'Climate Data'!$B$7:$B$366,C4108)</x:f>
        <x:v>9.709821428571429</x:v>
      </x:c>
      <x:c r="J4108" s="381" t="n">
        <x:f>SUMIFS('Wind Proxy'!$H$8:$H$19,'Wind Proxy'!$A$8:$A$19,'Estimator'!$B$4,'Wind Proxy'!$B$8:$B$19,C4108)</x:f>
        <x:v>0.11350059737156513</x:v>
      </x:c>
    </x:row>
    <x:row r="4109">
      <x:c r="A4109" s="379" t="n">
        <x:v>49760</x:v>
      </x:c>
      <x:c r="B4109" s="380" t="n">
        <x:v>2036</x:v>
      </x:c>
      <x:c r="C4109" s="380" t="n">
        <x:v>3</x:v>
      </x:c>
      <x:c r="D4109" s="380" t="str">
        <x:v>Mar</x:v>
      </x:c>
      <x:c r="E4109" s="380" t="n">
        <x:v>26</x:v>
      </x:c>
      <x:c r="F4109" s="380" t="n">
        <x:v>3</x:v>
      </x:c>
      <x:c r="G4109" s="380" t="n">
        <x:f>--(F4109&lt;='Estimator'!$B$7)</x:f>
        <x:v>1</x:v>
      </x:c>
      <x:c r="H4109" s="381" t="n">
        <x:f>SUMIFS('Climate Data'!$G$7:$G$366,'Climate Data'!$A$7:$A$366,'Estimator'!$B$4,'Climate Data'!$B$7:$B$366,C4109)</x:f>
        <x:v>0.24916573971078979</x:v>
      </x:c>
      <x:c r="I4109" s="382" t="n">
        <x:f>SUMIFS('Climate Data'!$H$7:$H$366,'Climate Data'!$A$7:$A$366,'Estimator'!$B$4,'Climate Data'!$B$7:$B$366,C4109)</x:f>
        <x:v>9.709821428571429</x:v>
      </x:c>
      <x:c r="J4109" s="381" t="n">
        <x:f>SUMIFS('Wind Proxy'!$H$8:$H$19,'Wind Proxy'!$A$8:$A$19,'Estimator'!$B$4,'Wind Proxy'!$B$8:$B$19,C4109)</x:f>
        <x:v>0.11350059737156513</x:v>
      </x:c>
    </x:row>
    <x:row r="4110">
      <x:c r="A4110" s="379" t="n">
        <x:v>49761</x:v>
      </x:c>
      <x:c r="B4110" s="380" t="n">
        <x:v>2036</x:v>
      </x:c>
      <x:c r="C4110" s="380" t="n">
        <x:v>3</x:v>
      </x:c>
      <x:c r="D4110" s="380" t="str">
        <x:v>Mar</x:v>
      </x:c>
      <x:c r="E4110" s="380" t="n">
        <x:v>27</x:v>
      </x:c>
      <x:c r="F4110" s="380" t="n">
        <x:v>4</x:v>
      </x:c>
      <x:c r="G4110" s="380" t="n">
        <x:f>--(F4110&lt;='Estimator'!$B$7)</x:f>
        <x:v>1</x:v>
      </x:c>
      <x:c r="H4110" s="381" t="n">
        <x:f>SUMIFS('Climate Data'!$G$7:$G$366,'Climate Data'!$A$7:$A$366,'Estimator'!$B$4,'Climate Data'!$B$7:$B$366,C4110)</x:f>
        <x:v>0.24916573971078979</x:v>
      </x:c>
      <x:c r="I4110" s="382" t="n">
        <x:f>SUMIFS('Climate Data'!$H$7:$H$366,'Climate Data'!$A$7:$A$366,'Estimator'!$B$4,'Climate Data'!$B$7:$B$366,C4110)</x:f>
        <x:v>9.709821428571429</x:v>
      </x:c>
      <x:c r="J4110" s="381" t="n">
        <x:f>SUMIFS('Wind Proxy'!$H$8:$H$19,'Wind Proxy'!$A$8:$A$19,'Estimator'!$B$4,'Wind Proxy'!$B$8:$B$19,C4110)</x:f>
        <x:v>0.11350059737156513</x:v>
      </x:c>
    </x:row>
    <x:row r="4111">
      <x:c r="A4111" s="379" t="n">
        <x:v>49762</x:v>
      </x:c>
      <x:c r="B4111" s="380" t="n">
        <x:v>2036</x:v>
      </x:c>
      <x:c r="C4111" s="380" t="n">
        <x:v>3</x:v>
      </x:c>
      <x:c r="D4111" s="380" t="str">
        <x:v>Mar</x:v>
      </x:c>
      <x:c r="E4111" s="380" t="n">
        <x:v>28</x:v>
      </x:c>
      <x:c r="F4111" s="380" t="n">
        <x:v>5</x:v>
      </x:c>
      <x:c r="G4111" s="380" t="n">
        <x:f>--(F4111&lt;='Estimator'!$B$7)</x:f>
        <x:v>1</x:v>
      </x:c>
      <x:c r="H4111" s="381" t="n">
        <x:f>SUMIFS('Climate Data'!$G$7:$G$366,'Climate Data'!$A$7:$A$366,'Estimator'!$B$4,'Climate Data'!$B$7:$B$366,C4111)</x:f>
        <x:v>0.24916573971078979</x:v>
      </x:c>
      <x:c r="I4111" s="382" t="n">
        <x:f>SUMIFS('Climate Data'!$H$7:$H$366,'Climate Data'!$A$7:$A$366,'Estimator'!$B$4,'Climate Data'!$B$7:$B$366,C4111)</x:f>
        <x:v>9.709821428571429</x:v>
      </x:c>
      <x:c r="J4111" s="381" t="n">
        <x:f>SUMIFS('Wind Proxy'!$H$8:$H$19,'Wind Proxy'!$A$8:$A$19,'Estimator'!$B$4,'Wind Proxy'!$B$8:$B$19,C4111)</x:f>
        <x:v>0.11350059737156513</x:v>
      </x:c>
    </x:row>
    <x:row r="4112">
      <x:c r="A4112" s="379" t="n">
        <x:v>49763</x:v>
      </x:c>
      <x:c r="B4112" s="380" t="n">
        <x:v>2036</x:v>
      </x:c>
      <x:c r="C4112" s="380" t="n">
        <x:v>3</x:v>
      </x:c>
      <x:c r="D4112" s="380" t="str">
        <x:v>Mar</x:v>
      </x:c>
      <x:c r="E4112" s="380" t="n">
        <x:v>29</x:v>
      </x:c>
      <x:c r="F4112" s="380" t="n">
        <x:v>6</x:v>
      </x:c>
      <x:c r="G4112" s="380" t="n">
        <x:f>--(F4112&lt;='Estimator'!$B$7)</x:f>
        <x:v>0</x:v>
      </x:c>
      <x:c r="H4112" s="381" t="n">
        <x:f>SUMIFS('Climate Data'!$G$7:$G$366,'Climate Data'!$A$7:$A$366,'Estimator'!$B$4,'Climate Data'!$B$7:$B$366,C4112)</x:f>
        <x:v>0.24916573971078979</x:v>
      </x:c>
      <x:c r="I4112" s="382" t="n">
        <x:f>SUMIFS('Climate Data'!$H$7:$H$366,'Climate Data'!$A$7:$A$366,'Estimator'!$B$4,'Climate Data'!$B$7:$B$366,C4112)</x:f>
        <x:v>9.709821428571429</x:v>
      </x:c>
      <x:c r="J4112" s="381" t="n">
        <x:f>SUMIFS('Wind Proxy'!$H$8:$H$19,'Wind Proxy'!$A$8:$A$19,'Estimator'!$B$4,'Wind Proxy'!$B$8:$B$19,C4112)</x:f>
        <x:v>0.11350059737156513</x:v>
      </x:c>
    </x:row>
    <x:row r="4113">
      <x:c r="A4113" s="379" t="n">
        <x:v>49764</x:v>
      </x:c>
      <x:c r="B4113" s="380" t="n">
        <x:v>2036</x:v>
      </x:c>
      <x:c r="C4113" s="380" t="n">
        <x:v>3</x:v>
      </x:c>
      <x:c r="D4113" s="380" t="str">
        <x:v>Mar</x:v>
      </x:c>
      <x:c r="E4113" s="380" t="n">
        <x:v>30</x:v>
      </x:c>
      <x:c r="F4113" s="380" t="n">
        <x:v>7</x:v>
      </x:c>
      <x:c r="G4113" s="380" t="n">
        <x:f>--(F4113&lt;='Estimator'!$B$7)</x:f>
        <x:v>0</x:v>
      </x:c>
      <x:c r="H4113" s="381" t="n">
        <x:f>SUMIFS('Climate Data'!$G$7:$G$366,'Climate Data'!$A$7:$A$366,'Estimator'!$B$4,'Climate Data'!$B$7:$B$366,C4113)</x:f>
        <x:v>0.24916573971078979</x:v>
      </x:c>
      <x:c r="I4113" s="382" t="n">
        <x:f>SUMIFS('Climate Data'!$H$7:$H$366,'Climate Data'!$A$7:$A$366,'Estimator'!$B$4,'Climate Data'!$B$7:$B$366,C4113)</x:f>
        <x:v>9.709821428571429</x:v>
      </x:c>
      <x:c r="J4113" s="381" t="n">
        <x:f>SUMIFS('Wind Proxy'!$H$8:$H$19,'Wind Proxy'!$A$8:$A$19,'Estimator'!$B$4,'Wind Proxy'!$B$8:$B$19,C4113)</x:f>
        <x:v>0.11350059737156513</x:v>
      </x:c>
    </x:row>
    <x:row r="4114">
      <x:c r="A4114" s="379" t="n">
        <x:v>49765</x:v>
      </x:c>
      <x:c r="B4114" s="380" t="n">
        <x:v>2036</x:v>
      </x:c>
      <x:c r="C4114" s="380" t="n">
        <x:v>3</x:v>
      </x:c>
      <x:c r="D4114" s="380" t="str">
        <x:v>Mar</x:v>
      </x:c>
      <x:c r="E4114" s="380" t="n">
        <x:v>31</x:v>
      </x:c>
      <x:c r="F4114" s="380" t="n">
        <x:v>1</x:v>
      </x:c>
      <x:c r="G4114" s="380" t="n">
        <x:f>--(F4114&lt;='Estimator'!$B$7)</x:f>
        <x:v>1</x:v>
      </x:c>
      <x:c r="H4114" s="381" t="n">
        <x:f>SUMIFS('Climate Data'!$G$7:$G$366,'Climate Data'!$A$7:$A$366,'Estimator'!$B$4,'Climate Data'!$B$7:$B$366,C4114)</x:f>
        <x:v>0.24916573971078979</x:v>
      </x:c>
      <x:c r="I4114" s="382" t="n">
        <x:f>SUMIFS('Climate Data'!$H$7:$H$366,'Climate Data'!$A$7:$A$366,'Estimator'!$B$4,'Climate Data'!$B$7:$B$366,C4114)</x:f>
        <x:v>9.709821428571429</x:v>
      </x:c>
      <x:c r="J4114" s="381" t="n">
        <x:f>SUMIFS('Wind Proxy'!$H$8:$H$19,'Wind Proxy'!$A$8:$A$19,'Estimator'!$B$4,'Wind Proxy'!$B$8:$B$19,C4114)</x:f>
        <x:v>0.11350059737156513</x:v>
      </x:c>
    </x:row>
    <x:row r="4115">
      <x:c r="A4115" s="379" t="n">
        <x:v>49766</x:v>
      </x:c>
      <x:c r="B4115" s="380" t="n">
        <x:v>2036</x:v>
      </x:c>
      <x:c r="C4115" s="380" t="n">
        <x:v>4</x:v>
      </x:c>
      <x:c r="D4115" s="380" t="str">
        <x:v>Apr</x:v>
      </x:c>
      <x:c r="E4115" s="380" t="n">
        <x:v>1</x:v>
      </x:c>
      <x:c r="F4115" s="380" t="n">
        <x:v>2</x:v>
      </x:c>
      <x:c r="G4115" s="380" t="n">
        <x:f>--(F4115&lt;='Estimator'!$B$7)</x:f>
        <x:v>1</x:v>
      </x:c>
      <x:c r="H4115" s="381" t="n">
        <x:f>SUMIFS('Climate Data'!$G$7:$G$366,'Climate Data'!$A$7:$A$366,'Estimator'!$B$4,'Climate Data'!$B$7:$B$366,C4115)</x:f>
        <x:v>0.32023809523809527</x:v>
      </x:c>
      <x:c r="I4115" s="382" t="n">
        <x:f>SUMIFS('Climate Data'!$H$7:$H$366,'Climate Data'!$A$7:$A$366,'Estimator'!$B$4,'Climate Data'!$B$7:$B$366,C4115)</x:f>
        <x:v>9.066171003717471</x:v>
      </x:c>
      <x:c r="J4115" s="381" t="n">
        <x:f>SUMIFS('Wind Proxy'!$H$8:$H$19,'Wind Proxy'!$A$8:$A$19,'Estimator'!$B$4,'Wind Proxy'!$B$8:$B$19,C4115)</x:f>
        <x:v>0.11728395061728397</x:v>
      </x:c>
    </x:row>
    <x:row r="4116">
      <x:c r="A4116" s="379" t="n">
        <x:v>49767</x:v>
      </x:c>
      <x:c r="B4116" s="380" t="n">
        <x:v>2036</x:v>
      </x:c>
      <x:c r="C4116" s="380" t="n">
        <x:v>4</x:v>
      </x:c>
      <x:c r="D4116" s="380" t="str">
        <x:v>Apr</x:v>
      </x:c>
      <x:c r="E4116" s="380" t="n">
        <x:v>2</x:v>
      </x:c>
      <x:c r="F4116" s="380" t="n">
        <x:v>3</x:v>
      </x:c>
      <x:c r="G4116" s="380" t="n">
        <x:f>--(F4116&lt;='Estimator'!$B$7)</x:f>
        <x:v>1</x:v>
      </x:c>
      <x:c r="H4116" s="381" t="n">
        <x:f>SUMIFS('Climate Data'!$G$7:$G$366,'Climate Data'!$A$7:$A$366,'Estimator'!$B$4,'Climate Data'!$B$7:$B$366,C4116)</x:f>
        <x:v>0.32023809523809527</x:v>
      </x:c>
      <x:c r="I4116" s="382" t="n">
        <x:f>SUMIFS('Climate Data'!$H$7:$H$366,'Climate Data'!$A$7:$A$366,'Estimator'!$B$4,'Climate Data'!$B$7:$B$366,C4116)</x:f>
        <x:v>9.066171003717471</x:v>
      </x:c>
      <x:c r="J4116" s="381" t="n">
        <x:f>SUMIFS('Wind Proxy'!$H$8:$H$19,'Wind Proxy'!$A$8:$A$19,'Estimator'!$B$4,'Wind Proxy'!$B$8:$B$19,C4116)</x:f>
        <x:v>0.11728395061728397</x:v>
      </x:c>
    </x:row>
    <x:row r="4117">
      <x:c r="A4117" s="379" t="n">
        <x:v>49768</x:v>
      </x:c>
      <x:c r="B4117" s="380" t="n">
        <x:v>2036</x:v>
      </x:c>
      <x:c r="C4117" s="380" t="n">
        <x:v>4</x:v>
      </x:c>
      <x:c r="D4117" s="380" t="str">
        <x:v>Apr</x:v>
      </x:c>
      <x:c r="E4117" s="380" t="n">
        <x:v>3</x:v>
      </x:c>
      <x:c r="F4117" s="380" t="n">
        <x:v>4</x:v>
      </x:c>
      <x:c r="G4117" s="380" t="n">
        <x:f>--(F4117&lt;='Estimator'!$B$7)</x:f>
        <x:v>1</x:v>
      </x:c>
      <x:c r="H4117" s="381" t="n">
        <x:f>SUMIFS('Climate Data'!$G$7:$G$366,'Climate Data'!$A$7:$A$366,'Estimator'!$B$4,'Climate Data'!$B$7:$B$366,C4117)</x:f>
        <x:v>0.32023809523809527</x:v>
      </x:c>
      <x:c r="I4117" s="382" t="n">
        <x:f>SUMIFS('Climate Data'!$H$7:$H$366,'Climate Data'!$A$7:$A$366,'Estimator'!$B$4,'Climate Data'!$B$7:$B$366,C4117)</x:f>
        <x:v>9.066171003717471</x:v>
      </x:c>
      <x:c r="J4117" s="381" t="n">
        <x:f>SUMIFS('Wind Proxy'!$H$8:$H$19,'Wind Proxy'!$A$8:$A$19,'Estimator'!$B$4,'Wind Proxy'!$B$8:$B$19,C4117)</x:f>
        <x:v>0.11728395061728397</x:v>
      </x:c>
    </x:row>
    <x:row r="4118">
      <x:c r="A4118" s="379" t="n">
        <x:v>49769</x:v>
      </x:c>
      <x:c r="B4118" s="380" t="n">
        <x:v>2036</x:v>
      </x:c>
      <x:c r="C4118" s="380" t="n">
        <x:v>4</x:v>
      </x:c>
      <x:c r="D4118" s="380" t="str">
        <x:v>Apr</x:v>
      </x:c>
      <x:c r="E4118" s="380" t="n">
        <x:v>4</x:v>
      </x:c>
      <x:c r="F4118" s="380" t="n">
        <x:v>5</x:v>
      </x:c>
      <x:c r="G4118" s="380" t="n">
        <x:f>--(F4118&lt;='Estimator'!$B$7)</x:f>
        <x:v>1</x:v>
      </x:c>
      <x:c r="H4118" s="381" t="n">
        <x:f>SUMIFS('Climate Data'!$G$7:$G$366,'Climate Data'!$A$7:$A$366,'Estimator'!$B$4,'Climate Data'!$B$7:$B$366,C4118)</x:f>
        <x:v>0.32023809523809527</x:v>
      </x:c>
      <x:c r="I4118" s="382" t="n">
        <x:f>SUMIFS('Climate Data'!$H$7:$H$366,'Climate Data'!$A$7:$A$366,'Estimator'!$B$4,'Climate Data'!$B$7:$B$366,C4118)</x:f>
        <x:v>9.066171003717471</x:v>
      </x:c>
      <x:c r="J4118" s="381" t="n">
        <x:f>SUMIFS('Wind Proxy'!$H$8:$H$19,'Wind Proxy'!$A$8:$A$19,'Estimator'!$B$4,'Wind Proxy'!$B$8:$B$19,C4118)</x:f>
        <x:v>0.11728395061728397</x:v>
      </x:c>
    </x:row>
    <x:row r="4119">
      <x:c r="A4119" s="379" t="n">
        <x:v>49770</x:v>
      </x:c>
      <x:c r="B4119" s="380" t="n">
        <x:v>2036</x:v>
      </x:c>
      <x:c r="C4119" s="380" t="n">
        <x:v>4</x:v>
      </x:c>
      <x:c r="D4119" s="380" t="str">
        <x:v>Apr</x:v>
      </x:c>
      <x:c r="E4119" s="380" t="n">
        <x:v>5</x:v>
      </x:c>
      <x:c r="F4119" s="380" t="n">
        <x:v>6</x:v>
      </x:c>
      <x:c r="G4119" s="380" t="n">
        <x:f>--(F4119&lt;='Estimator'!$B$7)</x:f>
        <x:v>0</x:v>
      </x:c>
      <x:c r="H4119" s="381" t="n">
        <x:f>SUMIFS('Climate Data'!$G$7:$G$366,'Climate Data'!$A$7:$A$366,'Estimator'!$B$4,'Climate Data'!$B$7:$B$366,C4119)</x:f>
        <x:v>0.32023809523809527</x:v>
      </x:c>
      <x:c r="I4119" s="382" t="n">
        <x:f>SUMIFS('Climate Data'!$H$7:$H$366,'Climate Data'!$A$7:$A$366,'Estimator'!$B$4,'Climate Data'!$B$7:$B$366,C4119)</x:f>
        <x:v>9.066171003717471</x:v>
      </x:c>
      <x:c r="J4119" s="381" t="n">
        <x:f>SUMIFS('Wind Proxy'!$H$8:$H$19,'Wind Proxy'!$A$8:$A$19,'Estimator'!$B$4,'Wind Proxy'!$B$8:$B$19,C4119)</x:f>
        <x:v>0.11728395061728397</x:v>
      </x:c>
    </x:row>
    <x:row r="4120">
      <x:c r="A4120" s="379" t="n">
        <x:v>49771</x:v>
      </x:c>
      <x:c r="B4120" s="380" t="n">
        <x:v>2036</x:v>
      </x:c>
      <x:c r="C4120" s="380" t="n">
        <x:v>4</x:v>
      </x:c>
      <x:c r="D4120" s="380" t="str">
        <x:v>Apr</x:v>
      </x:c>
      <x:c r="E4120" s="380" t="n">
        <x:v>6</x:v>
      </x:c>
      <x:c r="F4120" s="380" t="n">
        <x:v>7</x:v>
      </x:c>
      <x:c r="G4120" s="380" t="n">
        <x:f>--(F4120&lt;='Estimator'!$B$7)</x:f>
        <x:v>0</x:v>
      </x:c>
      <x:c r="H4120" s="381" t="n">
        <x:f>SUMIFS('Climate Data'!$G$7:$G$366,'Climate Data'!$A$7:$A$366,'Estimator'!$B$4,'Climate Data'!$B$7:$B$366,C4120)</x:f>
        <x:v>0.32023809523809527</x:v>
      </x:c>
      <x:c r="I4120" s="382" t="n">
        <x:f>SUMIFS('Climate Data'!$H$7:$H$366,'Climate Data'!$A$7:$A$366,'Estimator'!$B$4,'Climate Data'!$B$7:$B$366,C4120)</x:f>
        <x:v>9.066171003717471</x:v>
      </x:c>
      <x:c r="J4120" s="381" t="n">
        <x:f>SUMIFS('Wind Proxy'!$H$8:$H$19,'Wind Proxy'!$A$8:$A$19,'Estimator'!$B$4,'Wind Proxy'!$B$8:$B$19,C4120)</x:f>
        <x:v>0.11728395061728397</x:v>
      </x:c>
    </x:row>
    <x:row r="4121">
      <x:c r="A4121" s="379" t="n">
        <x:v>49772</x:v>
      </x:c>
      <x:c r="B4121" s="380" t="n">
        <x:v>2036</x:v>
      </x:c>
      <x:c r="C4121" s="380" t="n">
        <x:v>4</x:v>
      </x:c>
      <x:c r="D4121" s="380" t="str">
        <x:v>Apr</x:v>
      </x:c>
      <x:c r="E4121" s="380" t="n">
        <x:v>7</x:v>
      </x:c>
      <x:c r="F4121" s="380" t="n">
        <x:v>1</x:v>
      </x:c>
      <x:c r="G4121" s="380" t="n">
        <x:f>--(F4121&lt;='Estimator'!$B$7)</x:f>
        <x:v>1</x:v>
      </x:c>
      <x:c r="H4121" s="381" t="n">
        <x:f>SUMIFS('Climate Data'!$G$7:$G$366,'Climate Data'!$A$7:$A$366,'Estimator'!$B$4,'Climate Data'!$B$7:$B$366,C4121)</x:f>
        <x:v>0.32023809523809527</x:v>
      </x:c>
      <x:c r="I4121" s="382" t="n">
        <x:f>SUMIFS('Climate Data'!$H$7:$H$366,'Climate Data'!$A$7:$A$366,'Estimator'!$B$4,'Climate Data'!$B$7:$B$366,C4121)</x:f>
        <x:v>9.066171003717471</x:v>
      </x:c>
      <x:c r="J4121" s="381" t="n">
        <x:f>SUMIFS('Wind Proxy'!$H$8:$H$19,'Wind Proxy'!$A$8:$A$19,'Estimator'!$B$4,'Wind Proxy'!$B$8:$B$19,C4121)</x:f>
        <x:v>0.11728395061728397</x:v>
      </x:c>
    </x:row>
    <x:row r="4122">
      <x:c r="A4122" s="379" t="n">
        <x:v>49773</x:v>
      </x:c>
      <x:c r="B4122" s="380" t="n">
        <x:v>2036</x:v>
      </x:c>
      <x:c r="C4122" s="380" t="n">
        <x:v>4</x:v>
      </x:c>
      <x:c r="D4122" s="380" t="str">
        <x:v>Apr</x:v>
      </x:c>
      <x:c r="E4122" s="380" t="n">
        <x:v>8</x:v>
      </x:c>
      <x:c r="F4122" s="380" t="n">
        <x:v>2</x:v>
      </x:c>
      <x:c r="G4122" s="380" t="n">
        <x:f>--(F4122&lt;='Estimator'!$B$7)</x:f>
        <x:v>1</x:v>
      </x:c>
      <x:c r="H4122" s="381" t="n">
        <x:f>SUMIFS('Climate Data'!$G$7:$G$366,'Climate Data'!$A$7:$A$366,'Estimator'!$B$4,'Climate Data'!$B$7:$B$366,C4122)</x:f>
        <x:v>0.32023809523809527</x:v>
      </x:c>
      <x:c r="I4122" s="382" t="n">
        <x:f>SUMIFS('Climate Data'!$H$7:$H$366,'Climate Data'!$A$7:$A$366,'Estimator'!$B$4,'Climate Data'!$B$7:$B$366,C4122)</x:f>
        <x:v>9.066171003717471</x:v>
      </x:c>
      <x:c r="J4122" s="381" t="n">
        <x:f>SUMIFS('Wind Proxy'!$H$8:$H$19,'Wind Proxy'!$A$8:$A$19,'Estimator'!$B$4,'Wind Proxy'!$B$8:$B$19,C4122)</x:f>
        <x:v>0.11728395061728397</x:v>
      </x:c>
    </x:row>
    <x:row r="4123">
      <x:c r="A4123" s="379" t="n">
        <x:v>49774</x:v>
      </x:c>
      <x:c r="B4123" s="380" t="n">
        <x:v>2036</x:v>
      </x:c>
      <x:c r="C4123" s="380" t="n">
        <x:v>4</x:v>
      </x:c>
      <x:c r="D4123" s="380" t="str">
        <x:v>Apr</x:v>
      </x:c>
      <x:c r="E4123" s="380" t="n">
        <x:v>9</x:v>
      </x:c>
      <x:c r="F4123" s="380" t="n">
        <x:v>3</x:v>
      </x:c>
      <x:c r="G4123" s="380" t="n">
        <x:f>--(F4123&lt;='Estimator'!$B$7)</x:f>
        <x:v>1</x:v>
      </x:c>
      <x:c r="H4123" s="381" t="n">
        <x:f>SUMIFS('Climate Data'!$G$7:$G$366,'Climate Data'!$A$7:$A$366,'Estimator'!$B$4,'Climate Data'!$B$7:$B$366,C4123)</x:f>
        <x:v>0.32023809523809527</x:v>
      </x:c>
      <x:c r="I4123" s="382" t="n">
        <x:f>SUMIFS('Climate Data'!$H$7:$H$366,'Climate Data'!$A$7:$A$366,'Estimator'!$B$4,'Climate Data'!$B$7:$B$366,C4123)</x:f>
        <x:v>9.066171003717471</x:v>
      </x:c>
      <x:c r="J4123" s="381" t="n">
        <x:f>SUMIFS('Wind Proxy'!$H$8:$H$19,'Wind Proxy'!$A$8:$A$19,'Estimator'!$B$4,'Wind Proxy'!$B$8:$B$19,C4123)</x:f>
        <x:v>0.11728395061728397</x:v>
      </x:c>
    </x:row>
    <x:row r="4124">
      <x:c r="A4124" s="379" t="n">
        <x:v>49775</x:v>
      </x:c>
      <x:c r="B4124" s="380" t="n">
        <x:v>2036</x:v>
      </x:c>
      <x:c r="C4124" s="380" t="n">
        <x:v>4</x:v>
      </x:c>
      <x:c r="D4124" s="380" t="str">
        <x:v>Apr</x:v>
      </x:c>
      <x:c r="E4124" s="380" t="n">
        <x:v>10</x:v>
      </x:c>
      <x:c r="F4124" s="380" t="n">
        <x:v>4</x:v>
      </x:c>
      <x:c r="G4124" s="380" t="n">
        <x:f>--(F4124&lt;='Estimator'!$B$7)</x:f>
        <x:v>1</x:v>
      </x:c>
      <x:c r="H4124" s="381" t="n">
        <x:f>SUMIFS('Climate Data'!$G$7:$G$366,'Climate Data'!$A$7:$A$366,'Estimator'!$B$4,'Climate Data'!$B$7:$B$366,C4124)</x:f>
        <x:v>0.32023809523809527</x:v>
      </x:c>
      <x:c r="I4124" s="382" t="n">
        <x:f>SUMIFS('Climate Data'!$H$7:$H$366,'Climate Data'!$A$7:$A$366,'Estimator'!$B$4,'Climate Data'!$B$7:$B$366,C4124)</x:f>
        <x:v>9.066171003717471</x:v>
      </x:c>
      <x:c r="J4124" s="381" t="n">
        <x:f>SUMIFS('Wind Proxy'!$H$8:$H$19,'Wind Proxy'!$A$8:$A$19,'Estimator'!$B$4,'Wind Proxy'!$B$8:$B$19,C4124)</x:f>
        <x:v>0.11728395061728397</x:v>
      </x:c>
    </x:row>
    <x:row r="4125">
      <x:c r="A4125" s="379" t="n">
        <x:v>49776</x:v>
      </x:c>
      <x:c r="B4125" s="380" t="n">
        <x:v>2036</x:v>
      </x:c>
      <x:c r="C4125" s="380" t="n">
        <x:v>4</x:v>
      </x:c>
      <x:c r="D4125" s="380" t="str">
        <x:v>Apr</x:v>
      </x:c>
      <x:c r="E4125" s="380" t="n">
        <x:v>11</x:v>
      </x:c>
      <x:c r="F4125" s="380" t="n">
        <x:v>5</x:v>
      </x:c>
      <x:c r="G4125" s="380" t="n">
        <x:f>--(F4125&lt;='Estimator'!$B$7)</x:f>
        <x:v>1</x:v>
      </x:c>
      <x:c r="H4125" s="381" t="n">
        <x:f>SUMIFS('Climate Data'!$G$7:$G$366,'Climate Data'!$A$7:$A$366,'Estimator'!$B$4,'Climate Data'!$B$7:$B$366,C4125)</x:f>
        <x:v>0.32023809523809527</x:v>
      </x:c>
      <x:c r="I4125" s="382" t="n">
        <x:f>SUMIFS('Climate Data'!$H$7:$H$366,'Climate Data'!$A$7:$A$366,'Estimator'!$B$4,'Climate Data'!$B$7:$B$366,C4125)</x:f>
        <x:v>9.066171003717471</x:v>
      </x:c>
      <x:c r="J4125" s="381" t="n">
        <x:f>SUMIFS('Wind Proxy'!$H$8:$H$19,'Wind Proxy'!$A$8:$A$19,'Estimator'!$B$4,'Wind Proxy'!$B$8:$B$19,C4125)</x:f>
        <x:v>0.11728395061728397</x:v>
      </x:c>
    </x:row>
    <x:row r="4126">
      <x:c r="A4126" s="379" t="n">
        <x:v>49777</x:v>
      </x:c>
      <x:c r="B4126" s="380" t="n">
        <x:v>2036</x:v>
      </x:c>
      <x:c r="C4126" s="380" t="n">
        <x:v>4</x:v>
      </x:c>
      <x:c r="D4126" s="380" t="str">
        <x:v>Apr</x:v>
      </x:c>
      <x:c r="E4126" s="380" t="n">
        <x:v>12</x:v>
      </x:c>
      <x:c r="F4126" s="380" t="n">
        <x:v>6</x:v>
      </x:c>
      <x:c r="G4126" s="380" t="n">
        <x:f>--(F4126&lt;='Estimator'!$B$7)</x:f>
        <x:v>0</x:v>
      </x:c>
      <x:c r="H4126" s="381" t="n">
        <x:f>SUMIFS('Climate Data'!$G$7:$G$366,'Climate Data'!$A$7:$A$366,'Estimator'!$B$4,'Climate Data'!$B$7:$B$366,C4126)</x:f>
        <x:v>0.32023809523809527</x:v>
      </x:c>
      <x:c r="I4126" s="382" t="n">
        <x:f>SUMIFS('Climate Data'!$H$7:$H$366,'Climate Data'!$A$7:$A$366,'Estimator'!$B$4,'Climate Data'!$B$7:$B$366,C4126)</x:f>
        <x:v>9.066171003717471</x:v>
      </x:c>
      <x:c r="J4126" s="381" t="n">
        <x:f>SUMIFS('Wind Proxy'!$H$8:$H$19,'Wind Proxy'!$A$8:$A$19,'Estimator'!$B$4,'Wind Proxy'!$B$8:$B$19,C4126)</x:f>
        <x:v>0.11728395061728397</x:v>
      </x:c>
    </x:row>
    <x:row r="4127">
      <x:c r="A4127" s="379" t="n">
        <x:v>49778</x:v>
      </x:c>
      <x:c r="B4127" s="380" t="n">
        <x:v>2036</x:v>
      </x:c>
      <x:c r="C4127" s="380" t="n">
        <x:v>4</x:v>
      </x:c>
      <x:c r="D4127" s="380" t="str">
        <x:v>Apr</x:v>
      </x:c>
      <x:c r="E4127" s="380" t="n">
        <x:v>13</x:v>
      </x:c>
      <x:c r="F4127" s="380" t="n">
        <x:v>7</x:v>
      </x:c>
      <x:c r="G4127" s="380" t="n">
        <x:f>--(F4127&lt;='Estimator'!$B$7)</x:f>
        <x:v>0</x:v>
      </x:c>
      <x:c r="H4127" s="381" t="n">
        <x:f>SUMIFS('Climate Data'!$G$7:$G$366,'Climate Data'!$A$7:$A$366,'Estimator'!$B$4,'Climate Data'!$B$7:$B$366,C4127)</x:f>
        <x:v>0.32023809523809527</x:v>
      </x:c>
      <x:c r="I4127" s="382" t="n">
        <x:f>SUMIFS('Climate Data'!$H$7:$H$366,'Climate Data'!$A$7:$A$366,'Estimator'!$B$4,'Climate Data'!$B$7:$B$366,C4127)</x:f>
        <x:v>9.066171003717471</x:v>
      </x:c>
      <x:c r="J4127" s="381" t="n">
        <x:f>SUMIFS('Wind Proxy'!$H$8:$H$19,'Wind Proxy'!$A$8:$A$19,'Estimator'!$B$4,'Wind Proxy'!$B$8:$B$19,C4127)</x:f>
        <x:v>0.11728395061728397</x:v>
      </x:c>
    </x:row>
    <x:row r="4128">
      <x:c r="A4128" s="379" t="n">
        <x:v>49779</x:v>
      </x:c>
      <x:c r="B4128" s="380" t="n">
        <x:v>2036</x:v>
      </x:c>
      <x:c r="C4128" s="380" t="n">
        <x:v>4</x:v>
      </x:c>
      <x:c r="D4128" s="380" t="str">
        <x:v>Apr</x:v>
      </x:c>
      <x:c r="E4128" s="380" t="n">
        <x:v>14</x:v>
      </x:c>
      <x:c r="F4128" s="380" t="n">
        <x:v>1</x:v>
      </x:c>
      <x:c r="G4128" s="380" t="n">
        <x:f>--(F4128&lt;='Estimator'!$B$7)</x:f>
        <x:v>1</x:v>
      </x:c>
      <x:c r="H4128" s="381" t="n">
        <x:f>SUMIFS('Climate Data'!$G$7:$G$366,'Climate Data'!$A$7:$A$366,'Estimator'!$B$4,'Climate Data'!$B$7:$B$366,C4128)</x:f>
        <x:v>0.32023809523809527</x:v>
      </x:c>
      <x:c r="I4128" s="382" t="n">
        <x:f>SUMIFS('Climate Data'!$H$7:$H$366,'Climate Data'!$A$7:$A$366,'Estimator'!$B$4,'Climate Data'!$B$7:$B$366,C4128)</x:f>
        <x:v>9.066171003717471</x:v>
      </x:c>
      <x:c r="J4128" s="381" t="n">
        <x:f>SUMIFS('Wind Proxy'!$H$8:$H$19,'Wind Proxy'!$A$8:$A$19,'Estimator'!$B$4,'Wind Proxy'!$B$8:$B$19,C4128)</x:f>
        <x:v>0.11728395061728397</x:v>
      </x:c>
    </x:row>
    <x:row r="4129">
      <x:c r="A4129" s="379" t="n">
        <x:v>49780</x:v>
      </x:c>
      <x:c r="B4129" s="380" t="n">
        <x:v>2036</x:v>
      </x:c>
      <x:c r="C4129" s="380" t="n">
        <x:v>4</x:v>
      </x:c>
      <x:c r="D4129" s="380" t="str">
        <x:v>Apr</x:v>
      </x:c>
      <x:c r="E4129" s="380" t="n">
        <x:v>15</x:v>
      </x:c>
      <x:c r="F4129" s="380" t="n">
        <x:v>2</x:v>
      </x:c>
      <x:c r="G4129" s="380" t="n">
        <x:f>--(F4129&lt;='Estimator'!$B$7)</x:f>
        <x:v>1</x:v>
      </x:c>
      <x:c r="H4129" s="381" t="n">
        <x:f>SUMIFS('Climate Data'!$G$7:$G$366,'Climate Data'!$A$7:$A$366,'Estimator'!$B$4,'Climate Data'!$B$7:$B$366,C4129)</x:f>
        <x:v>0.32023809523809527</x:v>
      </x:c>
      <x:c r="I4129" s="382" t="n">
        <x:f>SUMIFS('Climate Data'!$H$7:$H$366,'Climate Data'!$A$7:$A$366,'Estimator'!$B$4,'Climate Data'!$B$7:$B$366,C4129)</x:f>
        <x:v>9.066171003717471</x:v>
      </x:c>
      <x:c r="J4129" s="381" t="n">
        <x:f>SUMIFS('Wind Proxy'!$H$8:$H$19,'Wind Proxy'!$A$8:$A$19,'Estimator'!$B$4,'Wind Proxy'!$B$8:$B$19,C4129)</x:f>
        <x:v>0.11728395061728397</x:v>
      </x:c>
    </x:row>
    <x:row r="4130">
      <x:c r="A4130" s="379" t="n">
        <x:v>49781</x:v>
      </x:c>
      <x:c r="B4130" s="380" t="n">
        <x:v>2036</x:v>
      </x:c>
      <x:c r="C4130" s="380" t="n">
        <x:v>4</x:v>
      </x:c>
      <x:c r="D4130" s="380" t="str">
        <x:v>Apr</x:v>
      </x:c>
      <x:c r="E4130" s="380" t="n">
        <x:v>16</x:v>
      </x:c>
      <x:c r="F4130" s="380" t="n">
        <x:v>3</x:v>
      </x:c>
      <x:c r="G4130" s="380" t="n">
        <x:f>--(F4130&lt;='Estimator'!$B$7)</x:f>
        <x:v>1</x:v>
      </x:c>
      <x:c r="H4130" s="381" t="n">
        <x:f>SUMIFS('Climate Data'!$G$7:$G$366,'Climate Data'!$A$7:$A$366,'Estimator'!$B$4,'Climate Data'!$B$7:$B$366,C4130)</x:f>
        <x:v>0.32023809523809527</x:v>
      </x:c>
      <x:c r="I4130" s="382" t="n">
        <x:f>SUMIFS('Climate Data'!$H$7:$H$366,'Climate Data'!$A$7:$A$366,'Estimator'!$B$4,'Climate Data'!$B$7:$B$366,C4130)</x:f>
        <x:v>9.066171003717471</x:v>
      </x:c>
      <x:c r="J4130" s="381" t="n">
        <x:f>SUMIFS('Wind Proxy'!$H$8:$H$19,'Wind Proxy'!$A$8:$A$19,'Estimator'!$B$4,'Wind Proxy'!$B$8:$B$19,C4130)</x:f>
        <x:v>0.11728395061728397</x:v>
      </x:c>
    </x:row>
    <x:row r="4131">
      <x:c r="A4131" s="379" t="n">
        <x:v>49782</x:v>
      </x:c>
      <x:c r="B4131" s="380" t="n">
        <x:v>2036</x:v>
      </x:c>
      <x:c r="C4131" s="380" t="n">
        <x:v>4</x:v>
      </x:c>
      <x:c r="D4131" s="380" t="str">
        <x:v>Apr</x:v>
      </x:c>
      <x:c r="E4131" s="380" t="n">
        <x:v>17</x:v>
      </x:c>
      <x:c r="F4131" s="380" t="n">
        <x:v>4</x:v>
      </x:c>
      <x:c r="G4131" s="380" t="n">
        <x:f>--(F4131&lt;='Estimator'!$B$7)</x:f>
        <x:v>1</x:v>
      </x:c>
      <x:c r="H4131" s="381" t="n">
        <x:f>SUMIFS('Climate Data'!$G$7:$G$366,'Climate Data'!$A$7:$A$366,'Estimator'!$B$4,'Climate Data'!$B$7:$B$366,C4131)</x:f>
        <x:v>0.32023809523809527</x:v>
      </x:c>
      <x:c r="I4131" s="382" t="n">
        <x:f>SUMIFS('Climate Data'!$H$7:$H$366,'Climate Data'!$A$7:$A$366,'Estimator'!$B$4,'Climate Data'!$B$7:$B$366,C4131)</x:f>
        <x:v>9.066171003717471</x:v>
      </x:c>
      <x:c r="J4131" s="381" t="n">
        <x:f>SUMIFS('Wind Proxy'!$H$8:$H$19,'Wind Proxy'!$A$8:$A$19,'Estimator'!$B$4,'Wind Proxy'!$B$8:$B$19,C4131)</x:f>
        <x:v>0.11728395061728397</x:v>
      </x:c>
    </x:row>
    <x:row r="4132">
      <x:c r="A4132" s="379" t="n">
        <x:v>49783</x:v>
      </x:c>
      <x:c r="B4132" s="380" t="n">
        <x:v>2036</x:v>
      </x:c>
      <x:c r="C4132" s="380" t="n">
        <x:v>4</x:v>
      </x:c>
      <x:c r="D4132" s="380" t="str">
        <x:v>Apr</x:v>
      </x:c>
      <x:c r="E4132" s="380" t="n">
        <x:v>18</x:v>
      </x:c>
      <x:c r="F4132" s="380" t="n">
        <x:v>5</x:v>
      </x:c>
      <x:c r="G4132" s="380" t="n">
        <x:f>--(F4132&lt;='Estimator'!$B$7)</x:f>
        <x:v>1</x:v>
      </x:c>
      <x:c r="H4132" s="381" t="n">
        <x:f>SUMIFS('Climate Data'!$G$7:$G$366,'Climate Data'!$A$7:$A$366,'Estimator'!$B$4,'Climate Data'!$B$7:$B$366,C4132)</x:f>
        <x:v>0.32023809523809527</x:v>
      </x:c>
      <x:c r="I4132" s="382" t="n">
        <x:f>SUMIFS('Climate Data'!$H$7:$H$366,'Climate Data'!$A$7:$A$366,'Estimator'!$B$4,'Climate Data'!$B$7:$B$366,C4132)</x:f>
        <x:v>9.066171003717471</x:v>
      </x:c>
      <x:c r="J4132" s="381" t="n">
        <x:f>SUMIFS('Wind Proxy'!$H$8:$H$19,'Wind Proxy'!$A$8:$A$19,'Estimator'!$B$4,'Wind Proxy'!$B$8:$B$19,C4132)</x:f>
        <x:v>0.11728395061728397</x:v>
      </x:c>
    </x:row>
    <x:row r="4133">
      <x:c r="A4133" s="379" t="n">
        <x:v>49784</x:v>
      </x:c>
      <x:c r="B4133" s="380" t="n">
        <x:v>2036</x:v>
      </x:c>
      <x:c r="C4133" s="380" t="n">
        <x:v>4</x:v>
      </x:c>
      <x:c r="D4133" s="380" t="str">
        <x:v>Apr</x:v>
      </x:c>
      <x:c r="E4133" s="380" t="n">
        <x:v>19</x:v>
      </x:c>
      <x:c r="F4133" s="380" t="n">
        <x:v>6</x:v>
      </x:c>
      <x:c r="G4133" s="380" t="n">
        <x:f>--(F4133&lt;='Estimator'!$B$7)</x:f>
        <x:v>0</x:v>
      </x:c>
      <x:c r="H4133" s="381" t="n">
        <x:f>SUMIFS('Climate Data'!$G$7:$G$366,'Climate Data'!$A$7:$A$366,'Estimator'!$B$4,'Climate Data'!$B$7:$B$366,C4133)</x:f>
        <x:v>0.32023809523809527</x:v>
      </x:c>
      <x:c r="I4133" s="382" t="n">
        <x:f>SUMIFS('Climate Data'!$H$7:$H$366,'Climate Data'!$A$7:$A$366,'Estimator'!$B$4,'Climate Data'!$B$7:$B$366,C4133)</x:f>
        <x:v>9.066171003717471</x:v>
      </x:c>
      <x:c r="J4133" s="381" t="n">
        <x:f>SUMIFS('Wind Proxy'!$H$8:$H$19,'Wind Proxy'!$A$8:$A$19,'Estimator'!$B$4,'Wind Proxy'!$B$8:$B$19,C4133)</x:f>
        <x:v>0.11728395061728397</x:v>
      </x:c>
    </x:row>
    <x:row r="4134">
      <x:c r="A4134" s="379" t="n">
        <x:v>49785</x:v>
      </x:c>
      <x:c r="B4134" s="380" t="n">
        <x:v>2036</x:v>
      </x:c>
      <x:c r="C4134" s="380" t="n">
        <x:v>4</x:v>
      </x:c>
      <x:c r="D4134" s="380" t="str">
        <x:v>Apr</x:v>
      </x:c>
      <x:c r="E4134" s="380" t="n">
        <x:v>20</x:v>
      </x:c>
      <x:c r="F4134" s="380" t="n">
        <x:v>7</x:v>
      </x:c>
      <x:c r="G4134" s="380" t="n">
        <x:f>--(F4134&lt;='Estimator'!$B$7)</x:f>
        <x:v>0</x:v>
      </x:c>
      <x:c r="H4134" s="381" t="n">
        <x:f>SUMIFS('Climate Data'!$G$7:$G$366,'Climate Data'!$A$7:$A$366,'Estimator'!$B$4,'Climate Data'!$B$7:$B$366,C4134)</x:f>
        <x:v>0.32023809523809527</x:v>
      </x:c>
      <x:c r="I4134" s="382" t="n">
        <x:f>SUMIFS('Climate Data'!$H$7:$H$366,'Climate Data'!$A$7:$A$366,'Estimator'!$B$4,'Climate Data'!$B$7:$B$366,C4134)</x:f>
        <x:v>9.066171003717471</x:v>
      </x:c>
      <x:c r="J4134" s="381" t="n">
        <x:f>SUMIFS('Wind Proxy'!$H$8:$H$19,'Wind Proxy'!$A$8:$A$19,'Estimator'!$B$4,'Wind Proxy'!$B$8:$B$19,C4134)</x:f>
        <x:v>0.11728395061728397</x:v>
      </x:c>
    </x:row>
    <x:row r="4135">
      <x:c r="A4135" s="379" t="n">
        <x:v>49786</x:v>
      </x:c>
      <x:c r="B4135" s="380" t="n">
        <x:v>2036</x:v>
      </x:c>
      <x:c r="C4135" s="380" t="n">
        <x:v>4</x:v>
      </x:c>
      <x:c r="D4135" s="380" t="str">
        <x:v>Apr</x:v>
      </x:c>
      <x:c r="E4135" s="380" t="n">
        <x:v>21</x:v>
      </x:c>
      <x:c r="F4135" s="380" t="n">
        <x:v>1</x:v>
      </x:c>
      <x:c r="G4135" s="380" t="n">
        <x:f>--(F4135&lt;='Estimator'!$B$7)</x:f>
        <x:v>1</x:v>
      </x:c>
      <x:c r="H4135" s="381" t="n">
        <x:f>SUMIFS('Climate Data'!$G$7:$G$366,'Climate Data'!$A$7:$A$366,'Estimator'!$B$4,'Climate Data'!$B$7:$B$366,C4135)</x:f>
        <x:v>0.32023809523809527</x:v>
      </x:c>
      <x:c r="I4135" s="382" t="n">
        <x:f>SUMIFS('Climate Data'!$H$7:$H$366,'Climate Data'!$A$7:$A$366,'Estimator'!$B$4,'Climate Data'!$B$7:$B$366,C4135)</x:f>
        <x:v>9.066171003717471</x:v>
      </x:c>
      <x:c r="J4135" s="381" t="n">
        <x:f>SUMIFS('Wind Proxy'!$H$8:$H$19,'Wind Proxy'!$A$8:$A$19,'Estimator'!$B$4,'Wind Proxy'!$B$8:$B$19,C4135)</x:f>
        <x:v>0.11728395061728397</x:v>
      </x:c>
    </x:row>
    <x:row r="4136">
      <x:c r="A4136" s="379" t="n">
        <x:v>49787</x:v>
      </x:c>
      <x:c r="B4136" s="380" t="n">
        <x:v>2036</x:v>
      </x:c>
      <x:c r="C4136" s="380" t="n">
        <x:v>4</x:v>
      </x:c>
      <x:c r="D4136" s="380" t="str">
        <x:v>Apr</x:v>
      </x:c>
      <x:c r="E4136" s="380" t="n">
        <x:v>22</x:v>
      </x:c>
      <x:c r="F4136" s="380" t="n">
        <x:v>2</x:v>
      </x:c>
      <x:c r="G4136" s="380" t="n">
        <x:f>--(F4136&lt;='Estimator'!$B$7)</x:f>
        <x:v>1</x:v>
      </x:c>
      <x:c r="H4136" s="381" t="n">
        <x:f>SUMIFS('Climate Data'!$G$7:$G$366,'Climate Data'!$A$7:$A$366,'Estimator'!$B$4,'Climate Data'!$B$7:$B$366,C4136)</x:f>
        <x:v>0.32023809523809527</x:v>
      </x:c>
      <x:c r="I4136" s="382" t="n">
        <x:f>SUMIFS('Climate Data'!$H$7:$H$366,'Climate Data'!$A$7:$A$366,'Estimator'!$B$4,'Climate Data'!$B$7:$B$366,C4136)</x:f>
        <x:v>9.066171003717471</x:v>
      </x:c>
      <x:c r="J4136" s="381" t="n">
        <x:f>SUMIFS('Wind Proxy'!$H$8:$H$19,'Wind Proxy'!$A$8:$A$19,'Estimator'!$B$4,'Wind Proxy'!$B$8:$B$19,C4136)</x:f>
        <x:v>0.11728395061728397</x:v>
      </x:c>
    </x:row>
    <x:row r="4137">
      <x:c r="A4137" s="379" t="n">
        <x:v>49788</x:v>
      </x:c>
      <x:c r="B4137" s="380" t="n">
        <x:v>2036</x:v>
      </x:c>
      <x:c r="C4137" s="380" t="n">
        <x:v>4</x:v>
      </x:c>
      <x:c r="D4137" s="380" t="str">
        <x:v>Apr</x:v>
      </x:c>
      <x:c r="E4137" s="380" t="n">
        <x:v>23</x:v>
      </x:c>
      <x:c r="F4137" s="380" t="n">
        <x:v>3</x:v>
      </x:c>
      <x:c r="G4137" s="380" t="n">
        <x:f>--(F4137&lt;='Estimator'!$B$7)</x:f>
        <x:v>1</x:v>
      </x:c>
      <x:c r="H4137" s="381" t="n">
        <x:f>SUMIFS('Climate Data'!$G$7:$G$366,'Climate Data'!$A$7:$A$366,'Estimator'!$B$4,'Climate Data'!$B$7:$B$366,C4137)</x:f>
        <x:v>0.32023809523809527</x:v>
      </x:c>
      <x:c r="I4137" s="382" t="n">
        <x:f>SUMIFS('Climate Data'!$H$7:$H$366,'Climate Data'!$A$7:$A$366,'Estimator'!$B$4,'Climate Data'!$B$7:$B$366,C4137)</x:f>
        <x:v>9.066171003717471</x:v>
      </x:c>
      <x:c r="J4137" s="381" t="n">
        <x:f>SUMIFS('Wind Proxy'!$H$8:$H$19,'Wind Proxy'!$A$8:$A$19,'Estimator'!$B$4,'Wind Proxy'!$B$8:$B$19,C4137)</x:f>
        <x:v>0.11728395061728397</x:v>
      </x:c>
    </x:row>
    <x:row r="4138">
      <x:c r="A4138" s="379" t="n">
        <x:v>49789</x:v>
      </x:c>
      <x:c r="B4138" s="380" t="n">
        <x:v>2036</x:v>
      </x:c>
      <x:c r="C4138" s="380" t="n">
        <x:v>4</x:v>
      </x:c>
      <x:c r="D4138" s="380" t="str">
        <x:v>Apr</x:v>
      </x:c>
      <x:c r="E4138" s="380" t="n">
        <x:v>24</x:v>
      </x:c>
      <x:c r="F4138" s="380" t="n">
        <x:v>4</x:v>
      </x:c>
      <x:c r="G4138" s="380" t="n">
        <x:f>--(F4138&lt;='Estimator'!$B$7)</x:f>
        <x:v>1</x:v>
      </x:c>
      <x:c r="H4138" s="381" t="n">
        <x:f>SUMIFS('Climate Data'!$G$7:$G$366,'Climate Data'!$A$7:$A$366,'Estimator'!$B$4,'Climate Data'!$B$7:$B$366,C4138)</x:f>
        <x:v>0.32023809523809527</x:v>
      </x:c>
      <x:c r="I4138" s="382" t="n">
        <x:f>SUMIFS('Climate Data'!$H$7:$H$366,'Climate Data'!$A$7:$A$366,'Estimator'!$B$4,'Climate Data'!$B$7:$B$366,C4138)</x:f>
        <x:v>9.066171003717471</x:v>
      </x:c>
      <x:c r="J4138" s="381" t="n">
        <x:f>SUMIFS('Wind Proxy'!$H$8:$H$19,'Wind Proxy'!$A$8:$A$19,'Estimator'!$B$4,'Wind Proxy'!$B$8:$B$19,C4138)</x:f>
        <x:v>0.11728395061728397</x:v>
      </x:c>
    </x:row>
    <x:row r="4139">
      <x:c r="A4139" s="379" t="n">
        <x:v>49790</x:v>
      </x:c>
      <x:c r="B4139" s="380" t="n">
        <x:v>2036</x:v>
      </x:c>
      <x:c r="C4139" s="380" t="n">
        <x:v>4</x:v>
      </x:c>
      <x:c r="D4139" s="380" t="str">
        <x:v>Apr</x:v>
      </x:c>
      <x:c r="E4139" s="380" t="n">
        <x:v>25</x:v>
      </x:c>
      <x:c r="F4139" s="380" t="n">
        <x:v>5</x:v>
      </x:c>
      <x:c r="G4139" s="380" t="n">
        <x:f>--(F4139&lt;='Estimator'!$B$7)</x:f>
        <x:v>1</x:v>
      </x:c>
      <x:c r="H4139" s="381" t="n">
        <x:f>SUMIFS('Climate Data'!$G$7:$G$366,'Climate Data'!$A$7:$A$366,'Estimator'!$B$4,'Climate Data'!$B$7:$B$366,C4139)</x:f>
        <x:v>0.32023809523809527</x:v>
      </x:c>
      <x:c r="I4139" s="382" t="n">
        <x:f>SUMIFS('Climate Data'!$H$7:$H$366,'Climate Data'!$A$7:$A$366,'Estimator'!$B$4,'Climate Data'!$B$7:$B$366,C4139)</x:f>
        <x:v>9.066171003717471</x:v>
      </x:c>
      <x:c r="J4139" s="381" t="n">
        <x:f>SUMIFS('Wind Proxy'!$H$8:$H$19,'Wind Proxy'!$A$8:$A$19,'Estimator'!$B$4,'Wind Proxy'!$B$8:$B$19,C4139)</x:f>
        <x:v>0.11728395061728397</x:v>
      </x:c>
    </x:row>
    <x:row r="4140">
      <x:c r="A4140" s="379" t="n">
        <x:v>49791</x:v>
      </x:c>
      <x:c r="B4140" s="380" t="n">
        <x:v>2036</x:v>
      </x:c>
      <x:c r="C4140" s="380" t="n">
        <x:v>4</x:v>
      </x:c>
      <x:c r="D4140" s="380" t="str">
        <x:v>Apr</x:v>
      </x:c>
      <x:c r="E4140" s="380" t="n">
        <x:v>26</x:v>
      </x:c>
      <x:c r="F4140" s="380" t="n">
        <x:v>6</x:v>
      </x:c>
      <x:c r="G4140" s="380" t="n">
        <x:f>--(F4140&lt;='Estimator'!$B$7)</x:f>
        <x:v>0</x:v>
      </x:c>
      <x:c r="H4140" s="381" t="n">
        <x:f>SUMIFS('Climate Data'!$G$7:$G$366,'Climate Data'!$A$7:$A$366,'Estimator'!$B$4,'Climate Data'!$B$7:$B$366,C4140)</x:f>
        <x:v>0.32023809523809527</x:v>
      </x:c>
      <x:c r="I4140" s="382" t="n">
        <x:f>SUMIFS('Climate Data'!$H$7:$H$366,'Climate Data'!$A$7:$A$366,'Estimator'!$B$4,'Climate Data'!$B$7:$B$366,C4140)</x:f>
        <x:v>9.066171003717471</x:v>
      </x:c>
      <x:c r="J4140" s="381" t="n">
        <x:f>SUMIFS('Wind Proxy'!$H$8:$H$19,'Wind Proxy'!$A$8:$A$19,'Estimator'!$B$4,'Wind Proxy'!$B$8:$B$19,C4140)</x:f>
        <x:v>0.11728395061728397</x:v>
      </x:c>
    </x:row>
    <x:row r="4141">
      <x:c r="A4141" s="379" t="n">
        <x:v>49792</x:v>
      </x:c>
      <x:c r="B4141" s="380" t="n">
        <x:v>2036</x:v>
      </x:c>
      <x:c r="C4141" s="380" t="n">
        <x:v>4</x:v>
      </x:c>
      <x:c r="D4141" s="380" t="str">
        <x:v>Apr</x:v>
      </x:c>
      <x:c r="E4141" s="380" t="n">
        <x:v>27</x:v>
      </x:c>
      <x:c r="F4141" s="380" t="n">
        <x:v>7</x:v>
      </x:c>
      <x:c r="G4141" s="380" t="n">
        <x:f>--(F4141&lt;='Estimator'!$B$7)</x:f>
        <x:v>0</x:v>
      </x:c>
      <x:c r="H4141" s="381" t="n">
        <x:f>SUMIFS('Climate Data'!$G$7:$G$366,'Climate Data'!$A$7:$A$366,'Estimator'!$B$4,'Climate Data'!$B$7:$B$366,C4141)</x:f>
        <x:v>0.32023809523809527</x:v>
      </x:c>
      <x:c r="I4141" s="382" t="n">
        <x:f>SUMIFS('Climate Data'!$H$7:$H$366,'Climate Data'!$A$7:$A$366,'Estimator'!$B$4,'Climate Data'!$B$7:$B$366,C4141)</x:f>
        <x:v>9.066171003717471</x:v>
      </x:c>
      <x:c r="J4141" s="381" t="n">
        <x:f>SUMIFS('Wind Proxy'!$H$8:$H$19,'Wind Proxy'!$A$8:$A$19,'Estimator'!$B$4,'Wind Proxy'!$B$8:$B$19,C4141)</x:f>
        <x:v>0.11728395061728397</x:v>
      </x:c>
    </x:row>
    <x:row r="4142">
      <x:c r="A4142" s="379" t="n">
        <x:v>49793</x:v>
      </x:c>
      <x:c r="B4142" s="380" t="n">
        <x:v>2036</x:v>
      </x:c>
      <x:c r="C4142" s="380" t="n">
        <x:v>4</x:v>
      </x:c>
      <x:c r="D4142" s="380" t="str">
        <x:v>Apr</x:v>
      </x:c>
      <x:c r="E4142" s="380" t="n">
        <x:v>28</x:v>
      </x:c>
      <x:c r="F4142" s="380" t="n">
        <x:v>1</x:v>
      </x:c>
      <x:c r="G4142" s="380" t="n">
        <x:f>--(F4142&lt;='Estimator'!$B$7)</x:f>
        <x:v>1</x:v>
      </x:c>
      <x:c r="H4142" s="381" t="n">
        <x:f>SUMIFS('Climate Data'!$G$7:$G$366,'Climate Data'!$A$7:$A$366,'Estimator'!$B$4,'Climate Data'!$B$7:$B$366,C4142)</x:f>
        <x:v>0.32023809523809527</x:v>
      </x:c>
      <x:c r="I4142" s="382" t="n">
        <x:f>SUMIFS('Climate Data'!$H$7:$H$366,'Climate Data'!$A$7:$A$366,'Estimator'!$B$4,'Climate Data'!$B$7:$B$366,C4142)</x:f>
        <x:v>9.066171003717471</x:v>
      </x:c>
      <x:c r="J4142" s="381" t="n">
        <x:f>SUMIFS('Wind Proxy'!$H$8:$H$19,'Wind Proxy'!$A$8:$A$19,'Estimator'!$B$4,'Wind Proxy'!$B$8:$B$19,C4142)</x:f>
        <x:v>0.11728395061728397</x:v>
      </x:c>
    </x:row>
    <x:row r="4143">
      <x:c r="A4143" s="379" t="n">
        <x:v>49794</x:v>
      </x:c>
      <x:c r="B4143" s="380" t="n">
        <x:v>2036</x:v>
      </x:c>
      <x:c r="C4143" s="380" t="n">
        <x:v>4</x:v>
      </x:c>
      <x:c r="D4143" s="380" t="str">
        <x:v>Apr</x:v>
      </x:c>
      <x:c r="E4143" s="380" t="n">
        <x:v>29</x:v>
      </x:c>
      <x:c r="F4143" s="380" t="n">
        <x:v>2</x:v>
      </x:c>
      <x:c r="G4143" s="380" t="n">
        <x:f>--(F4143&lt;='Estimator'!$B$7)</x:f>
        <x:v>1</x:v>
      </x:c>
      <x:c r="H4143" s="381" t="n">
        <x:f>SUMIFS('Climate Data'!$G$7:$G$366,'Climate Data'!$A$7:$A$366,'Estimator'!$B$4,'Climate Data'!$B$7:$B$366,C4143)</x:f>
        <x:v>0.32023809523809527</x:v>
      </x:c>
      <x:c r="I4143" s="382" t="n">
        <x:f>SUMIFS('Climate Data'!$H$7:$H$366,'Climate Data'!$A$7:$A$366,'Estimator'!$B$4,'Climate Data'!$B$7:$B$366,C4143)</x:f>
        <x:v>9.066171003717471</x:v>
      </x:c>
      <x:c r="J4143" s="381" t="n">
        <x:f>SUMIFS('Wind Proxy'!$H$8:$H$19,'Wind Proxy'!$A$8:$A$19,'Estimator'!$B$4,'Wind Proxy'!$B$8:$B$19,C4143)</x:f>
        <x:v>0.11728395061728397</x:v>
      </x:c>
    </x:row>
    <x:row r="4144">
      <x:c r="A4144" s="379" t="n">
        <x:v>49795</x:v>
      </x:c>
      <x:c r="B4144" s="380" t="n">
        <x:v>2036</x:v>
      </x:c>
      <x:c r="C4144" s="380" t="n">
        <x:v>4</x:v>
      </x:c>
      <x:c r="D4144" s="380" t="str">
        <x:v>Apr</x:v>
      </x:c>
      <x:c r="E4144" s="380" t="n">
        <x:v>30</x:v>
      </x:c>
      <x:c r="F4144" s="380" t="n">
        <x:v>3</x:v>
      </x:c>
      <x:c r="G4144" s="380" t="n">
        <x:f>--(F4144&lt;='Estimator'!$B$7)</x:f>
        <x:v>1</x:v>
      </x:c>
      <x:c r="H4144" s="381" t="n">
        <x:f>SUMIFS('Climate Data'!$G$7:$G$366,'Climate Data'!$A$7:$A$366,'Estimator'!$B$4,'Climate Data'!$B$7:$B$366,C4144)</x:f>
        <x:v>0.32023809523809527</x:v>
      </x:c>
      <x:c r="I4144" s="382" t="n">
        <x:f>SUMIFS('Climate Data'!$H$7:$H$366,'Climate Data'!$A$7:$A$366,'Estimator'!$B$4,'Climate Data'!$B$7:$B$366,C4144)</x:f>
        <x:v>9.066171003717471</x:v>
      </x:c>
      <x:c r="J4144" s="381" t="n">
        <x:f>SUMIFS('Wind Proxy'!$H$8:$H$19,'Wind Proxy'!$A$8:$A$19,'Estimator'!$B$4,'Wind Proxy'!$B$8:$B$19,C4144)</x:f>
        <x:v>0.11728395061728397</x:v>
      </x:c>
    </x:row>
    <x:row r="4145">
      <x:c r="A4145" s="379" t="n">
        <x:v>49796</x:v>
      </x:c>
      <x:c r="B4145" s="380" t="n">
        <x:v>2036</x:v>
      </x:c>
      <x:c r="C4145" s="380" t="n">
        <x:v>5</x:v>
      </x:c>
      <x:c r="D4145" s="380" t="str">
        <x:v>May</x:v>
      </x:c>
      <x:c r="E4145" s="380" t="n">
        <x:v>1</x:v>
      </x:c>
      <x:c r="F4145" s="380" t="n">
        <x:v>4</x:v>
      </x:c>
      <x:c r="G4145" s="380" t="n">
        <x:f>--(F4145&lt;='Estimator'!$B$7)</x:f>
        <x:v>1</x:v>
      </x:c>
      <x:c r="H4145" s="381" t="n">
        <x:f>SUMIFS('Climate Data'!$G$7:$G$366,'Climate Data'!$A$7:$A$366,'Estimator'!$B$4,'Climate Data'!$B$7:$B$366,C4145)</x:f>
        <x:v>0.41935483870967744</x:v>
      </x:c>
      <x:c r="I4145" s="382" t="n">
        <x:f>SUMIFS('Climate Data'!$H$7:$H$366,'Climate Data'!$A$7:$A$366,'Estimator'!$B$4,'Climate Data'!$B$7:$B$366,C4145)</x:f>
        <x:v>9.215384615384615</x:v>
      </x:c>
      <x:c r="J4145" s="381" t="n">
        <x:f>SUMIFS('Wind Proxy'!$H$8:$H$19,'Wind Proxy'!$A$8:$A$19,'Estimator'!$B$4,'Wind Proxy'!$B$8:$B$19,C4145)</x:f>
        <x:v>0.11350059737156513</x:v>
      </x:c>
    </x:row>
    <x:row r="4146">
      <x:c r="A4146" s="379" t="n">
        <x:v>49797</x:v>
      </x:c>
      <x:c r="B4146" s="380" t="n">
        <x:v>2036</x:v>
      </x:c>
      <x:c r="C4146" s="380" t="n">
        <x:v>5</x:v>
      </x:c>
      <x:c r="D4146" s="380" t="str">
        <x:v>May</x:v>
      </x:c>
      <x:c r="E4146" s="380" t="n">
        <x:v>2</x:v>
      </x:c>
      <x:c r="F4146" s="380" t="n">
        <x:v>5</x:v>
      </x:c>
      <x:c r="G4146" s="380" t="n">
        <x:f>--(F4146&lt;='Estimator'!$B$7)</x:f>
        <x:v>1</x:v>
      </x:c>
      <x:c r="H4146" s="381" t="n">
        <x:f>SUMIFS('Climate Data'!$G$7:$G$366,'Climate Data'!$A$7:$A$366,'Estimator'!$B$4,'Climate Data'!$B$7:$B$366,C4146)</x:f>
        <x:v>0.41935483870967744</x:v>
      </x:c>
      <x:c r="I4146" s="382" t="n">
        <x:f>SUMIFS('Climate Data'!$H$7:$H$366,'Climate Data'!$A$7:$A$366,'Estimator'!$B$4,'Climate Data'!$B$7:$B$366,C4146)</x:f>
        <x:v>9.215384615384615</x:v>
      </x:c>
      <x:c r="J4146" s="381" t="n">
        <x:f>SUMIFS('Wind Proxy'!$H$8:$H$19,'Wind Proxy'!$A$8:$A$19,'Estimator'!$B$4,'Wind Proxy'!$B$8:$B$19,C4146)</x:f>
        <x:v>0.11350059737156513</x:v>
      </x:c>
    </x:row>
    <x:row r="4147">
      <x:c r="A4147" s="379" t="n">
        <x:v>49798</x:v>
      </x:c>
      <x:c r="B4147" s="380" t="n">
        <x:v>2036</x:v>
      </x:c>
      <x:c r="C4147" s="380" t="n">
        <x:v>5</x:v>
      </x:c>
      <x:c r="D4147" s="380" t="str">
        <x:v>May</x:v>
      </x:c>
      <x:c r="E4147" s="380" t="n">
        <x:v>3</x:v>
      </x:c>
      <x:c r="F4147" s="380" t="n">
        <x:v>6</x:v>
      </x:c>
      <x:c r="G4147" s="380" t="n">
        <x:f>--(F4147&lt;='Estimator'!$B$7)</x:f>
        <x:v>0</x:v>
      </x:c>
      <x:c r="H4147" s="381" t="n">
        <x:f>SUMIFS('Climate Data'!$G$7:$G$366,'Climate Data'!$A$7:$A$366,'Estimator'!$B$4,'Climate Data'!$B$7:$B$366,C4147)</x:f>
        <x:v>0.41935483870967744</x:v>
      </x:c>
      <x:c r="I4147" s="382" t="n">
        <x:f>SUMIFS('Climate Data'!$H$7:$H$366,'Climate Data'!$A$7:$A$366,'Estimator'!$B$4,'Climate Data'!$B$7:$B$366,C4147)</x:f>
        <x:v>9.215384615384615</x:v>
      </x:c>
      <x:c r="J4147" s="381" t="n">
        <x:f>SUMIFS('Wind Proxy'!$H$8:$H$19,'Wind Proxy'!$A$8:$A$19,'Estimator'!$B$4,'Wind Proxy'!$B$8:$B$19,C4147)</x:f>
        <x:v>0.11350059737156513</x:v>
      </x:c>
    </x:row>
    <x:row r="4148">
      <x:c r="A4148" s="379" t="n">
        <x:v>49799</x:v>
      </x:c>
      <x:c r="B4148" s="380" t="n">
        <x:v>2036</x:v>
      </x:c>
      <x:c r="C4148" s="380" t="n">
        <x:v>5</x:v>
      </x:c>
      <x:c r="D4148" s="380" t="str">
        <x:v>May</x:v>
      </x:c>
      <x:c r="E4148" s="380" t="n">
        <x:v>4</x:v>
      </x:c>
      <x:c r="F4148" s="380" t="n">
        <x:v>7</x:v>
      </x:c>
      <x:c r="G4148" s="380" t="n">
        <x:f>--(F4148&lt;='Estimator'!$B$7)</x:f>
        <x:v>0</x:v>
      </x:c>
      <x:c r="H4148" s="381" t="n">
        <x:f>SUMIFS('Climate Data'!$G$7:$G$366,'Climate Data'!$A$7:$A$366,'Estimator'!$B$4,'Climate Data'!$B$7:$B$366,C4148)</x:f>
        <x:v>0.41935483870967744</x:v>
      </x:c>
      <x:c r="I4148" s="382" t="n">
        <x:f>SUMIFS('Climate Data'!$H$7:$H$366,'Climate Data'!$A$7:$A$366,'Estimator'!$B$4,'Climate Data'!$B$7:$B$366,C4148)</x:f>
        <x:v>9.215384615384615</x:v>
      </x:c>
      <x:c r="J4148" s="381" t="n">
        <x:f>SUMIFS('Wind Proxy'!$H$8:$H$19,'Wind Proxy'!$A$8:$A$19,'Estimator'!$B$4,'Wind Proxy'!$B$8:$B$19,C4148)</x:f>
        <x:v>0.11350059737156513</x:v>
      </x:c>
    </x:row>
    <x:row r="4149">
      <x:c r="A4149" s="379" t="n">
        <x:v>49800</x:v>
      </x:c>
      <x:c r="B4149" s="380" t="n">
        <x:v>2036</x:v>
      </x:c>
      <x:c r="C4149" s="380" t="n">
        <x:v>5</x:v>
      </x:c>
      <x:c r="D4149" s="380" t="str">
        <x:v>May</x:v>
      </x:c>
      <x:c r="E4149" s="380" t="n">
        <x:v>5</x:v>
      </x:c>
      <x:c r="F4149" s="380" t="n">
        <x:v>1</x:v>
      </x:c>
      <x:c r="G4149" s="380" t="n">
        <x:f>--(F4149&lt;='Estimator'!$B$7)</x:f>
        <x:v>1</x:v>
      </x:c>
      <x:c r="H4149" s="381" t="n">
        <x:f>SUMIFS('Climate Data'!$G$7:$G$366,'Climate Data'!$A$7:$A$366,'Estimator'!$B$4,'Climate Data'!$B$7:$B$366,C4149)</x:f>
        <x:v>0.41935483870967744</x:v>
      </x:c>
      <x:c r="I4149" s="382" t="n">
        <x:f>SUMIFS('Climate Data'!$H$7:$H$366,'Climate Data'!$A$7:$A$366,'Estimator'!$B$4,'Climate Data'!$B$7:$B$366,C4149)</x:f>
        <x:v>9.215384615384615</x:v>
      </x:c>
      <x:c r="J4149" s="381" t="n">
        <x:f>SUMIFS('Wind Proxy'!$H$8:$H$19,'Wind Proxy'!$A$8:$A$19,'Estimator'!$B$4,'Wind Proxy'!$B$8:$B$19,C4149)</x:f>
        <x:v>0.11350059737156513</x:v>
      </x:c>
    </x:row>
    <x:row r="4150">
      <x:c r="A4150" s="379" t="n">
        <x:v>49801</x:v>
      </x:c>
      <x:c r="B4150" s="380" t="n">
        <x:v>2036</x:v>
      </x:c>
      <x:c r="C4150" s="380" t="n">
        <x:v>5</x:v>
      </x:c>
      <x:c r="D4150" s="380" t="str">
        <x:v>May</x:v>
      </x:c>
      <x:c r="E4150" s="380" t="n">
        <x:v>6</x:v>
      </x:c>
      <x:c r="F4150" s="380" t="n">
        <x:v>2</x:v>
      </x:c>
      <x:c r="G4150" s="380" t="n">
        <x:f>--(F4150&lt;='Estimator'!$B$7)</x:f>
        <x:v>1</x:v>
      </x:c>
      <x:c r="H4150" s="381" t="n">
        <x:f>SUMIFS('Climate Data'!$G$7:$G$366,'Climate Data'!$A$7:$A$366,'Estimator'!$B$4,'Climate Data'!$B$7:$B$366,C4150)</x:f>
        <x:v>0.41935483870967744</x:v>
      </x:c>
      <x:c r="I4150" s="382" t="n">
        <x:f>SUMIFS('Climate Data'!$H$7:$H$366,'Climate Data'!$A$7:$A$366,'Estimator'!$B$4,'Climate Data'!$B$7:$B$366,C4150)</x:f>
        <x:v>9.215384615384615</x:v>
      </x:c>
      <x:c r="J4150" s="381" t="n">
        <x:f>SUMIFS('Wind Proxy'!$H$8:$H$19,'Wind Proxy'!$A$8:$A$19,'Estimator'!$B$4,'Wind Proxy'!$B$8:$B$19,C4150)</x:f>
        <x:v>0.11350059737156513</x:v>
      </x:c>
    </x:row>
    <x:row r="4151">
      <x:c r="A4151" s="379" t="n">
        <x:v>49802</x:v>
      </x:c>
      <x:c r="B4151" s="380" t="n">
        <x:v>2036</x:v>
      </x:c>
      <x:c r="C4151" s="380" t="n">
        <x:v>5</x:v>
      </x:c>
      <x:c r="D4151" s="380" t="str">
        <x:v>May</x:v>
      </x:c>
      <x:c r="E4151" s="380" t="n">
        <x:v>7</x:v>
      </x:c>
      <x:c r="F4151" s="380" t="n">
        <x:v>3</x:v>
      </x:c>
      <x:c r="G4151" s="380" t="n">
        <x:f>--(F4151&lt;='Estimator'!$B$7)</x:f>
        <x:v>1</x:v>
      </x:c>
      <x:c r="H4151" s="381" t="n">
        <x:f>SUMIFS('Climate Data'!$G$7:$G$366,'Climate Data'!$A$7:$A$366,'Estimator'!$B$4,'Climate Data'!$B$7:$B$366,C4151)</x:f>
        <x:v>0.41935483870967744</x:v>
      </x:c>
      <x:c r="I4151" s="382" t="n">
        <x:f>SUMIFS('Climate Data'!$H$7:$H$366,'Climate Data'!$A$7:$A$366,'Estimator'!$B$4,'Climate Data'!$B$7:$B$366,C4151)</x:f>
        <x:v>9.215384615384615</x:v>
      </x:c>
      <x:c r="J4151" s="381" t="n">
        <x:f>SUMIFS('Wind Proxy'!$H$8:$H$19,'Wind Proxy'!$A$8:$A$19,'Estimator'!$B$4,'Wind Proxy'!$B$8:$B$19,C4151)</x:f>
        <x:v>0.11350059737156513</x:v>
      </x:c>
    </x:row>
    <x:row r="4152">
      <x:c r="A4152" s="379" t="n">
        <x:v>49803</x:v>
      </x:c>
      <x:c r="B4152" s="380" t="n">
        <x:v>2036</x:v>
      </x:c>
      <x:c r="C4152" s="380" t="n">
        <x:v>5</x:v>
      </x:c>
      <x:c r="D4152" s="380" t="str">
        <x:v>May</x:v>
      </x:c>
      <x:c r="E4152" s="380" t="n">
        <x:v>8</x:v>
      </x:c>
      <x:c r="F4152" s="380" t="n">
        <x:v>4</x:v>
      </x:c>
      <x:c r="G4152" s="380" t="n">
        <x:f>--(F4152&lt;='Estimator'!$B$7)</x:f>
        <x:v>1</x:v>
      </x:c>
      <x:c r="H4152" s="381" t="n">
        <x:f>SUMIFS('Climate Data'!$G$7:$G$366,'Climate Data'!$A$7:$A$366,'Estimator'!$B$4,'Climate Data'!$B$7:$B$366,C4152)</x:f>
        <x:v>0.41935483870967744</x:v>
      </x:c>
      <x:c r="I4152" s="382" t="n">
        <x:f>SUMIFS('Climate Data'!$H$7:$H$366,'Climate Data'!$A$7:$A$366,'Estimator'!$B$4,'Climate Data'!$B$7:$B$366,C4152)</x:f>
        <x:v>9.215384615384615</x:v>
      </x:c>
      <x:c r="J4152" s="381" t="n">
        <x:f>SUMIFS('Wind Proxy'!$H$8:$H$19,'Wind Proxy'!$A$8:$A$19,'Estimator'!$B$4,'Wind Proxy'!$B$8:$B$19,C4152)</x:f>
        <x:v>0.11350059737156513</x:v>
      </x:c>
    </x:row>
    <x:row r="4153">
      <x:c r="A4153" s="379" t="n">
        <x:v>49804</x:v>
      </x:c>
      <x:c r="B4153" s="380" t="n">
        <x:v>2036</x:v>
      </x:c>
      <x:c r="C4153" s="380" t="n">
        <x:v>5</x:v>
      </x:c>
      <x:c r="D4153" s="380" t="str">
        <x:v>May</x:v>
      </x:c>
      <x:c r="E4153" s="380" t="n">
        <x:v>9</x:v>
      </x:c>
      <x:c r="F4153" s="380" t="n">
        <x:v>5</x:v>
      </x:c>
      <x:c r="G4153" s="380" t="n">
        <x:f>--(F4153&lt;='Estimator'!$B$7)</x:f>
        <x:v>1</x:v>
      </x:c>
      <x:c r="H4153" s="381" t="n">
        <x:f>SUMIFS('Climate Data'!$G$7:$G$366,'Climate Data'!$A$7:$A$366,'Estimator'!$B$4,'Climate Data'!$B$7:$B$366,C4153)</x:f>
        <x:v>0.41935483870967744</x:v>
      </x:c>
      <x:c r="I4153" s="382" t="n">
        <x:f>SUMIFS('Climate Data'!$H$7:$H$366,'Climate Data'!$A$7:$A$366,'Estimator'!$B$4,'Climate Data'!$B$7:$B$366,C4153)</x:f>
        <x:v>9.215384615384615</x:v>
      </x:c>
      <x:c r="J4153" s="381" t="n">
        <x:f>SUMIFS('Wind Proxy'!$H$8:$H$19,'Wind Proxy'!$A$8:$A$19,'Estimator'!$B$4,'Wind Proxy'!$B$8:$B$19,C4153)</x:f>
        <x:v>0.11350059737156513</x:v>
      </x:c>
    </x:row>
    <x:row r="4154">
      <x:c r="A4154" s="379" t="n">
        <x:v>49805</x:v>
      </x:c>
      <x:c r="B4154" s="380" t="n">
        <x:v>2036</x:v>
      </x:c>
      <x:c r="C4154" s="380" t="n">
        <x:v>5</x:v>
      </x:c>
      <x:c r="D4154" s="380" t="str">
        <x:v>May</x:v>
      </x:c>
      <x:c r="E4154" s="380" t="n">
        <x:v>10</x:v>
      </x:c>
      <x:c r="F4154" s="380" t="n">
        <x:v>6</x:v>
      </x:c>
      <x:c r="G4154" s="380" t="n">
        <x:f>--(F4154&lt;='Estimator'!$B$7)</x:f>
        <x:v>0</x:v>
      </x:c>
      <x:c r="H4154" s="381" t="n">
        <x:f>SUMIFS('Climate Data'!$G$7:$G$366,'Climate Data'!$A$7:$A$366,'Estimator'!$B$4,'Climate Data'!$B$7:$B$366,C4154)</x:f>
        <x:v>0.41935483870967744</x:v>
      </x:c>
      <x:c r="I4154" s="382" t="n">
        <x:f>SUMIFS('Climate Data'!$H$7:$H$366,'Climate Data'!$A$7:$A$366,'Estimator'!$B$4,'Climate Data'!$B$7:$B$366,C4154)</x:f>
        <x:v>9.215384615384615</x:v>
      </x:c>
      <x:c r="J4154" s="381" t="n">
        <x:f>SUMIFS('Wind Proxy'!$H$8:$H$19,'Wind Proxy'!$A$8:$A$19,'Estimator'!$B$4,'Wind Proxy'!$B$8:$B$19,C4154)</x:f>
        <x:v>0.11350059737156513</x:v>
      </x:c>
    </x:row>
    <x:row r="4155">
      <x:c r="A4155" s="379" t="n">
        <x:v>49806</x:v>
      </x:c>
      <x:c r="B4155" s="380" t="n">
        <x:v>2036</x:v>
      </x:c>
      <x:c r="C4155" s="380" t="n">
        <x:v>5</x:v>
      </x:c>
      <x:c r="D4155" s="380" t="str">
        <x:v>May</x:v>
      </x:c>
      <x:c r="E4155" s="380" t="n">
        <x:v>11</x:v>
      </x:c>
      <x:c r="F4155" s="380" t="n">
        <x:v>7</x:v>
      </x:c>
      <x:c r="G4155" s="380" t="n">
        <x:f>--(F4155&lt;='Estimator'!$B$7)</x:f>
        <x:v>0</x:v>
      </x:c>
      <x:c r="H4155" s="381" t="n">
        <x:f>SUMIFS('Climate Data'!$G$7:$G$366,'Climate Data'!$A$7:$A$366,'Estimator'!$B$4,'Climate Data'!$B$7:$B$366,C4155)</x:f>
        <x:v>0.41935483870967744</x:v>
      </x:c>
      <x:c r="I4155" s="382" t="n">
        <x:f>SUMIFS('Climate Data'!$H$7:$H$366,'Climate Data'!$A$7:$A$366,'Estimator'!$B$4,'Climate Data'!$B$7:$B$366,C4155)</x:f>
        <x:v>9.215384615384615</x:v>
      </x:c>
      <x:c r="J4155" s="381" t="n">
        <x:f>SUMIFS('Wind Proxy'!$H$8:$H$19,'Wind Proxy'!$A$8:$A$19,'Estimator'!$B$4,'Wind Proxy'!$B$8:$B$19,C4155)</x:f>
        <x:v>0.11350059737156513</x:v>
      </x:c>
    </x:row>
    <x:row r="4156">
      <x:c r="A4156" s="379" t="n">
        <x:v>49807</x:v>
      </x:c>
      <x:c r="B4156" s="380" t="n">
        <x:v>2036</x:v>
      </x:c>
      <x:c r="C4156" s="380" t="n">
        <x:v>5</x:v>
      </x:c>
      <x:c r="D4156" s="380" t="str">
        <x:v>May</x:v>
      </x:c>
      <x:c r="E4156" s="380" t="n">
        <x:v>12</x:v>
      </x:c>
      <x:c r="F4156" s="380" t="n">
        <x:v>1</x:v>
      </x:c>
      <x:c r="G4156" s="380" t="n">
        <x:f>--(F4156&lt;='Estimator'!$B$7)</x:f>
        <x:v>1</x:v>
      </x:c>
      <x:c r="H4156" s="381" t="n">
        <x:f>SUMIFS('Climate Data'!$G$7:$G$366,'Climate Data'!$A$7:$A$366,'Estimator'!$B$4,'Climate Data'!$B$7:$B$366,C4156)</x:f>
        <x:v>0.41935483870967744</x:v>
      </x:c>
      <x:c r="I4156" s="382" t="n">
        <x:f>SUMIFS('Climate Data'!$H$7:$H$366,'Climate Data'!$A$7:$A$366,'Estimator'!$B$4,'Climate Data'!$B$7:$B$366,C4156)</x:f>
        <x:v>9.215384615384615</x:v>
      </x:c>
      <x:c r="J4156" s="381" t="n">
        <x:f>SUMIFS('Wind Proxy'!$H$8:$H$19,'Wind Proxy'!$A$8:$A$19,'Estimator'!$B$4,'Wind Proxy'!$B$8:$B$19,C4156)</x:f>
        <x:v>0.11350059737156513</x:v>
      </x:c>
    </x:row>
    <x:row r="4157">
      <x:c r="A4157" s="379" t="n">
        <x:v>49808</x:v>
      </x:c>
      <x:c r="B4157" s="380" t="n">
        <x:v>2036</x:v>
      </x:c>
      <x:c r="C4157" s="380" t="n">
        <x:v>5</x:v>
      </x:c>
      <x:c r="D4157" s="380" t="str">
        <x:v>May</x:v>
      </x:c>
      <x:c r="E4157" s="380" t="n">
        <x:v>13</x:v>
      </x:c>
      <x:c r="F4157" s="380" t="n">
        <x:v>2</x:v>
      </x:c>
      <x:c r="G4157" s="380" t="n">
        <x:f>--(F4157&lt;='Estimator'!$B$7)</x:f>
        <x:v>1</x:v>
      </x:c>
      <x:c r="H4157" s="381" t="n">
        <x:f>SUMIFS('Climate Data'!$G$7:$G$366,'Climate Data'!$A$7:$A$366,'Estimator'!$B$4,'Climate Data'!$B$7:$B$366,C4157)</x:f>
        <x:v>0.41935483870967744</x:v>
      </x:c>
      <x:c r="I4157" s="382" t="n">
        <x:f>SUMIFS('Climate Data'!$H$7:$H$366,'Climate Data'!$A$7:$A$366,'Estimator'!$B$4,'Climate Data'!$B$7:$B$366,C4157)</x:f>
        <x:v>9.215384615384615</x:v>
      </x:c>
      <x:c r="J4157" s="381" t="n">
        <x:f>SUMIFS('Wind Proxy'!$H$8:$H$19,'Wind Proxy'!$A$8:$A$19,'Estimator'!$B$4,'Wind Proxy'!$B$8:$B$19,C4157)</x:f>
        <x:v>0.11350059737156513</x:v>
      </x:c>
    </x:row>
    <x:row r="4158">
      <x:c r="A4158" s="379" t="n">
        <x:v>49809</x:v>
      </x:c>
      <x:c r="B4158" s="380" t="n">
        <x:v>2036</x:v>
      </x:c>
      <x:c r="C4158" s="380" t="n">
        <x:v>5</x:v>
      </x:c>
      <x:c r="D4158" s="380" t="str">
        <x:v>May</x:v>
      </x:c>
      <x:c r="E4158" s="380" t="n">
        <x:v>14</x:v>
      </x:c>
      <x:c r="F4158" s="380" t="n">
        <x:v>3</x:v>
      </x:c>
      <x:c r="G4158" s="380" t="n">
        <x:f>--(F4158&lt;='Estimator'!$B$7)</x:f>
        <x:v>1</x:v>
      </x:c>
      <x:c r="H4158" s="381" t="n">
        <x:f>SUMIFS('Climate Data'!$G$7:$G$366,'Climate Data'!$A$7:$A$366,'Estimator'!$B$4,'Climate Data'!$B$7:$B$366,C4158)</x:f>
        <x:v>0.41935483870967744</x:v>
      </x:c>
      <x:c r="I4158" s="382" t="n">
        <x:f>SUMIFS('Climate Data'!$H$7:$H$366,'Climate Data'!$A$7:$A$366,'Estimator'!$B$4,'Climate Data'!$B$7:$B$366,C4158)</x:f>
        <x:v>9.215384615384615</x:v>
      </x:c>
      <x:c r="J4158" s="381" t="n">
        <x:f>SUMIFS('Wind Proxy'!$H$8:$H$19,'Wind Proxy'!$A$8:$A$19,'Estimator'!$B$4,'Wind Proxy'!$B$8:$B$19,C4158)</x:f>
        <x:v>0.11350059737156513</x:v>
      </x:c>
    </x:row>
    <x:row r="4159">
      <x:c r="A4159" s="379" t="n">
        <x:v>49810</x:v>
      </x:c>
      <x:c r="B4159" s="380" t="n">
        <x:v>2036</x:v>
      </x:c>
      <x:c r="C4159" s="380" t="n">
        <x:v>5</x:v>
      </x:c>
      <x:c r="D4159" s="380" t="str">
        <x:v>May</x:v>
      </x:c>
      <x:c r="E4159" s="380" t="n">
        <x:v>15</x:v>
      </x:c>
      <x:c r="F4159" s="380" t="n">
        <x:v>4</x:v>
      </x:c>
      <x:c r="G4159" s="380" t="n">
        <x:f>--(F4159&lt;='Estimator'!$B$7)</x:f>
        <x:v>1</x:v>
      </x:c>
      <x:c r="H4159" s="381" t="n">
        <x:f>SUMIFS('Climate Data'!$G$7:$G$366,'Climate Data'!$A$7:$A$366,'Estimator'!$B$4,'Climate Data'!$B$7:$B$366,C4159)</x:f>
        <x:v>0.41935483870967744</x:v>
      </x:c>
      <x:c r="I4159" s="382" t="n">
        <x:f>SUMIFS('Climate Data'!$H$7:$H$366,'Climate Data'!$A$7:$A$366,'Estimator'!$B$4,'Climate Data'!$B$7:$B$366,C4159)</x:f>
        <x:v>9.215384615384615</x:v>
      </x:c>
      <x:c r="J4159" s="381" t="n">
        <x:f>SUMIFS('Wind Proxy'!$H$8:$H$19,'Wind Proxy'!$A$8:$A$19,'Estimator'!$B$4,'Wind Proxy'!$B$8:$B$19,C4159)</x:f>
        <x:v>0.11350059737156513</x:v>
      </x:c>
    </x:row>
    <x:row r="4160">
      <x:c r="A4160" s="379" t="n">
        <x:v>49811</x:v>
      </x:c>
      <x:c r="B4160" s="380" t="n">
        <x:v>2036</x:v>
      </x:c>
      <x:c r="C4160" s="380" t="n">
        <x:v>5</x:v>
      </x:c>
      <x:c r="D4160" s="380" t="str">
        <x:v>May</x:v>
      </x:c>
      <x:c r="E4160" s="380" t="n">
        <x:v>16</x:v>
      </x:c>
      <x:c r="F4160" s="380" t="n">
        <x:v>5</x:v>
      </x:c>
      <x:c r="G4160" s="380" t="n">
        <x:f>--(F4160&lt;='Estimator'!$B$7)</x:f>
        <x:v>1</x:v>
      </x:c>
      <x:c r="H4160" s="381" t="n">
        <x:f>SUMIFS('Climate Data'!$G$7:$G$366,'Climate Data'!$A$7:$A$366,'Estimator'!$B$4,'Climate Data'!$B$7:$B$366,C4160)</x:f>
        <x:v>0.41935483870967744</x:v>
      </x:c>
      <x:c r="I4160" s="382" t="n">
        <x:f>SUMIFS('Climate Data'!$H$7:$H$366,'Climate Data'!$A$7:$A$366,'Estimator'!$B$4,'Climate Data'!$B$7:$B$366,C4160)</x:f>
        <x:v>9.215384615384615</x:v>
      </x:c>
      <x:c r="J4160" s="381" t="n">
        <x:f>SUMIFS('Wind Proxy'!$H$8:$H$19,'Wind Proxy'!$A$8:$A$19,'Estimator'!$B$4,'Wind Proxy'!$B$8:$B$19,C4160)</x:f>
        <x:v>0.11350059737156513</x:v>
      </x:c>
    </x:row>
    <x:row r="4161">
      <x:c r="A4161" s="379" t="n">
        <x:v>49812</x:v>
      </x:c>
      <x:c r="B4161" s="380" t="n">
        <x:v>2036</x:v>
      </x:c>
      <x:c r="C4161" s="380" t="n">
        <x:v>5</x:v>
      </x:c>
      <x:c r="D4161" s="380" t="str">
        <x:v>May</x:v>
      </x:c>
      <x:c r="E4161" s="380" t="n">
        <x:v>17</x:v>
      </x:c>
      <x:c r="F4161" s="380" t="n">
        <x:v>6</x:v>
      </x:c>
      <x:c r="G4161" s="380" t="n">
        <x:f>--(F4161&lt;='Estimator'!$B$7)</x:f>
        <x:v>0</x:v>
      </x:c>
      <x:c r="H4161" s="381" t="n">
        <x:f>SUMIFS('Climate Data'!$G$7:$G$366,'Climate Data'!$A$7:$A$366,'Estimator'!$B$4,'Climate Data'!$B$7:$B$366,C4161)</x:f>
        <x:v>0.41935483870967744</x:v>
      </x:c>
      <x:c r="I4161" s="382" t="n">
        <x:f>SUMIFS('Climate Data'!$H$7:$H$366,'Climate Data'!$A$7:$A$366,'Estimator'!$B$4,'Climate Data'!$B$7:$B$366,C4161)</x:f>
        <x:v>9.215384615384615</x:v>
      </x:c>
      <x:c r="J4161" s="381" t="n">
        <x:f>SUMIFS('Wind Proxy'!$H$8:$H$19,'Wind Proxy'!$A$8:$A$19,'Estimator'!$B$4,'Wind Proxy'!$B$8:$B$19,C4161)</x:f>
        <x:v>0.11350059737156513</x:v>
      </x:c>
    </x:row>
    <x:row r="4162">
      <x:c r="A4162" s="379" t="n">
        <x:v>49813</x:v>
      </x:c>
      <x:c r="B4162" s="380" t="n">
        <x:v>2036</x:v>
      </x:c>
      <x:c r="C4162" s="380" t="n">
        <x:v>5</x:v>
      </x:c>
      <x:c r="D4162" s="380" t="str">
        <x:v>May</x:v>
      </x:c>
      <x:c r="E4162" s="380" t="n">
        <x:v>18</x:v>
      </x:c>
      <x:c r="F4162" s="380" t="n">
        <x:v>7</x:v>
      </x:c>
      <x:c r="G4162" s="380" t="n">
        <x:f>--(F4162&lt;='Estimator'!$B$7)</x:f>
        <x:v>0</x:v>
      </x:c>
      <x:c r="H4162" s="381" t="n">
        <x:f>SUMIFS('Climate Data'!$G$7:$G$366,'Climate Data'!$A$7:$A$366,'Estimator'!$B$4,'Climate Data'!$B$7:$B$366,C4162)</x:f>
        <x:v>0.41935483870967744</x:v>
      </x:c>
      <x:c r="I4162" s="382" t="n">
        <x:f>SUMIFS('Climate Data'!$H$7:$H$366,'Climate Data'!$A$7:$A$366,'Estimator'!$B$4,'Climate Data'!$B$7:$B$366,C4162)</x:f>
        <x:v>9.215384615384615</x:v>
      </x:c>
      <x:c r="J4162" s="381" t="n">
        <x:f>SUMIFS('Wind Proxy'!$H$8:$H$19,'Wind Proxy'!$A$8:$A$19,'Estimator'!$B$4,'Wind Proxy'!$B$8:$B$19,C4162)</x:f>
        <x:v>0.11350059737156513</x:v>
      </x:c>
    </x:row>
    <x:row r="4163">
      <x:c r="A4163" s="379" t="n">
        <x:v>49814</x:v>
      </x:c>
      <x:c r="B4163" s="380" t="n">
        <x:v>2036</x:v>
      </x:c>
      <x:c r="C4163" s="380" t="n">
        <x:v>5</x:v>
      </x:c>
      <x:c r="D4163" s="380" t="str">
        <x:v>May</x:v>
      </x:c>
      <x:c r="E4163" s="380" t="n">
        <x:v>19</x:v>
      </x:c>
      <x:c r="F4163" s="380" t="n">
        <x:v>1</x:v>
      </x:c>
      <x:c r="G4163" s="380" t="n">
        <x:f>--(F4163&lt;='Estimator'!$B$7)</x:f>
        <x:v>1</x:v>
      </x:c>
      <x:c r="H4163" s="381" t="n">
        <x:f>SUMIFS('Climate Data'!$G$7:$G$366,'Climate Data'!$A$7:$A$366,'Estimator'!$B$4,'Climate Data'!$B$7:$B$366,C4163)</x:f>
        <x:v>0.41935483870967744</x:v>
      </x:c>
      <x:c r="I4163" s="382" t="n">
        <x:f>SUMIFS('Climate Data'!$H$7:$H$366,'Climate Data'!$A$7:$A$366,'Estimator'!$B$4,'Climate Data'!$B$7:$B$366,C4163)</x:f>
        <x:v>9.215384615384615</x:v>
      </x:c>
      <x:c r="J4163" s="381" t="n">
        <x:f>SUMIFS('Wind Proxy'!$H$8:$H$19,'Wind Proxy'!$A$8:$A$19,'Estimator'!$B$4,'Wind Proxy'!$B$8:$B$19,C4163)</x:f>
        <x:v>0.11350059737156513</x:v>
      </x:c>
    </x:row>
    <x:row r="4164">
      <x:c r="A4164" s="379" t="n">
        <x:v>49815</x:v>
      </x:c>
      <x:c r="B4164" s="380" t="n">
        <x:v>2036</x:v>
      </x:c>
      <x:c r="C4164" s="380" t="n">
        <x:v>5</x:v>
      </x:c>
      <x:c r="D4164" s="380" t="str">
        <x:v>May</x:v>
      </x:c>
      <x:c r="E4164" s="380" t="n">
        <x:v>20</x:v>
      </x:c>
      <x:c r="F4164" s="380" t="n">
        <x:v>2</x:v>
      </x:c>
      <x:c r="G4164" s="380" t="n">
        <x:f>--(F4164&lt;='Estimator'!$B$7)</x:f>
        <x:v>1</x:v>
      </x:c>
      <x:c r="H4164" s="381" t="n">
        <x:f>SUMIFS('Climate Data'!$G$7:$G$366,'Climate Data'!$A$7:$A$366,'Estimator'!$B$4,'Climate Data'!$B$7:$B$366,C4164)</x:f>
        <x:v>0.41935483870967744</x:v>
      </x:c>
      <x:c r="I4164" s="382" t="n">
        <x:f>SUMIFS('Climate Data'!$H$7:$H$366,'Climate Data'!$A$7:$A$366,'Estimator'!$B$4,'Climate Data'!$B$7:$B$366,C4164)</x:f>
        <x:v>9.215384615384615</x:v>
      </x:c>
      <x:c r="J4164" s="381" t="n">
        <x:f>SUMIFS('Wind Proxy'!$H$8:$H$19,'Wind Proxy'!$A$8:$A$19,'Estimator'!$B$4,'Wind Proxy'!$B$8:$B$19,C4164)</x:f>
        <x:v>0.11350059737156513</x:v>
      </x:c>
    </x:row>
    <x:row r="4165">
      <x:c r="A4165" s="379" t="n">
        <x:v>49816</x:v>
      </x:c>
      <x:c r="B4165" s="380" t="n">
        <x:v>2036</x:v>
      </x:c>
      <x:c r="C4165" s="380" t="n">
        <x:v>5</x:v>
      </x:c>
      <x:c r="D4165" s="380" t="str">
        <x:v>May</x:v>
      </x:c>
      <x:c r="E4165" s="380" t="n">
        <x:v>21</x:v>
      </x:c>
      <x:c r="F4165" s="380" t="n">
        <x:v>3</x:v>
      </x:c>
      <x:c r="G4165" s="380" t="n">
        <x:f>--(F4165&lt;='Estimator'!$B$7)</x:f>
        <x:v>1</x:v>
      </x:c>
      <x:c r="H4165" s="381" t="n">
        <x:f>SUMIFS('Climate Data'!$G$7:$G$366,'Climate Data'!$A$7:$A$366,'Estimator'!$B$4,'Climate Data'!$B$7:$B$366,C4165)</x:f>
        <x:v>0.41935483870967744</x:v>
      </x:c>
      <x:c r="I4165" s="382" t="n">
        <x:f>SUMIFS('Climate Data'!$H$7:$H$366,'Climate Data'!$A$7:$A$366,'Estimator'!$B$4,'Climate Data'!$B$7:$B$366,C4165)</x:f>
        <x:v>9.215384615384615</x:v>
      </x:c>
      <x:c r="J4165" s="381" t="n">
        <x:f>SUMIFS('Wind Proxy'!$H$8:$H$19,'Wind Proxy'!$A$8:$A$19,'Estimator'!$B$4,'Wind Proxy'!$B$8:$B$19,C4165)</x:f>
        <x:v>0.11350059737156513</x:v>
      </x:c>
    </x:row>
    <x:row r="4166">
      <x:c r="A4166" s="379" t="n">
        <x:v>49817</x:v>
      </x:c>
      <x:c r="B4166" s="380" t="n">
        <x:v>2036</x:v>
      </x:c>
      <x:c r="C4166" s="380" t="n">
        <x:v>5</x:v>
      </x:c>
      <x:c r="D4166" s="380" t="str">
        <x:v>May</x:v>
      </x:c>
      <x:c r="E4166" s="380" t="n">
        <x:v>22</x:v>
      </x:c>
      <x:c r="F4166" s="380" t="n">
        <x:v>4</x:v>
      </x:c>
      <x:c r="G4166" s="380" t="n">
        <x:f>--(F4166&lt;='Estimator'!$B$7)</x:f>
        <x:v>1</x:v>
      </x:c>
      <x:c r="H4166" s="381" t="n">
        <x:f>SUMIFS('Climate Data'!$G$7:$G$366,'Climate Data'!$A$7:$A$366,'Estimator'!$B$4,'Climate Data'!$B$7:$B$366,C4166)</x:f>
        <x:v>0.41935483870967744</x:v>
      </x:c>
      <x:c r="I4166" s="382" t="n">
        <x:f>SUMIFS('Climate Data'!$H$7:$H$366,'Climate Data'!$A$7:$A$366,'Estimator'!$B$4,'Climate Data'!$B$7:$B$366,C4166)</x:f>
        <x:v>9.215384615384615</x:v>
      </x:c>
      <x:c r="J4166" s="381" t="n">
        <x:f>SUMIFS('Wind Proxy'!$H$8:$H$19,'Wind Proxy'!$A$8:$A$19,'Estimator'!$B$4,'Wind Proxy'!$B$8:$B$19,C4166)</x:f>
        <x:v>0.11350059737156513</x:v>
      </x:c>
    </x:row>
    <x:row r="4167">
      <x:c r="A4167" s="379" t="n">
        <x:v>49818</x:v>
      </x:c>
      <x:c r="B4167" s="380" t="n">
        <x:v>2036</x:v>
      </x:c>
      <x:c r="C4167" s="380" t="n">
        <x:v>5</x:v>
      </x:c>
      <x:c r="D4167" s="380" t="str">
        <x:v>May</x:v>
      </x:c>
      <x:c r="E4167" s="380" t="n">
        <x:v>23</x:v>
      </x:c>
      <x:c r="F4167" s="380" t="n">
        <x:v>5</x:v>
      </x:c>
      <x:c r="G4167" s="380" t="n">
        <x:f>--(F4167&lt;='Estimator'!$B$7)</x:f>
        <x:v>1</x:v>
      </x:c>
      <x:c r="H4167" s="381" t="n">
        <x:f>SUMIFS('Climate Data'!$G$7:$G$366,'Climate Data'!$A$7:$A$366,'Estimator'!$B$4,'Climate Data'!$B$7:$B$366,C4167)</x:f>
        <x:v>0.41935483870967744</x:v>
      </x:c>
      <x:c r="I4167" s="382" t="n">
        <x:f>SUMIFS('Climate Data'!$H$7:$H$366,'Climate Data'!$A$7:$A$366,'Estimator'!$B$4,'Climate Data'!$B$7:$B$366,C4167)</x:f>
        <x:v>9.215384615384615</x:v>
      </x:c>
      <x:c r="J4167" s="381" t="n">
        <x:f>SUMIFS('Wind Proxy'!$H$8:$H$19,'Wind Proxy'!$A$8:$A$19,'Estimator'!$B$4,'Wind Proxy'!$B$8:$B$19,C4167)</x:f>
        <x:v>0.11350059737156513</x:v>
      </x:c>
    </x:row>
    <x:row r="4168">
      <x:c r="A4168" s="379" t="n">
        <x:v>49819</x:v>
      </x:c>
      <x:c r="B4168" s="380" t="n">
        <x:v>2036</x:v>
      </x:c>
      <x:c r="C4168" s="380" t="n">
        <x:v>5</x:v>
      </x:c>
      <x:c r="D4168" s="380" t="str">
        <x:v>May</x:v>
      </x:c>
      <x:c r="E4168" s="380" t="n">
        <x:v>24</x:v>
      </x:c>
      <x:c r="F4168" s="380" t="n">
        <x:v>6</x:v>
      </x:c>
      <x:c r="G4168" s="380" t="n">
        <x:f>--(F4168&lt;='Estimator'!$B$7)</x:f>
        <x:v>0</x:v>
      </x:c>
      <x:c r="H4168" s="381" t="n">
        <x:f>SUMIFS('Climate Data'!$G$7:$G$366,'Climate Data'!$A$7:$A$366,'Estimator'!$B$4,'Climate Data'!$B$7:$B$366,C4168)</x:f>
        <x:v>0.41935483870967744</x:v>
      </x:c>
      <x:c r="I4168" s="382" t="n">
        <x:f>SUMIFS('Climate Data'!$H$7:$H$366,'Climate Data'!$A$7:$A$366,'Estimator'!$B$4,'Climate Data'!$B$7:$B$366,C4168)</x:f>
        <x:v>9.215384615384615</x:v>
      </x:c>
      <x:c r="J4168" s="381" t="n">
        <x:f>SUMIFS('Wind Proxy'!$H$8:$H$19,'Wind Proxy'!$A$8:$A$19,'Estimator'!$B$4,'Wind Proxy'!$B$8:$B$19,C4168)</x:f>
        <x:v>0.11350059737156513</x:v>
      </x:c>
    </x:row>
    <x:row r="4169">
      <x:c r="A4169" s="379" t="n">
        <x:v>49820</x:v>
      </x:c>
      <x:c r="B4169" s="380" t="n">
        <x:v>2036</x:v>
      </x:c>
      <x:c r="C4169" s="380" t="n">
        <x:v>5</x:v>
      </x:c>
      <x:c r="D4169" s="380" t="str">
        <x:v>May</x:v>
      </x:c>
      <x:c r="E4169" s="380" t="n">
        <x:v>25</x:v>
      </x:c>
      <x:c r="F4169" s="380" t="n">
        <x:v>7</x:v>
      </x:c>
      <x:c r="G4169" s="380" t="n">
        <x:f>--(F4169&lt;='Estimator'!$B$7)</x:f>
        <x:v>0</x:v>
      </x:c>
      <x:c r="H4169" s="381" t="n">
        <x:f>SUMIFS('Climate Data'!$G$7:$G$366,'Climate Data'!$A$7:$A$366,'Estimator'!$B$4,'Climate Data'!$B$7:$B$366,C4169)</x:f>
        <x:v>0.41935483870967744</x:v>
      </x:c>
      <x:c r="I4169" s="382" t="n">
        <x:f>SUMIFS('Climate Data'!$H$7:$H$366,'Climate Data'!$A$7:$A$366,'Estimator'!$B$4,'Climate Data'!$B$7:$B$366,C4169)</x:f>
        <x:v>9.215384615384615</x:v>
      </x:c>
      <x:c r="J4169" s="381" t="n">
        <x:f>SUMIFS('Wind Proxy'!$H$8:$H$19,'Wind Proxy'!$A$8:$A$19,'Estimator'!$B$4,'Wind Proxy'!$B$8:$B$19,C4169)</x:f>
        <x:v>0.11350059737156513</x:v>
      </x:c>
    </x:row>
    <x:row r="4170">
      <x:c r="A4170" s="379" t="n">
        <x:v>49821</x:v>
      </x:c>
      <x:c r="B4170" s="380" t="n">
        <x:v>2036</x:v>
      </x:c>
      <x:c r="C4170" s="380" t="n">
        <x:v>5</x:v>
      </x:c>
      <x:c r="D4170" s="380" t="str">
        <x:v>May</x:v>
      </x:c>
      <x:c r="E4170" s="380" t="n">
        <x:v>26</x:v>
      </x:c>
      <x:c r="F4170" s="380" t="n">
        <x:v>1</x:v>
      </x:c>
      <x:c r="G4170" s="380" t="n">
        <x:f>--(F4170&lt;='Estimator'!$B$7)</x:f>
        <x:v>1</x:v>
      </x:c>
      <x:c r="H4170" s="381" t="n">
        <x:f>SUMIFS('Climate Data'!$G$7:$G$366,'Climate Data'!$A$7:$A$366,'Estimator'!$B$4,'Climate Data'!$B$7:$B$366,C4170)</x:f>
        <x:v>0.41935483870967744</x:v>
      </x:c>
      <x:c r="I4170" s="382" t="n">
        <x:f>SUMIFS('Climate Data'!$H$7:$H$366,'Climate Data'!$A$7:$A$366,'Estimator'!$B$4,'Climate Data'!$B$7:$B$366,C4170)</x:f>
        <x:v>9.215384615384615</x:v>
      </x:c>
      <x:c r="J4170" s="381" t="n">
        <x:f>SUMIFS('Wind Proxy'!$H$8:$H$19,'Wind Proxy'!$A$8:$A$19,'Estimator'!$B$4,'Wind Proxy'!$B$8:$B$19,C4170)</x:f>
        <x:v>0.11350059737156513</x:v>
      </x:c>
    </x:row>
    <x:row r="4171">
      <x:c r="A4171" s="379" t="n">
        <x:v>49822</x:v>
      </x:c>
      <x:c r="B4171" s="380" t="n">
        <x:v>2036</x:v>
      </x:c>
      <x:c r="C4171" s="380" t="n">
        <x:v>5</x:v>
      </x:c>
      <x:c r="D4171" s="380" t="str">
        <x:v>May</x:v>
      </x:c>
      <x:c r="E4171" s="380" t="n">
        <x:v>27</x:v>
      </x:c>
      <x:c r="F4171" s="380" t="n">
        <x:v>2</x:v>
      </x:c>
      <x:c r="G4171" s="380" t="n">
        <x:f>--(F4171&lt;='Estimator'!$B$7)</x:f>
        <x:v>1</x:v>
      </x:c>
      <x:c r="H4171" s="381" t="n">
        <x:f>SUMIFS('Climate Data'!$G$7:$G$366,'Climate Data'!$A$7:$A$366,'Estimator'!$B$4,'Climate Data'!$B$7:$B$366,C4171)</x:f>
        <x:v>0.41935483870967744</x:v>
      </x:c>
      <x:c r="I4171" s="382" t="n">
        <x:f>SUMIFS('Climate Data'!$H$7:$H$366,'Climate Data'!$A$7:$A$366,'Estimator'!$B$4,'Climate Data'!$B$7:$B$366,C4171)</x:f>
        <x:v>9.215384615384615</x:v>
      </x:c>
      <x:c r="J4171" s="381" t="n">
        <x:f>SUMIFS('Wind Proxy'!$H$8:$H$19,'Wind Proxy'!$A$8:$A$19,'Estimator'!$B$4,'Wind Proxy'!$B$8:$B$19,C4171)</x:f>
        <x:v>0.11350059737156513</x:v>
      </x:c>
    </x:row>
    <x:row r="4172">
      <x:c r="A4172" s="379" t="n">
        <x:v>49823</x:v>
      </x:c>
      <x:c r="B4172" s="380" t="n">
        <x:v>2036</x:v>
      </x:c>
      <x:c r="C4172" s="380" t="n">
        <x:v>5</x:v>
      </x:c>
      <x:c r="D4172" s="380" t="str">
        <x:v>May</x:v>
      </x:c>
      <x:c r="E4172" s="380" t="n">
        <x:v>28</x:v>
      </x:c>
      <x:c r="F4172" s="380" t="n">
        <x:v>3</x:v>
      </x:c>
      <x:c r="G4172" s="380" t="n">
        <x:f>--(F4172&lt;='Estimator'!$B$7)</x:f>
        <x:v>1</x:v>
      </x:c>
      <x:c r="H4172" s="381" t="n">
        <x:f>SUMIFS('Climate Data'!$G$7:$G$366,'Climate Data'!$A$7:$A$366,'Estimator'!$B$4,'Climate Data'!$B$7:$B$366,C4172)</x:f>
        <x:v>0.41935483870967744</x:v>
      </x:c>
      <x:c r="I4172" s="382" t="n">
        <x:f>SUMIFS('Climate Data'!$H$7:$H$366,'Climate Data'!$A$7:$A$366,'Estimator'!$B$4,'Climate Data'!$B$7:$B$366,C4172)</x:f>
        <x:v>9.215384615384615</x:v>
      </x:c>
      <x:c r="J4172" s="381" t="n">
        <x:f>SUMIFS('Wind Proxy'!$H$8:$H$19,'Wind Proxy'!$A$8:$A$19,'Estimator'!$B$4,'Wind Proxy'!$B$8:$B$19,C4172)</x:f>
        <x:v>0.11350059737156513</x:v>
      </x:c>
    </x:row>
    <x:row r="4173">
      <x:c r="A4173" s="379" t="n">
        <x:v>49824</x:v>
      </x:c>
      <x:c r="B4173" s="380" t="n">
        <x:v>2036</x:v>
      </x:c>
      <x:c r="C4173" s="380" t="n">
        <x:v>5</x:v>
      </x:c>
      <x:c r="D4173" s="380" t="str">
        <x:v>May</x:v>
      </x:c>
      <x:c r="E4173" s="380" t="n">
        <x:v>29</x:v>
      </x:c>
      <x:c r="F4173" s="380" t="n">
        <x:v>4</x:v>
      </x:c>
      <x:c r="G4173" s="380" t="n">
        <x:f>--(F4173&lt;='Estimator'!$B$7)</x:f>
        <x:v>1</x:v>
      </x:c>
      <x:c r="H4173" s="381" t="n">
        <x:f>SUMIFS('Climate Data'!$G$7:$G$366,'Climate Data'!$A$7:$A$366,'Estimator'!$B$4,'Climate Data'!$B$7:$B$366,C4173)</x:f>
        <x:v>0.41935483870967744</x:v>
      </x:c>
      <x:c r="I4173" s="382" t="n">
        <x:f>SUMIFS('Climate Data'!$H$7:$H$366,'Climate Data'!$A$7:$A$366,'Estimator'!$B$4,'Climate Data'!$B$7:$B$366,C4173)</x:f>
        <x:v>9.215384615384615</x:v>
      </x:c>
      <x:c r="J4173" s="381" t="n">
        <x:f>SUMIFS('Wind Proxy'!$H$8:$H$19,'Wind Proxy'!$A$8:$A$19,'Estimator'!$B$4,'Wind Proxy'!$B$8:$B$19,C4173)</x:f>
        <x:v>0.11350059737156513</x:v>
      </x:c>
    </x:row>
    <x:row r="4174">
      <x:c r="A4174" s="379" t="n">
        <x:v>49825</x:v>
      </x:c>
      <x:c r="B4174" s="380" t="n">
        <x:v>2036</x:v>
      </x:c>
      <x:c r="C4174" s="380" t="n">
        <x:v>5</x:v>
      </x:c>
      <x:c r="D4174" s="380" t="str">
        <x:v>May</x:v>
      </x:c>
      <x:c r="E4174" s="380" t="n">
        <x:v>30</x:v>
      </x:c>
      <x:c r="F4174" s="380" t="n">
        <x:v>5</x:v>
      </x:c>
      <x:c r="G4174" s="380" t="n">
        <x:f>--(F4174&lt;='Estimator'!$B$7)</x:f>
        <x:v>1</x:v>
      </x:c>
      <x:c r="H4174" s="381" t="n">
        <x:f>SUMIFS('Climate Data'!$G$7:$G$366,'Climate Data'!$A$7:$A$366,'Estimator'!$B$4,'Climate Data'!$B$7:$B$366,C4174)</x:f>
        <x:v>0.41935483870967744</x:v>
      </x:c>
      <x:c r="I4174" s="382" t="n">
        <x:f>SUMIFS('Climate Data'!$H$7:$H$366,'Climate Data'!$A$7:$A$366,'Estimator'!$B$4,'Climate Data'!$B$7:$B$366,C4174)</x:f>
        <x:v>9.215384615384615</x:v>
      </x:c>
      <x:c r="J4174" s="381" t="n">
        <x:f>SUMIFS('Wind Proxy'!$H$8:$H$19,'Wind Proxy'!$A$8:$A$19,'Estimator'!$B$4,'Wind Proxy'!$B$8:$B$19,C4174)</x:f>
        <x:v>0.11350059737156513</x:v>
      </x:c>
    </x:row>
    <x:row r="4175">
      <x:c r="A4175" s="379" t="n">
        <x:v>49826</x:v>
      </x:c>
      <x:c r="B4175" s="380" t="n">
        <x:v>2036</x:v>
      </x:c>
      <x:c r="C4175" s="380" t="n">
        <x:v>5</x:v>
      </x:c>
      <x:c r="D4175" s="380" t="str">
        <x:v>May</x:v>
      </x:c>
      <x:c r="E4175" s="380" t="n">
        <x:v>31</x:v>
      </x:c>
      <x:c r="F4175" s="380" t="n">
        <x:v>6</x:v>
      </x:c>
      <x:c r="G4175" s="380" t="n">
        <x:f>--(F4175&lt;='Estimator'!$B$7)</x:f>
        <x:v>0</x:v>
      </x:c>
      <x:c r="H4175" s="381" t="n">
        <x:f>SUMIFS('Climate Data'!$G$7:$G$366,'Climate Data'!$A$7:$A$366,'Estimator'!$B$4,'Climate Data'!$B$7:$B$366,C4175)</x:f>
        <x:v>0.41935483870967744</x:v>
      </x:c>
      <x:c r="I4175" s="382" t="n">
        <x:f>SUMIFS('Climate Data'!$H$7:$H$366,'Climate Data'!$A$7:$A$366,'Estimator'!$B$4,'Climate Data'!$B$7:$B$366,C4175)</x:f>
        <x:v>9.215384615384615</x:v>
      </x:c>
      <x:c r="J4175" s="381" t="n">
        <x:f>SUMIFS('Wind Proxy'!$H$8:$H$19,'Wind Proxy'!$A$8:$A$19,'Estimator'!$B$4,'Wind Proxy'!$B$8:$B$19,C4175)</x:f>
        <x:v>0.11350059737156513</x:v>
      </x:c>
    </x:row>
    <x:row r="4176">
      <x:c r="A4176" s="379" t="n">
        <x:v>49827</x:v>
      </x:c>
      <x:c r="B4176" s="380" t="n">
        <x:v>2036</x:v>
      </x:c>
      <x:c r="C4176" s="380" t="n">
        <x:v>6</x:v>
      </x:c>
      <x:c r="D4176" s="380" t="str">
        <x:v>Jun</x:v>
      </x:c>
      <x:c r="E4176" s="380" t="n">
        <x:v>1</x:v>
      </x:c>
      <x:c r="F4176" s="380" t="n">
        <x:v>7</x:v>
      </x:c>
      <x:c r="G4176" s="380" t="n">
        <x:f>--(F4176&lt;='Estimator'!$B$7)</x:f>
        <x:v>0</x:v>
      </x:c>
      <x:c r="H4176" s="381" t="n">
        <x:f>SUMIFS('Climate Data'!$G$7:$G$366,'Climate Data'!$A$7:$A$366,'Estimator'!$B$4,'Climate Data'!$B$7:$B$366,C4176)</x:f>
        <x:v>0.475</x:v>
      </x:c>
      <x:c r="I4176" s="382" t="n">
        <x:f>SUMIFS('Climate Data'!$H$7:$H$366,'Climate Data'!$A$7:$A$366,'Estimator'!$B$4,'Climate Data'!$B$7:$B$366,C4176)</x:f>
        <x:v>8.378947368421054</x:v>
      </x:c>
      <x:c r="J4176" s="381" t="n">
        <x:f>SUMIFS('Wind Proxy'!$H$8:$H$19,'Wind Proxy'!$A$8:$A$19,'Estimator'!$B$4,'Wind Proxy'!$B$8:$B$19,C4176)</x:f>
        <x:v>0.14197530864197533</x:v>
      </x:c>
    </x:row>
    <x:row r="4177">
      <x:c r="A4177" s="379" t="n">
        <x:v>49828</x:v>
      </x:c>
      <x:c r="B4177" s="380" t="n">
        <x:v>2036</x:v>
      </x:c>
      <x:c r="C4177" s="380" t="n">
        <x:v>6</x:v>
      </x:c>
      <x:c r="D4177" s="380" t="str">
        <x:v>Jun</x:v>
      </x:c>
      <x:c r="E4177" s="380" t="n">
        <x:v>2</x:v>
      </x:c>
      <x:c r="F4177" s="380" t="n">
        <x:v>1</x:v>
      </x:c>
      <x:c r="G4177" s="380" t="n">
        <x:f>--(F4177&lt;='Estimator'!$B$7)</x:f>
        <x:v>1</x:v>
      </x:c>
      <x:c r="H4177" s="381" t="n">
        <x:f>SUMIFS('Climate Data'!$G$7:$G$366,'Climate Data'!$A$7:$A$366,'Estimator'!$B$4,'Climate Data'!$B$7:$B$366,C4177)</x:f>
        <x:v>0.475</x:v>
      </x:c>
      <x:c r="I4177" s="382" t="n">
        <x:f>SUMIFS('Climate Data'!$H$7:$H$366,'Climate Data'!$A$7:$A$366,'Estimator'!$B$4,'Climate Data'!$B$7:$B$366,C4177)</x:f>
        <x:v>8.378947368421054</x:v>
      </x:c>
      <x:c r="J4177" s="381" t="n">
        <x:f>SUMIFS('Wind Proxy'!$H$8:$H$19,'Wind Proxy'!$A$8:$A$19,'Estimator'!$B$4,'Wind Proxy'!$B$8:$B$19,C4177)</x:f>
        <x:v>0.14197530864197533</x:v>
      </x:c>
    </x:row>
    <x:row r="4178">
      <x:c r="A4178" s="379" t="n">
        <x:v>49829</x:v>
      </x:c>
      <x:c r="B4178" s="380" t="n">
        <x:v>2036</x:v>
      </x:c>
      <x:c r="C4178" s="380" t="n">
        <x:v>6</x:v>
      </x:c>
      <x:c r="D4178" s="380" t="str">
        <x:v>Jun</x:v>
      </x:c>
      <x:c r="E4178" s="380" t="n">
        <x:v>3</x:v>
      </x:c>
      <x:c r="F4178" s="380" t="n">
        <x:v>2</x:v>
      </x:c>
      <x:c r="G4178" s="380" t="n">
        <x:f>--(F4178&lt;='Estimator'!$B$7)</x:f>
        <x:v>1</x:v>
      </x:c>
      <x:c r="H4178" s="381" t="n">
        <x:f>SUMIFS('Climate Data'!$G$7:$G$366,'Climate Data'!$A$7:$A$366,'Estimator'!$B$4,'Climate Data'!$B$7:$B$366,C4178)</x:f>
        <x:v>0.475</x:v>
      </x:c>
      <x:c r="I4178" s="382" t="n">
        <x:f>SUMIFS('Climate Data'!$H$7:$H$366,'Climate Data'!$A$7:$A$366,'Estimator'!$B$4,'Climate Data'!$B$7:$B$366,C4178)</x:f>
        <x:v>8.378947368421054</x:v>
      </x:c>
      <x:c r="J4178" s="381" t="n">
        <x:f>SUMIFS('Wind Proxy'!$H$8:$H$19,'Wind Proxy'!$A$8:$A$19,'Estimator'!$B$4,'Wind Proxy'!$B$8:$B$19,C4178)</x:f>
        <x:v>0.14197530864197533</x:v>
      </x:c>
    </x:row>
    <x:row r="4179">
      <x:c r="A4179" s="379" t="n">
        <x:v>49830</x:v>
      </x:c>
      <x:c r="B4179" s="380" t="n">
        <x:v>2036</x:v>
      </x:c>
      <x:c r="C4179" s="380" t="n">
        <x:v>6</x:v>
      </x:c>
      <x:c r="D4179" s="380" t="str">
        <x:v>Jun</x:v>
      </x:c>
      <x:c r="E4179" s="380" t="n">
        <x:v>4</x:v>
      </x:c>
      <x:c r="F4179" s="380" t="n">
        <x:v>3</x:v>
      </x:c>
      <x:c r="G4179" s="380" t="n">
        <x:f>--(F4179&lt;='Estimator'!$B$7)</x:f>
        <x:v>1</x:v>
      </x:c>
      <x:c r="H4179" s="381" t="n">
        <x:f>SUMIFS('Climate Data'!$G$7:$G$366,'Climate Data'!$A$7:$A$366,'Estimator'!$B$4,'Climate Data'!$B$7:$B$366,C4179)</x:f>
        <x:v>0.475</x:v>
      </x:c>
      <x:c r="I4179" s="382" t="n">
        <x:f>SUMIFS('Climate Data'!$H$7:$H$366,'Climate Data'!$A$7:$A$366,'Estimator'!$B$4,'Climate Data'!$B$7:$B$366,C4179)</x:f>
        <x:v>8.378947368421054</x:v>
      </x:c>
      <x:c r="J4179" s="381" t="n">
        <x:f>SUMIFS('Wind Proxy'!$H$8:$H$19,'Wind Proxy'!$A$8:$A$19,'Estimator'!$B$4,'Wind Proxy'!$B$8:$B$19,C4179)</x:f>
        <x:v>0.14197530864197533</x:v>
      </x:c>
    </x:row>
    <x:row r="4180">
      <x:c r="A4180" s="379" t="n">
        <x:v>49831</x:v>
      </x:c>
      <x:c r="B4180" s="380" t="n">
        <x:v>2036</x:v>
      </x:c>
      <x:c r="C4180" s="380" t="n">
        <x:v>6</x:v>
      </x:c>
      <x:c r="D4180" s="380" t="str">
        <x:v>Jun</x:v>
      </x:c>
      <x:c r="E4180" s="380" t="n">
        <x:v>5</x:v>
      </x:c>
      <x:c r="F4180" s="380" t="n">
        <x:v>4</x:v>
      </x:c>
      <x:c r="G4180" s="380" t="n">
        <x:f>--(F4180&lt;='Estimator'!$B$7)</x:f>
        <x:v>1</x:v>
      </x:c>
      <x:c r="H4180" s="381" t="n">
        <x:f>SUMIFS('Climate Data'!$G$7:$G$366,'Climate Data'!$A$7:$A$366,'Estimator'!$B$4,'Climate Data'!$B$7:$B$366,C4180)</x:f>
        <x:v>0.475</x:v>
      </x:c>
      <x:c r="I4180" s="382" t="n">
        <x:f>SUMIFS('Climate Data'!$H$7:$H$366,'Climate Data'!$A$7:$A$366,'Estimator'!$B$4,'Climate Data'!$B$7:$B$366,C4180)</x:f>
        <x:v>8.378947368421054</x:v>
      </x:c>
      <x:c r="J4180" s="381" t="n">
        <x:f>SUMIFS('Wind Proxy'!$H$8:$H$19,'Wind Proxy'!$A$8:$A$19,'Estimator'!$B$4,'Wind Proxy'!$B$8:$B$19,C4180)</x:f>
        <x:v>0.14197530864197533</x:v>
      </x:c>
    </x:row>
    <x:row r="4181">
      <x:c r="A4181" s="379" t="n">
        <x:v>49832</x:v>
      </x:c>
      <x:c r="B4181" s="380" t="n">
        <x:v>2036</x:v>
      </x:c>
      <x:c r="C4181" s="380" t="n">
        <x:v>6</x:v>
      </x:c>
      <x:c r="D4181" s="380" t="str">
        <x:v>Jun</x:v>
      </x:c>
      <x:c r="E4181" s="380" t="n">
        <x:v>6</x:v>
      </x:c>
      <x:c r="F4181" s="380" t="n">
        <x:v>5</x:v>
      </x:c>
      <x:c r="G4181" s="380" t="n">
        <x:f>--(F4181&lt;='Estimator'!$B$7)</x:f>
        <x:v>1</x:v>
      </x:c>
      <x:c r="H4181" s="381" t="n">
        <x:f>SUMIFS('Climate Data'!$G$7:$G$366,'Climate Data'!$A$7:$A$366,'Estimator'!$B$4,'Climate Data'!$B$7:$B$366,C4181)</x:f>
        <x:v>0.475</x:v>
      </x:c>
      <x:c r="I4181" s="382" t="n">
        <x:f>SUMIFS('Climate Data'!$H$7:$H$366,'Climate Data'!$A$7:$A$366,'Estimator'!$B$4,'Climate Data'!$B$7:$B$366,C4181)</x:f>
        <x:v>8.378947368421054</x:v>
      </x:c>
      <x:c r="J4181" s="381" t="n">
        <x:f>SUMIFS('Wind Proxy'!$H$8:$H$19,'Wind Proxy'!$A$8:$A$19,'Estimator'!$B$4,'Wind Proxy'!$B$8:$B$19,C4181)</x:f>
        <x:v>0.14197530864197533</x:v>
      </x:c>
    </x:row>
    <x:row r="4182">
      <x:c r="A4182" s="379" t="n">
        <x:v>49833</x:v>
      </x:c>
      <x:c r="B4182" s="380" t="n">
        <x:v>2036</x:v>
      </x:c>
      <x:c r="C4182" s="380" t="n">
        <x:v>6</x:v>
      </x:c>
      <x:c r="D4182" s="380" t="str">
        <x:v>Jun</x:v>
      </x:c>
      <x:c r="E4182" s="380" t="n">
        <x:v>7</x:v>
      </x:c>
      <x:c r="F4182" s="380" t="n">
        <x:v>6</x:v>
      </x:c>
      <x:c r="G4182" s="380" t="n">
        <x:f>--(F4182&lt;='Estimator'!$B$7)</x:f>
        <x:v>0</x:v>
      </x:c>
      <x:c r="H4182" s="381" t="n">
        <x:f>SUMIFS('Climate Data'!$G$7:$G$366,'Climate Data'!$A$7:$A$366,'Estimator'!$B$4,'Climate Data'!$B$7:$B$366,C4182)</x:f>
        <x:v>0.475</x:v>
      </x:c>
      <x:c r="I4182" s="382" t="n">
        <x:f>SUMIFS('Climate Data'!$H$7:$H$366,'Climate Data'!$A$7:$A$366,'Estimator'!$B$4,'Climate Data'!$B$7:$B$366,C4182)</x:f>
        <x:v>8.378947368421054</x:v>
      </x:c>
      <x:c r="J4182" s="381" t="n">
        <x:f>SUMIFS('Wind Proxy'!$H$8:$H$19,'Wind Proxy'!$A$8:$A$19,'Estimator'!$B$4,'Wind Proxy'!$B$8:$B$19,C4182)</x:f>
        <x:v>0.14197530864197533</x:v>
      </x:c>
    </x:row>
    <x:row r="4183">
      <x:c r="A4183" s="379" t="n">
        <x:v>49834</x:v>
      </x:c>
      <x:c r="B4183" s="380" t="n">
        <x:v>2036</x:v>
      </x:c>
      <x:c r="C4183" s="380" t="n">
        <x:v>6</x:v>
      </x:c>
      <x:c r="D4183" s="380" t="str">
        <x:v>Jun</x:v>
      </x:c>
      <x:c r="E4183" s="380" t="n">
        <x:v>8</x:v>
      </x:c>
      <x:c r="F4183" s="380" t="n">
        <x:v>7</x:v>
      </x:c>
      <x:c r="G4183" s="380" t="n">
        <x:f>--(F4183&lt;='Estimator'!$B$7)</x:f>
        <x:v>0</x:v>
      </x:c>
      <x:c r="H4183" s="381" t="n">
        <x:f>SUMIFS('Climate Data'!$G$7:$G$366,'Climate Data'!$A$7:$A$366,'Estimator'!$B$4,'Climate Data'!$B$7:$B$366,C4183)</x:f>
        <x:v>0.475</x:v>
      </x:c>
      <x:c r="I4183" s="382" t="n">
        <x:f>SUMIFS('Climate Data'!$H$7:$H$366,'Climate Data'!$A$7:$A$366,'Estimator'!$B$4,'Climate Data'!$B$7:$B$366,C4183)</x:f>
        <x:v>8.378947368421054</x:v>
      </x:c>
      <x:c r="J4183" s="381" t="n">
        <x:f>SUMIFS('Wind Proxy'!$H$8:$H$19,'Wind Proxy'!$A$8:$A$19,'Estimator'!$B$4,'Wind Proxy'!$B$8:$B$19,C4183)</x:f>
        <x:v>0.14197530864197533</x:v>
      </x:c>
    </x:row>
    <x:row r="4184">
      <x:c r="A4184" s="379" t="n">
        <x:v>49835</x:v>
      </x:c>
      <x:c r="B4184" s="380" t="n">
        <x:v>2036</x:v>
      </x:c>
      <x:c r="C4184" s="380" t="n">
        <x:v>6</x:v>
      </x:c>
      <x:c r="D4184" s="380" t="str">
        <x:v>Jun</x:v>
      </x:c>
      <x:c r="E4184" s="380" t="n">
        <x:v>9</x:v>
      </x:c>
      <x:c r="F4184" s="380" t="n">
        <x:v>1</x:v>
      </x:c>
      <x:c r="G4184" s="380" t="n">
        <x:f>--(F4184&lt;='Estimator'!$B$7)</x:f>
        <x:v>1</x:v>
      </x:c>
      <x:c r="H4184" s="381" t="n">
        <x:f>SUMIFS('Climate Data'!$G$7:$G$366,'Climate Data'!$A$7:$A$366,'Estimator'!$B$4,'Climate Data'!$B$7:$B$366,C4184)</x:f>
        <x:v>0.475</x:v>
      </x:c>
      <x:c r="I4184" s="382" t="n">
        <x:f>SUMIFS('Climate Data'!$H$7:$H$366,'Climate Data'!$A$7:$A$366,'Estimator'!$B$4,'Climate Data'!$B$7:$B$366,C4184)</x:f>
        <x:v>8.378947368421054</x:v>
      </x:c>
      <x:c r="J4184" s="381" t="n">
        <x:f>SUMIFS('Wind Proxy'!$H$8:$H$19,'Wind Proxy'!$A$8:$A$19,'Estimator'!$B$4,'Wind Proxy'!$B$8:$B$19,C4184)</x:f>
        <x:v>0.14197530864197533</x:v>
      </x:c>
    </x:row>
    <x:row r="4185">
      <x:c r="A4185" s="379" t="n">
        <x:v>49836</x:v>
      </x:c>
      <x:c r="B4185" s="380" t="n">
        <x:v>2036</x:v>
      </x:c>
      <x:c r="C4185" s="380" t="n">
        <x:v>6</x:v>
      </x:c>
      <x:c r="D4185" s="380" t="str">
        <x:v>Jun</x:v>
      </x:c>
      <x:c r="E4185" s="380" t="n">
        <x:v>10</x:v>
      </x:c>
      <x:c r="F4185" s="380" t="n">
        <x:v>2</x:v>
      </x:c>
      <x:c r="G4185" s="380" t="n">
        <x:f>--(F4185&lt;='Estimator'!$B$7)</x:f>
        <x:v>1</x:v>
      </x:c>
      <x:c r="H4185" s="381" t="n">
        <x:f>SUMIFS('Climate Data'!$G$7:$G$366,'Climate Data'!$A$7:$A$366,'Estimator'!$B$4,'Climate Data'!$B$7:$B$366,C4185)</x:f>
        <x:v>0.475</x:v>
      </x:c>
      <x:c r="I4185" s="382" t="n">
        <x:f>SUMIFS('Climate Data'!$H$7:$H$366,'Climate Data'!$A$7:$A$366,'Estimator'!$B$4,'Climate Data'!$B$7:$B$366,C4185)</x:f>
        <x:v>8.378947368421054</x:v>
      </x:c>
      <x:c r="J4185" s="381" t="n">
        <x:f>SUMIFS('Wind Proxy'!$H$8:$H$19,'Wind Proxy'!$A$8:$A$19,'Estimator'!$B$4,'Wind Proxy'!$B$8:$B$19,C4185)</x:f>
        <x:v>0.14197530864197533</x:v>
      </x:c>
    </x:row>
    <x:row r="4186">
      <x:c r="A4186" s="379" t="n">
        <x:v>49837</x:v>
      </x:c>
      <x:c r="B4186" s="380" t="n">
        <x:v>2036</x:v>
      </x:c>
      <x:c r="C4186" s="380" t="n">
        <x:v>6</x:v>
      </x:c>
      <x:c r="D4186" s="380" t="str">
        <x:v>Jun</x:v>
      </x:c>
      <x:c r="E4186" s="380" t="n">
        <x:v>11</x:v>
      </x:c>
      <x:c r="F4186" s="380" t="n">
        <x:v>3</x:v>
      </x:c>
      <x:c r="G4186" s="380" t="n">
        <x:f>--(F4186&lt;='Estimator'!$B$7)</x:f>
        <x:v>1</x:v>
      </x:c>
      <x:c r="H4186" s="381" t="n">
        <x:f>SUMIFS('Climate Data'!$G$7:$G$366,'Climate Data'!$A$7:$A$366,'Estimator'!$B$4,'Climate Data'!$B$7:$B$366,C4186)</x:f>
        <x:v>0.475</x:v>
      </x:c>
      <x:c r="I4186" s="382" t="n">
        <x:f>SUMIFS('Climate Data'!$H$7:$H$366,'Climate Data'!$A$7:$A$366,'Estimator'!$B$4,'Climate Data'!$B$7:$B$366,C4186)</x:f>
        <x:v>8.378947368421054</x:v>
      </x:c>
      <x:c r="J4186" s="381" t="n">
        <x:f>SUMIFS('Wind Proxy'!$H$8:$H$19,'Wind Proxy'!$A$8:$A$19,'Estimator'!$B$4,'Wind Proxy'!$B$8:$B$19,C4186)</x:f>
        <x:v>0.14197530864197533</x:v>
      </x:c>
    </x:row>
    <x:row r="4187">
      <x:c r="A4187" s="379" t="n">
        <x:v>49838</x:v>
      </x:c>
      <x:c r="B4187" s="380" t="n">
        <x:v>2036</x:v>
      </x:c>
      <x:c r="C4187" s="380" t="n">
        <x:v>6</x:v>
      </x:c>
      <x:c r="D4187" s="380" t="str">
        <x:v>Jun</x:v>
      </x:c>
      <x:c r="E4187" s="380" t="n">
        <x:v>12</x:v>
      </x:c>
      <x:c r="F4187" s="380" t="n">
        <x:v>4</x:v>
      </x:c>
      <x:c r="G4187" s="380" t="n">
        <x:f>--(F4187&lt;='Estimator'!$B$7)</x:f>
        <x:v>1</x:v>
      </x:c>
      <x:c r="H4187" s="381" t="n">
        <x:f>SUMIFS('Climate Data'!$G$7:$G$366,'Climate Data'!$A$7:$A$366,'Estimator'!$B$4,'Climate Data'!$B$7:$B$366,C4187)</x:f>
        <x:v>0.475</x:v>
      </x:c>
      <x:c r="I4187" s="382" t="n">
        <x:f>SUMIFS('Climate Data'!$H$7:$H$366,'Climate Data'!$A$7:$A$366,'Estimator'!$B$4,'Climate Data'!$B$7:$B$366,C4187)</x:f>
        <x:v>8.378947368421054</x:v>
      </x:c>
      <x:c r="J4187" s="381" t="n">
        <x:f>SUMIFS('Wind Proxy'!$H$8:$H$19,'Wind Proxy'!$A$8:$A$19,'Estimator'!$B$4,'Wind Proxy'!$B$8:$B$19,C4187)</x:f>
        <x:v>0.14197530864197533</x:v>
      </x:c>
    </x:row>
    <x:row r="4188">
      <x:c r="A4188" s="379" t="n">
        <x:v>49839</x:v>
      </x:c>
      <x:c r="B4188" s="380" t="n">
        <x:v>2036</x:v>
      </x:c>
      <x:c r="C4188" s="380" t="n">
        <x:v>6</x:v>
      </x:c>
      <x:c r="D4188" s="380" t="str">
        <x:v>Jun</x:v>
      </x:c>
      <x:c r="E4188" s="380" t="n">
        <x:v>13</x:v>
      </x:c>
      <x:c r="F4188" s="380" t="n">
        <x:v>5</x:v>
      </x:c>
      <x:c r="G4188" s="380" t="n">
        <x:f>--(F4188&lt;='Estimator'!$B$7)</x:f>
        <x:v>1</x:v>
      </x:c>
      <x:c r="H4188" s="381" t="n">
        <x:f>SUMIFS('Climate Data'!$G$7:$G$366,'Climate Data'!$A$7:$A$366,'Estimator'!$B$4,'Climate Data'!$B$7:$B$366,C4188)</x:f>
        <x:v>0.475</x:v>
      </x:c>
      <x:c r="I4188" s="382" t="n">
        <x:f>SUMIFS('Climate Data'!$H$7:$H$366,'Climate Data'!$A$7:$A$366,'Estimator'!$B$4,'Climate Data'!$B$7:$B$366,C4188)</x:f>
        <x:v>8.378947368421054</x:v>
      </x:c>
      <x:c r="J4188" s="381" t="n">
        <x:f>SUMIFS('Wind Proxy'!$H$8:$H$19,'Wind Proxy'!$A$8:$A$19,'Estimator'!$B$4,'Wind Proxy'!$B$8:$B$19,C4188)</x:f>
        <x:v>0.14197530864197533</x:v>
      </x:c>
    </x:row>
    <x:row r="4189">
      <x:c r="A4189" s="379" t="n">
        <x:v>49840</x:v>
      </x:c>
      <x:c r="B4189" s="380" t="n">
        <x:v>2036</x:v>
      </x:c>
      <x:c r="C4189" s="380" t="n">
        <x:v>6</x:v>
      </x:c>
      <x:c r="D4189" s="380" t="str">
        <x:v>Jun</x:v>
      </x:c>
      <x:c r="E4189" s="380" t="n">
        <x:v>14</x:v>
      </x:c>
      <x:c r="F4189" s="380" t="n">
        <x:v>6</x:v>
      </x:c>
      <x:c r="G4189" s="380" t="n">
        <x:f>--(F4189&lt;='Estimator'!$B$7)</x:f>
        <x:v>0</x:v>
      </x:c>
      <x:c r="H4189" s="381" t="n">
        <x:f>SUMIFS('Climate Data'!$G$7:$G$366,'Climate Data'!$A$7:$A$366,'Estimator'!$B$4,'Climate Data'!$B$7:$B$366,C4189)</x:f>
        <x:v>0.475</x:v>
      </x:c>
      <x:c r="I4189" s="382" t="n">
        <x:f>SUMIFS('Climate Data'!$H$7:$H$366,'Climate Data'!$A$7:$A$366,'Estimator'!$B$4,'Climate Data'!$B$7:$B$366,C4189)</x:f>
        <x:v>8.378947368421054</x:v>
      </x:c>
      <x:c r="J4189" s="381" t="n">
        <x:f>SUMIFS('Wind Proxy'!$H$8:$H$19,'Wind Proxy'!$A$8:$A$19,'Estimator'!$B$4,'Wind Proxy'!$B$8:$B$19,C4189)</x:f>
        <x:v>0.14197530864197533</x:v>
      </x:c>
    </x:row>
    <x:row r="4190">
      <x:c r="A4190" s="379" t="n">
        <x:v>49841</x:v>
      </x:c>
      <x:c r="B4190" s="380" t="n">
        <x:v>2036</x:v>
      </x:c>
      <x:c r="C4190" s="380" t="n">
        <x:v>6</x:v>
      </x:c>
      <x:c r="D4190" s="380" t="str">
        <x:v>Jun</x:v>
      </x:c>
      <x:c r="E4190" s="380" t="n">
        <x:v>15</x:v>
      </x:c>
      <x:c r="F4190" s="380" t="n">
        <x:v>7</x:v>
      </x:c>
      <x:c r="G4190" s="380" t="n">
        <x:f>--(F4190&lt;='Estimator'!$B$7)</x:f>
        <x:v>0</x:v>
      </x:c>
      <x:c r="H4190" s="381" t="n">
        <x:f>SUMIFS('Climate Data'!$G$7:$G$366,'Climate Data'!$A$7:$A$366,'Estimator'!$B$4,'Climate Data'!$B$7:$B$366,C4190)</x:f>
        <x:v>0.475</x:v>
      </x:c>
      <x:c r="I4190" s="382" t="n">
        <x:f>SUMIFS('Climate Data'!$H$7:$H$366,'Climate Data'!$A$7:$A$366,'Estimator'!$B$4,'Climate Data'!$B$7:$B$366,C4190)</x:f>
        <x:v>8.378947368421054</x:v>
      </x:c>
      <x:c r="J4190" s="381" t="n">
        <x:f>SUMIFS('Wind Proxy'!$H$8:$H$19,'Wind Proxy'!$A$8:$A$19,'Estimator'!$B$4,'Wind Proxy'!$B$8:$B$19,C4190)</x:f>
        <x:v>0.14197530864197533</x:v>
      </x:c>
    </x:row>
    <x:row r="4191">
      <x:c r="A4191" s="379" t="n">
        <x:v>49842</x:v>
      </x:c>
      <x:c r="B4191" s="380" t="n">
        <x:v>2036</x:v>
      </x:c>
      <x:c r="C4191" s="380" t="n">
        <x:v>6</x:v>
      </x:c>
      <x:c r="D4191" s="380" t="str">
        <x:v>Jun</x:v>
      </x:c>
      <x:c r="E4191" s="380" t="n">
        <x:v>16</x:v>
      </x:c>
      <x:c r="F4191" s="380" t="n">
        <x:v>1</x:v>
      </x:c>
      <x:c r="G4191" s="380" t="n">
        <x:f>--(F4191&lt;='Estimator'!$B$7)</x:f>
        <x:v>1</x:v>
      </x:c>
      <x:c r="H4191" s="381" t="n">
        <x:f>SUMIFS('Climate Data'!$G$7:$G$366,'Climate Data'!$A$7:$A$366,'Estimator'!$B$4,'Climate Data'!$B$7:$B$366,C4191)</x:f>
        <x:v>0.475</x:v>
      </x:c>
      <x:c r="I4191" s="382" t="n">
        <x:f>SUMIFS('Climate Data'!$H$7:$H$366,'Climate Data'!$A$7:$A$366,'Estimator'!$B$4,'Climate Data'!$B$7:$B$366,C4191)</x:f>
        <x:v>8.378947368421054</x:v>
      </x:c>
      <x:c r="J4191" s="381" t="n">
        <x:f>SUMIFS('Wind Proxy'!$H$8:$H$19,'Wind Proxy'!$A$8:$A$19,'Estimator'!$B$4,'Wind Proxy'!$B$8:$B$19,C4191)</x:f>
        <x:v>0.14197530864197533</x:v>
      </x:c>
    </x:row>
    <x:row r="4192">
      <x:c r="A4192" s="379" t="n">
        <x:v>49843</x:v>
      </x:c>
      <x:c r="B4192" s="380" t="n">
        <x:v>2036</x:v>
      </x:c>
      <x:c r="C4192" s="380" t="n">
        <x:v>6</x:v>
      </x:c>
      <x:c r="D4192" s="380" t="str">
        <x:v>Jun</x:v>
      </x:c>
      <x:c r="E4192" s="380" t="n">
        <x:v>17</x:v>
      </x:c>
      <x:c r="F4192" s="380" t="n">
        <x:v>2</x:v>
      </x:c>
      <x:c r="G4192" s="380" t="n">
        <x:f>--(F4192&lt;='Estimator'!$B$7)</x:f>
        <x:v>1</x:v>
      </x:c>
      <x:c r="H4192" s="381" t="n">
        <x:f>SUMIFS('Climate Data'!$G$7:$G$366,'Climate Data'!$A$7:$A$366,'Estimator'!$B$4,'Climate Data'!$B$7:$B$366,C4192)</x:f>
        <x:v>0.475</x:v>
      </x:c>
      <x:c r="I4192" s="382" t="n">
        <x:f>SUMIFS('Climate Data'!$H$7:$H$366,'Climate Data'!$A$7:$A$366,'Estimator'!$B$4,'Climate Data'!$B$7:$B$366,C4192)</x:f>
        <x:v>8.378947368421054</x:v>
      </x:c>
      <x:c r="J4192" s="381" t="n">
        <x:f>SUMIFS('Wind Proxy'!$H$8:$H$19,'Wind Proxy'!$A$8:$A$19,'Estimator'!$B$4,'Wind Proxy'!$B$8:$B$19,C4192)</x:f>
        <x:v>0.14197530864197533</x:v>
      </x:c>
    </x:row>
    <x:row r="4193">
      <x:c r="A4193" s="379" t="n">
        <x:v>49844</x:v>
      </x:c>
      <x:c r="B4193" s="380" t="n">
        <x:v>2036</x:v>
      </x:c>
      <x:c r="C4193" s="380" t="n">
        <x:v>6</x:v>
      </x:c>
      <x:c r="D4193" s="380" t="str">
        <x:v>Jun</x:v>
      </x:c>
      <x:c r="E4193" s="380" t="n">
        <x:v>18</x:v>
      </x:c>
      <x:c r="F4193" s="380" t="n">
        <x:v>3</x:v>
      </x:c>
      <x:c r="G4193" s="380" t="n">
        <x:f>--(F4193&lt;='Estimator'!$B$7)</x:f>
        <x:v>1</x:v>
      </x:c>
      <x:c r="H4193" s="381" t="n">
        <x:f>SUMIFS('Climate Data'!$G$7:$G$366,'Climate Data'!$A$7:$A$366,'Estimator'!$B$4,'Climate Data'!$B$7:$B$366,C4193)</x:f>
        <x:v>0.475</x:v>
      </x:c>
      <x:c r="I4193" s="382" t="n">
        <x:f>SUMIFS('Climate Data'!$H$7:$H$366,'Climate Data'!$A$7:$A$366,'Estimator'!$B$4,'Climate Data'!$B$7:$B$366,C4193)</x:f>
        <x:v>8.378947368421054</x:v>
      </x:c>
      <x:c r="J4193" s="381" t="n">
        <x:f>SUMIFS('Wind Proxy'!$H$8:$H$19,'Wind Proxy'!$A$8:$A$19,'Estimator'!$B$4,'Wind Proxy'!$B$8:$B$19,C4193)</x:f>
        <x:v>0.14197530864197533</x:v>
      </x:c>
    </x:row>
    <x:row r="4194">
      <x:c r="A4194" s="379" t="n">
        <x:v>49845</x:v>
      </x:c>
      <x:c r="B4194" s="380" t="n">
        <x:v>2036</x:v>
      </x:c>
      <x:c r="C4194" s="380" t="n">
        <x:v>6</x:v>
      </x:c>
      <x:c r="D4194" s="380" t="str">
        <x:v>Jun</x:v>
      </x:c>
      <x:c r="E4194" s="380" t="n">
        <x:v>19</x:v>
      </x:c>
      <x:c r="F4194" s="380" t="n">
        <x:v>4</x:v>
      </x:c>
      <x:c r="G4194" s="380" t="n">
        <x:f>--(F4194&lt;='Estimator'!$B$7)</x:f>
        <x:v>1</x:v>
      </x:c>
      <x:c r="H4194" s="381" t="n">
        <x:f>SUMIFS('Climate Data'!$G$7:$G$366,'Climate Data'!$A$7:$A$366,'Estimator'!$B$4,'Climate Data'!$B$7:$B$366,C4194)</x:f>
        <x:v>0.475</x:v>
      </x:c>
      <x:c r="I4194" s="382" t="n">
        <x:f>SUMIFS('Climate Data'!$H$7:$H$366,'Climate Data'!$A$7:$A$366,'Estimator'!$B$4,'Climate Data'!$B$7:$B$366,C4194)</x:f>
        <x:v>8.378947368421054</x:v>
      </x:c>
      <x:c r="J4194" s="381" t="n">
        <x:f>SUMIFS('Wind Proxy'!$H$8:$H$19,'Wind Proxy'!$A$8:$A$19,'Estimator'!$B$4,'Wind Proxy'!$B$8:$B$19,C4194)</x:f>
        <x:v>0.14197530864197533</x:v>
      </x:c>
    </x:row>
    <x:row r="4195">
      <x:c r="A4195" s="379" t="n">
        <x:v>49846</x:v>
      </x:c>
      <x:c r="B4195" s="380" t="n">
        <x:v>2036</x:v>
      </x:c>
      <x:c r="C4195" s="380" t="n">
        <x:v>6</x:v>
      </x:c>
      <x:c r="D4195" s="380" t="str">
        <x:v>Jun</x:v>
      </x:c>
      <x:c r="E4195" s="380" t="n">
        <x:v>20</x:v>
      </x:c>
      <x:c r="F4195" s="380" t="n">
        <x:v>5</x:v>
      </x:c>
      <x:c r="G4195" s="380" t="n">
        <x:f>--(F4195&lt;='Estimator'!$B$7)</x:f>
        <x:v>1</x:v>
      </x:c>
      <x:c r="H4195" s="381" t="n">
        <x:f>SUMIFS('Climate Data'!$G$7:$G$366,'Climate Data'!$A$7:$A$366,'Estimator'!$B$4,'Climate Data'!$B$7:$B$366,C4195)</x:f>
        <x:v>0.475</x:v>
      </x:c>
      <x:c r="I4195" s="382" t="n">
        <x:f>SUMIFS('Climate Data'!$H$7:$H$366,'Climate Data'!$A$7:$A$366,'Estimator'!$B$4,'Climate Data'!$B$7:$B$366,C4195)</x:f>
        <x:v>8.378947368421054</x:v>
      </x:c>
      <x:c r="J4195" s="381" t="n">
        <x:f>SUMIFS('Wind Proxy'!$H$8:$H$19,'Wind Proxy'!$A$8:$A$19,'Estimator'!$B$4,'Wind Proxy'!$B$8:$B$19,C4195)</x:f>
        <x:v>0.14197530864197533</x:v>
      </x:c>
    </x:row>
    <x:row r="4196">
      <x:c r="A4196" s="379" t="n">
        <x:v>49847</x:v>
      </x:c>
      <x:c r="B4196" s="380" t="n">
        <x:v>2036</x:v>
      </x:c>
      <x:c r="C4196" s="380" t="n">
        <x:v>6</x:v>
      </x:c>
      <x:c r="D4196" s="380" t="str">
        <x:v>Jun</x:v>
      </x:c>
      <x:c r="E4196" s="380" t="n">
        <x:v>21</x:v>
      </x:c>
      <x:c r="F4196" s="380" t="n">
        <x:v>6</x:v>
      </x:c>
      <x:c r="G4196" s="380" t="n">
        <x:f>--(F4196&lt;='Estimator'!$B$7)</x:f>
        <x:v>0</x:v>
      </x:c>
      <x:c r="H4196" s="381" t="n">
        <x:f>SUMIFS('Climate Data'!$G$7:$G$366,'Climate Data'!$A$7:$A$366,'Estimator'!$B$4,'Climate Data'!$B$7:$B$366,C4196)</x:f>
        <x:v>0.475</x:v>
      </x:c>
      <x:c r="I4196" s="382" t="n">
        <x:f>SUMIFS('Climate Data'!$H$7:$H$366,'Climate Data'!$A$7:$A$366,'Estimator'!$B$4,'Climate Data'!$B$7:$B$366,C4196)</x:f>
        <x:v>8.378947368421054</x:v>
      </x:c>
      <x:c r="J4196" s="381" t="n">
        <x:f>SUMIFS('Wind Proxy'!$H$8:$H$19,'Wind Proxy'!$A$8:$A$19,'Estimator'!$B$4,'Wind Proxy'!$B$8:$B$19,C4196)</x:f>
        <x:v>0.14197530864197533</x:v>
      </x:c>
    </x:row>
    <x:row r="4197">
      <x:c r="A4197" s="379" t="n">
        <x:v>49848</x:v>
      </x:c>
      <x:c r="B4197" s="380" t="n">
        <x:v>2036</x:v>
      </x:c>
      <x:c r="C4197" s="380" t="n">
        <x:v>6</x:v>
      </x:c>
      <x:c r="D4197" s="380" t="str">
        <x:v>Jun</x:v>
      </x:c>
      <x:c r="E4197" s="380" t="n">
        <x:v>22</x:v>
      </x:c>
      <x:c r="F4197" s="380" t="n">
        <x:v>7</x:v>
      </x:c>
      <x:c r="G4197" s="380" t="n">
        <x:f>--(F4197&lt;='Estimator'!$B$7)</x:f>
        <x:v>0</x:v>
      </x:c>
      <x:c r="H4197" s="381" t="n">
        <x:f>SUMIFS('Climate Data'!$G$7:$G$366,'Climate Data'!$A$7:$A$366,'Estimator'!$B$4,'Climate Data'!$B$7:$B$366,C4197)</x:f>
        <x:v>0.475</x:v>
      </x:c>
      <x:c r="I4197" s="382" t="n">
        <x:f>SUMIFS('Climate Data'!$H$7:$H$366,'Climate Data'!$A$7:$A$366,'Estimator'!$B$4,'Climate Data'!$B$7:$B$366,C4197)</x:f>
        <x:v>8.378947368421054</x:v>
      </x:c>
      <x:c r="J4197" s="381" t="n">
        <x:f>SUMIFS('Wind Proxy'!$H$8:$H$19,'Wind Proxy'!$A$8:$A$19,'Estimator'!$B$4,'Wind Proxy'!$B$8:$B$19,C4197)</x:f>
        <x:v>0.14197530864197533</x:v>
      </x:c>
    </x:row>
    <x:row r="4198">
      <x:c r="A4198" s="379" t="n">
        <x:v>49849</x:v>
      </x:c>
      <x:c r="B4198" s="380" t="n">
        <x:v>2036</x:v>
      </x:c>
      <x:c r="C4198" s="380" t="n">
        <x:v>6</x:v>
      </x:c>
      <x:c r="D4198" s="380" t="str">
        <x:v>Jun</x:v>
      </x:c>
      <x:c r="E4198" s="380" t="n">
        <x:v>23</x:v>
      </x:c>
      <x:c r="F4198" s="380" t="n">
        <x:v>1</x:v>
      </x:c>
      <x:c r="G4198" s="380" t="n">
        <x:f>--(F4198&lt;='Estimator'!$B$7)</x:f>
        <x:v>1</x:v>
      </x:c>
      <x:c r="H4198" s="381" t="n">
        <x:f>SUMIFS('Climate Data'!$G$7:$G$366,'Climate Data'!$A$7:$A$366,'Estimator'!$B$4,'Climate Data'!$B$7:$B$366,C4198)</x:f>
        <x:v>0.475</x:v>
      </x:c>
      <x:c r="I4198" s="382" t="n">
        <x:f>SUMIFS('Climate Data'!$H$7:$H$366,'Climate Data'!$A$7:$A$366,'Estimator'!$B$4,'Climate Data'!$B$7:$B$366,C4198)</x:f>
        <x:v>8.378947368421054</x:v>
      </x:c>
      <x:c r="J4198" s="381" t="n">
        <x:f>SUMIFS('Wind Proxy'!$H$8:$H$19,'Wind Proxy'!$A$8:$A$19,'Estimator'!$B$4,'Wind Proxy'!$B$8:$B$19,C4198)</x:f>
        <x:v>0.14197530864197533</x:v>
      </x:c>
    </x:row>
    <x:row r="4199">
      <x:c r="A4199" s="379" t="n">
        <x:v>49850</x:v>
      </x:c>
      <x:c r="B4199" s="380" t="n">
        <x:v>2036</x:v>
      </x:c>
      <x:c r="C4199" s="380" t="n">
        <x:v>6</x:v>
      </x:c>
      <x:c r="D4199" s="380" t="str">
        <x:v>Jun</x:v>
      </x:c>
      <x:c r="E4199" s="380" t="n">
        <x:v>24</x:v>
      </x:c>
      <x:c r="F4199" s="380" t="n">
        <x:v>2</x:v>
      </x:c>
      <x:c r="G4199" s="380" t="n">
        <x:f>--(F4199&lt;='Estimator'!$B$7)</x:f>
        <x:v>1</x:v>
      </x:c>
      <x:c r="H4199" s="381" t="n">
        <x:f>SUMIFS('Climate Data'!$G$7:$G$366,'Climate Data'!$A$7:$A$366,'Estimator'!$B$4,'Climate Data'!$B$7:$B$366,C4199)</x:f>
        <x:v>0.475</x:v>
      </x:c>
      <x:c r="I4199" s="382" t="n">
        <x:f>SUMIFS('Climate Data'!$H$7:$H$366,'Climate Data'!$A$7:$A$366,'Estimator'!$B$4,'Climate Data'!$B$7:$B$366,C4199)</x:f>
        <x:v>8.378947368421054</x:v>
      </x:c>
      <x:c r="J4199" s="381" t="n">
        <x:f>SUMIFS('Wind Proxy'!$H$8:$H$19,'Wind Proxy'!$A$8:$A$19,'Estimator'!$B$4,'Wind Proxy'!$B$8:$B$19,C4199)</x:f>
        <x:v>0.14197530864197533</x:v>
      </x:c>
    </x:row>
    <x:row r="4200">
      <x:c r="A4200" s="379" t="n">
        <x:v>49851</x:v>
      </x:c>
      <x:c r="B4200" s="380" t="n">
        <x:v>2036</x:v>
      </x:c>
      <x:c r="C4200" s="380" t="n">
        <x:v>6</x:v>
      </x:c>
      <x:c r="D4200" s="380" t="str">
        <x:v>Jun</x:v>
      </x:c>
      <x:c r="E4200" s="380" t="n">
        <x:v>25</x:v>
      </x:c>
      <x:c r="F4200" s="380" t="n">
        <x:v>3</x:v>
      </x:c>
      <x:c r="G4200" s="380" t="n">
        <x:f>--(F4200&lt;='Estimator'!$B$7)</x:f>
        <x:v>1</x:v>
      </x:c>
      <x:c r="H4200" s="381" t="n">
        <x:f>SUMIFS('Climate Data'!$G$7:$G$366,'Climate Data'!$A$7:$A$366,'Estimator'!$B$4,'Climate Data'!$B$7:$B$366,C4200)</x:f>
        <x:v>0.475</x:v>
      </x:c>
      <x:c r="I4200" s="382" t="n">
        <x:f>SUMIFS('Climate Data'!$H$7:$H$366,'Climate Data'!$A$7:$A$366,'Estimator'!$B$4,'Climate Data'!$B$7:$B$366,C4200)</x:f>
        <x:v>8.378947368421054</x:v>
      </x:c>
      <x:c r="J4200" s="381" t="n">
        <x:f>SUMIFS('Wind Proxy'!$H$8:$H$19,'Wind Proxy'!$A$8:$A$19,'Estimator'!$B$4,'Wind Proxy'!$B$8:$B$19,C4200)</x:f>
        <x:v>0.14197530864197533</x:v>
      </x:c>
    </x:row>
    <x:row r="4201">
      <x:c r="A4201" s="379" t="n">
        <x:v>49852</x:v>
      </x:c>
      <x:c r="B4201" s="380" t="n">
        <x:v>2036</x:v>
      </x:c>
      <x:c r="C4201" s="380" t="n">
        <x:v>6</x:v>
      </x:c>
      <x:c r="D4201" s="380" t="str">
        <x:v>Jun</x:v>
      </x:c>
      <x:c r="E4201" s="380" t="n">
        <x:v>26</x:v>
      </x:c>
      <x:c r="F4201" s="380" t="n">
        <x:v>4</x:v>
      </x:c>
      <x:c r="G4201" s="380" t="n">
        <x:f>--(F4201&lt;='Estimator'!$B$7)</x:f>
        <x:v>1</x:v>
      </x:c>
      <x:c r="H4201" s="381" t="n">
        <x:f>SUMIFS('Climate Data'!$G$7:$G$366,'Climate Data'!$A$7:$A$366,'Estimator'!$B$4,'Climate Data'!$B$7:$B$366,C4201)</x:f>
        <x:v>0.475</x:v>
      </x:c>
      <x:c r="I4201" s="382" t="n">
        <x:f>SUMIFS('Climate Data'!$H$7:$H$366,'Climate Data'!$A$7:$A$366,'Estimator'!$B$4,'Climate Data'!$B$7:$B$366,C4201)</x:f>
        <x:v>8.378947368421054</x:v>
      </x:c>
      <x:c r="J4201" s="381" t="n">
        <x:f>SUMIFS('Wind Proxy'!$H$8:$H$19,'Wind Proxy'!$A$8:$A$19,'Estimator'!$B$4,'Wind Proxy'!$B$8:$B$19,C4201)</x:f>
        <x:v>0.14197530864197533</x:v>
      </x:c>
    </x:row>
    <x:row r="4202">
      <x:c r="A4202" s="379" t="n">
        <x:v>49853</x:v>
      </x:c>
      <x:c r="B4202" s="380" t="n">
        <x:v>2036</x:v>
      </x:c>
      <x:c r="C4202" s="380" t="n">
        <x:v>6</x:v>
      </x:c>
      <x:c r="D4202" s="380" t="str">
        <x:v>Jun</x:v>
      </x:c>
      <x:c r="E4202" s="380" t="n">
        <x:v>27</x:v>
      </x:c>
      <x:c r="F4202" s="380" t="n">
        <x:v>5</x:v>
      </x:c>
      <x:c r="G4202" s="380" t="n">
        <x:f>--(F4202&lt;='Estimator'!$B$7)</x:f>
        <x:v>1</x:v>
      </x:c>
      <x:c r="H4202" s="381" t="n">
        <x:f>SUMIFS('Climate Data'!$G$7:$G$366,'Climate Data'!$A$7:$A$366,'Estimator'!$B$4,'Climate Data'!$B$7:$B$366,C4202)</x:f>
        <x:v>0.475</x:v>
      </x:c>
      <x:c r="I4202" s="382" t="n">
        <x:f>SUMIFS('Climate Data'!$H$7:$H$366,'Climate Data'!$A$7:$A$366,'Estimator'!$B$4,'Climate Data'!$B$7:$B$366,C4202)</x:f>
        <x:v>8.378947368421054</x:v>
      </x:c>
      <x:c r="J4202" s="381" t="n">
        <x:f>SUMIFS('Wind Proxy'!$H$8:$H$19,'Wind Proxy'!$A$8:$A$19,'Estimator'!$B$4,'Wind Proxy'!$B$8:$B$19,C4202)</x:f>
        <x:v>0.14197530864197533</x:v>
      </x:c>
    </x:row>
    <x:row r="4203">
      <x:c r="A4203" s="379" t="n">
        <x:v>49854</x:v>
      </x:c>
      <x:c r="B4203" s="380" t="n">
        <x:v>2036</x:v>
      </x:c>
      <x:c r="C4203" s="380" t="n">
        <x:v>6</x:v>
      </x:c>
      <x:c r="D4203" s="380" t="str">
        <x:v>Jun</x:v>
      </x:c>
      <x:c r="E4203" s="380" t="n">
        <x:v>28</x:v>
      </x:c>
      <x:c r="F4203" s="380" t="n">
        <x:v>6</x:v>
      </x:c>
      <x:c r="G4203" s="380" t="n">
        <x:f>--(F4203&lt;='Estimator'!$B$7)</x:f>
        <x:v>0</x:v>
      </x:c>
      <x:c r="H4203" s="381" t="n">
        <x:f>SUMIFS('Climate Data'!$G$7:$G$366,'Climate Data'!$A$7:$A$366,'Estimator'!$B$4,'Climate Data'!$B$7:$B$366,C4203)</x:f>
        <x:v>0.475</x:v>
      </x:c>
      <x:c r="I4203" s="382" t="n">
        <x:f>SUMIFS('Climate Data'!$H$7:$H$366,'Climate Data'!$A$7:$A$366,'Estimator'!$B$4,'Climate Data'!$B$7:$B$366,C4203)</x:f>
        <x:v>8.378947368421054</x:v>
      </x:c>
      <x:c r="J4203" s="381" t="n">
        <x:f>SUMIFS('Wind Proxy'!$H$8:$H$19,'Wind Proxy'!$A$8:$A$19,'Estimator'!$B$4,'Wind Proxy'!$B$8:$B$19,C4203)</x:f>
        <x:v>0.14197530864197533</x:v>
      </x:c>
    </x:row>
    <x:row r="4204">
      <x:c r="A4204" s="379" t="n">
        <x:v>49855</x:v>
      </x:c>
      <x:c r="B4204" s="380" t="n">
        <x:v>2036</x:v>
      </x:c>
      <x:c r="C4204" s="380" t="n">
        <x:v>6</x:v>
      </x:c>
      <x:c r="D4204" s="380" t="str">
        <x:v>Jun</x:v>
      </x:c>
      <x:c r="E4204" s="380" t="n">
        <x:v>29</x:v>
      </x:c>
      <x:c r="F4204" s="380" t="n">
        <x:v>7</x:v>
      </x:c>
      <x:c r="G4204" s="380" t="n">
        <x:f>--(F4204&lt;='Estimator'!$B$7)</x:f>
        <x:v>0</x:v>
      </x:c>
      <x:c r="H4204" s="381" t="n">
        <x:f>SUMIFS('Climate Data'!$G$7:$G$366,'Climate Data'!$A$7:$A$366,'Estimator'!$B$4,'Climate Data'!$B$7:$B$366,C4204)</x:f>
        <x:v>0.475</x:v>
      </x:c>
      <x:c r="I4204" s="382" t="n">
        <x:f>SUMIFS('Climate Data'!$H$7:$H$366,'Climate Data'!$A$7:$A$366,'Estimator'!$B$4,'Climate Data'!$B$7:$B$366,C4204)</x:f>
        <x:v>8.378947368421054</x:v>
      </x:c>
      <x:c r="J4204" s="381" t="n">
        <x:f>SUMIFS('Wind Proxy'!$H$8:$H$19,'Wind Proxy'!$A$8:$A$19,'Estimator'!$B$4,'Wind Proxy'!$B$8:$B$19,C4204)</x:f>
        <x:v>0.14197530864197533</x:v>
      </x:c>
    </x:row>
    <x:row r="4205">
      <x:c r="A4205" s="379" t="n">
        <x:v>49856</x:v>
      </x:c>
      <x:c r="B4205" s="380" t="n">
        <x:v>2036</x:v>
      </x:c>
      <x:c r="C4205" s="380" t="n">
        <x:v>6</x:v>
      </x:c>
      <x:c r="D4205" s="380" t="str">
        <x:v>Jun</x:v>
      </x:c>
      <x:c r="E4205" s="380" t="n">
        <x:v>30</x:v>
      </x:c>
      <x:c r="F4205" s="380" t="n">
        <x:v>1</x:v>
      </x:c>
      <x:c r="G4205" s="380" t="n">
        <x:f>--(F4205&lt;='Estimator'!$B$7)</x:f>
        <x:v>1</x:v>
      </x:c>
      <x:c r="H4205" s="381" t="n">
        <x:f>SUMIFS('Climate Data'!$G$7:$G$366,'Climate Data'!$A$7:$A$366,'Estimator'!$B$4,'Climate Data'!$B$7:$B$366,C4205)</x:f>
        <x:v>0.475</x:v>
      </x:c>
      <x:c r="I4205" s="382" t="n">
        <x:f>SUMIFS('Climate Data'!$H$7:$H$366,'Climate Data'!$A$7:$A$366,'Estimator'!$B$4,'Climate Data'!$B$7:$B$366,C4205)</x:f>
        <x:v>8.378947368421054</x:v>
      </x:c>
      <x:c r="J4205" s="381" t="n">
        <x:f>SUMIFS('Wind Proxy'!$H$8:$H$19,'Wind Proxy'!$A$8:$A$19,'Estimator'!$B$4,'Wind Proxy'!$B$8:$B$19,C4205)</x:f>
        <x:v>0.14197530864197533</x:v>
      </x:c>
    </x:row>
    <x:row r="4206">
      <x:c r="A4206" s="379" t="n">
        <x:v>49857</x:v>
      </x:c>
      <x:c r="B4206" s="380" t="n">
        <x:v>2036</x:v>
      </x:c>
      <x:c r="C4206" s="380" t="n">
        <x:v>7</x:v>
      </x:c>
      <x:c r="D4206" s="380" t="str">
        <x:v>Jul</x:v>
      </x:c>
      <x:c r="E4206" s="380" t="n">
        <x:v>1</x:v>
      </x:c>
      <x:c r="F4206" s="380" t="n">
        <x:v>2</x:v>
      </x:c>
      <x:c r="G4206" s="380" t="n">
        <x:f>--(F4206&lt;='Estimator'!$B$7)</x:f>
        <x:v>1</x:v>
      </x:c>
      <x:c r="H4206" s="381" t="n">
        <x:f>SUMIFS('Climate Data'!$G$7:$G$366,'Climate Data'!$A$7:$A$366,'Estimator'!$B$4,'Climate Data'!$B$7:$B$366,C4206)</x:f>
        <x:v>0.49078341013824883</x:v>
      </x:c>
      <x:c r="I4206" s="382" t="n">
        <x:f>SUMIFS('Climate Data'!$H$7:$H$366,'Climate Data'!$A$7:$A$366,'Estimator'!$B$4,'Climate Data'!$B$7:$B$366,C4206)</x:f>
        <x:v>8.998122065727701</x:v>
      </x:c>
      <x:c r="J4206" s="381" t="n">
        <x:f>SUMIFS('Wind Proxy'!$H$8:$H$19,'Wind Proxy'!$A$8:$A$19,'Estimator'!$B$4,'Wind Proxy'!$B$8:$B$19,C4206)</x:f>
        <x:v>0.13739545997610514</x:v>
      </x:c>
    </x:row>
    <x:row r="4207">
      <x:c r="A4207" s="379" t="n">
        <x:v>49858</x:v>
      </x:c>
      <x:c r="B4207" s="380" t="n">
        <x:v>2036</x:v>
      </x:c>
      <x:c r="C4207" s="380" t="n">
        <x:v>7</x:v>
      </x:c>
      <x:c r="D4207" s="380" t="str">
        <x:v>Jul</x:v>
      </x:c>
      <x:c r="E4207" s="380" t="n">
        <x:v>2</x:v>
      </x:c>
      <x:c r="F4207" s="380" t="n">
        <x:v>3</x:v>
      </x:c>
      <x:c r="G4207" s="380" t="n">
        <x:f>--(F4207&lt;='Estimator'!$B$7)</x:f>
        <x:v>1</x:v>
      </x:c>
      <x:c r="H4207" s="381" t="n">
        <x:f>SUMIFS('Climate Data'!$G$7:$G$366,'Climate Data'!$A$7:$A$366,'Estimator'!$B$4,'Climate Data'!$B$7:$B$366,C4207)</x:f>
        <x:v>0.49078341013824883</x:v>
      </x:c>
      <x:c r="I4207" s="382" t="n">
        <x:f>SUMIFS('Climate Data'!$H$7:$H$366,'Climate Data'!$A$7:$A$366,'Estimator'!$B$4,'Climate Data'!$B$7:$B$366,C4207)</x:f>
        <x:v>8.998122065727701</x:v>
      </x:c>
      <x:c r="J4207" s="381" t="n">
        <x:f>SUMIFS('Wind Proxy'!$H$8:$H$19,'Wind Proxy'!$A$8:$A$19,'Estimator'!$B$4,'Wind Proxy'!$B$8:$B$19,C4207)</x:f>
        <x:v>0.13739545997610514</x:v>
      </x:c>
    </x:row>
    <x:row r="4208">
      <x:c r="A4208" s="379" t="n">
        <x:v>49859</x:v>
      </x:c>
      <x:c r="B4208" s="380" t="n">
        <x:v>2036</x:v>
      </x:c>
      <x:c r="C4208" s="380" t="n">
        <x:v>7</x:v>
      </x:c>
      <x:c r="D4208" s="380" t="str">
        <x:v>Jul</x:v>
      </x:c>
      <x:c r="E4208" s="380" t="n">
        <x:v>3</x:v>
      </x:c>
      <x:c r="F4208" s="380" t="n">
        <x:v>4</x:v>
      </x:c>
      <x:c r="G4208" s="380" t="n">
        <x:f>--(F4208&lt;='Estimator'!$B$7)</x:f>
        <x:v>1</x:v>
      </x:c>
      <x:c r="H4208" s="381" t="n">
        <x:f>SUMIFS('Climate Data'!$G$7:$G$366,'Climate Data'!$A$7:$A$366,'Estimator'!$B$4,'Climate Data'!$B$7:$B$366,C4208)</x:f>
        <x:v>0.49078341013824883</x:v>
      </x:c>
      <x:c r="I4208" s="382" t="n">
        <x:f>SUMIFS('Climate Data'!$H$7:$H$366,'Climate Data'!$A$7:$A$366,'Estimator'!$B$4,'Climate Data'!$B$7:$B$366,C4208)</x:f>
        <x:v>8.998122065727701</x:v>
      </x:c>
      <x:c r="J4208" s="381" t="n">
        <x:f>SUMIFS('Wind Proxy'!$H$8:$H$19,'Wind Proxy'!$A$8:$A$19,'Estimator'!$B$4,'Wind Proxy'!$B$8:$B$19,C4208)</x:f>
        <x:v>0.13739545997610514</x:v>
      </x:c>
    </x:row>
    <x:row r="4209">
      <x:c r="A4209" s="379" t="n">
        <x:v>49860</x:v>
      </x:c>
      <x:c r="B4209" s="380" t="n">
        <x:v>2036</x:v>
      </x:c>
      <x:c r="C4209" s="380" t="n">
        <x:v>7</x:v>
      </x:c>
      <x:c r="D4209" s="380" t="str">
        <x:v>Jul</x:v>
      </x:c>
      <x:c r="E4209" s="380" t="n">
        <x:v>4</x:v>
      </x:c>
      <x:c r="F4209" s="380" t="n">
        <x:v>5</x:v>
      </x:c>
      <x:c r="G4209" s="380" t="n">
        <x:f>--(F4209&lt;='Estimator'!$B$7)</x:f>
        <x:v>1</x:v>
      </x:c>
      <x:c r="H4209" s="381" t="n">
        <x:f>SUMIFS('Climate Data'!$G$7:$G$366,'Climate Data'!$A$7:$A$366,'Estimator'!$B$4,'Climate Data'!$B$7:$B$366,C4209)</x:f>
        <x:v>0.49078341013824883</x:v>
      </x:c>
      <x:c r="I4209" s="382" t="n">
        <x:f>SUMIFS('Climate Data'!$H$7:$H$366,'Climate Data'!$A$7:$A$366,'Estimator'!$B$4,'Climate Data'!$B$7:$B$366,C4209)</x:f>
        <x:v>8.998122065727701</x:v>
      </x:c>
      <x:c r="J4209" s="381" t="n">
        <x:f>SUMIFS('Wind Proxy'!$H$8:$H$19,'Wind Proxy'!$A$8:$A$19,'Estimator'!$B$4,'Wind Proxy'!$B$8:$B$19,C4209)</x:f>
        <x:v>0.13739545997610514</x:v>
      </x:c>
    </x:row>
    <x:row r="4210">
      <x:c r="A4210" s="379" t="n">
        <x:v>49861</x:v>
      </x:c>
      <x:c r="B4210" s="380" t="n">
        <x:v>2036</x:v>
      </x:c>
      <x:c r="C4210" s="380" t="n">
        <x:v>7</x:v>
      </x:c>
      <x:c r="D4210" s="380" t="str">
        <x:v>Jul</x:v>
      </x:c>
      <x:c r="E4210" s="380" t="n">
        <x:v>5</x:v>
      </x:c>
      <x:c r="F4210" s="380" t="n">
        <x:v>6</x:v>
      </x:c>
      <x:c r="G4210" s="380" t="n">
        <x:f>--(F4210&lt;='Estimator'!$B$7)</x:f>
        <x:v>0</x:v>
      </x:c>
      <x:c r="H4210" s="381" t="n">
        <x:f>SUMIFS('Climate Data'!$G$7:$G$366,'Climate Data'!$A$7:$A$366,'Estimator'!$B$4,'Climate Data'!$B$7:$B$366,C4210)</x:f>
        <x:v>0.49078341013824883</x:v>
      </x:c>
      <x:c r="I4210" s="382" t="n">
        <x:f>SUMIFS('Climate Data'!$H$7:$H$366,'Climate Data'!$A$7:$A$366,'Estimator'!$B$4,'Climate Data'!$B$7:$B$366,C4210)</x:f>
        <x:v>8.998122065727701</x:v>
      </x:c>
      <x:c r="J4210" s="381" t="n">
        <x:f>SUMIFS('Wind Proxy'!$H$8:$H$19,'Wind Proxy'!$A$8:$A$19,'Estimator'!$B$4,'Wind Proxy'!$B$8:$B$19,C4210)</x:f>
        <x:v>0.13739545997610514</x:v>
      </x:c>
    </x:row>
    <x:row r="4211">
      <x:c r="A4211" s="379" t="n">
        <x:v>49862</x:v>
      </x:c>
      <x:c r="B4211" s="380" t="n">
        <x:v>2036</x:v>
      </x:c>
      <x:c r="C4211" s="380" t="n">
        <x:v>7</x:v>
      </x:c>
      <x:c r="D4211" s="380" t="str">
        <x:v>Jul</x:v>
      </x:c>
      <x:c r="E4211" s="380" t="n">
        <x:v>6</x:v>
      </x:c>
      <x:c r="F4211" s="380" t="n">
        <x:v>7</x:v>
      </x:c>
      <x:c r="G4211" s="380" t="n">
        <x:f>--(F4211&lt;='Estimator'!$B$7)</x:f>
        <x:v>0</x:v>
      </x:c>
      <x:c r="H4211" s="381" t="n">
        <x:f>SUMIFS('Climate Data'!$G$7:$G$366,'Climate Data'!$A$7:$A$366,'Estimator'!$B$4,'Climate Data'!$B$7:$B$366,C4211)</x:f>
        <x:v>0.49078341013824883</x:v>
      </x:c>
      <x:c r="I4211" s="382" t="n">
        <x:f>SUMIFS('Climate Data'!$H$7:$H$366,'Climate Data'!$A$7:$A$366,'Estimator'!$B$4,'Climate Data'!$B$7:$B$366,C4211)</x:f>
        <x:v>8.998122065727701</x:v>
      </x:c>
      <x:c r="J4211" s="381" t="n">
        <x:f>SUMIFS('Wind Proxy'!$H$8:$H$19,'Wind Proxy'!$A$8:$A$19,'Estimator'!$B$4,'Wind Proxy'!$B$8:$B$19,C4211)</x:f>
        <x:v>0.13739545997610514</x:v>
      </x:c>
    </x:row>
    <x:row r="4212">
      <x:c r="A4212" s="379" t="n">
        <x:v>49863</x:v>
      </x:c>
      <x:c r="B4212" s="380" t="n">
        <x:v>2036</x:v>
      </x:c>
      <x:c r="C4212" s="380" t="n">
        <x:v>7</x:v>
      </x:c>
      <x:c r="D4212" s="380" t="str">
        <x:v>Jul</x:v>
      </x:c>
      <x:c r="E4212" s="380" t="n">
        <x:v>7</x:v>
      </x:c>
      <x:c r="F4212" s="380" t="n">
        <x:v>1</x:v>
      </x:c>
      <x:c r="G4212" s="380" t="n">
        <x:f>--(F4212&lt;='Estimator'!$B$7)</x:f>
        <x:v>1</x:v>
      </x:c>
      <x:c r="H4212" s="381" t="n">
        <x:f>SUMIFS('Climate Data'!$G$7:$G$366,'Climate Data'!$A$7:$A$366,'Estimator'!$B$4,'Climate Data'!$B$7:$B$366,C4212)</x:f>
        <x:v>0.49078341013824883</x:v>
      </x:c>
      <x:c r="I4212" s="382" t="n">
        <x:f>SUMIFS('Climate Data'!$H$7:$H$366,'Climate Data'!$A$7:$A$366,'Estimator'!$B$4,'Climate Data'!$B$7:$B$366,C4212)</x:f>
        <x:v>8.998122065727701</x:v>
      </x:c>
      <x:c r="J4212" s="381" t="n">
        <x:f>SUMIFS('Wind Proxy'!$H$8:$H$19,'Wind Proxy'!$A$8:$A$19,'Estimator'!$B$4,'Wind Proxy'!$B$8:$B$19,C4212)</x:f>
        <x:v>0.13739545997610514</x:v>
      </x:c>
    </x:row>
    <x:row r="4213">
      <x:c r="A4213" s="379" t="n">
        <x:v>49864</x:v>
      </x:c>
      <x:c r="B4213" s="380" t="n">
        <x:v>2036</x:v>
      </x:c>
      <x:c r="C4213" s="380" t="n">
        <x:v>7</x:v>
      </x:c>
      <x:c r="D4213" s="380" t="str">
        <x:v>Jul</x:v>
      </x:c>
      <x:c r="E4213" s="380" t="n">
        <x:v>8</x:v>
      </x:c>
      <x:c r="F4213" s="380" t="n">
        <x:v>2</x:v>
      </x:c>
      <x:c r="G4213" s="380" t="n">
        <x:f>--(F4213&lt;='Estimator'!$B$7)</x:f>
        <x:v>1</x:v>
      </x:c>
      <x:c r="H4213" s="381" t="n">
        <x:f>SUMIFS('Climate Data'!$G$7:$G$366,'Climate Data'!$A$7:$A$366,'Estimator'!$B$4,'Climate Data'!$B$7:$B$366,C4213)</x:f>
        <x:v>0.49078341013824883</x:v>
      </x:c>
      <x:c r="I4213" s="382" t="n">
        <x:f>SUMIFS('Climate Data'!$H$7:$H$366,'Climate Data'!$A$7:$A$366,'Estimator'!$B$4,'Climate Data'!$B$7:$B$366,C4213)</x:f>
        <x:v>8.998122065727701</x:v>
      </x:c>
      <x:c r="J4213" s="381" t="n">
        <x:f>SUMIFS('Wind Proxy'!$H$8:$H$19,'Wind Proxy'!$A$8:$A$19,'Estimator'!$B$4,'Wind Proxy'!$B$8:$B$19,C4213)</x:f>
        <x:v>0.13739545997610514</x:v>
      </x:c>
    </x:row>
    <x:row r="4214">
      <x:c r="A4214" s="379" t="n">
        <x:v>49865</x:v>
      </x:c>
      <x:c r="B4214" s="380" t="n">
        <x:v>2036</x:v>
      </x:c>
      <x:c r="C4214" s="380" t="n">
        <x:v>7</x:v>
      </x:c>
      <x:c r="D4214" s="380" t="str">
        <x:v>Jul</x:v>
      </x:c>
      <x:c r="E4214" s="380" t="n">
        <x:v>9</x:v>
      </x:c>
      <x:c r="F4214" s="380" t="n">
        <x:v>3</x:v>
      </x:c>
      <x:c r="G4214" s="380" t="n">
        <x:f>--(F4214&lt;='Estimator'!$B$7)</x:f>
        <x:v>1</x:v>
      </x:c>
      <x:c r="H4214" s="381" t="n">
        <x:f>SUMIFS('Climate Data'!$G$7:$G$366,'Climate Data'!$A$7:$A$366,'Estimator'!$B$4,'Climate Data'!$B$7:$B$366,C4214)</x:f>
        <x:v>0.49078341013824883</x:v>
      </x:c>
      <x:c r="I4214" s="382" t="n">
        <x:f>SUMIFS('Climate Data'!$H$7:$H$366,'Climate Data'!$A$7:$A$366,'Estimator'!$B$4,'Climate Data'!$B$7:$B$366,C4214)</x:f>
        <x:v>8.998122065727701</x:v>
      </x:c>
      <x:c r="J4214" s="381" t="n">
        <x:f>SUMIFS('Wind Proxy'!$H$8:$H$19,'Wind Proxy'!$A$8:$A$19,'Estimator'!$B$4,'Wind Proxy'!$B$8:$B$19,C4214)</x:f>
        <x:v>0.13739545997610514</x:v>
      </x:c>
    </x:row>
    <x:row r="4215">
      <x:c r="A4215" s="379" t="n">
        <x:v>49866</x:v>
      </x:c>
      <x:c r="B4215" s="380" t="n">
        <x:v>2036</x:v>
      </x:c>
      <x:c r="C4215" s="380" t="n">
        <x:v>7</x:v>
      </x:c>
      <x:c r="D4215" s="380" t="str">
        <x:v>Jul</x:v>
      </x:c>
      <x:c r="E4215" s="380" t="n">
        <x:v>10</x:v>
      </x:c>
      <x:c r="F4215" s="380" t="n">
        <x:v>4</x:v>
      </x:c>
      <x:c r="G4215" s="380" t="n">
        <x:f>--(F4215&lt;='Estimator'!$B$7)</x:f>
        <x:v>1</x:v>
      </x:c>
      <x:c r="H4215" s="381" t="n">
        <x:f>SUMIFS('Climate Data'!$G$7:$G$366,'Climate Data'!$A$7:$A$366,'Estimator'!$B$4,'Climate Data'!$B$7:$B$366,C4215)</x:f>
        <x:v>0.49078341013824883</x:v>
      </x:c>
      <x:c r="I4215" s="382" t="n">
        <x:f>SUMIFS('Climate Data'!$H$7:$H$366,'Climate Data'!$A$7:$A$366,'Estimator'!$B$4,'Climate Data'!$B$7:$B$366,C4215)</x:f>
        <x:v>8.998122065727701</x:v>
      </x:c>
      <x:c r="J4215" s="381" t="n">
        <x:f>SUMIFS('Wind Proxy'!$H$8:$H$19,'Wind Proxy'!$A$8:$A$19,'Estimator'!$B$4,'Wind Proxy'!$B$8:$B$19,C4215)</x:f>
        <x:v>0.13739545997610514</x:v>
      </x:c>
    </x:row>
    <x:row r="4216">
      <x:c r="A4216" s="379" t="n">
        <x:v>49867</x:v>
      </x:c>
      <x:c r="B4216" s="380" t="n">
        <x:v>2036</x:v>
      </x:c>
      <x:c r="C4216" s="380" t="n">
        <x:v>7</x:v>
      </x:c>
      <x:c r="D4216" s="380" t="str">
        <x:v>Jul</x:v>
      </x:c>
      <x:c r="E4216" s="380" t="n">
        <x:v>11</x:v>
      </x:c>
      <x:c r="F4216" s="380" t="n">
        <x:v>5</x:v>
      </x:c>
      <x:c r="G4216" s="380" t="n">
        <x:f>--(F4216&lt;='Estimator'!$B$7)</x:f>
        <x:v>1</x:v>
      </x:c>
      <x:c r="H4216" s="381" t="n">
        <x:f>SUMIFS('Climate Data'!$G$7:$G$366,'Climate Data'!$A$7:$A$366,'Estimator'!$B$4,'Climate Data'!$B$7:$B$366,C4216)</x:f>
        <x:v>0.49078341013824883</x:v>
      </x:c>
      <x:c r="I4216" s="382" t="n">
        <x:f>SUMIFS('Climate Data'!$H$7:$H$366,'Climate Data'!$A$7:$A$366,'Estimator'!$B$4,'Climate Data'!$B$7:$B$366,C4216)</x:f>
        <x:v>8.998122065727701</x:v>
      </x:c>
      <x:c r="J4216" s="381" t="n">
        <x:f>SUMIFS('Wind Proxy'!$H$8:$H$19,'Wind Proxy'!$A$8:$A$19,'Estimator'!$B$4,'Wind Proxy'!$B$8:$B$19,C4216)</x:f>
        <x:v>0.13739545997610514</x:v>
      </x:c>
    </x:row>
    <x:row r="4217">
      <x:c r="A4217" s="379" t="n">
        <x:v>49868</x:v>
      </x:c>
      <x:c r="B4217" s="380" t="n">
        <x:v>2036</x:v>
      </x:c>
      <x:c r="C4217" s="380" t="n">
        <x:v>7</x:v>
      </x:c>
      <x:c r="D4217" s="380" t="str">
        <x:v>Jul</x:v>
      </x:c>
      <x:c r="E4217" s="380" t="n">
        <x:v>12</x:v>
      </x:c>
      <x:c r="F4217" s="380" t="n">
        <x:v>6</x:v>
      </x:c>
      <x:c r="G4217" s="380" t="n">
        <x:f>--(F4217&lt;='Estimator'!$B$7)</x:f>
        <x:v>0</x:v>
      </x:c>
      <x:c r="H4217" s="381" t="n">
        <x:f>SUMIFS('Climate Data'!$G$7:$G$366,'Climate Data'!$A$7:$A$366,'Estimator'!$B$4,'Climate Data'!$B$7:$B$366,C4217)</x:f>
        <x:v>0.49078341013824883</x:v>
      </x:c>
      <x:c r="I4217" s="382" t="n">
        <x:f>SUMIFS('Climate Data'!$H$7:$H$366,'Climate Data'!$A$7:$A$366,'Estimator'!$B$4,'Climate Data'!$B$7:$B$366,C4217)</x:f>
        <x:v>8.998122065727701</x:v>
      </x:c>
      <x:c r="J4217" s="381" t="n">
        <x:f>SUMIFS('Wind Proxy'!$H$8:$H$19,'Wind Proxy'!$A$8:$A$19,'Estimator'!$B$4,'Wind Proxy'!$B$8:$B$19,C4217)</x:f>
        <x:v>0.13739545997610514</x:v>
      </x:c>
    </x:row>
    <x:row r="4218">
      <x:c r="A4218" s="379" t="n">
        <x:v>49869</x:v>
      </x:c>
      <x:c r="B4218" s="380" t="n">
        <x:v>2036</x:v>
      </x:c>
      <x:c r="C4218" s="380" t="n">
        <x:v>7</x:v>
      </x:c>
      <x:c r="D4218" s="380" t="str">
        <x:v>Jul</x:v>
      </x:c>
      <x:c r="E4218" s="380" t="n">
        <x:v>13</x:v>
      </x:c>
      <x:c r="F4218" s="380" t="n">
        <x:v>7</x:v>
      </x:c>
      <x:c r="G4218" s="380" t="n">
        <x:f>--(F4218&lt;='Estimator'!$B$7)</x:f>
        <x:v>0</x:v>
      </x:c>
      <x:c r="H4218" s="381" t="n">
        <x:f>SUMIFS('Climate Data'!$G$7:$G$366,'Climate Data'!$A$7:$A$366,'Estimator'!$B$4,'Climate Data'!$B$7:$B$366,C4218)</x:f>
        <x:v>0.49078341013824883</x:v>
      </x:c>
      <x:c r="I4218" s="382" t="n">
        <x:f>SUMIFS('Climate Data'!$H$7:$H$366,'Climate Data'!$A$7:$A$366,'Estimator'!$B$4,'Climate Data'!$B$7:$B$366,C4218)</x:f>
        <x:v>8.998122065727701</x:v>
      </x:c>
      <x:c r="J4218" s="381" t="n">
        <x:f>SUMIFS('Wind Proxy'!$H$8:$H$19,'Wind Proxy'!$A$8:$A$19,'Estimator'!$B$4,'Wind Proxy'!$B$8:$B$19,C4218)</x:f>
        <x:v>0.13739545997610514</x:v>
      </x:c>
    </x:row>
    <x:row r="4219">
      <x:c r="A4219" s="379" t="n">
        <x:v>49870</x:v>
      </x:c>
      <x:c r="B4219" s="380" t="n">
        <x:v>2036</x:v>
      </x:c>
      <x:c r="C4219" s="380" t="n">
        <x:v>7</x:v>
      </x:c>
      <x:c r="D4219" s="380" t="str">
        <x:v>Jul</x:v>
      </x:c>
      <x:c r="E4219" s="380" t="n">
        <x:v>14</x:v>
      </x:c>
      <x:c r="F4219" s="380" t="n">
        <x:v>1</x:v>
      </x:c>
      <x:c r="G4219" s="380" t="n">
        <x:f>--(F4219&lt;='Estimator'!$B$7)</x:f>
        <x:v>1</x:v>
      </x:c>
      <x:c r="H4219" s="381" t="n">
        <x:f>SUMIFS('Climate Data'!$G$7:$G$366,'Climate Data'!$A$7:$A$366,'Estimator'!$B$4,'Climate Data'!$B$7:$B$366,C4219)</x:f>
        <x:v>0.49078341013824883</x:v>
      </x:c>
      <x:c r="I4219" s="382" t="n">
        <x:f>SUMIFS('Climate Data'!$H$7:$H$366,'Climate Data'!$A$7:$A$366,'Estimator'!$B$4,'Climate Data'!$B$7:$B$366,C4219)</x:f>
        <x:v>8.998122065727701</x:v>
      </x:c>
      <x:c r="J4219" s="381" t="n">
        <x:f>SUMIFS('Wind Proxy'!$H$8:$H$19,'Wind Proxy'!$A$8:$A$19,'Estimator'!$B$4,'Wind Proxy'!$B$8:$B$19,C4219)</x:f>
        <x:v>0.13739545997610514</x:v>
      </x:c>
    </x:row>
    <x:row r="4220">
      <x:c r="A4220" s="379" t="n">
        <x:v>49871</x:v>
      </x:c>
      <x:c r="B4220" s="380" t="n">
        <x:v>2036</x:v>
      </x:c>
      <x:c r="C4220" s="380" t="n">
        <x:v>7</x:v>
      </x:c>
      <x:c r="D4220" s="380" t="str">
        <x:v>Jul</x:v>
      </x:c>
      <x:c r="E4220" s="380" t="n">
        <x:v>15</x:v>
      </x:c>
      <x:c r="F4220" s="380" t="n">
        <x:v>2</x:v>
      </x:c>
      <x:c r="G4220" s="380" t="n">
        <x:f>--(F4220&lt;='Estimator'!$B$7)</x:f>
        <x:v>1</x:v>
      </x:c>
      <x:c r="H4220" s="381" t="n">
        <x:f>SUMIFS('Climate Data'!$G$7:$G$366,'Climate Data'!$A$7:$A$366,'Estimator'!$B$4,'Climate Data'!$B$7:$B$366,C4220)</x:f>
        <x:v>0.49078341013824883</x:v>
      </x:c>
      <x:c r="I4220" s="382" t="n">
        <x:f>SUMIFS('Climate Data'!$H$7:$H$366,'Climate Data'!$A$7:$A$366,'Estimator'!$B$4,'Climate Data'!$B$7:$B$366,C4220)</x:f>
        <x:v>8.998122065727701</x:v>
      </x:c>
      <x:c r="J4220" s="381" t="n">
        <x:f>SUMIFS('Wind Proxy'!$H$8:$H$19,'Wind Proxy'!$A$8:$A$19,'Estimator'!$B$4,'Wind Proxy'!$B$8:$B$19,C4220)</x:f>
        <x:v>0.13739545997610514</x:v>
      </x:c>
    </x:row>
    <x:row r="4221">
      <x:c r="A4221" s="379" t="n">
        <x:v>49872</x:v>
      </x:c>
      <x:c r="B4221" s="380" t="n">
        <x:v>2036</x:v>
      </x:c>
      <x:c r="C4221" s="380" t="n">
        <x:v>7</x:v>
      </x:c>
      <x:c r="D4221" s="380" t="str">
        <x:v>Jul</x:v>
      </x:c>
      <x:c r="E4221" s="380" t="n">
        <x:v>16</x:v>
      </x:c>
      <x:c r="F4221" s="380" t="n">
        <x:v>3</x:v>
      </x:c>
      <x:c r="G4221" s="380" t="n">
        <x:f>--(F4221&lt;='Estimator'!$B$7)</x:f>
        <x:v>1</x:v>
      </x:c>
      <x:c r="H4221" s="381" t="n">
        <x:f>SUMIFS('Climate Data'!$G$7:$G$366,'Climate Data'!$A$7:$A$366,'Estimator'!$B$4,'Climate Data'!$B$7:$B$366,C4221)</x:f>
        <x:v>0.49078341013824883</x:v>
      </x:c>
      <x:c r="I4221" s="382" t="n">
        <x:f>SUMIFS('Climate Data'!$H$7:$H$366,'Climate Data'!$A$7:$A$366,'Estimator'!$B$4,'Climate Data'!$B$7:$B$366,C4221)</x:f>
        <x:v>8.998122065727701</x:v>
      </x:c>
      <x:c r="J4221" s="381" t="n">
        <x:f>SUMIFS('Wind Proxy'!$H$8:$H$19,'Wind Proxy'!$A$8:$A$19,'Estimator'!$B$4,'Wind Proxy'!$B$8:$B$19,C4221)</x:f>
        <x:v>0.13739545997610514</x:v>
      </x:c>
    </x:row>
    <x:row r="4222">
      <x:c r="A4222" s="379" t="n">
        <x:v>49873</x:v>
      </x:c>
      <x:c r="B4222" s="380" t="n">
        <x:v>2036</x:v>
      </x:c>
      <x:c r="C4222" s="380" t="n">
        <x:v>7</x:v>
      </x:c>
      <x:c r="D4222" s="380" t="str">
        <x:v>Jul</x:v>
      </x:c>
      <x:c r="E4222" s="380" t="n">
        <x:v>17</x:v>
      </x:c>
      <x:c r="F4222" s="380" t="n">
        <x:v>4</x:v>
      </x:c>
      <x:c r="G4222" s="380" t="n">
        <x:f>--(F4222&lt;='Estimator'!$B$7)</x:f>
        <x:v>1</x:v>
      </x:c>
      <x:c r="H4222" s="381" t="n">
        <x:f>SUMIFS('Climate Data'!$G$7:$G$366,'Climate Data'!$A$7:$A$366,'Estimator'!$B$4,'Climate Data'!$B$7:$B$366,C4222)</x:f>
        <x:v>0.49078341013824883</x:v>
      </x:c>
      <x:c r="I4222" s="382" t="n">
        <x:f>SUMIFS('Climate Data'!$H$7:$H$366,'Climate Data'!$A$7:$A$366,'Estimator'!$B$4,'Climate Data'!$B$7:$B$366,C4222)</x:f>
        <x:v>8.998122065727701</x:v>
      </x:c>
      <x:c r="J4222" s="381" t="n">
        <x:f>SUMIFS('Wind Proxy'!$H$8:$H$19,'Wind Proxy'!$A$8:$A$19,'Estimator'!$B$4,'Wind Proxy'!$B$8:$B$19,C4222)</x:f>
        <x:v>0.13739545997610514</x:v>
      </x:c>
    </x:row>
    <x:row r="4223">
      <x:c r="A4223" s="379" t="n">
        <x:v>49874</x:v>
      </x:c>
      <x:c r="B4223" s="380" t="n">
        <x:v>2036</x:v>
      </x:c>
      <x:c r="C4223" s="380" t="n">
        <x:v>7</x:v>
      </x:c>
      <x:c r="D4223" s="380" t="str">
        <x:v>Jul</x:v>
      </x:c>
      <x:c r="E4223" s="380" t="n">
        <x:v>18</x:v>
      </x:c>
      <x:c r="F4223" s="380" t="n">
        <x:v>5</x:v>
      </x:c>
      <x:c r="G4223" s="380" t="n">
        <x:f>--(F4223&lt;='Estimator'!$B$7)</x:f>
        <x:v>1</x:v>
      </x:c>
      <x:c r="H4223" s="381" t="n">
        <x:f>SUMIFS('Climate Data'!$G$7:$G$366,'Climate Data'!$A$7:$A$366,'Estimator'!$B$4,'Climate Data'!$B$7:$B$366,C4223)</x:f>
        <x:v>0.49078341013824883</x:v>
      </x:c>
      <x:c r="I4223" s="382" t="n">
        <x:f>SUMIFS('Climate Data'!$H$7:$H$366,'Climate Data'!$A$7:$A$366,'Estimator'!$B$4,'Climate Data'!$B$7:$B$366,C4223)</x:f>
        <x:v>8.998122065727701</x:v>
      </x:c>
      <x:c r="J4223" s="381" t="n">
        <x:f>SUMIFS('Wind Proxy'!$H$8:$H$19,'Wind Proxy'!$A$8:$A$19,'Estimator'!$B$4,'Wind Proxy'!$B$8:$B$19,C4223)</x:f>
        <x:v>0.13739545997610514</x:v>
      </x:c>
    </x:row>
    <x:row r="4224">
      <x:c r="A4224" s="379" t="n">
        <x:v>49875</x:v>
      </x:c>
      <x:c r="B4224" s="380" t="n">
        <x:v>2036</x:v>
      </x:c>
      <x:c r="C4224" s="380" t="n">
        <x:v>7</x:v>
      </x:c>
      <x:c r="D4224" s="380" t="str">
        <x:v>Jul</x:v>
      </x:c>
      <x:c r="E4224" s="380" t="n">
        <x:v>19</x:v>
      </x:c>
      <x:c r="F4224" s="380" t="n">
        <x:v>6</x:v>
      </x:c>
      <x:c r="G4224" s="380" t="n">
        <x:f>--(F4224&lt;='Estimator'!$B$7)</x:f>
        <x:v>0</x:v>
      </x:c>
      <x:c r="H4224" s="381" t="n">
        <x:f>SUMIFS('Climate Data'!$G$7:$G$366,'Climate Data'!$A$7:$A$366,'Estimator'!$B$4,'Climate Data'!$B$7:$B$366,C4224)</x:f>
        <x:v>0.49078341013824883</x:v>
      </x:c>
      <x:c r="I4224" s="382" t="n">
        <x:f>SUMIFS('Climate Data'!$H$7:$H$366,'Climate Data'!$A$7:$A$366,'Estimator'!$B$4,'Climate Data'!$B$7:$B$366,C4224)</x:f>
        <x:v>8.998122065727701</x:v>
      </x:c>
      <x:c r="J4224" s="381" t="n">
        <x:f>SUMIFS('Wind Proxy'!$H$8:$H$19,'Wind Proxy'!$A$8:$A$19,'Estimator'!$B$4,'Wind Proxy'!$B$8:$B$19,C4224)</x:f>
        <x:v>0.13739545997610514</x:v>
      </x:c>
    </x:row>
    <x:row r="4225">
      <x:c r="A4225" s="379" t="n">
        <x:v>49876</x:v>
      </x:c>
      <x:c r="B4225" s="380" t="n">
        <x:v>2036</x:v>
      </x:c>
      <x:c r="C4225" s="380" t="n">
        <x:v>7</x:v>
      </x:c>
      <x:c r="D4225" s="380" t="str">
        <x:v>Jul</x:v>
      </x:c>
      <x:c r="E4225" s="380" t="n">
        <x:v>20</x:v>
      </x:c>
      <x:c r="F4225" s="380" t="n">
        <x:v>7</x:v>
      </x:c>
      <x:c r="G4225" s="380" t="n">
        <x:f>--(F4225&lt;='Estimator'!$B$7)</x:f>
        <x:v>0</x:v>
      </x:c>
      <x:c r="H4225" s="381" t="n">
        <x:f>SUMIFS('Climate Data'!$G$7:$G$366,'Climate Data'!$A$7:$A$366,'Estimator'!$B$4,'Climate Data'!$B$7:$B$366,C4225)</x:f>
        <x:v>0.49078341013824883</x:v>
      </x:c>
      <x:c r="I4225" s="382" t="n">
        <x:f>SUMIFS('Climate Data'!$H$7:$H$366,'Climate Data'!$A$7:$A$366,'Estimator'!$B$4,'Climate Data'!$B$7:$B$366,C4225)</x:f>
        <x:v>8.998122065727701</x:v>
      </x:c>
      <x:c r="J4225" s="381" t="n">
        <x:f>SUMIFS('Wind Proxy'!$H$8:$H$19,'Wind Proxy'!$A$8:$A$19,'Estimator'!$B$4,'Wind Proxy'!$B$8:$B$19,C4225)</x:f>
        <x:v>0.13739545997610514</x:v>
      </x:c>
    </x:row>
    <x:row r="4226">
      <x:c r="A4226" s="379" t="n">
        <x:v>49877</x:v>
      </x:c>
      <x:c r="B4226" s="380" t="n">
        <x:v>2036</x:v>
      </x:c>
      <x:c r="C4226" s="380" t="n">
        <x:v>7</x:v>
      </x:c>
      <x:c r="D4226" s="380" t="str">
        <x:v>Jul</x:v>
      </x:c>
      <x:c r="E4226" s="380" t="n">
        <x:v>21</x:v>
      </x:c>
      <x:c r="F4226" s="380" t="n">
        <x:v>1</x:v>
      </x:c>
      <x:c r="G4226" s="380" t="n">
        <x:f>--(F4226&lt;='Estimator'!$B$7)</x:f>
        <x:v>1</x:v>
      </x:c>
      <x:c r="H4226" s="381" t="n">
        <x:f>SUMIFS('Climate Data'!$G$7:$G$366,'Climate Data'!$A$7:$A$366,'Estimator'!$B$4,'Climate Data'!$B$7:$B$366,C4226)</x:f>
        <x:v>0.49078341013824883</x:v>
      </x:c>
      <x:c r="I4226" s="382" t="n">
        <x:f>SUMIFS('Climate Data'!$H$7:$H$366,'Climate Data'!$A$7:$A$366,'Estimator'!$B$4,'Climate Data'!$B$7:$B$366,C4226)</x:f>
        <x:v>8.998122065727701</x:v>
      </x:c>
      <x:c r="J4226" s="381" t="n">
        <x:f>SUMIFS('Wind Proxy'!$H$8:$H$19,'Wind Proxy'!$A$8:$A$19,'Estimator'!$B$4,'Wind Proxy'!$B$8:$B$19,C4226)</x:f>
        <x:v>0.13739545997610514</x:v>
      </x:c>
    </x:row>
    <x:row r="4227">
      <x:c r="A4227" s="379" t="n">
        <x:v>49878</x:v>
      </x:c>
      <x:c r="B4227" s="380" t="n">
        <x:v>2036</x:v>
      </x:c>
      <x:c r="C4227" s="380" t="n">
        <x:v>7</x:v>
      </x:c>
      <x:c r="D4227" s="380" t="str">
        <x:v>Jul</x:v>
      </x:c>
      <x:c r="E4227" s="380" t="n">
        <x:v>22</x:v>
      </x:c>
      <x:c r="F4227" s="380" t="n">
        <x:v>2</x:v>
      </x:c>
      <x:c r="G4227" s="380" t="n">
        <x:f>--(F4227&lt;='Estimator'!$B$7)</x:f>
        <x:v>1</x:v>
      </x:c>
      <x:c r="H4227" s="381" t="n">
        <x:f>SUMIFS('Climate Data'!$G$7:$G$366,'Climate Data'!$A$7:$A$366,'Estimator'!$B$4,'Climate Data'!$B$7:$B$366,C4227)</x:f>
        <x:v>0.49078341013824883</x:v>
      </x:c>
      <x:c r="I4227" s="382" t="n">
        <x:f>SUMIFS('Climate Data'!$H$7:$H$366,'Climate Data'!$A$7:$A$366,'Estimator'!$B$4,'Climate Data'!$B$7:$B$366,C4227)</x:f>
        <x:v>8.998122065727701</x:v>
      </x:c>
      <x:c r="J4227" s="381" t="n">
        <x:f>SUMIFS('Wind Proxy'!$H$8:$H$19,'Wind Proxy'!$A$8:$A$19,'Estimator'!$B$4,'Wind Proxy'!$B$8:$B$19,C4227)</x:f>
        <x:v>0.13739545997610514</x:v>
      </x:c>
    </x:row>
    <x:row r="4228">
      <x:c r="A4228" s="379" t="n">
        <x:v>49879</x:v>
      </x:c>
      <x:c r="B4228" s="380" t="n">
        <x:v>2036</x:v>
      </x:c>
      <x:c r="C4228" s="380" t="n">
        <x:v>7</x:v>
      </x:c>
      <x:c r="D4228" s="380" t="str">
        <x:v>Jul</x:v>
      </x:c>
      <x:c r="E4228" s="380" t="n">
        <x:v>23</x:v>
      </x:c>
      <x:c r="F4228" s="380" t="n">
        <x:v>3</x:v>
      </x:c>
      <x:c r="G4228" s="380" t="n">
        <x:f>--(F4228&lt;='Estimator'!$B$7)</x:f>
        <x:v>1</x:v>
      </x:c>
      <x:c r="H4228" s="381" t="n">
        <x:f>SUMIFS('Climate Data'!$G$7:$G$366,'Climate Data'!$A$7:$A$366,'Estimator'!$B$4,'Climate Data'!$B$7:$B$366,C4228)</x:f>
        <x:v>0.49078341013824883</x:v>
      </x:c>
      <x:c r="I4228" s="382" t="n">
        <x:f>SUMIFS('Climate Data'!$H$7:$H$366,'Climate Data'!$A$7:$A$366,'Estimator'!$B$4,'Climate Data'!$B$7:$B$366,C4228)</x:f>
        <x:v>8.998122065727701</x:v>
      </x:c>
      <x:c r="J4228" s="381" t="n">
        <x:f>SUMIFS('Wind Proxy'!$H$8:$H$19,'Wind Proxy'!$A$8:$A$19,'Estimator'!$B$4,'Wind Proxy'!$B$8:$B$19,C4228)</x:f>
        <x:v>0.13739545997610514</x:v>
      </x:c>
    </x:row>
    <x:row r="4229">
      <x:c r="A4229" s="379" t="n">
        <x:v>49880</x:v>
      </x:c>
      <x:c r="B4229" s="380" t="n">
        <x:v>2036</x:v>
      </x:c>
      <x:c r="C4229" s="380" t="n">
        <x:v>7</x:v>
      </x:c>
      <x:c r="D4229" s="380" t="str">
        <x:v>Jul</x:v>
      </x:c>
      <x:c r="E4229" s="380" t="n">
        <x:v>24</x:v>
      </x:c>
      <x:c r="F4229" s="380" t="n">
        <x:v>4</x:v>
      </x:c>
      <x:c r="G4229" s="380" t="n">
        <x:f>--(F4229&lt;='Estimator'!$B$7)</x:f>
        <x:v>1</x:v>
      </x:c>
      <x:c r="H4229" s="381" t="n">
        <x:f>SUMIFS('Climate Data'!$G$7:$G$366,'Climate Data'!$A$7:$A$366,'Estimator'!$B$4,'Climate Data'!$B$7:$B$366,C4229)</x:f>
        <x:v>0.49078341013824883</x:v>
      </x:c>
      <x:c r="I4229" s="382" t="n">
        <x:f>SUMIFS('Climate Data'!$H$7:$H$366,'Climate Data'!$A$7:$A$366,'Estimator'!$B$4,'Climate Data'!$B$7:$B$366,C4229)</x:f>
        <x:v>8.998122065727701</x:v>
      </x:c>
      <x:c r="J4229" s="381" t="n">
        <x:f>SUMIFS('Wind Proxy'!$H$8:$H$19,'Wind Proxy'!$A$8:$A$19,'Estimator'!$B$4,'Wind Proxy'!$B$8:$B$19,C4229)</x:f>
        <x:v>0.13739545997610514</x:v>
      </x:c>
    </x:row>
    <x:row r="4230">
      <x:c r="A4230" s="379" t="n">
        <x:v>49881</x:v>
      </x:c>
      <x:c r="B4230" s="380" t="n">
        <x:v>2036</x:v>
      </x:c>
      <x:c r="C4230" s="380" t="n">
        <x:v>7</x:v>
      </x:c>
      <x:c r="D4230" s="380" t="str">
        <x:v>Jul</x:v>
      </x:c>
      <x:c r="E4230" s="380" t="n">
        <x:v>25</x:v>
      </x:c>
      <x:c r="F4230" s="380" t="n">
        <x:v>5</x:v>
      </x:c>
      <x:c r="G4230" s="380" t="n">
        <x:f>--(F4230&lt;='Estimator'!$B$7)</x:f>
        <x:v>1</x:v>
      </x:c>
      <x:c r="H4230" s="381" t="n">
        <x:f>SUMIFS('Climate Data'!$G$7:$G$366,'Climate Data'!$A$7:$A$366,'Estimator'!$B$4,'Climate Data'!$B$7:$B$366,C4230)</x:f>
        <x:v>0.49078341013824883</x:v>
      </x:c>
      <x:c r="I4230" s="382" t="n">
        <x:f>SUMIFS('Climate Data'!$H$7:$H$366,'Climate Data'!$A$7:$A$366,'Estimator'!$B$4,'Climate Data'!$B$7:$B$366,C4230)</x:f>
        <x:v>8.998122065727701</x:v>
      </x:c>
      <x:c r="J4230" s="381" t="n">
        <x:f>SUMIFS('Wind Proxy'!$H$8:$H$19,'Wind Proxy'!$A$8:$A$19,'Estimator'!$B$4,'Wind Proxy'!$B$8:$B$19,C4230)</x:f>
        <x:v>0.13739545997610514</x:v>
      </x:c>
    </x:row>
    <x:row r="4231">
      <x:c r="A4231" s="379" t="n">
        <x:v>49882</x:v>
      </x:c>
      <x:c r="B4231" s="380" t="n">
        <x:v>2036</x:v>
      </x:c>
      <x:c r="C4231" s="380" t="n">
        <x:v>7</x:v>
      </x:c>
      <x:c r="D4231" s="380" t="str">
        <x:v>Jul</x:v>
      </x:c>
      <x:c r="E4231" s="380" t="n">
        <x:v>26</x:v>
      </x:c>
      <x:c r="F4231" s="380" t="n">
        <x:v>6</x:v>
      </x:c>
      <x:c r="G4231" s="380" t="n">
        <x:f>--(F4231&lt;='Estimator'!$B$7)</x:f>
        <x:v>0</x:v>
      </x:c>
      <x:c r="H4231" s="381" t="n">
        <x:f>SUMIFS('Climate Data'!$G$7:$G$366,'Climate Data'!$A$7:$A$366,'Estimator'!$B$4,'Climate Data'!$B$7:$B$366,C4231)</x:f>
        <x:v>0.49078341013824883</x:v>
      </x:c>
      <x:c r="I4231" s="382" t="n">
        <x:f>SUMIFS('Climate Data'!$H$7:$H$366,'Climate Data'!$A$7:$A$366,'Estimator'!$B$4,'Climate Data'!$B$7:$B$366,C4231)</x:f>
        <x:v>8.998122065727701</x:v>
      </x:c>
      <x:c r="J4231" s="381" t="n">
        <x:f>SUMIFS('Wind Proxy'!$H$8:$H$19,'Wind Proxy'!$A$8:$A$19,'Estimator'!$B$4,'Wind Proxy'!$B$8:$B$19,C4231)</x:f>
        <x:v>0.13739545997610514</x:v>
      </x:c>
    </x:row>
    <x:row r="4232">
      <x:c r="A4232" s="379" t="n">
        <x:v>49883</x:v>
      </x:c>
      <x:c r="B4232" s="380" t="n">
        <x:v>2036</x:v>
      </x:c>
      <x:c r="C4232" s="380" t="n">
        <x:v>7</x:v>
      </x:c>
      <x:c r="D4232" s="380" t="str">
        <x:v>Jul</x:v>
      </x:c>
      <x:c r="E4232" s="380" t="n">
        <x:v>27</x:v>
      </x:c>
      <x:c r="F4232" s="380" t="n">
        <x:v>7</x:v>
      </x:c>
      <x:c r="G4232" s="380" t="n">
        <x:f>--(F4232&lt;='Estimator'!$B$7)</x:f>
        <x:v>0</x:v>
      </x:c>
      <x:c r="H4232" s="381" t="n">
        <x:f>SUMIFS('Climate Data'!$G$7:$G$366,'Climate Data'!$A$7:$A$366,'Estimator'!$B$4,'Climate Data'!$B$7:$B$366,C4232)</x:f>
        <x:v>0.49078341013824883</x:v>
      </x:c>
      <x:c r="I4232" s="382" t="n">
        <x:f>SUMIFS('Climate Data'!$H$7:$H$366,'Climate Data'!$A$7:$A$366,'Estimator'!$B$4,'Climate Data'!$B$7:$B$366,C4232)</x:f>
        <x:v>8.998122065727701</x:v>
      </x:c>
      <x:c r="J4232" s="381" t="n">
        <x:f>SUMIFS('Wind Proxy'!$H$8:$H$19,'Wind Proxy'!$A$8:$A$19,'Estimator'!$B$4,'Wind Proxy'!$B$8:$B$19,C4232)</x:f>
        <x:v>0.13739545997610514</x:v>
      </x:c>
    </x:row>
    <x:row r="4233">
      <x:c r="A4233" s="379" t="n">
        <x:v>49884</x:v>
      </x:c>
      <x:c r="B4233" s="380" t="n">
        <x:v>2036</x:v>
      </x:c>
      <x:c r="C4233" s="380" t="n">
        <x:v>7</x:v>
      </x:c>
      <x:c r="D4233" s="380" t="str">
        <x:v>Jul</x:v>
      </x:c>
      <x:c r="E4233" s="380" t="n">
        <x:v>28</x:v>
      </x:c>
      <x:c r="F4233" s="380" t="n">
        <x:v>1</x:v>
      </x:c>
      <x:c r="G4233" s="380" t="n">
        <x:f>--(F4233&lt;='Estimator'!$B$7)</x:f>
        <x:v>1</x:v>
      </x:c>
      <x:c r="H4233" s="381" t="n">
        <x:f>SUMIFS('Climate Data'!$G$7:$G$366,'Climate Data'!$A$7:$A$366,'Estimator'!$B$4,'Climate Data'!$B$7:$B$366,C4233)</x:f>
        <x:v>0.49078341013824883</x:v>
      </x:c>
      <x:c r="I4233" s="382" t="n">
        <x:f>SUMIFS('Climate Data'!$H$7:$H$366,'Climate Data'!$A$7:$A$366,'Estimator'!$B$4,'Climate Data'!$B$7:$B$366,C4233)</x:f>
        <x:v>8.998122065727701</x:v>
      </x:c>
      <x:c r="J4233" s="381" t="n">
        <x:f>SUMIFS('Wind Proxy'!$H$8:$H$19,'Wind Proxy'!$A$8:$A$19,'Estimator'!$B$4,'Wind Proxy'!$B$8:$B$19,C4233)</x:f>
        <x:v>0.13739545997610514</x:v>
      </x:c>
    </x:row>
    <x:row r="4234">
      <x:c r="A4234" s="379" t="n">
        <x:v>49885</x:v>
      </x:c>
      <x:c r="B4234" s="380" t="n">
        <x:v>2036</x:v>
      </x:c>
      <x:c r="C4234" s="380" t="n">
        <x:v>7</x:v>
      </x:c>
      <x:c r="D4234" s="380" t="str">
        <x:v>Jul</x:v>
      </x:c>
      <x:c r="E4234" s="380" t="n">
        <x:v>29</x:v>
      </x:c>
      <x:c r="F4234" s="380" t="n">
        <x:v>2</x:v>
      </x:c>
      <x:c r="G4234" s="380" t="n">
        <x:f>--(F4234&lt;='Estimator'!$B$7)</x:f>
        <x:v>1</x:v>
      </x:c>
      <x:c r="H4234" s="381" t="n">
        <x:f>SUMIFS('Climate Data'!$G$7:$G$366,'Climate Data'!$A$7:$A$366,'Estimator'!$B$4,'Climate Data'!$B$7:$B$366,C4234)</x:f>
        <x:v>0.49078341013824883</x:v>
      </x:c>
      <x:c r="I4234" s="382" t="n">
        <x:f>SUMIFS('Climate Data'!$H$7:$H$366,'Climate Data'!$A$7:$A$366,'Estimator'!$B$4,'Climate Data'!$B$7:$B$366,C4234)</x:f>
        <x:v>8.998122065727701</x:v>
      </x:c>
      <x:c r="J4234" s="381" t="n">
        <x:f>SUMIFS('Wind Proxy'!$H$8:$H$19,'Wind Proxy'!$A$8:$A$19,'Estimator'!$B$4,'Wind Proxy'!$B$8:$B$19,C4234)</x:f>
        <x:v>0.13739545997610514</x:v>
      </x:c>
    </x:row>
    <x:row r="4235">
      <x:c r="A4235" s="379" t="n">
        <x:v>49886</x:v>
      </x:c>
      <x:c r="B4235" s="380" t="n">
        <x:v>2036</x:v>
      </x:c>
      <x:c r="C4235" s="380" t="n">
        <x:v>7</x:v>
      </x:c>
      <x:c r="D4235" s="380" t="str">
        <x:v>Jul</x:v>
      </x:c>
      <x:c r="E4235" s="380" t="n">
        <x:v>30</x:v>
      </x:c>
      <x:c r="F4235" s="380" t="n">
        <x:v>3</x:v>
      </x:c>
      <x:c r="G4235" s="380" t="n">
        <x:f>--(F4235&lt;='Estimator'!$B$7)</x:f>
        <x:v>1</x:v>
      </x:c>
      <x:c r="H4235" s="381" t="n">
        <x:f>SUMIFS('Climate Data'!$G$7:$G$366,'Climate Data'!$A$7:$A$366,'Estimator'!$B$4,'Climate Data'!$B$7:$B$366,C4235)</x:f>
        <x:v>0.49078341013824883</x:v>
      </x:c>
      <x:c r="I4235" s="382" t="n">
        <x:f>SUMIFS('Climate Data'!$H$7:$H$366,'Climate Data'!$A$7:$A$366,'Estimator'!$B$4,'Climate Data'!$B$7:$B$366,C4235)</x:f>
        <x:v>8.998122065727701</x:v>
      </x:c>
      <x:c r="J4235" s="381" t="n">
        <x:f>SUMIFS('Wind Proxy'!$H$8:$H$19,'Wind Proxy'!$A$8:$A$19,'Estimator'!$B$4,'Wind Proxy'!$B$8:$B$19,C4235)</x:f>
        <x:v>0.13739545997610514</x:v>
      </x:c>
    </x:row>
    <x:row r="4236">
      <x:c r="A4236" s="379" t="n">
        <x:v>49887</x:v>
      </x:c>
      <x:c r="B4236" s="380" t="n">
        <x:v>2036</x:v>
      </x:c>
      <x:c r="C4236" s="380" t="n">
        <x:v>7</x:v>
      </x:c>
      <x:c r="D4236" s="380" t="str">
        <x:v>Jul</x:v>
      </x:c>
      <x:c r="E4236" s="380" t="n">
        <x:v>31</x:v>
      </x:c>
      <x:c r="F4236" s="380" t="n">
        <x:v>4</x:v>
      </x:c>
      <x:c r="G4236" s="380" t="n">
        <x:f>--(F4236&lt;='Estimator'!$B$7)</x:f>
        <x:v>1</x:v>
      </x:c>
      <x:c r="H4236" s="381" t="n">
        <x:f>SUMIFS('Climate Data'!$G$7:$G$366,'Climate Data'!$A$7:$A$366,'Estimator'!$B$4,'Climate Data'!$B$7:$B$366,C4236)</x:f>
        <x:v>0.49078341013824883</x:v>
      </x:c>
      <x:c r="I4236" s="382" t="n">
        <x:f>SUMIFS('Climate Data'!$H$7:$H$366,'Climate Data'!$A$7:$A$366,'Estimator'!$B$4,'Climate Data'!$B$7:$B$366,C4236)</x:f>
        <x:v>8.998122065727701</x:v>
      </x:c>
      <x:c r="J4236" s="381" t="n">
        <x:f>SUMIFS('Wind Proxy'!$H$8:$H$19,'Wind Proxy'!$A$8:$A$19,'Estimator'!$B$4,'Wind Proxy'!$B$8:$B$19,C4236)</x:f>
        <x:v>0.13739545997610514</x:v>
      </x:c>
    </x:row>
    <x:row r="4237">
      <x:c r="A4237" s="379" t="n">
        <x:v>49888</x:v>
      </x:c>
      <x:c r="B4237" s="380" t="n">
        <x:v>2036</x:v>
      </x:c>
      <x:c r="C4237" s="380" t="n">
        <x:v>8</x:v>
      </x:c>
      <x:c r="D4237" s="380" t="str">
        <x:v>Aug</x:v>
      </x:c>
      <x:c r="E4237" s="380" t="n">
        <x:v>1</x:v>
      </x:c>
      <x:c r="F4237" s="380" t="n">
        <x:v>5</x:v>
      </x:c>
      <x:c r="G4237" s="380" t="n">
        <x:f>--(F4237&lt;='Estimator'!$B$7)</x:f>
        <x:v>1</x:v>
      </x:c>
      <x:c r="H4237" s="381" t="n">
        <x:f>SUMIFS('Climate Data'!$G$7:$G$366,'Climate Data'!$A$7:$A$366,'Estimator'!$B$4,'Climate Data'!$B$7:$B$366,C4237)</x:f>
        <x:v>0.47274749721913234</x:v>
      </x:c>
      <x:c r="I4237" s="382" t="n">
        <x:f>SUMIFS('Climate Data'!$H$7:$H$366,'Climate Data'!$A$7:$A$366,'Estimator'!$B$4,'Climate Data'!$B$7:$B$366,C4237)</x:f>
        <x:v>7.9971764705882356</x:v>
      </x:c>
      <x:c r="J4237" s="381" t="n">
        <x:f>SUMIFS('Wind Proxy'!$H$8:$H$19,'Wind Proxy'!$A$8:$A$19,'Estimator'!$B$4,'Wind Proxy'!$B$8:$B$19,C4237)</x:f>
        <x:v>0.13739545997610514</x:v>
      </x:c>
    </x:row>
    <x:row r="4238">
      <x:c r="A4238" s="379" t="n">
        <x:v>49889</x:v>
      </x:c>
      <x:c r="B4238" s="380" t="n">
        <x:v>2036</x:v>
      </x:c>
      <x:c r="C4238" s="380" t="n">
        <x:v>8</x:v>
      </x:c>
      <x:c r="D4238" s="380" t="str">
        <x:v>Aug</x:v>
      </x:c>
      <x:c r="E4238" s="380" t="n">
        <x:v>2</x:v>
      </x:c>
      <x:c r="F4238" s="380" t="n">
        <x:v>6</x:v>
      </x:c>
      <x:c r="G4238" s="380" t="n">
        <x:f>--(F4238&lt;='Estimator'!$B$7)</x:f>
        <x:v>0</x:v>
      </x:c>
      <x:c r="H4238" s="381" t="n">
        <x:f>SUMIFS('Climate Data'!$G$7:$G$366,'Climate Data'!$A$7:$A$366,'Estimator'!$B$4,'Climate Data'!$B$7:$B$366,C4238)</x:f>
        <x:v>0.47274749721913234</x:v>
      </x:c>
      <x:c r="I4238" s="382" t="n">
        <x:f>SUMIFS('Climate Data'!$H$7:$H$366,'Climate Data'!$A$7:$A$366,'Estimator'!$B$4,'Climate Data'!$B$7:$B$366,C4238)</x:f>
        <x:v>7.9971764705882356</x:v>
      </x:c>
      <x:c r="J4238" s="381" t="n">
        <x:f>SUMIFS('Wind Proxy'!$H$8:$H$19,'Wind Proxy'!$A$8:$A$19,'Estimator'!$B$4,'Wind Proxy'!$B$8:$B$19,C4238)</x:f>
        <x:v>0.13739545997610514</x:v>
      </x:c>
    </x:row>
    <x:row r="4239">
      <x:c r="A4239" s="379" t="n">
        <x:v>49890</x:v>
      </x:c>
      <x:c r="B4239" s="380" t="n">
        <x:v>2036</x:v>
      </x:c>
      <x:c r="C4239" s="380" t="n">
        <x:v>8</x:v>
      </x:c>
      <x:c r="D4239" s="380" t="str">
        <x:v>Aug</x:v>
      </x:c>
      <x:c r="E4239" s="380" t="n">
        <x:v>3</x:v>
      </x:c>
      <x:c r="F4239" s="380" t="n">
        <x:v>7</x:v>
      </x:c>
      <x:c r="G4239" s="380" t="n">
        <x:f>--(F4239&lt;='Estimator'!$B$7)</x:f>
        <x:v>0</x:v>
      </x:c>
      <x:c r="H4239" s="381" t="n">
        <x:f>SUMIFS('Climate Data'!$G$7:$G$366,'Climate Data'!$A$7:$A$366,'Estimator'!$B$4,'Climate Data'!$B$7:$B$366,C4239)</x:f>
        <x:v>0.47274749721913234</x:v>
      </x:c>
      <x:c r="I4239" s="382" t="n">
        <x:f>SUMIFS('Climate Data'!$H$7:$H$366,'Climate Data'!$A$7:$A$366,'Estimator'!$B$4,'Climate Data'!$B$7:$B$366,C4239)</x:f>
        <x:v>7.9971764705882356</x:v>
      </x:c>
      <x:c r="J4239" s="381" t="n">
        <x:f>SUMIFS('Wind Proxy'!$H$8:$H$19,'Wind Proxy'!$A$8:$A$19,'Estimator'!$B$4,'Wind Proxy'!$B$8:$B$19,C4239)</x:f>
        <x:v>0.13739545997610514</x:v>
      </x:c>
    </x:row>
    <x:row r="4240">
      <x:c r="A4240" s="379" t="n">
        <x:v>49891</x:v>
      </x:c>
      <x:c r="B4240" s="380" t="n">
        <x:v>2036</x:v>
      </x:c>
      <x:c r="C4240" s="380" t="n">
        <x:v>8</x:v>
      </x:c>
      <x:c r="D4240" s="380" t="str">
        <x:v>Aug</x:v>
      </x:c>
      <x:c r="E4240" s="380" t="n">
        <x:v>4</x:v>
      </x:c>
      <x:c r="F4240" s="380" t="n">
        <x:v>1</x:v>
      </x:c>
      <x:c r="G4240" s="380" t="n">
        <x:f>--(F4240&lt;='Estimator'!$B$7)</x:f>
        <x:v>1</x:v>
      </x:c>
      <x:c r="H4240" s="381" t="n">
        <x:f>SUMIFS('Climate Data'!$G$7:$G$366,'Climate Data'!$A$7:$A$366,'Estimator'!$B$4,'Climate Data'!$B$7:$B$366,C4240)</x:f>
        <x:v>0.47274749721913234</x:v>
      </x:c>
      <x:c r="I4240" s="382" t="n">
        <x:f>SUMIFS('Climate Data'!$H$7:$H$366,'Climate Data'!$A$7:$A$366,'Estimator'!$B$4,'Climate Data'!$B$7:$B$366,C4240)</x:f>
        <x:v>7.9971764705882356</x:v>
      </x:c>
      <x:c r="J4240" s="381" t="n">
        <x:f>SUMIFS('Wind Proxy'!$H$8:$H$19,'Wind Proxy'!$A$8:$A$19,'Estimator'!$B$4,'Wind Proxy'!$B$8:$B$19,C4240)</x:f>
        <x:v>0.13739545997610514</x:v>
      </x:c>
    </x:row>
    <x:row r="4241">
      <x:c r="A4241" s="379" t="n">
        <x:v>49892</x:v>
      </x:c>
      <x:c r="B4241" s="380" t="n">
        <x:v>2036</x:v>
      </x:c>
      <x:c r="C4241" s="380" t="n">
        <x:v>8</x:v>
      </x:c>
      <x:c r="D4241" s="380" t="str">
        <x:v>Aug</x:v>
      </x:c>
      <x:c r="E4241" s="380" t="n">
        <x:v>5</x:v>
      </x:c>
      <x:c r="F4241" s="380" t="n">
        <x:v>2</x:v>
      </x:c>
      <x:c r="G4241" s="380" t="n">
        <x:f>--(F4241&lt;='Estimator'!$B$7)</x:f>
        <x:v>1</x:v>
      </x:c>
      <x:c r="H4241" s="381" t="n">
        <x:f>SUMIFS('Climate Data'!$G$7:$G$366,'Climate Data'!$A$7:$A$366,'Estimator'!$B$4,'Climate Data'!$B$7:$B$366,C4241)</x:f>
        <x:v>0.47274749721913234</x:v>
      </x:c>
      <x:c r="I4241" s="382" t="n">
        <x:f>SUMIFS('Climate Data'!$H$7:$H$366,'Climate Data'!$A$7:$A$366,'Estimator'!$B$4,'Climate Data'!$B$7:$B$366,C4241)</x:f>
        <x:v>7.9971764705882356</x:v>
      </x:c>
      <x:c r="J4241" s="381" t="n">
        <x:f>SUMIFS('Wind Proxy'!$H$8:$H$19,'Wind Proxy'!$A$8:$A$19,'Estimator'!$B$4,'Wind Proxy'!$B$8:$B$19,C4241)</x:f>
        <x:v>0.13739545997610514</x:v>
      </x:c>
    </x:row>
    <x:row r="4242">
      <x:c r="A4242" s="379" t="n">
        <x:v>49893</x:v>
      </x:c>
      <x:c r="B4242" s="380" t="n">
        <x:v>2036</x:v>
      </x:c>
      <x:c r="C4242" s="380" t="n">
        <x:v>8</x:v>
      </x:c>
      <x:c r="D4242" s="380" t="str">
        <x:v>Aug</x:v>
      </x:c>
      <x:c r="E4242" s="380" t="n">
        <x:v>6</x:v>
      </x:c>
      <x:c r="F4242" s="380" t="n">
        <x:v>3</x:v>
      </x:c>
      <x:c r="G4242" s="380" t="n">
        <x:f>--(F4242&lt;='Estimator'!$B$7)</x:f>
        <x:v>1</x:v>
      </x:c>
      <x:c r="H4242" s="381" t="n">
        <x:f>SUMIFS('Climate Data'!$G$7:$G$366,'Climate Data'!$A$7:$A$366,'Estimator'!$B$4,'Climate Data'!$B$7:$B$366,C4242)</x:f>
        <x:v>0.47274749721913234</x:v>
      </x:c>
      <x:c r="I4242" s="382" t="n">
        <x:f>SUMIFS('Climate Data'!$H$7:$H$366,'Climate Data'!$A$7:$A$366,'Estimator'!$B$4,'Climate Data'!$B$7:$B$366,C4242)</x:f>
        <x:v>7.9971764705882356</x:v>
      </x:c>
      <x:c r="J4242" s="381" t="n">
        <x:f>SUMIFS('Wind Proxy'!$H$8:$H$19,'Wind Proxy'!$A$8:$A$19,'Estimator'!$B$4,'Wind Proxy'!$B$8:$B$19,C4242)</x:f>
        <x:v>0.13739545997610514</x:v>
      </x:c>
    </x:row>
    <x:row r="4243">
      <x:c r="A4243" s="379" t="n">
        <x:v>49894</x:v>
      </x:c>
      <x:c r="B4243" s="380" t="n">
        <x:v>2036</x:v>
      </x:c>
      <x:c r="C4243" s="380" t="n">
        <x:v>8</x:v>
      </x:c>
      <x:c r="D4243" s="380" t="str">
        <x:v>Aug</x:v>
      </x:c>
      <x:c r="E4243" s="380" t="n">
        <x:v>7</x:v>
      </x:c>
      <x:c r="F4243" s="380" t="n">
        <x:v>4</x:v>
      </x:c>
      <x:c r="G4243" s="380" t="n">
        <x:f>--(F4243&lt;='Estimator'!$B$7)</x:f>
        <x:v>1</x:v>
      </x:c>
      <x:c r="H4243" s="381" t="n">
        <x:f>SUMIFS('Climate Data'!$G$7:$G$366,'Climate Data'!$A$7:$A$366,'Estimator'!$B$4,'Climate Data'!$B$7:$B$366,C4243)</x:f>
        <x:v>0.47274749721913234</x:v>
      </x:c>
      <x:c r="I4243" s="382" t="n">
        <x:f>SUMIFS('Climate Data'!$H$7:$H$366,'Climate Data'!$A$7:$A$366,'Estimator'!$B$4,'Climate Data'!$B$7:$B$366,C4243)</x:f>
        <x:v>7.9971764705882356</x:v>
      </x:c>
      <x:c r="J4243" s="381" t="n">
        <x:f>SUMIFS('Wind Proxy'!$H$8:$H$19,'Wind Proxy'!$A$8:$A$19,'Estimator'!$B$4,'Wind Proxy'!$B$8:$B$19,C4243)</x:f>
        <x:v>0.13739545997610514</x:v>
      </x:c>
    </x:row>
    <x:row r="4244">
      <x:c r="A4244" s="379" t="n">
        <x:v>49895</x:v>
      </x:c>
      <x:c r="B4244" s="380" t="n">
        <x:v>2036</x:v>
      </x:c>
      <x:c r="C4244" s="380" t="n">
        <x:v>8</x:v>
      </x:c>
      <x:c r="D4244" s="380" t="str">
        <x:v>Aug</x:v>
      </x:c>
      <x:c r="E4244" s="380" t="n">
        <x:v>8</x:v>
      </x:c>
      <x:c r="F4244" s="380" t="n">
        <x:v>5</x:v>
      </x:c>
      <x:c r="G4244" s="380" t="n">
        <x:f>--(F4244&lt;='Estimator'!$B$7)</x:f>
        <x:v>1</x:v>
      </x:c>
      <x:c r="H4244" s="381" t="n">
        <x:f>SUMIFS('Climate Data'!$G$7:$G$366,'Climate Data'!$A$7:$A$366,'Estimator'!$B$4,'Climate Data'!$B$7:$B$366,C4244)</x:f>
        <x:v>0.47274749721913234</x:v>
      </x:c>
      <x:c r="I4244" s="382" t="n">
        <x:f>SUMIFS('Climate Data'!$H$7:$H$366,'Climate Data'!$A$7:$A$366,'Estimator'!$B$4,'Climate Data'!$B$7:$B$366,C4244)</x:f>
        <x:v>7.9971764705882356</x:v>
      </x:c>
      <x:c r="J4244" s="381" t="n">
        <x:f>SUMIFS('Wind Proxy'!$H$8:$H$19,'Wind Proxy'!$A$8:$A$19,'Estimator'!$B$4,'Wind Proxy'!$B$8:$B$19,C4244)</x:f>
        <x:v>0.13739545997610514</x:v>
      </x:c>
    </x:row>
    <x:row r="4245">
      <x:c r="A4245" s="379" t="n">
        <x:v>49896</x:v>
      </x:c>
      <x:c r="B4245" s="380" t="n">
        <x:v>2036</x:v>
      </x:c>
      <x:c r="C4245" s="380" t="n">
        <x:v>8</x:v>
      </x:c>
      <x:c r="D4245" s="380" t="str">
        <x:v>Aug</x:v>
      </x:c>
      <x:c r="E4245" s="380" t="n">
        <x:v>9</x:v>
      </x:c>
      <x:c r="F4245" s="380" t="n">
        <x:v>6</x:v>
      </x:c>
      <x:c r="G4245" s="380" t="n">
        <x:f>--(F4245&lt;='Estimator'!$B$7)</x:f>
        <x:v>0</x:v>
      </x:c>
      <x:c r="H4245" s="381" t="n">
        <x:f>SUMIFS('Climate Data'!$G$7:$G$366,'Climate Data'!$A$7:$A$366,'Estimator'!$B$4,'Climate Data'!$B$7:$B$366,C4245)</x:f>
        <x:v>0.47274749721913234</x:v>
      </x:c>
      <x:c r="I4245" s="382" t="n">
        <x:f>SUMIFS('Climate Data'!$H$7:$H$366,'Climate Data'!$A$7:$A$366,'Estimator'!$B$4,'Climate Data'!$B$7:$B$366,C4245)</x:f>
        <x:v>7.9971764705882356</x:v>
      </x:c>
      <x:c r="J4245" s="381" t="n">
        <x:f>SUMIFS('Wind Proxy'!$H$8:$H$19,'Wind Proxy'!$A$8:$A$19,'Estimator'!$B$4,'Wind Proxy'!$B$8:$B$19,C4245)</x:f>
        <x:v>0.13739545997610514</x:v>
      </x:c>
    </x:row>
    <x:row r="4246">
      <x:c r="A4246" s="379" t="n">
        <x:v>49897</x:v>
      </x:c>
      <x:c r="B4246" s="380" t="n">
        <x:v>2036</x:v>
      </x:c>
      <x:c r="C4246" s="380" t="n">
        <x:v>8</x:v>
      </x:c>
      <x:c r="D4246" s="380" t="str">
        <x:v>Aug</x:v>
      </x:c>
      <x:c r="E4246" s="380" t="n">
        <x:v>10</x:v>
      </x:c>
      <x:c r="F4246" s="380" t="n">
        <x:v>7</x:v>
      </x:c>
      <x:c r="G4246" s="380" t="n">
        <x:f>--(F4246&lt;='Estimator'!$B$7)</x:f>
        <x:v>0</x:v>
      </x:c>
      <x:c r="H4246" s="381" t="n">
        <x:f>SUMIFS('Climate Data'!$G$7:$G$366,'Climate Data'!$A$7:$A$366,'Estimator'!$B$4,'Climate Data'!$B$7:$B$366,C4246)</x:f>
        <x:v>0.47274749721913234</x:v>
      </x:c>
      <x:c r="I4246" s="382" t="n">
        <x:f>SUMIFS('Climate Data'!$H$7:$H$366,'Climate Data'!$A$7:$A$366,'Estimator'!$B$4,'Climate Data'!$B$7:$B$366,C4246)</x:f>
        <x:v>7.9971764705882356</x:v>
      </x:c>
      <x:c r="J4246" s="381" t="n">
        <x:f>SUMIFS('Wind Proxy'!$H$8:$H$19,'Wind Proxy'!$A$8:$A$19,'Estimator'!$B$4,'Wind Proxy'!$B$8:$B$19,C4246)</x:f>
        <x:v>0.13739545997610514</x:v>
      </x:c>
    </x:row>
    <x:row r="4247">
      <x:c r="A4247" s="379" t="n">
        <x:v>49898</x:v>
      </x:c>
      <x:c r="B4247" s="380" t="n">
        <x:v>2036</x:v>
      </x:c>
      <x:c r="C4247" s="380" t="n">
        <x:v>8</x:v>
      </x:c>
      <x:c r="D4247" s="380" t="str">
        <x:v>Aug</x:v>
      </x:c>
      <x:c r="E4247" s="380" t="n">
        <x:v>11</x:v>
      </x:c>
      <x:c r="F4247" s="380" t="n">
        <x:v>1</x:v>
      </x:c>
      <x:c r="G4247" s="380" t="n">
        <x:f>--(F4247&lt;='Estimator'!$B$7)</x:f>
        <x:v>1</x:v>
      </x:c>
      <x:c r="H4247" s="381" t="n">
        <x:f>SUMIFS('Climate Data'!$G$7:$G$366,'Climate Data'!$A$7:$A$366,'Estimator'!$B$4,'Climate Data'!$B$7:$B$366,C4247)</x:f>
        <x:v>0.47274749721913234</x:v>
      </x:c>
      <x:c r="I4247" s="382" t="n">
        <x:f>SUMIFS('Climate Data'!$H$7:$H$366,'Climate Data'!$A$7:$A$366,'Estimator'!$B$4,'Climate Data'!$B$7:$B$366,C4247)</x:f>
        <x:v>7.9971764705882356</x:v>
      </x:c>
      <x:c r="J4247" s="381" t="n">
        <x:f>SUMIFS('Wind Proxy'!$H$8:$H$19,'Wind Proxy'!$A$8:$A$19,'Estimator'!$B$4,'Wind Proxy'!$B$8:$B$19,C4247)</x:f>
        <x:v>0.13739545997610514</x:v>
      </x:c>
    </x:row>
    <x:row r="4248">
      <x:c r="A4248" s="379" t="n">
        <x:v>49899</x:v>
      </x:c>
      <x:c r="B4248" s="380" t="n">
        <x:v>2036</x:v>
      </x:c>
      <x:c r="C4248" s="380" t="n">
        <x:v>8</x:v>
      </x:c>
      <x:c r="D4248" s="380" t="str">
        <x:v>Aug</x:v>
      </x:c>
      <x:c r="E4248" s="380" t="n">
        <x:v>12</x:v>
      </x:c>
      <x:c r="F4248" s="380" t="n">
        <x:v>2</x:v>
      </x:c>
      <x:c r="G4248" s="380" t="n">
        <x:f>--(F4248&lt;='Estimator'!$B$7)</x:f>
        <x:v>1</x:v>
      </x:c>
      <x:c r="H4248" s="381" t="n">
        <x:f>SUMIFS('Climate Data'!$G$7:$G$366,'Climate Data'!$A$7:$A$366,'Estimator'!$B$4,'Climate Data'!$B$7:$B$366,C4248)</x:f>
        <x:v>0.47274749721913234</x:v>
      </x:c>
      <x:c r="I4248" s="382" t="n">
        <x:f>SUMIFS('Climate Data'!$H$7:$H$366,'Climate Data'!$A$7:$A$366,'Estimator'!$B$4,'Climate Data'!$B$7:$B$366,C4248)</x:f>
        <x:v>7.9971764705882356</x:v>
      </x:c>
      <x:c r="J4248" s="381" t="n">
        <x:f>SUMIFS('Wind Proxy'!$H$8:$H$19,'Wind Proxy'!$A$8:$A$19,'Estimator'!$B$4,'Wind Proxy'!$B$8:$B$19,C4248)</x:f>
        <x:v>0.13739545997610514</x:v>
      </x:c>
    </x:row>
    <x:row r="4249">
      <x:c r="A4249" s="379" t="n">
        <x:v>49900</x:v>
      </x:c>
      <x:c r="B4249" s="380" t="n">
        <x:v>2036</x:v>
      </x:c>
      <x:c r="C4249" s="380" t="n">
        <x:v>8</x:v>
      </x:c>
      <x:c r="D4249" s="380" t="str">
        <x:v>Aug</x:v>
      </x:c>
      <x:c r="E4249" s="380" t="n">
        <x:v>13</x:v>
      </x:c>
      <x:c r="F4249" s="380" t="n">
        <x:v>3</x:v>
      </x:c>
      <x:c r="G4249" s="380" t="n">
        <x:f>--(F4249&lt;='Estimator'!$B$7)</x:f>
        <x:v>1</x:v>
      </x:c>
      <x:c r="H4249" s="381" t="n">
        <x:f>SUMIFS('Climate Data'!$G$7:$G$366,'Climate Data'!$A$7:$A$366,'Estimator'!$B$4,'Climate Data'!$B$7:$B$366,C4249)</x:f>
        <x:v>0.47274749721913234</x:v>
      </x:c>
      <x:c r="I4249" s="382" t="n">
        <x:f>SUMIFS('Climate Data'!$H$7:$H$366,'Climate Data'!$A$7:$A$366,'Estimator'!$B$4,'Climate Data'!$B$7:$B$366,C4249)</x:f>
        <x:v>7.9971764705882356</x:v>
      </x:c>
      <x:c r="J4249" s="381" t="n">
        <x:f>SUMIFS('Wind Proxy'!$H$8:$H$19,'Wind Proxy'!$A$8:$A$19,'Estimator'!$B$4,'Wind Proxy'!$B$8:$B$19,C4249)</x:f>
        <x:v>0.13739545997610514</x:v>
      </x:c>
    </x:row>
    <x:row r="4250">
      <x:c r="A4250" s="379" t="n">
        <x:v>49901</x:v>
      </x:c>
      <x:c r="B4250" s="380" t="n">
        <x:v>2036</x:v>
      </x:c>
      <x:c r="C4250" s="380" t="n">
        <x:v>8</x:v>
      </x:c>
      <x:c r="D4250" s="380" t="str">
        <x:v>Aug</x:v>
      </x:c>
      <x:c r="E4250" s="380" t="n">
        <x:v>14</x:v>
      </x:c>
      <x:c r="F4250" s="380" t="n">
        <x:v>4</x:v>
      </x:c>
      <x:c r="G4250" s="380" t="n">
        <x:f>--(F4250&lt;='Estimator'!$B$7)</x:f>
        <x:v>1</x:v>
      </x:c>
      <x:c r="H4250" s="381" t="n">
        <x:f>SUMIFS('Climate Data'!$G$7:$G$366,'Climate Data'!$A$7:$A$366,'Estimator'!$B$4,'Climate Data'!$B$7:$B$366,C4250)</x:f>
        <x:v>0.47274749721913234</x:v>
      </x:c>
      <x:c r="I4250" s="382" t="n">
        <x:f>SUMIFS('Climate Data'!$H$7:$H$366,'Climate Data'!$A$7:$A$366,'Estimator'!$B$4,'Climate Data'!$B$7:$B$366,C4250)</x:f>
        <x:v>7.9971764705882356</x:v>
      </x:c>
      <x:c r="J4250" s="381" t="n">
        <x:f>SUMIFS('Wind Proxy'!$H$8:$H$19,'Wind Proxy'!$A$8:$A$19,'Estimator'!$B$4,'Wind Proxy'!$B$8:$B$19,C4250)</x:f>
        <x:v>0.13739545997610514</x:v>
      </x:c>
    </x:row>
    <x:row r="4251">
      <x:c r="A4251" s="379" t="n">
        <x:v>49902</x:v>
      </x:c>
      <x:c r="B4251" s="380" t="n">
        <x:v>2036</x:v>
      </x:c>
      <x:c r="C4251" s="380" t="n">
        <x:v>8</x:v>
      </x:c>
      <x:c r="D4251" s="380" t="str">
        <x:v>Aug</x:v>
      </x:c>
      <x:c r="E4251" s="380" t="n">
        <x:v>15</x:v>
      </x:c>
      <x:c r="F4251" s="380" t="n">
        <x:v>5</x:v>
      </x:c>
      <x:c r="G4251" s="380" t="n">
        <x:f>--(F4251&lt;='Estimator'!$B$7)</x:f>
        <x:v>1</x:v>
      </x:c>
      <x:c r="H4251" s="381" t="n">
        <x:f>SUMIFS('Climate Data'!$G$7:$G$366,'Climate Data'!$A$7:$A$366,'Estimator'!$B$4,'Climate Data'!$B$7:$B$366,C4251)</x:f>
        <x:v>0.47274749721913234</x:v>
      </x:c>
      <x:c r="I4251" s="382" t="n">
        <x:f>SUMIFS('Climate Data'!$H$7:$H$366,'Climate Data'!$A$7:$A$366,'Estimator'!$B$4,'Climate Data'!$B$7:$B$366,C4251)</x:f>
        <x:v>7.9971764705882356</x:v>
      </x:c>
      <x:c r="J4251" s="381" t="n">
        <x:f>SUMIFS('Wind Proxy'!$H$8:$H$19,'Wind Proxy'!$A$8:$A$19,'Estimator'!$B$4,'Wind Proxy'!$B$8:$B$19,C4251)</x:f>
        <x:v>0.13739545997610514</x:v>
      </x:c>
    </x:row>
    <x:row r="4252">
      <x:c r="A4252" s="379" t="n">
        <x:v>49903</x:v>
      </x:c>
      <x:c r="B4252" s="380" t="n">
        <x:v>2036</x:v>
      </x:c>
      <x:c r="C4252" s="380" t="n">
        <x:v>8</x:v>
      </x:c>
      <x:c r="D4252" s="380" t="str">
        <x:v>Aug</x:v>
      </x:c>
      <x:c r="E4252" s="380" t="n">
        <x:v>16</x:v>
      </x:c>
      <x:c r="F4252" s="380" t="n">
        <x:v>6</x:v>
      </x:c>
      <x:c r="G4252" s="380" t="n">
        <x:f>--(F4252&lt;='Estimator'!$B$7)</x:f>
        <x:v>0</x:v>
      </x:c>
      <x:c r="H4252" s="381" t="n">
        <x:f>SUMIFS('Climate Data'!$G$7:$G$366,'Climate Data'!$A$7:$A$366,'Estimator'!$B$4,'Climate Data'!$B$7:$B$366,C4252)</x:f>
        <x:v>0.47274749721913234</x:v>
      </x:c>
      <x:c r="I4252" s="382" t="n">
        <x:f>SUMIFS('Climate Data'!$H$7:$H$366,'Climate Data'!$A$7:$A$366,'Estimator'!$B$4,'Climate Data'!$B$7:$B$366,C4252)</x:f>
        <x:v>7.9971764705882356</x:v>
      </x:c>
      <x:c r="J4252" s="381" t="n">
        <x:f>SUMIFS('Wind Proxy'!$H$8:$H$19,'Wind Proxy'!$A$8:$A$19,'Estimator'!$B$4,'Wind Proxy'!$B$8:$B$19,C4252)</x:f>
        <x:v>0.13739545997610514</x:v>
      </x:c>
    </x:row>
    <x:row r="4253">
      <x:c r="A4253" s="379" t="n">
        <x:v>49904</x:v>
      </x:c>
      <x:c r="B4253" s="380" t="n">
        <x:v>2036</x:v>
      </x:c>
      <x:c r="C4253" s="380" t="n">
        <x:v>8</x:v>
      </x:c>
      <x:c r="D4253" s="380" t="str">
        <x:v>Aug</x:v>
      </x:c>
      <x:c r="E4253" s="380" t="n">
        <x:v>17</x:v>
      </x:c>
      <x:c r="F4253" s="380" t="n">
        <x:v>7</x:v>
      </x:c>
      <x:c r="G4253" s="380" t="n">
        <x:f>--(F4253&lt;='Estimator'!$B$7)</x:f>
        <x:v>0</x:v>
      </x:c>
      <x:c r="H4253" s="381" t="n">
        <x:f>SUMIFS('Climate Data'!$G$7:$G$366,'Climate Data'!$A$7:$A$366,'Estimator'!$B$4,'Climate Data'!$B$7:$B$366,C4253)</x:f>
        <x:v>0.47274749721913234</x:v>
      </x:c>
      <x:c r="I4253" s="382" t="n">
        <x:f>SUMIFS('Climate Data'!$H$7:$H$366,'Climate Data'!$A$7:$A$366,'Estimator'!$B$4,'Climate Data'!$B$7:$B$366,C4253)</x:f>
        <x:v>7.9971764705882356</x:v>
      </x:c>
      <x:c r="J4253" s="381" t="n">
        <x:f>SUMIFS('Wind Proxy'!$H$8:$H$19,'Wind Proxy'!$A$8:$A$19,'Estimator'!$B$4,'Wind Proxy'!$B$8:$B$19,C4253)</x:f>
        <x:v>0.13739545997610514</x:v>
      </x:c>
    </x:row>
    <x:row r="4254">
      <x:c r="A4254" s="379" t="n">
        <x:v>49905</x:v>
      </x:c>
      <x:c r="B4254" s="380" t="n">
        <x:v>2036</x:v>
      </x:c>
      <x:c r="C4254" s="380" t="n">
        <x:v>8</x:v>
      </x:c>
      <x:c r="D4254" s="380" t="str">
        <x:v>Aug</x:v>
      </x:c>
      <x:c r="E4254" s="380" t="n">
        <x:v>18</x:v>
      </x:c>
      <x:c r="F4254" s="380" t="n">
        <x:v>1</x:v>
      </x:c>
      <x:c r="G4254" s="380" t="n">
        <x:f>--(F4254&lt;='Estimator'!$B$7)</x:f>
        <x:v>1</x:v>
      </x:c>
      <x:c r="H4254" s="381" t="n">
        <x:f>SUMIFS('Climate Data'!$G$7:$G$366,'Climate Data'!$A$7:$A$366,'Estimator'!$B$4,'Climate Data'!$B$7:$B$366,C4254)</x:f>
        <x:v>0.47274749721913234</x:v>
      </x:c>
      <x:c r="I4254" s="382" t="n">
        <x:f>SUMIFS('Climate Data'!$H$7:$H$366,'Climate Data'!$A$7:$A$366,'Estimator'!$B$4,'Climate Data'!$B$7:$B$366,C4254)</x:f>
        <x:v>7.9971764705882356</x:v>
      </x:c>
      <x:c r="J4254" s="381" t="n">
        <x:f>SUMIFS('Wind Proxy'!$H$8:$H$19,'Wind Proxy'!$A$8:$A$19,'Estimator'!$B$4,'Wind Proxy'!$B$8:$B$19,C4254)</x:f>
        <x:v>0.13739545997610514</x:v>
      </x:c>
    </x:row>
    <x:row r="4255">
      <x:c r="A4255" s="379" t="n">
        <x:v>49906</x:v>
      </x:c>
      <x:c r="B4255" s="380" t="n">
        <x:v>2036</x:v>
      </x:c>
      <x:c r="C4255" s="380" t="n">
        <x:v>8</x:v>
      </x:c>
      <x:c r="D4255" s="380" t="str">
        <x:v>Aug</x:v>
      </x:c>
      <x:c r="E4255" s="380" t="n">
        <x:v>19</x:v>
      </x:c>
      <x:c r="F4255" s="380" t="n">
        <x:v>2</x:v>
      </x:c>
      <x:c r="G4255" s="380" t="n">
        <x:f>--(F4255&lt;='Estimator'!$B$7)</x:f>
        <x:v>1</x:v>
      </x:c>
      <x:c r="H4255" s="381" t="n">
        <x:f>SUMIFS('Climate Data'!$G$7:$G$366,'Climate Data'!$A$7:$A$366,'Estimator'!$B$4,'Climate Data'!$B$7:$B$366,C4255)</x:f>
        <x:v>0.47274749721913234</x:v>
      </x:c>
      <x:c r="I4255" s="382" t="n">
        <x:f>SUMIFS('Climate Data'!$H$7:$H$366,'Climate Data'!$A$7:$A$366,'Estimator'!$B$4,'Climate Data'!$B$7:$B$366,C4255)</x:f>
        <x:v>7.9971764705882356</x:v>
      </x:c>
      <x:c r="J4255" s="381" t="n">
        <x:f>SUMIFS('Wind Proxy'!$H$8:$H$19,'Wind Proxy'!$A$8:$A$19,'Estimator'!$B$4,'Wind Proxy'!$B$8:$B$19,C4255)</x:f>
        <x:v>0.13739545997610514</x:v>
      </x:c>
    </x:row>
    <x:row r="4256">
      <x:c r="A4256" s="379" t="n">
        <x:v>49907</x:v>
      </x:c>
      <x:c r="B4256" s="380" t="n">
        <x:v>2036</x:v>
      </x:c>
      <x:c r="C4256" s="380" t="n">
        <x:v>8</x:v>
      </x:c>
      <x:c r="D4256" s="380" t="str">
        <x:v>Aug</x:v>
      </x:c>
      <x:c r="E4256" s="380" t="n">
        <x:v>20</x:v>
      </x:c>
      <x:c r="F4256" s="380" t="n">
        <x:v>3</x:v>
      </x:c>
      <x:c r="G4256" s="380" t="n">
        <x:f>--(F4256&lt;='Estimator'!$B$7)</x:f>
        <x:v>1</x:v>
      </x:c>
      <x:c r="H4256" s="381" t="n">
        <x:f>SUMIFS('Climate Data'!$G$7:$G$366,'Climate Data'!$A$7:$A$366,'Estimator'!$B$4,'Climate Data'!$B$7:$B$366,C4256)</x:f>
        <x:v>0.47274749721913234</x:v>
      </x:c>
      <x:c r="I4256" s="382" t="n">
        <x:f>SUMIFS('Climate Data'!$H$7:$H$366,'Climate Data'!$A$7:$A$366,'Estimator'!$B$4,'Climate Data'!$B$7:$B$366,C4256)</x:f>
        <x:v>7.9971764705882356</x:v>
      </x:c>
      <x:c r="J4256" s="381" t="n">
        <x:f>SUMIFS('Wind Proxy'!$H$8:$H$19,'Wind Proxy'!$A$8:$A$19,'Estimator'!$B$4,'Wind Proxy'!$B$8:$B$19,C4256)</x:f>
        <x:v>0.13739545997610514</x:v>
      </x:c>
    </x:row>
    <x:row r="4257">
      <x:c r="A4257" s="379" t="n">
        <x:v>49908</x:v>
      </x:c>
      <x:c r="B4257" s="380" t="n">
        <x:v>2036</x:v>
      </x:c>
      <x:c r="C4257" s="380" t="n">
        <x:v>8</x:v>
      </x:c>
      <x:c r="D4257" s="380" t="str">
        <x:v>Aug</x:v>
      </x:c>
      <x:c r="E4257" s="380" t="n">
        <x:v>21</x:v>
      </x:c>
      <x:c r="F4257" s="380" t="n">
        <x:v>4</x:v>
      </x:c>
      <x:c r="G4257" s="380" t="n">
        <x:f>--(F4257&lt;='Estimator'!$B$7)</x:f>
        <x:v>1</x:v>
      </x:c>
      <x:c r="H4257" s="381" t="n">
        <x:f>SUMIFS('Climate Data'!$G$7:$G$366,'Climate Data'!$A$7:$A$366,'Estimator'!$B$4,'Climate Data'!$B$7:$B$366,C4257)</x:f>
        <x:v>0.47274749721913234</x:v>
      </x:c>
      <x:c r="I4257" s="382" t="n">
        <x:f>SUMIFS('Climate Data'!$H$7:$H$366,'Climate Data'!$A$7:$A$366,'Estimator'!$B$4,'Climate Data'!$B$7:$B$366,C4257)</x:f>
        <x:v>7.9971764705882356</x:v>
      </x:c>
      <x:c r="J4257" s="381" t="n">
        <x:f>SUMIFS('Wind Proxy'!$H$8:$H$19,'Wind Proxy'!$A$8:$A$19,'Estimator'!$B$4,'Wind Proxy'!$B$8:$B$19,C4257)</x:f>
        <x:v>0.13739545997610514</x:v>
      </x:c>
    </x:row>
    <x:row r="4258">
      <x:c r="A4258" s="379" t="n">
        <x:v>49909</x:v>
      </x:c>
      <x:c r="B4258" s="380" t="n">
        <x:v>2036</x:v>
      </x:c>
      <x:c r="C4258" s="380" t="n">
        <x:v>8</x:v>
      </x:c>
      <x:c r="D4258" s="380" t="str">
        <x:v>Aug</x:v>
      </x:c>
      <x:c r="E4258" s="380" t="n">
        <x:v>22</x:v>
      </x:c>
      <x:c r="F4258" s="380" t="n">
        <x:v>5</x:v>
      </x:c>
      <x:c r="G4258" s="380" t="n">
        <x:f>--(F4258&lt;='Estimator'!$B$7)</x:f>
        <x:v>1</x:v>
      </x:c>
      <x:c r="H4258" s="381" t="n">
        <x:f>SUMIFS('Climate Data'!$G$7:$G$366,'Climate Data'!$A$7:$A$366,'Estimator'!$B$4,'Climate Data'!$B$7:$B$366,C4258)</x:f>
        <x:v>0.47274749721913234</x:v>
      </x:c>
      <x:c r="I4258" s="382" t="n">
        <x:f>SUMIFS('Climate Data'!$H$7:$H$366,'Climate Data'!$A$7:$A$366,'Estimator'!$B$4,'Climate Data'!$B$7:$B$366,C4258)</x:f>
        <x:v>7.9971764705882356</x:v>
      </x:c>
      <x:c r="J4258" s="381" t="n">
        <x:f>SUMIFS('Wind Proxy'!$H$8:$H$19,'Wind Proxy'!$A$8:$A$19,'Estimator'!$B$4,'Wind Proxy'!$B$8:$B$19,C4258)</x:f>
        <x:v>0.13739545997610514</x:v>
      </x:c>
    </x:row>
    <x:row r="4259">
      <x:c r="A4259" s="379" t="n">
        <x:v>49910</x:v>
      </x:c>
      <x:c r="B4259" s="380" t="n">
        <x:v>2036</x:v>
      </x:c>
      <x:c r="C4259" s="380" t="n">
        <x:v>8</x:v>
      </x:c>
      <x:c r="D4259" s="380" t="str">
        <x:v>Aug</x:v>
      </x:c>
      <x:c r="E4259" s="380" t="n">
        <x:v>23</x:v>
      </x:c>
      <x:c r="F4259" s="380" t="n">
        <x:v>6</x:v>
      </x:c>
      <x:c r="G4259" s="380" t="n">
        <x:f>--(F4259&lt;='Estimator'!$B$7)</x:f>
        <x:v>0</x:v>
      </x:c>
      <x:c r="H4259" s="381" t="n">
        <x:f>SUMIFS('Climate Data'!$G$7:$G$366,'Climate Data'!$A$7:$A$366,'Estimator'!$B$4,'Climate Data'!$B$7:$B$366,C4259)</x:f>
        <x:v>0.47274749721913234</x:v>
      </x:c>
      <x:c r="I4259" s="382" t="n">
        <x:f>SUMIFS('Climate Data'!$H$7:$H$366,'Climate Data'!$A$7:$A$366,'Estimator'!$B$4,'Climate Data'!$B$7:$B$366,C4259)</x:f>
        <x:v>7.9971764705882356</x:v>
      </x:c>
      <x:c r="J4259" s="381" t="n">
        <x:f>SUMIFS('Wind Proxy'!$H$8:$H$19,'Wind Proxy'!$A$8:$A$19,'Estimator'!$B$4,'Wind Proxy'!$B$8:$B$19,C4259)</x:f>
        <x:v>0.13739545997610514</x:v>
      </x:c>
    </x:row>
    <x:row r="4260">
      <x:c r="A4260" s="379" t="n">
        <x:v>49911</x:v>
      </x:c>
      <x:c r="B4260" s="380" t="n">
        <x:v>2036</x:v>
      </x:c>
      <x:c r="C4260" s="380" t="n">
        <x:v>8</x:v>
      </x:c>
      <x:c r="D4260" s="380" t="str">
        <x:v>Aug</x:v>
      </x:c>
      <x:c r="E4260" s="380" t="n">
        <x:v>24</x:v>
      </x:c>
      <x:c r="F4260" s="380" t="n">
        <x:v>7</x:v>
      </x:c>
      <x:c r="G4260" s="380" t="n">
        <x:f>--(F4260&lt;='Estimator'!$B$7)</x:f>
        <x:v>0</x:v>
      </x:c>
      <x:c r="H4260" s="381" t="n">
        <x:f>SUMIFS('Climate Data'!$G$7:$G$366,'Climate Data'!$A$7:$A$366,'Estimator'!$B$4,'Climate Data'!$B$7:$B$366,C4260)</x:f>
        <x:v>0.47274749721913234</x:v>
      </x:c>
      <x:c r="I4260" s="382" t="n">
        <x:f>SUMIFS('Climate Data'!$H$7:$H$366,'Climate Data'!$A$7:$A$366,'Estimator'!$B$4,'Climate Data'!$B$7:$B$366,C4260)</x:f>
        <x:v>7.9971764705882356</x:v>
      </x:c>
      <x:c r="J4260" s="381" t="n">
        <x:f>SUMIFS('Wind Proxy'!$H$8:$H$19,'Wind Proxy'!$A$8:$A$19,'Estimator'!$B$4,'Wind Proxy'!$B$8:$B$19,C4260)</x:f>
        <x:v>0.13739545997610514</x:v>
      </x:c>
    </x:row>
    <x:row r="4261">
      <x:c r="A4261" s="379" t="n">
        <x:v>49912</x:v>
      </x:c>
      <x:c r="B4261" s="380" t="n">
        <x:v>2036</x:v>
      </x:c>
      <x:c r="C4261" s="380" t="n">
        <x:v>8</x:v>
      </x:c>
      <x:c r="D4261" s="380" t="str">
        <x:v>Aug</x:v>
      </x:c>
      <x:c r="E4261" s="380" t="n">
        <x:v>25</x:v>
      </x:c>
      <x:c r="F4261" s="380" t="n">
        <x:v>1</x:v>
      </x:c>
      <x:c r="G4261" s="380" t="n">
        <x:f>--(F4261&lt;='Estimator'!$B$7)</x:f>
        <x:v>1</x:v>
      </x:c>
      <x:c r="H4261" s="381" t="n">
        <x:f>SUMIFS('Climate Data'!$G$7:$G$366,'Climate Data'!$A$7:$A$366,'Estimator'!$B$4,'Climate Data'!$B$7:$B$366,C4261)</x:f>
        <x:v>0.47274749721913234</x:v>
      </x:c>
      <x:c r="I4261" s="382" t="n">
        <x:f>SUMIFS('Climate Data'!$H$7:$H$366,'Climate Data'!$A$7:$A$366,'Estimator'!$B$4,'Climate Data'!$B$7:$B$366,C4261)</x:f>
        <x:v>7.9971764705882356</x:v>
      </x:c>
      <x:c r="J4261" s="381" t="n">
        <x:f>SUMIFS('Wind Proxy'!$H$8:$H$19,'Wind Proxy'!$A$8:$A$19,'Estimator'!$B$4,'Wind Proxy'!$B$8:$B$19,C4261)</x:f>
        <x:v>0.13739545997610514</x:v>
      </x:c>
    </x:row>
    <x:row r="4262">
      <x:c r="A4262" s="379" t="n">
        <x:v>49913</x:v>
      </x:c>
      <x:c r="B4262" s="380" t="n">
        <x:v>2036</x:v>
      </x:c>
      <x:c r="C4262" s="380" t="n">
        <x:v>8</x:v>
      </x:c>
      <x:c r="D4262" s="380" t="str">
        <x:v>Aug</x:v>
      </x:c>
      <x:c r="E4262" s="380" t="n">
        <x:v>26</x:v>
      </x:c>
      <x:c r="F4262" s="380" t="n">
        <x:v>2</x:v>
      </x:c>
      <x:c r="G4262" s="380" t="n">
        <x:f>--(F4262&lt;='Estimator'!$B$7)</x:f>
        <x:v>1</x:v>
      </x:c>
      <x:c r="H4262" s="381" t="n">
        <x:f>SUMIFS('Climate Data'!$G$7:$G$366,'Climate Data'!$A$7:$A$366,'Estimator'!$B$4,'Climate Data'!$B$7:$B$366,C4262)</x:f>
        <x:v>0.47274749721913234</x:v>
      </x:c>
      <x:c r="I4262" s="382" t="n">
        <x:f>SUMIFS('Climate Data'!$H$7:$H$366,'Climate Data'!$A$7:$A$366,'Estimator'!$B$4,'Climate Data'!$B$7:$B$366,C4262)</x:f>
        <x:v>7.9971764705882356</x:v>
      </x:c>
      <x:c r="J4262" s="381" t="n">
        <x:f>SUMIFS('Wind Proxy'!$H$8:$H$19,'Wind Proxy'!$A$8:$A$19,'Estimator'!$B$4,'Wind Proxy'!$B$8:$B$19,C4262)</x:f>
        <x:v>0.13739545997610514</x:v>
      </x:c>
    </x:row>
    <x:row r="4263">
      <x:c r="A4263" s="379" t="n">
        <x:v>49914</x:v>
      </x:c>
      <x:c r="B4263" s="380" t="n">
        <x:v>2036</x:v>
      </x:c>
      <x:c r="C4263" s="380" t="n">
        <x:v>8</x:v>
      </x:c>
      <x:c r="D4263" s="380" t="str">
        <x:v>Aug</x:v>
      </x:c>
      <x:c r="E4263" s="380" t="n">
        <x:v>27</x:v>
      </x:c>
      <x:c r="F4263" s="380" t="n">
        <x:v>3</x:v>
      </x:c>
      <x:c r="G4263" s="380" t="n">
        <x:f>--(F4263&lt;='Estimator'!$B$7)</x:f>
        <x:v>1</x:v>
      </x:c>
      <x:c r="H4263" s="381" t="n">
        <x:f>SUMIFS('Climate Data'!$G$7:$G$366,'Climate Data'!$A$7:$A$366,'Estimator'!$B$4,'Climate Data'!$B$7:$B$366,C4263)</x:f>
        <x:v>0.47274749721913234</x:v>
      </x:c>
      <x:c r="I4263" s="382" t="n">
        <x:f>SUMIFS('Climate Data'!$H$7:$H$366,'Climate Data'!$A$7:$A$366,'Estimator'!$B$4,'Climate Data'!$B$7:$B$366,C4263)</x:f>
        <x:v>7.9971764705882356</x:v>
      </x:c>
      <x:c r="J4263" s="381" t="n">
        <x:f>SUMIFS('Wind Proxy'!$H$8:$H$19,'Wind Proxy'!$A$8:$A$19,'Estimator'!$B$4,'Wind Proxy'!$B$8:$B$19,C4263)</x:f>
        <x:v>0.13739545997610514</x:v>
      </x:c>
    </x:row>
    <x:row r="4264">
      <x:c r="A4264" s="379" t="n">
        <x:v>49915</x:v>
      </x:c>
      <x:c r="B4264" s="380" t="n">
        <x:v>2036</x:v>
      </x:c>
      <x:c r="C4264" s="380" t="n">
        <x:v>8</x:v>
      </x:c>
      <x:c r="D4264" s="380" t="str">
        <x:v>Aug</x:v>
      </x:c>
      <x:c r="E4264" s="380" t="n">
        <x:v>28</x:v>
      </x:c>
      <x:c r="F4264" s="380" t="n">
        <x:v>4</x:v>
      </x:c>
      <x:c r="G4264" s="380" t="n">
        <x:f>--(F4264&lt;='Estimator'!$B$7)</x:f>
        <x:v>1</x:v>
      </x:c>
      <x:c r="H4264" s="381" t="n">
        <x:f>SUMIFS('Climate Data'!$G$7:$G$366,'Climate Data'!$A$7:$A$366,'Estimator'!$B$4,'Climate Data'!$B$7:$B$366,C4264)</x:f>
        <x:v>0.47274749721913234</x:v>
      </x:c>
      <x:c r="I4264" s="382" t="n">
        <x:f>SUMIFS('Climate Data'!$H$7:$H$366,'Climate Data'!$A$7:$A$366,'Estimator'!$B$4,'Climate Data'!$B$7:$B$366,C4264)</x:f>
        <x:v>7.9971764705882356</x:v>
      </x:c>
      <x:c r="J4264" s="381" t="n">
        <x:f>SUMIFS('Wind Proxy'!$H$8:$H$19,'Wind Proxy'!$A$8:$A$19,'Estimator'!$B$4,'Wind Proxy'!$B$8:$B$19,C4264)</x:f>
        <x:v>0.13739545997610514</x:v>
      </x:c>
    </x:row>
    <x:row r="4265">
      <x:c r="A4265" s="379" t="n">
        <x:v>49916</x:v>
      </x:c>
      <x:c r="B4265" s="380" t="n">
        <x:v>2036</x:v>
      </x:c>
      <x:c r="C4265" s="380" t="n">
        <x:v>8</x:v>
      </x:c>
      <x:c r="D4265" s="380" t="str">
        <x:v>Aug</x:v>
      </x:c>
      <x:c r="E4265" s="380" t="n">
        <x:v>29</x:v>
      </x:c>
      <x:c r="F4265" s="380" t="n">
        <x:v>5</x:v>
      </x:c>
      <x:c r="G4265" s="380" t="n">
        <x:f>--(F4265&lt;='Estimator'!$B$7)</x:f>
        <x:v>1</x:v>
      </x:c>
      <x:c r="H4265" s="381" t="n">
        <x:f>SUMIFS('Climate Data'!$G$7:$G$366,'Climate Data'!$A$7:$A$366,'Estimator'!$B$4,'Climate Data'!$B$7:$B$366,C4265)</x:f>
        <x:v>0.47274749721913234</x:v>
      </x:c>
      <x:c r="I4265" s="382" t="n">
        <x:f>SUMIFS('Climate Data'!$H$7:$H$366,'Climate Data'!$A$7:$A$366,'Estimator'!$B$4,'Climate Data'!$B$7:$B$366,C4265)</x:f>
        <x:v>7.9971764705882356</x:v>
      </x:c>
      <x:c r="J4265" s="381" t="n">
        <x:f>SUMIFS('Wind Proxy'!$H$8:$H$19,'Wind Proxy'!$A$8:$A$19,'Estimator'!$B$4,'Wind Proxy'!$B$8:$B$19,C4265)</x:f>
        <x:v>0.13739545997610514</x:v>
      </x:c>
    </x:row>
    <x:row r="4266">
      <x:c r="A4266" s="379" t="n">
        <x:v>49917</x:v>
      </x:c>
      <x:c r="B4266" s="380" t="n">
        <x:v>2036</x:v>
      </x:c>
      <x:c r="C4266" s="380" t="n">
        <x:v>8</x:v>
      </x:c>
      <x:c r="D4266" s="380" t="str">
        <x:v>Aug</x:v>
      </x:c>
      <x:c r="E4266" s="380" t="n">
        <x:v>30</x:v>
      </x:c>
      <x:c r="F4266" s="380" t="n">
        <x:v>6</x:v>
      </x:c>
      <x:c r="G4266" s="380" t="n">
        <x:f>--(F4266&lt;='Estimator'!$B$7)</x:f>
        <x:v>0</x:v>
      </x:c>
      <x:c r="H4266" s="381" t="n">
        <x:f>SUMIFS('Climate Data'!$G$7:$G$366,'Climate Data'!$A$7:$A$366,'Estimator'!$B$4,'Climate Data'!$B$7:$B$366,C4266)</x:f>
        <x:v>0.47274749721913234</x:v>
      </x:c>
      <x:c r="I4266" s="382" t="n">
        <x:f>SUMIFS('Climate Data'!$H$7:$H$366,'Climate Data'!$A$7:$A$366,'Estimator'!$B$4,'Climate Data'!$B$7:$B$366,C4266)</x:f>
        <x:v>7.9971764705882356</x:v>
      </x:c>
      <x:c r="J4266" s="381" t="n">
        <x:f>SUMIFS('Wind Proxy'!$H$8:$H$19,'Wind Proxy'!$A$8:$A$19,'Estimator'!$B$4,'Wind Proxy'!$B$8:$B$19,C4266)</x:f>
        <x:v>0.13739545997610514</x:v>
      </x:c>
    </x:row>
    <x:row r="4267">
      <x:c r="A4267" s="379" t="n">
        <x:v>49918</x:v>
      </x:c>
      <x:c r="B4267" s="380" t="n">
        <x:v>2036</x:v>
      </x:c>
      <x:c r="C4267" s="380" t="n">
        <x:v>8</x:v>
      </x:c>
      <x:c r="D4267" s="380" t="str">
        <x:v>Aug</x:v>
      </x:c>
      <x:c r="E4267" s="380" t="n">
        <x:v>31</x:v>
      </x:c>
      <x:c r="F4267" s="380" t="n">
        <x:v>7</x:v>
      </x:c>
      <x:c r="G4267" s="380" t="n">
        <x:f>--(F4267&lt;='Estimator'!$B$7)</x:f>
        <x:v>0</x:v>
      </x:c>
      <x:c r="H4267" s="381" t="n">
        <x:f>SUMIFS('Climate Data'!$G$7:$G$366,'Climate Data'!$A$7:$A$366,'Estimator'!$B$4,'Climate Data'!$B$7:$B$366,C4267)</x:f>
        <x:v>0.47274749721913234</x:v>
      </x:c>
      <x:c r="I4267" s="382" t="n">
        <x:f>SUMIFS('Climate Data'!$H$7:$H$366,'Climate Data'!$A$7:$A$366,'Estimator'!$B$4,'Climate Data'!$B$7:$B$366,C4267)</x:f>
        <x:v>7.9971764705882356</x:v>
      </x:c>
      <x:c r="J4267" s="381" t="n">
        <x:f>SUMIFS('Wind Proxy'!$H$8:$H$19,'Wind Proxy'!$A$8:$A$19,'Estimator'!$B$4,'Wind Proxy'!$B$8:$B$19,C4267)</x:f>
        <x:v>0.13739545997610514</x:v>
      </x:c>
    </x:row>
    <x:row r="4268">
      <x:c r="A4268" s="379" t="n">
        <x:v>49919</x:v>
      </x:c>
      <x:c r="B4268" s="380" t="n">
        <x:v>2036</x:v>
      </x:c>
      <x:c r="C4268" s="380" t="n">
        <x:v>9</x:v>
      </x:c>
      <x:c r="D4268" s="380" t="str">
        <x:v>Sep</x:v>
      </x:c>
      <x:c r="E4268" s="380" t="n">
        <x:v>1</x:v>
      </x:c>
      <x:c r="F4268" s="380" t="n">
        <x:v>1</x:v>
      </x:c>
      <x:c r="G4268" s="380" t="n">
        <x:f>--(F4268&lt;='Estimator'!$B$7)</x:f>
        <x:v>1</x:v>
      </x:c>
      <x:c r="H4268" s="381" t="n">
        <x:f>SUMIFS('Climate Data'!$G$7:$G$366,'Climate Data'!$A$7:$A$366,'Estimator'!$B$4,'Climate Data'!$B$7:$B$366,C4268)</x:f>
        <x:v>0.4160919540229885</x:v>
      </x:c>
      <x:c r="I4268" s="382" t="n">
        <x:f>SUMIFS('Climate Data'!$H$7:$H$366,'Climate Data'!$A$7:$A$366,'Estimator'!$B$4,'Climate Data'!$B$7:$B$366,C4268)</x:f>
        <x:v>8.019060773480662</x:v>
      </x:c>
      <x:c r="J4268" s="381" t="n">
        <x:f>SUMIFS('Wind Proxy'!$H$8:$H$19,'Wind Proxy'!$A$8:$A$19,'Estimator'!$B$4,'Wind Proxy'!$B$8:$B$19,C4268)</x:f>
        <x:v>0.22222222222222224</x:v>
      </x:c>
    </x:row>
    <x:row r="4269">
      <x:c r="A4269" s="379" t="n">
        <x:v>49920</x:v>
      </x:c>
      <x:c r="B4269" s="380" t="n">
        <x:v>2036</x:v>
      </x:c>
      <x:c r="C4269" s="380" t="n">
        <x:v>9</x:v>
      </x:c>
      <x:c r="D4269" s="380" t="str">
        <x:v>Sep</x:v>
      </x:c>
      <x:c r="E4269" s="380" t="n">
        <x:v>2</x:v>
      </x:c>
      <x:c r="F4269" s="380" t="n">
        <x:v>2</x:v>
      </x:c>
      <x:c r="G4269" s="380" t="n">
        <x:f>--(F4269&lt;='Estimator'!$B$7)</x:f>
        <x:v>1</x:v>
      </x:c>
      <x:c r="H4269" s="381" t="n">
        <x:f>SUMIFS('Climate Data'!$G$7:$G$366,'Climate Data'!$A$7:$A$366,'Estimator'!$B$4,'Climate Data'!$B$7:$B$366,C4269)</x:f>
        <x:v>0.4160919540229885</x:v>
      </x:c>
      <x:c r="I4269" s="382" t="n">
        <x:f>SUMIFS('Climate Data'!$H$7:$H$366,'Climate Data'!$A$7:$A$366,'Estimator'!$B$4,'Climate Data'!$B$7:$B$366,C4269)</x:f>
        <x:v>8.019060773480662</x:v>
      </x:c>
      <x:c r="J4269" s="381" t="n">
        <x:f>SUMIFS('Wind Proxy'!$H$8:$H$19,'Wind Proxy'!$A$8:$A$19,'Estimator'!$B$4,'Wind Proxy'!$B$8:$B$19,C4269)</x:f>
        <x:v>0.22222222222222224</x:v>
      </x:c>
    </x:row>
    <x:row r="4270">
      <x:c r="A4270" s="379" t="n">
        <x:v>49921</x:v>
      </x:c>
      <x:c r="B4270" s="380" t="n">
        <x:v>2036</x:v>
      </x:c>
      <x:c r="C4270" s="380" t="n">
        <x:v>9</x:v>
      </x:c>
      <x:c r="D4270" s="380" t="str">
        <x:v>Sep</x:v>
      </x:c>
      <x:c r="E4270" s="380" t="n">
        <x:v>3</x:v>
      </x:c>
      <x:c r="F4270" s="380" t="n">
        <x:v>3</x:v>
      </x:c>
      <x:c r="G4270" s="380" t="n">
        <x:f>--(F4270&lt;='Estimator'!$B$7)</x:f>
        <x:v>1</x:v>
      </x:c>
      <x:c r="H4270" s="381" t="n">
        <x:f>SUMIFS('Climate Data'!$G$7:$G$366,'Climate Data'!$A$7:$A$366,'Estimator'!$B$4,'Climate Data'!$B$7:$B$366,C4270)</x:f>
        <x:v>0.4160919540229885</x:v>
      </x:c>
      <x:c r="I4270" s="382" t="n">
        <x:f>SUMIFS('Climate Data'!$H$7:$H$366,'Climate Data'!$A$7:$A$366,'Estimator'!$B$4,'Climate Data'!$B$7:$B$366,C4270)</x:f>
        <x:v>8.019060773480662</x:v>
      </x:c>
      <x:c r="J4270" s="381" t="n">
        <x:f>SUMIFS('Wind Proxy'!$H$8:$H$19,'Wind Proxy'!$A$8:$A$19,'Estimator'!$B$4,'Wind Proxy'!$B$8:$B$19,C4270)</x:f>
        <x:v>0.22222222222222224</x:v>
      </x:c>
    </x:row>
    <x:row r="4271">
      <x:c r="A4271" s="379" t="n">
        <x:v>49922</x:v>
      </x:c>
      <x:c r="B4271" s="380" t="n">
        <x:v>2036</x:v>
      </x:c>
      <x:c r="C4271" s="380" t="n">
        <x:v>9</x:v>
      </x:c>
      <x:c r="D4271" s="380" t="str">
        <x:v>Sep</x:v>
      </x:c>
      <x:c r="E4271" s="380" t="n">
        <x:v>4</x:v>
      </x:c>
      <x:c r="F4271" s="380" t="n">
        <x:v>4</x:v>
      </x:c>
      <x:c r="G4271" s="380" t="n">
        <x:f>--(F4271&lt;='Estimator'!$B$7)</x:f>
        <x:v>1</x:v>
      </x:c>
      <x:c r="H4271" s="381" t="n">
        <x:f>SUMIFS('Climate Data'!$G$7:$G$366,'Climate Data'!$A$7:$A$366,'Estimator'!$B$4,'Climate Data'!$B$7:$B$366,C4271)</x:f>
        <x:v>0.4160919540229885</x:v>
      </x:c>
      <x:c r="I4271" s="382" t="n">
        <x:f>SUMIFS('Climate Data'!$H$7:$H$366,'Climate Data'!$A$7:$A$366,'Estimator'!$B$4,'Climate Data'!$B$7:$B$366,C4271)</x:f>
        <x:v>8.019060773480662</x:v>
      </x:c>
      <x:c r="J4271" s="381" t="n">
        <x:f>SUMIFS('Wind Proxy'!$H$8:$H$19,'Wind Proxy'!$A$8:$A$19,'Estimator'!$B$4,'Wind Proxy'!$B$8:$B$19,C4271)</x:f>
        <x:v>0.22222222222222224</x:v>
      </x:c>
    </x:row>
    <x:row r="4272">
      <x:c r="A4272" s="379" t="n">
        <x:v>49923</x:v>
      </x:c>
      <x:c r="B4272" s="380" t="n">
        <x:v>2036</x:v>
      </x:c>
      <x:c r="C4272" s="380" t="n">
        <x:v>9</x:v>
      </x:c>
      <x:c r="D4272" s="380" t="str">
        <x:v>Sep</x:v>
      </x:c>
      <x:c r="E4272" s="380" t="n">
        <x:v>5</x:v>
      </x:c>
      <x:c r="F4272" s="380" t="n">
        <x:v>5</x:v>
      </x:c>
      <x:c r="G4272" s="380" t="n">
        <x:f>--(F4272&lt;='Estimator'!$B$7)</x:f>
        <x:v>1</x:v>
      </x:c>
      <x:c r="H4272" s="381" t="n">
        <x:f>SUMIFS('Climate Data'!$G$7:$G$366,'Climate Data'!$A$7:$A$366,'Estimator'!$B$4,'Climate Data'!$B$7:$B$366,C4272)</x:f>
        <x:v>0.4160919540229885</x:v>
      </x:c>
      <x:c r="I4272" s="382" t="n">
        <x:f>SUMIFS('Climate Data'!$H$7:$H$366,'Climate Data'!$A$7:$A$366,'Estimator'!$B$4,'Climate Data'!$B$7:$B$366,C4272)</x:f>
        <x:v>8.019060773480662</x:v>
      </x:c>
      <x:c r="J4272" s="381" t="n">
        <x:f>SUMIFS('Wind Proxy'!$H$8:$H$19,'Wind Proxy'!$A$8:$A$19,'Estimator'!$B$4,'Wind Proxy'!$B$8:$B$19,C4272)</x:f>
        <x:v>0.22222222222222224</x:v>
      </x:c>
    </x:row>
    <x:row r="4273">
      <x:c r="A4273" s="379" t="n">
        <x:v>49924</x:v>
      </x:c>
      <x:c r="B4273" s="380" t="n">
        <x:v>2036</x:v>
      </x:c>
      <x:c r="C4273" s="380" t="n">
        <x:v>9</x:v>
      </x:c>
      <x:c r="D4273" s="380" t="str">
        <x:v>Sep</x:v>
      </x:c>
      <x:c r="E4273" s="380" t="n">
        <x:v>6</x:v>
      </x:c>
      <x:c r="F4273" s="380" t="n">
        <x:v>6</x:v>
      </x:c>
      <x:c r="G4273" s="380" t="n">
        <x:f>--(F4273&lt;='Estimator'!$B$7)</x:f>
        <x:v>0</x:v>
      </x:c>
      <x:c r="H4273" s="381" t="n">
        <x:f>SUMIFS('Climate Data'!$G$7:$G$366,'Climate Data'!$A$7:$A$366,'Estimator'!$B$4,'Climate Data'!$B$7:$B$366,C4273)</x:f>
        <x:v>0.4160919540229885</x:v>
      </x:c>
      <x:c r="I4273" s="382" t="n">
        <x:f>SUMIFS('Climate Data'!$H$7:$H$366,'Climate Data'!$A$7:$A$366,'Estimator'!$B$4,'Climate Data'!$B$7:$B$366,C4273)</x:f>
        <x:v>8.019060773480662</x:v>
      </x:c>
      <x:c r="J4273" s="381" t="n">
        <x:f>SUMIFS('Wind Proxy'!$H$8:$H$19,'Wind Proxy'!$A$8:$A$19,'Estimator'!$B$4,'Wind Proxy'!$B$8:$B$19,C4273)</x:f>
        <x:v>0.22222222222222224</x:v>
      </x:c>
    </x:row>
    <x:row r="4274">
      <x:c r="A4274" s="379" t="n">
        <x:v>49925</x:v>
      </x:c>
      <x:c r="B4274" s="380" t="n">
        <x:v>2036</x:v>
      </x:c>
      <x:c r="C4274" s="380" t="n">
        <x:v>9</x:v>
      </x:c>
      <x:c r="D4274" s="380" t="str">
        <x:v>Sep</x:v>
      </x:c>
      <x:c r="E4274" s="380" t="n">
        <x:v>7</x:v>
      </x:c>
      <x:c r="F4274" s="380" t="n">
        <x:v>7</x:v>
      </x:c>
      <x:c r="G4274" s="380" t="n">
        <x:f>--(F4274&lt;='Estimator'!$B$7)</x:f>
        <x:v>0</x:v>
      </x:c>
      <x:c r="H4274" s="381" t="n">
        <x:f>SUMIFS('Climate Data'!$G$7:$G$366,'Climate Data'!$A$7:$A$366,'Estimator'!$B$4,'Climate Data'!$B$7:$B$366,C4274)</x:f>
        <x:v>0.4160919540229885</x:v>
      </x:c>
      <x:c r="I4274" s="382" t="n">
        <x:f>SUMIFS('Climate Data'!$H$7:$H$366,'Climate Data'!$A$7:$A$366,'Estimator'!$B$4,'Climate Data'!$B$7:$B$366,C4274)</x:f>
        <x:v>8.019060773480662</x:v>
      </x:c>
      <x:c r="J4274" s="381" t="n">
        <x:f>SUMIFS('Wind Proxy'!$H$8:$H$19,'Wind Proxy'!$A$8:$A$19,'Estimator'!$B$4,'Wind Proxy'!$B$8:$B$19,C4274)</x:f>
        <x:v>0.22222222222222224</x:v>
      </x:c>
    </x:row>
    <x:row r="4275">
      <x:c r="A4275" s="379" t="n">
        <x:v>49926</x:v>
      </x:c>
      <x:c r="B4275" s="380" t="n">
        <x:v>2036</x:v>
      </x:c>
      <x:c r="C4275" s="380" t="n">
        <x:v>9</x:v>
      </x:c>
      <x:c r="D4275" s="380" t="str">
        <x:v>Sep</x:v>
      </x:c>
      <x:c r="E4275" s="380" t="n">
        <x:v>8</x:v>
      </x:c>
      <x:c r="F4275" s="380" t="n">
        <x:v>1</x:v>
      </x:c>
      <x:c r="G4275" s="380" t="n">
        <x:f>--(F4275&lt;='Estimator'!$B$7)</x:f>
        <x:v>1</x:v>
      </x:c>
      <x:c r="H4275" s="381" t="n">
        <x:f>SUMIFS('Climate Data'!$G$7:$G$366,'Climate Data'!$A$7:$A$366,'Estimator'!$B$4,'Climate Data'!$B$7:$B$366,C4275)</x:f>
        <x:v>0.4160919540229885</x:v>
      </x:c>
      <x:c r="I4275" s="382" t="n">
        <x:f>SUMIFS('Climate Data'!$H$7:$H$366,'Climate Data'!$A$7:$A$366,'Estimator'!$B$4,'Climate Data'!$B$7:$B$366,C4275)</x:f>
        <x:v>8.019060773480662</x:v>
      </x:c>
      <x:c r="J4275" s="381" t="n">
        <x:f>SUMIFS('Wind Proxy'!$H$8:$H$19,'Wind Proxy'!$A$8:$A$19,'Estimator'!$B$4,'Wind Proxy'!$B$8:$B$19,C4275)</x:f>
        <x:v>0.22222222222222224</x:v>
      </x:c>
    </x:row>
    <x:row r="4276">
      <x:c r="A4276" s="379" t="n">
        <x:v>49927</x:v>
      </x:c>
      <x:c r="B4276" s="380" t="n">
        <x:v>2036</x:v>
      </x:c>
      <x:c r="C4276" s="380" t="n">
        <x:v>9</x:v>
      </x:c>
      <x:c r="D4276" s="380" t="str">
        <x:v>Sep</x:v>
      </x:c>
      <x:c r="E4276" s="380" t="n">
        <x:v>9</x:v>
      </x:c>
      <x:c r="F4276" s="380" t="n">
        <x:v>2</x:v>
      </x:c>
      <x:c r="G4276" s="380" t="n">
        <x:f>--(F4276&lt;='Estimator'!$B$7)</x:f>
        <x:v>1</x:v>
      </x:c>
      <x:c r="H4276" s="381" t="n">
        <x:f>SUMIFS('Climate Data'!$G$7:$G$366,'Climate Data'!$A$7:$A$366,'Estimator'!$B$4,'Climate Data'!$B$7:$B$366,C4276)</x:f>
        <x:v>0.4160919540229885</x:v>
      </x:c>
      <x:c r="I4276" s="382" t="n">
        <x:f>SUMIFS('Climate Data'!$H$7:$H$366,'Climate Data'!$A$7:$A$366,'Estimator'!$B$4,'Climate Data'!$B$7:$B$366,C4276)</x:f>
        <x:v>8.019060773480662</x:v>
      </x:c>
      <x:c r="J4276" s="381" t="n">
        <x:f>SUMIFS('Wind Proxy'!$H$8:$H$19,'Wind Proxy'!$A$8:$A$19,'Estimator'!$B$4,'Wind Proxy'!$B$8:$B$19,C4276)</x:f>
        <x:v>0.22222222222222224</x:v>
      </x:c>
    </x:row>
    <x:row r="4277">
      <x:c r="A4277" s="379" t="n">
        <x:v>49928</x:v>
      </x:c>
      <x:c r="B4277" s="380" t="n">
        <x:v>2036</x:v>
      </x:c>
      <x:c r="C4277" s="380" t="n">
        <x:v>9</x:v>
      </x:c>
      <x:c r="D4277" s="380" t="str">
        <x:v>Sep</x:v>
      </x:c>
      <x:c r="E4277" s="380" t="n">
        <x:v>10</x:v>
      </x:c>
      <x:c r="F4277" s="380" t="n">
        <x:v>3</x:v>
      </x:c>
      <x:c r="G4277" s="380" t="n">
        <x:f>--(F4277&lt;='Estimator'!$B$7)</x:f>
        <x:v>1</x:v>
      </x:c>
      <x:c r="H4277" s="381" t="n">
        <x:f>SUMIFS('Climate Data'!$G$7:$G$366,'Climate Data'!$A$7:$A$366,'Estimator'!$B$4,'Climate Data'!$B$7:$B$366,C4277)</x:f>
        <x:v>0.4160919540229885</x:v>
      </x:c>
      <x:c r="I4277" s="382" t="n">
        <x:f>SUMIFS('Climate Data'!$H$7:$H$366,'Climate Data'!$A$7:$A$366,'Estimator'!$B$4,'Climate Data'!$B$7:$B$366,C4277)</x:f>
        <x:v>8.019060773480662</x:v>
      </x:c>
      <x:c r="J4277" s="381" t="n">
        <x:f>SUMIFS('Wind Proxy'!$H$8:$H$19,'Wind Proxy'!$A$8:$A$19,'Estimator'!$B$4,'Wind Proxy'!$B$8:$B$19,C4277)</x:f>
        <x:v>0.22222222222222224</x:v>
      </x:c>
    </x:row>
    <x:row r="4278">
      <x:c r="A4278" s="379" t="n">
        <x:v>49929</x:v>
      </x:c>
      <x:c r="B4278" s="380" t="n">
        <x:v>2036</x:v>
      </x:c>
      <x:c r="C4278" s="380" t="n">
        <x:v>9</x:v>
      </x:c>
      <x:c r="D4278" s="380" t="str">
        <x:v>Sep</x:v>
      </x:c>
      <x:c r="E4278" s="380" t="n">
        <x:v>11</x:v>
      </x:c>
      <x:c r="F4278" s="380" t="n">
        <x:v>4</x:v>
      </x:c>
      <x:c r="G4278" s="380" t="n">
        <x:f>--(F4278&lt;='Estimator'!$B$7)</x:f>
        <x:v>1</x:v>
      </x:c>
      <x:c r="H4278" s="381" t="n">
        <x:f>SUMIFS('Climate Data'!$G$7:$G$366,'Climate Data'!$A$7:$A$366,'Estimator'!$B$4,'Climate Data'!$B$7:$B$366,C4278)</x:f>
        <x:v>0.4160919540229885</x:v>
      </x:c>
      <x:c r="I4278" s="382" t="n">
        <x:f>SUMIFS('Climate Data'!$H$7:$H$366,'Climate Data'!$A$7:$A$366,'Estimator'!$B$4,'Climate Data'!$B$7:$B$366,C4278)</x:f>
        <x:v>8.019060773480662</x:v>
      </x:c>
      <x:c r="J4278" s="381" t="n">
        <x:f>SUMIFS('Wind Proxy'!$H$8:$H$19,'Wind Proxy'!$A$8:$A$19,'Estimator'!$B$4,'Wind Proxy'!$B$8:$B$19,C4278)</x:f>
        <x:v>0.22222222222222224</x:v>
      </x:c>
    </x:row>
    <x:row r="4279">
      <x:c r="A4279" s="379" t="n">
        <x:v>49930</x:v>
      </x:c>
      <x:c r="B4279" s="380" t="n">
        <x:v>2036</x:v>
      </x:c>
      <x:c r="C4279" s="380" t="n">
        <x:v>9</x:v>
      </x:c>
      <x:c r="D4279" s="380" t="str">
        <x:v>Sep</x:v>
      </x:c>
      <x:c r="E4279" s="380" t="n">
        <x:v>12</x:v>
      </x:c>
      <x:c r="F4279" s="380" t="n">
        <x:v>5</x:v>
      </x:c>
      <x:c r="G4279" s="380" t="n">
        <x:f>--(F4279&lt;='Estimator'!$B$7)</x:f>
        <x:v>1</x:v>
      </x:c>
      <x:c r="H4279" s="381" t="n">
        <x:f>SUMIFS('Climate Data'!$G$7:$G$366,'Climate Data'!$A$7:$A$366,'Estimator'!$B$4,'Climate Data'!$B$7:$B$366,C4279)</x:f>
        <x:v>0.4160919540229885</x:v>
      </x:c>
      <x:c r="I4279" s="382" t="n">
        <x:f>SUMIFS('Climate Data'!$H$7:$H$366,'Climate Data'!$A$7:$A$366,'Estimator'!$B$4,'Climate Data'!$B$7:$B$366,C4279)</x:f>
        <x:v>8.019060773480662</x:v>
      </x:c>
      <x:c r="J4279" s="381" t="n">
        <x:f>SUMIFS('Wind Proxy'!$H$8:$H$19,'Wind Proxy'!$A$8:$A$19,'Estimator'!$B$4,'Wind Proxy'!$B$8:$B$19,C4279)</x:f>
        <x:v>0.22222222222222224</x:v>
      </x:c>
    </x:row>
    <x:row r="4280">
      <x:c r="A4280" s="379" t="n">
        <x:v>49931</x:v>
      </x:c>
      <x:c r="B4280" s="380" t="n">
        <x:v>2036</x:v>
      </x:c>
      <x:c r="C4280" s="380" t="n">
        <x:v>9</x:v>
      </x:c>
      <x:c r="D4280" s="380" t="str">
        <x:v>Sep</x:v>
      </x:c>
      <x:c r="E4280" s="380" t="n">
        <x:v>13</x:v>
      </x:c>
      <x:c r="F4280" s="380" t="n">
        <x:v>6</x:v>
      </x:c>
      <x:c r="G4280" s="380" t="n">
        <x:f>--(F4280&lt;='Estimator'!$B$7)</x:f>
        <x:v>0</x:v>
      </x:c>
      <x:c r="H4280" s="381" t="n">
        <x:f>SUMIFS('Climate Data'!$G$7:$G$366,'Climate Data'!$A$7:$A$366,'Estimator'!$B$4,'Climate Data'!$B$7:$B$366,C4280)</x:f>
        <x:v>0.4160919540229885</x:v>
      </x:c>
      <x:c r="I4280" s="382" t="n">
        <x:f>SUMIFS('Climate Data'!$H$7:$H$366,'Climate Data'!$A$7:$A$366,'Estimator'!$B$4,'Climate Data'!$B$7:$B$366,C4280)</x:f>
        <x:v>8.019060773480662</x:v>
      </x:c>
      <x:c r="J4280" s="381" t="n">
        <x:f>SUMIFS('Wind Proxy'!$H$8:$H$19,'Wind Proxy'!$A$8:$A$19,'Estimator'!$B$4,'Wind Proxy'!$B$8:$B$19,C4280)</x:f>
        <x:v>0.22222222222222224</x:v>
      </x:c>
    </x:row>
    <x:row r="4281">
      <x:c r="A4281" s="379" t="n">
        <x:v>49932</x:v>
      </x:c>
      <x:c r="B4281" s="380" t="n">
        <x:v>2036</x:v>
      </x:c>
      <x:c r="C4281" s="380" t="n">
        <x:v>9</x:v>
      </x:c>
      <x:c r="D4281" s="380" t="str">
        <x:v>Sep</x:v>
      </x:c>
      <x:c r="E4281" s="380" t="n">
        <x:v>14</x:v>
      </x:c>
      <x:c r="F4281" s="380" t="n">
        <x:v>7</x:v>
      </x:c>
      <x:c r="G4281" s="380" t="n">
        <x:f>--(F4281&lt;='Estimator'!$B$7)</x:f>
        <x:v>0</x:v>
      </x:c>
      <x:c r="H4281" s="381" t="n">
        <x:f>SUMIFS('Climate Data'!$G$7:$G$366,'Climate Data'!$A$7:$A$366,'Estimator'!$B$4,'Climate Data'!$B$7:$B$366,C4281)</x:f>
        <x:v>0.4160919540229885</x:v>
      </x:c>
      <x:c r="I4281" s="382" t="n">
        <x:f>SUMIFS('Climate Data'!$H$7:$H$366,'Climate Data'!$A$7:$A$366,'Estimator'!$B$4,'Climate Data'!$B$7:$B$366,C4281)</x:f>
        <x:v>8.019060773480662</x:v>
      </x:c>
      <x:c r="J4281" s="381" t="n">
        <x:f>SUMIFS('Wind Proxy'!$H$8:$H$19,'Wind Proxy'!$A$8:$A$19,'Estimator'!$B$4,'Wind Proxy'!$B$8:$B$19,C4281)</x:f>
        <x:v>0.22222222222222224</x:v>
      </x:c>
    </x:row>
    <x:row r="4282">
      <x:c r="A4282" s="379" t="n">
        <x:v>49933</x:v>
      </x:c>
      <x:c r="B4282" s="380" t="n">
        <x:v>2036</x:v>
      </x:c>
      <x:c r="C4282" s="380" t="n">
        <x:v>9</x:v>
      </x:c>
      <x:c r="D4282" s="380" t="str">
        <x:v>Sep</x:v>
      </x:c>
      <x:c r="E4282" s="380" t="n">
        <x:v>15</x:v>
      </x:c>
      <x:c r="F4282" s="380" t="n">
        <x:v>1</x:v>
      </x:c>
      <x:c r="G4282" s="380" t="n">
        <x:f>--(F4282&lt;='Estimator'!$B$7)</x:f>
        <x:v>1</x:v>
      </x:c>
      <x:c r="H4282" s="381" t="n">
        <x:f>SUMIFS('Climate Data'!$G$7:$G$366,'Climate Data'!$A$7:$A$366,'Estimator'!$B$4,'Climate Data'!$B$7:$B$366,C4282)</x:f>
        <x:v>0.4160919540229885</x:v>
      </x:c>
      <x:c r="I4282" s="382" t="n">
        <x:f>SUMIFS('Climate Data'!$H$7:$H$366,'Climate Data'!$A$7:$A$366,'Estimator'!$B$4,'Climate Data'!$B$7:$B$366,C4282)</x:f>
        <x:v>8.019060773480662</x:v>
      </x:c>
      <x:c r="J4282" s="381" t="n">
        <x:f>SUMIFS('Wind Proxy'!$H$8:$H$19,'Wind Proxy'!$A$8:$A$19,'Estimator'!$B$4,'Wind Proxy'!$B$8:$B$19,C4282)</x:f>
        <x:v>0.22222222222222224</x:v>
      </x:c>
    </x:row>
    <x:row r="4283">
      <x:c r="A4283" s="379" t="n">
        <x:v>49934</x:v>
      </x:c>
      <x:c r="B4283" s="380" t="n">
        <x:v>2036</x:v>
      </x:c>
      <x:c r="C4283" s="380" t="n">
        <x:v>9</x:v>
      </x:c>
      <x:c r="D4283" s="380" t="str">
        <x:v>Sep</x:v>
      </x:c>
      <x:c r="E4283" s="380" t="n">
        <x:v>16</x:v>
      </x:c>
      <x:c r="F4283" s="380" t="n">
        <x:v>2</x:v>
      </x:c>
      <x:c r="G4283" s="380" t="n">
        <x:f>--(F4283&lt;='Estimator'!$B$7)</x:f>
        <x:v>1</x:v>
      </x:c>
      <x:c r="H4283" s="381" t="n">
        <x:f>SUMIFS('Climate Data'!$G$7:$G$366,'Climate Data'!$A$7:$A$366,'Estimator'!$B$4,'Climate Data'!$B$7:$B$366,C4283)</x:f>
        <x:v>0.4160919540229885</x:v>
      </x:c>
      <x:c r="I4283" s="382" t="n">
        <x:f>SUMIFS('Climate Data'!$H$7:$H$366,'Climate Data'!$A$7:$A$366,'Estimator'!$B$4,'Climate Data'!$B$7:$B$366,C4283)</x:f>
        <x:v>8.019060773480662</x:v>
      </x:c>
      <x:c r="J4283" s="381" t="n">
        <x:f>SUMIFS('Wind Proxy'!$H$8:$H$19,'Wind Proxy'!$A$8:$A$19,'Estimator'!$B$4,'Wind Proxy'!$B$8:$B$19,C4283)</x:f>
        <x:v>0.22222222222222224</x:v>
      </x:c>
    </x:row>
    <x:row r="4284">
      <x:c r="A4284" s="379" t="n">
        <x:v>49935</x:v>
      </x:c>
      <x:c r="B4284" s="380" t="n">
        <x:v>2036</x:v>
      </x:c>
      <x:c r="C4284" s="380" t="n">
        <x:v>9</x:v>
      </x:c>
      <x:c r="D4284" s="380" t="str">
        <x:v>Sep</x:v>
      </x:c>
      <x:c r="E4284" s="380" t="n">
        <x:v>17</x:v>
      </x:c>
      <x:c r="F4284" s="380" t="n">
        <x:v>3</x:v>
      </x:c>
      <x:c r="G4284" s="380" t="n">
        <x:f>--(F4284&lt;='Estimator'!$B$7)</x:f>
        <x:v>1</x:v>
      </x:c>
      <x:c r="H4284" s="381" t="n">
        <x:f>SUMIFS('Climate Data'!$G$7:$G$366,'Climate Data'!$A$7:$A$366,'Estimator'!$B$4,'Climate Data'!$B$7:$B$366,C4284)</x:f>
        <x:v>0.4160919540229885</x:v>
      </x:c>
      <x:c r="I4284" s="382" t="n">
        <x:f>SUMIFS('Climate Data'!$H$7:$H$366,'Climate Data'!$A$7:$A$366,'Estimator'!$B$4,'Climate Data'!$B$7:$B$366,C4284)</x:f>
        <x:v>8.019060773480662</x:v>
      </x:c>
      <x:c r="J4284" s="381" t="n">
        <x:f>SUMIFS('Wind Proxy'!$H$8:$H$19,'Wind Proxy'!$A$8:$A$19,'Estimator'!$B$4,'Wind Proxy'!$B$8:$B$19,C4284)</x:f>
        <x:v>0.22222222222222224</x:v>
      </x:c>
    </x:row>
    <x:row r="4285">
      <x:c r="A4285" s="379" t="n">
        <x:v>49936</x:v>
      </x:c>
      <x:c r="B4285" s="380" t="n">
        <x:v>2036</x:v>
      </x:c>
      <x:c r="C4285" s="380" t="n">
        <x:v>9</x:v>
      </x:c>
      <x:c r="D4285" s="380" t="str">
        <x:v>Sep</x:v>
      </x:c>
      <x:c r="E4285" s="380" t="n">
        <x:v>18</x:v>
      </x:c>
      <x:c r="F4285" s="380" t="n">
        <x:v>4</x:v>
      </x:c>
      <x:c r="G4285" s="380" t="n">
        <x:f>--(F4285&lt;='Estimator'!$B$7)</x:f>
        <x:v>1</x:v>
      </x:c>
      <x:c r="H4285" s="381" t="n">
        <x:f>SUMIFS('Climate Data'!$G$7:$G$366,'Climate Data'!$A$7:$A$366,'Estimator'!$B$4,'Climate Data'!$B$7:$B$366,C4285)</x:f>
        <x:v>0.4160919540229885</x:v>
      </x:c>
      <x:c r="I4285" s="382" t="n">
        <x:f>SUMIFS('Climate Data'!$H$7:$H$366,'Climate Data'!$A$7:$A$366,'Estimator'!$B$4,'Climate Data'!$B$7:$B$366,C4285)</x:f>
        <x:v>8.019060773480662</x:v>
      </x:c>
      <x:c r="J4285" s="381" t="n">
        <x:f>SUMIFS('Wind Proxy'!$H$8:$H$19,'Wind Proxy'!$A$8:$A$19,'Estimator'!$B$4,'Wind Proxy'!$B$8:$B$19,C4285)</x:f>
        <x:v>0.22222222222222224</x:v>
      </x:c>
    </x:row>
    <x:row r="4286">
      <x:c r="A4286" s="379" t="n">
        <x:v>49937</x:v>
      </x:c>
      <x:c r="B4286" s="380" t="n">
        <x:v>2036</x:v>
      </x:c>
      <x:c r="C4286" s="380" t="n">
        <x:v>9</x:v>
      </x:c>
      <x:c r="D4286" s="380" t="str">
        <x:v>Sep</x:v>
      </x:c>
      <x:c r="E4286" s="380" t="n">
        <x:v>19</x:v>
      </x:c>
      <x:c r="F4286" s="380" t="n">
        <x:v>5</x:v>
      </x:c>
      <x:c r="G4286" s="380" t="n">
        <x:f>--(F4286&lt;='Estimator'!$B$7)</x:f>
        <x:v>1</x:v>
      </x:c>
      <x:c r="H4286" s="381" t="n">
        <x:f>SUMIFS('Climate Data'!$G$7:$G$366,'Climate Data'!$A$7:$A$366,'Estimator'!$B$4,'Climate Data'!$B$7:$B$366,C4286)</x:f>
        <x:v>0.4160919540229885</x:v>
      </x:c>
      <x:c r="I4286" s="382" t="n">
        <x:f>SUMIFS('Climate Data'!$H$7:$H$366,'Climate Data'!$A$7:$A$366,'Estimator'!$B$4,'Climate Data'!$B$7:$B$366,C4286)</x:f>
        <x:v>8.019060773480662</x:v>
      </x:c>
      <x:c r="J4286" s="381" t="n">
        <x:f>SUMIFS('Wind Proxy'!$H$8:$H$19,'Wind Proxy'!$A$8:$A$19,'Estimator'!$B$4,'Wind Proxy'!$B$8:$B$19,C4286)</x:f>
        <x:v>0.22222222222222224</x:v>
      </x:c>
    </x:row>
    <x:row r="4287">
      <x:c r="A4287" s="379" t="n">
        <x:v>49938</x:v>
      </x:c>
      <x:c r="B4287" s="380" t="n">
        <x:v>2036</x:v>
      </x:c>
      <x:c r="C4287" s="380" t="n">
        <x:v>9</x:v>
      </x:c>
      <x:c r="D4287" s="380" t="str">
        <x:v>Sep</x:v>
      </x:c>
      <x:c r="E4287" s="380" t="n">
        <x:v>20</x:v>
      </x:c>
      <x:c r="F4287" s="380" t="n">
        <x:v>6</x:v>
      </x:c>
      <x:c r="G4287" s="380" t="n">
        <x:f>--(F4287&lt;='Estimator'!$B$7)</x:f>
        <x:v>0</x:v>
      </x:c>
      <x:c r="H4287" s="381" t="n">
        <x:f>SUMIFS('Climate Data'!$G$7:$G$366,'Climate Data'!$A$7:$A$366,'Estimator'!$B$4,'Climate Data'!$B$7:$B$366,C4287)</x:f>
        <x:v>0.4160919540229885</x:v>
      </x:c>
      <x:c r="I4287" s="382" t="n">
        <x:f>SUMIFS('Climate Data'!$H$7:$H$366,'Climate Data'!$A$7:$A$366,'Estimator'!$B$4,'Climate Data'!$B$7:$B$366,C4287)</x:f>
        <x:v>8.019060773480662</x:v>
      </x:c>
      <x:c r="J4287" s="381" t="n">
        <x:f>SUMIFS('Wind Proxy'!$H$8:$H$19,'Wind Proxy'!$A$8:$A$19,'Estimator'!$B$4,'Wind Proxy'!$B$8:$B$19,C4287)</x:f>
        <x:v>0.22222222222222224</x:v>
      </x:c>
    </x:row>
    <x:row r="4288">
      <x:c r="A4288" s="379" t="n">
        <x:v>49939</x:v>
      </x:c>
      <x:c r="B4288" s="380" t="n">
        <x:v>2036</x:v>
      </x:c>
      <x:c r="C4288" s="380" t="n">
        <x:v>9</x:v>
      </x:c>
      <x:c r="D4288" s="380" t="str">
        <x:v>Sep</x:v>
      </x:c>
      <x:c r="E4288" s="380" t="n">
        <x:v>21</x:v>
      </x:c>
      <x:c r="F4288" s="380" t="n">
        <x:v>7</x:v>
      </x:c>
      <x:c r="G4288" s="380" t="n">
        <x:f>--(F4288&lt;='Estimator'!$B$7)</x:f>
        <x:v>0</x:v>
      </x:c>
      <x:c r="H4288" s="381" t="n">
        <x:f>SUMIFS('Climate Data'!$G$7:$G$366,'Climate Data'!$A$7:$A$366,'Estimator'!$B$4,'Climate Data'!$B$7:$B$366,C4288)</x:f>
        <x:v>0.4160919540229885</x:v>
      </x:c>
      <x:c r="I4288" s="382" t="n">
        <x:f>SUMIFS('Climate Data'!$H$7:$H$366,'Climate Data'!$A$7:$A$366,'Estimator'!$B$4,'Climate Data'!$B$7:$B$366,C4288)</x:f>
        <x:v>8.019060773480662</x:v>
      </x:c>
      <x:c r="J4288" s="381" t="n">
        <x:f>SUMIFS('Wind Proxy'!$H$8:$H$19,'Wind Proxy'!$A$8:$A$19,'Estimator'!$B$4,'Wind Proxy'!$B$8:$B$19,C4288)</x:f>
        <x:v>0.22222222222222224</x:v>
      </x:c>
    </x:row>
    <x:row r="4289">
      <x:c r="A4289" s="379" t="n">
        <x:v>49940</x:v>
      </x:c>
      <x:c r="B4289" s="380" t="n">
        <x:v>2036</x:v>
      </x:c>
      <x:c r="C4289" s="380" t="n">
        <x:v>9</x:v>
      </x:c>
      <x:c r="D4289" s="380" t="str">
        <x:v>Sep</x:v>
      </x:c>
      <x:c r="E4289" s="380" t="n">
        <x:v>22</x:v>
      </x:c>
      <x:c r="F4289" s="380" t="n">
        <x:v>1</x:v>
      </x:c>
      <x:c r="G4289" s="380" t="n">
        <x:f>--(F4289&lt;='Estimator'!$B$7)</x:f>
        <x:v>1</x:v>
      </x:c>
      <x:c r="H4289" s="381" t="n">
        <x:f>SUMIFS('Climate Data'!$G$7:$G$366,'Climate Data'!$A$7:$A$366,'Estimator'!$B$4,'Climate Data'!$B$7:$B$366,C4289)</x:f>
        <x:v>0.4160919540229885</x:v>
      </x:c>
      <x:c r="I4289" s="382" t="n">
        <x:f>SUMIFS('Climate Data'!$H$7:$H$366,'Climate Data'!$A$7:$A$366,'Estimator'!$B$4,'Climate Data'!$B$7:$B$366,C4289)</x:f>
        <x:v>8.019060773480662</x:v>
      </x:c>
      <x:c r="J4289" s="381" t="n">
        <x:f>SUMIFS('Wind Proxy'!$H$8:$H$19,'Wind Proxy'!$A$8:$A$19,'Estimator'!$B$4,'Wind Proxy'!$B$8:$B$19,C4289)</x:f>
        <x:v>0.22222222222222224</x:v>
      </x:c>
    </x:row>
    <x:row r="4290">
      <x:c r="A4290" s="379" t="n">
        <x:v>49941</x:v>
      </x:c>
      <x:c r="B4290" s="380" t="n">
        <x:v>2036</x:v>
      </x:c>
      <x:c r="C4290" s="380" t="n">
        <x:v>9</x:v>
      </x:c>
      <x:c r="D4290" s="380" t="str">
        <x:v>Sep</x:v>
      </x:c>
      <x:c r="E4290" s="380" t="n">
        <x:v>23</x:v>
      </x:c>
      <x:c r="F4290" s="380" t="n">
        <x:v>2</x:v>
      </x:c>
      <x:c r="G4290" s="380" t="n">
        <x:f>--(F4290&lt;='Estimator'!$B$7)</x:f>
        <x:v>1</x:v>
      </x:c>
      <x:c r="H4290" s="381" t="n">
        <x:f>SUMIFS('Climate Data'!$G$7:$G$366,'Climate Data'!$A$7:$A$366,'Estimator'!$B$4,'Climate Data'!$B$7:$B$366,C4290)</x:f>
        <x:v>0.4160919540229885</x:v>
      </x:c>
      <x:c r="I4290" s="382" t="n">
        <x:f>SUMIFS('Climate Data'!$H$7:$H$366,'Climate Data'!$A$7:$A$366,'Estimator'!$B$4,'Climate Data'!$B$7:$B$366,C4290)</x:f>
        <x:v>8.019060773480662</x:v>
      </x:c>
      <x:c r="J4290" s="381" t="n">
        <x:f>SUMIFS('Wind Proxy'!$H$8:$H$19,'Wind Proxy'!$A$8:$A$19,'Estimator'!$B$4,'Wind Proxy'!$B$8:$B$19,C4290)</x:f>
        <x:v>0.22222222222222224</x:v>
      </x:c>
    </x:row>
    <x:row r="4291">
      <x:c r="A4291" s="379" t="n">
        <x:v>49942</x:v>
      </x:c>
      <x:c r="B4291" s="380" t="n">
        <x:v>2036</x:v>
      </x:c>
      <x:c r="C4291" s="380" t="n">
        <x:v>9</x:v>
      </x:c>
      <x:c r="D4291" s="380" t="str">
        <x:v>Sep</x:v>
      </x:c>
      <x:c r="E4291" s="380" t="n">
        <x:v>24</x:v>
      </x:c>
      <x:c r="F4291" s="380" t="n">
        <x:v>3</x:v>
      </x:c>
      <x:c r="G4291" s="380" t="n">
        <x:f>--(F4291&lt;='Estimator'!$B$7)</x:f>
        <x:v>1</x:v>
      </x:c>
      <x:c r="H4291" s="381" t="n">
        <x:f>SUMIFS('Climate Data'!$G$7:$G$366,'Climate Data'!$A$7:$A$366,'Estimator'!$B$4,'Climate Data'!$B$7:$B$366,C4291)</x:f>
        <x:v>0.4160919540229885</x:v>
      </x:c>
      <x:c r="I4291" s="382" t="n">
        <x:f>SUMIFS('Climate Data'!$H$7:$H$366,'Climate Data'!$A$7:$A$366,'Estimator'!$B$4,'Climate Data'!$B$7:$B$366,C4291)</x:f>
        <x:v>8.019060773480662</x:v>
      </x:c>
      <x:c r="J4291" s="381" t="n">
        <x:f>SUMIFS('Wind Proxy'!$H$8:$H$19,'Wind Proxy'!$A$8:$A$19,'Estimator'!$B$4,'Wind Proxy'!$B$8:$B$19,C4291)</x:f>
        <x:v>0.22222222222222224</x:v>
      </x:c>
    </x:row>
    <x:row r="4292">
      <x:c r="A4292" s="379" t="n">
        <x:v>49943</x:v>
      </x:c>
      <x:c r="B4292" s="380" t="n">
        <x:v>2036</x:v>
      </x:c>
      <x:c r="C4292" s="380" t="n">
        <x:v>9</x:v>
      </x:c>
      <x:c r="D4292" s="380" t="str">
        <x:v>Sep</x:v>
      </x:c>
      <x:c r="E4292" s="380" t="n">
        <x:v>25</x:v>
      </x:c>
      <x:c r="F4292" s="380" t="n">
        <x:v>4</x:v>
      </x:c>
      <x:c r="G4292" s="380" t="n">
        <x:f>--(F4292&lt;='Estimator'!$B$7)</x:f>
        <x:v>1</x:v>
      </x:c>
      <x:c r="H4292" s="381" t="n">
        <x:f>SUMIFS('Climate Data'!$G$7:$G$366,'Climate Data'!$A$7:$A$366,'Estimator'!$B$4,'Climate Data'!$B$7:$B$366,C4292)</x:f>
        <x:v>0.4160919540229885</x:v>
      </x:c>
      <x:c r="I4292" s="382" t="n">
        <x:f>SUMIFS('Climate Data'!$H$7:$H$366,'Climate Data'!$A$7:$A$366,'Estimator'!$B$4,'Climate Data'!$B$7:$B$366,C4292)</x:f>
        <x:v>8.019060773480662</x:v>
      </x:c>
      <x:c r="J4292" s="381" t="n">
        <x:f>SUMIFS('Wind Proxy'!$H$8:$H$19,'Wind Proxy'!$A$8:$A$19,'Estimator'!$B$4,'Wind Proxy'!$B$8:$B$19,C4292)</x:f>
        <x:v>0.22222222222222224</x:v>
      </x:c>
    </x:row>
    <x:row r="4293">
      <x:c r="A4293" s="379" t="n">
        <x:v>49944</x:v>
      </x:c>
      <x:c r="B4293" s="380" t="n">
        <x:v>2036</x:v>
      </x:c>
      <x:c r="C4293" s="380" t="n">
        <x:v>9</x:v>
      </x:c>
      <x:c r="D4293" s="380" t="str">
        <x:v>Sep</x:v>
      </x:c>
      <x:c r="E4293" s="380" t="n">
        <x:v>26</x:v>
      </x:c>
      <x:c r="F4293" s="380" t="n">
        <x:v>5</x:v>
      </x:c>
      <x:c r="G4293" s="380" t="n">
        <x:f>--(F4293&lt;='Estimator'!$B$7)</x:f>
        <x:v>1</x:v>
      </x:c>
      <x:c r="H4293" s="381" t="n">
        <x:f>SUMIFS('Climate Data'!$G$7:$G$366,'Climate Data'!$A$7:$A$366,'Estimator'!$B$4,'Climate Data'!$B$7:$B$366,C4293)</x:f>
        <x:v>0.4160919540229885</x:v>
      </x:c>
      <x:c r="I4293" s="382" t="n">
        <x:f>SUMIFS('Climate Data'!$H$7:$H$366,'Climate Data'!$A$7:$A$366,'Estimator'!$B$4,'Climate Data'!$B$7:$B$366,C4293)</x:f>
        <x:v>8.019060773480662</x:v>
      </x:c>
      <x:c r="J4293" s="381" t="n">
        <x:f>SUMIFS('Wind Proxy'!$H$8:$H$19,'Wind Proxy'!$A$8:$A$19,'Estimator'!$B$4,'Wind Proxy'!$B$8:$B$19,C4293)</x:f>
        <x:v>0.22222222222222224</x:v>
      </x:c>
    </x:row>
    <x:row r="4294">
      <x:c r="A4294" s="379" t="n">
        <x:v>49945</x:v>
      </x:c>
      <x:c r="B4294" s="380" t="n">
        <x:v>2036</x:v>
      </x:c>
      <x:c r="C4294" s="380" t="n">
        <x:v>9</x:v>
      </x:c>
      <x:c r="D4294" s="380" t="str">
        <x:v>Sep</x:v>
      </x:c>
      <x:c r="E4294" s="380" t="n">
        <x:v>27</x:v>
      </x:c>
      <x:c r="F4294" s="380" t="n">
        <x:v>6</x:v>
      </x:c>
      <x:c r="G4294" s="380" t="n">
        <x:f>--(F4294&lt;='Estimator'!$B$7)</x:f>
        <x:v>0</x:v>
      </x:c>
      <x:c r="H4294" s="381" t="n">
        <x:f>SUMIFS('Climate Data'!$G$7:$G$366,'Climate Data'!$A$7:$A$366,'Estimator'!$B$4,'Climate Data'!$B$7:$B$366,C4294)</x:f>
        <x:v>0.4160919540229885</x:v>
      </x:c>
      <x:c r="I4294" s="382" t="n">
        <x:f>SUMIFS('Climate Data'!$H$7:$H$366,'Climate Data'!$A$7:$A$366,'Estimator'!$B$4,'Climate Data'!$B$7:$B$366,C4294)</x:f>
        <x:v>8.019060773480662</x:v>
      </x:c>
      <x:c r="J4294" s="381" t="n">
        <x:f>SUMIFS('Wind Proxy'!$H$8:$H$19,'Wind Proxy'!$A$8:$A$19,'Estimator'!$B$4,'Wind Proxy'!$B$8:$B$19,C4294)</x:f>
        <x:v>0.22222222222222224</x:v>
      </x:c>
    </x:row>
    <x:row r="4295">
      <x:c r="A4295" s="379" t="n">
        <x:v>49946</x:v>
      </x:c>
      <x:c r="B4295" s="380" t="n">
        <x:v>2036</x:v>
      </x:c>
      <x:c r="C4295" s="380" t="n">
        <x:v>9</x:v>
      </x:c>
      <x:c r="D4295" s="380" t="str">
        <x:v>Sep</x:v>
      </x:c>
      <x:c r="E4295" s="380" t="n">
        <x:v>28</x:v>
      </x:c>
      <x:c r="F4295" s="380" t="n">
        <x:v>7</x:v>
      </x:c>
      <x:c r="G4295" s="380" t="n">
        <x:f>--(F4295&lt;='Estimator'!$B$7)</x:f>
        <x:v>0</x:v>
      </x:c>
      <x:c r="H4295" s="381" t="n">
        <x:f>SUMIFS('Climate Data'!$G$7:$G$366,'Climate Data'!$A$7:$A$366,'Estimator'!$B$4,'Climate Data'!$B$7:$B$366,C4295)</x:f>
        <x:v>0.4160919540229885</x:v>
      </x:c>
      <x:c r="I4295" s="382" t="n">
        <x:f>SUMIFS('Climate Data'!$H$7:$H$366,'Climate Data'!$A$7:$A$366,'Estimator'!$B$4,'Climate Data'!$B$7:$B$366,C4295)</x:f>
        <x:v>8.019060773480662</x:v>
      </x:c>
      <x:c r="J4295" s="381" t="n">
        <x:f>SUMIFS('Wind Proxy'!$H$8:$H$19,'Wind Proxy'!$A$8:$A$19,'Estimator'!$B$4,'Wind Proxy'!$B$8:$B$19,C4295)</x:f>
        <x:v>0.22222222222222224</x:v>
      </x:c>
    </x:row>
    <x:row r="4296">
      <x:c r="A4296" s="379" t="n">
        <x:v>49947</x:v>
      </x:c>
      <x:c r="B4296" s="380" t="n">
        <x:v>2036</x:v>
      </x:c>
      <x:c r="C4296" s="380" t="n">
        <x:v>9</x:v>
      </x:c>
      <x:c r="D4296" s="380" t="str">
        <x:v>Sep</x:v>
      </x:c>
      <x:c r="E4296" s="380" t="n">
        <x:v>29</x:v>
      </x:c>
      <x:c r="F4296" s="380" t="n">
        <x:v>1</x:v>
      </x:c>
      <x:c r="G4296" s="380" t="n">
        <x:f>--(F4296&lt;='Estimator'!$B$7)</x:f>
        <x:v>1</x:v>
      </x:c>
      <x:c r="H4296" s="381" t="n">
        <x:f>SUMIFS('Climate Data'!$G$7:$G$366,'Climate Data'!$A$7:$A$366,'Estimator'!$B$4,'Climate Data'!$B$7:$B$366,C4296)</x:f>
        <x:v>0.4160919540229885</x:v>
      </x:c>
      <x:c r="I4296" s="382" t="n">
        <x:f>SUMIFS('Climate Data'!$H$7:$H$366,'Climate Data'!$A$7:$A$366,'Estimator'!$B$4,'Climate Data'!$B$7:$B$366,C4296)</x:f>
        <x:v>8.019060773480662</x:v>
      </x:c>
      <x:c r="J4296" s="381" t="n">
        <x:f>SUMIFS('Wind Proxy'!$H$8:$H$19,'Wind Proxy'!$A$8:$A$19,'Estimator'!$B$4,'Wind Proxy'!$B$8:$B$19,C4296)</x:f>
        <x:v>0.22222222222222224</x:v>
      </x:c>
    </x:row>
    <x:row r="4297">
      <x:c r="A4297" s="379" t="n">
        <x:v>49948</x:v>
      </x:c>
      <x:c r="B4297" s="380" t="n">
        <x:v>2036</x:v>
      </x:c>
      <x:c r="C4297" s="380" t="n">
        <x:v>9</x:v>
      </x:c>
      <x:c r="D4297" s="380" t="str">
        <x:v>Sep</x:v>
      </x:c>
      <x:c r="E4297" s="380" t="n">
        <x:v>30</x:v>
      </x:c>
      <x:c r="F4297" s="380" t="n">
        <x:v>2</x:v>
      </x:c>
      <x:c r="G4297" s="380" t="n">
        <x:f>--(F4297&lt;='Estimator'!$B$7)</x:f>
        <x:v>1</x:v>
      </x:c>
      <x:c r="H4297" s="381" t="n">
        <x:f>SUMIFS('Climate Data'!$G$7:$G$366,'Climate Data'!$A$7:$A$366,'Estimator'!$B$4,'Climate Data'!$B$7:$B$366,C4297)</x:f>
        <x:v>0.4160919540229885</x:v>
      </x:c>
      <x:c r="I4297" s="382" t="n">
        <x:f>SUMIFS('Climate Data'!$H$7:$H$366,'Climate Data'!$A$7:$A$366,'Estimator'!$B$4,'Climate Data'!$B$7:$B$366,C4297)</x:f>
        <x:v>8.019060773480662</x:v>
      </x:c>
      <x:c r="J4297" s="381" t="n">
        <x:f>SUMIFS('Wind Proxy'!$H$8:$H$19,'Wind Proxy'!$A$8:$A$19,'Estimator'!$B$4,'Wind Proxy'!$B$8:$B$19,C4297)</x:f>
        <x:v>0.22222222222222224</x:v>
      </x:c>
    </x:row>
    <x:row r="4298">
      <x:c r="A4298" s="379" t="n">
        <x:v>49949</x:v>
      </x:c>
      <x:c r="B4298" s="380" t="n">
        <x:v>2036</x:v>
      </x:c>
      <x:c r="C4298" s="380" t="n">
        <x:v>10</x:v>
      </x:c>
      <x:c r="D4298" s="380" t="str">
        <x:v>Oct</x:v>
      </x:c>
      <x:c r="E4298" s="380" t="n">
        <x:v>1</x:v>
      </x:c>
      <x:c r="F4298" s="380" t="n">
        <x:v>3</x:v>
      </x:c>
      <x:c r="G4298" s="380" t="n">
        <x:f>--(F4298&lt;='Estimator'!$B$7)</x:f>
        <x:v>1</x:v>
      </x:c>
      <x:c r="H4298" s="381" t="n">
        <x:f>SUMIFS('Climate Data'!$G$7:$G$366,'Climate Data'!$A$7:$A$366,'Estimator'!$B$4,'Climate Data'!$B$7:$B$366,C4298)</x:f>
        <x:v>0.3721198156682028</x:v>
      </x:c>
      <x:c r="I4298" s="382" t="n">
        <x:f>SUMIFS('Climate Data'!$H$7:$H$366,'Climate Data'!$A$7:$A$366,'Estimator'!$B$4,'Climate Data'!$B$7:$B$366,C4298)</x:f>
        <x:v>7.940557275541795</x:v>
      </x:c>
      <x:c r="J4298" s="381" t="n">
        <x:f>SUMIFS('Wind Proxy'!$H$8:$H$19,'Wind Proxy'!$A$8:$A$19,'Estimator'!$B$4,'Wind Proxy'!$B$8:$B$19,C4298)</x:f>
        <x:v>0.21505376344086022</x:v>
      </x:c>
    </x:row>
    <x:row r="4299">
      <x:c r="A4299" s="379" t="n">
        <x:v>49950</x:v>
      </x:c>
      <x:c r="B4299" s="380" t="n">
        <x:v>2036</x:v>
      </x:c>
      <x:c r="C4299" s="380" t="n">
        <x:v>10</x:v>
      </x:c>
      <x:c r="D4299" s="380" t="str">
        <x:v>Oct</x:v>
      </x:c>
      <x:c r="E4299" s="380" t="n">
        <x:v>2</x:v>
      </x:c>
      <x:c r="F4299" s="380" t="n">
        <x:v>4</x:v>
      </x:c>
      <x:c r="G4299" s="380" t="n">
        <x:f>--(F4299&lt;='Estimator'!$B$7)</x:f>
        <x:v>1</x:v>
      </x:c>
      <x:c r="H4299" s="381" t="n">
        <x:f>SUMIFS('Climate Data'!$G$7:$G$366,'Climate Data'!$A$7:$A$366,'Estimator'!$B$4,'Climate Data'!$B$7:$B$366,C4299)</x:f>
        <x:v>0.3721198156682028</x:v>
      </x:c>
      <x:c r="I4299" s="382" t="n">
        <x:f>SUMIFS('Climate Data'!$H$7:$H$366,'Climate Data'!$A$7:$A$366,'Estimator'!$B$4,'Climate Data'!$B$7:$B$366,C4299)</x:f>
        <x:v>7.940557275541795</x:v>
      </x:c>
      <x:c r="J4299" s="381" t="n">
        <x:f>SUMIFS('Wind Proxy'!$H$8:$H$19,'Wind Proxy'!$A$8:$A$19,'Estimator'!$B$4,'Wind Proxy'!$B$8:$B$19,C4299)</x:f>
        <x:v>0.21505376344086022</x:v>
      </x:c>
    </x:row>
    <x:row r="4300">
      <x:c r="A4300" s="379" t="n">
        <x:v>49951</x:v>
      </x:c>
      <x:c r="B4300" s="380" t="n">
        <x:v>2036</x:v>
      </x:c>
      <x:c r="C4300" s="380" t="n">
        <x:v>10</x:v>
      </x:c>
      <x:c r="D4300" s="380" t="str">
        <x:v>Oct</x:v>
      </x:c>
      <x:c r="E4300" s="380" t="n">
        <x:v>3</x:v>
      </x:c>
      <x:c r="F4300" s="380" t="n">
        <x:v>5</x:v>
      </x:c>
      <x:c r="G4300" s="380" t="n">
        <x:f>--(F4300&lt;='Estimator'!$B$7)</x:f>
        <x:v>1</x:v>
      </x:c>
      <x:c r="H4300" s="381" t="n">
        <x:f>SUMIFS('Climate Data'!$G$7:$G$366,'Climate Data'!$A$7:$A$366,'Estimator'!$B$4,'Climate Data'!$B$7:$B$366,C4300)</x:f>
        <x:v>0.3721198156682028</x:v>
      </x:c>
      <x:c r="I4300" s="382" t="n">
        <x:f>SUMIFS('Climate Data'!$H$7:$H$366,'Climate Data'!$A$7:$A$366,'Estimator'!$B$4,'Climate Data'!$B$7:$B$366,C4300)</x:f>
        <x:v>7.940557275541795</x:v>
      </x:c>
      <x:c r="J4300" s="381" t="n">
        <x:f>SUMIFS('Wind Proxy'!$H$8:$H$19,'Wind Proxy'!$A$8:$A$19,'Estimator'!$B$4,'Wind Proxy'!$B$8:$B$19,C4300)</x:f>
        <x:v>0.21505376344086022</x:v>
      </x:c>
    </x:row>
    <x:row r="4301">
      <x:c r="A4301" s="379" t="n">
        <x:v>49952</x:v>
      </x:c>
      <x:c r="B4301" s="380" t="n">
        <x:v>2036</x:v>
      </x:c>
      <x:c r="C4301" s="380" t="n">
        <x:v>10</x:v>
      </x:c>
      <x:c r="D4301" s="380" t="str">
        <x:v>Oct</x:v>
      </x:c>
      <x:c r="E4301" s="380" t="n">
        <x:v>4</x:v>
      </x:c>
      <x:c r="F4301" s="380" t="n">
        <x:v>6</x:v>
      </x:c>
      <x:c r="G4301" s="380" t="n">
        <x:f>--(F4301&lt;='Estimator'!$B$7)</x:f>
        <x:v>0</x:v>
      </x:c>
      <x:c r="H4301" s="381" t="n">
        <x:f>SUMIFS('Climate Data'!$G$7:$G$366,'Climate Data'!$A$7:$A$366,'Estimator'!$B$4,'Climate Data'!$B$7:$B$366,C4301)</x:f>
        <x:v>0.3721198156682028</x:v>
      </x:c>
      <x:c r="I4301" s="382" t="n">
        <x:f>SUMIFS('Climate Data'!$H$7:$H$366,'Climate Data'!$A$7:$A$366,'Estimator'!$B$4,'Climate Data'!$B$7:$B$366,C4301)</x:f>
        <x:v>7.940557275541795</x:v>
      </x:c>
      <x:c r="J4301" s="381" t="n">
        <x:f>SUMIFS('Wind Proxy'!$H$8:$H$19,'Wind Proxy'!$A$8:$A$19,'Estimator'!$B$4,'Wind Proxy'!$B$8:$B$19,C4301)</x:f>
        <x:v>0.21505376344086022</x:v>
      </x:c>
    </x:row>
    <x:row r="4302">
      <x:c r="A4302" s="379" t="n">
        <x:v>49953</x:v>
      </x:c>
      <x:c r="B4302" s="380" t="n">
        <x:v>2036</x:v>
      </x:c>
      <x:c r="C4302" s="380" t="n">
        <x:v>10</x:v>
      </x:c>
      <x:c r="D4302" s="380" t="str">
        <x:v>Oct</x:v>
      </x:c>
      <x:c r="E4302" s="380" t="n">
        <x:v>5</x:v>
      </x:c>
      <x:c r="F4302" s="380" t="n">
        <x:v>7</x:v>
      </x:c>
      <x:c r="G4302" s="380" t="n">
        <x:f>--(F4302&lt;='Estimator'!$B$7)</x:f>
        <x:v>0</x:v>
      </x:c>
      <x:c r="H4302" s="381" t="n">
        <x:f>SUMIFS('Climate Data'!$G$7:$G$366,'Climate Data'!$A$7:$A$366,'Estimator'!$B$4,'Climate Data'!$B$7:$B$366,C4302)</x:f>
        <x:v>0.3721198156682028</x:v>
      </x:c>
      <x:c r="I4302" s="382" t="n">
        <x:f>SUMIFS('Climate Data'!$H$7:$H$366,'Climate Data'!$A$7:$A$366,'Estimator'!$B$4,'Climate Data'!$B$7:$B$366,C4302)</x:f>
        <x:v>7.940557275541795</x:v>
      </x:c>
      <x:c r="J4302" s="381" t="n">
        <x:f>SUMIFS('Wind Proxy'!$H$8:$H$19,'Wind Proxy'!$A$8:$A$19,'Estimator'!$B$4,'Wind Proxy'!$B$8:$B$19,C4302)</x:f>
        <x:v>0.21505376344086022</x:v>
      </x:c>
    </x:row>
    <x:row r="4303">
      <x:c r="A4303" s="379" t="n">
        <x:v>49954</x:v>
      </x:c>
      <x:c r="B4303" s="380" t="n">
        <x:v>2036</x:v>
      </x:c>
      <x:c r="C4303" s="380" t="n">
        <x:v>10</x:v>
      </x:c>
      <x:c r="D4303" s="380" t="str">
        <x:v>Oct</x:v>
      </x:c>
      <x:c r="E4303" s="380" t="n">
        <x:v>6</x:v>
      </x:c>
      <x:c r="F4303" s="380" t="n">
        <x:v>1</x:v>
      </x:c>
      <x:c r="G4303" s="380" t="n">
        <x:f>--(F4303&lt;='Estimator'!$B$7)</x:f>
        <x:v>1</x:v>
      </x:c>
      <x:c r="H4303" s="381" t="n">
        <x:f>SUMIFS('Climate Data'!$G$7:$G$366,'Climate Data'!$A$7:$A$366,'Estimator'!$B$4,'Climate Data'!$B$7:$B$366,C4303)</x:f>
        <x:v>0.3721198156682028</x:v>
      </x:c>
      <x:c r="I4303" s="382" t="n">
        <x:f>SUMIFS('Climate Data'!$H$7:$H$366,'Climate Data'!$A$7:$A$366,'Estimator'!$B$4,'Climate Data'!$B$7:$B$366,C4303)</x:f>
        <x:v>7.940557275541795</x:v>
      </x:c>
      <x:c r="J4303" s="381" t="n">
        <x:f>SUMIFS('Wind Proxy'!$H$8:$H$19,'Wind Proxy'!$A$8:$A$19,'Estimator'!$B$4,'Wind Proxy'!$B$8:$B$19,C4303)</x:f>
        <x:v>0.21505376344086022</x:v>
      </x:c>
    </x:row>
    <x:row r="4304">
      <x:c r="A4304" s="379" t="n">
        <x:v>49955</x:v>
      </x:c>
      <x:c r="B4304" s="380" t="n">
        <x:v>2036</x:v>
      </x:c>
      <x:c r="C4304" s="380" t="n">
        <x:v>10</x:v>
      </x:c>
      <x:c r="D4304" s="380" t="str">
        <x:v>Oct</x:v>
      </x:c>
      <x:c r="E4304" s="380" t="n">
        <x:v>7</x:v>
      </x:c>
      <x:c r="F4304" s="380" t="n">
        <x:v>2</x:v>
      </x:c>
      <x:c r="G4304" s="380" t="n">
        <x:f>--(F4304&lt;='Estimator'!$B$7)</x:f>
        <x:v>1</x:v>
      </x:c>
      <x:c r="H4304" s="381" t="n">
        <x:f>SUMIFS('Climate Data'!$G$7:$G$366,'Climate Data'!$A$7:$A$366,'Estimator'!$B$4,'Climate Data'!$B$7:$B$366,C4304)</x:f>
        <x:v>0.3721198156682028</x:v>
      </x:c>
      <x:c r="I4304" s="382" t="n">
        <x:f>SUMIFS('Climate Data'!$H$7:$H$366,'Climate Data'!$A$7:$A$366,'Estimator'!$B$4,'Climate Data'!$B$7:$B$366,C4304)</x:f>
        <x:v>7.940557275541795</x:v>
      </x:c>
      <x:c r="J4304" s="381" t="n">
        <x:f>SUMIFS('Wind Proxy'!$H$8:$H$19,'Wind Proxy'!$A$8:$A$19,'Estimator'!$B$4,'Wind Proxy'!$B$8:$B$19,C4304)</x:f>
        <x:v>0.21505376344086022</x:v>
      </x:c>
    </x:row>
    <x:row r="4305">
      <x:c r="A4305" s="379" t="n">
        <x:v>49956</x:v>
      </x:c>
      <x:c r="B4305" s="380" t="n">
        <x:v>2036</x:v>
      </x:c>
      <x:c r="C4305" s="380" t="n">
        <x:v>10</x:v>
      </x:c>
      <x:c r="D4305" s="380" t="str">
        <x:v>Oct</x:v>
      </x:c>
      <x:c r="E4305" s="380" t="n">
        <x:v>8</x:v>
      </x:c>
      <x:c r="F4305" s="380" t="n">
        <x:v>3</x:v>
      </x:c>
      <x:c r="G4305" s="380" t="n">
        <x:f>--(F4305&lt;='Estimator'!$B$7)</x:f>
        <x:v>1</x:v>
      </x:c>
      <x:c r="H4305" s="381" t="n">
        <x:f>SUMIFS('Climate Data'!$G$7:$G$366,'Climate Data'!$A$7:$A$366,'Estimator'!$B$4,'Climate Data'!$B$7:$B$366,C4305)</x:f>
        <x:v>0.3721198156682028</x:v>
      </x:c>
      <x:c r="I4305" s="382" t="n">
        <x:f>SUMIFS('Climate Data'!$H$7:$H$366,'Climate Data'!$A$7:$A$366,'Estimator'!$B$4,'Climate Data'!$B$7:$B$366,C4305)</x:f>
        <x:v>7.940557275541795</x:v>
      </x:c>
      <x:c r="J4305" s="381" t="n">
        <x:f>SUMIFS('Wind Proxy'!$H$8:$H$19,'Wind Proxy'!$A$8:$A$19,'Estimator'!$B$4,'Wind Proxy'!$B$8:$B$19,C4305)</x:f>
        <x:v>0.21505376344086022</x:v>
      </x:c>
    </x:row>
    <x:row r="4306">
      <x:c r="A4306" s="379" t="n">
        <x:v>49957</x:v>
      </x:c>
      <x:c r="B4306" s="380" t="n">
        <x:v>2036</x:v>
      </x:c>
      <x:c r="C4306" s="380" t="n">
        <x:v>10</x:v>
      </x:c>
      <x:c r="D4306" s="380" t="str">
        <x:v>Oct</x:v>
      </x:c>
      <x:c r="E4306" s="380" t="n">
        <x:v>9</x:v>
      </x:c>
      <x:c r="F4306" s="380" t="n">
        <x:v>4</x:v>
      </x:c>
      <x:c r="G4306" s="380" t="n">
        <x:f>--(F4306&lt;='Estimator'!$B$7)</x:f>
        <x:v>1</x:v>
      </x:c>
      <x:c r="H4306" s="381" t="n">
        <x:f>SUMIFS('Climate Data'!$G$7:$G$366,'Climate Data'!$A$7:$A$366,'Estimator'!$B$4,'Climate Data'!$B$7:$B$366,C4306)</x:f>
        <x:v>0.3721198156682028</x:v>
      </x:c>
      <x:c r="I4306" s="382" t="n">
        <x:f>SUMIFS('Climate Data'!$H$7:$H$366,'Climate Data'!$A$7:$A$366,'Estimator'!$B$4,'Climate Data'!$B$7:$B$366,C4306)</x:f>
        <x:v>7.940557275541795</x:v>
      </x:c>
      <x:c r="J4306" s="381" t="n">
        <x:f>SUMIFS('Wind Proxy'!$H$8:$H$19,'Wind Proxy'!$A$8:$A$19,'Estimator'!$B$4,'Wind Proxy'!$B$8:$B$19,C4306)</x:f>
        <x:v>0.21505376344086022</x:v>
      </x:c>
    </x:row>
    <x:row r="4307">
      <x:c r="A4307" s="379" t="n">
        <x:v>49958</x:v>
      </x:c>
      <x:c r="B4307" s="380" t="n">
        <x:v>2036</x:v>
      </x:c>
      <x:c r="C4307" s="380" t="n">
        <x:v>10</x:v>
      </x:c>
      <x:c r="D4307" s="380" t="str">
        <x:v>Oct</x:v>
      </x:c>
      <x:c r="E4307" s="380" t="n">
        <x:v>10</x:v>
      </x:c>
      <x:c r="F4307" s="380" t="n">
        <x:v>5</x:v>
      </x:c>
      <x:c r="G4307" s="380" t="n">
        <x:f>--(F4307&lt;='Estimator'!$B$7)</x:f>
        <x:v>1</x:v>
      </x:c>
      <x:c r="H4307" s="381" t="n">
        <x:f>SUMIFS('Climate Data'!$G$7:$G$366,'Climate Data'!$A$7:$A$366,'Estimator'!$B$4,'Climate Data'!$B$7:$B$366,C4307)</x:f>
        <x:v>0.3721198156682028</x:v>
      </x:c>
      <x:c r="I4307" s="382" t="n">
        <x:f>SUMIFS('Climate Data'!$H$7:$H$366,'Climate Data'!$A$7:$A$366,'Estimator'!$B$4,'Climate Data'!$B$7:$B$366,C4307)</x:f>
        <x:v>7.940557275541795</x:v>
      </x:c>
      <x:c r="J4307" s="381" t="n">
        <x:f>SUMIFS('Wind Proxy'!$H$8:$H$19,'Wind Proxy'!$A$8:$A$19,'Estimator'!$B$4,'Wind Proxy'!$B$8:$B$19,C4307)</x:f>
        <x:v>0.21505376344086022</x:v>
      </x:c>
    </x:row>
    <x:row r="4308">
      <x:c r="A4308" s="379" t="n">
        <x:v>49959</x:v>
      </x:c>
      <x:c r="B4308" s="380" t="n">
        <x:v>2036</x:v>
      </x:c>
      <x:c r="C4308" s="380" t="n">
        <x:v>10</x:v>
      </x:c>
      <x:c r="D4308" s="380" t="str">
        <x:v>Oct</x:v>
      </x:c>
      <x:c r="E4308" s="380" t="n">
        <x:v>11</x:v>
      </x:c>
      <x:c r="F4308" s="380" t="n">
        <x:v>6</x:v>
      </x:c>
      <x:c r="G4308" s="380" t="n">
        <x:f>--(F4308&lt;='Estimator'!$B$7)</x:f>
        <x:v>0</x:v>
      </x:c>
      <x:c r="H4308" s="381" t="n">
        <x:f>SUMIFS('Climate Data'!$G$7:$G$366,'Climate Data'!$A$7:$A$366,'Estimator'!$B$4,'Climate Data'!$B$7:$B$366,C4308)</x:f>
        <x:v>0.3721198156682028</x:v>
      </x:c>
      <x:c r="I4308" s="382" t="n">
        <x:f>SUMIFS('Climate Data'!$H$7:$H$366,'Climate Data'!$A$7:$A$366,'Estimator'!$B$4,'Climate Data'!$B$7:$B$366,C4308)</x:f>
        <x:v>7.940557275541795</x:v>
      </x:c>
      <x:c r="J4308" s="381" t="n">
        <x:f>SUMIFS('Wind Proxy'!$H$8:$H$19,'Wind Proxy'!$A$8:$A$19,'Estimator'!$B$4,'Wind Proxy'!$B$8:$B$19,C4308)</x:f>
        <x:v>0.21505376344086022</x:v>
      </x:c>
    </x:row>
    <x:row r="4309">
      <x:c r="A4309" s="379" t="n">
        <x:v>49960</x:v>
      </x:c>
      <x:c r="B4309" s="380" t="n">
        <x:v>2036</x:v>
      </x:c>
      <x:c r="C4309" s="380" t="n">
        <x:v>10</x:v>
      </x:c>
      <x:c r="D4309" s="380" t="str">
        <x:v>Oct</x:v>
      </x:c>
      <x:c r="E4309" s="380" t="n">
        <x:v>12</x:v>
      </x:c>
      <x:c r="F4309" s="380" t="n">
        <x:v>7</x:v>
      </x:c>
      <x:c r="G4309" s="380" t="n">
        <x:f>--(F4309&lt;='Estimator'!$B$7)</x:f>
        <x:v>0</x:v>
      </x:c>
      <x:c r="H4309" s="381" t="n">
        <x:f>SUMIFS('Climate Data'!$G$7:$G$366,'Climate Data'!$A$7:$A$366,'Estimator'!$B$4,'Climate Data'!$B$7:$B$366,C4309)</x:f>
        <x:v>0.3721198156682028</x:v>
      </x:c>
      <x:c r="I4309" s="382" t="n">
        <x:f>SUMIFS('Climate Data'!$H$7:$H$366,'Climate Data'!$A$7:$A$366,'Estimator'!$B$4,'Climate Data'!$B$7:$B$366,C4309)</x:f>
        <x:v>7.940557275541795</x:v>
      </x:c>
      <x:c r="J4309" s="381" t="n">
        <x:f>SUMIFS('Wind Proxy'!$H$8:$H$19,'Wind Proxy'!$A$8:$A$19,'Estimator'!$B$4,'Wind Proxy'!$B$8:$B$19,C4309)</x:f>
        <x:v>0.21505376344086022</x:v>
      </x:c>
    </x:row>
    <x:row r="4310">
      <x:c r="A4310" s="379" t="n">
        <x:v>49961</x:v>
      </x:c>
      <x:c r="B4310" s="380" t="n">
        <x:v>2036</x:v>
      </x:c>
      <x:c r="C4310" s="380" t="n">
        <x:v>10</x:v>
      </x:c>
      <x:c r="D4310" s="380" t="str">
        <x:v>Oct</x:v>
      </x:c>
      <x:c r="E4310" s="380" t="n">
        <x:v>13</x:v>
      </x:c>
      <x:c r="F4310" s="380" t="n">
        <x:v>1</x:v>
      </x:c>
      <x:c r="G4310" s="380" t="n">
        <x:f>--(F4310&lt;='Estimator'!$B$7)</x:f>
        <x:v>1</x:v>
      </x:c>
      <x:c r="H4310" s="381" t="n">
        <x:f>SUMIFS('Climate Data'!$G$7:$G$366,'Climate Data'!$A$7:$A$366,'Estimator'!$B$4,'Climate Data'!$B$7:$B$366,C4310)</x:f>
        <x:v>0.3721198156682028</x:v>
      </x:c>
      <x:c r="I4310" s="382" t="n">
        <x:f>SUMIFS('Climate Data'!$H$7:$H$366,'Climate Data'!$A$7:$A$366,'Estimator'!$B$4,'Climate Data'!$B$7:$B$366,C4310)</x:f>
        <x:v>7.940557275541795</x:v>
      </x:c>
      <x:c r="J4310" s="381" t="n">
        <x:f>SUMIFS('Wind Proxy'!$H$8:$H$19,'Wind Proxy'!$A$8:$A$19,'Estimator'!$B$4,'Wind Proxy'!$B$8:$B$19,C4310)</x:f>
        <x:v>0.21505376344086022</x:v>
      </x:c>
    </x:row>
    <x:row r="4311">
      <x:c r="A4311" s="379" t="n">
        <x:v>49962</x:v>
      </x:c>
      <x:c r="B4311" s="380" t="n">
        <x:v>2036</x:v>
      </x:c>
      <x:c r="C4311" s="380" t="n">
        <x:v>10</x:v>
      </x:c>
      <x:c r="D4311" s="380" t="str">
        <x:v>Oct</x:v>
      </x:c>
      <x:c r="E4311" s="380" t="n">
        <x:v>14</x:v>
      </x:c>
      <x:c r="F4311" s="380" t="n">
        <x:v>2</x:v>
      </x:c>
      <x:c r="G4311" s="380" t="n">
        <x:f>--(F4311&lt;='Estimator'!$B$7)</x:f>
        <x:v>1</x:v>
      </x:c>
      <x:c r="H4311" s="381" t="n">
        <x:f>SUMIFS('Climate Data'!$G$7:$G$366,'Climate Data'!$A$7:$A$366,'Estimator'!$B$4,'Climate Data'!$B$7:$B$366,C4311)</x:f>
        <x:v>0.3721198156682028</x:v>
      </x:c>
      <x:c r="I4311" s="382" t="n">
        <x:f>SUMIFS('Climate Data'!$H$7:$H$366,'Climate Data'!$A$7:$A$366,'Estimator'!$B$4,'Climate Data'!$B$7:$B$366,C4311)</x:f>
        <x:v>7.940557275541795</x:v>
      </x:c>
      <x:c r="J4311" s="381" t="n">
        <x:f>SUMIFS('Wind Proxy'!$H$8:$H$19,'Wind Proxy'!$A$8:$A$19,'Estimator'!$B$4,'Wind Proxy'!$B$8:$B$19,C4311)</x:f>
        <x:v>0.21505376344086022</x:v>
      </x:c>
    </x:row>
    <x:row r="4312">
      <x:c r="A4312" s="379" t="n">
        <x:v>49963</x:v>
      </x:c>
      <x:c r="B4312" s="380" t="n">
        <x:v>2036</x:v>
      </x:c>
      <x:c r="C4312" s="380" t="n">
        <x:v>10</x:v>
      </x:c>
      <x:c r="D4312" s="380" t="str">
        <x:v>Oct</x:v>
      </x:c>
      <x:c r="E4312" s="380" t="n">
        <x:v>15</x:v>
      </x:c>
      <x:c r="F4312" s="380" t="n">
        <x:v>3</x:v>
      </x:c>
      <x:c r="G4312" s="380" t="n">
        <x:f>--(F4312&lt;='Estimator'!$B$7)</x:f>
        <x:v>1</x:v>
      </x:c>
      <x:c r="H4312" s="381" t="n">
        <x:f>SUMIFS('Climate Data'!$G$7:$G$366,'Climate Data'!$A$7:$A$366,'Estimator'!$B$4,'Climate Data'!$B$7:$B$366,C4312)</x:f>
        <x:v>0.3721198156682028</x:v>
      </x:c>
      <x:c r="I4312" s="382" t="n">
        <x:f>SUMIFS('Climate Data'!$H$7:$H$366,'Climate Data'!$A$7:$A$366,'Estimator'!$B$4,'Climate Data'!$B$7:$B$366,C4312)</x:f>
        <x:v>7.940557275541795</x:v>
      </x:c>
      <x:c r="J4312" s="381" t="n">
        <x:f>SUMIFS('Wind Proxy'!$H$8:$H$19,'Wind Proxy'!$A$8:$A$19,'Estimator'!$B$4,'Wind Proxy'!$B$8:$B$19,C4312)</x:f>
        <x:v>0.21505376344086022</x:v>
      </x:c>
    </x:row>
    <x:row r="4313">
      <x:c r="A4313" s="379" t="n">
        <x:v>49964</x:v>
      </x:c>
      <x:c r="B4313" s="380" t="n">
        <x:v>2036</x:v>
      </x:c>
      <x:c r="C4313" s="380" t="n">
        <x:v>10</x:v>
      </x:c>
      <x:c r="D4313" s="380" t="str">
        <x:v>Oct</x:v>
      </x:c>
      <x:c r="E4313" s="380" t="n">
        <x:v>16</x:v>
      </x:c>
      <x:c r="F4313" s="380" t="n">
        <x:v>4</x:v>
      </x:c>
      <x:c r="G4313" s="380" t="n">
        <x:f>--(F4313&lt;='Estimator'!$B$7)</x:f>
        <x:v>1</x:v>
      </x:c>
      <x:c r="H4313" s="381" t="n">
        <x:f>SUMIFS('Climate Data'!$G$7:$G$366,'Climate Data'!$A$7:$A$366,'Estimator'!$B$4,'Climate Data'!$B$7:$B$366,C4313)</x:f>
        <x:v>0.3721198156682028</x:v>
      </x:c>
      <x:c r="I4313" s="382" t="n">
        <x:f>SUMIFS('Climate Data'!$H$7:$H$366,'Climate Data'!$A$7:$A$366,'Estimator'!$B$4,'Climate Data'!$B$7:$B$366,C4313)</x:f>
        <x:v>7.940557275541795</x:v>
      </x:c>
      <x:c r="J4313" s="381" t="n">
        <x:f>SUMIFS('Wind Proxy'!$H$8:$H$19,'Wind Proxy'!$A$8:$A$19,'Estimator'!$B$4,'Wind Proxy'!$B$8:$B$19,C4313)</x:f>
        <x:v>0.21505376344086022</x:v>
      </x:c>
    </x:row>
    <x:row r="4314">
      <x:c r="A4314" s="379" t="n">
        <x:v>49965</x:v>
      </x:c>
      <x:c r="B4314" s="380" t="n">
        <x:v>2036</x:v>
      </x:c>
      <x:c r="C4314" s="380" t="n">
        <x:v>10</x:v>
      </x:c>
      <x:c r="D4314" s="380" t="str">
        <x:v>Oct</x:v>
      </x:c>
      <x:c r="E4314" s="380" t="n">
        <x:v>17</x:v>
      </x:c>
      <x:c r="F4314" s="380" t="n">
        <x:v>5</x:v>
      </x:c>
      <x:c r="G4314" s="380" t="n">
        <x:f>--(F4314&lt;='Estimator'!$B$7)</x:f>
        <x:v>1</x:v>
      </x:c>
      <x:c r="H4314" s="381" t="n">
        <x:f>SUMIFS('Climate Data'!$G$7:$G$366,'Climate Data'!$A$7:$A$366,'Estimator'!$B$4,'Climate Data'!$B$7:$B$366,C4314)</x:f>
        <x:v>0.3721198156682028</x:v>
      </x:c>
      <x:c r="I4314" s="382" t="n">
        <x:f>SUMIFS('Climate Data'!$H$7:$H$366,'Climate Data'!$A$7:$A$366,'Estimator'!$B$4,'Climate Data'!$B$7:$B$366,C4314)</x:f>
        <x:v>7.940557275541795</x:v>
      </x:c>
      <x:c r="J4314" s="381" t="n">
        <x:f>SUMIFS('Wind Proxy'!$H$8:$H$19,'Wind Proxy'!$A$8:$A$19,'Estimator'!$B$4,'Wind Proxy'!$B$8:$B$19,C4314)</x:f>
        <x:v>0.21505376344086022</x:v>
      </x:c>
    </x:row>
    <x:row r="4315">
      <x:c r="A4315" s="379" t="n">
        <x:v>49966</x:v>
      </x:c>
      <x:c r="B4315" s="380" t="n">
        <x:v>2036</x:v>
      </x:c>
      <x:c r="C4315" s="380" t="n">
        <x:v>10</x:v>
      </x:c>
      <x:c r="D4315" s="380" t="str">
        <x:v>Oct</x:v>
      </x:c>
      <x:c r="E4315" s="380" t="n">
        <x:v>18</x:v>
      </x:c>
      <x:c r="F4315" s="380" t="n">
        <x:v>6</x:v>
      </x:c>
      <x:c r="G4315" s="380" t="n">
        <x:f>--(F4315&lt;='Estimator'!$B$7)</x:f>
        <x:v>0</x:v>
      </x:c>
      <x:c r="H4315" s="381" t="n">
        <x:f>SUMIFS('Climate Data'!$G$7:$G$366,'Climate Data'!$A$7:$A$366,'Estimator'!$B$4,'Climate Data'!$B$7:$B$366,C4315)</x:f>
        <x:v>0.3721198156682028</x:v>
      </x:c>
      <x:c r="I4315" s="382" t="n">
        <x:f>SUMIFS('Climate Data'!$H$7:$H$366,'Climate Data'!$A$7:$A$366,'Estimator'!$B$4,'Climate Data'!$B$7:$B$366,C4315)</x:f>
        <x:v>7.940557275541795</x:v>
      </x:c>
      <x:c r="J4315" s="381" t="n">
        <x:f>SUMIFS('Wind Proxy'!$H$8:$H$19,'Wind Proxy'!$A$8:$A$19,'Estimator'!$B$4,'Wind Proxy'!$B$8:$B$19,C4315)</x:f>
        <x:v>0.21505376344086022</x:v>
      </x:c>
    </x:row>
    <x:row r="4316">
      <x:c r="A4316" s="379" t="n">
        <x:v>49967</x:v>
      </x:c>
      <x:c r="B4316" s="380" t="n">
        <x:v>2036</x:v>
      </x:c>
      <x:c r="C4316" s="380" t="n">
        <x:v>10</x:v>
      </x:c>
      <x:c r="D4316" s="380" t="str">
        <x:v>Oct</x:v>
      </x:c>
      <x:c r="E4316" s="380" t="n">
        <x:v>19</x:v>
      </x:c>
      <x:c r="F4316" s="380" t="n">
        <x:v>7</x:v>
      </x:c>
      <x:c r="G4316" s="380" t="n">
        <x:f>--(F4316&lt;='Estimator'!$B$7)</x:f>
        <x:v>0</x:v>
      </x:c>
      <x:c r="H4316" s="381" t="n">
        <x:f>SUMIFS('Climate Data'!$G$7:$G$366,'Climate Data'!$A$7:$A$366,'Estimator'!$B$4,'Climate Data'!$B$7:$B$366,C4316)</x:f>
        <x:v>0.3721198156682028</x:v>
      </x:c>
      <x:c r="I4316" s="382" t="n">
        <x:f>SUMIFS('Climate Data'!$H$7:$H$366,'Climate Data'!$A$7:$A$366,'Estimator'!$B$4,'Climate Data'!$B$7:$B$366,C4316)</x:f>
        <x:v>7.940557275541795</x:v>
      </x:c>
      <x:c r="J4316" s="381" t="n">
        <x:f>SUMIFS('Wind Proxy'!$H$8:$H$19,'Wind Proxy'!$A$8:$A$19,'Estimator'!$B$4,'Wind Proxy'!$B$8:$B$19,C4316)</x:f>
        <x:v>0.21505376344086022</x:v>
      </x:c>
    </x:row>
    <x:row r="4317">
      <x:c r="A4317" s="379" t="n">
        <x:v>49968</x:v>
      </x:c>
      <x:c r="B4317" s="380" t="n">
        <x:v>2036</x:v>
      </x:c>
      <x:c r="C4317" s="380" t="n">
        <x:v>10</x:v>
      </x:c>
      <x:c r="D4317" s="380" t="str">
        <x:v>Oct</x:v>
      </x:c>
      <x:c r="E4317" s="380" t="n">
        <x:v>20</x:v>
      </x:c>
      <x:c r="F4317" s="380" t="n">
        <x:v>1</x:v>
      </x:c>
      <x:c r="G4317" s="380" t="n">
        <x:f>--(F4317&lt;='Estimator'!$B$7)</x:f>
        <x:v>1</x:v>
      </x:c>
      <x:c r="H4317" s="381" t="n">
        <x:f>SUMIFS('Climate Data'!$G$7:$G$366,'Climate Data'!$A$7:$A$366,'Estimator'!$B$4,'Climate Data'!$B$7:$B$366,C4317)</x:f>
        <x:v>0.3721198156682028</x:v>
      </x:c>
      <x:c r="I4317" s="382" t="n">
        <x:f>SUMIFS('Climate Data'!$H$7:$H$366,'Climate Data'!$A$7:$A$366,'Estimator'!$B$4,'Climate Data'!$B$7:$B$366,C4317)</x:f>
        <x:v>7.940557275541795</x:v>
      </x:c>
      <x:c r="J4317" s="381" t="n">
        <x:f>SUMIFS('Wind Proxy'!$H$8:$H$19,'Wind Proxy'!$A$8:$A$19,'Estimator'!$B$4,'Wind Proxy'!$B$8:$B$19,C4317)</x:f>
        <x:v>0.21505376344086022</x:v>
      </x:c>
    </x:row>
    <x:row r="4318">
      <x:c r="A4318" s="379" t="n">
        <x:v>49969</x:v>
      </x:c>
      <x:c r="B4318" s="380" t="n">
        <x:v>2036</x:v>
      </x:c>
      <x:c r="C4318" s="380" t="n">
        <x:v>10</x:v>
      </x:c>
      <x:c r="D4318" s="380" t="str">
        <x:v>Oct</x:v>
      </x:c>
      <x:c r="E4318" s="380" t="n">
        <x:v>21</x:v>
      </x:c>
      <x:c r="F4318" s="380" t="n">
        <x:v>2</x:v>
      </x:c>
      <x:c r="G4318" s="380" t="n">
        <x:f>--(F4318&lt;='Estimator'!$B$7)</x:f>
        <x:v>1</x:v>
      </x:c>
      <x:c r="H4318" s="381" t="n">
        <x:f>SUMIFS('Climate Data'!$G$7:$G$366,'Climate Data'!$A$7:$A$366,'Estimator'!$B$4,'Climate Data'!$B$7:$B$366,C4318)</x:f>
        <x:v>0.3721198156682028</x:v>
      </x:c>
      <x:c r="I4318" s="382" t="n">
        <x:f>SUMIFS('Climate Data'!$H$7:$H$366,'Climate Data'!$A$7:$A$366,'Estimator'!$B$4,'Climate Data'!$B$7:$B$366,C4318)</x:f>
        <x:v>7.940557275541795</x:v>
      </x:c>
      <x:c r="J4318" s="381" t="n">
        <x:f>SUMIFS('Wind Proxy'!$H$8:$H$19,'Wind Proxy'!$A$8:$A$19,'Estimator'!$B$4,'Wind Proxy'!$B$8:$B$19,C4318)</x:f>
        <x:v>0.21505376344086022</x:v>
      </x:c>
    </x:row>
    <x:row r="4319">
      <x:c r="A4319" s="379" t="n">
        <x:v>49970</x:v>
      </x:c>
      <x:c r="B4319" s="380" t="n">
        <x:v>2036</x:v>
      </x:c>
      <x:c r="C4319" s="380" t="n">
        <x:v>10</x:v>
      </x:c>
      <x:c r="D4319" s="380" t="str">
        <x:v>Oct</x:v>
      </x:c>
      <x:c r="E4319" s="380" t="n">
        <x:v>22</x:v>
      </x:c>
      <x:c r="F4319" s="380" t="n">
        <x:v>3</x:v>
      </x:c>
      <x:c r="G4319" s="380" t="n">
        <x:f>--(F4319&lt;='Estimator'!$B$7)</x:f>
        <x:v>1</x:v>
      </x:c>
      <x:c r="H4319" s="381" t="n">
        <x:f>SUMIFS('Climate Data'!$G$7:$G$366,'Climate Data'!$A$7:$A$366,'Estimator'!$B$4,'Climate Data'!$B$7:$B$366,C4319)</x:f>
        <x:v>0.3721198156682028</x:v>
      </x:c>
      <x:c r="I4319" s="382" t="n">
        <x:f>SUMIFS('Climate Data'!$H$7:$H$366,'Climate Data'!$A$7:$A$366,'Estimator'!$B$4,'Climate Data'!$B$7:$B$366,C4319)</x:f>
        <x:v>7.940557275541795</x:v>
      </x:c>
      <x:c r="J4319" s="381" t="n">
        <x:f>SUMIFS('Wind Proxy'!$H$8:$H$19,'Wind Proxy'!$A$8:$A$19,'Estimator'!$B$4,'Wind Proxy'!$B$8:$B$19,C4319)</x:f>
        <x:v>0.21505376344086022</x:v>
      </x:c>
    </x:row>
    <x:row r="4320">
      <x:c r="A4320" s="379" t="n">
        <x:v>49971</x:v>
      </x:c>
      <x:c r="B4320" s="380" t="n">
        <x:v>2036</x:v>
      </x:c>
      <x:c r="C4320" s="380" t="n">
        <x:v>10</x:v>
      </x:c>
      <x:c r="D4320" s="380" t="str">
        <x:v>Oct</x:v>
      </x:c>
      <x:c r="E4320" s="380" t="n">
        <x:v>23</x:v>
      </x:c>
      <x:c r="F4320" s="380" t="n">
        <x:v>4</x:v>
      </x:c>
      <x:c r="G4320" s="380" t="n">
        <x:f>--(F4320&lt;='Estimator'!$B$7)</x:f>
        <x:v>1</x:v>
      </x:c>
      <x:c r="H4320" s="381" t="n">
        <x:f>SUMIFS('Climate Data'!$G$7:$G$366,'Climate Data'!$A$7:$A$366,'Estimator'!$B$4,'Climate Data'!$B$7:$B$366,C4320)</x:f>
        <x:v>0.3721198156682028</x:v>
      </x:c>
      <x:c r="I4320" s="382" t="n">
        <x:f>SUMIFS('Climate Data'!$H$7:$H$366,'Climate Data'!$A$7:$A$366,'Estimator'!$B$4,'Climate Data'!$B$7:$B$366,C4320)</x:f>
        <x:v>7.940557275541795</x:v>
      </x:c>
      <x:c r="J4320" s="381" t="n">
        <x:f>SUMIFS('Wind Proxy'!$H$8:$H$19,'Wind Proxy'!$A$8:$A$19,'Estimator'!$B$4,'Wind Proxy'!$B$8:$B$19,C4320)</x:f>
        <x:v>0.21505376344086022</x:v>
      </x:c>
    </x:row>
    <x:row r="4321">
      <x:c r="A4321" s="379" t="n">
        <x:v>49972</x:v>
      </x:c>
      <x:c r="B4321" s="380" t="n">
        <x:v>2036</x:v>
      </x:c>
      <x:c r="C4321" s="380" t="n">
        <x:v>10</x:v>
      </x:c>
      <x:c r="D4321" s="380" t="str">
        <x:v>Oct</x:v>
      </x:c>
      <x:c r="E4321" s="380" t="n">
        <x:v>24</x:v>
      </x:c>
      <x:c r="F4321" s="380" t="n">
        <x:v>5</x:v>
      </x:c>
      <x:c r="G4321" s="380" t="n">
        <x:f>--(F4321&lt;='Estimator'!$B$7)</x:f>
        <x:v>1</x:v>
      </x:c>
      <x:c r="H4321" s="381" t="n">
        <x:f>SUMIFS('Climate Data'!$G$7:$G$366,'Climate Data'!$A$7:$A$366,'Estimator'!$B$4,'Climate Data'!$B$7:$B$366,C4321)</x:f>
        <x:v>0.3721198156682028</x:v>
      </x:c>
      <x:c r="I4321" s="382" t="n">
        <x:f>SUMIFS('Climate Data'!$H$7:$H$366,'Climate Data'!$A$7:$A$366,'Estimator'!$B$4,'Climate Data'!$B$7:$B$366,C4321)</x:f>
        <x:v>7.940557275541795</x:v>
      </x:c>
      <x:c r="J4321" s="381" t="n">
        <x:f>SUMIFS('Wind Proxy'!$H$8:$H$19,'Wind Proxy'!$A$8:$A$19,'Estimator'!$B$4,'Wind Proxy'!$B$8:$B$19,C4321)</x:f>
        <x:v>0.21505376344086022</x:v>
      </x:c>
    </x:row>
    <x:row r="4322">
      <x:c r="A4322" s="379" t="n">
        <x:v>49973</x:v>
      </x:c>
      <x:c r="B4322" s="380" t="n">
        <x:v>2036</x:v>
      </x:c>
      <x:c r="C4322" s="380" t="n">
        <x:v>10</x:v>
      </x:c>
      <x:c r="D4322" s="380" t="str">
        <x:v>Oct</x:v>
      </x:c>
      <x:c r="E4322" s="380" t="n">
        <x:v>25</x:v>
      </x:c>
      <x:c r="F4322" s="380" t="n">
        <x:v>6</x:v>
      </x:c>
      <x:c r="G4322" s="380" t="n">
        <x:f>--(F4322&lt;='Estimator'!$B$7)</x:f>
        <x:v>0</x:v>
      </x:c>
      <x:c r="H4322" s="381" t="n">
        <x:f>SUMIFS('Climate Data'!$G$7:$G$366,'Climate Data'!$A$7:$A$366,'Estimator'!$B$4,'Climate Data'!$B$7:$B$366,C4322)</x:f>
        <x:v>0.3721198156682028</x:v>
      </x:c>
      <x:c r="I4322" s="382" t="n">
        <x:f>SUMIFS('Climate Data'!$H$7:$H$366,'Climate Data'!$A$7:$A$366,'Estimator'!$B$4,'Climate Data'!$B$7:$B$366,C4322)</x:f>
        <x:v>7.940557275541795</x:v>
      </x:c>
      <x:c r="J4322" s="381" t="n">
        <x:f>SUMIFS('Wind Proxy'!$H$8:$H$19,'Wind Proxy'!$A$8:$A$19,'Estimator'!$B$4,'Wind Proxy'!$B$8:$B$19,C4322)</x:f>
        <x:v>0.21505376344086022</x:v>
      </x:c>
    </x:row>
    <x:row r="4323">
      <x:c r="A4323" s="379" t="n">
        <x:v>49974</x:v>
      </x:c>
      <x:c r="B4323" s="380" t="n">
        <x:v>2036</x:v>
      </x:c>
      <x:c r="C4323" s="380" t="n">
        <x:v>10</x:v>
      </x:c>
      <x:c r="D4323" s="380" t="str">
        <x:v>Oct</x:v>
      </x:c>
      <x:c r="E4323" s="380" t="n">
        <x:v>26</x:v>
      </x:c>
      <x:c r="F4323" s="380" t="n">
        <x:v>7</x:v>
      </x:c>
      <x:c r="G4323" s="380" t="n">
        <x:f>--(F4323&lt;='Estimator'!$B$7)</x:f>
        <x:v>0</x:v>
      </x:c>
      <x:c r="H4323" s="381" t="n">
        <x:f>SUMIFS('Climate Data'!$G$7:$G$366,'Climate Data'!$A$7:$A$366,'Estimator'!$B$4,'Climate Data'!$B$7:$B$366,C4323)</x:f>
        <x:v>0.3721198156682028</x:v>
      </x:c>
      <x:c r="I4323" s="382" t="n">
        <x:f>SUMIFS('Climate Data'!$H$7:$H$366,'Climate Data'!$A$7:$A$366,'Estimator'!$B$4,'Climate Data'!$B$7:$B$366,C4323)</x:f>
        <x:v>7.940557275541795</x:v>
      </x:c>
      <x:c r="J4323" s="381" t="n">
        <x:f>SUMIFS('Wind Proxy'!$H$8:$H$19,'Wind Proxy'!$A$8:$A$19,'Estimator'!$B$4,'Wind Proxy'!$B$8:$B$19,C4323)</x:f>
        <x:v>0.21505376344086022</x:v>
      </x:c>
    </x:row>
    <x:row r="4324">
      <x:c r="A4324" s="379" t="n">
        <x:v>49975</x:v>
      </x:c>
      <x:c r="B4324" s="380" t="n">
        <x:v>2036</x:v>
      </x:c>
      <x:c r="C4324" s="380" t="n">
        <x:v>10</x:v>
      </x:c>
      <x:c r="D4324" s="380" t="str">
        <x:v>Oct</x:v>
      </x:c>
      <x:c r="E4324" s="380" t="n">
        <x:v>27</x:v>
      </x:c>
      <x:c r="F4324" s="380" t="n">
        <x:v>1</x:v>
      </x:c>
      <x:c r="G4324" s="380" t="n">
        <x:f>--(F4324&lt;='Estimator'!$B$7)</x:f>
        <x:v>1</x:v>
      </x:c>
      <x:c r="H4324" s="381" t="n">
        <x:f>SUMIFS('Climate Data'!$G$7:$G$366,'Climate Data'!$A$7:$A$366,'Estimator'!$B$4,'Climate Data'!$B$7:$B$366,C4324)</x:f>
        <x:v>0.3721198156682028</x:v>
      </x:c>
      <x:c r="I4324" s="382" t="n">
        <x:f>SUMIFS('Climate Data'!$H$7:$H$366,'Climate Data'!$A$7:$A$366,'Estimator'!$B$4,'Climate Data'!$B$7:$B$366,C4324)</x:f>
        <x:v>7.940557275541795</x:v>
      </x:c>
      <x:c r="J4324" s="381" t="n">
        <x:f>SUMIFS('Wind Proxy'!$H$8:$H$19,'Wind Proxy'!$A$8:$A$19,'Estimator'!$B$4,'Wind Proxy'!$B$8:$B$19,C4324)</x:f>
        <x:v>0.21505376344086022</x:v>
      </x:c>
    </x:row>
    <x:row r="4325">
      <x:c r="A4325" s="379" t="n">
        <x:v>49976</x:v>
      </x:c>
      <x:c r="B4325" s="380" t="n">
        <x:v>2036</x:v>
      </x:c>
      <x:c r="C4325" s="380" t="n">
        <x:v>10</x:v>
      </x:c>
      <x:c r="D4325" s="380" t="str">
        <x:v>Oct</x:v>
      </x:c>
      <x:c r="E4325" s="380" t="n">
        <x:v>28</x:v>
      </x:c>
      <x:c r="F4325" s="380" t="n">
        <x:v>2</x:v>
      </x:c>
      <x:c r="G4325" s="380" t="n">
        <x:f>--(F4325&lt;='Estimator'!$B$7)</x:f>
        <x:v>1</x:v>
      </x:c>
      <x:c r="H4325" s="381" t="n">
        <x:f>SUMIFS('Climate Data'!$G$7:$G$366,'Climate Data'!$A$7:$A$366,'Estimator'!$B$4,'Climate Data'!$B$7:$B$366,C4325)</x:f>
        <x:v>0.3721198156682028</x:v>
      </x:c>
      <x:c r="I4325" s="382" t="n">
        <x:f>SUMIFS('Climate Data'!$H$7:$H$366,'Climate Data'!$A$7:$A$366,'Estimator'!$B$4,'Climate Data'!$B$7:$B$366,C4325)</x:f>
        <x:v>7.940557275541795</x:v>
      </x:c>
      <x:c r="J4325" s="381" t="n">
        <x:f>SUMIFS('Wind Proxy'!$H$8:$H$19,'Wind Proxy'!$A$8:$A$19,'Estimator'!$B$4,'Wind Proxy'!$B$8:$B$19,C4325)</x:f>
        <x:v>0.21505376344086022</x:v>
      </x:c>
    </x:row>
    <x:row r="4326">
      <x:c r="A4326" s="379" t="n">
        <x:v>49977</x:v>
      </x:c>
      <x:c r="B4326" s="380" t="n">
        <x:v>2036</x:v>
      </x:c>
      <x:c r="C4326" s="380" t="n">
        <x:v>10</x:v>
      </x:c>
      <x:c r="D4326" s="380" t="str">
        <x:v>Oct</x:v>
      </x:c>
      <x:c r="E4326" s="380" t="n">
        <x:v>29</x:v>
      </x:c>
      <x:c r="F4326" s="380" t="n">
        <x:v>3</x:v>
      </x:c>
      <x:c r="G4326" s="380" t="n">
        <x:f>--(F4326&lt;='Estimator'!$B$7)</x:f>
        <x:v>1</x:v>
      </x:c>
      <x:c r="H4326" s="381" t="n">
        <x:f>SUMIFS('Climate Data'!$G$7:$G$366,'Climate Data'!$A$7:$A$366,'Estimator'!$B$4,'Climate Data'!$B$7:$B$366,C4326)</x:f>
        <x:v>0.3721198156682028</x:v>
      </x:c>
      <x:c r="I4326" s="382" t="n">
        <x:f>SUMIFS('Climate Data'!$H$7:$H$366,'Climate Data'!$A$7:$A$366,'Estimator'!$B$4,'Climate Data'!$B$7:$B$366,C4326)</x:f>
        <x:v>7.940557275541795</x:v>
      </x:c>
      <x:c r="J4326" s="381" t="n">
        <x:f>SUMIFS('Wind Proxy'!$H$8:$H$19,'Wind Proxy'!$A$8:$A$19,'Estimator'!$B$4,'Wind Proxy'!$B$8:$B$19,C4326)</x:f>
        <x:v>0.21505376344086022</x:v>
      </x:c>
    </x:row>
    <x:row r="4327">
      <x:c r="A4327" s="379" t="n">
        <x:v>49978</x:v>
      </x:c>
      <x:c r="B4327" s="380" t="n">
        <x:v>2036</x:v>
      </x:c>
      <x:c r="C4327" s="380" t="n">
        <x:v>10</x:v>
      </x:c>
      <x:c r="D4327" s="380" t="str">
        <x:v>Oct</x:v>
      </x:c>
      <x:c r="E4327" s="380" t="n">
        <x:v>30</x:v>
      </x:c>
      <x:c r="F4327" s="380" t="n">
        <x:v>4</x:v>
      </x:c>
      <x:c r="G4327" s="380" t="n">
        <x:f>--(F4327&lt;='Estimator'!$B$7)</x:f>
        <x:v>1</x:v>
      </x:c>
      <x:c r="H4327" s="381" t="n">
        <x:f>SUMIFS('Climate Data'!$G$7:$G$366,'Climate Data'!$A$7:$A$366,'Estimator'!$B$4,'Climate Data'!$B$7:$B$366,C4327)</x:f>
        <x:v>0.3721198156682028</x:v>
      </x:c>
      <x:c r="I4327" s="382" t="n">
        <x:f>SUMIFS('Climate Data'!$H$7:$H$366,'Climate Data'!$A$7:$A$366,'Estimator'!$B$4,'Climate Data'!$B$7:$B$366,C4327)</x:f>
        <x:v>7.940557275541795</x:v>
      </x:c>
      <x:c r="J4327" s="381" t="n">
        <x:f>SUMIFS('Wind Proxy'!$H$8:$H$19,'Wind Proxy'!$A$8:$A$19,'Estimator'!$B$4,'Wind Proxy'!$B$8:$B$19,C4327)</x:f>
        <x:v>0.21505376344086022</x:v>
      </x:c>
    </x:row>
    <x:row r="4328">
      <x:c r="A4328" s="379" t="n">
        <x:v>49979</x:v>
      </x:c>
      <x:c r="B4328" s="380" t="n">
        <x:v>2036</x:v>
      </x:c>
      <x:c r="C4328" s="380" t="n">
        <x:v>10</x:v>
      </x:c>
      <x:c r="D4328" s="380" t="str">
        <x:v>Oct</x:v>
      </x:c>
      <x:c r="E4328" s="380" t="n">
        <x:v>31</x:v>
      </x:c>
      <x:c r="F4328" s="380" t="n">
        <x:v>5</x:v>
      </x:c>
      <x:c r="G4328" s="380" t="n">
        <x:f>--(F4328&lt;='Estimator'!$B$7)</x:f>
        <x:v>1</x:v>
      </x:c>
      <x:c r="H4328" s="381" t="n">
        <x:f>SUMIFS('Climate Data'!$G$7:$G$366,'Climate Data'!$A$7:$A$366,'Estimator'!$B$4,'Climate Data'!$B$7:$B$366,C4328)</x:f>
        <x:v>0.3721198156682028</x:v>
      </x:c>
      <x:c r="I4328" s="382" t="n">
        <x:f>SUMIFS('Climate Data'!$H$7:$H$366,'Climate Data'!$A$7:$A$366,'Estimator'!$B$4,'Climate Data'!$B$7:$B$366,C4328)</x:f>
        <x:v>7.940557275541795</x:v>
      </x:c>
      <x:c r="J4328" s="381" t="n">
        <x:f>SUMIFS('Wind Proxy'!$H$8:$H$19,'Wind Proxy'!$A$8:$A$19,'Estimator'!$B$4,'Wind Proxy'!$B$8:$B$19,C4328)</x:f>
        <x:v>0.21505376344086022</x:v>
      </x:c>
    </x:row>
    <x:row r="4329">
      <x:c r="A4329" s="379" t="n">
        <x:v>49980</x:v>
      </x:c>
      <x:c r="B4329" s="380" t="n">
        <x:v>2036</x:v>
      </x:c>
      <x:c r="C4329" s="380" t="n">
        <x:v>11</x:v>
      </x:c>
      <x:c r="D4329" s="380" t="str">
        <x:v>Nov</x:v>
      </x:c>
      <x:c r="E4329" s="380" t="n">
        <x:v>1</x:v>
      </x:c>
      <x:c r="F4329" s="380" t="n">
        <x:v>6</x:v>
      </x:c>
      <x:c r="G4329" s="380" t="n">
        <x:f>--(F4329&lt;='Estimator'!$B$7)</x:f>
        <x:v>0</x:v>
      </x:c>
      <x:c r="H4329" s="381" t="n">
        <x:f>SUMIFS('Climate Data'!$G$7:$G$366,'Climate Data'!$A$7:$A$366,'Estimator'!$B$4,'Climate Data'!$B$7:$B$366,C4329)</x:f>
        <x:v>0.3111111111111111</x:v>
      </x:c>
      <x:c r="I4329" s="382" t="n">
        <x:f>SUMIFS('Climate Data'!$H$7:$H$366,'Climate Data'!$A$7:$A$366,'Estimator'!$B$4,'Climate Data'!$B$7:$B$366,C4329)</x:f>
        <x:v>7.382142857142857</x:v>
      </x:c>
      <x:c r="J4329" s="381" t="n">
        <x:f>SUMIFS('Wind Proxy'!$H$8:$H$19,'Wind Proxy'!$A$8:$A$19,'Estimator'!$B$4,'Wind Proxy'!$B$8:$B$19,C4329)</x:f>
        <x:v>0.22222222222222224</x:v>
      </x:c>
    </x:row>
    <x:row r="4330">
      <x:c r="A4330" s="379" t="n">
        <x:v>49981</x:v>
      </x:c>
      <x:c r="B4330" s="380" t="n">
        <x:v>2036</x:v>
      </x:c>
      <x:c r="C4330" s="380" t="n">
        <x:v>11</x:v>
      </x:c>
      <x:c r="D4330" s="380" t="str">
        <x:v>Nov</x:v>
      </x:c>
      <x:c r="E4330" s="380" t="n">
        <x:v>2</x:v>
      </x:c>
      <x:c r="F4330" s="380" t="n">
        <x:v>7</x:v>
      </x:c>
      <x:c r="G4330" s="380" t="n">
        <x:f>--(F4330&lt;='Estimator'!$B$7)</x:f>
        <x:v>0</x:v>
      </x:c>
      <x:c r="H4330" s="381" t="n">
        <x:f>SUMIFS('Climate Data'!$G$7:$G$366,'Climate Data'!$A$7:$A$366,'Estimator'!$B$4,'Climate Data'!$B$7:$B$366,C4330)</x:f>
        <x:v>0.3111111111111111</x:v>
      </x:c>
      <x:c r="I4330" s="382" t="n">
        <x:f>SUMIFS('Climate Data'!$H$7:$H$366,'Climate Data'!$A$7:$A$366,'Estimator'!$B$4,'Climate Data'!$B$7:$B$366,C4330)</x:f>
        <x:v>7.382142857142857</x:v>
      </x:c>
      <x:c r="J4330" s="381" t="n">
        <x:f>SUMIFS('Wind Proxy'!$H$8:$H$19,'Wind Proxy'!$A$8:$A$19,'Estimator'!$B$4,'Wind Proxy'!$B$8:$B$19,C4330)</x:f>
        <x:v>0.22222222222222224</x:v>
      </x:c>
    </x:row>
    <x:row r="4331">
      <x:c r="A4331" s="379" t="n">
        <x:v>49982</x:v>
      </x:c>
      <x:c r="B4331" s="380" t="n">
        <x:v>2036</x:v>
      </x:c>
      <x:c r="C4331" s="380" t="n">
        <x:v>11</x:v>
      </x:c>
      <x:c r="D4331" s="380" t="str">
        <x:v>Nov</x:v>
      </x:c>
      <x:c r="E4331" s="380" t="n">
        <x:v>3</x:v>
      </x:c>
      <x:c r="F4331" s="380" t="n">
        <x:v>1</x:v>
      </x:c>
      <x:c r="G4331" s="380" t="n">
        <x:f>--(F4331&lt;='Estimator'!$B$7)</x:f>
        <x:v>1</x:v>
      </x:c>
      <x:c r="H4331" s="381" t="n">
        <x:f>SUMIFS('Climate Data'!$G$7:$G$366,'Climate Data'!$A$7:$A$366,'Estimator'!$B$4,'Climate Data'!$B$7:$B$366,C4331)</x:f>
        <x:v>0.3111111111111111</x:v>
      </x:c>
      <x:c r="I4331" s="382" t="n">
        <x:f>SUMIFS('Climate Data'!$H$7:$H$366,'Climate Data'!$A$7:$A$366,'Estimator'!$B$4,'Climate Data'!$B$7:$B$366,C4331)</x:f>
        <x:v>7.382142857142857</x:v>
      </x:c>
      <x:c r="J4331" s="381" t="n">
        <x:f>SUMIFS('Wind Proxy'!$H$8:$H$19,'Wind Proxy'!$A$8:$A$19,'Estimator'!$B$4,'Wind Proxy'!$B$8:$B$19,C4331)</x:f>
        <x:v>0.22222222222222224</x:v>
      </x:c>
    </x:row>
    <x:row r="4332">
      <x:c r="A4332" s="379" t="n">
        <x:v>49983</x:v>
      </x:c>
      <x:c r="B4332" s="380" t="n">
        <x:v>2036</x:v>
      </x:c>
      <x:c r="C4332" s="380" t="n">
        <x:v>11</x:v>
      </x:c>
      <x:c r="D4332" s="380" t="str">
        <x:v>Nov</x:v>
      </x:c>
      <x:c r="E4332" s="380" t="n">
        <x:v>4</x:v>
      </x:c>
      <x:c r="F4332" s="380" t="n">
        <x:v>2</x:v>
      </x:c>
      <x:c r="G4332" s="380" t="n">
        <x:f>--(F4332&lt;='Estimator'!$B$7)</x:f>
        <x:v>1</x:v>
      </x:c>
      <x:c r="H4332" s="381" t="n">
        <x:f>SUMIFS('Climate Data'!$G$7:$G$366,'Climate Data'!$A$7:$A$366,'Estimator'!$B$4,'Climate Data'!$B$7:$B$366,C4332)</x:f>
        <x:v>0.3111111111111111</x:v>
      </x:c>
      <x:c r="I4332" s="382" t="n">
        <x:f>SUMIFS('Climate Data'!$H$7:$H$366,'Climate Data'!$A$7:$A$366,'Estimator'!$B$4,'Climate Data'!$B$7:$B$366,C4332)</x:f>
        <x:v>7.382142857142857</x:v>
      </x:c>
      <x:c r="J4332" s="381" t="n">
        <x:f>SUMIFS('Wind Proxy'!$H$8:$H$19,'Wind Proxy'!$A$8:$A$19,'Estimator'!$B$4,'Wind Proxy'!$B$8:$B$19,C4332)</x:f>
        <x:v>0.22222222222222224</x:v>
      </x:c>
    </x:row>
    <x:row r="4333">
      <x:c r="A4333" s="379" t="n">
        <x:v>49984</x:v>
      </x:c>
      <x:c r="B4333" s="380" t="n">
        <x:v>2036</x:v>
      </x:c>
      <x:c r="C4333" s="380" t="n">
        <x:v>11</x:v>
      </x:c>
      <x:c r="D4333" s="380" t="str">
        <x:v>Nov</x:v>
      </x:c>
      <x:c r="E4333" s="380" t="n">
        <x:v>5</x:v>
      </x:c>
      <x:c r="F4333" s="380" t="n">
        <x:v>3</x:v>
      </x:c>
      <x:c r="G4333" s="380" t="n">
        <x:f>--(F4333&lt;='Estimator'!$B$7)</x:f>
        <x:v>1</x:v>
      </x:c>
      <x:c r="H4333" s="381" t="n">
        <x:f>SUMIFS('Climate Data'!$G$7:$G$366,'Climate Data'!$A$7:$A$366,'Estimator'!$B$4,'Climate Data'!$B$7:$B$366,C4333)</x:f>
        <x:v>0.3111111111111111</x:v>
      </x:c>
      <x:c r="I4333" s="382" t="n">
        <x:f>SUMIFS('Climate Data'!$H$7:$H$366,'Climate Data'!$A$7:$A$366,'Estimator'!$B$4,'Climate Data'!$B$7:$B$366,C4333)</x:f>
        <x:v>7.382142857142857</x:v>
      </x:c>
      <x:c r="J4333" s="381" t="n">
        <x:f>SUMIFS('Wind Proxy'!$H$8:$H$19,'Wind Proxy'!$A$8:$A$19,'Estimator'!$B$4,'Wind Proxy'!$B$8:$B$19,C4333)</x:f>
        <x:v>0.22222222222222224</x:v>
      </x:c>
    </x:row>
    <x:row r="4334">
      <x:c r="A4334" s="379" t="n">
        <x:v>49985</x:v>
      </x:c>
      <x:c r="B4334" s="380" t="n">
        <x:v>2036</x:v>
      </x:c>
      <x:c r="C4334" s="380" t="n">
        <x:v>11</x:v>
      </x:c>
      <x:c r="D4334" s="380" t="str">
        <x:v>Nov</x:v>
      </x:c>
      <x:c r="E4334" s="380" t="n">
        <x:v>6</x:v>
      </x:c>
      <x:c r="F4334" s="380" t="n">
        <x:v>4</x:v>
      </x:c>
      <x:c r="G4334" s="380" t="n">
        <x:f>--(F4334&lt;='Estimator'!$B$7)</x:f>
        <x:v>1</x:v>
      </x:c>
      <x:c r="H4334" s="381" t="n">
        <x:f>SUMIFS('Climate Data'!$G$7:$G$366,'Climate Data'!$A$7:$A$366,'Estimator'!$B$4,'Climate Data'!$B$7:$B$366,C4334)</x:f>
        <x:v>0.3111111111111111</x:v>
      </x:c>
      <x:c r="I4334" s="382" t="n">
        <x:f>SUMIFS('Climate Data'!$H$7:$H$366,'Climate Data'!$A$7:$A$366,'Estimator'!$B$4,'Climate Data'!$B$7:$B$366,C4334)</x:f>
        <x:v>7.382142857142857</x:v>
      </x:c>
      <x:c r="J4334" s="381" t="n">
        <x:f>SUMIFS('Wind Proxy'!$H$8:$H$19,'Wind Proxy'!$A$8:$A$19,'Estimator'!$B$4,'Wind Proxy'!$B$8:$B$19,C4334)</x:f>
        <x:v>0.22222222222222224</x:v>
      </x:c>
    </x:row>
    <x:row r="4335">
      <x:c r="A4335" s="379" t="n">
        <x:v>49986</x:v>
      </x:c>
      <x:c r="B4335" s="380" t="n">
        <x:v>2036</x:v>
      </x:c>
      <x:c r="C4335" s="380" t="n">
        <x:v>11</x:v>
      </x:c>
      <x:c r="D4335" s="380" t="str">
        <x:v>Nov</x:v>
      </x:c>
      <x:c r="E4335" s="380" t="n">
        <x:v>7</x:v>
      </x:c>
      <x:c r="F4335" s="380" t="n">
        <x:v>5</x:v>
      </x:c>
      <x:c r="G4335" s="380" t="n">
        <x:f>--(F4335&lt;='Estimator'!$B$7)</x:f>
        <x:v>1</x:v>
      </x:c>
      <x:c r="H4335" s="381" t="n">
        <x:f>SUMIFS('Climate Data'!$G$7:$G$366,'Climate Data'!$A$7:$A$366,'Estimator'!$B$4,'Climate Data'!$B$7:$B$366,C4335)</x:f>
        <x:v>0.3111111111111111</x:v>
      </x:c>
      <x:c r="I4335" s="382" t="n">
        <x:f>SUMIFS('Climate Data'!$H$7:$H$366,'Climate Data'!$A$7:$A$366,'Estimator'!$B$4,'Climate Data'!$B$7:$B$366,C4335)</x:f>
        <x:v>7.382142857142857</x:v>
      </x:c>
      <x:c r="J4335" s="381" t="n">
        <x:f>SUMIFS('Wind Proxy'!$H$8:$H$19,'Wind Proxy'!$A$8:$A$19,'Estimator'!$B$4,'Wind Proxy'!$B$8:$B$19,C4335)</x:f>
        <x:v>0.22222222222222224</x:v>
      </x:c>
    </x:row>
    <x:row r="4336">
      <x:c r="A4336" s="379" t="n">
        <x:v>49987</x:v>
      </x:c>
      <x:c r="B4336" s="380" t="n">
        <x:v>2036</x:v>
      </x:c>
      <x:c r="C4336" s="380" t="n">
        <x:v>11</x:v>
      </x:c>
      <x:c r="D4336" s="380" t="str">
        <x:v>Nov</x:v>
      </x:c>
      <x:c r="E4336" s="380" t="n">
        <x:v>8</x:v>
      </x:c>
      <x:c r="F4336" s="380" t="n">
        <x:v>6</x:v>
      </x:c>
      <x:c r="G4336" s="380" t="n">
        <x:f>--(F4336&lt;='Estimator'!$B$7)</x:f>
        <x:v>0</x:v>
      </x:c>
      <x:c r="H4336" s="381" t="n">
        <x:f>SUMIFS('Climate Data'!$G$7:$G$366,'Climate Data'!$A$7:$A$366,'Estimator'!$B$4,'Climate Data'!$B$7:$B$366,C4336)</x:f>
        <x:v>0.3111111111111111</x:v>
      </x:c>
      <x:c r="I4336" s="382" t="n">
        <x:f>SUMIFS('Climate Data'!$H$7:$H$366,'Climate Data'!$A$7:$A$366,'Estimator'!$B$4,'Climate Data'!$B$7:$B$366,C4336)</x:f>
        <x:v>7.382142857142857</x:v>
      </x:c>
      <x:c r="J4336" s="381" t="n">
        <x:f>SUMIFS('Wind Proxy'!$H$8:$H$19,'Wind Proxy'!$A$8:$A$19,'Estimator'!$B$4,'Wind Proxy'!$B$8:$B$19,C4336)</x:f>
        <x:v>0.22222222222222224</x:v>
      </x:c>
    </x:row>
    <x:row r="4337">
      <x:c r="A4337" s="379" t="n">
        <x:v>49988</x:v>
      </x:c>
      <x:c r="B4337" s="380" t="n">
        <x:v>2036</x:v>
      </x:c>
      <x:c r="C4337" s="380" t="n">
        <x:v>11</x:v>
      </x:c>
      <x:c r="D4337" s="380" t="str">
        <x:v>Nov</x:v>
      </x:c>
      <x:c r="E4337" s="380" t="n">
        <x:v>9</x:v>
      </x:c>
      <x:c r="F4337" s="380" t="n">
        <x:v>7</x:v>
      </x:c>
      <x:c r="G4337" s="380" t="n">
        <x:f>--(F4337&lt;='Estimator'!$B$7)</x:f>
        <x:v>0</x:v>
      </x:c>
      <x:c r="H4337" s="381" t="n">
        <x:f>SUMIFS('Climate Data'!$G$7:$G$366,'Climate Data'!$A$7:$A$366,'Estimator'!$B$4,'Climate Data'!$B$7:$B$366,C4337)</x:f>
        <x:v>0.3111111111111111</x:v>
      </x:c>
      <x:c r="I4337" s="382" t="n">
        <x:f>SUMIFS('Climate Data'!$H$7:$H$366,'Climate Data'!$A$7:$A$366,'Estimator'!$B$4,'Climate Data'!$B$7:$B$366,C4337)</x:f>
        <x:v>7.382142857142857</x:v>
      </x:c>
      <x:c r="J4337" s="381" t="n">
        <x:f>SUMIFS('Wind Proxy'!$H$8:$H$19,'Wind Proxy'!$A$8:$A$19,'Estimator'!$B$4,'Wind Proxy'!$B$8:$B$19,C4337)</x:f>
        <x:v>0.22222222222222224</x:v>
      </x:c>
    </x:row>
    <x:row r="4338">
      <x:c r="A4338" s="379" t="n">
        <x:v>49989</x:v>
      </x:c>
      <x:c r="B4338" s="380" t="n">
        <x:v>2036</x:v>
      </x:c>
      <x:c r="C4338" s="380" t="n">
        <x:v>11</x:v>
      </x:c>
      <x:c r="D4338" s="380" t="str">
        <x:v>Nov</x:v>
      </x:c>
      <x:c r="E4338" s="380" t="n">
        <x:v>10</x:v>
      </x:c>
      <x:c r="F4338" s="380" t="n">
        <x:v>1</x:v>
      </x:c>
      <x:c r="G4338" s="380" t="n">
        <x:f>--(F4338&lt;='Estimator'!$B$7)</x:f>
        <x:v>1</x:v>
      </x:c>
      <x:c r="H4338" s="381" t="n">
        <x:f>SUMIFS('Climate Data'!$G$7:$G$366,'Climate Data'!$A$7:$A$366,'Estimator'!$B$4,'Climate Data'!$B$7:$B$366,C4338)</x:f>
        <x:v>0.3111111111111111</x:v>
      </x:c>
      <x:c r="I4338" s="382" t="n">
        <x:f>SUMIFS('Climate Data'!$H$7:$H$366,'Climate Data'!$A$7:$A$366,'Estimator'!$B$4,'Climate Data'!$B$7:$B$366,C4338)</x:f>
        <x:v>7.382142857142857</x:v>
      </x:c>
      <x:c r="J4338" s="381" t="n">
        <x:f>SUMIFS('Wind Proxy'!$H$8:$H$19,'Wind Proxy'!$A$8:$A$19,'Estimator'!$B$4,'Wind Proxy'!$B$8:$B$19,C4338)</x:f>
        <x:v>0.22222222222222224</x:v>
      </x:c>
    </x:row>
    <x:row r="4339">
      <x:c r="A4339" s="379" t="n">
        <x:v>49990</x:v>
      </x:c>
      <x:c r="B4339" s="380" t="n">
        <x:v>2036</x:v>
      </x:c>
      <x:c r="C4339" s="380" t="n">
        <x:v>11</x:v>
      </x:c>
      <x:c r="D4339" s="380" t="str">
        <x:v>Nov</x:v>
      </x:c>
      <x:c r="E4339" s="380" t="n">
        <x:v>11</x:v>
      </x:c>
      <x:c r="F4339" s="380" t="n">
        <x:v>2</x:v>
      </x:c>
      <x:c r="G4339" s="380" t="n">
        <x:f>--(F4339&lt;='Estimator'!$B$7)</x:f>
        <x:v>1</x:v>
      </x:c>
      <x:c r="H4339" s="381" t="n">
        <x:f>SUMIFS('Climate Data'!$G$7:$G$366,'Climate Data'!$A$7:$A$366,'Estimator'!$B$4,'Climate Data'!$B$7:$B$366,C4339)</x:f>
        <x:v>0.3111111111111111</x:v>
      </x:c>
      <x:c r="I4339" s="382" t="n">
        <x:f>SUMIFS('Climate Data'!$H$7:$H$366,'Climate Data'!$A$7:$A$366,'Estimator'!$B$4,'Climate Data'!$B$7:$B$366,C4339)</x:f>
        <x:v>7.382142857142857</x:v>
      </x:c>
      <x:c r="J4339" s="381" t="n">
        <x:f>SUMIFS('Wind Proxy'!$H$8:$H$19,'Wind Proxy'!$A$8:$A$19,'Estimator'!$B$4,'Wind Proxy'!$B$8:$B$19,C4339)</x:f>
        <x:v>0.22222222222222224</x:v>
      </x:c>
    </x:row>
    <x:row r="4340">
      <x:c r="A4340" s="379" t="n">
        <x:v>49991</x:v>
      </x:c>
      <x:c r="B4340" s="380" t="n">
        <x:v>2036</x:v>
      </x:c>
      <x:c r="C4340" s="380" t="n">
        <x:v>11</x:v>
      </x:c>
      <x:c r="D4340" s="380" t="str">
        <x:v>Nov</x:v>
      </x:c>
      <x:c r="E4340" s="380" t="n">
        <x:v>12</x:v>
      </x:c>
      <x:c r="F4340" s="380" t="n">
        <x:v>3</x:v>
      </x:c>
      <x:c r="G4340" s="380" t="n">
        <x:f>--(F4340&lt;='Estimator'!$B$7)</x:f>
        <x:v>1</x:v>
      </x:c>
      <x:c r="H4340" s="381" t="n">
        <x:f>SUMIFS('Climate Data'!$G$7:$G$366,'Climate Data'!$A$7:$A$366,'Estimator'!$B$4,'Climate Data'!$B$7:$B$366,C4340)</x:f>
        <x:v>0.3111111111111111</x:v>
      </x:c>
      <x:c r="I4340" s="382" t="n">
        <x:f>SUMIFS('Climate Data'!$H$7:$H$366,'Climate Data'!$A$7:$A$366,'Estimator'!$B$4,'Climate Data'!$B$7:$B$366,C4340)</x:f>
        <x:v>7.382142857142857</x:v>
      </x:c>
      <x:c r="J4340" s="381" t="n">
        <x:f>SUMIFS('Wind Proxy'!$H$8:$H$19,'Wind Proxy'!$A$8:$A$19,'Estimator'!$B$4,'Wind Proxy'!$B$8:$B$19,C4340)</x:f>
        <x:v>0.22222222222222224</x:v>
      </x:c>
    </x:row>
    <x:row r="4341">
      <x:c r="A4341" s="379" t="n">
        <x:v>49992</x:v>
      </x:c>
      <x:c r="B4341" s="380" t="n">
        <x:v>2036</x:v>
      </x:c>
      <x:c r="C4341" s="380" t="n">
        <x:v>11</x:v>
      </x:c>
      <x:c r="D4341" s="380" t="str">
        <x:v>Nov</x:v>
      </x:c>
      <x:c r="E4341" s="380" t="n">
        <x:v>13</x:v>
      </x:c>
      <x:c r="F4341" s="380" t="n">
        <x:v>4</x:v>
      </x:c>
      <x:c r="G4341" s="380" t="n">
        <x:f>--(F4341&lt;='Estimator'!$B$7)</x:f>
        <x:v>1</x:v>
      </x:c>
      <x:c r="H4341" s="381" t="n">
        <x:f>SUMIFS('Climate Data'!$G$7:$G$366,'Climate Data'!$A$7:$A$366,'Estimator'!$B$4,'Climate Data'!$B$7:$B$366,C4341)</x:f>
        <x:v>0.3111111111111111</x:v>
      </x:c>
      <x:c r="I4341" s="382" t="n">
        <x:f>SUMIFS('Climate Data'!$H$7:$H$366,'Climate Data'!$A$7:$A$366,'Estimator'!$B$4,'Climate Data'!$B$7:$B$366,C4341)</x:f>
        <x:v>7.382142857142857</x:v>
      </x:c>
      <x:c r="J4341" s="381" t="n">
        <x:f>SUMIFS('Wind Proxy'!$H$8:$H$19,'Wind Proxy'!$A$8:$A$19,'Estimator'!$B$4,'Wind Proxy'!$B$8:$B$19,C4341)</x:f>
        <x:v>0.22222222222222224</x:v>
      </x:c>
    </x:row>
    <x:row r="4342">
      <x:c r="A4342" s="379" t="n">
        <x:v>49993</x:v>
      </x:c>
      <x:c r="B4342" s="380" t="n">
        <x:v>2036</x:v>
      </x:c>
      <x:c r="C4342" s="380" t="n">
        <x:v>11</x:v>
      </x:c>
      <x:c r="D4342" s="380" t="str">
        <x:v>Nov</x:v>
      </x:c>
      <x:c r="E4342" s="380" t="n">
        <x:v>14</x:v>
      </x:c>
      <x:c r="F4342" s="380" t="n">
        <x:v>5</x:v>
      </x:c>
      <x:c r="G4342" s="380" t="n">
        <x:f>--(F4342&lt;='Estimator'!$B$7)</x:f>
        <x:v>1</x:v>
      </x:c>
      <x:c r="H4342" s="381" t="n">
        <x:f>SUMIFS('Climate Data'!$G$7:$G$366,'Climate Data'!$A$7:$A$366,'Estimator'!$B$4,'Climate Data'!$B$7:$B$366,C4342)</x:f>
        <x:v>0.3111111111111111</x:v>
      </x:c>
      <x:c r="I4342" s="382" t="n">
        <x:f>SUMIFS('Climate Data'!$H$7:$H$366,'Climate Data'!$A$7:$A$366,'Estimator'!$B$4,'Climate Data'!$B$7:$B$366,C4342)</x:f>
        <x:v>7.382142857142857</x:v>
      </x:c>
      <x:c r="J4342" s="381" t="n">
        <x:f>SUMIFS('Wind Proxy'!$H$8:$H$19,'Wind Proxy'!$A$8:$A$19,'Estimator'!$B$4,'Wind Proxy'!$B$8:$B$19,C4342)</x:f>
        <x:v>0.22222222222222224</x:v>
      </x:c>
    </x:row>
    <x:row r="4343">
      <x:c r="A4343" s="379" t="n">
        <x:v>49994</x:v>
      </x:c>
      <x:c r="B4343" s="380" t="n">
        <x:v>2036</x:v>
      </x:c>
      <x:c r="C4343" s="380" t="n">
        <x:v>11</x:v>
      </x:c>
      <x:c r="D4343" s="380" t="str">
        <x:v>Nov</x:v>
      </x:c>
      <x:c r="E4343" s="380" t="n">
        <x:v>15</x:v>
      </x:c>
      <x:c r="F4343" s="380" t="n">
        <x:v>6</x:v>
      </x:c>
      <x:c r="G4343" s="380" t="n">
        <x:f>--(F4343&lt;='Estimator'!$B$7)</x:f>
        <x:v>0</x:v>
      </x:c>
      <x:c r="H4343" s="381" t="n">
        <x:f>SUMIFS('Climate Data'!$G$7:$G$366,'Climate Data'!$A$7:$A$366,'Estimator'!$B$4,'Climate Data'!$B$7:$B$366,C4343)</x:f>
        <x:v>0.3111111111111111</x:v>
      </x:c>
      <x:c r="I4343" s="382" t="n">
        <x:f>SUMIFS('Climate Data'!$H$7:$H$366,'Climate Data'!$A$7:$A$366,'Estimator'!$B$4,'Climate Data'!$B$7:$B$366,C4343)</x:f>
        <x:v>7.382142857142857</x:v>
      </x:c>
      <x:c r="J4343" s="381" t="n">
        <x:f>SUMIFS('Wind Proxy'!$H$8:$H$19,'Wind Proxy'!$A$8:$A$19,'Estimator'!$B$4,'Wind Proxy'!$B$8:$B$19,C4343)</x:f>
        <x:v>0.22222222222222224</x:v>
      </x:c>
    </x:row>
    <x:row r="4344">
      <x:c r="A4344" s="379" t="n">
        <x:v>49995</x:v>
      </x:c>
      <x:c r="B4344" s="380" t="n">
        <x:v>2036</x:v>
      </x:c>
      <x:c r="C4344" s="380" t="n">
        <x:v>11</x:v>
      </x:c>
      <x:c r="D4344" s="380" t="str">
        <x:v>Nov</x:v>
      </x:c>
      <x:c r="E4344" s="380" t="n">
        <x:v>16</x:v>
      </x:c>
      <x:c r="F4344" s="380" t="n">
        <x:v>7</x:v>
      </x:c>
      <x:c r="G4344" s="380" t="n">
        <x:f>--(F4344&lt;='Estimator'!$B$7)</x:f>
        <x:v>0</x:v>
      </x:c>
      <x:c r="H4344" s="381" t="n">
        <x:f>SUMIFS('Climate Data'!$G$7:$G$366,'Climate Data'!$A$7:$A$366,'Estimator'!$B$4,'Climate Data'!$B$7:$B$366,C4344)</x:f>
        <x:v>0.3111111111111111</x:v>
      </x:c>
      <x:c r="I4344" s="382" t="n">
        <x:f>SUMIFS('Climate Data'!$H$7:$H$366,'Climate Data'!$A$7:$A$366,'Estimator'!$B$4,'Climate Data'!$B$7:$B$366,C4344)</x:f>
        <x:v>7.382142857142857</x:v>
      </x:c>
      <x:c r="J4344" s="381" t="n">
        <x:f>SUMIFS('Wind Proxy'!$H$8:$H$19,'Wind Proxy'!$A$8:$A$19,'Estimator'!$B$4,'Wind Proxy'!$B$8:$B$19,C4344)</x:f>
        <x:v>0.22222222222222224</x:v>
      </x:c>
    </x:row>
    <x:row r="4345">
      <x:c r="A4345" s="379" t="n">
        <x:v>49996</x:v>
      </x:c>
      <x:c r="B4345" s="380" t="n">
        <x:v>2036</x:v>
      </x:c>
      <x:c r="C4345" s="380" t="n">
        <x:v>11</x:v>
      </x:c>
      <x:c r="D4345" s="380" t="str">
        <x:v>Nov</x:v>
      </x:c>
      <x:c r="E4345" s="380" t="n">
        <x:v>17</x:v>
      </x:c>
      <x:c r="F4345" s="380" t="n">
        <x:v>1</x:v>
      </x:c>
      <x:c r="G4345" s="380" t="n">
        <x:f>--(F4345&lt;='Estimator'!$B$7)</x:f>
        <x:v>1</x:v>
      </x:c>
      <x:c r="H4345" s="381" t="n">
        <x:f>SUMIFS('Climate Data'!$G$7:$G$366,'Climate Data'!$A$7:$A$366,'Estimator'!$B$4,'Climate Data'!$B$7:$B$366,C4345)</x:f>
        <x:v>0.3111111111111111</x:v>
      </x:c>
      <x:c r="I4345" s="382" t="n">
        <x:f>SUMIFS('Climate Data'!$H$7:$H$366,'Climate Data'!$A$7:$A$366,'Estimator'!$B$4,'Climate Data'!$B$7:$B$366,C4345)</x:f>
        <x:v>7.382142857142857</x:v>
      </x:c>
      <x:c r="J4345" s="381" t="n">
        <x:f>SUMIFS('Wind Proxy'!$H$8:$H$19,'Wind Proxy'!$A$8:$A$19,'Estimator'!$B$4,'Wind Proxy'!$B$8:$B$19,C4345)</x:f>
        <x:v>0.22222222222222224</x:v>
      </x:c>
    </x:row>
    <x:row r="4346">
      <x:c r="A4346" s="379" t="n">
        <x:v>49997</x:v>
      </x:c>
      <x:c r="B4346" s="380" t="n">
        <x:v>2036</x:v>
      </x:c>
      <x:c r="C4346" s="380" t="n">
        <x:v>11</x:v>
      </x:c>
      <x:c r="D4346" s="380" t="str">
        <x:v>Nov</x:v>
      </x:c>
      <x:c r="E4346" s="380" t="n">
        <x:v>18</x:v>
      </x:c>
      <x:c r="F4346" s="380" t="n">
        <x:v>2</x:v>
      </x:c>
      <x:c r="G4346" s="380" t="n">
        <x:f>--(F4346&lt;='Estimator'!$B$7)</x:f>
        <x:v>1</x:v>
      </x:c>
      <x:c r="H4346" s="381" t="n">
        <x:f>SUMIFS('Climate Data'!$G$7:$G$366,'Climate Data'!$A$7:$A$366,'Estimator'!$B$4,'Climate Data'!$B$7:$B$366,C4346)</x:f>
        <x:v>0.3111111111111111</x:v>
      </x:c>
      <x:c r="I4346" s="382" t="n">
        <x:f>SUMIFS('Climate Data'!$H$7:$H$366,'Climate Data'!$A$7:$A$366,'Estimator'!$B$4,'Climate Data'!$B$7:$B$366,C4346)</x:f>
        <x:v>7.382142857142857</x:v>
      </x:c>
      <x:c r="J4346" s="381" t="n">
        <x:f>SUMIFS('Wind Proxy'!$H$8:$H$19,'Wind Proxy'!$A$8:$A$19,'Estimator'!$B$4,'Wind Proxy'!$B$8:$B$19,C4346)</x:f>
        <x:v>0.22222222222222224</x:v>
      </x:c>
    </x:row>
    <x:row r="4347">
      <x:c r="A4347" s="379" t="n">
        <x:v>49998</x:v>
      </x:c>
      <x:c r="B4347" s="380" t="n">
        <x:v>2036</x:v>
      </x:c>
      <x:c r="C4347" s="380" t="n">
        <x:v>11</x:v>
      </x:c>
      <x:c r="D4347" s="380" t="str">
        <x:v>Nov</x:v>
      </x:c>
      <x:c r="E4347" s="380" t="n">
        <x:v>19</x:v>
      </x:c>
      <x:c r="F4347" s="380" t="n">
        <x:v>3</x:v>
      </x:c>
      <x:c r="G4347" s="380" t="n">
        <x:f>--(F4347&lt;='Estimator'!$B$7)</x:f>
        <x:v>1</x:v>
      </x:c>
      <x:c r="H4347" s="381" t="n">
        <x:f>SUMIFS('Climate Data'!$G$7:$G$366,'Climate Data'!$A$7:$A$366,'Estimator'!$B$4,'Climate Data'!$B$7:$B$366,C4347)</x:f>
        <x:v>0.3111111111111111</x:v>
      </x:c>
      <x:c r="I4347" s="382" t="n">
        <x:f>SUMIFS('Climate Data'!$H$7:$H$366,'Climate Data'!$A$7:$A$366,'Estimator'!$B$4,'Climate Data'!$B$7:$B$366,C4347)</x:f>
        <x:v>7.382142857142857</x:v>
      </x:c>
      <x:c r="J4347" s="381" t="n">
        <x:f>SUMIFS('Wind Proxy'!$H$8:$H$19,'Wind Proxy'!$A$8:$A$19,'Estimator'!$B$4,'Wind Proxy'!$B$8:$B$19,C4347)</x:f>
        <x:v>0.22222222222222224</x:v>
      </x:c>
    </x:row>
    <x:row r="4348">
      <x:c r="A4348" s="379" t="n">
        <x:v>49999</x:v>
      </x:c>
      <x:c r="B4348" s="380" t="n">
        <x:v>2036</x:v>
      </x:c>
      <x:c r="C4348" s="380" t="n">
        <x:v>11</x:v>
      </x:c>
      <x:c r="D4348" s="380" t="str">
        <x:v>Nov</x:v>
      </x:c>
      <x:c r="E4348" s="380" t="n">
        <x:v>20</x:v>
      </x:c>
      <x:c r="F4348" s="380" t="n">
        <x:v>4</x:v>
      </x:c>
      <x:c r="G4348" s="380" t="n">
        <x:f>--(F4348&lt;='Estimator'!$B$7)</x:f>
        <x:v>1</x:v>
      </x:c>
      <x:c r="H4348" s="381" t="n">
        <x:f>SUMIFS('Climate Data'!$G$7:$G$366,'Climate Data'!$A$7:$A$366,'Estimator'!$B$4,'Climate Data'!$B$7:$B$366,C4348)</x:f>
        <x:v>0.3111111111111111</x:v>
      </x:c>
      <x:c r="I4348" s="382" t="n">
        <x:f>SUMIFS('Climate Data'!$H$7:$H$366,'Climate Data'!$A$7:$A$366,'Estimator'!$B$4,'Climate Data'!$B$7:$B$366,C4348)</x:f>
        <x:v>7.382142857142857</x:v>
      </x:c>
      <x:c r="J4348" s="381" t="n">
        <x:f>SUMIFS('Wind Proxy'!$H$8:$H$19,'Wind Proxy'!$A$8:$A$19,'Estimator'!$B$4,'Wind Proxy'!$B$8:$B$19,C4348)</x:f>
        <x:v>0.22222222222222224</x:v>
      </x:c>
    </x:row>
    <x:row r="4349">
      <x:c r="A4349" s="379" t="n">
        <x:v>50000</x:v>
      </x:c>
      <x:c r="B4349" s="380" t="n">
        <x:v>2036</x:v>
      </x:c>
      <x:c r="C4349" s="380" t="n">
        <x:v>11</x:v>
      </x:c>
      <x:c r="D4349" s="380" t="str">
        <x:v>Nov</x:v>
      </x:c>
      <x:c r="E4349" s="380" t="n">
        <x:v>21</x:v>
      </x:c>
      <x:c r="F4349" s="380" t="n">
        <x:v>5</x:v>
      </x:c>
      <x:c r="G4349" s="380" t="n">
        <x:f>--(F4349&lt;='Estimator'!$B$7)</x:f>
        <x:v>1</x:v>
      </x:c>
      <x:c r="H4349" s="381" t="n">
        <x:f>SUMIFS('Climate Data'!$G$7:$G$366,'Climate Data'!$A$7:$A$366,'Estimator'!$B$4,'Climate Data'!$B$7:$B$366,C4349)</x:f>
        <x:v>0.3111111111111111</x:v>
      </x:c>
      <x:c r="I4349" s="382" t="n">
        <x:f>SUMIFS('Climate Data'!$H$7:$H$366,'Climate Data'!$A$7:$A$366,'Estimator'!$B$4,'Climate Data'!$B$7:$B$366,C4349)</x:f>
        <x:v>7.382142857142857</x:v>
      </x:c>
      <x:c r="J4349" s="381" t="n">
        <x:f>SUMIFS('Wind Proxy'!$H$8:$H$19,'Wind Proxy'!$A$8:$A$19,'Estimator'!$B$4,'Wind Proxy'!$B$8:$B$19,C4349)</x:f>
        <x:v>0.22222222222222224</x:v>
      </x:c>
    </x:row>
    <x:row r="4350">
      <x:c r="A4350" s="379" t="n">
        <x:v>50001</x:v>
      </x:c>
      <x:c r="B4350" s="380" t="n">
        <x:v>2036</x:v>
      </x:c>
      <x:c r="C4350" s="380" t="n">
        <x:v>11</x:v>
      </x:c>
      <x:c r="D4350" s="380" t="str">
        <x:v>Nov</x:v>
      </x:c>
      <x:c r="E4350" s="380" t="n">
        <x:v>22</x:v>
      </x:c>
      <x:c r="F4350" s="380" t="n">
        <x:v>6</x:v>
      </x:c>
      <x:c r="G4350" s="380" t="n">
        <x:f>--(F4350&lt;='Estimator'!$B$7)</x:f>
        <x:v>0</x:v>
      </x:c>
      <x:c r="H4350" s="381" t="n">
        <x:f>SUMIFS('Climate Data'!$G$7:$G$366,'Climate Data'!$A$7:$A$366,'Estimator'!$B$4,'Climate Data'!$B$7:$B$366,C4350)</x:f>
        <x:v>0.3111111111111111</x:v>
      </x:c>
      <x:c r="I4350" s="382" t="n">
        <x:f>SUMIFS('Climate Data'!$H$7:$H$366,'Climate Data'!$A$7:$A$366,'Estimator'!$B$4,'Climate Data'!$B$7:$B$366,C4350)</x:f>
        <x:v>7.382142857142857</x:v>
      </x:c>
      <x:c r="J4350" s="381" t="n">
        <x:f>SUMIFS('Wind Proxy'!$H$8:$H$19,'Wind Proxy'!$A$8:$A$19,'Estimator'!$B$4,'Wind Proxy'!$B$8:$B$19,C4350)</x:f>
        <x:v>0.22222222222222224</x:v>
      </x:c>
    </x:row>
    <x:row r="4351">
      <x:c r="A4351" s="379" t="n">
        <x:v>50002</x:v>
      </x:c>
      <x:c r="B4351" s="380" t="n">
        <x:v>2036</x:v>
      </x:c>
      <x:c r="C4351" s="380" t="n">
        <x:v>11</x:v>
      </x:c>
      <x:c r="D4351" s="380" t="str">
        <x:v>Nov</x:v>
      </x:c>
      <x:c r="E4351" s="380" t="n">
        <x:v>23</x:v>
      </x:c>
      <x:c r="F4351" s="380" t="n">
        <x:v>7</x:v>
      </x:c>
      <x:c r="G4351" s="380" t="n">
        <x:f>--(F4351&lt;='Estimator'!$B$7)</x:f>
        <x:v>0</x:v>
      </x:c>
      <x:c r="H4351" s="381" t="n">
        <x:f>SUMIFS('Climate Data'!$G$7:$G$366,'Climate Data'!$A$7:$A$366,'Estimator'!$B$4,'Climate Data'!$B$7:$B$366,C4351)</x:f>
        <x:v>0.3111111111111111</x:v>
      </x:c>
      <x:c r="I4351" s="382" t="n">
        <x:f>SUMIFS('Climate Data'!$H$7:$H$366,'Climate Data'!$A$7:$A$366,'Estimator'!$B$4,'Climate Data'!$B$7:$B$366,C4351)</x:f>
        <x:v>7.382142857142857</x:v>
      </x:c>
      <x:c r="J4351" s="381" t="n">
        <x:f>SUMIFS('Wind Proxy'!$H$8:$H$19,'Wind Proxy'!$A$8:$A$19,'Estimator'!$B$4,'Wind Proxy'!$B$8:$B$19,C4351)</x:f>
        <x:v>0.22222222222222224</x:v>
      </x:c>
    </x:row>
    <x:row r="4352">
      <x:c r="A4352" s="379" t="n">
        <x:v>50003</x:v>
      </x:c>
      <x:c r="B4352" s="380" t="n">
        <x:v>2036</x:v>
      </x:c>
      <x:c r="C4352" s="380" t="n">
        <x:v>11</x:v>
      </x:c>
      <x:c r="D4352" s="380" t="str">
        <x:v>Nov</x:v>
      </x:c>
      <x:c r="E4352" s="380" t="n">
        <x:v>24</x:v>
      </x:c>
      <x:c r="F4352" s="380" t="n">
        <x:v>1</x:v>
      </x:c>
      <x:c r="G4352" s="380" t="n">
        <x:f>--(F4352&lt;='Estimator'!$B$7)</x:f>
        <x:v>1</x:v>
      </x:c>
      <x:c r="H4352" s="381" t="n">
        <x:f>SUMIFS('Climate Data'!$G$7:$G$366,'Climate Data'!$A$7:$A$366,'Estimator'!$B$4,'Climate Data'!$B$7:$B$366,C4352)</x:f>
        <x:v>0.3111111111111111</x:v>
      </x:c>
      <x:c r="I4352" s="382" t="n">
        <x:f>SUMIFS('Climate Data'!$H$7:$H$366,'Climate Data'!$A$7:$A$366,'Estimator'!$B$4,'Climate Data'!$B$7:$B$366,C4352)</x:f>
        <x:v>7.382142857142857</x:v>
      </x:c>
      <x:c r="J4352" s="381" t="n">
        <x:f>SUMIFS('Wind Proxy'!$H$8:$H$19,'Wind Proxy'!$A$8:$A$19,'Estimator'!$B$4,'Wind Proxy'!$B$8:$B$19,C4352)</x:f>
        <x:v>0.22222222222222224</x:v>
      </x:c>
    </x:row>
    <x:row r="4353">
      <x:c r="A4353" s="379" t="n">
        <x:v>50004</x:v>
      </x:c>
      <x:c r="B4353" s="380" t="n">
        <x:v>2036</x:v>
      </x:c>
      <x:c r="C4353" s="380" t="n">
        <x:v>11</x:v>
      </x:c>
      <x:c r="D4353" s="380" t="str">
        <x:v>Nov</x:v>
      </x:c>
      <x:c r="E4353" s="380" t="n">
        <x:v>25</x:v>
      </x:c>
      <x:c r="F4353" s="380" t="n">
        <x:v>2</x:v>
      </x:c>
      <x:c r="G4353" s="380" t="n">
        <x:f>--(F4353&lt;='Estimator'!$B$7)</x:f>
        <x:v>1</x:v>
      </x:c>
      <x:c r="H4353" s="381" t="n">
        <x:f>SUMIFS('Climate Data'!$G$7:$G$366,'Climate Data'!$A$7:$A$366,'Estimator'!$B$4,'Climate Data'!$B$7:$B$366,C4353)</x:f>
        <x:v>0.3111111111111111</x:v>
      </x:c>
      <x:c r="I4353" s="382" t="n">
        <x:f>SUMIFS('Climate Data'!$H$7:$H$366,'Climate Data'!$A$7:$A$366,'Estimator'!$B$4,'Climate Data'!$B$7:$B$366,C4353)</x:f>
        <x:v>7.382142857142857</x:v>
      </x:c>
      <x:c r="J4353" s="381" t="n">
        <x:f>SUMIFS('Wind Proxy'!$H$8:$H$19,'Wind Proxy'!$A$8:$A$19,'Estimator'!$B$4,'Wind Proxy'!$B$8:$B$19,C4353)</x:f>
        <x:v>0.22222222222222224</x:v>
      </x:c>
    </x:row>
    <x:row r="4354">
      <x:c r="A4354" s="379" t="n">
        <x:v>50005</x:v>
      </x:c>
      <x:c r="B4354" s="380" t="n">
        <x:v>2036</x:v>
      </x:c>
      <x:c r="C4354" s="380" t="n">
        <x:v>11</x:v>
      </x:c>
      <x:c r="D4354" s="380" t="str">
        <x:v>Nov</x:v>
      </x:c>
      <x:c r="E4354" s="380" t="n">
        <x:v>26</x:v>
      </x:c>
      <x:c r="F4354" s="380" t="n">
        <x:v>3</x:v>
      </x:c>
      <x:c r="G4354" s="380" t="n">
        <x:f>--(F4354&lt;='Estimator'!$B$7)</x:f>
        <x:v>1</x:v>
      </x:c>
      <x:c r="H4354" s="381" t="n">
        <x:f>SUMIFS('Climate Data'!$G$7:$G$366,'Climate Data'!$A$7:$A$366,'Estimator'!$B$4,'Climate Data'!$B$7:$B$366,C4354)</x:f>
        <x:v>0.3111111111111111</x:v>
      </x:c>
      <x:c r="I4354" s="382" t="n">
        <x:f>SUMIFS('Climate Data'!$H$7:$H$366,'Climate Data'!$A$7:$A$366,'Estimator'!$B$4,'Climate Data'!$B$7:$B$366,C4354)</x:f>
        <x:v>7.382142857142857</x:v>
      </x:c>
      <x:c r="J4354" s="381" t="n">
        <x:f>SUMIFS('Wind Proxy'!$H$8:$H$19,'Wind Proxy'!$A$8:$A$19,'Estimator'!$B$4,'Wind Proxy'!$B$8:$B$19,C4354)</x:f>
        <x:v>0.22222222222222224</x:v>
      </x:c>
    </x:row>
    <x:row r="4355">
      <x:c r="A4355" s="379" t="n">
        <x:v>50006</x:v>
      </x:c>
      <x:c r="B4355" s="380" t="n">
        <x:v>2036</x:v>
      </x:c>
      <x:c r="C4355" s="380" t="n">
        <x:v>11</x:v>
      </x:c>
      <x:c r="D4355" s="380" t="str">
        <x:v>Nov</x:v>
      </x:c>
      <x:c r="E4355" s="380" t="n">
        <x:v>27</x:v>
      </x:c>
      <x:c r="F4355" s="380" t="n">
        <x:v>4</x:v>
      </x:c>
      <x:c r="G4355" s="380" t="n">
        <x:f>--(F4355&lt;='Estimator'!$B$7)</x:f>
        <x:v>1</x:v>
      </x:c>
      <x:c r="H4355" s="381" t="n">
        <x:f>SUMIFS('Climate Data'!$G$7:$G$366,'Climate Data'!$A$7:$A$366,'Estimator'!$B$4,'Climate Data'!$B$7:$B$366,C4355)</x:f>
        <x:v>0.3111111111111111</x:v>
      </x:c>
      <x:c r="I4355" s="382" t="n">
        <x:f>SUMIFS('Climate Data'!$H$7:$H$366,'Climate Data'!$A$7:$A$366,'Estimator'!$B$4,'Climate Data'!$B$7:$B$366,C4355)</x:f>
        <x:v>7.382142857142857</x:v>
      </x:c>
      <x:c r="J4355" s="381" t="n">
        <x:f>SUMIFS('Wind Proxy'!$H$8:$H$19,'Wind Proxy'!$A$8:$A$19,'Estimator'!$B$4,'Wind Proxy'!$B$8:$B$19,C4355)</x:f>
        <x:v>0.22222222222222224</x:v>
      </x:c>
    </x:row>
    <x:row r="4356">
      <x:c r="A4356" s="379" t="n">
        <x:v>50007</x:v>
      </x:c>
      <x:c r="B4356" s="380" t="n">
        <x:v>2036</x:v>
      </x:c>
      <x:c r="C4356" s="380" t="n">
        <x:v>11</x:v>
      </x:c>
      <x:c r="D4356" s="380" t="str">
        <x:v>Nov</x:v>
      </x:c>
      <x:c r="E4356" s="380" t="n">
        <x:v>28</x:v>
      </x:c>
      <x:c r="F4356" s="380" t="n">
        <x:v>5</x:v>
      </x:c>
      <x:c r="G4356" s="380" t="n">
        <x:f>--(F4356&lt;='Estimator'!$B$7)</x:f>
        <x:v>1</x:v>
      </x:c>
      <x:c r="H4356" s="381" t="n">
        <x:f>SUMIFS('Climate Data'!$G$7:$G$366,'Climate Data'!$A$7:$A$366,'Estimator'!$B$4,'Climate Data'!$B$7:$B$366,C4356)</x:f>
        <x:v>0.3111111111111111</x:v>
      </x:c>
      <x:c r="I4356" s="382" t="n">
        <x:f>SUMIFS('Climate Data'!$H$7:$H$366,'Climate Data'!$A$7:$A$366,'Estimator'!$B$4,'Climate Data'!$B$7:$B$366,C4356)</x:f>
        <x:v>7.382142857142857</x:v>
      </x:c>
      <x:c r="J4356" s="381" t="n">
        <x:f>SUMIFS('Wind Proxy'!$H$8:$H$19,'Wind Proxy'!$A$8:$A$19,'Estimator'!$B$4,'Wind Proxy'!$B$8:$B$19,C4356)</x:f>
        <x:v>0.22222222222222224</x:v>
      </x:c>
    </x:row>
    <x:row r="4357">
      <x:c r="A4357" s="379" t="n">
        <x:v>50008</x:v>
      </x:c>
      <x:c r="B4357" s="380" t="n">
        <x:v>2036</x:v>
      </x:c>
      <x:c r="C4357" s="380" t="n">
        <x:v>11</x:v>
      </x:c>
      <x:c r="D4357" s="380" t="str">
        <x:v>Nov</x:v>
      </x:c>
      <x:c r="E4357" s="380" t="n">
        <x:v>29</x:v>
      </x:c>
      <x:c r="F4357" s="380" t="n">
        <x:v>6</x:v>
      </x:c>
      <x:c r="G4357" s="380" t="n">
        <x:f>--(F4357&lt;='Estimator'!$B$7)</x:f>
        <x:v>0</x:v>
      </x:c>
      <x:c r="H4357" s="381" t="n">
        <x:f>SUMIFS('Climate Data'!$G$7:$G$366,'Climate Data'!$A$7:$A$366,'Estimator'!$B$4,'Climate Data'!$B$7:$B$366,C4357)</x:f>
        <x:v>0.3111111111111111</x:v>
      </x:c>
      <x:c r="I4357" s="382" t="n">
        <x:f>SUMIFS('Climate Data'!$H$7:$H$366,'Climate Data'!$A$7:$A$366,'Estimator'!$B$4,'Climate Data'!$B$7:$B$366,C4357)</x:f>
        <x:v>7.382142857142857</x:v>
      </x:c>
      <x:c r="J4357" s="381" t="n">
        <x:f>SUMIFS('Wind Proxy'!$H$8:$H$19,'Wind Proxy'!$A$8:$A$19,'Estimator'!$B$4,'Wind Proxy'!$B$8:$B$19,C4357)</x:f>
        <x:v>0.22222222222222224</x:v>
      </x:c>
    </x:row>
    <x:row r="4358">
      <x:c r="A4358" s="379" t="n">
        <x:v>50009</x:v>
      </x:c>
      <x:c r="B4358" s="380" t="n">
        <x:v>2036</x:v>
      </x:c>
      <x:c r="C4358" s="380" t="n">
        <x:v>11</x:v>
      </x:c>
      <x:c r="D4358" s="380" t="str">
        <x:v>Nov</x:v>
      </x:c>
      <x:c r="E4358" s="380" t="n">
        <x:v>30</x:v>
      </x:c>
      <x:c r="F4358" s="380" t="n">
        <x:v>7</x:v>
      </x:c>
      <x:c r="G4358" s="380" t="n">
        <x:f>--(F4358&lt;='Estimator'!$B$7)</x:f>
        <x:v>0</x:v>
      </x:c>
      <x:c r="H4358" s="381" t="n">
        <x:f>SUMIFS('Climate Data'!$G$7:$G$366,'Climate Data'!$A$7:$A$366,'Estimator'!$B$4,'Climate Data'!$B$7:$B$366,C4358)</x:f>
        <x:v>0.3111111111111111</x:v>
      </x:c>
      <x:c r="I4358" s="382" t="n">
        <x:f>SUMIFS('Climate Data'!$H$7:$H$366,'Climate Data'!$A$7:$A$366,'Estimator'!$B$4,'Climate Data'!$B$7:$B$366,C4358)</x:f>
        <x:v>7.382142857142857</x:v>
      </x:c>
      <x:c r="J4358" s="381" t="n">
        <x:f>SUMIFS('Wind Proxy'!$H$8:$H$19,'Wind Proxy'!$A$8:$A$19,'Estimator'!$B$4,'Wind Proxy'!$B$8:$B$19,C4358)</x:f>
        <x:v>0.22222222222222224</x:v>
      </x:c>
    </x:row>
    <x:row r="4359">
      <x:c r="A4359" s="379" t="n">
        <x:v>50010</x:v>
      </x:c>
      <x:c r="B4359" s="380" t="n">
        <x:v>2036</x:v>
      </x:c>
      <x:c r="C4359" s="380" t="n">
        <x:v>12</x:v>
      </x:c>
      <x:c r="D4359" s="380" t="str">
        <x:v>Dec</x:v>
      </x:c>
      <x:c r="E4359" s="380" t="n">
        <x:v>1</x:v>
      </x:c>
      <x:c r="F4359" s="380" t="n">
        <x:v>1</x:v>
      </x:c>
      <x:c r="G4359" s="380" t="n">
        <x:f>--(F4359&lt;='Estimator'!$B$7)</x:f>
        <x:v>1</x:v>
      </x:c>
      <x:c r="H4359" s="381" t="n">
        <x:f>SUMIFS('Climate Data'!$G$7:$G$366,'Climate Data'!$A$7:$A$366,'Estimator'!$B$4,'Climate Data'!$B$7:$B$366,C4359)</x:f>
        <x:v>0.2914349276974416</x:v>
      </x:c>
      <x:c r="I4359" s="382" t="n">
        <x:f>SUMIFS('Climate Data'!$H$7:$H$366,'Climate Data'!$A$7:$A$366,'Estimator'!$B$4,'Climate Data'!$B$7:$B$366,C4359)</x:f>
        <x:v>9.043129770992365</x:v>
      </x:c>
      <x:c r="J4359" s="381" t="n">
        <x:f>SUMIFS('Wind Proxy'!$H$8:$H$19,'Wind Proxy'!$A$8:$A$19,'Estimator'!$B$4,'Wind Proxy'!$B$8:$B$19,C4359)</x:f>
        <x:v>0.12544802867383514</x:v>
      </x:c>
    </x:row>
    <x:row r="4360">
      <x:c r="A4360" s="379" t="n">
        <x:v>50011</x:v>
      </x:c>
      <x:c r="B4360" s="380" t="n">
        <x:v>2036</x:v>
      </x:c>
      <x:c r="C4360" s="380" t="n">
        <x:v>12</x:v>
      </x:c>
      <x:c r="D4360" s="380" t="str">
        <x:v>Dec</x:v>
      </x:c>
      <x:c r="E4360" s="380" t="n">
        <x:v>2</x:v>
      </x:c>
      <x:c r="F4360" s="380" t="n">
        <x:v>2</x:v>
      </x:c>
      <x:c r="G4360" s="380" t="n">
        <x:f>--(F4360&lt;='Estimator'!$B$7)</x:f>
        <x:v>1</x:v>
      </x:c>
      <x:c r="H4360" s="381" t="n">
        <x:f>SUMIFS('Climate Data'!$G$7:$G$366,'Climate Data'!$A$7:$A$366,'Estimator'!$B$4,'Climate Data'!$B$7:$B$366,C4360)</x:f>
        <x:v>0.2914349276974416</x:v>
      </x:c>
      <x:c r="I4360" s="382" t="n">
        <x:f>SUMIFS('Climate Data'!$H$7:$H$366,'Climate Data'!$A$7:$A$366,'Estimator'!$B$4,'Climate Data'!$B$7:$B$366,C4360)</x:f>
        <x:v>9.043129770992365</x:v>
      </x:c>
      <x:c r="J4360" s="381" t="n">
        <x:f>SUMIFS('Wind Proxy'!$H$8:$H$19,'Wind Proxy'!$A$8:$A$19,'Estimator'!$B$4,'Wind Proxy'!$B$8:$B$19,C4360)</x:f>
        <x:v>0.12544802867383514</x:v>
      </x:c>
    </x:row>
    <x:row r="4361">
      <x:c r="A4361" s="379" t="n">
        <x:v>50012</x:v>
      </x:c>
      <x:c r="B4361" s="380" t="n">
        <x:v>2036</x:v>
      </x:c>
      <x:c r="C4361" s="380" t="n">
        <x:v>12</x:v>
      </x:c>
      <x:c r="D4361" s="380" t="str">
        <x:v>Dec</x:v>
      </x:c>
      <x:c r="E4361" s="380" t="n">
        <x:v>3</x:v>
      </x:c>
      <x:c r="F4361" s="380" t="n">
        <x:v>3</x:v>
      </x:c>
      <x:c r="G4361" s="380" t="n">
        <x:f>--(F4361&lt;='Estimator'!$B$7)</x:f>
        <x:v>1</x:v>
      </x:c>
      <x:c r="H4361" s="381" t="n">
        <x:f>SUMIFS('Climate Data'!$G$7:$G$366,'Climate Data'!$A$7:$A$366,'Estimator'!$B$4,'Climate Data'!$B$7:$B$366,C4361)</x:f>
        <x:v>0.2914349276974416</x:v>
      </x:c>
      <x:c r="I4361" s="382" t="n">
        <x:f>SUMIFS('Climate Data'!$H$7:$H$366,'Climate Data'!$A$7:$A$366,'Estimator'!$B$4,'Climate Data'!$B$7:$B$366,C4361)</x:f>
        <x:v>9.043129770992365</x:v>
      </x:c>
      <x:c r="J4361" s="381" t="n">
        <x:f>SUMIFS('Wind Proxy'!$H$8:$H$19,'Wind Proxy'!$A$8:$A$19,'Estimator'!$B$4,'Wind Proxy'!$B$8:$B$19,C4361)</x:f>
        <x:v>0.12544802867383514</x:v>
      </x:c>
    </x:row>
    <x:row r="4362">
      <x:c r="A4362" s="379" t="n">
        <x:v>50013</x:v>
      </x:c>
      <x:c r="B4362" s="380" t="n">
        <x:v>2036</x:v>
      </x:c>
      <x:c r="C4362" s="380" t="n">
        <x:v>12</x:v>
      </x:c>
      <x:c r="D4362" s="380" t="str">
        <x:v>Dec</x:v>
      </x:c>
      <x:c r="E4362" s="380" t="n">
        <x:v>4</x:v>
      </x:c>
      <x:c r="F4362" s="380" t="n">
        <x:v>4</x:v>
      </x:c>
      <x:c r="G4362" s="380" t="n">
        <x:f>--(F4362&lt;='Estimator'!$B$7)</x:f>
        <x:v>1</x:v>
      </x:c>
      <x:c r="H4362" s="381" t="n">
        <x:f>SUMIFS('Climate Data'!$G$7:$G$366,'Climate Data'!$A$7:$A$366,'Estimator'!$B$4,'Climate Data'!$B$7:$B$366,C4362)</x:f>
        <x:v>0.2914349276974416</x:v>
      </x:c>
      <x:c r="I4362" s="382" t="n">
        <x:f>SUMIFS('Climate Data'!$H$7:$H$366,'Climate Data'!$A$7:$A$366,'Estimator'!$B$4,'Climate Data'!$B$7:$B$366,C4362)</x:f>
        <x:v>9.043129770992365</x:v>
      </x:c>
      <x:c r="J4362" s="381" t="n">
        <x:f>SUMIFS('Wind Proxy'!$H$8:$H$19,'Wind Proxy'!$A$8:$A$19,'Estimator'!$B$4,'Wind Proxy'!$B$8:$B$19,C4362)</x:f>
        <x:v>0.12544802867383514</x:v>
      </x:c>
    </x:row>
    <x:row r="4363">
      <x:c r="A4363" s="379" t="n">
        <x:v>50014</x:v>
      </x:c>
      <x:c r="B4363" s="380" t="n">
        <x:v>2036</x:v>
      </x:c>
      <x:c r="C4363" s="380" t="n">
        <x:v>12</x:v>
      </x:c>
      <x:c r="D4363" s="380" t="str">
        <x:v>Dec</x:v>
      </x:c>
      <x:c r="E4363" s="380" t="n">
        <x:v>5</x:v>
      </x:c>
      <x:c r="F4363" s="380" t="n">
        <x:v>5</x:v>
      </x:c>
      <x:c r="G4363" s="380" t="n">
        <x:f>--(F4363&lt;='Estimator'!$B$7)</x:f>
        <x:v>1</x:v>
      </x:c>
      <x:c r="H4363" s="381" t="n">
        <x:f>SUMIFS('Climate Data'!$G$7:$G$366,'Climate Data'!$A$7:$A$366,'Estimator'!$B$4,'Climate Data'!$B$7:$B$366,C4363)</x:f>
        <x:v>0.2914349276974416</x:v>
      </x:c>
      <x:c r="I4363" s="382" t="n">
        <x:f>SUMIFS('Climate Data'!$H$7:$H$366,'Climate Data'!$A$7:$A$366,'Estimator'!$B$4,'Climate Data'!$B$7:$B$366,C4363)</x:f>
        <x:v>9.043129770992365</x:v>
      </x:c>
      <x:c r="J4363" s="381" t="n">
        <x:f>SUMIFS('Wind Proxy'!$H$8:$H$19,'Wind Proxy'!$A$8:$A$19,'Estimator'!$B$4,'Wind Proxy'!$B$8:$B$19,C4363)</x:f>
        <x:v>0.12544802867383514</x:v>
      </x:c>
    </x:row>
    <x:row r="4364">
      <x:c r="A4364" s="379" t="n">
        <x:v>50015</x:v>
      </x:c>
      <x:c r="B4364" s="380" t="n">
        <x:v>2036</x:v>
      </x:c>
      <x:c r="C4364" s="380" t="n">
        <x:v>12</x:v>
      </x:c>
      <x:c r="D4364" s="380" t="str">
        <x:v>Dec</x:v>
      </x:c>
      <x:c r="E4364" s="380" t="n">
        <x:v>6</x:v>
      </x:c>
      <x:c r="F4364" s="380" t="n">
        <x:v>6</x:v>
      </x:c>
      <x:c r="G4364" s="380" t="n">
        <x:f>--(F4364&lt;='Estimator'!$B$7)</x:f>
        <x:v>0</x:v>
      </x:c>
      <x:c r="H4364" s="381" t="n">
        <x:f>SUMIFS('Climate Data'!$G$7:$G$366,'Climate Data'!$A$7:$A$366,'Estimator'!$B$4,'Climate Data'!$B$7:$B$366,C4364)</x:f>
        <x:v>0.2914349276974416</x:v>
      </x:c>
      <x:c r="I4364" s="382" t="n">
        <x:f>SUMIFS('Climate Data'!$H$7:$H$366,'Climate Data'!$A$7:$A$366,'Estimator'!$B$4,'Climate Data'!$B$7:$B$366,C4364)</x:f>
        <x:v>9.043129770992365</x:v>
      </x:c>
      <x:c r="J4364" s="381" t="n">
        <x:f>SUMIFS('Wind Proxy'!$H$8:$H$19,'Wind Proxy'!$A$8:$A$19,'Estimator'!$B$4,'Wind Proxy'!$B$8:$B$19,C4364)</x:f>
        <x:v>0.12544802867383514</x:v>
      </x:c>
    </x:row>
    <x:row r="4365">
      <x:c r="A4365" s="379" t="n">
        <x:v>50016</x:v>
      </x:c>
      <x:c r="B4365" s="380" t="n">
        <x:v>2036</x:v>
      </x:c>
      <x:c r="C4365" s="380" t="n">
        <x:v>12</x:v>
      </x:c>
      <x:c r="D4365" s="380" t="str">
        <x:v>Dec</x:v>
      </x:c>
      <x:c r="E4365" s="380" t="n">
        <x:v>7</x:v>
      </x:c>
      <x:c r="F4365" s="380" t="n">
        <x:v>7</x:v>
      </x:c>
      <x:c r="G4365" s="380" t="n">
        <x:f>--(F4365&lt;='Estimator'!$B$7)</x:f>
        <x:v>0</x:v>
      </x:c>
      <x:c r="H4365" s="381" t="n">
        <x:f>SUMIFS('Climate Data'!$G$7:$G$366,'Climate Data'!$A$7:$A$366,'Estimator'!$B$4,'Climate Data'!$B$7:$B$366,C4365)</x:f>
        <x:v>0.2914349276974416</x:v>
      </x:c>
      <x:c r="I4365" s="382" t="n">
        <x:f>SUMIFS('Climate Data'!$H$7:$H$366,'Climate Data'!$A$7:$A$366,'Estimator'!$B$4,'Climate Data'!$B$7:$B$366,C4365)</x:f>
        <x:v>9.043129770992365</x:v>
      </x:c>
      <x:c r="J4365" s="381" t="n">
        <x:f>SUMIFS('Wind Proxy'!$H$8:$H$19,'Wind Proxy'!$A$8:$A$19,'Estimator'!$B$4,'Wind Proxy'!$B$8:$B$19,C4365)</x:f>
        <x:v>0.12544802867383514</x:v>
      </x:c>
    </x:row>
    <x:row r="4366">
      <x:c r="A4366" s="379" t="n">
        <x:v>50017</x:v>
      </x:c>
      <x:c r="B4366" s="380" t="n">
        <x:v>2036</x:v>
      </x:c>
      <x:c r="C4366" s="380" t="n">
        <x:v>12</x:v>
      </x:c>
      <x:c r="D4366" s="380" t="str">
        <x:v>Dec</x:v>
      </x:c>
      <x:c r="E4366" s="380" t="n">
        <x:v>8</x:v>
      </x:c>
      <x:c r="F4366" s="380" t="n">
        <x:v>1</x:v>
      </x:c>
      <x:c r="G4366" s="380" t="n">
        <x:f>--(F4366&lt;='Estimator'!$B$7)</x:f>
        <x:v>1</x:v>
      </x:c>
      <x:c r="H4366" s="381" t="n">
        <x:f>SUMIFS('Climate Data'!$G$7:$G$366,'Climate Data'!$A$7:$A$366,'Estimator'!$B$4,'Climate Data'!$B$7:$B$366,C4366)</x:f>
        <x:v>0.2914349276974416</x:v>
      </x:c>
      <x:c r="I4366" s="382" t="n">
        <x:f>SUMIFS('Climate Data'!$H$7:$H$366,'Climate Data'!$A$7:$A$366,'Estimator'!$B$4,'Climate Data'!$B$7:$B$366,C4366)</x:f>
        <x:v>9.043129770992365</x:v>
      </x:c>
      <x:c r="J4366" s="381" t="n">
        <x:f>SUMIFS('Wind Proxy'!$H$8:$H$19,'Wind Proxy'!$A$8:$A$19,'Estimator'!$B$4,'Wind Proxy'!$B$8:$B$19,C4366)</x:f>
        <x:v>0.12544802867383514</x:v>
      </x:c>
    </x:row>
    <x:row r="4367">
      <x:c r="A4367" s="379" t="n">
        <x:v>50018</x:v>
      </x:c>
      <x:c r="B4367" s="380" t="n">
        <x:v>2036</x:v>
      </x:c>
      <x:c r="C4367" s="380" t="n">
        <x:v>12</x:v>
      </x:c>
      <x:c r="D4367" s="380" t="str">
        <x:v>Dec</x:v>
      </x:c>
      <x:c r="E4367" s="380" t="n">
        <x:v>9</x:v>
      </x:c>
      <x:c r="F4367" s="380" t="n">
        <x:v>2</x:v>
      </x:c>
      <x:c r="G4367" s="380" t="n">
        <x:f>--(F4367&lt;='Estimator'!$B$7)</x:f>
        <x:v>1</x:v>
      </x:c>
      <x:c r="H4367" s="381" t="n">
        <x:f>SUMIFS('Climate Data'!$G$7:$G$366,'Climate Data'!$A$7:$A$366,'Estimator'!$B$4,'Climate Data'!$B$7:$B$366,C4367)</x:f>
        <x:v>0.2914349276974416</x:v>
      </x:c>
      <x:c r="I4367" s="382" t="n">
        <x:f>SUMIFS('Climate Data'!$H$7:$H$366,'Climate Data'!$A$7:$A$366,'Estimator'!$B$4,'Climate Data'!$B$7:$B$366,C4367)</x:f>
        <x:v>9.043129770992365</x:v>
      </x:c>
      <x:c r="J4367" s="381" t="n">
        <x:f>SUMIFS('Wind Proxy'!$H$8:$H$19,'Wind Proxy'!$A$8:$A$19,'Estimator'!$B$4,'Wind Proxy'!$B$8:$B$19,C4367)</x:f>
        <x:v>0.12544802867383514</x:v>
      </x:c>
    </x:row>
    <x:row r="4368">
      <x:c r="A4368" s="379" t="n">
        <x:v>50019</x:v>
      </x:c>
      <x:c r="B4368" s="380" t="n">
        <x:v>2036</x:v>
      </x:c>
      <x:c r="C4368" s="380" t="n">
        <x:v>12</x:v>
      </x:c>
      <x:c r="D4368" s="380" t="str">
        <x:v>Dec</x:v>
      </x:c>
      <x:c r="E4368" s="380" t="n">
        <x:v>10</x:v>
      </x:c>
      <x:c r="F4368" s="380" t="n">
        <x:v>3</x:v>
      </x:c>
      <x:c r="G4368" s="380" t="n">
        <x:f>--(F4368&lt;='Estimator'!$B$7)</x:f>
        <x:v>1</x:v>
      </x:c>
      <x:c r="H4368" s="381" t="n">
        <x:f>SUMIFS('Climate Data'!$G$7:$G$366,'Climate Data'!$A$7:$A$366,'Estimator'!$B$4,'Climate Data'!$B$7:$B$366,C4368)</x:f>
        <x:v>0.2914349276974416</x:v>
      </x:c>
      <x:c r="I4368" s="382" t="n">
        <x:f>SUMIFS('Climate Data'!$H$7:$H$366,'Climate Data'!$A$7:$A$366,'Estimator'!$B$4,'Climate Data'!$B$7:$B$366,C4368)</x:f>
        <x:v>9.043129770992365</x:v>
      </x:c>
      <x:c r="J4368" s="381" t="n">
        <x:f>SUMIFS('Wind Proxy'!$H$8:$H$19,'Wind Proxy'!$A$8:$A$19,'Estimator'!$B$4,'Wind Proxy'!$B$8:$B$19,C4368)</x:f>
        <x:v>0.12544802867383514</x:v>
      </x:c>
    </x:row>
    <x:row r="4369">
      <x:c r="A4369" s="379" t="n">
        <x:v>50020</x:v>
      </x:c>
      <x:c r="B4369" s="380" t="n">
        <x:v>2036</x:v>
      </x:c>
      <x:c r="C4369" s="380" t="n">
        <x:v>12</x:v>
      </x:c>
      <x:c r="D4369" s="380" t="str">
        <x:v>Dec</x:v>
      </x:c>
      <x:c r="E4369" s="380" t="n">
        <x:v>11</x:v>
      </x:c>
      <x:c r="F4369" s="380" t="n">
        <x:v>4</x:v>
      </x:c>
      <x:c r="G4369" s="380" t="n">
        <x:f>--(F4369&lt;='Estimator'!$B$7)</x:f>
        <x:v>1</x:v>
      </x:c>
      <x:c r="H4369" s="381" t="n">
        <x:f>SUMIFS('Climate Data'!$G$7:$G$366,'Climate Data'!$A$7:$A$366,'Estimator'!$B$4,'Climate Data'!$B$7:$B$366,C4369)</x:f>
        <x:v>0.2914349276974416</x:v>
      </x:c>
      <x:c r="I4369" s="382" t="n">
        <x:f>SUMIFS('Climate Data'!$H$7:$H$366,'Climate Data'!$A$7:$A$366,'Estimator'!$B$4,'Climate Data'!$B$7:$B$366,C4369)</x:f>
        <x:v>9.043129770992365</x:v>
      </x:c>
      <x:c r="J4369" s="381" t="n">
        <x:f>SUMIFS('Wind Proxy'!$H$8:$H$19,'Wind Proxy'!$A$8:$A$19,'Estimator'!$B$4,'Wind Proxy'!$B$8:$B$19,C4369)</x:f>
        <x:v>0.12544802867383514</x:v>
      </x:c>
    </x:row>
    <x:row r="4370">
      <x:c r="A4370" s="379" t="n">
        <x:v>50021</x:v>
      </x:c>
      <x:c r="B4370" s="380" t="n">
        <x:v>2036</x:v>
      </x:c>
      <x:c r="C4370" s="380" t="n">
        <x:v>12</x:v>
      </x:c>
      <x:c r="D4370" s="380" t="str">
        <x:v>Dec</x:v>
      </x:c>
      <x:c r="E4370" s="380" t="n">
        <x:v>12</x:v>
      </x:c>
      <x:c r="F4370" s="380" t="n">
        <x:v>5</x:v>
      </x:c>
      <x:c r="G4370" s="380" t="n">
        <x:f>--(F4370&lt;='Estimator'!$B$7)</x:f>
        <x:v>1</x:v>
      </x:c>
      <x:c r="H4370" s="381" t="n">
        <x:f>SUMIFS('Climate Data'!$G$7:$G$366,'Climate Data'!$A$7:$A$366,'Estimator'!$B$4,'Climate Data'!$B$7:$B$366,C4370)</x:f>
        <x:v>0.2914349276974416</x:v>
      </x:c>
      <x:c r="I4370" s="382" t="n">
        <x:f>SUMIFS('Climate Data'!$H$7:$H$366,'Climate Data'!$A$7:$A$366,'Estimator'!$B$4,'Climate Data'!$B$7:$B$366,C4370)</x:f>
        <x:v>9.043129770992365</x:v>
      </x:c>
      <x:c r="J4370" s="381" t="n">
        <x:f>SUMIFS('Wind Proxy'!$H$8:$H$19,'Wind Proxy'!$A$8:$A$19,'Estimator'!$B$4,'Wind Proxy'!$B$8:$B$19,C4370)</x:f>
        <x:v>0.12544802867383514</x:v>
      </x:c>
    </x:row>
    <x:row r="4371">
      <x:c r="A4371" s="379" t="n">
        <x:v>50022</x:v>
      </x:c>
      <x:c r="B4371" s="380" t="n">
        <x:v>2036</x:v>
      </x:c>
      <x:c r="C4371" s="380" t="n">
        <x:v>12</x:v>
      </x:c>
      <x:c r="D4371" s="380" t="str">
        <x:v>Dec</x:v>
      </x:c>
      <x:c r="E4371" s="380" t="n">
        <x:v>13</x:v>
      </x:c>
      <x:c r="F4371" s="380" t="n">
        <x:v>6</x:v>
      </x:c>
      <x:c r="G4371" s="380" t="n">
        <x:f>--(F4371&lt;='Estimator'!$B$7)</x:f>
        <x:v>0</x:v>
      </x:c>
      <x:c r="H4371" s="381" t="n">
        <x:f>SUMIFS('Climate Data'!$G$7:$G$366,'Climate Data'!$A$7:$A$366,'Estimator'!$B$4,'Climate Data'!$B$7:$B$366,C4371)</x:f>
        <x:v>0.2914349276974416</x:v>
      </x:c>
      <x:c r="I4371" s="382" t="n">
        <x:f>SUMIFS('Climate Data'!$H$7:$H$366,'Climate Data'!$A$7:$A$366,'Estimator'!$B$4,'Climate Data'!$B$7:$B$366,C4371)</x:f>
        <x:v>9.043129770992365</x:v>
      </x:c>
      <x:c r="J4371" s="381" t="n">
        <x:f>SUMIFS('Wind Proxy'!$H$8:$H$19,'Wind Proxy'!$A$8:$A$19,'Estimator'!$B$4,'Wind Proxy'!$B$8:$B$19,C4371)</x:f>
        <x:v>0.12544802867383514</x:v>
      </x:c>
    </x:row>
    <x:row r="4372">
      <x:c r="A4372" s="379" t="n">
        <x:v>50023</x:v>
      </x:c>
      <x:c r="B4372" s="380" t="n">
        <x:v>2036</x:v>
      </x:c>
      <x:c r="C4372" s="380" t="n">
        <x:v>12</x:v>
      </x:c>
      <x:c r="D4372" s="380" t="str">
        <x:v>Dec</x:v>
      </x:c>
      <x:c r="E4372" s="380" t="n">
        <x:v>14</x:v>
      </x:c>
      <x:c r="F4372" s="380" t="n">
        <x:v>7</x:v>
      </x:c>
      <x:c r="G4372" s="380" t="n">
        <x:f>--(F4372&lt;='Estimator'!$B$7)</x:f>
        <x:v>0</x:v>
      </x:c>
      <x:c r="H4372" s="381" t="n">
        <x:f>SUMIFS('Climate Data'!$G$7:$G$366,'Climate Data'!$A$7:$A$366,'Estimator'!$B$4,'Climate Data'!$B$7:$B$366,C4372)</x:f>
        <x:v>0.2914349276974416</x:v>
      </x:c>
      <x:c r="I4372" s="382" t="n">
        <x:f>SUMIFS('Climate Data'!$H$7:$H$366,'Climate Data'!$A$7:$A$366,'Estimator'!$B$4,'Climate Data'!$B$7:$B$366,C4372)</x:f>
        <x:v>9.043129770992365</x:v>
      </x:c>
      <x:c r="J4372" s="381" t="n">
        <x:f>SUMIFS('Wind Proxy'!$H$8:$H$19,'Wind Proxy'!$A$8:$A$19,'Estimator'!$B$4,'Wind Proxy'!$B$8:$B$19,C4372)</x:f>
        <x:v>0.12544802867383514</x:v>
      </x:c>
    </x:row>
    <x:row r="4373">
      <x:c r="A4373" s="379" t="n">
        <x:v>50024</x:v>
      </x:c>
      <x:c r="B4373" s="380" t="n">
        <x:v>2036</x:v>
      </x:c>
      <x:c r="C4373" s="380" t="n">
        <x:v>12</x:v>
      </x:c>
      <x:c r="D4373" s="380" t="str">
        <x:v>Dec</x:v>
      </x:c>
      <x:c r="E4373" s="380" t="n">
        <x:v>15</x:v>
      </x:c>
      <x:c r="F4373" s="380" t="n">
        <x:v>1</x:v>
      </x:c>
      <x:c r="G4373" s="380" t="n">
        <x:f>--(F4373&lt;='Estimator'!$B$7)</x:f>
        <x:v>1</x:v>
      </x:c>
      <x:c r="H4373" s="381" t="n">
        <x:f>SUMIFS('Climate Data'!$G$7:$G$366,'Climate Data'!$A$7:$A$366,'Estimator'!$B$4,'Climate Data'!$B$7:$B$366,C4373)</x:f>
        <x:v>0.2914349276974416</x:v>
      </x:c>
      <x:c r="I4373" s="382" t="n">
        <x:f>SUMIFS('Climate Data'!$H$7:$H$366,'Climate Data'!$A$7:$A$366,'Estimator'!$B$4,'Climate Data'!$B$7:$B$366,C4373)</x:f>
        <x:v>9.043129770992365</x:v>
      </x:c>
      <x:c r="J4373" s="381" t="n">
        <x:f>SUMIFS('Wind Proxy'!$H$8:$H$19,'Wind Proxy'!$A$8:$A$19,'Estimator'!$B$4,'Wind Proxy'!$B$8:$B$19,C4373)</x:f>
        <x:v>0.12544802867383514</x:v>
      </x:c>
    </x:row>
    <x:row r="4374">
      <x:c r="A4374" s="379" t="n">
        <x:v>50025</x:v>
      </x:c>
      <x:c r="B4374" s="380" t="n">
        <x:v>2036</x:v>
      </x:c>
      <x:c r="C4374" s="380" t="n">
        <x:v>12</x:v>
      </x:c>
      <x:c r="D4374" s="380" t="str">
        <x:v>Dec</x:v>
      </x:c>
      <x:c r="E4374" s="380" t="n">
        <x:v>16</x:v>
      </x:c>
      <x:c r="F4374" s="380" t="n">
        <x:v>2</x:v>
      </x:c>
      <x:c r="G4374" s="380" t="n">
        <x:f>--(F4374&lt;='Estimator'!$B$7)</x:f>
        <x:v>1</x:v>
      </x:c>
      <x:c r="H4374" s="381" t="n">
        <x:f>SUMIFS('Climate Data'!$G$7:$G$366,'Climate Data'!$A$7:$A$366,'Estimator'!$B$4,'Climate Data'!$B$7:$B$366,C4374)</x:f>
        <x:v>0.2914349276974416</x:v>
      </x:c>
      <x:c r="I4374" s="382" t="n">
        <x:f>SUMIFS('Climate Data'!$H$7:$H$366,'Climate Data'!$A$7:$A$366,'Estimator'!$B$4,'Climate Data'!$B$7:$B$366,C4374)</x:f>
        <x:v>9.043129770992365</x:v>
      </x:c>
      <x:c r="J4374" s="381" t="n">
        <x:f>SUMIFS('Wind Proxy'!$H$8:$H$19,'Wind Proxy'!$A$8:$A$19,'Estimator'!$B$4,'Wind Proxy'!$B$8:$B$19,C4374)</x:f>
        <x:v>0.12544802867383514</x:v>
      </x:c>
    </x:row>
    <x:row r="4375">
      <x:c r="A4375" s="379" t="n">
        <x:v>50026</x:v>
      </x:c>
      <x:c r="B4375" s="380" t="n">
        <x:v>2036</x:v>
      </x:c>
      <x:c r="C4375" s="380" t="n">
        <x:v>12</x:v>
      </x:c>
      <x:c r="D4375" s="380" t="str">
        <x:v>Dec</x:v>
      </x:c>
      <x:c r="E4375" s="380" t="n">
        <x:v>17</x:v>
      </x:c>
      <x:c r="F4375" s="380" t="n">
        <x:v>3</x:v>
      </x:c>
      <x:c r="G4375" s="380" t="n">
        <x:f>--(F4375&lt;='Estimator'!$B$7)</x:f>
        <x:v>1</x:v>
      </x:c>
      <x:c r="H4375" s="381" t="n">
        <x:f>SUMIFS('Climate Data'!$G$7:$G$366,'Climate Data'!$A$7:$A$366,'Estimator'!$B$4,'Climate Data'!$B$7:$B$366,C4375)</x:f>
        <x:v>0.2914349276974416</x:v>
      </x:c>
      <x:c r="I4375" s="382" t="n">
        <x:f>SUMIFS('Climate Data'!$H$7:$H$366,'Climate Data'!$A$7:$A$366,'Estimator'!$B$4,'Climate Data'!$B$7:$B$366,C4375)</x:f>
        <x:v>9.043129770992365</x:v>
      </x:c>
      <x:c r="J4375" s="381" t="n">
        <x:f>SUMIFS('Wind Proxy'!$H$8:$H$19,'Wind Proxy'!$A$8:$A$19,'Estimator'!$B$4,'Wind Proxy'!$B$8:$B$19,C4375)</x:f>
        <x:v>0.12544802867383514</x:v>
      </x:c>
    </x:row>
    <x:row r="4376">
      <x:c r="A4376" s="379" t="n">
        <x:v>50027</x:v>
      </x:c>
      <x:c r="B4376" s="380" t="n">
        <x:v>2036</x:v>
      </x:c>
      <x:c r="C4376" s="380" t="n">
        <x:v>12</x:v>
      </x:c>
      <x:c r="D4376" s="380" t="str">
        <x:v>Dec</x:v>
      </x:c>
      <x:c r="E4376" s="380" t="n">
        <x:v>18</x:v>
      </x:c>
      <x:c r="F4376" s="380" t="n">
        <x:v>4</x:v>
      </x:c>
      <x:c r="G4376" s="380" t="n">
        <x:f>--(F4376&lt;='Estimator'!$B$7)</x:f>
        <x:v>1</x:v>
      </x:c>
      <x:c r="H4376" s="381" t="n">
        <x:f>SUMIFS('Climate Data'!$G$7:$G$366,'Climate Data'!$A$7:$A$366,'Estimator'!$B$4,'Climate Data'!$B$7:$B$366,C4376)</x:f>
        <x:v>0.2914349276974416</x:v>
      </x:c>
      <x:c r="I4376" s="382" t="n">
        <x:f>SUMIFS('Climate Data'!$H$7:$H$366,'Climate Data'!$A$7:$A$366,'Estimator'!$B$4,'Climate Data'!$B$7:$B$366,C4376)</x:f>
        <x:v>9.043129770992365</x:v>
      </x:c>
      <x:c r="J4376" s="381" t="n">
        <x:f>SUMIFS('Wind Proxy'!$H$8:$H$19,'Wind Proxy'!$A$8:$A$19,'Estimator'!$B$4,'Wind Proxy'!$B$8:$B$19,C4376)</x:f>
        <x:v>0.12544802867383514</x:v>
      </x:c>
    </x:row>
    <x:row r="4377">
      <x:c r="A4377" s="379" t="n">
        <x:v>50028</x:v>
      </x:c>
      <x:c r="B4377" s="380" t="n">
        <x:v>2036</x:v>
      </x:c>
      <x:c r="C4377" s="380" t="n">
        <x:v>12</x:v>
      </x:c>
      <x:c r="D4377" s="380" t="str">
        <x:v>Dec</x:v>
      </x:c>
      <x:c r="E4377" s="380" t="n">
        <x:v>19</x:v>
      </x:c>
      <x:c r="F4377" s="380" t="n">
        <x:v>5</x:v>
      </x:c>
      <x:c r="G4377" s="380" t="n">
        <x:f>--(F4377&lt;='Estimator'!$B$7)</x:f>
        <x:v>1</x:v>
      </x:c>
      <x:c r="H4377" s="381" t="n">
        <x:f>SUMIFS('Climate Data'!$G$7:$G$366,'Climate Data'!$A$7:$A$366,'Estimator'!$B$4,'Climate Data'!$B$7:$B$366,C4377)</x:f>
        <x:v>0.2914349276974416</x:v>
      </x:c>
      <x:c r="I4377" s="382" t="n">
        <x:f>SUMIFS('Climate Data'!$H$7:$H$366,'Climate Data'!$A$7:$A$366,'Estimator'!$B$4,'Climate Data'!$B$7:$B$366,C4377)</x:f>
        <x:v>9.043129770992365</x:v>
      </x:c>
      <x:c r="J4377" s="381" t="n">
        <x:f>SUMIFS('Wind Proxy'!$H$8:$H$19,'Wind Proxy'!$A$8:$A$19,'Estimator'!$B$4,'Wind Proxy'!$B$8:$B$19,C4377)</x:f>
        <x:v>0.12544802867383514</x:v>
      </x:c>
    </x:row>
    <x:row r="4378">
      <x:c r="A4378" s="379" t="n">
        <x:v>50029</x:v>
      </x:c>
      <x:c r="B4378" s="380" t="n">
        <x:v>2036</x:v>
      </x:c>
      <x:c r="C4378" s="380" t="n">
        <x:v>12</x:v>
      </x:c>
      <x:c r="D4378" s="380" t="str">
        <x:v>Dec</x:v>
      </x:c>
      <x:c r="E4378" s="380" t="n">
        <x:v>20</x:v>
      </x:c>
      <x:c r="F4378" s="380" t="n">
        <x:v>6</x:v>
      </x:c>
      <x:c r="G4378" s="380" t="n">
        <x:f>--(F4378&lt;='Estimator'!$B$7)</x:f>
        <x:v>0</x:v>
      </x:c>
      <x:c r="H4378" s="381" t="n">
        <x:f>SUMIFS('Climate Data'!$G$7:$G$366,'Climate Data'!$A$7:$A$366,'Estimator'!$B$4,'Climate Data'!$B$7:$B$366,C4378)</x:f>
        <x:v>0.2914349276974416</x:v>
      </x:c>
      <x:c r="I4378" s="382" t="n">
        <x:f>SUMIFS('Climate Data'!$H$7:$H$366,'Climate Data'!$A$7:$A$366,'Estimator'!$B$4,'Climate Data'!$B$7:$B$366,C4378)</x:f>
        <x:v>9.043129770992365</x:v>
      </x:c>
      <x:c r="J4378" s="381" t="n">
        <x:f>SUMIFS('Wind Proxy'!$H$8:$H$19,'Wind Proxy'!$A$8:$A$19,'Estimator'!$B$4,'Wind Proxy'!$B$8:$B$19,C4378)</x:f>
        <x:v>0.12544802867383514</x:v>
      </x:c>
    </x:row>
    <x:row r="4379">
      <x:c r="A4379" s="379" t="n">
        <x:v>50030</x:v>
      </x:c>
      <x:c r="B4379" s="380" t="n">
        <x:v>2036</x:v>
      </x:c>
      <x:c r="C4379" s="380" t="n">
        <x:v>12</x:v>
      </x:c>
      <x:c r="D4379" s="380" t="str">
        <x:v>Dec</x:v>
      </x:c>
      <x:c r="E4379" s="380" t="n">
        <x:v>21</x:v>
      </x:c>
      <x:c r="F4379" s="380" t="n">
        <x:v>7</x:v>
      </x:c>
      <x:c r="G4379" s="380" t="n">
        <x:f>--(F4379&lt;='Estimator'!$B$7)</x:f>
        <x:v>0</x:v>
      </x:c>
      <x:c r="H4379" s="381" t="n">
        <x:f>SUMIFS('Climate Data'!$G$7:$G$366,'Climate Data'!$A$7:$A$366,'Estimator'!$B$4,'Climate Data'!$B$7:$B$366,C4379)</x:f>
        <x:v>0.2914349276974416</x:v>
      </x:c>
      <x:c r="I4379" s="382" t="n">
        <x:f>SUMIFS('Climate Data'!$H$7:$H$366,'Climate Data'!$A$7:$A$366,'Estimator'!$B$4,'Climate Data'!$B$7:$B$366,C4379)</x:f>
        <x:v>9.043129770992365</x:v>
      </x:c>
      <x:c r="J4379" s="381" t="n">
        <x:f>SUMIFS('Wind Proxy'!$H$8:$H$19,'Wind Proxy'!$A$8:$A$19,'Estimator'!$B$4,'Wind Proxy'!$B$8:$B$19,C4379)</x:f>
        <x:v>0.12544802867383514</x:v>
      </x:c>
    </x:row>
    <x:row r="4380">
      <x:c r="A4380" s="379" t="n">
        <x:v>50031</x:v>
      </x:c>
      <x:c r="B4380" s="380" t="n">
        <x:v>2036</x:v>
      </x:c>
      <x:c r="C4380" s="380" t="n">
        <x:v>12</x:v>
      </x:c>
      <x:c r="D4380" s="380" t="str">
        <x:v>Dec</x:v>
      </x:c>
      <x:c r="E4380" s="380" t="n">
        <x:v>22</x:v>
      </x:c>
      <x:c r="F4380" s="380" t="n">
        <x:v>1</x:v>
      </x:c>
      <x:c r="G4380" s="380" t="n">
        <x:f>--(F4380&lt;='Estimator'!$B$7)</x:f>
        <x:v>1</x:v>
      </x:c>
      <x:c r="H4380" s="381" t="n">
        <x:f>SUMIFS('Climate Data'!$G$7:$G$366,'Climate Data'!$A$7:$A$366,'Estimator'!$B$4,'Climate Data'!$B$7:$B$366,C4380)</x:f>
        <x:v>0.2914349276974416</x:v>
      </x:c>
      <x:c r="I4380" s="382" t="n">
        <x:f>SUMIFS('Climate Data'!$H$7:$H$366,'Climate Data'!$A$7:$A$366,'Estimator'!$B$4,'Climate Data'!$B$7:$B$366,C4380)</x:f>
        <x:v>9.043129770992365</x:v>
      </x:c>
      <x:c r="J4380" s="381" t="n">
        <x:f>SUMIFS('Wind Proxy'!$H$8:$H$19,'Wind Proxy'!$A$8:$A$19,'Estimator'!$B$4,'Wind Proxy'!$B$8:$B$19,C4380)</x:f>
        <x:v>0.12544802867383514</x:v>
      </x:c>
    </x:row>
    <x:row r="4381">
      <x:c r="A4381" s="379" t="n">
        <x:v>50032</x:v>
      </x:c>
      <x:c r="B4381" s="380" t="n">
        <x:v>2036</x:v>
      </x:c>
      <x:c r="C4381" s="380" t="n">
        <x:v>12</x:v>
      </x:c>
      <x:c r="D4381" s="380" t="str">
        <x:v>Dec</x:v>
      </x:c>
      <x:c r="E4381" s="380" t="n">
        <x:v>23</x:v>
      </x:c>
      <x:c r="F4381" s="380" t="n">
        <x:v>2</x:v>
      </x:c>
      <x:c r="G4381" s="380" t="n">
        <x:f>--(F4381&lt;='Estimator'!$B$7)</x:f>
        <x:v>1</x:v>
      </x:c>
      <x:c r="H4381" s="381" t="n">
        <x:f>SUMIFS('Climate Data'!$G$7:$G$366,'Climate Data'!$A$7:$A$366,'Estimator'!$B$4,'Climate Data'!$B$7:$B$366,C4381)</x:f>
        <x:v>0.2914349276974416</x:v>
      </x:c>
      <x:c r="I4381" s="382" t="n">
        <x:f>SUMIFS('Climate Data'!$H$7:$H$366,'Climate Data'!$A$7:$A$366,'Estimator'!$B$4,'Climate Data'!$B$7:$B$366,C4381)</x:f>
        <x:v>9.043129770992365</x:v>
      </x:c>
      <x:c r="J4381" s="381" t="n">
        <x:f>SUMIFS('Wind Proxy'!$H$8:$H$19,'Wind Proxy'!$A$8:$A$19,'Estimator'!$B$4,'Wind Proxy'!$B$8:$B$19,C4381)</x:f>
        <x:v>0.12544802867383514</x:v>
      </x:c>
    </x:row>
    <x:row r="4382">
      <x:c r="A4382" s="379" t="n">
        <x:v>50033</x:v>
      </x:c>
      <x:c r="B4382" s="380" t="n">
        <x:v>2036</x:v>
      </x:c>
      <x:c r="C4382" s="380" t="n">
        <x:v>12</x:v>
      </x:c>
      <x:c r="D4382" s="380" t="str">
        <x:v>Dec</x:v>
      </x:c>
      <x:c r="E4382" s="380" t="n">
        <x:v>24</x:v>
      </x:c>
      <x:c r="F4382" s="380" t="n">
        <x:v>3</x:v>
      </x:c>
      <x:c r="G4382" s="380" t="n">
        <x:f>--(F4382&lt;='Estimator'!$B$7)</x:f>
        <x:v>1</x:v>
      </x:c>
      <x:c r="H4382" s="381" t="n">
        <x:f>SUMIFS('Climate Data'!$G$7:$G$366,'Climate Data'!$A$7:$A$366,'Estimator'!$B$4,'Climate Data'!$B$7:$B$366,C4382)</x:f>
        <x:v>0.2914349276974416</x:v>
      </x:c>
      <x:c r="I4382" s="382" t="n">
        <x:f>SUMIFS('Climate Data'!$H$7:$H$366,'Climate Data'!$A$7:$A$366,'Estimator'!$B$4,'Climate Data'!$B$7:$B$366,C4382)</x:f>
        <x:v>9.043129770992365</x:v>
      </x:c>
      <x:c r="J4382" s="381" t="n">
        <x:f>SUMIFS('Wind Proxy'!$H$8:$H$19,'Wind Proxy'!$A$8:$A$19,'Estimator'!$B$4,'Wind Proxy'!$B$8:$B$19,C4382)</x:f>
        <x:v>0.12544802867383514</x:v>
      </x:c>
    </x:row>
    <x:row r="4383">
      <x:c r="A4383" s="379" t="n">
        <x:v>50034</x:v>
      </x:c>
      <x:c r="B4383" s="380" t="n">
        <x:v>2036</x:v>
      </x:c>
      <x:c r="C4383" s="380" t="n">
        <x:v>12</x:v>
      </x:c>
      <x:c r="D4383" s="380" t="str">
        <x:v>Dec</x:v>
      </x:c>
      <x:c r="E4383" s="380" t="n">
        <x:v>25</x:v>
      </x:c>
      <x:c r="F4383" s="380" t="n">
        <x:v>4</x:v>
      </x:c>
      <x:c r="G4383" s="380" t="n">
        <x:f>--(F4383&lt;='Estimator'!$B$7)</x:f>
        <x:v>1</x:v>
      </x:c>
      <x:c r="H4383" s="381" t="n">
        <x:f>SUMIFS('Climate Data'!$G$7:$G$366,'Climate Data'!$A$7:$A$366,'Estimator'!$B$4,'Climate Data'!$B$7:$B$366,C4383)</x:f>
        <x:v>0.2914349276974416</x:v>
      </x:c>
      <x:c r="I4383" s="382" t="n">
        <x:f>SUMIFS('Climate Data'!$H$7:$H$366,'Climate Data'!$A$7:$A$366,'Estimator'!$B$4,'Climate Data'!$B$7:$B$366,C4383)</x:f>
        <x:v>9.043129770992365</x:v>
      </x:c>
      <x:c r="J4383" s="381" t="n">
        <x:f>SUMIFS('Wind Proxy'!$H$8:$H$19,'Wind Proxy'!$A$8:$A$19,'Estimator'!$B$4,'Wind Proxy'!$B$8:$B$19,C4383)</x:f>
        <x:v>0.12544802867383514</x:v>
      </x:c>
    </x:row>
    <x:row r="4384">
      <x:c r="A4384" s="379" t="n">
        <x:v>50035</x:v>
      </x:c>
      <x:c r="B4384" s="380" t="n">
        <x:v>2036</x:v>
      </x:c>
      <x:c r="C4384" s="380" t="n">
        <x:v>12</x:v>
      </x:c>
      <x:c r="D4384" s="380" t="str">
        <x:v>Dec</x:v>
      </x:c>
      <x:c r="E4384" s="380" t="n">
        <x:v>26</x:v>
      </x:c>
      <x:c r="F4384" s="380" t="n">
        <x:v>5</x:v>
      </x:c>
      <x:c r="G4384" s="380" t="n">
        <x:f>--(F4384&lt;='Estimator'!$B$7)</x:f>
        <x:v>1</x:v>
      </x:c>
      <x:c r="H4384" s="381" t="n">
        <x:f>SUMIFS('Climate Data'!$G$7:$G$366,'Climate Data'!$A$7:$A$366,'Estimator'!$B$4,'Climate Data'!$B$7:$B$366,C4384)</x:f>
        <x:v>0.2914349276974416</x:v>
      </x:c>
      <x:c r="I4384" s="382" t="n">
        <x:f>SUMIFS('Climate Data'!$H$7:$H$366,'Climate Data'!$A$7:$A$366,'Estimator'!$B$4,'Climate Data'!$B$7:$B$366,C4384)</x:f>
        <x:v>9.043129770992365</x:v>
      </x:c>
      <x:c r="J4384" s="381" t="n">
        <x:f>SUMIFS('Wind Proxy'!$H$8:$H$19,'Wind Proxy'!$A$8:$A$19,'Estimator'!$B$4,'Wind Proxy'!$B$8:$B$19,C4384)</x:f>
        <x:v>0.12544802867383514</x:v>
      </x:c>
    </x:row>
    <x:row r="4385">
      <x:c r="A4385" s="379" t="n">
        <x:v>50036</x:v>
      </x:c>
      <x:c r="B4385" s="380" t="n">
        <x:v>2036</x:v>
      </x:c>
      <x:c r="C4385" s="380" t="n">
        <x:v>12</x:v>
      </x:c>
      <x:c r="D4385" s="380" t="str">
        <x:v>Dec</x:v>
      </x:c>
      <x:c r="E4385" s="380" t="n">
        <x:v>27</x:v>
      </x:c>
      <x:c r="F4385" s="380" t="n">
        <x:v>6</x:v>
      </x:c>
      <x:c r="G4385" s="380" t="n">
        <x:f>--(F4385&lt;='Estimator'!$B$7)</x:f>
        <x:v>0</x:v>
      </x:c>
      <x:c r="H4385" s="381" t="n">
        <x:f>SUMIFS('Climate Data'!$G$7:$G$366,'Climate Data'!$A$7:$A$366,'Estimator'!$B$4,'Climate Data'!$B$7:$B$366,C4385)</x:f>
        <x:v>0.2914349276974416</x:v>
      </x:c>
      <x:c r="I4385" s="382" t="n">
        <x:f>SUMIFS('Climate Data'!$H$7:$H$366,'Climate Data'!$A$7:$A$366,'Estimator'!$B$4,'Climate Data'!$B$7:$B$366,C4385)</x:f>
        <x:v>9.043129770992365</x:v>
      </x:c>
      <x:c r="J4385" s="381" t="n">
        <x:f>SUMIFS('Wind Proxy'!$H$8:$H$19,'Wind Proxy'!$A$8:$A$19,'Estimator'!$B$4,'Wind Proxy'!$B$8:$B$19,C4385)</x:f>
        <x:v>0.12544802867383514</x:v>
      </x:c>
    </x:row>
    <x:row r="4386">
      <x:c r="A4386" s="379" t="n">
        <x:v>50037</x:v>
      </x:c>
      <x:c r="B4386" s="380" t="n">
        <x:v>2036</x:v>
      </x:c>
      <x:c r="C4386" s="380" t="n">
        <x:v>12</x:v>
      </x:c>
      <x:c r="D4386" s="380" t="str">
        <x:v>Dec</x:v>
      </x:c>
      <x:c r="E4386" s="380" t="n">
        <x:v>28</x:v>
      </x:c>
      <x:c r="F4386" s="380" t="n">
        <x:v>7</x:v>
      </x:c>
      <x:c r="G4386" s="380" t="n">
        <x:f>--(F4386&lt;='Estimator'!$B$7)</x:f>
        <x:v>0</x:v>
      </x:c>
      <x:c r="H4386" s="381" t="n">
        <x:f>SUMIFS('Climate Data'!$G$7:$G$366,'Climate Data'!$A$7:$A$366,'Estimator'!$B$4,'Climate Data'!$B$7:$B$366,C4386)</x:f>
        <x:v>0.2914349276974416</x:v>
      </x:c>
      <x:c r="I4386" s="382" t="n">
        <x:f>SUMIFS('Climate Data'!$H$7:$H$366,'Climate Data'!$A$7:$A$366,'Estimator'!$B$4,'Climate Data'!$B$7:$B$366,C4386)</x:f>
        <x:v>9.043129770992365</x:v>
      </x:c>
      <x:c r="J4386" s="381" t="n">
        <x:f>SUMIFS('Wind Proxy'!$H$8:$H$19,'Wind Proxy'!$A$8:$A$19,'Estimator'!$B$4,'Wind Proxy'!$B$8:$B$19,C4386)</x:f>
        <x:v>0.12544802867383514</x:v>
      </x:c>
    </x:row>
    <x:row r="4387">
      <x:c r="A4387" s="379" t="n">
        <x:v>50038</x:v>
      </x:c>
      <x:c r="B4387" s="380" t="n">
        <x:v>2036</x:v>
      </x:c>
      <x:c r="C4387" s="380" t="n">
        <x:v>12</x:v>
      </x:c>
      <x:c r="D4387" s="380" t="str">
        <x:v>Dec</x:v>
      </x:c>
      <x:c r="E4387" s="380" t="n">
        <x:v>29</x:v>
      </x:c>
      <x:c r="F4387" s="380" t="n">
        <x:v>1</x:v>
      </x:c>
      <x:c r="G4387" s="380" t="n">
        <x:f>--(F4387&lt;='Estimator'!$B$7)</x:f>
        <x:v>1</x:v>
      </x:c>
      <x:c r="H4387" s="381" t="n">
        <x:f>SUMIFS('Climate Data'!$G$7:$G$366,'Climate Data'!$A$7:$A$366,'Estimator'!$B$4,'Climate Data'!$B$7:$B$366,C4387)</x:f>
        <x:v>0.2914349276974416</x:v>
      </x:c>
      <x:c r="I4387" s="382" t="n">
        <x:f>SUMIFS('Climate Data'!$H$7:$H$366,'Climate Data'!$A$7:$A$366,'Estimator'!$B$4,'Climate Data'!$B$7:$B$366,C4387)</x:f>
        <x:v>9.043129770992365</x:v>
      </x:c>
      <x:c r="J4387" s="381" t="n">
        <x:f>SUMIFS('Wind Proxy'!$H$8:$H$19,'Wind Proxy'!$A$8:$A$19,'Estimator'!$B$4,'Wind Proxy'!$B$8:$B$19,C4387)</x:f>
        <x:v>0.12544802867383514</x:v>
      </x:c>
    </x:row>
    <x:row r="4388">
      <x:c r="A4388" s="379" t="n">
        <x:v>50039</x:v>
      </x:c>
      <x:c r="B4388" s="380" t="n">
        <x:v>2036</x:v>
      </x:c>
      <x:c r="C4388" s="380" t="n">
        <x:v>12</x:v>
      </x:c>
      <x:c r="D4388" s="380" t="str">
        <x:v>Dec</x:v>
      </x:c>
      <x:c r="E4388" s="380" t="n">
        <x:v>30</x:v>
      </x:c>
      <x:c r="F4388" s="380" t="n">
        <x:v>2</x:v>
      </x:c>
      <x:c r="G4388" s="380" t="n">
        <x:f>--(F4388&lt;='Estimator'!$B$7)</x:f>
        <x:v>1</x:v>
      </x:c>
      <x:c r="H4388" s="381" t="n">
        <x:f>SUMIFS('Climate Data'!$G$7:$G$366,'Climate Data'!$A$7:$A$366,'Estimator'!$B$4,'Climate Data'!$B$7:$B$366,C4388)</x:f>
        <x:v>0.2914349276974416</x:v>
      </x:c>
      <x:c r="I4388" s="382" t="n">
        <x:f>SUMIFS('Climate Data'!$H$7:$H$366,'Climate Data'!$A$7:$A$366,'Estimator'!$B$4,'Climate Data'!$B$7:$B$366,C4388)</x:f>
        <x:v>9.043129770992365</x:v>
      </x:c>
      <x:c r="J4388" s="381" t="n">
        <x:f>SUMIFS('Wind Proxy'!$H$8:$H$19,'Wind Proxy'!$A$8:$A$19,'Estimator'!$B$4,'Wind Proxy'!$B$8:$B$19,C4388)</x:f>
        <x:v>0.12544802867383514</x:v>
      </x:c>
    </x:row>
    <x:row r="4389">
      <x:c r="A4389" s="379" t="n">
        <x:v>50040</x:v>
      </x:c>
      <x:c r="B4389" s="380" t="n">
        <x:v>2036</x:v>
      </x:c>
      <x:c r="C4389" s="380" t="n">
        <x:v>12</x:v>
      </x:c>
      <x:c r="D4389" s="380" t="str">
        <x:v>Dec</x:v>
      </x:c>
      <x:c r="E4389" s="380" t="n">
        <x:v>31</x:v>
      </x:c>
      <x:c r="F4389" s="380" t="n">
        <x:v>3</x:v>
      </x:c>
      <x:c r="G4389" s="380" t="n">
        <x:f>--(F4389&lt;='Estimator'!$B$7)</x:f>
        <x:v>1</x:v>
      </x:c>
      <x:c r="H4389" s="381" t="n">
        <x:f>SUMIFS('Climate Data'!$G$7:$G$366,'Climate Data'!$A$7:$A$366,'Estimator'!$B$4,'Climate Data'!$B$7:$B$366,C4389)</x:f>
        <x:v>0.2914349276974416</x:v>
      </x:c>
      <x:c r="I4389" s="382" t="n">
        <x:f>SUMIFS('Climate Data'!$H$7:$H$366,'Climate Data'!$A$7:$A$366,'Estimator'!$B$4,'Climate Data'!$B$7:$B$366,C4389)</x:f>
        <x:v>9.043129770992365</x:v>
      </x:c>
      <x:c r="J4389" s="381" t="n">
        <x:f>SUMIFS('Wind Proxy'!$H$8:$H$19,'Wind Proxy'!$A$8:$A$19,'Estimator'!$B$4,'Wind Proxy'!$B$8:$B$19,C4389)</x:f>
        <x:v>0.12544802867383514</x:v>
      </x:c>
    </x:row>
    <x:row r="4390">
      <x:c r="A4390" s="379" t="n">
        <x:v>50041</x:v>
      </x:c>
      <x:c r="B4390" s="380" t="n">
        <x:v>2037</x:v>
      </x:c>
      <x:c r="C4390" s="380" t="n">
        <x:v>1</x:v>
      </x:c>
      <x:c r="D4390" s="380" t="str">
        <x:v>Jan</x:v>
      </x:c>
      <x:c r="E4390" s="380" t="n">
        <x:v>1</x:v>
      </x:c>
      <x:c r="F4390" s="380" t="n">
        <x:v>4</x:v>
      </x:c>
      <x:c r="G4390" s="380" t="n">
        <x:f>--(F4390&lt;='Estimator'!$B$7)</x:f>
        <x:v>1</x:v>
      </x:c>
      <x:c r="H4390" s="381" t="n">
        <x:f>SUMIFS('Climate Data'!$G$7:$G$366,'Climate Data'!$A$7:$A$366,'Estimator'!$B$4,'Climate Data'!$B$7:$B$366,C4390)</x:f>
        <x:v>0.21802002224694106</x:v>
      </x:c>
      <x:c r="I4390" s="382" t="n">
        <x:f>SUMIFS('Climate Data'!$H$7:$H$366,'Climate Data'!$A$7:$A$366,'Estimator'!$B$4,'Climate Data'!$B$7:$B$366,C4390)</x:f>
        <x:v>8.596428571428572</x:v>
      </x:c>
      <x:c r="J4390" s="381" t="n">
        <x:f>SUMIFS('Wind Proxy'!$H$8:$H$19,'Wind Proxy'!$A$8:$A$19,'Estimator'!$B$4,'Wind Proxy'!$B$8:$B$19,C4390)</x:f>
        <x:v>0.12544802867383514</x:v>
      </x:c>
    </x:row>
    <x:row r="4391">
      <x:c r="A4391" s="379" t="n">
        <x:v>50042</x:v>
      </x:c>
      <x:c r="B4391" s="380" t="n">
        <x:v>2037</x:v>
      </x:c>
      <x:c r="C4391" s="380" t="n">
        <x:v>1</x:v>
      </x:c>
      <x:c r="D4391" s="380" t="str">
        <x:v>Jan</x:v>
      </x:c>
      <x:c r="E4391" s="380" t="n">
        <x:v>2</x:v>
      </x:c>
      <x:c r="F4391" s="380" t="n">
        <x:v>5</x:v>
      </x:c>
      <x:c r="G4391" s="380" t="n">
        <x:f>--(F4391&lt;='Estimator'!$B$7)</x:f>
        <x:v>1</x:v>
      </x:c>
      <x:c r="H4391" s="381" t="n">
        <x:f>SUMIFS('Climate Data'!$G$7:$G$366,'Climate Data'!$A$7:$A$366,'Estimator'!$B$4,'Climate Data'!$B$7:$B$366,C4391)</x:f>
        <x:v>0.21802002224694106</x:v>
      </x:c>
      <x:c r="I4391" s="382" t="n">
        <x:f>SUMIFS('Climate Data'!$H$7:$H$366,'Climate Data'!$A$7:$A$366,'Estimator'!$B$4,'Climate Data'!$B$7:$B$366,C4391)</x:f>
        <x:v>8.596428571428572</x:v>
      </x:c>
      <x:c r="J4391" s="381" t="n">
        <x:f>SUMIFS('Wind Proxy'!$H$8:$H$19,'Wind Proxy'!$A$8:$A$19,'Estimator'!$B$4,'Wind Proxy'!$B$8:$B$19,C4391)</x:f>
        <x:v>0.12544802867383514</x:v>
      </x:c>
    </x:row>
    <x:row r="4392">
      <x:c r="A4392" s="379" t="n">
        <x:v>50043</x:v>
      </x:c>
      <x:c r="B4392" s="380" t="n">
        <x:v>2037</x:v>
      </x:c>
      <x:c r="C4392" s="380" t="n">
        <x:v>1</x:v>
      </x:c>
      <x:c r="D4392" s="380" t="str">
        <x:v>Jan</x:v>
      </x:c>
      <x:c r="E4392" s="380" t="n">
        <x:v>3</x:v>
      </x:c>
      <x:c r="F4392" s="380" t="n">
        <x:v>6</x:v>
      </x:c>
      <x:c r="G4392" s="380" t="n">
        <x:f>--(F4392&lt;='Estimator'!$B$7)</x:f>
        <x:v>0</x:v>
      </x:c>
      <x:c r="H4392" s="381" t="n">
        <x:f>SUMIFS('Climate Data'!$G$7:$G$366,'Climate Data'!$A$7:$A$366,'Estimator'!$B$4,'Climate Data'!$B$7:$B$366,C4392)</x:f>
        <x:v>0.21802002224694106</x:v>
      </x:c>
      <x:c r="I4392" s="382" t="n">
        <x:f>SUMIFS('Climate Data'!$H$7:$H$366,'Climate Data'!$A$7:$A$366,'Estimator'!$B$4,'Climate Data'!$B$7:$B$366,C4392)</x:f>
        <x:v>8.596428571428572</x:v>
      </x:c>
      <x:c r="J4392" s="381" t="n">
        <x:f>SUMIFS('Wind Proxy'!$H$8:$H$19,'Wind Proxy'!$A$8:$A$19,'Estimator'!$B$4,'Wind Proxy'!$B$8:$B$19,C4392)</x:f>
        <x:v>0.12544802867383514</x:v>
      </x:c>
    </x:row>
    <x:row r="4393">
      <x:c r="A4393" s="379" t="n">
        <x:v>50044</x:v>
      </x:c>
      <x:c r="B4393" s="380" t="n">
        <x:v>2037</x:v>
      </x:c>
      <x:c r="C4393" s="380" t="n">
        <x:v>1</x:v>
      </x:c>
      <x:c r="D4393" s="380" t="str">
        <x:v>Jan</x:v>
      </x:c>
      <x:c r="E4393" s="380" t="n">
        <x:v>4</x:v>
      </x:c>
      <x:c r="F4393" s="380" t="n">
        <x:v>7</x:v>
      </x:c>
      <x:c r="G4393" s="380" t="n">
        <x:f>--(F4393&lt;='Estimator'!$B$7)</x:f>
        <x:v>0</x:v>
      </x:c>
      <x:c r="H4393" s="381" t="n">
        <x:f>SUMIFS('Climate Data'!$G$7:$G$366,'Climate Data'!$A$7:$A$366,'Estimator'!$B$4,'Climate Data'!$B$7:$B$366,C4393)</x:f>
        <x:v>0.21802002224694106</x:v>
      </x:c>
      <x:c r="I4393" s="382" t="n">
        <x:f>SUMIFS('Climate Data'!$H$7:$H$366,'Climate Data'!$A$7:$A$366,'Estimator'!$B$4,'Climate Data'!$B$7:$B$366,C4393)</x:f>
        <x:v>8.596428571428572</x:v>
      </x:c>
      <x:c r="J4393" s="381" t="n">
        <x:f>SUMIFS('Wind Proxy'!$H$8:$H$19,'Wind Proxy'!$A$8:$A$19,'Estimator'!$B$4,'Wind Proxy'!$B$8:$B$19,C4393)</x:f>
        <x:v>0.12544802867383514</x:v>
      </x:c>
    </x:row>
    <x:row r="4394">
      <x:c r="A4394" s="379" t="n">
        <x:v>50045</x:v>
      </x:c>
      <x:c r="B4394" s="380" t="n">
        <x:v>2037</x:v>
      </x:c>
      <x:c r="C4394" s="380" t="n">
        <x:v>1</x:v>
      </x:c>
      <x:c r="D4394" s="380" t="str">
        <x:v>Jan</x:v>
      </x:c>
      <x:c r="E4394" s="380" t="n">
        <x:v>5</x:v>
      </x:c>
      <x:c r="F4394" s="380" t="n">
        <x:v>1</x:v>
      </x:c>
      <x:c r="G4394" s="380" t="n">
        <x:f>--(F4394&lt;='Estimator'!$B$7)</x:f>
        <x:v>1</x:v>
      </x:c>
      <x:c r="H4394" s="381" t="n">
        <x:f>SUMIFS('Climate Data'!$G$7:$G$366,'Climate Data'!$A$7:$A$366,'Estimator'!$B$4,'Climate Data'!$B$7:$B$366,C4394)</x:f>
        <x:v>0.21802002224694106</x:v>
      </x:c>
      <x:c r="I4394" s="382" t="n">
        <x:f>SUMIFS('Climate Data'!$H$7:$H$366,'Climate Data'!$A$7:$A$366,'Estimator'!$B$4,'Climate Data'!$B$7:$B$366,C4394)</x:f>
        <x:v>8.596428571428572</x:v>
      </x:c>
      <x:c r="J4394" s="381" t="n">
        <x:f>SUMIFS('Wind Proxy'!$H$8:$H$19,'Wind Proxy'!$A$8:$A$19,'Estimator'!$B$4,'Wind Proxy'!$B$8:$B$19,C4394)</x:f>
        <x:v>0.12544802867383514</x:v>
      </x:c>
    </x:row>
    <x:row r="4395">
      <x:c r="A4395" s="379" t="n">
        <x:v>50046</x:v>
      </x:c>
      <x:c r="B4395" s="380" t="n">
        <x:v>2037</x:v>
      </x:c>
      <x:c r="C4395" s="380" t="n">
        <x:v>1</x:v>
      </x:c>
      <x:c r="D4395" s="380" t="str">
        <x:v>Jan</x:v>
      </x:c>
      <x:c r="E4395" s="380" t="n">
        <x:v>6</x:v>
      </x:c>
      <x:c r="F4395" s="380" t="n">
        <x:v>2</x:v>
      </x:c>
      <x:c r="G4395" s="380" t="n">
        <x:f>--(F4395&lt;='Estimator'!$B$7)</x:f>
        <x:v>1</x:v>
      </x:c>
      <x:c r="H4395" s="381" t="n">
        <x:f>SUMIFS('Climate Data'!$G$7:$G$366,'Climate Data'!$A$7:$A$366,'Estimator'!$B$4,'Climate Data'!$B$7:$B$366,C4395)</x:f>
        <x:v>0.21802002224694106</x:v>
      </x:c>
      <x:c r="I4395" s="382" t="n">
        <x:f>SUMIFS('Climate Data'!$H$7:$H$366,'Climate Data'!$A$7:$A$366,'Estimator'!$B$4,'Climate Data'!$B$7:$B$366,C4395)</x:f>
        <x:v>8.596428571428572</x:v>
      </x:c>
      <x:c r="J4395" s="381" t="n">
        <x:f>SUMIFS('Wind Proxy'!$H$8:$H$19,'Wind Proxy'!$A$8:$A$19,'Estimator'!$B$4,'Wind Proxy'!$B$8:$B$19,C4395)</x:f>
        <x:v>0.12544802867383514</x:v>
      </x:c>
    </x:row>
    <x:row r="4396">
      <x:c r="A4396" s="379" t="n">
        <x:v>50047</x:v>
      </x:c>
      <x:c r="B4396" s="380" t="n">
        <x:v>2037</x:v>
      </x:c>
      <x:c r="C4396" s="380" t="n">
        <x:v>1</x:v>
      </x:c>
      <x:c r="D4396" s="380" t="str">
        <x:v>Jan</x:v>
      </x:c>
      <x:c r="E4396" s="380" t="n">
        <x:v>7</x:v>
      </x:c>
      <x:c r="F4396" s="380" t="n">
        <x:v>3</x:v>
      </x:c>
      <x:c r="G4396" s="380" t="n">
        <x:f>--(F4396&lt;='Estimator'!$B$7)</x:f>
        <x:v>1</x:v>
      </x:c>
      <x:c r="H4396" s="381" t="n">
        <x:f>SUMIFS('Climate Data'!$G$7:$G$366,'Climate Data'!$A$7:$A$366,'Estimator'!$B$4,'Climate Data'!$B$7:$B$366,C4396)</x:f>
        <x:v>0.21802002224694106</x:v>
      </x:c>
      <x:c r="I4396" s="382" t="n">
        <x:f>SUMIFS('Climate Data'!$H$7:$H$366,'Climate Data'!$A$7:$A$366,'Estimator'!$B$4,'Climate Data'!$B$7:$B$366,C4396)</x:f>
        <x:v>8.596428571428572</x:v>
      </x:c>
      <x:c r="J4396" s="381" t="n">
        <x:f>SUMIFS('Wind Proxy'!$H$8:$H$19,'Wind Proxy'!$A$8:$A$19,'Estimator'!$B$4,'Wind Proxy'!$B$8:$B$19,C4396)</x:f>
        <x:v>0.12544802867383514</x:v>
      </x:c>
    </x:row>
    <x:row r="4397">
      <x:c r="A4397" s="379" t="n">
        <x:v>50048</x:v>
      </x:c>
      <x:c r="B4397" s="380" t="n">
        <x:v>2037</x:v>
      </x:c>
      <x:c r="C4397" s="380" t="n">
        <x:v>1</x:v>
      </x:c>
      <x:c r="D4397" s="380" t="str">
        <x:v>Jan</x:v>
      </x:c>
      <x:c r="E4397" s="380" t="n">
        <x:v>8</x:v>
      </x:c>
      <x:c r="F4397" s="380" t="n">
        <x:v>4</x:v>
      </x:c>
      <x:c r="G4397" s="380" t="n">
        <x:f>--(F4397&lt;='Estimator'!$B$7)</x:f>
        <x:v>1</x:v>
      </x:c>
      <x:c r="H4397" s="381" t="n">
        <x:f>SUMIFS('Climate Data'!$G$7:$G$366,'Climate Data'!$A$7:$A$366,'Estimator'!$B$4,'Climate Data'!$B$7:$B$366,C4397)</x:f>
        <x:v>0.21802002224694106</x:v>
      </x:c>
      <x:c r="I4397" s="382" t="n">
        <x:f>SUMIFS('Climate Data'!$H$7:$H$366,'Climate Data'!$A$7:$A$366,'Estimator'!$B$4,'Climate Data'!$B$7:$B$366,C4397)</x:f>
        <x:v>8.596428571428572</x:v>
      </x:c>
      <x:c r="J4397" s="381" t="n">
        <x:f>SUMIFS('Wind Proxy'!$H$8:$H$19,'Wind Proxy'!$A$8:$A$19,'Estimator'!$B$4,'Wind Proxy'!$B$8:$B$19,C4397)</x:f>
        <x:v>0.12544802867383514</x:v>
      </x:c>
    </x:row>
    <x:row r="4398">
      <x:c r="A4398" s="379" t="n">
        <x:v>50049</x:v>
      </x:c>
      <x:c r="B4398" s="380" t="n">
        <x:v>2037</x:v>
      </x:c>
      <x:c r="C4398" s="380" t="n">
        <x:v>1</x:v>
      </x:c>
      <x:c r="D4398" s="380" t="str">
        <x:v>Jan</x:v>
      </x:c>
      <x:c r="E4398" s="380" t="n">
        <x:v>9</x:v>
      </x:c>
      <x:c r="F4398" s="380" t="n">
        <x:v>5</x:v>
      </x:c>
      <x:c r="G4398" s="380" t="n">
        <x:f>--(F4398&lt;='Estimator'!$B$7)</x:f>
        <x:v>1</x:v>
      </x:c>
      <x:c r="H4398" s="381" t="n">
        <x:f>SUMIFS('Climate Data'!$G$7:$G$366,'Climate Data'!$A$7:$A$366,'Estimator'!$B$4,'Climate Data'!$B$7:$B$366,C4398)</x:f>
        <x:v>0.21802002224694106</x:v>
      </x:c>
      <x:c r="I4398" s="382" t="n">
        <x:f>SUMIFS('Climate Data'!$H$7:$H$366,'Climate Data'!$A$7:$A$366,'Estimator'!$B$4,'Climate Data'!$B$7:$B$366,C4398)</x:f>
        <x:v>8.596428571428572</x:v>
      </x:c>
      <x:c r="J4398" s="381" t="n">
        <x:f>SUMIFS('Wind Proxy'!$H$8:$H$19,'Wind Proxy'!$A$8:$A$19,'Estimator'!$B$4,'Wind Proxy'!$B$8:$B$19,C4398)</x:f>
        <x:v>0.12544802867383514</x:v>
      </x:c>
    </x:row>
    <x:row r="4399">
      <x:c r="A4399" s="379" t="n">
        <x:v>50050</x:v>
      </x:c>
      <x:c r="B4399" s="380" t="n">
        <x:v>2037</x:v>
      </x:c>
      <x:c r="C4399" s="380" t="n">
        <x:v>1</x:v>
      </x:c>
      <x:c r="D4399" s="380" t="str">
        <x:v>Jan</x:v>
      </x:c>
      <x:c r="E4399" s="380" t="n">
        <x:v>10</x:v>
      </x:c>
      <x:c r="F4399" s="380" t="n">
        <x:v>6</x:v>
      </x:c>
      <x:c r="G4399" s="380" t="n">
        <x:f>--(F4399&lt;='Estimator'!$B$7)</x:f>
        <x:v>0</x:v>
      </x:c>
      <x:c r="H4399" s="381" t="n">
        <x:f>SUMIFS('Climate Data'!$G$7:$G$366,'Climate Data'!$A$7:$A$366,'Estimator'!$B$4,'Climate Data'!$B$7:$B$366,C4399)</x:f>
        <x:v>0.21802002224694106</x:v>
      </x:c>
      <x:c r="I4399" s="382" t="n">
        <x:f>SUMIFS('Climate Data'!$H$7:$H$366,'Climate Data'!$A$7:$A$366,'Estimator'!$B$4,'Climate Data'!$B$7:$B$366,C4399)</x:f>
        <x:v>8.596428571428572</x:v>
      </x:c>
      <x:c r="J4399" s="381" t="n">
        <x:f>SUMIFS('Wind Proxy'!$H$8:$H$19,'Wind Proxy'!$A$8:$A$19,'Estimator'!$B$4,'Wind Proxy'!$B$8:$B$19,C4399)</x:f>
        <x:v>0.12544802867383514</x:v>
      </x:c>
    </x:row>
    <x:row r="4400">
      <x:c r="A4400" s="379" t="n">
        <x:v>50051</x:v>
      </x:c>
      <x:c r="B4400" s="380" t="n">
        <x:v>2037</x:v>
      </x:c>
      <x:c r="C4400" s="380" t="n">
        <x:v>1</x:v>
      </x:c>
      <x:c r="D4400" s="380" t="str">
        <x:v>Jan</x:v>
      </x:c>
      <x:c r="E4400" s="380" t="n">
        <x:v>11</x:v>
      </x:c>
      <x:c r="F4400" s="380" t="n">
        <x:v>7</x:v>
      </x:c>
      <x:c r="G4400" s="380" t="n">
        <x:f>--(F4400&lt;='Estimator'!$B$7)</x:f>
        <x:v>0</x:v>
      </x:c>
      <x:c r="H4400" s="381" t="n">
        <x:f>SUMIFS('Climate Data'!$G$7:$G$366,'Climate Data'!$A$7:$A$366,'Estimator'!$B$4,'Climate Data'!$B$7:$B$366,C4400)</x:f>
        <x:v>0.21802002224694106</x:v>
      </x:c>
      <x:c r="I4400" s="382" t="n">
        <x:f>SUMIFS('Climate Data'!$H$7:$H$366,'Climate Data'!$A$7:$A$366,'Estimator'!$B$4,'Climate Data'!$B$7:$B$366,C4400)</x:f>
        <x:v>8.596428571428572</x:v>
      </x:c>
      <x:c r="J4400" s="381" t="n">
        <x:f>SUMIFS('Wind Proxy'!$H$8:$H$19,'Wind Proxy'!$A$8:$A$19,'Estimator'!$B$4,'Wind Proxy'!$B$8:$B$19,C4400)</x:f>
        <x:v>0.12544802867383514</x:v>
      </x:c>
    </x:row>
    <x:row r="4401">
      <x:c r="A4401" s="379" t="n">
        <x:v>50052</x:v>
      </x:c>
      <x:c r="B4401" s="380" t="n">
        <x:v>2037</x:v>
      </x:c>
      <x:c r="C4401" s="380" t="n">
        <x:v>1</x:v>
      </x:c>
      <x:c r="D4401" s="380" t="str">
        <x:v>Jan</x:v>
      </x:c>
      <x:c r="E4401" s="380" t="n">
        <x:v>12</x:v>
      </x:c>
      <x:c r="F4401" s="380" t="n">
        <x:v>1</x:v>
      </x:c>
      <x:c r="G4401" s="380" t="n">
        <x:f>--(F4401&lt;='Estimator'!$B$7)</x:f>
        <x:v>1</x:v>
      </x:c>
      <x:c r="H4401" s="381" t="n">
        <x:f>SUMIFS('Climate Data'!$G$7:$G$366,'Climate Data'!$A$7:$A$366,'Estimator'!$B$4,'Climate Data'!$B$7:$B$366,C4401)</x:f>
        <x:v>0.21802002224694106</x:v>
      </x:c>
      <x:c r="I4401" s="382" t="n">
        <x:f>SUMIFS('Climate Data'!$H$7:$H$366,'Climate Data'!$A$7:$A$366,'Estimator'!$B$4,'Climate Data'!$B$7:$B$366,C4401)</x:f>
        <x:v>8.596428571428572</x:v>
      </x:c>
      <x:c r="J4401" s="381" t="n">
        <x:f>SUMIFS('Wind Proxy'!$H$8:$H$19,'Wind Proxy'!$A$8:$A$19,'Estimator'!$B$4,'Wind Proxy'!$B$8:$B$19,C4401)</x:f>
        <x:v>0.12544802867383514</x:v>
      </x:c>
    </x:row>
    <x:row r="4402">
      <x:c r="A4402" s="379" t="n">
        <x:v>50053</x:v>
      </x:c>
      <x:c r="B4402" s="380" t="n">
        <x:v>2037</x:v>
      </x:c>
      <x:c r="C4402" s="380" t="n">
        <x:v>1</x:v>
      </x:c>
      <x:c r="D4402" s="380" t="str">
        <x:v>Jan</x:v>
      </x:c>
      <x:c r="E4402" s="380" t="n">
        <x:v>13</x:v>
      </x:c>
      <x:c r="F4402" s="380" t="n">
        <x:v>2</x:v>
      </x:c>
      <x:c r="G4402" s="380" t="n">
        <x:f>--(F4402&lt;='Estimator'!$B$7)</x:f>
        <x:v>1</x:v>
      </x:c>
      <x:c r="H4402" s="381" t="n">
        <x:f>SUMIFS('Climate Data'!$G$7:$G$366,'Climate Data'!$A$7:$A$366,'Estimator'!$B$4,'Climate Data'!$B$7:$B$366,C4402)</x:f>
        <x:v>0.21802002224694106</x:v>
      </x:c>
      <x:c r="I4402" s="382" t="n">
        <x:f>SUMIFS('Climate Data'!$H$7:$H$366,'Climate Data'!$A$7:$A$366,'Estimator'!$B$4,'Climate Data'!$B$7:$B$366,C4402)</x:f>
        <x:v>8.596428571428572</x:v>
      </x:c>
      <x:c r="J4402" s="381" t="n">
        <x:f>SUMIFS('Wind Proxy'!$H$8:$H$19,'Wind Proxy'!$A$8:$A$19,'Estimator'!$B$4,'Wind Proxy'!$B$8:$B$19,C4402)</x:f>
        <x:v>0.12544802867383514</x:v>
      </x:c>
    </x:row>
    <x:row r="4403">
      <x:c r="A4403" s="379" t="n">
        <x:v>50054</x:v>
      </x:c>
      <x:c r="B4403" s="380" t="n">
        <x:v>2037</x:v>
      </x:c>
      <x:c r="C4403" s="380" t="n">
        <x:v>1</x:v>
      </x:c>
      <x:c r="D4403" s="380" t="str">
        <x:v>Jan</x:v>
      </x:c>
      <x:c r="E4403" s="380" t="n">
        <x:v>14</x:v>
      </x:c>
      <x:c r="F4403" s="380" t="n">
        <x:v>3</x:v>
      </x:c>
      <x:c r="G4403" s="380" t="n">
        <x:f>--(F4403&lt;='Estimator'!$B$7)</x:f>
        <x:v>1</x:v>
      </x:c>
      <x:c r="H4403" s="381" t="n">
        <x:f>SUMIFS('Climate Data'!$G$7:$G$366,'Climate Data'!$A$7:$A$366,'Estimator'!$B$4,'Climate Data'!$B$7:$B$366,C4403)</x:f>
        <x:v>0.21802002224694106</x:v>
      </x:c>
      <x:c r="I4403" s="382" t="n">
        <x:f>SUMIFS('Climate Data'!$H$7:$H$366,'Climate Data'!$A$7:$A$366,'Estimator'!$B$4,'Climate Data'!$B$7:$B$366,C4403)</x:f>
        <x:v>8.596428571428572</x:v>
      </x:c>
      <x:c r="J4403" s="381" t="n">
        <x:f>SUMIFS('Wind Proxy'!$H$8:$H$19,'Wind Proxy'!$A$8:$A$19,'Estimator'!$B$4,'Wind Proxy'!$B$8:$B$19,C4403)</x:f>
        <x:v>0.12544802867383514</x:v>
      </x:c>
    </x:row>
    <x:row r="4404">
      <x:c r="A4404" s="379" t="n">
        <x:v>50055</x:v>
      </x:c>
      <x:c r="B4404" s="380" t="n">
        <x:v>2037</x:v>
      </x:c>
      <x:c r="C4404" s="380" t="n">
        <x:v>1</x:v>
      </x:c>
      <x:c r="D4404" s="380" t="str">
        <x:v>Jan</x:v>
      </x:c>
      <x:c r="E4404" s="380" t="n">
        <x:v>15</x:v>
      </x:c>
      <x:c r="F4404" s="380" t="n">
        <x:v>4</x:v>
      </x:c>
      <x:c r="G4404" s="380" t="n">
        <x:f>--(F4404&lt;='Estimator'!$B$7)</x:f>
        <x:v>1</x:v>
      </x:c>
      <x:c r="H4404" s="381" t="n">
        <x:f>SUMIFS('Climate Data'!$G$7:$G$366,'Climate Data'!$A$7:$A$366,'Estimator'!$B$4,'Climate Data'!$B$7:$B$366,C4404)</x:f>
        <x:v>0.21802002224694106</x:v>
      </x:c>
      <x:c r="I4404" s="382" t="n">
        <x:f>SUMIFS('Climate Data'!$H$7:$H$366,'Climate Data'!$A$7:$A$366,'Estimator'!$B$4,'Climate Data'!$B$7:$B$366,C4404)</x:f>
        <x:v>8.596428571428572</x:v>
      </x:c>
      <x:c r="J4404" s="381" t="n">
        <x:f>SUMIFS('Wind Proxy'!$H$8:$H$19,'Wind Proxy'!$A$8:$A$19,'Estimator'!$B$4,'Wind Proxy'!$B$8:$B$19,C4404)</x:f>
        <x:v>0.12544802867383514</x:v>
      </x:c>
    </x:row>
    <x:row r="4405">
      <x:c r="A4405" s="379" t="n">
        <x:v>50056</x:v>
      </x:c>
      <x:c r="B4405" s="380" t="n">
        <x:v>2037</x:v>
      </x:c>
      <x:c r="C4405" s="380" t="n">
        <x:v>1</x:v>
      </x:c>
      <x:c r="D4405" s="380" t="str">
        <x:v>Jan</x:v>
      </x:c>
      <x:c r="E4405" s="380" t="n">
        <x:v>16</x:v>
      </x:c>
      <x:c r="F4405" s="380" t="n">
        <x:v>5</x:v>
      </x:c>
      <x:c r="G4405" s="380" t="n">
        <x:f>--(F4405&lt;='Estimator'!$B$7)</x:f>
        <x:v>1</x:v>
      </x:c>
      <x:c r="H4405" s="381" t="n">
        <x:f>SUMIFS('Climate Data'!$G$7:$G$366,'Climate Data'!$A$7:$A$366,'Estimator'!$B$4,'Climate Data'!$B$7:$B$366,C4405)</x:f>
        <x:v>0.21802002224694106</x:v>
      </x:c>
      <x:c r="I4405" s="382" t="n">
        <x:f>SUMIFS('Climate Data'!$H$7:$H$366,'Climate Data'!$A$7:$A$366,'Estimator'!$B$4,'Climate Data'!$B$7:$B$366,C4405)</x:f>
        <x:v>8.596428571428572</x:v>
      </x:c>
      <x:c r="J4405" s="381" t="n">
        <x:f>SUMIFS('Wind Proxy'!$H$8:$H$19,'Wind Proxy'!$A$8:$A$19,'Estimator'!$B$4,'Wind Proxy'!$B$8:$B$19,C4405)</x:f>
        <x:v>0.12544802867383514</x:v>
      </x:c>
    </x:row>
    <x:row r="4406">
      <x:c r="A4406" s="379" t="n">
        <x:v>50057</x:v>
      </x:c>
      <x:c r="B4406" s="380" t="n">
        <x:v>2037</x:v>
      </x:c>
      <x:c r="C4406" s="380" t="n">
        <x:v>1</x:v>
      </x:c>
      <x:c r="D4406" s="380" t="str">
        <x:v>Jan</x:v>
      </x:c>
      <x:c r="E4406" s="380" t="n">
        <x:v>17</x:v>
      </x:c>
      <x:c r="F4406" s="380" t="n">
        <x:v>6</x:v>
      </x:c>
      <x:c r="G4406" s="380" t="n">
        <x:f>--(F4406&lt;='Estimator'!$B$7)</x:f>
        <x:v>0</x:v>
      </x:c>
      <x:c r="H4406" s="381" t="n">
        <x:f>SUMIFS('Climate Data'!$G$7:$G$366,'Climate Data'!$A$7:$A$366,'Estimator'!$B$4,'Climate Data'!$B$7:$B$366,C4406)</x:f>
        <x:v>0.21802002224694106</x:v>
      </x:c>
      <x:c r="I4406" s="382" t="n">
        <x:f>SUMIFS('Climate Data'!$H$7:$H$366,'Climate Data'!$A$7:$A$366,'Estimator'!$B$4,'Climate Data'!$B$7:$B$366,C4406)</x:f>
        <x:v>8.596428571428572</x:v>
      </x:c>
      <x:c r="J4406" s="381" t="n">
        <x:f>SUMIFS('Wind Proxy'!$H$8:$H$19,'Wind Proxy'!$A$8:$A$19,'Estimator'!$B$4,'Wind Proxy'!$B$8:$B$19,C4406)</x:f>
        <x:v>0.12544802867383514</x:v>
      </x:c>
    </x:row>
    <x:row r="4407">
      <x:c r="A4407" s="379" t="n">
        <x:v>50058</x:v>
      </x:c>
      <x:c r="B4407" s="380" t="n">
        <x:v>2037</x:v>
      </x:c>
      <x:c r="C4407" s="380" t="n">
        <x:v>1</x:v>
      </x:c>
      <x:c r="D4407" s="380" t="str">
        <x:v>Jan</x:v>
      </x:c>
      <x:c r="E4407" s="380" t="n">
        <x:v>18</x:v>
      </x:c>
      <x:c r="F4407" s="380" t="n">
        <x:v>7</x:v>
      </x:c>
      <x:c r="G4407" s="380" t="n">
        <x:f>--(F4407&lt;='Estimator'!$B$7)</x:f>
        <x:v>0</x:v>
      </x:c>
      <x:c r="H4407" s="381" t="n">
        <x:f>SUMIFS('Climate Data'!$G$7:$G$366,'Climate Data'!$A$7:$A$366,'Estimator'!$B$4,'Climate Data'!$B$7:$B$366,C4407)</x:f>
        <x:v>0.21802002224694106</x:v>
      </x:c>
      <x:c r="I4407" s="382" t="n">
        <x:f>SUMIFS('Climate Data'!$H$7:$H$366,'Climate Data'!$A$7:$A$366,'Estimator'!$B$4,'Climate Data'!$B$7:$B$366,C4407)</x:f>
        <x:v>8.596428571428572</x:v>
      </x:c>
      <x:c r="J4407" s="381" t="n">
        <x:f>SUMIFS('Wind Proxy'!$H$8:$H$19,'Wind Proxy'!$A$8:$A$19,'Estimator'!$B$4,'Wind Proxy'!$B$8:$B$19,C4407)</x:f>
        <x:v>0.12544802867383514</x:v>
      </x:c>
    </x:row>
    <x:row r="4408">
      <x:c r="A4408" s="379" t="n">
        <x:v>50059</x:v>
      </x:c>
      <x:c r="B4408" s="380" t="n">
        <x:v>2037</x:v>
      </x:c>
      <x:c r="C4408" s="380" t="n">
        <x:v>1</x:v>
      </x:c>
      <x:c r="D4408" s="380" t="str">
        <x:v>Jan</x:v>
      </x:c>
      <x:c r="E4408" s="380" t="n">
        <x:v>19</x:v>
      </x:c>
      <x:c r="F4408" s="380" t="n">
        <x:v>1</x:v>
      </x:c>
      <x:c r="G4408" s="380" t="n">
        <x:f>--(F4408&lt;='Estimator'!$B$7)</x:f>
        <x:v>1</x:v>
      </x:c>
      <x:c r="H4408" s="381" t="n">
        <x:f>SUMIFS('Climate Data'!$G$7:$G$366,'Climate Data'!$A$7:$A$366,'Estimator'!$B$4,'Climate Data'!$B$7:$B$366,C4408)</x:f>
        <x:v>0.21802002224694106</x:v>
      </x:c>
      <x:c r="I4408" s="382" t="n">
        <x:f>SUMIFS('Climate Data'!$H$7:$H$366,'Climate Data'!$A$7:$A$366,'Estimator'!$B$4,'Climate Data'!$B$7:$B$366,C4408)</x:f>
        <x:v>8.596428571428572</x:v>
      </x:c>
      <x:c r="J4408" s="381" t="n">
        <x:f>SUMIFS('Wind Proxy'!$H$8:$H$19,'Wind Proxy'!$A$8:$A$19,'Estimator'!$B$4,'Wind Proxy'!$B$8:$B$19,C4408)</x:f>
        <x:v>0.12544802867383514</x:v>
      </x:c>
    </x:row>
    <x:row r="4409">
      <x:c r="A4409" s="379" t="n">
        <x:v>50060</x:v>
      </x:c>
      <x:c r="B4409" s="380" t="n">
        <x:v>2037</x:v>
      </x:c>
      <x:c r="C4409" s="380" t="n">
        <x:v>1</x:v>
      </x:c>
      <x:c r="D4409" s="380" t="str">
        <x:v>Jan</x:v>
      </x:c>
      <x:c r="E4409" s="380" t="n">
        <x:v>20</x:v>
      </x:c>
      <x:c r="F4409" s="380" t="n">
        <x:v>2</x:v>
      </x:c>
      <x:c r="G4409" s="380" t="n">
        <x:f>--(F4409&lt;='Estimator'!$B$7)</x:f>
        <x:v>1</x:v>
      </x:c>
      <x:c r="H4409" s="381" t="n">
        <x:f>SUMIFS('Climate Data'!$G$7:$G$366,'Climate Data'!$A$7:$A$366,'Estimator'!$B$4,'Climate Data'!$B$7:$B$366,C4409)</x:f>
        <x:v>0.21802002224694106</x:v>
      </x:c>
      <x:c r="I4409" s="382" t="n">
        <x:f>SUMIFS('Climate Data'!$H$7:$H$366,'Climate Data'!$A$7:$A$366,'Estimator'!$B$4,'Climate Data'!$B$7:$B$366,C4409)</x:f>
        <x:v>8.596428571428572</x:v>
      </x:c>
      <x:c r="J4409" s="381" t="n">
        <x:f>SUMIFS('Wind Proxy'!$H$8:$H$19,'Wind Proxy'!$A$8:$A$19,'Estimator'!$B$4,'Wind Proxy'!$B$8:$B$19,C4409)</x:f>
        <x:v>0.12544802867383514</x:v>
      </x:c>
    </x:row>
    <x:row r="4410">
      <x:c r="A4410" s="379" t="n">
        <x:v>50061</x:v>
      </x:c>
      <x:c r="B4410" s="380" t="n">
        <x:v>2037</x:v>
      </x:c>
      <x:c r="C4410" s="380" t="n">
        <x:v>1</x:v>
      </x:c>
      <x:c r="D4410" s="380" t="str">
        <x:v>Jan</x:v>
      </x:c>
      <x:c r="E4410" s="380" t="n">
        <x:v>21</x:v>
      </x:c>
      <x:c r="F4410" s="380" t="n">
        <x:v>3</x:v>
      </x:c>
      <x:c r="G4410" s="380" t="n">
        <x:f>--(F4410&lt;='Estimator'!$B$7)</x:f>
        <x:v>1</x:v>
      </x:c>
      <x:c r="H4410" s="381" t="n">
        <x:f>SUMIFS('Climate Data'!$G$7:$G$366,'Climate Data'!$A$7:$A$366,'Estimator'!$B$4,'Climate Data'!$B$7:$B$366,C4410)</x:f>
        <x:v>0.21802002224694106</x:v>
      </x:c>
      <x:c r="I4410" s="382" t="n">
        <x:f>SUMIFS('Climate Data'!$H$7:$H$366,'Climate Data'!$A$7:$A$366,'Estimator'!$B$4,'Climate Data'!$B$7:$B$366,C4410)</x:f>
        <x:v>8.596428571428572</x:v>
      </x:c>
      <x:c r="J4410" s="381" t="n">
        <x:f>SUMIFS('Wind Proxy'!$H$8:$H$19,'Wind Proxy'!$A$8:$A$19,'Estimator'!$B$4,'Wind Proxy'!$B$8:$B$19,C4410)</x:f>
        <x:v>0.12544802867383514</x:v>
      </x:c>
    </x:row>
    <x:row r="4411">
      <x:c r="A4411" s="379" t="n">
        <x:v>50062</x:v>
      </x:c>
      <x:c r="B4411" s="380" t="n">
        <x:v>2037</x:v>
      </x:c>
      <x:c r="C4411" s="380" t="n">
        <x:v>1</x:v>
      </x:c>
      <x:c r="D4411" s="380" t="str">
        <x:v>Jan</x:v>
      </x:c>
      <x:c r="E4411" s="380" t="n">
        <x:v>22</x:v>
      </x:c>
      <x:c r="F4411" s="380" t="n">
        <x:v>4</x:v>
      </x:c>
      <x:c r="G4411" s="380" t="n">
        <x:f>--(F4411&lt;='Estimator'!$B$7)</x:f>
        <x:v>1</x:v>
      </x:c>
      <x:c r="H4411" s="381" t="n">
        <x:f>SUMIFS('Climate Data'!$G$7:$G$366,'Climate Data'!$A$7:$A$366,'Estimator'!$B$4,'Climate Data'!$B$7:$B$366,C4411)</x:f>
        <x:v>0.21802002224694106</x:v>
      </x:c>
      <x:c r="I4411" s="382" t="n">
        <x:f>SUMIFS('Climate Data'!$H$7:$H$366,'Climate Data'!$A$7:$A$366,'Estimator'!$B$4,'Climate Data'!$B$7:$B$366,C4411)</x:f>
        <x:v>8.596428571428572</x:v>
      </x:c>
      <x:c r="J4411" s="381" t="n">
        <x:f>SUMIFS('Wind Proxy'!$H$8:$H$19,'Wind Proxy'!$A$8:$A$19,'Estimator'!$B$4,'Wind Proxy'!$B$8:$B$19,C4411)</x:f>
        <x:v>0.12544802867383514</x:v>
      </x:c>
    </x:row>
    <x:row r="4412">
      <x:c r="A4412" s="379" t="n">
        <x:v>50063</x:v>
      </x:c>
      <x:c r="B4412" s="380" t="n">
        <x:v>2037</x:v>
      </x:c>
      <x:c r="C4412" s="380" t="n">
        <x:v>1</x:v>
      </x:c>
      <x:c r="D4412" s="380" t="str">
        <x:v>Jan</x:v>
      </x:c>
      <x:c r="E4412" s="380" t="n">
        <x:v>23</x:v>
      </x:c>
      <x:c r="F4412" s="380" t="n">
        <x:v>5</x:v>
      </x:c>
      <x:c r="G4412" s="380" t="n">
        <x:f>--(F4412&lt;='Estimator'!$B$7)</x:f>
        <x:v>1</x:v>
      </x:c>
      <x:c r="H4412" s="381" t="n">
        <x:f>SUMIFS('Climate Data'!$G$7:$G$366,'Climate Data'!$A$7:$A$366,'Estimator'!$B$4,'Climate Data'!$B$7:$B$366,C4412)</x:f>
        <x:v>0.21802002224694106</x:v>
      </x:c>
      <x:c r="I4412" s="382" t="n">
        <x:f>SUMIFS('Climate Data'!$H$7:$H$366,'Climate Data'!$A$7:$A$366,'Estimator'!$B$4,'Climate Data'!$B$7:$B$366,C4412)</x:f>
        <x:v>8.596428571428572</x:v>
      </x:c>
      <x:c r="J4412" s="381" t="n">
        <x:f>SUMIFS('Wind Proxy'!$H$8:$H$19,'Wind Proxy'!$A$8:$A$19,'Estimator'!$B$4,'Wind Proxy'!$B$8:$B$19,C4412)</x:f>
        <x:v>0.12544802867383514</x:v>
      </x:c>
    </x:row>
    <x:row r="4413">
      <x:c r="A4413" s="379" t="n">
        <x:v>50064</x:v>
      </x:c>
      <x:c r="B4413" s="380" t="n">
        <x:v>2037</x:v>
      </x:c>
      <x:c r="C4413" s="380" t="n">
        <x:v>1</x:v>
      </x:c>
      <x:c r="D4413" s="380" t="str">
        <x:v>Jan</x:v>
      </x:c>
      <x:c r="E4413" s="380" t="n">
        <x:v>24</x:v>
      </x:c>
      <x:c r="F4413" s="380" t="n">
        <x:v>6</x:v>
      </x:c>
      <x:c r="G4413" s="380" t="n">
        <x:f>--(F4413&lt;='Estimator'!$B$7)</x:f>
        <x:v>0</x:v>
      </x:c>
      <x:c r="H4413" s="381" t="n">
        <x:f>SUMIFS('Climate Data'!$G$7:$G$366,'Climate Data'!$A$7:$A$366,'Estimator'!$B$4,'Climate Data'!$B$7:$B$366,C4413)</x:f>
        <x:v>0.21802002224694106</x:v>
      </x:c>
      <x:c r="I4413" s="382" t="n">
        <x:f>SUMIFS('Climate Data'!$H$7:$H$366,'Climate Data'!$A$7:$A$366,'Estimator'!$B$4,'Climate Data'!$B$7:$B$366,C4413)</x:f>
        <x:v>8.596428571428572</x:v>
      </x:c>
      <x:c r="J4413" s="381" t="n">
        <x:f>SUMIFS('Wind Proxy'!$H$8:$H$19,'Wind Proxy'!$A$8:$A$19,'Estimator'!$B$4,'Wind Proxy'!$B$8:$B$19,C4413)</x:f>
        <x:v>0.12544802867383514</x:v>
      </x:c>
    </x:row>
    <x:row r="4414">
      <x:c r="A4414" s="379" t="n">
        <x:v>50065</x:v>
      </x:c>
      <x:c r="B4414" s="380" t="n">
        <x:v>2037</x:v>
      </x:c>
      <x:c r="C4414" s="380" t="n">
        <x:v>1</x:v>
      </x:c>
      <x:c r="D4414" s="380" t="str">
        <x:v>Jan</x:v>
      </x:c>
      <x:c r="E4414" s="380" t="n">
        <x:v>25</x:v>
      </x:c>
      <x:c r="F4414" s="380" t="n">
        <x:v>7</x:v>
      </x:c>
      <x:c r="G4414" s="380" t="n">
        <x:f>--(F4414&lt;='Estimator'!$B$7)</x:f>
        <x:v>0</x:v>
      </x:c>
      <x:c r="H4414" s="381" t="n">
        <x:f>SUMIFS('Climate Data'!$G$7:$G$366,'Climate Data'!$A$7:$A$366,'Estimator'!$B$4,'Climate Data'!$B$7:$B$366,C4414)</x:f>
        <x:v>0.21802002224694106</x:v>
      </x:c>
      <x:c r="I4414" s="382" t="n">
        <x:f>SUMIFS('Climate Data'!$H$7:$H$366,'Climate Data'!$A$7:$A$366,'Estimator'!$B$4,'Climate Data'!$B$7:$B$366,C4414)</x:f>
        <x:v>8.596428571428572</x:v>
      </x:c>
      <x:c r="J4414" s="381" t="n">
        <x:f>SUMIFS('Wind Proxy'!$H$8:$H$19,'Wind Proxy'!$A$8:$A$19,'Estimator'!$B$4,'Wind Proxy'!$B$8:$B$19,C4414)</x:f>
        <x:v>0.12544802867383514</x:v>
      </x:c>
    </x:row>
    <x:row r="4415">
      <x:c r="A4415" s="379" t="n">
        <x:v>50066</x:v>
      </x:c>
      <x:c r="B4415" s="380" t="n">
        <x:v>2037</x:v>
      </x:c>
      <x:c r="C4415" s="380" t="n">
        <x:v>1</x:v>
      </x:c>
      <x:c r="D4415" s="380" t="str">
        <x:v>Jan</x:v>
      </x:c>
      <x:c r="E4415" s="380" t="n">
        <x:v>26</x:v>
      </x:c>
      <x:c r="F4415" s="380" t="n">
        <x:v>1</x:v>
      </x:c>
      <x:c r="G4415" s="380" t="n">
        <x:f>--(F4415&lt;='Estimator'!$B$7)</x:f>
        <x:v>1</x:v>
      </x:c>
      <x:c r="H4415" s="381" t="n">
        <x:f>SUMIFS('Climate Data'!$G$7:$G$366,'Climate Data'!$A$7:$A$366,'Estimator'!$B$4,'Climate Data'!$B$7:$B$366,C4415)</x:f>
        <x:v>0.21802002224694106</x:v>
      </x:c>
      <x:c r="I4415" s="382" t="n">
        <x:f>SUMIFS('Climate Data'!$H$7:$H$366,'Climate Data'!$A$7:$A$366,'Estimator'!$B$4,'Climate Data'!$B$7:$B$366,C4415)</x:f>
        <x:v>8.596428571428572</x:v>
      </x:c>
      <x:c r="J4415" s="381" t="n">
        <x:f>SUMIFS('Wind Proxy'!$H$8:$H$19,'Wind Proxy'!$A$8:$A$19,'Estimator'!$B$4,'Wind Proxy'!$B$8:$B$19,C4415)</x:f>
        <x:v>0.12544802867383514</x:v>
      </x:c>
    </x:row>
    <x:row r="4416">
      <x:c r="A4416" s="379" t="n">
        <x:v>50067</x:v>
      </x:c>
      <x:c r="B4416" s="380" t="n">
        <x:v>2037</x:v>
      </x:c>
      <x:c r="C4416" s="380" t="n">
        <x:v>1</x:v>
      </x:c>
      <x:c r="D4416" s="380" t="str">
        <x:v>Jan</x:v>
      </x:c>
      <x:c r="E4416" s="380" t="n">
        <x:v>27</x:v>
      </x:c>
      <x:c r="F4416" s="380" t="n">
        <x:v>2</x:v>
      </x:c>
      <x:c r="G4416" s="380" t="n">
        <x:f>--(F4416&lt;='Estimator'!$B$7)</x:f>
        <x:v>1</x:v>
      </x:c>
      <x:c r="H4416" s="381" t="n">
        <x:f>SUMIFS('Climate Data'!$G$7:$G$366,'Climate Data'!$A$7:$A$366,'Estimator'!$B$4,'Climate Data'!$B$7:$B$366,C4416)</x:f>
        <x:v>0.21802002224694106</x:v>
      </x:c>
      <x:c r="I4416" s="382" t="n">
        <x:f>SUMIFS('Climate Data'!$H$7:$H$366,'Climate Data'!$A$7:$A$366,'Estimator'!$B$4,'Climate Data'!$B$7:$B$366,C4416)</x:f>
        <x:v>8.596428571428572</x:v>
      </x:c>
      <x:c r="J4416" s="381" t="n">
        <x:f>SUMIFS('Wind Proxy'!$H$8:$H$19,'Wind Proxy'!$A$8:$A$19,'Estimator'!$B$4,'Wind Proxy'!$B$8:$B$19,C4416)</x:f>
        <x:v>0.12544802867383514</x:v>
      </x:c>
    </x:row>
    <x:row r="4417">
      <x:c r="A4417" s="379" t="n">
        <x:v>50068</x:v>
      </x:c>
      <x:c r="B4417" s="380" t="n">
        <x:v>2037</x:v>
      </x:c>
      <x:c r="C4417" s="380" t="n">
        <x:v>1</x:v>
      </x:c>
      <x:c r="D4417" s="380" t="str">
        <x:v>Jan</x:v>
      </x:c>
      <x:c r="E4417" s="380" t="n">
        <x:v>28</x:v>
      </x:c>
      <x:c r="F4417" s="380" t="n">
        <x:v>3</x:v>
      </x:c>
      <x:c r="G4417" s="380" t="n">
        <x:f>--(F4417&lt;='Estimator'!$B$7)</x:f>
        <x:v>1</x:v>
      </x:c>
      <x:c r="H4417" s="381" t="n">
        <x:f>SUMIFS('Climate Data'!$G$7:$G$366,'Climate Data'!$A$7:$A$366,'Estimator'!$B$4,'Climate Data'!$B$7:$B$366,C4417)</x:f>
        <x:v>0.21802002224694106</x:v>
      </x:c>
      <x:c r="I4417" s="382" t="n">
        <x:f>SUMIFS('Climate Data'!$H$7:$H$366,'Climate Data'!$A$7:$A$366,'Estimator'!$B$4,'Climate Data'!$B$7:$B$366,C4417)</x:f>
        <x:v>8.596428571428572</x:v>
      </x:c>
      <x:c r="J4417" s="381" t="n">
        <x:f>SUMIFS('Wind Proxy'!$H$8:$H$19,'Wind Proxy'!$A$8:$A$19,'Estimator'!$B$4,'Wind Proxy'!$B$8:$B$19,C4417)</x:f>
        <x:v>0.12544802867383514</x:v>
      </x:c>
    </x:row>
    <x:row r="4418">
      <x:c r="A4418" s="379" t="n">
        <x:v>50069</x:v>
      </x:c>
      <x:c r="B4418" s="380" t="n">
        <x:v>2037</x:v>
      </x:c>
      <x:c r="C4418" s="380" t="n">
        <x:v>1</x:v>
      </x:c>
      <x:c r="D4418" s="380" t="str">
        <x:v>Jan</x:v>
      </x:c>
      <x:c r="E4418" s="380" t="n">
        <x:v>29</x:v>
      </x:c>
      <x:c r="F4418" s="380" t="n">
        <x:v>4</x:v>
      </x:c>
      <x:c r="G4418" s="380" t="n">
        <x:f>--(F4418&lt;='Estimator'!$B$7)</x:f>
        <x:v>1</x:v>
      </x:c>
      <x:c r="H4418" s="381" t="n">
        <x:f>SUMIFS('Climate Data'!$G$7:$G$366,'Climate Data'!$A$7:$A$366,'Estimator'!$B$4,'Climate Data'!$B$7:$B$366,C4418)</x:f>
        <x:v>0.21802002224694106</x:v>
      </x:c>
      <x:c r="I4418" s="382" t="n">
        <x:f>SUMIFS('Climate Data'!$H$7:$H$366,'Climate Data'!$A$7:$A$366,'Estimator'!$B$4,'Climate Data'!$B$7:$B$366,C4418)</x:f>
        <x:v>8.596428571428572</x:v>
      </x:c>
      <x:c r="J4418" s="381" t="n">
        <x:f>SUMIFS('Wind Proxy'!$H$8:$H$19,'Wind Proxy'!$A$8:$A$19,'Estimator'!$B$4,'Wind Proxy'!$B$8:$B$19,C4418)</x:f>
        <x:v>0.12544802867383514</x:v>
      </x:c>
    </x:row>
    <x:row r="4419">
      <x:c r="A4419" s="379" t="n">
        <x:v>50070</x:v>
      </x:c>
      <x:c r="B4419" s="380" t="n">
        <x:v>2037</x:v>
      </x:c>
      <x:c r="C4419" s="380" t="n">
        <x:v>1</x:v>
      </x:c>
      <x:c r="D4419" s="380" t="str">
        <x:v>Jan</x:v>
      </x:c>
      <x:c r="E4419" s="380" t="n">
        <x:v>30</x:v>
      </x:c>
      <x:c r="F4419" s="380" t="n">
        <x:v>5</x:v>
      </x:c>
      <x:c r="G4419" s="380" t="n">
        <x:f>--(F4419&lt;='Estimator'!$B$7)</x:f>
        <x:v>1</x:v>
      </x:c>
      <x:c r="H4419" s="381" t="n">
        <x:f>SUMIFS('Climate Data'!$G$7:$G$366,'Climate Data'!$A$7:$A$366,'Estimator'!$B$4,'Climate Data'!$B$7:$B$366,C4419)</x:f>
        <x:v>0.21802002224694106</x:v>
      </x:c>
      <x:c r="I4419" s="382" t="n">
        <x:f>SUMIFS('Climate Data'!$H$7:$H$366,'Climate Data'!$A$7:$A$366,'Estimator'!$B$4,'Climate Data'!$B$7:$B$366,C4419)</x:f>
        <x:v>8.596428571428572</x:v>
      </x:c>
      <x:c r="J4419" s="381" t="n">
        <x:f>SUMIFS('Wind Proxy'!$H$8:$H$19,'Wind Proxy'!$A$8:$A$19,'Estimator'!$B$4,'Wind Proxy'!$B$8:$B$19,C4419)</x:f>
        <x:v>0.12544802867383514</x:v>
      </x:c>
    </x:row>
    <x:row r="4420">
      <x:c r="A4420" s="379" t="n">
        <x:v>50071</x:v>
      </x:c>
      <x:c r="B4420" s="380" t="n">
        <x:v>2037</x:v>
      </x:c>
      <x:c r="C4420" s="380" t="n">
        <x:v>1</x:v>
      </x:c>
      <x:c r="D4420" s="380" t="str">
        <x:v>Jan</x:v>
      </x:c>
      <x:c r="E4420" s="380" t="n">
        <x:v>31</x:v>
      </x:c>
      <x:c r="F4420" s="380" t="n">
        <x:v>6</x:v>
      </x:c>
      <x:c r="G4420" s="380" t="n">
        <x:f>--(F4420&lt;='Estimator'!$B$7)</x:f>
        <x:v>0</x:v>
      </x:c>
      <x:c r="H4420" s="381" t="n">
        <x:f>SUMIFS('Climate Data'!$G$7:$G$366,'Climate Data'!$A$7:$A$366,'Estimator'!$B$4,'Climate Data'!$B$7:$B$366,C4420)</x:f>
        <x:v>0.21802002224694106</x:v>
      </x:c>
      <x:c r="I4420" s="382" t="n">
        <x:f>SUMIFS('Climate Data'!$H$7:$H$366,'Climate Data'!$A$7:$A$366,'Estimator'!$B$4,'Climate Data'!$B$7:$B$366,C4420)</x:f>
        <x:v>8.596428571428572</x:v>
      </x:c>
      <x:c r="J4420" s="381" t="n">
        <x:f>SUMIFS('Wind Proxy'!$H$8:$H$19,'Wind Proxy'!$A$8:$A$19,'Estimator'!$B$4,'Wind Proxy'!$B$8:$B$19,C4420)</x:f>
        <x:v>0.12544802867383514</x:v>
      </x:c>
    </x:row>
    <x:row r="4421">
      <x:c r="A4421" s="379" t="n">
        <x:v>50072</x:v>
      </x:c>
      <x:c r="B4421" s="380" t="n">
        <x:v>2037</x:v>
      </x:c>
      <x:c r="C4421" s="380" t="n">
        <x:v>2</x:v>
      </x:c>
      <x:c r="D4421" s="380" t="str">
        <x:v>Feb</x:v>
      </x:c>
      <x:c r="E4421" s="380" t="n">
        <x:v>1</x:v>
      </x:c>
      <x:c r="F4421" s="380" t="n">
        <x:v>7</x:v>
      </x:c>
      <x:c r="G4421" s="380" t="n">
        <x:f>--(F4421&lt;='Estimator'!$B$7)</x:f>
        <x:v>0</x:v>
      </x:c>
      <x:c r="H4421" s="381" t="n">
        <x:f>SUMIFS('Climate Data'!$G$7:$G$366,'Climate Data'!$A$7:$A$366,'Estimator'!$B$4,'Climate Data'!$B$7:$B$366,C4421)</x:f>
        <x:v>0.23056278464541316</x:v>
      </x:c>
      <x:c r="I4421" s="382" t="n">
        <x:f>SUMIFS('Climate Data'!$H$7:$H$366,'Climate Data'!$A$7:$A$366,'Estimator'!$B$4,'Climate Data'!$B$7:$B$366,C4421)</x:f>
        <x:v>9.682010582010582</x:v>
      </x:c>
      <x:c r="J4421" s="381" t="n">
        <x:f>SUMIFS('Wind Proxy'!$H$8:$H$19,'Wind Proxy'!$A$8:$A$19,'Estimator'!$B$4,'Wind Proxy'!$B$8:$B$19,C4421)</x:f>
        <x:v>0.13757861635220128</x:v>
      </x:c>
    </x:row>
    <x:row r="4422">
      <x:c r="A4422" s="379" t="n">
        <x:v>50073</x:v>
      </x:c>
      <x:c r="B4422" s="380" t="n">
        <x:v>2037</x:v>
      </x:c>
      <x:c r="C4422" s="380" t="n">
        <x:v>2</x:v>
      </x:c>
      <x:c r="D4422" s="380" t="str">
        <x:v>Feb</x:v>
      </x:c>
      <x:c r="E4422" s="380" t="n">
        <x:v>2</x:v>
      </x:c>
      <x:c r="F4422" s="380" t="n">
        <x:v>1</x:v>
      </x:c>
      <x:c r="G4422" s="380" t="n">
        <x:f>--(F4422&lt;='Estimator'!$B$7)</x:f>
        <x:v>1</x:v>
      </x:c>
      <x:c r="H4422" s="381" t="n">
        <x:f>SUMIFS('Climate Data'!$G$7:$G$366,'Climate Data'!$A$7:$A$366,'Estimator'!$B$4,'Climate Data'!$B$7:$B$366,C4422)</x:f>
        <x:v>0.23056278464541316</x:v>
      </x:c>
      <x:c r="I4422" s="382" t="n">
        <x:f>SUMIFS('Climate Data'!$H$7:$H$366,'Climate Data'!$A$7:$A$366,'Estimator'!$B$4,'Climate Data'!$B$7:$B$366,C4422)</x:f>
        <x:v>9.682010582010582</x:v>
      </x:c>
      <x:c r="J4422" s="381" t="n">
        <x:f>SUMIFS('Wind Proxy'!$H$8:$H$19,'Wind Proxy'!$A$8:$A$19,'Estimator'!$B$4,'Wind Proxy'!$B$8:$B$19,C4422)</x:f>
        <x:v>0.13757861635220128</x:v>
      </x:c>
    </x:row>
    <x:row r="4423">
      <x:c r="A4423" s="379" t="n">
        <x:v>50074</x:v>
      </x:c>
      <x:c r="B4423" s="380" t="n">
        <x:v>2037</x:v>
      </x:c>
      <x:c r="C4423" s="380" t="n">
        <x:v>2</x:v>
      </x:c>
      <x:c r="D4423" s="380" t="str">
        <x:v>Feb</x:v>
      </x:c>
      <x:c r="E4423" s="380" t="n">
        <x:v>3</x:v>
      </x:c>
      <x:c r="F4423" s="380" t="n">
        <x:v>2</x:v>
      </x:c>
      <x:c r="G4423" s="380" t="n">
        <x:f>--(F4423&lt;='Estimator'!$B$7)</x:f>
        <x:v>1</x:v>
      </x:c>
      <x:c r="H4423" s="381" t="n">
        <x:f>SUMIFS('Climate Data'!$G$7:$G$366,'Climate Data'!$A$7:$A$366,'Estimator'!$B$4,'Climate Data'!$B$7:$B$366,C4423)</x:f>
        <x:v>0.23056278464541316</x:v>
      </x:c>
      <x:c r="I4423" s="382" t="n">
        <x:f>SUMIFS('Climate Data'!$H$7:$H$366,'Climate Data'!$A$7:$A$366,'Estimator'!$B$4,'Climate Data'!$B$7:$B$366,C4423)</x:f>
        <x:v>9.682010582010582</x:v>
      </x:c>
      <x:c r="J4423" s="381" t="n">
        <x:f>SUMIFS('Wind Proxy'!$H$8:$H$19,'Wind Proxy'!$A$8:$A$19,'Estimator'!$B$4,'Wind Proxy'!$B$8:$B$19,C4423)</x:f>
        <x:v>0.13757861635220128</x:v>
      </x:c>
    </x:row>
    <x:row r="4424">
      <x:c r="A4424" s="379" t="n">
        <x:v>50075</x:v>
      </x:c>
      <x:c r="B4424" s="380" t="n">
        <x:v>2037</x:v>
      </x:c>
      <x:c r="C4424" s="380" t="n">
        <x:v>2</x:v>
      </x:c>
      <x:c r="D4424" s="380" t="str">
        <x:v>Feb</x:v>
      </x:c>
      <x:c r="E4424" s="380" t="n">
        <x:v>4</x:v>
      </x:c>
      <x:c r="F4424" s="380" t="n">
        <x:v>3</x:v>
      </x:c>
      <x:c r="G4424" s="380" t="n">
        <x:f>--(F4424&lt;='Estimator'!$B$7)</x:f>
        <x:v>1</x:v>
      </x:c>
      <x:c r="H4424" s="381" t="n">
        <x:f>SUMIFS('Climate Data'!$G$7:$G$366,'Climate Data'!$A$7:$A$366,'Estimator'!$B$4,'Climate Data'!$B$7:$B$366,C4424)</x:f>
        <x:v>0.23056278464541316</x:v>
      </x:c>
      <x:c r="I4424" s="382" t="n">
        <x:f>SUMIFS('Climate Data'!$H$7:$H$366,'Climate Data'!$A$7:$A$366,'Estimator'!$B$4,'Climate Data'!$B$7:$B$366,C4424)</x:f>
        <x:v>9.682010582010582</x:v>
      </x:c>
      <x:c r="J4424" s="381" t="n">
        <x:f>SUMIFS('Wind Proxy'!$H$8:$H$19,'Wind Proxy'!$A$8:$A$19,'Estimator'!$B$4,'Wind Proxy'!$B$8:$B$19,C4424)</x:f>
        <x:v>0.13757861635220128</x:v>
      </x:c>
    </x:row>
    <x:row r="4425">
      <x:c r="A4425" s="379" t="n">
        <x:v>50076</x:v>
      </x:c>
      <x:c r="B4425" s="380" t="n">
        <x:v>2037</x:v>
      </x:c>
      <x:c r="C4425" s="380" t="n">
        <x:v>2</x:v>
      </x:c>
      <x:c r="D4425" s="380" t="str">
        <x:v>Feb</x:v>
      </x:c>
      <x:c r="E4425" s="380" t="n">
        <x:v>5</x:v>
      </x:c>
      <x:c r="F4425" s="380" t="n">
        <x:v>4</x:v>
      </x:c>
      <x:c r="G4425" s="380" t="n">
        <x:f>--(F4425&lt;='Estimator'!$B$7)</x:f>
        <x:v>1</x:v>
      </x:c>
      <x:c r="H4425" s="381" t="n">
        <x:f>SUMIFS('Climate Data'!$G$7:$G$366,'Climate Data'!$A$7:$A$366,'Estimator'!$B$4,'Climate Data'!$B$7:$B$366,C4425)</x:f>
        <x:v>0.23056278464541316</x:v>
      </x:c>
      <x:c r="I4425" s="382" t="n">
        <x:f>SUMIFS('Climate Data'!$H$7:$H$366,'Climate Data'!$A$7:$A$366,'Estimator'!$B$4,'Climate Data'!$B$7:$B$366,C4425)</x:f>
        <x:v>9.682010582010582</x:v>
      </x:c>
      <x:c r="J4425" s="381" t="n">
        <x:f>SUMIFS('Wind Proxy'!$H$8:$H$19,'Wind Proxy'!$A$8:$A$19,'Estimator'!$B$4,'Wind Proxy'!$B$8:$B$19,C4425)</x:f>
        <x:v>0.13757861635220128</x:v>
      </x:c>
    </x:row>
    <x:row r="4426">
      <x:c r="A4426" s="379" t="n">
        <x:v>50077</x:v>
      </x:c>
      <x:c r="B4426" s="380" t="n">
        <x:v>2037</x:v>
      </x:c>
      <x:c r="C4426" s="380" t="n">
        <x:v>2</x:v>
      </x:c>
      <x:c r="D4426" s="380" t="str">
        <x:v>Feb</x:v>
      </x:c>
      <x:c r="E4426" s="380" t="n">
        <x:v>6</x:v>
      </x:c>
      <x:c r="F4426" s="380" t="n">
        <x:v>5</x:v>
      </x:c>
      <x:c r="G4426" s="380" t="n">
        <x:f>--(F4426&lt;='Estimator'!$B$7)</x:f>
        <x:v>1</x:v>
      </x:c>
      <x:c r="H4426" s="381" t="n">
        <x:f>SUMIFS('Climate Data'!$G$7:$G$366,'Climate Data'!$A$7:$A$366,'Estimator'!$B$4,'Climate Data'!$B$7:$B$366,C4426)</x:f>
        <x:v>0.23056278464541316</x:v>
      </x:c>
      <x:c r="I4426" s="382" t="n">
        <x:f>SUMIFS('Climate Data'!$H$7:$H$366,'Climate Data'!$A$7:$A$366,'Estimator'!$B$4,'Climate Data'!$B$7:$B$366,C4426)</x:f>
        <x:v>9.682010582010582</x:v>
      </x:c>
      <x:c r="J4426" s="381" t="n">
        <x:f>SUMIFS('Wind Proxy'!$H$8:$H$19,'Wind Proxy'!$A$8:$A$19,'Estimator'!$B$4,'Wind Proxy'!$B$8:$B$19,C4426)</x:f>
        <x:v>0.13757861635220128</x:v>
      </x:c>
    </x:row>
    <x:row r="4427">
      <x:c r="A4427" s="379" t="n">
        <x:v>50078</x:v>
      </x:c>
      <x:c r="B4427" s="380" t="n">
        <x:v>2037</x:v>
      </x:c>
      <x:c r="C4427" s="380" t="n">
        <x:v>2</x:v>
      </x:c>
      <x:c r="D4427" s="380" t="str">
        <x:v>Feb</x:v>
      </x:c>
      <x:c r="E4427" s="380" t="n">
        <x:v>7</x:v>
      </x:c>
      <x:c r="F4427" s="380" t="n">
        <x:v>6</x:v>
      </x:c>
      <x:c r="G4427" s="380" t="n">
        <x:f>--(F4427&lt;='Estimator'!$B$7)</x:f>
        <x:v>0</x:v>
      </x:c>
      <x:c r="H4427" s="381" t="n">
        <x:f>SUMIFS('Climate Data'!$G$7:$G$366,'Climate Data'!$A$7:$A$366,'Estimator'!$B$4,'Climate Data'!$B$7:$B$366,C4427)</x:f>
        <x:v>0.23056278464541316</x:v>
      </x:c>
      <x:c r="I4427" s="382" t="n">
        <x:f>SUMIFS('Climate Data'!$H$7:$H$366,'Climate Data'!$A$7:$A$366,'Estimator'!$B$4,'Climate Data'!$B$7:$B$366,C4427)</x:f>
        <x:v>9.682010582010582</x:v>
      </x:c>
      <x:c r="J4427" s="381" t="n">
        <x:f>SUMIFS('Wind Proxy'!$H$8:$H$19,'Wind Proxy'!$A$8:$A$19,'Estimator'!$B$4,'Wind Proxy'!$B$8:$B$19,C4427)</x:f>
        <x:v>0.13757861635220128</x:v>
      </x:c>
    </x:row>
    <x:row r="4428">
      <x:c r="A4428" s="379" t="n">
        <x:v>50079</x:v>
      </x:c>
      <x:c r="B4428" s="380" t="n">
        <x:v>2037</x:v>
      </x:c>
      <x:c r="C4428" s="380" t="n">
        <x:v>2</x:v>
      </x:c>
      <x:c r="D4428" s="380" t="str">
        <x:v>Feb</x:v>
      </x:c>
      <x:c r="E4428" s="380" t="n">
        <x:v>8</x:v>
      </x:c>
      <x:c r="F4428" s="380" t="n">
        <x:v>7</x:v>
      </x:c>
      <x:c r="G4428" s="380" t="n">
        <x:f>--(F4428&lt;='Estimator'!$B$7)</x:f>
        <x:v>0</x:v>
      </x:c>
      <x:c r="H4428" s="381" t="n">
        <x:f>SUMIFS('Climate Data'!$G$7:$G$366,'Climate Data'!$A$7:$A$366,'Estimator'!$B$4,'Climate Data'!$B$7:$B$366,C4428)</x:f>
        <x:v>0.23056278464541316</x:v>
      </x:c>
      <x:c r="I4428" s="382" t="n">
        <x:f>SUMIFS('Climate Data'!$H$7:$H$366,'Climate Data'!$A$7:$A$366,'Estimator'!$B$4,'Climate Data'!$B$7:$B$366,C4428)</x:f>
        <x:v>9.682010582010582</x:v>
      </x:c>
      <x:c r="J4428" s="381" t="n">
        <x:f>SUMIFS('Wind Proxy'!$H$8:$H$19,'Wind Proxy'!$A$8:$A$19,'Estimator'!$B$4,'Wind Proxy'!$B$8:$B$19,C4428)</x:f>
        <x:v>0.13757861635220128</x:v>
      </x:c>
    </x:row>
    <x:row r="4429">
      <x:c r="A4429" s="379" t="n">
        <x:v>50080</x:v>
      </x:c>
      <x:c r="B4429" s="380" t="n">
        <x:v>2037</x:v>
      </x:c>
      <x:c r="C4429" s="380" t="n">
        <x:v>2</x:v>
      </x:c>
      <x:c r="D4429" s="380" t="str">
        <x:v>Feb</x:v>
      </x:c>
      <x:c r="E4429" s="380" t="n">
        <x:v>9</x:v>
      </x:c>
      <x:c r="F4429" s="380" t="n">
        <x:v>1</x:v>
      </x:c>
      <x:c r="G4429" s="380" t="n">
        <x:f>--(F4429&lt;='Estimator'!$B$7)</x:f>
        <x:v>1</x:v>
      </x:c>
      <x:c r="H4429" s="381" t="n">
        <x:f>SUMIFS('Climate Data'!$G$7:$G$366,'Climate Data'!$A$7:$A$366,'Estimator'!$B$4,'Climate Data'!$B$7:$B$366,C4429)</x:f>
        <x:v>0.23056278464541316</x:v>
      </x:c>
      <x:c r="I4429" s="382" t="n">
        <x:f>SUMIFS('Climate Data'!$H$7:$H$366,'Climate Data'!$A$7:$A$366,'Estimator'!$B$4,'Climate Data'!$B$7:$B$366,C4429)</x:f>
        <x:v>9.682010582010582</x:v>
      </x:c>
      <x:c r="J4429" s="381" t="n">
        <x:f>SUMIFS('Wind Proxy'!$H$8:$H$19,'Wind Proxy'!$A$8:$A$19,'Estimator'!$B$4,'Wind Proxy'!$B$8:$B$19,C4429)</x:f>
        <x:v>0.13757861635220128</x:v>
      </x:c>
    </x:row>
    <x:row r="4430">
      <x:c r="A4430" s="379" t="n">
        <x:v>50081</x:v>
      </x:c>
      <x:c r="B4430" s="380" t="n">
        <x:v>2037</x:v>
      </x:c>
      <x:c r="C4430" s="380" t="n">
        <x:v>2</x:v>
      </x:c>
      <x:c r="D4430" s="380" t="str">
        <x:v>Feb</x:v>
      </x:c>
      <x:c r="E4430" s="380" t="n">
        <x:v>10</x:v>
      </x:c>
      <x:c r="F4430" s="380" t="n">
        <x:v>2</x:v>
      </x:c>
      <x:c r="G4430" s="380" t="n">
        <x:f>--(F4430&lt;='Estimator'!$B$7)</x:f>
        <x:v>1</x:v>
      </x:c>
      <x:c r="H4430" s="381" t="n">
        <x:f>SUMIFS('Climate Data'!$G$7:$G$366,'Climate Data'!$A$7:$A$366,'Estimator'!$B$4,'Climate Data'!$B$7:$B$366,C4430)</x:f>
        <x:v>0.23056278464541316</x:v>
      </x:c>
      <x:c r="I4430" s="382" t="n">
        <x:f>SUMIFS('Climate Data'!$H$7:$H$366,'Climate Data'!$A$7:$A$366,'Estimator'!$B$4,'Climate Data'!$B$7:$B$366,C4430)</x:f>
        <x:v>9.682010582010582</x:v>
      </x:c>
      <x:c r="J4430" s="381" t="n">
        <x:f>SUMIFS('Wind Proxy'!$H$8:$H$19,'Wind Proxy'!$A$8:$A$19,'Estimator'!$B$4,'Wind Proxy'!$B$8:$B$19,C4430)</x:f>
        <x:v>0.13757861635220128</x:v>
      </x:c>
    </x:row>
    <x:row r="4431">
      <x:c r="A4431" s="379" t="n">
        <x:v>50082</x:v>
      </x:c>
      <x:c r="B4431" s="380" t="n">
        <x:v>2037</x:v>
      </x:c>
      <x:c r="C4431" s="380" t="n">
        <x:v>2</x:v>
      </x:c>
      <x:c r="D4431" s="380" t="str">
        <x:v>Feb</x:v>
      </x:c>
      <x:c r="E4431" s="380" t="n">
        <x:v>11</x:v>
      </x:c>
      <x:c r="F4431" s="380" t="n">
        <x:v>3</x:v>
      </x:c>
      <x:c r="G4431" s="380" t="n">
        <x:f>--(F4431&lt;='Estimator'!$B$7)</x:f>
        <x:v>1</x:v>
      </x:c>
      <x:c r="H4431" s="381" t="n">
        <x:f>SUMIFS('Climate Data'!$G$7:$G$366,'Climate Data'!$A$7:$A$366,'Estimator'!$B$4,'Climate Data'!$B$7:$B$366,C4431)</x:f>
        <x:v>0.23056278464541316</x:v>
      </x:c>
      <x:c r="I4431" s="382" t="n">
        <x:f>SUMIFS('Climate Data'!$H$7:$H$366,'Climate Data'!$A$7:$A$366,'Estimator'!$B$4,'Climate Data'!$B$7:$B$366,C4431)</x:f>
        <x:v>9.682010582010582</x:v>
      </x:c>
      <x:c r="J4431" s="381" t="n">
        <x:f>SUMIFS('Wind Proxy'!$H$8:$H$19,'Wind Proxy'!$A$8:$A$19,'Estimator'!$B$4,'Wind Proxy'!$B$8:$B$19,C4431)</x:f>
        <x:v>0.13757861635220128</x:v>
      </x:c>
    </x:row>
    <x:row r="4432">
      <x:c r="A4432" s="379" t="n">
        <x:v>50083</x:v>
      </x:c>
      <x:c r="B4432" s="380" t="n">
        <x:v>2037</x:v>
      </x:c>
      <x:c r="C4432" s="380" t="n">
        <x:v>2</x:v>
      </x:c>
      <x:c r="D4432" s="380" t="str">
        <x:v>Feb</x:v>
      </x:c>
      <x:c r="E4432" s="380" t="n">
        <x:v>12</x:v>
      </x:c>
      <x:c r="F4432" s="380" t="n">
        <x:v>4</x:v>
      </x:c>
      <x:c r="G4432" s="380" t="n">
        <x:f>--(F4432&lt;='Estimator'!$B$7)</x:f>
        <x:v>1</x:v>
      </x:c>
      <x:c r="H4432" s="381" t="n">
        <x:f>SUMIFS('Climate Data'!$G$7:$G$366,'Climate Data'!$A$7:$A$366,'Estimator'!$B$4,'Climate Data'!$B$7:$B$366,C4432)</x:f>
        <x:v>0.23056278464541316</x:v>
      </x:c>
      <x:c r="I4432" s="382" t="n">
        <x:f>SUMIFS('Climate Data'!$H$7:$H$366,'Climate Data'!$A$7:$A$366,'Estimator'!$B$4,'Climate Data'!$B$7:$B$366,C4432)</x:f>
        <x:v>9.682010582010582</x:v>
      </x:c>
      <x:c r="J4432" s="381" t="n">
        <x:f>SUMIFS('Wind Proxy'!$H$8:$H$19,'Wind Proxy'!$A$8:$A$19,'Estimator'!$B$4,'Wind Proxy'!$B$8:$B$19,C4432)</x:f>
        <x:v>0.13757861635220128</x:v>
      </x:c>
    </x:row>
    <x:row r="4433">
      <x:c r="A4433" s="379" t="n">
        <x:v>50084</x:v>
      </x:c>
      <x:c r="B4433" s="380" t="n">
        <x:v>2037</x:v>
      </x:c>
      <x:c r="C4433" s="380" t="n">
        <x:v>2</x:v>
      </x:c>
      <x:c r="D4433" s="380" t="str">
        <x:v>Feb</x:v>
      </x:c>
      <x:c r="E4433" s="380" t="n">
        <x:v>13</x:v>
      </x:c>
      <x:c r="F4433" s="380" t="n">
        <x:v>5</x:v>
      </x:c>
      <x:c r="G4433" s="380" t="n">
        <x:f>--(F4433&lt;='Estimator'!$B$7)</x:f>
        <x:v>1</x:v>
      </x:c>
      <x:c r="H4433" s="381" t="n">
        <x:f>SUMIFS('Climate Data'!$G$7:$G$366,'Climate Data'!$A$7:$A$366,'Estimator'!$B$4,'Climate Data'!$B$7:$B$366,C4433)</x:f>
        <x:v>0.23056278464541316</x:v>
      </x:c>
      <x:c r="I4433" s="382" t="n">
        <x:f>SUMIFS('Climate Data'!$H$7:$H$366,'Climate Data'!$A$7:$A$366,'Estimator'!$B$4,'Climate Data'!$B$7:$B$366,C4433)</x:f>
        <x:v>9.682010582010582</x:v>
      </x:c>
      <x:c r="J4433" s="381" t="n">
        <x:f>SUMIFS('Wind Proxy'!$H$8:$H$19,'Wind Proxy'!$A$8:$A$19,'Estimator'!$B$4,'Wind Proxy'!$B$8:$B$19,C4433)</x:f>
        <x:v>0.13757861635220128</x:v>
      </x:c>
    </x:row>
    <x:row r="4434">
      <x:c r="A4434" s="379" t="n">
        <x:v>50085</x:v>
      </x:c>
      <x:c r="B4434" s="380" t="n">
        <x:v>2037</x:v>
      </x:c>
      <x:c r="C4434" s="380" t="n">
        <x:v>2</x:v>
      </x:c>
      <x:c r="D4434" s="380" t="str">
        <x:v>Feb</x:v>
      </x:c>
      <x:c r="E4434" s="380" t="n">
        <x:v>14</x:v>
      </x:c>
      <x:c r="F4434" s="380" t="n">
        <x:v>6</x:v>
      </x:c>
      <x:c r="G4434" s="380" t="n">
        <x:f>--(F4434&lt;='Estimator'!$B$7)</x:f>
        <x:v>0</x:v>
      </x:c>
      <x:c r="H4434" s="381" t="n">
        <x:f>SUMIFS('Climate Data'!$G$7:$G$366,'Climate Data'!$A$7:$A$366,'Estimator'!$B$4,'Climate Data'!$B$7:$B$366,C4434)</x:f>
        <x:v>0.23056278464541316</x:v>
      </x:c>
      <x:c r="I4434" s="382" t="n">
        <x:f>SUMIFS('Climate Data'!$H$7:$H$366,'Climate Data'!$A$7:$A$366,'Estimator'!$B$4,'Climate Data'!$B$7:$B$366,C4434)</x:f>
        <x:v>9.682010582010582</x:v>
      </x:c>
      <x:c r="J4434" s="381" t="n">
        <x:f>SUMIFS('Wind Proxy'!$H$8:$H$19,'Wind Proxy'!$A$8:$A$19,'Estimator'!$B$4,'Wind Proxy'!$B$8:$B$19,C4434)</x:f>
        <x:v>0.13757861635220128</x:v>
      </x:c>
    </x:row>
    <x:row r="4435">
      <x:c r="A4435" s="379" t="n">
        <x:v>50086</x:v>
      </x:c>
      <x:c r="B4435" s="380" t="n">
        <x:v>2037</x:v>
      </x:c>
      <x:c r="C4435" s="380" t="n">
        <x:v>2</x:v>
      </x:c>
      <x:c r="D4435" s="380" t="str">
        <x:v>Feb</x:v>
      </x:c>
      <x:c r="E4435" s="380" t="n">
        <x:v>15</x:v>
      </x:c>
      <x:c r="F4435" s="380" t="n">
        <x:v>7</x:v>
      </x:c>
      <x:c r="G4435" s="380" t="n">
        <x:f>--(F4435&lt;='Estimator'!$B$7)</x:f>
        <x:v>0</x:v>
      </x:c>
      <x:c r="H4435" s="381" t="n">
        <x:f>SUMIFS('Climate Data'!$G$7:$G$366,'Climate Data'!$A$7:$A$366,'Estimator'!$B$4,'Climate Data'!$B$7:$B$366,C4435)</x:f>
        <x:v>0.23056278464541316</x:v>
      </x:c>
      <x:c r="I4435" s="382" t="n">
        <x:f>SUMIFS('Climate Data'!$H$7:$H$366,'Climate Data'!$A$7:$A$366,'Estimator'!$B$4,'Climate Data'!$B$7:$B$366,C4435)</x:f>
        <x:v>9.682010582010582</x:v>
      </x:c>
      <x:c r="J4435" s="381" t="n">
        <x:f>SUMIFS('Wind Proxy'!$H$8:$H$19,'Wind Proxy'!$A$8:$A$19,'Estimator'!$B$4,'Wind Proxy'!$B$8:$B$19,C4435)</x:f>
        <x:v>0.13757861635220128</x:v>
      </x:c>
    </x:row>
    <x:row r="4436">
      <x:c r="A4436" s="379" t="n">
        <x:v>50087</x:v>
      </x:c>
      <x:c r="B4436" s="380" t="n">
        <x:v>2037</x:v>
      </x:c>
      <x:c r="C4436" s="380" t="n">
        <x:v>2</x:v>
      </x:c>
      <x:c r="D4436" s="380" t="str">
        <x:v>Feb</x:v>
      </x:c>
      <x:c r="E4436" s="380" t="n">
        <x:v>16</x:v>
      </x:c>
      <x:c r="F4436" s="380" t="n">
        <x:v>1</x:v>
      </x:c>
      <x:c r="G4436" s="380" t="n">
        <x:f>--(F4436&lt;='Estimator'!$B$7)</x:f>
        <x:v>1</x:v>
      </x:c>
      <x:c r="H4436" s="381" t="n">
        <x:f>SUMIFS('Climate Data'!$G$7:$G$366,'Climate Data'!$A$7:$A$366,'Estimator'!$B$4,'Climate Data'!$B$7:$B$366,C4436)</x:f>
        <x:v>0.23056278464541316</x:v>
      </x:c>
      <x:c r="I4436" s="382" t="n">
        <x:f>SUMIFS('Climate Data'!$H$7:$H$366,'Climate Data'!$A$7:$A$366,'Estimator'!$B$4,'Climate Data'!$B$7:$B$366,C4436)</x:f>
        <x:v>9.682010582010582</x:v>
      </x:c>
      <x:c r="J4436" s="381" t="n">
        <x:f>SUMIFS('Wind Proxy'!$H$8:$H$19,'Wind Proxy'!$A$8:$A$19,'Estimator'!$B$4,'Wind Proxy'!$B$8:$B$19,C4436)</x:f>
        <x:v>0.13757861635220128</x:v>
      </x:c>
    </x:row>
    <x:row r="4437">
      <x:c r="A4437" s="379" t="n">
        <x:v>50088</x:v>
      </x:c>
      <x:c r="B4437" s="380" t="n">
        <x:v>2037</x:v>
      </x:c>
      <x:c r="C4437" s="380" t="n">
        <x:v>2</x:v>
      </x:c>
      <x:c r="D4437" s="380" t="str">
        <x:v>Feb</x:v>
      </x:c>
      <x:c r="E4437" s="380" t="n">
        <x:v>17</x:v>
      </x:c>
      <x:c r="F4437" s="380" t="n">
        <x:v>2</x:v>
      </x:c>
      <x:c r="G4437" s="380" t="n">
        <x:f>--(F4437&lt;='Estimator'!$B$7)</x:f>
        <x:v>1</x:v>
      </x:c>
      <x:c r="H4437" s="381" t="n">
        <x:f>SUMIFS('Climate Data'!$G$7:$G$366,'Climate Data'!$A$7:$A$366,'Estimator'!$B$4,'Climate Data'!$B$7:$B$366,C4437)</x:f>
        <x:v>0.23056278464541316</x:v>
      </x:c>
      <x:c r="I4437" s="382" t="n">
        <x:f>SUMIFS('Climate Data'!$H$7:$H$366,'Climate Data'!$A$7:$A$366,'Estimator'!$B$4,'Climate Data'!$B$7:$B$366,C4437)</x:f>
        <x:v>9.682010582010582</x:v>
      </x:c>
      <x:c r="J4437" s="381" t="n">
        <x:f>SUMIFS('Wind Proxy'!$H$8:$H$19,'Wind Proxy'!$A$8:$A$19,'Estimator'!$B$4,'Wind Proxy'!$B$8:$B$19,C4437)</x:f>
        <x:v>0.13757861635220128</x:v>
      </x:c>
    </x:row>
    <x:row r="4438">
      <x:c r="A4438" s="379" t="n">
        <x:v>50089</x:v>
      </x:c>
      <x:c r="B4438" s="380" t="n">
        <x:v>2037</x:v>
      </x:c>
      <x:c r="C4438" s="380" t="n">
        <x:v>2</x:v>
      </x:c>
      <x:c r="D4438" s="380" t="str">
        <x:v>Feb</x:v>
      </x:c>
      <x:c r="E4438" s="380" t="n">
        <x:v>18</x:v>
      </x:c>
      <x:c r="F4438" s="380" t="n">
        <x:v>3</x:v>
      </x:c>
      <x:c r="G4438" s="380" t="n">
        <x:f>--(F4438&lt;='Estimator'!$B$7)</x:f>
        <x:v>1</x:v>
      </x:c>
      <x:c r="H4438" s="381" t="n">
        <x:f>SUMIFS('Climate Data'!$G$7:$G$366,'Climate Data'!$A$7:$A$366,'Estimator'!$B$4,'Climate Data'!$B$7:$B$366,C4438)</x:f>
        <x:v>0.23056278464541316</x:v>
      </x:c>
      <x:c r="I4438" s="382" t="n">
        <x:f>SUMIFS('Climate Data'!$H$7:$H$366,'Climate Data'!$A$7:$A$366,'Estimator'!$B$4,'Climate Data'!$B$7:$B$366,C4438)</x:f>
        <x:v>9.682010582010582</x:v>
      </x:c>
      <x:c r="J4438" s="381" t="n">
        <x:f>SUMIFS('Wind Proxy'!$H$8:$H$19,'Wind Proxy'!$A$8:$A$19,'Estimator'!$B$4,'Wind Proxy'!$B$8:$B$19,C4438)</x:f>
        <x:v>0.13757861635220128</x:v>
      </x:c>
    </x:row>
    <x:row r="4439">
      <x:c r="A4439" s="379" t="n">
        <x:v>50090</x:v>
      </x:c>
      <x:c r="B4439" s="380" t="n">
        <x:v>2037</x:v>
      </x:c>
      <x:c r="C4439" s="380" t="n">
        <x:v>2</x:v>
      </x:c>
      <x:c r="D4439" s="380" t="str">
        <x:v>Feb</x:v>
      </x:c>
      <x:c r="E4439" s="380" t="n">
        <x:v>19</x:v>
      </x:c>
      <x:c r="F4439" s="380" t="n">
        <x:v>4</x:v>
      </x:c>
      <x:c r="G4439" s="380" t="n">
        <x:f>--(F4439&lt;='Estimator'!$B$7)</x:f>
        <x:v>1</x:v>
      </x:c>
      <x:c r="H4439" s="381" t="n">
        <x:f>SUMIFS('Climate Data'!$G$7:$G$366,'Climate Data'!$A$7:$A$366,'Estimator'!$B$4,'Climate Data'!$B$7:$B$366,C4439)</x:f>
        <x:v>0.23056278464541316</x:v>
      </x:c>
      <x:c r="I4439" s="382" t="n">
        <x:f>SUMIFS('Climate Data'!$H$7:$H$366,'Climate Data'!$A$7:$A$366,'Estimator'!$B$4,'Climate Data'!$B$7:$B$366,C4439)</x:f>
        <x:v>9.682010582010582</x:v>
      </x:c>
      <x:c r="J4439" s="381" t="n">
        <x:f>SUMIFS('Wind Proxy'!$H$8:$H$19,'Wind Proxy'!$A$8:$A$19,'Estimator'!$B$4,'Wind Proxy'!$B$8:$B$19,C4439)</x:f>
        <x:v>0.13757861635220128</x:v>
      </x:c>
    </x:row>
    <x:row r="4440">
      <x:c r="A4440" s="379" t="n">
        <x:v>50091</x:v>
      </x:c>
      <x:c r="B4440" s="380" t="n">
        <x:v>2037</x:v>
      </x:c>
      <x:c r="C4440" s="380" t="n">
        <x:v>2</x:v>
      </x:c>
      <x:c r="D4440" s="380" t="str">
        <x:v>Feb</x:v>
      </x:c>
      <x:c r="E4440" s="380" t="n">
        <x:v>20</x:v>
      </x:c>
      <x:c r="F4440" s="380" t="n">
        <x:v>5</x:v>
      </x:c>
      <x:c r="G4440" s="380" t="n">
        <x:f>--(F4440&lt;='Estimator'!$B$7)</x:f>
        <x:v>1</x:v>
      </x:c>
      <x:c r="H4440" s="381" t="n">
        <x:f>SUMIFS('Climate Data'!$G$7:$G$366,'Climate Data'!$A$7:$A$366,'Estimator'!$B$4,'Climate Data'!$B$7:$B$366,C4440)</x:f>
        <x:v>0.23056278464541316</x:v>
      </x:c>
      <x:c r="I4440" s="382" t="n">
        <x:f>SUMIFS('Climate Data'!$H$7:$H$366,'Climate Data'!$A$7:$A$366,'Estimator'!$B$4,'Climate Data'!$B$7:$B$366,C4440)</x:f>
        <x:v>9.682010582010582</x:v>
      </x:c>
      <x:c r="J4440" s="381" t="n">
        <x:f>SUMIFS('Wind Proxy'!$H$8:$H$19,'Wind Proxy'!$A$8:$A$19,'Estimator'!$B$4,'Wind Proxy'!$B$8:$B$19,C4440)</x:f>
        <x:v>0.13757861635220128</x:v>
      </x:c>
    </x:row>
    <x:row r="4441">
      <x:c r="A4441" s="379" t="n">
        <x:v>50092</x:v>
      </x:c>
      <x:c r="B4441" s="380" t="n">
        <x:v>2037</x:v>
      </x:c>
      <x:c r="C4441" s="380" t="n">
        <x:v>2</x:v>
      </x:c>
      <x:c r="D4441" s="380" t="str">
        <x:v>Feb</x:v>
      </x:c>
      <x:c r="E4441" s="380" t="n">
        <x:v>21</x:v>
      </x:c>
      <x:c r="F4441" s="380" t="n">
        <x:v>6</x:v>
      </x:c>
      <x:c r="G4441" s="380" t="n">
        <x:f>--(F4441&lt;='Estimator'!$B$7)</x:f>
        <x:v>0</x:v>
      </x:c>
      <x:c r="H4441" s="381" t="n">
        <x:f>SUMIFS('Climate Data'!$G$7:$G$366,'Climate Data'!$A$7:$A$366,'Estimator'!$B$4,'Climate Data'!$B$7:$B$366,C4441)</x:f>
        <x:v>0.23056278464541316</x:v>
      </x:c>
      <x:c r="I4441" s="382" t="n">
        <x:f>SUMIFS('Climate Data'!$H$7:$H$366,'Climate Data'!$A$7:$A$366,'Estimator'!$B$4,'Climate Data'!$B$7:$B$366,C4441)</x:f>
        <x:v>9.682010582010582</x:v>
      </x:c>
      <x:c r="J4441" s="381" t="n">
        <x:f>SUMIFS('Wind Proxy'!$H$8:$H$19,'Wind Proxy'!$A$8:$A$19,'Estimator'!$B$4,'Wind Proxy'!$B$8:$B$19,C4441)</x:f>
        <x:v>0.13757861635220128</x:v>
      </x:c>
    </x:row>
    <x:row r="4442">
      <x:c r="A4442" s="379" t="n">
        <x:v>50093</x:v>
      </x:c>
      <x:c r="B4442" s="380" t="n">
        <x:v>2037</x:v>
      </x:c>
      <x:c r="C4442" s="380" t="n">
        <x:v>2</x:v>
      </x:c>
      <x:c r="D4442" s="380" t="str">
        <x:v>Feb</x:v>
      </x:c>
      <x:c r="E4442" s="380" t="n">
        <x:v>22</x:v>
      </x:c>
      <x:c r="F4442" s="380" t="n">
        <x:v>7</x:v>
      </x:c>
      <x:c r="G4442" s="380" t="n">
        <x:f>--(F4442&lt;='Estimator'!$B$7)</x:f>
        <x:v>0</x:v>
      </x:c>
      <x:c r="H4442" s="381" t="n">
        <x:f>SUMIFS('Climate Data'!$G$7:$G$366,'Climate Data'!$A$7:$A$366,'Estimator'!$B$4,'Climate Data'!$B$7:$B$366,C4442)</x:f>
        <x:v>0.23056278464541316</x:v>
      </x:c>
      <x:c r="I4442" s="382" t="n">
        <x:f>SUMIFS('Climate Data'!$H$7:$H$366,'Climate Data'!$A$7:$A$366,'Estimator'!$B$4,'Climate Data'!$B$7:$B$366,C4442)</x:f>
        <x:v>9.682010582010582</x:v>
      </x:c>
      <x:c r="J4442" s="381" t="n">
        <x:f>SUMIFS('Wind Proxy'!$H$8:$H$19,'Wind Proxy'!$A$8:$A$19,'Estimator'!$B$4,'Wind Proxy'!$B$8:$B$19,C4442)</x:f>
        <x:v>0.13757861635220128</x:v>
      </x:c>
    </x:row>
    <x:row r="4443">
      <x:c r="A4443" s="379" t="n">
        <x:v>50094</x:v>
      </x:c>
      <x:c r="B4443" s="380" t="n">
        <x:v>2037</x:v>
      </x:c>
      <x:c r="C4443" s="380" t="n">
        <x:v>2</x:v>
      </x:c>
      <x:c r="D4443" s="380" t="str">
        <x:v>Feb</x:v>
      </x:c>
      <x:c r="E4443" s="380" t="n">
        <x:v>23</x:v>
      </x:c>
      <x:c r="F4443" s="380" t="n">
        <x:v>1</x:v>
      </x:c>
      <x:c r="G4443" s="380" t="n">
        <x:f>--(F4443&lt;='Estimator'!$B$7)</x:f>
        <x:v>1</x:v>
      </x:c>
      <x:c r="H4443" s="381" t="n">
        <x:f>SUMIFS('Climate Data'!$G$7:$G$366,'Climate Data'!$A$7:$A$366,'Estimator'!$B$4,'Climate Data'!$B$7:$B$366,C4443)</x:f>
        <x:v>0.23056278464541316</x:v>
      </x:c>
      <x:c r="I4443" s="382" t="n">
        <x:f>SUMIFS('Climate Data'!$H$7:$H$366,'Climate Data'!$A$7:$A$366,'Estimator'!$B$4,'Climate Data'!$B$7:$B$366,C4443)</x:f>
        <x:v>9.682010582010582</x:v>
      </x:c>
      <x:c r="J4443" s="381" t="n">
        <x:f>SUMIFS('Wind Proxy'!$H$8:$H$19,'Wind Proxy'!$A$8:$A$19,'Estimator'!$B$4,'Wind Proxy'!$B$8:$B$19,C4443)</x:f>
        <x:v>0.13757861635220128</x:v>
      </x:c>
    </x:row>
    <x:row r="4444">
      <x:c r="A4444" s="379" t="n">
        <x:v>50095</x:v>
      </x:c>
      <x:c r="B4444" s="380" t="n">
        <x:v>2037</x:v>
      </x:c>
      <x:c r="C4444" s="380" t="n">
        <x:v>2</x:v>
      </x:c>
      <x:c r="D4444" s="380" t="str">
        <x:v>Feb</x:v>
      </x:c>
      <x:c r="E4444" s="380" t="n">
        <x:v>24</x:v>
      </x:c>
      <x:c r="F4444" s="380" t="n">
        <x:v>2</x:v>
      </x:c>
      <x:c r="G4444" s="380" t="n">
        <x:f>--(F4444&lt;='Estimator'!$B$7)</x:f>
        <x:v>1</x:v>
      </x:c>
      <x:c r="H4444" s="381" t="n">
        <x:f>SUMIFS('Climate Data'!$G$7:$G$366,'Climate Data'!$A$7:$A$366,'Estimator'!$B$4,'Climate Data'!$B$7:$B$366,C4444)</x:f>
        <x:v>0.23056278464541316</x:v>
      </x:c>
      <x:c r="I4444" s="382" t="n">
        <x:f>SUMIFS('Climate Data'!$H$7:$H$366,'Climate Data'!$A$7:$A$366,'Estimator'!$B$4,'Climate Data'!$B$7:$B$366,C4444)</x:f>
        <x:v>9.682010582010582</x:v>
      </x:c>
      <x:c r="J4444" s="381" t="n">
        <x:f>SUMIFS('Wind Proxy'!$H$8:$H$19,'Wind Proxy'!$A$8:$A$19,'Estimator'!$B$4,'Wind Proxy'!$B$8:$B$19,C4444)</x:f>
        <x:v>0.13757861635220128</x:v>
      </x:c>
    </x:row>
    <x:row r="4445">
      <x:c r="A4445" s="379" t="n">
        <x:v>50096</x:v>
      </x:c>
      <x:c r="B4445" s="380" t="n">
        <x:v>2037</x:v>
      </x:c>
      <x:c r="C4445" s="380" t="n">
        <x:v>2</x:v>
      </x:c>
      <x:c r="D4445" s="380" t="str">
        <x:v>Feb</x:v>
      </x:c>
      <x:c r="E4445" s="380" t="n">
        <x:v>25</x:v>
      </x:c>
      <x:c r="F4445" s="380" t="n">
        <x:v>3</x:v>
      </x:c>
      <x:c r="G4445" s="380" t="n">
        <x:f>--(F4445&lt;='Estimator'!$B$7)</x:f>
        <x:v>1</x:v>
      </x:c>
      <x:c r="H4445" s="381" t="n">
        <x:f>SUMIFS('Climate Data'!$G$7:$G$366,'Climate Data'!$A$7:$A$366,'Estimator'!$B$4,'Climate Data'!$B$7:$B$366,C4445)</x:f>
        <x:v>0.23056278464541316</x:v>
      </x:c>
      <x:c r="I4445" s="382" t="n">
        <x:f>SUMIFS('Climate Data'!$H$7:$H$366,'Climate Data'!$A$7:$A$366,'Estimator'!$B$4,'Climate Data'!$B$7:$B$366,C4445)</x:f>
        <x:v>9.682010582010582</x:v>
      </x:c>
      <x:c r="J4445" s="381" t="n">
        <x:f>SUMIFS('Wind Proxy'!$H$8:$H$19,'Wind Proxy'!$A$8:$A$19,'Estimator'!$B$4,'Wind Proxy'!$B$8:$B$19,C4445)</x:f>
        <x:v>0.13757861635220128</x:v>
      </x:c>
    </x:row>
    <x:row r="4446">
      <x:c r="A4446" s="379" t="n">
        <x:v>50097</x:v>
      </x:c>
      <x:c r="B4446" s="380" t="n">
        <x:v>2037</x:v>
      </x:c>
      <x:c r="C4446" s="380" t="n">
        <x:v>2</x:v>
      </x:c>
      <x:c r="D4446" s="380" t="str">
        <x:v>Feb</x:v>
      </x:c>
      <x:c r="E4446" s="380" t="n">
        <x:v>26</x:v>
      </x:c>
      <x:c r="F4446" s="380" t="n">
        <x:v>4</x:v>
      </x:c>
      <x:c r="G4446" s="380" t="n">
        <x:f>--(F4446&lt;='Estimator'!$B$7)</x:f>
        <x:v>1</x:v>
      </x:c>
      <x:c r="H4446" s="381" t="n">
        <x:f>SUMIFS('Climate Data'!$G$7:$G$366,'Climate Data'!$A$7:$A$366,'Estimator'!$B$4,'Climate Data'!$B$7:$B$366,C4446)</x:f>
        <x:v>0.23056278464541316</x:v>
      </x:c>
      <x:c r="I4446" s="382" t="n">
        <x:f>SUMIFS('Climate Data'!$H$7:$H$366,'Climate Data'!$A$7:$A$366,'Estimator'!$B$4,'Climate Data'!$B$7:$B$366,C4446)</x:f>
        <x:v>9.682010582010582</x:v>
      </x:c>
      <x:c r="J4446" s="381" t="n">
        <x:f>SUMIFS('Wind Proxy'!$H$8:$H$19,'Wind Proxy'!$A$8:$A$19,'Estimator'!$B$4,'Wind Proxy'!$B$8:$B$19,C4446)</x:f>
        <x:v>0.13757861635220128</x:v>
      </x:c>
    </x:row>
    <x:row r="4447">
      <x:c r="A4447" s="379" t="n">
        <x:v>50098</x:v>
      </x:c>
      <x:c r="B4447" s="380" t="n">
        <x:v>2037</x:v>
      </x:c>
      <x:c r="C4447" s="380" t="n">
        <x:v>2</x:v>
      </x:c>
      <x:c r="D4447" s="380" t="str">
        <x:v>Feb</x:v>
      </x:c>
      <x:c r="E4447" s="380" t="n">
        <x:v>27</x:v>
      </x:c>
      <x:c r="F4447" s="380" t="n">
        <x:v>5</x:v>
      </x:c>
      <x:c r="G4447" s="380" t="n">
        <x:f>--(F4447&lt;='Estimator'!$B$7)</x:f>
        <x:v>1</x:v>
      </x:c>
      <x:c r="H4447" s="381" t="n">
        <x:f>SUMIFS('Climate Data'!$G$7:$G$366,'Climate Data'!$A$7:$A$366,'Estimator'!$B$4,'Climate Data'!$B$7:$B$366,C4447)</x:f>
        <x:v>0.23056278464541316</x:v>
      </x:c>
      <x:c r="I4447" s="382" t="n">
        <x:f>SUMIFS('Climate Data'!$H$7:$H$366,'Climate Data'!$A$7:$A$366,'Estimator'!$B$4,'Climate Data'!$B$7:$B$366,C4447)</x:f>
        <x:v>9.682010582010582</x:v>
      </x:c>
      <x:c r="J4447" s="381" t="n">
        <x:f>SUMIFS('Wind Proxy'!$H$8:$H$19,'Wind Proxy'!$A$8:$A$19,'Estimator'!$B$4,'Wind Proxy'!$B$8:$B$19,C4447)</x:f>
        <x:v>0.13757861635220128</x:v>
      </x:c>
    </x:row>
    <x:row r="4448">
      <x:c r="A4448" s="379" t="n">
        <x:v>50099</x:v>
      </x:c>
      <x:c r="B4448" s="380" t="n">
        <x:v>2037</x:v>
      </x:c>
      <x:c r="C4448" s="380" t="n">
        <x:v>2</x:v>
      </x:c>
      <x:c r="D4448" s="380" t="str">
        <x:v>Feb</x:v>
      </x:c>
      <x:c r="E4448" s="380" t="n">
        <x:v>28</x:v>
      </x:c>
      <x:c r="F4448" s="380" t="n">
        <x:v>6</x:v>
      </x:c>
      <x:c r="G4448" s="380" t="n">
        <x:f>--(F4448&lt;='Estimator'!$B$7)</x:f>
        <x:v>0</x:v>
      </x:c>
      <x:c r="H4448" s="381" t="n">
        <x:f>SUMIFS('Climate Data'!$G$7:$G$366,'Climate Data'!$A$7:$A$366,'Estimator'!$B$4,'Climate Data'!$B$7:$B$366,C4448)</x:f>
        <x:v>0.23056278464541316</x:v>
      </x:c>
      <x:c r="I4448" s="382" t="n">
        <x:f>SUMIFS('Climate Data'!$H$7:$H$366,'Climate Data'!$A$7:$A$366,'Estimator'!$B$4,'Climate Data'!$B$7:$B$366,C4448)</x:f>
        <x:v>9.682010582010582</x:v>
      </x:c>
      <x:c r="J4448" s="381" t="n">
        <x:f>SUMIFS('Wind Proxy'!$H$8:$H$19,'Wind Proxy'!$A$8:$A$19,'Estimator'!$B$4,'Wind Proxy'!$B$8:$B$19,C4448)</x:f>
        <x:v>0.13757861635220128</x:v>
      </x:c>
    </x:row>
    <x:row r="4449">
      <x:c r="A4449" s="379" t="n">
        <x:v>50100</x:v>
      </x:c>
      <x:c r="B4449" s="380" t="n">
        <x:v>2037</x:v>
      </x:c>
      <x:c r="C4449" s="380" t="n">
        <x:v>3</x:v>
      </x:c>
      <x:c r="D4449" s="380" t="str">
        <x:v>Mar</x:v>
      </x:c>
      <x:c r="E4449" s="380" t="n">
        <x:v>1</x:v>
      </x:c>
      <x:c r="F4449" s="380" t="n">
        <x:v>7</x:v>
      </x:c>
      <x:c r="G4449" s="380" t="n">
        <x:f>--(F4449&lt;='Estimator'!$B$7)</x:f>
        <x:v>0</x:v>
      </x:c>
      <x:c r="H4449" s="381" t="n">
        <x:f>SUMIFS('Climate Data'!$G$7:$G$366,'Climate Data'!$A$7:$A$366,'Estimator'!$B$4,'Climate Data'!$B$7:$B$366,C4449)</x:f>
        <x:v>0.24916573971078979</x:v>
      </x:c>
      <x:c r="I4449" s="382" t="n">
        <x:f>SUMIFS('Climate Data'!$H$7:$H$366,'Climate Data'!$A$7:$A$366,'Estimator'!$B$4,'Climate Data'!$B$7:$B$366,C4449)</x:f>
        <x:v>9.709821428571429</x:v>
      </x:c>
      <x:c r="J4449" s="381" t="n">
        <x:f>SUMIFS('Wind Proxy'!$H$8:$H$19,'Wind Proxy'!$A$8:$A$19,'Estimator'!$B$4,'Wind Proxy'!$B$8:$B$19,C4449)</x:f>
        <x:v>0.11350059737156513</x:v>
      </x:c>
    </x:row>
    <x:row r="4450">
      <x:c r="A4450" s="379" t="n">
        <x:v>50101</x:v>
      </x:c>
      <x:c r="B4450" s="380" t="n">
        <x:v>2037</x:v>
      </x:c>
      <x:c r="C4450" s="380" t="n">
        <x:v>3</x:v>
      </x:c>
      <x:c r="D4450" s="380" t="str">
        <x:v>Mar</x:v>
      </x:c>
      <x:c r="E4450" s="380" t="n">
        <x:v>2</x:v>
      </x:c>
      <x:c r="F4450" s="380" t="n">
        <x:v>1</x:v>
      </x:c>
      <x:c r="G4450" s="380" t="n">
        <x:f>--(F4450&lt;='Estimator'!$B$7)</x:f>
        <x:v>1</x:v>
      </x:c>
      <x:c r="H4450" s="381" t="n">
        <x:f>SUMIFS('Climate Data'!$G$7:$G$366,'Climate Data'!$A$7:$A$366,'Estimator'!$B$4,'Climate Data'!$B$7:$B$366,C4450)</x:f>
        <x:v>0.24916573971078979</x:v>
      </x:c>
      <x:c r="I4450" s="382" t="n">
        <x:f>SUMIFS('Climate Data'!$H$7:$H$366,'Climate Data'!$A$7:$A$366,'Estimator'!$B$4,'Climate Data'!$B$7:$B$366,C4450)</x:f>
        <x:v>9.709821428571429</x:v>
      </x:c>
      <x:c r="J4450" s="381" t="n">
        <x:f>SUMIFS('Wind Proxy'!$H$8:$H$19,'Wind Proxy'!$A$8:$A$19,'Estimator'!$B$4,'Wind Proxy'!$B$8:$B$19,C4450)</x:f>
        <x:v>0.11350059737156513</x:v>
      </x:c>
    </x:row>
    <x:row r="4451">
      <x:c r="A4451" s="379" t="n">
        <x:v>50102</x:v>
      </x:c>
      <x:c r="B4451" s="380" t="n">
        <x:v>2037</x:v>
      </x:c>
      <x:c r="C4451" s="380" t="n">
        <x:v>3</x:v>
      </x:c>
      <x:c r="D4451" s="380" t="str">
        <x:v>Mar</x:v>
      </x:c>
      <x:c r="E4451" s="380" t="n">
        <x:v>3</x:v>
      </x:c>
      <x:c r="F4451" s="380" t="n">
        <x:v>2</x:v>
      </x:c>
      <x:c r="G4451" s="380" t="n">
        <x:f>--(F4451&lt;='Estimator'!$B$7)</x:f>
        <x:v>1</x:v>
      </x:c>
      <x:c r="H4451" s="381" t="n">
        <x:f>SUMIFS('Climate Data'!$G$7:$G$366,'Climate Data'!$A$7:$A$366,'Estimator'!$B$4,'Climate Data'!$B$7:$B$366,C4451)</x:f>
        <x:v>0.24916573971078979</x:v>
      </x:c>
      <x:c r="I4451" s="382" t="n">
        <x:f>SUMIFS('Climate Data'!$H$7:$H$366,'Climate Data'!$A$7:$A$366,'Estimator'!$B$4,'Climate Data'!$B$7:$B$366,C4451)</x:f>
        <x:v>9.709821428571429</x:v>
      </x:c>
      <x:c r="J4451" s="381" t="n">
        <x:f>SUMIFS('Wind Proxy'!$H$8:$H$19,'Wind Proxy'!$A$8:$A$19,'Estimator'!$B$4,'Wind Proxy'!$B$8:$B$19,C4451)</x:f>
        <x:v>0.11350059737156513</x:v>
      </x:c>
    </x:row>
    <x:row r="4452">
      <x:c r="A4452" s="379" t="n">
        <x:v>50103</x:v>
      </x:c>
      <x:c r="B4452" s="380" t="n">
        <x:v>2037</x:v>
      </x:c>
      <x:c r="C4452" s="380" t="n">
        <x:v>3</x:v>
      </x:c>
      <x:c r="D4452" s="380" t="str">
        <x:v>Mar</x:v>
      </x:c>
      <x:c r="E4452" s="380" t="n">
        <x:v>4</x:v>
      </x:c>
      <x:c r="F4452" s="380" t="n">
        <x:v>3</x:v>
      </x:c>
      <x:c r="G4452" s="380" t="n">
        <x:f>--(F4452&lt;='Estimator'!$B$7)</x:f>
        <x:v>1</x:v>
      </x:c>
      <x:c r="H4452" s="381" t="n">
        <x:f>SUMIFS('Climate Data'!$G$7:$G$366,'Climate Data'!$A$7:$A$366,'Estimator'!$B$4,'Climate Data'!$B$7:$B$366,C4452)</x:f>
        <x:v>0.24916573971078979</x:v>
      </x:c>
      <x:c r="I4452" s="382" t="n">
        <x:f>SUMIFS('Climate Data'!$H$7:$H$366,'Climate Data'!$A$7:$A$366,'Estimator'!$B$4,'Climate Data'!$B$7:$B$366,C4452)</x:f>
        <x:v>9.709821428571429</x:v>
      </x:c>
      <x:c r="J4452" s="381" t="n">
        <x:f>SUMIFS('Wind Proxy'!$H$8:$H$19,'Wind Proxy'!$A$8:$A$19,'Estimator'!$B$4,'Wind Proxy'!$B$8:$B$19,C4452)</x:f>
        <x:v>0.11350059737156513</x:v>
      </x:c>
    </x:row>
    <x:row r="4453">
      <x:c r="A4453" s="379" t="n">
        <x:v>50104</x:v>
      </x:c>
      <x:c r="B4453" s="380" t="n">
        <x:v>2037</x:v>
      </x:c>
      <x:c r="C4453" s="380" t="n">
        <x:v>3</x:v>
      </x:c>
      <x:c r="D4453" s="380" t="str">
        <x:v>Mar</x:v>
      </x:c>
      <x:c r="E4453" s="380" t="n">
        <x:v>5</x:v>
      </x:c>
      <x:c r="F4453" s="380" t="n">
        <x:v>4</x:v>
      </x:c>
      <x:c r="G4453" s="380" t="n">
        <x:f>--(F4453&lt;='Estimator'!$B$7)</x:f>
        <x:v>1</x:v>
      </x:c>
      <x:c r="H4453" s="381" t="n">
        <x:f>SUMIFS('Climate Data'!$G$7:$G$366,'Climate Data'!$A$7:$A$366,'Estimator'!$B$4,'Climate Data'!$B$7:$B$366,C4453)</x:f>
        <x:v>0.24916573971078979</x:v>
      </x:c>
      <x:c r="I4453" s="382" t="n">
        <x:f>SUMIFS('Climate Data'!$H$7:$H$366,'Climate Data'!$A$7:$A$366,'Estimator'!$B$4,'Climate Data'!$B$7:$B$366,C4453)</x:f>
        <x:v>9.709821428571429</x:v>
      </x:c>
      <x:c r="J4453" s="381" t="n">
        <x:f>SUMIFS('Wind Proxy'!$H$8:$H$19,'Wind Proxy'!$A$8:$A$19,'Estimator'!$B$4,'Wind Proxy'!$B$8:$B$19,C4453)</x:f>
        <x:v>0.11350059737156513</x:v>
      </x:c>
    </x:row>
    <x:row r="4454">
      <x:c r="A4454" s="379" t="n">
        <x:v>50105</x:v>
      </x:c>
      <x:c r="B4454" s="380" t="n">
        <x:v>2037</x:v>
      </x:c>
      <x:c r="C4454" s="380" t="n">
        <x:v>3</x:v>
      </x:c>
      <x:c r="D4454" s="380" t="str">
        <x:v>Mar</x:v>
      </x:c>
      <x:c r="E4454" s="380" t="n">
        <x:v>6</x:v>
      </x:c>
      <x:c r="F4454" s="380" t="n">
        <x:v>5</x:v>
      </x:c>
      <x:c r="G4454" s="380" t="n">
        <x:f>--(F4454&lt;='Estimator'!$B$7)</x:f>
        <x:v>1</x:v>
      </x:c>
      <x:c r="H4454" s="381" t="n">
        <x:f>SUMIFS('Climate Data'!$G$7:$G$366,'Climate Data'!$A$7:$A$366,'Estimator'!$B$4,'Climate Data'!$B$7:$B$366,C4454)</x:f>
        <x:v>0.24916573971078979</x:v>
      </x:c>
      <x:c r="I4454" s="382" t="n">
        <x:f>SUMIFS('Climate Data'!$H$7:$H$366,'Climate Data'!$A$7:$A$366,'Estimator'!$B$4,'Climate Data'!$B$7:$B$366,C4454)</x:f>
        <x:v>9.709821428571429</x:v>
      </x:c>
      <x:c r="J4454" s="381" t="n">
        <x:f>SUMIFS('Wind Proxy'!$H$8:$H$19,'Wind Proxy'!$A$8:$A$19,'Estimator'!$B$4,'Wind Proxy'!$B$8:$B$19,C4454)</x:f>
        <x:v>0.11350059737156513</x:v>
      </x:c>
    </x:row>
    <x:row r="4455">
      <x:c r="A4455" s="379" t="n">
        <x:v>50106</x:v>
      </x:c>
      <x:c r="B4455" s="380" t="n">
        <x:v>2037</x:v>
      </x:c>
      <x:c r="C4455" s="380" t="n">
        <x:v>3</x:v>
      </x:c>
      <x:c r="D4455" s="380" t="str">
        <x:v>Mar</x:v>
      </x:c>
      <x:c r="E4455" s="380" t="n">
        <x:v>7</x:v>
      </x:c>
      <x:c r="F4455" s="380" t="n">
        <x:v>6</x:v>
      </x:c>
      <x:c r="G4455" s="380" t="n">
        <x:f>--(F4455&lt;='Estimator'!$B$7)</x:f>
        <x:v>0</x:v>
      </x:c>
      <x:c r="H4455" s="381" t="n">
        <x:f>SUMIFS('Climate Data'!$G$7:$G$366,'Climate Data'!$A$7:$A$366,'Estimator'!$B$4,'Climate Data'!$B$7:$B$366,C4455)</x:f>
        <x:v>0.24916573971078979</x:v>
      </x:c>
      <x:c r="I4455" s="382" t="n">
        <x:f>SUMIFS('Climate Data'!$H$7:$H$366,'Climate Data'!$A$7:$A$366,'Estimator'!$B$4,'Climate Data'!$B$7:$B$366,C4455)</x:f>
        <x:v>9.709821428571429</x:v>
      </x:c>
      <x:c r="J4455" s="381" t="n">
        <x:f>SUMIFS('Wind Proxy'!$H$8:$H$19,'Wind Proxy'!$A$8:$A$19,'Estimator'!$B$4,'Wind Proxy'!$B$8:$B$19,C4455)</x:f>
        <x:v>0.11350059737156513</x:v>
      </x:c>
    </x:row>
    <x:row r="4456">
      <x:c r="A4456" s="379" t="n">
        <x:v>50107</x:v>
      </x:c>
      <x:c r="B4456" s="380" t="n">
        <x:v>2037</x:v>
      </x:c>
      <x:c r="C4456" s="380" t="n">
        <x:v>3</x:v>
      </x:c>
      <x:c r="D4456" s="380" t="str">
        <x:v>Mar</x:v>
      </x:c>
      <x:c r="E4456" s="380" t="n">
        <x:v>8</x:v>
      </x:c>
      <x:c r="F4456" s="380" t="n">
        <x:v>7</x:v>
      </x:c>
      <x:c r="G4456" s="380" t="n">
        <x:f>--(F4456&lt;='Estimator'!$B$7)</x:f>
        <x:v>0</x:v>
      </x:c>
      <x:c r="H4456" s="381" t="n">
        <x:f>SUMIFS('Climate Data'!$G$7:$G$366,'Climate Data'!$A$7:$A$366,'Estimator'!$B$4,'Climate Data'!$B$7:$B$366,C4456)</x:f>
        <x:v>0.24916573971078979</x:v>
      </x:c>
      <x:c r="I4456" s="382" t="n">
        <x:f>SUMIFS('Climate Data'!$H$7:$H$366,'Climate Data'!$A$7:$A$366,'Estimator'!$B$4,'Climate Data'!$B$7:$B$366,C4456)</x:f>
        <x:v>9.709821428571429</x:v>
      </x:c>
      <x:c r="J4456" s="381" t="n">
        <x:f>SUMIFS('Wind Proxy'!$H$8:$H$19,'Wind Proxy'!$A$8:$A$19,'Estimator'!$B$4,'Wind Proxy'!$B$8:$B$19,C4456)</x:f>
        <x:v>0.11350059737156513</x:v>
      </x:c>
    </x:row>
    <x:row r="4457">
      <x:c r="A4457" s="379" t="n">
        <x:v>50108</x:v>
      </x:c>
      <x:c r="B4457" s="380" t="n">
        <x:v>2037</x:v>
      </x:c>
      <x:c r="C4457" s="380" t="n">
        <x:v>3</x:v>
      </x:c>
      <x:c r="D4457" s="380" t="str">
        <x:v>Mar</x:v>
      </x:c>
      <x:c r="E4457" s="380" t="n">
        <x:v>9</x:v>
      </x:c>
      <x:c r="F4457" s="380" t="n">
        <x:v>1</x:v>
      </x:c>
      <x:c r="G4457" s="380" t="n">
        <x:f>--(F4457&lt;='Estimator'!$B$7)</x:f>
        <x:v>1</x:v>
      </x:c>
      <x:c r="H4457" s="381" t="n">
        <x:f>SUMIFS('Climate Data'!$G$7:$G$366,'Climate Data'!$A$7:$A$366,'Estimator'!$B$4,'Climate Data'!$B$7:$B$366,C4457)</x:f>
        <x:v>0.24916573971078979</x:v>
      </x:c>
      <x:c r="I4457" s="382" t="n">
        <x:f>SUMIFS('Climate Data'!$H$7:$H$366,'Climate Data'!$A$7:$A$366,'Estimator'!$B$4,'Climate Data'!$B$7:$B$366,C4457)</x:f>
        <x:v>9.709821428571429</x:v>
      </x:c>
      <x:c r="J4457" s="381" t="n">
        <x:f>SUMIFS('Wind Proxy'!$H$8:$H$19,'Wind Proxy'!$A$8:$A$19,'Estimator'!$B$4,'Wind Proxy'!$B$8:$B$19,C4457)</x:f>
        <x:v>0.11350059737156513</x:v>
      </x:c>
    </x:row>
    <x:row r="4458">
      <x:c r="A4458" s="379" t="n">
        <x:v>50109</x:v>
      </x:c>
      <x:c r="B4458" s="380" t="n">
        <x:v>2037</x:v>
      </x:c>
      <x:c r="C4458" s="380" t="n">
        <x:v>3</x:v>
      </x:c>
      <x:c r="D4458" s="380" t="str">
        <x:v>Mar</x:v>
      </x:c>
      <x:c r="E4458" s="380" t="n">
        <x:v>10</x:v>
      </x:c>
      <x:c r="F4458" s="380" t="n">
        <x:v>2</x:v>
      </x:c>
      <x:c r="G4458" s="380" t="n">
        <x:f>--(F4458&lt;='Estimator'!$B$7)</x:f>
        <x:v>1</x:v>
      </x:c>
      <x:c r="H4458" s="381" t="n">
        <x:f>SUMIFS('Climate Data'!$G$7:$G$366,'Climate Data'!$A$7:$A$366,'Estimator'!$B$4,'Climate Data'!$B$7:$B$366,C4458)</x:f>
        <x:v>0.24916573971078979</x:v>
      </x:c>
      <x:c r="I4458" s="382" t="n">
        <x:f>SUMIFS('Climate Data'!$H$7:$H$366,'Climate Data'!$A$7:$A$366,'Estimator'!$B$4,'Climate Data'!$B$7:$B$366,C4458)</x:f>
        <x:v>9.709821428571429</x:v>
      </x:c>
      <x:c r="J4458" s="381" t="n">
        <x:f>SUMIFS('Wind Proxy'!$H$8:$H$19,'Wind Proxy'!$A$8:$A$19,'Estimator'!$B$4,'Wind Proxy'!$B$8:$B$19,C4458)</x:f>
        <x:v>0.11350059737156513</x:v>
      </x:c>
    </x:row>
    <x:row r="4459">
      <x:c r="A4459" s="379" t="n">
        <x:v>50110</x:v>
      </x:c>
      <x:c r="B4459" s="380" t="n">
        <x:v>2037</x:v>
      </x:c>
      <x:c r="C4459" s="380" t="n">
        <x:v>3</x:v>
      </x:c>
      <x:c r="D4459" s="380" t="str">
        <x:v>Mar</x:v>
      </x:c>
      <x:c r="E4459" s="380" t="n">
        <x:v>11</x:v>
      </x:c>
      <x:c r="F4459" s="380" t="n">
        <x:v>3</x:v>
      </x:c>
      <x:c r="G4459" s="380" t="n">
        <x:f>--(F4459&lt;='Estimator'!$B$7)</x:f>
        <x:v>1</x:v>
      </x:c>
      <x:c r="H4459" s="381" t="n">
        <x:f>SUMIFS('Climate Data'!$G$7:$G$366,'Climate Data'!$A$7:$A$366,'Estimator'!$B$4,'Climate Data'!$B$7:$B$366,C4459)</x:f>
        <x:v>0.24916573971078979</x:v>
      </x:c>
      <x:c r="I4459" s="382" t="n">
        <x:f>SUMIFS('Climate Data'!$H$7:$H$366,'Climate Data'!$A$7:$A$366,'Estimator'!$B$4,'Climate Data'!$B$7:$B$366,C4459)</x:f>
        <x:v>9.709821428571429</x:v>
      </x:c>
      <x:c r="J4459" s="381" t="n">
        <x:f>SUMIFS('Wind Proxy'!$H$8:$H$19,'Wind Proxy'!$A$8:$A$19,'Estimator'!$B$4,'Wind Proxy'!$B$8:$B$19,C4459)</x:f>
        <x:v>0.11350059737156513</x:v>
      </x:c>
    </x:row>
    <x:row r="4460">
      <x:c r="A4460" s="379" t="n">
        <x:v>50111</x:v>
      </x:c>
      <x:c r="B4460" s="380" t="n">
        <x:v>2037</x:v>
      </x:c>
      <x:c r="C4460" s="380" t="n">
        <x:v>3</x:v>
      </x:c>
      <x:c r="D4460" s="380" t="str">
        <x:v>Mar</x:v>
      </x:c>
      <x:c r="E4460" s="380" t="n">
        <x:v>12</x:v>
      </x:c>
      <x:c r="F4460" s="380" t="n">
        <x:v>4</x:v>
      </x:c>
      <x:c r="G4460" s="380" t="n">
        <x:f>--(F4460&lt;='Estimator'!$B$7)</x:f>
        <x:v>1</x:v>
      </x:c>
      <x:c r="H4460" s="381" t="n">
        <x:f>SUMIFS('Climate Data'!$G$7:$G$366,'Climate Data'!$A$7:$A$366,'Estimator'!$B$4,'Climate Data'!$B$7:$B$366,C4460)</x:f>
        <x:v>0.24916573971078979</x:v>
      </x:c>
      <x:c r="I4460" s="382" t="n">
        <x:f>SUMIFS('Climate Data'!$H$7:$H$366,'Climate Data'!$A$7:$A$366,'Estimator'!$B$4,'Climate Data'!$B$7:$B$366,C4460)</x:f>
        <x:v>9.709821428571429</x:v>
      </x:c>
      <x:c r="J4460" s="381" t="n">
        <x:f>SUMIFS('Wind Proxy'!$H$8:$H$19,'Wind Proxy'!$A$8:$A$19,'Estimator'!$B$4,'Wind Proxy'!$B$8:$B$19,C4460)</x:f>
        <x:v>0.11350059737156513</x:v>
      </x:c>
    </x:row>
    <x:row r="4461">
      <x:c r="A4461" s="379" t="n">
        <x:v>50112</x:v>
      </x:c>
      <x:c r="B4461" s="380" t="n">
        <x:v>2037</x:v>
      </x:c>
      <x:c r="C4461" s="380" t="n">
        <x:v>3</x:v>
      </x:c>
      <x:c r="D4461" s="380" t="str">
        <x:v>Mar</x:v>
      </x:c>
      <x:c r="E4461" s="380" t="n">
        <x:v>13</x:v>
      </x:c>
      <x:c r="F4461" s="380" t="n">
        <x:v>5</x:v>
      </x:c>
      <x:c r="G4461" s="380" t="n">
        <x:f>--(F4461&lt;='Estimator'!$B$7)</x:f>
        <x:v>1</x:v>
      </x:c>
      <x:c r="H4461" s="381" t="n">
        <x:f>SUMIFS('Climate Data'!$G$7:$G$366,'Climate Data'!$A$7:$A$366,'Estimator'!$B$4,'Climate Data'!$B$7:$B$366,C4461)</x:f>
        <x:v>0.24916573971078979</x:v>
      </x:c>
      <x:c r="I4461" s="382" t="n">
        <x:f>SUMIFS('Climate Data'!$H$7:$H$366,'Climate Data'!$A$7:$A$366,'Estimator'!$B$4,'Climate Data'!$B$7:$B$366,C4461)</x:f>
        <x:v>9.709821428571429</x:v>
      </x:c>
      <x:c r="J4461" s="381" t="n">
        <x:f>SUMIFS('Wind Proxy'!$H$8:$H$19,'Wind Proxy'!$A$8:$A$19,'Estimator'!$B$4,'Wind Proxy'!$B$8:$B$19,C4461)</x:f>
        <x:v>0.11350059737156513</x:v>
      </x:c>
    </x:row>
    <x:row r="4462">
      <x:c r="A4462" s="379" t="n">
        <x:v>50113</x:v>
      </x:c>
      <x:c r="B4462" s="380" t="n">
        <x:v>2037</x:v>
      </x:c>
      <x:c r="C4462" s="380" t="n">
        <x:v>3</x:v>
      </x:c>
      <x:c r="D4462" s="380" t="str">
        <x:v>Mar</x:v>
      </x:c>
      <x:c r="E4462" s="380" t="n">
        <x:v>14</x:v>
      </x:c>
      <x:c r="F4462" s="380" t="n">
        <x:v>6</x:v>
      </x:c>
      <x:c r="G4462" s="380" t="n">
        <x:f>--(F4462&lt;='Estimator'!$B$7)</x:f>
        <x:v>0</x:v>
      </x:c>
      <x:c r="H4462" s="381" t="n">
        <x:f>SUMIFS('Climate Data'!$G$7:$G$366,'Climate Data'!$A$7:$A$366,'Estimator'!$B$4,'Climate Data'!$B$7:$B$366,C4462)</x:f>
        <x:v>0.24916573971078979</x:v>
      </x:c>
      <x:c r="I4462" s="382" t="n">
        <x:f>SUMIFS('Climate Data'!$H$7:$H$366,'Climate Data'!$A$7:$A$366,'Estimator'!$B$4,'Climate Data'!$B$7:$B$366,C4462)</x:f>
        <x:v>9.709821428571429</x:v>
      </x:c>
      <x:c r="J4462" s="381" t="n">
        <x:f>SUMIFS('Wind Proxy'!$H$8:$H$19,'Wind Proxy'!$A$8:$A$19,'Estimator'!$B$4,'Wind Proxy'!$B$8:$B$19,C4462)</x:f>
        <x:v>0.11350059737156513</x:v>
      </x:c>
    </x:row>
    <x:row r="4463">
      <x:c r="A4463" s="379" t="n">
        <x:v>50114</x:v>
      </x:c>
      <x:c r="B4463" s="380" t="n">
        <x:v>2037</x:v>
      </x:c>
      <x:c r="C4463" s="380" t="n">
        <x:v>3</x:v>
      </x:c>
      <x:c r="D4463" s="380" t="str">
        <x:v>Mar</x:v>
      </x:c>
      <x:c r="E4463" s="380" t="n">
        <x:v>15</x:v>
      </x:c>
      <x:c r="F4463" s="380" t="n">
        <x:v>7</x:v>
      </x:c>
      <x:c r="G4463" s="380" t="n">
        <x:f>--(F4463&lt;='Estimator'!$B$7)</x:f>
        <x:v>0</x:v>
      </x:c>
      <x:c r="H4463" s="381" t="n">
        <x:f>SUMIFS('Climate Data'!$G$7:$G$366,'Climate Data'!$A$7:$A$366,'Estimator'!$B$4,'Climate Data'!$B$7:$B$366,C4463)</x:f>
        <x:v>0.24916573971078979</x:v>
      </x:c>
      <x:c r="I4463" s="382" t="n">
        <x:f>SUMIFS('Climate Data'!$H$7:$H$366,'Climate Data'!$A$7:$A$366,'Estimator'!$B$4,'Climate Data'!$B$7:$B$366,C4463)</x:f>
        <x:v>9.709821428571429</x:v>
      </x:c>
      <x:c r="J4463" s="381" t="n">
        <x:f>SUMIFS('Wind Proxy'!$H$8:$H$19,'Wind Proxy'!$A$8:$A$19,'Estimator'!$B$4,'Wind Proxy'!$B$8:$B$19,C4463)</x:f>
        <x:v>0.11350059737156513</x:v>
      </x:c>
    </x:row>
    <x:row r="4464">
      <x:c r="A4464" s="379" t="n">
        <x:v>50115</x:v>
      </x:c>
      <x:c r="B4464" s="380" t="n">
        <x:v>2037</x:v>
      </x:c>
      <x:c r="C4464" s="380" t="n">
        <x:v>3</x:v>
      </x:c>
      <x:c r="D4464" s="380" t="str">
        <x:v>Mar</x:v>
      </x:c>
      <x:c r="E4464" s="380" t="n">
        <x:v>16</x:v>
      </x:c>
      <x:c r="F4464" s="380" t="n">
        <x:v>1</x:v>
      </x:c>
      <x:c r="G4464" s="380" t="n">
        <x:f>--(F4464&lt;='Estimator'!$B$7)</x:f>
        <x:v>1</x:v>
      </x:c>
      <x:c r="H4464" s="381" t="n">
        <x:f>SUMIFS('Climate Data'!$G$7:$G$366,'Climate Data'!$A$7:$A$366,'Estimator'!$B$4,'Climate Data'!$B$7:$B$366,C4464)</x:f>
        <x:v>0.24916573971078979</x:v>
      </x:c>
      <x:c r="I4464" s="382" t="n">
        <x:f>SUMIFS('Climate Data'!$H$7:$H$366,'Climate Data'!$A$7:$A$366,'Estimator'!$B$4,'Climate Data'!$B$7:$B$366,C4464)</x:f>
        <x:v>9.709821428571429</x:v>
      </x:c>
      <x:c r="J4464" s="381" t="n">
        <x:f>SUMIFS('Wind Proxy'!$H$8:$H$19,'Wind Proxy'!$A$8:$A$19,'Estimator'!$B$4,'Wind Proxy'!$B$8:$B$19,C4464)</x:f>
        <x:v>0.11350059737156513</x:v>
      </x:c>
    </x:row>
    <x:row r="4465">
      <x:c r="A4465" s="379" t="n">
        <x:v>50116</x:v>
      </x:c>
      <x:c r="B4465" s="380" t="n">
        <x:v>2037</x:v>
      </x:c>
      <x:c r="C4465" s="380" t="n">
        <x:v>3</x:v>
      </x:c>
      <x:c r="D4465" s="380" t="str">
        <x:v>Mar</x:v>
      </x:c>
      <x:c r="E4465" s="380" t="n">
        <x:v>17</x:v>
      </x:c>
      <x:c r="F4465" s="380" t="n">
        <x:v>2</x:v>
      </x:c>
      <x:c r="G4465" s="380" t="n">
        <x:f>--(F4465&lt;='Estimator'!$B$7)</x:f>
        <x:v>1</x:v>
      </x:c>
      <x:c r="H4465" s="381" t="n">
        <x:f>SUMIFS('Climate Data'!$G$7:$G$366,'Climate Data'!$A$7:$A$366,'Estimator'!$B$4,'Climate Data'!$B$7:$B$366,C4465)</x:f>
        <x:v>0.24916573971078979</x:v>
      </x:c>
      <x:c r="I4465" s="382" t="n">
        <x:f>SUMIFS('Climate Data'!$H$7:$H$366,'Climate Data'!$A$7:$A$366,'Estimator'!$B$4,'Climate Data'!$B$7:$B$366,C4465)</x:f>
        <x:v>9.709821428571429</x:v>
      </x:c>
      <x:c r="J4465" s="381" t="n">
        <x:f>SUMIFS('Wind Proxy'!$H$8:$H$19,'Wind Proxy'!$A$8:$A$19,'Estimator'!$B$4,'Wind Proxy'!$B$8:$B$19,C4465)</x:f>
        <x:v>0.11350059737156513</x:v>
      </x:c>
    </x:row>
    <x:row r="4466">
      <x:c r="A4466" s="379" t="n">
        <x:v>50117</x:v>
      </x:c>
      <x:c r="B4466" s="380" t="n">
        <x:v>2037</x:v>
      </x:c>
      <x:c r="C4466" s="380" t="n">
        <x:v>3</x:v>
      </x:c>
      <x:c r="D4466" s="380" t="str">
        <x:v>Mar</x:v>
      </x:c>
      <x:c r="E4466" s="380" t="n">
        <x:v>18</x:v>
      </x:c>
      <x:c r="F4466" s="380" t="n">
        <x:v>3</x:v>
      </x:c>
      <x:c r="G4466" s="380" t="n">
        <x:f>--(F4466&lt;='Estimator'!$B$7)</x:f>
        <x:v>1</x:v>
      </x:c>
      <x:c r="H4466" s="381" t="n">
        <x:f>SUMIFS('Climate Data'!$G$7:$G$366,'Climate Data'!$A$7:$A$366,'Estimator'!$B$4,'Climate Data'!$B$7:$B$366,C4466)</x:f>
        <x:v>0.24916573971078979</x:v>
      </x:c>
      <x:c r="I4466" s="382" t="n">
        <x:f>SUMIFS('Climate Data'!$H$7:$H$366,'Climate Data'!$A$7:$A$366,'Estimator'!$B$4,'Climate Data'!$B$7:$B$366,C4466)</x:f>
        <x:v>9.709821428571429</x:v>
      </x:c>
      <x:c r="J4466" s="381" t="n">
        <x:f>SUMIFS('Wind Proxy'!$H$8:$H$19,'Wind Proxy'!$A$8:$A$19,'Estimator'!$B$4,'Wind Proxy'!$B$8:$B$19,C4466)</x:f>
        <x:v>0.11350059737156513</x:v>
      </x:c>
    </x:row>
    <x:row r="4467">
      <x:c r="A4467" s="379" t="n">
        <x:v>50118</x:v>
      </x:c>
      <x:c r="B4467" s="380" t="n">
        <x:v>2037</x:v>
      </x:c>
      <x:c r="C4467" s="380" t="n">
        <x:v>3</x:v>
      </x:c>
      <x:c r="D4467" s="380" t="str">
        <x:v>Mar</x:v>
      </x:c>
      <x:c r="E4467" s="380" t="n">
        <x:v>19</x:v>
      </x:c>
      <x:c r="F4467" s="380" t="n">
        <x:v>4</x:v>
      </x:c>
      <x:c r="G4467" s="380" t="n">
        <x:f>--(F4467&lt;='Estimator'!$B$7)</x:f>
        <x:v>1</x:v>
      </x:c>
      <x:c r="H4467" s="381" t="n">
        <x:f>SUMIFS('Climate Data'!$G$7:$G$366,'Climate Data'!$A$7:$A$366,'Estimator'!$B$4,'Climate Data'!$B$7:$B$366,C4467)</x:f>
        <x:v>0.24916573971078979</x:v>
      </x:c>
      <x:c r="I4467" s="382" t="n">
        <x:f>SUMIFS('Climate Data'!$H$7:$H$366,'Climate Data'!$A$7:$A$366,'Estimator'!$B$4,'Climate Data'!$B$7:$B$366,C4467)</x:f>
        <x:v>9.709821428571429</x:v>
      </x:c>
      <x:c r="J4467" s="381" t="n">
        <x:f>SUMIFS('Wind Proxy'!$H$8:$H$19,'Wind Proxy'!$A$8:$A$19,'Estimator'!$B$4,'Wind Proxy'!$B$8:$B$19,C4467)</x:f>
        <x:v>0.11350059737156513</x:v>
      </x:c>
    </x:row>
    <x:row r="4468">
      <x:c r="A4468" s="379" t="n">
        <x:v>50119</x:v>
      </x:c>
      <x:c r="B4468" s="380" t="n">
        <x:v>2037</x:v>
      </x:c>
      <x:c r="C4468" s="380" t="n">
        <x:v>3</x:v>
      </x:c>
      <x:c r="D4468" s="380" t="str">
        <x:v>Mar</x:v>
      </x:c>
      <x:c r="E4468" s="380" t="n">
        <x:v>20</x:v>
      </x:c>
      <x:c r="F4468" s="380" t="n">
        <x:v>5</x:v>
      </x:c>
      <x:c r="G4468" s="380" t="n">
        <x:f>--(F4468&lt;='Estimator'!$B$7)</x:f>
        <x:v>1</x:v>
      </x:c>
      <x:c r="H4468" s="381" t="n">
        <x:f>SUMIFS('Climate Data'!$G$7:$G$366,'Climate Data'!$A$7:$A$366,'Estimator'!$B$4,'Climate Data'!$B$7:$B$366,C4468)</x:f>
        <x:v>0.24916573971078979</x:v>
      </x:c>
      <x:c r="I4468" s="382" t="n">
        <x:f>SUMIFS('Climate Data'!$H$7:$H$366,'Climate Data'!$A$7:$A$366,'Estimator'!$B$4,'Climate Data'!$B$7:$B$366,C4468)</x:f>
        <x:v>9.709821428571429</x:v>
      </x:c>
      <x:c r="J4468" s="381" t="n">
        <x:f>SUMIFS('Wind Proxy'!$H$8:$H$19,'Wind Proxy'!$A$8:$A$19,'Estimator'!$B$4,'Wind Proxy'!$B$8:$B$19,C4468)</x:f>
        <x:v>0.11350059737156513</x:v>
      </x:c>
    </x:row>
    <x:row r="4469">
      <x:c r="A4469" s="379" t="n">
        <x:v>50120</x:v>
      </x:c>
      <x:c r="B4469" s="380" t="n">
        <x:v>2037</x:v>
      </x:c>
      <x:c r="C4469" s="380" t="n">
        <x:v>3</x:v>
      </x:c>
      <x:c r="D4469" s="380" t="str">
        <x:v>Mar</x:v>
      </x:c>
      <x:c r="E4469" s="380" t="n">
        <x:v>21</x:v>
      </x:c>
      <x:c r="F4469" s="380" t="n">
        <x:v>6</x:v>
      </x:c>
      <x:c r="G4469" s="380" t="n">
        <x:f>--(F4469&lt;='Estimator'!$B$7)</x:f>
        <x:v>0</x:v>
      </x:c>
      <x:c r="H4469" s="381" t="n">
        <x:f>SUMIFS('Climate Data'!$G$7:$G$366,'Climate Data'!$A$7:$A$366,'Estimator'!$B$4,'Climate Data'!$B$7:$B$366,C4469)</x:f>
        <x:v>0.24916573971078979</x:v>
      </x:c>
      <x:c r="I4469" s="382" t="n">
        <x:f>SUMIFS('Climate Data'!$H$7:$H$366,'Climate Data'!$A$7:$A$366,'Estimator'!$B$4,'Climate Data'!$B$7:$B$366,C4469)</x:f>
        <x:v>9.709821428571429</x:v>
      </x:c>
      <x:c r="J4469" s="381" t="n">
        <x:f>SUMIFS('Wind Proxy'!$H$8:$H$19,'Wind Proxy'!$A$8:$A$19,'Estimator'!$B$4,'Wind Proxy'!$B$8:$B$19,C4469)</x:f>
        <x:v>0.11350059737156513</x:v>
      </x:c>
    </x:row>
    <x:row r="4470">
      <x:c r="A4470" s="379" t="n">
        <x:v>50121</x:v>
      </x:c>
      <x:c r="B4470" s="380" t="n">
        <x:v>2037</x:v>
      </x:c>
      <x:c r="C4470" s="380" t="n">
        <x:v>3</x:v>
      </x:c>
      <x:c r="D4470" s="380" t="str">
        <x:v>Mar</x:v>
      </x:c>
      <x:c r="E4470" s="380" t="n">
        <x:v>22</x:v>
      </x:c>
      <x:c r="F4470" s="380" t="n">
        <x:v>7</x:v>
      </x:c>
      <x:c r="G4470" s="380" t="n">
        <x:f>--(F4470&lt;='Estimator'!$B$7)</x:f>
        <x:v>0</x:v>
      </x:c>
      <x:c r="H4470" s="381" t="n">
        <x:f>SUMIFS('Climate Data'!$G$7:$G$366,'Climate Data'!$A$7:$A$366,'Estimator'!$B$4,'Climate Data'!$B$7:$B$366,C4470)</x:f>
        <x:v>0.24916573971078979</x:v>
      </x:c>
      <x:c r="I4470" s="382" t="n">
        <x:f>SUMIFS('Climate Data'!$H$7:$H$366,'Climate Data'!$A$7:$A$366,'Estimator'!$B$4,'Climate Data'!$B$7:$B$366,C4470)</x:f>
        <x:v>9.709821428571429</x:v>
      </x:c>
      <x:c r="J4470" s="381" t="n">
        <x:f>SUMIFS('Wind Proxy'!$H$8:$H$19,'Wind Proxy'!$A$8:$A$19,'Estimator'!$B$4,'Wind Proxy'!$B$8:$B$19,C4470)</x:f>
        <x:v>0.11350059737156513</x:v>
      </x:c>
    </x:row>
    <x:row r="4471">
      <x:c r="A4471" s="379" t="n">
        <x:v>50122</x:v>
      </x:c>
      <x:c r="B4471" s="380" t="n">
        <x:v>2037</x:v>
      </x:c>
      <x:c r="C4471" s="380" t="n">
        <x:v>3</x:v>
      </x:c>
      <x:c r="D4471" s="380" t="str">
        <x:v>Mar</x:v>
      </x:c>
      <x:c r="E4471" s="380" t="n">
        <x:v>23</x:v>
      </x:c>
      <x:c r="F4471" s="380" t="n">
        <x:v>1</x:v>
      </x:c>
      <x:c r="G4471" s="380" t="n">
        <x:f>--(F4471&lt;='Estimator'!$B$7)</x:f>
        <x:v>1</x:v>
      </x:c>
      <x:c r="H4471" s="381" t="n">
        <x:f>SUMIFS('Climate Data'!$G$7:$G$366,'Climate Data'!$A$7:$A$366,'Estimator'!$B$4,'Climate Data'!$B$7:$B$366,C4471)</x:f>
        <x:v>0.24916573971078979</x:v>
      </x:c>
      <x:c r="I4471" s="382" t="n">
        <x:f>SUMIFS('Climate Data'!$H$7:$H$366,'Climate Data'!$A$7:$A$366,'Estimator'!$B$4,'Climate Data'!$B$7:$B$366,C4471)</x:f>
        <x:v>9.709821428571429</x:v>
      </x:c>
      <x:c r="J4471" s="381" t="n">
        <x:f>SUMIFS('Wind Proxy'!$H$8:$H$19,'Wind Proxy'!$A$8:$A$19,'Estimator'!$B$4,'Wind Proxy'!$B$8:$B$19,C4471)</x:f>
        <x:v>0.11350059737156513</x:v>
      </x:c>
    </x:row>
    <x:row r="4472">
      <x:c r="A4472" s="379" t="n">
        <x:v>50123</x:v>
      </x:c>
      <x:c r="B4472" s="380" t="n">
        <x:v>2037</x:v>
      </x:c>
      <x:c r="C4472" s="380" t="n">
        <x:v>3</x:v>
      </x:c>
      <x:c r="D4472" s="380" t="str">
        <x:v>Mar</x:v>
      </x:c>
      <x:c r="E4472" s="380" t="n">
        <x:v>24</x:v>
      </x:c>
      <x:c r="F4472" s="380" t="n">
        <x:v>2</x:v>
      </x:c>
      <x:c r="G4472" s="380" t="n">
        <x:f>--(F4472&lt;='Estimator'!$B$7)</x:f>
        <x:v>1</x:v>
      </x:c>
      <x:c r="H4472" s="381" t="n">
        <x:f>SUMIFS('Climate Data'!$G$7:$G$366,'Climate Data'!$A$7:$A$366,'Estimator'!$B$4,'Climate Data'!$B$7:$B$366,C4472)</x:f>
        <x:v>0.24916573971078979</x:v>
      </x:c>
      <x:c r="I4472" s="382" t="n">
        <x:f>SUMIFS('Climate Data'!$H$7:$H$366,'Climate Data'!$A$7:$A$366,'Estimator'!$B$4,'Climate Data'!$B$7:$B$366,C4472)</x:f>
        <x:v>9.709821428571429</x:v>
      </x:c>
      <x:c r="J4472" s="381" t="n">
        <x:f>SUMIFS('Wind Proxy'!$H$8:$H$19,'Wind Proxy'!$A$8:$A$19,'Estimator'!$B$4,'Wind Proxy'!$B$8:$B$19,C4472)</x:f>
        <x:v>0.11350059737156513</x:v>
      </x:c>
    </x:row>
    <x:row r="4473">
      <x:c r="A4473" s="379" t="n">
        <x:v>50124</x:v>
      </x:c>
      <x:c r="B4473" s="380" t="n">
        <x:v>2037</x:v>
      </x:c>
      <x:c r="C4473" s="380" t="n">
        <x:v>3</x:v>
      </x:c>
      <x:c r="D4473" s="380" t="str">
        <x:v>Mar</x:v>
      </x:c>
      <x:c r="E4473" s="380" t="n">
        <x:v>25</x:v>
      </x:c>
      <x:c r="F4473" s="380" t="n">
        <x:v>3</x:v>
      </x:c>
      <x:c r="G4473" s="380" t="n">
        <x:f>--(F4473&lt;='Estimator'!$B$7)</x:f>
        <x:v>1</x:v>
      </x:c>
      <x:c r="H4473" s="381" t="n">
        <x:f>SUMIFS('Climate Data'!$G$7:$G$366,'Climate Data'!$A$7:$A$366,'Estimator'!$B$4,'Climate Data'!$B$7:$B$366,C4473)</x:f>
        <x:v>0.24916573971078979</x:v>
      </x:c>
      <x:c r="I4473" s="382" t="n">
        <x:f>SUMIFS('Climate Data'!$H$7:$H$366,'Climate Data'!$A$7:$A$366,'Estimator'!$B$4,'Climate Data'!$B$7:$B$366,C4473)</x:f>
        <x:v>9.709821428571429</x:v>
      </x:c>
      <x:c r="J4473" s="381" t="n">
        <x:f>SUMIFS('Wind Proxy'!$H$8:$H$19,'Wind Proxy'!$A$8:$A$19,'Estimator'!$B$4,'Wind Proxy'!$B$8:$B$19,C4473)</x:f>
        <x:v>0.11350059737156513</x:v>
      </x:c>
    </x:row>
    <x:row r="4474">
      <x:c r="A4474" s="379" t="n">
        <x:v>50125</x:v>
      </x:c>
      <x:c r="B4474" s="380" t="n">
        <x:v>2037</x:v>
      </x:c>
      <x:c r="C4474" s="380" t="n">
        <x:v>3</x:v>
      </x:c>
      <x:c r="D4474" s="380" t="str">
        <x:v>Mar</x:v>
      </x:c>
      <x:c r="E4474" s="380" t="n">
        <x:v>26</x:v>
      </x:c>
      <x:c r="F4474" s="380" t="n">
        <x:v>4</x:v>
      </x:c>
      <x:c r="G4474" s="380" t="n">
        <x:f>--(F4474&lt;='Estimator'!$B$7)</x:f>
        <x:v>1</x:v>
      </x:c>
      <x:c r="H4474" s="381" t="n">
        <x:f>SUMIFS('Climate Data'!$G$7:$G$366,'Climate Data'!$A$7:$A$366,'Estimator'!$B$4,'Climate Data'!$B$7:$B$366,C4474)</x:f>
        <x:v>0.24916573971078979</x:v>
      </x:c>
      <x:c r="I4474" s="382" t="n">
        <x:f>SUMIFS('Climate Data'!$H$7:$H$366,'Climate Data'!$A$7:$A$366,'Estimator'!$B$4,'Climate Data'!$B$7:$B$366,C4474)</x:f>
        <x:v>9.709821428571429</x:v>
      </x:c>
      <x:c r="J4474" s="381" t="n">
        <x:f>SUMIFS('Wind Proxy'!$H$8:$H$19,'Wind Proxy'!$A$8:$A$19,'Estimator'!$B$4,'Wind Proxy'!$B$8:$B$19,C4474)</x:f>
        <x:v>0.11350059737156513</x:v>
      </x:c>
    </x:row>
    <x:row r="4475">
      <x:c r="A4475" s="379" t="n">
        <x:v>50126</x:v>
      </x:c>
      <x:c r="B4475" s="380" t="n">
        <x:v>2037</x:v>
      </x:c>
      <x:c r="C4475" s="380" t="n">
        <x:v>3</x:v>
      </x:c>
      <x:c r="D4475" s="380" t="str">
        <x:v>Mar</x:v>
      </x:c>
      <x:c r="E4475" s="380" t="n">
        <x:v>27</x:v>
      </x:c>
      <x:c r="F4475" s="380" t="n">
        <x:v>5</x:v>
      </x:c>
      <x:c r="G4475" s="380" t="n">
        <x:f>--(F4475&lt;='Estimator'!$B$7)</x:f>
        <x:v>1</x:v>
      </x:c>
      <x:c r="H4475" s="381" t="n">
        <x:f>SUMIFS('Climate Data'!$G$7:$G$366,'Climate Data'!$A$7:$A$366,'Estimator'!$B$4,'Climate Data'!$B$7:$B$366,C4475)</x:f>
        <x:v>0.24916573971078979</x:v>
      </x:c>
      <x:c r="I4475" s="382" t="n">
        <x:f>SUMIFS('Climate Data'!$H$7:$H$366,'Climate Data'!$A$7:$A$366,'Estimator'!$B$4,'Climate Data'!$B$7:$B$366,C4475)</x:f>
        <x:v>9.709821428571429</x:v>
      </x:c>
      <x:c r="J4475" s="381" t="n">
        <x:f>SUMIFS('Wind Proxy'!$H$8:$H$19,'Wind Proxy'!$A$8:$A$19,'Estimator'!$B$4,'Wind Proxy'!$B$8:$B$19,C4475)</x:f>
        <x:v>0.11350059737156513</x:v>
      </x:c>
    </x:row>
    <x:row r="4476">
      <x:c r="A4476" s="379" t="n">
        <x:v>50127</x:v>
      </x:c>
      <x:c r="B4476" s="380" t="n">
        <x:v>2037</x:v>
      </x:c>
      <x:c r="C4476" s="380" t="n">
        <x:v>3</x:v>
      </x:c>
      <x:c r="D4476" s="380" t="str">
        <x:v>Mar</x:v>
      </x:c>
      <x:c r="E4476" s="380" t="n">
        <x:v>28</x:v>
      </x:c>
      <x:c r="F4476" s="380" t="n">
        <x:v>6</x:v>
      </x:c>
      <x:c r="G4476" s="380" t="n">
        <x:f>--(F4476&lt;='Estimator'!$B$7)</x:f>
        <x:v>0</x:v>
      </x:c>
      <x:c r="H4476" s="381" t="n">
        <x:f>SUMIFS('Climate Data'!$G$7:$G$366,'Climate Data'!$A$7:$A$366,'Estimator'!$B$4,'Climate Data'!$B$7:$B$366,C4476)</x:f>
        <x:v>0.24916573971078979</x:v>
      </x:c>
      <x:c r="I4476" s="382" t="n">
        <x:f>SUMIFS('Climate Data'!$H$7:$H$366,'Climate Data'!$A$7:$A$366,'Estimator'!$B$4,'Climate Data'!$B$7:$B$366,C4476)</x:f>
        <x:v>9.709821428571429</x:v>
      </x:c>
      <x:c r="J4476" s="381" t="n">
        <x:f>SUMIFS('Wind Proxy'!$H$8:$H$19,'Wind Proxy'!$A$8:$A$19,'Estimator'!$B$4,'Wind Proxy'!$B$8:$B$19,C4476)</x:f>
        <x:v>0.11350059737156513</x:v>
      </x:c>
    </x:row>
    <x:row r="4477">
      <x:c r="A4477" s="379" t="n">
        <x:v>50128</x:v>
      </x:c>
      <x:c r="B4477" s="380" t="n">
        <x:v>2037</x:v>
      </x:c>
      <x:c r="C4477" s="380" t="n">
        <x:v>3</x:v>
      </x:c>
      <x:c r="D4477" s="380" t="str">
        <x:v>Mar</x:v>
      </x:c>
      <x:c r="E4477" s="380" t="n">
        <x:v>29</x:v>
      </x:c>
      <x:c r="F4477" s="380" t="n">
        <x:v>7</x:v>
      </x:c>
      <x:c r="G4477" s="380" t="n">
        <x:f>--(F4477&lt;='Estimator'!$B$7)</x:f>
        <x:v>0</x:v>
      </x:c>
      <x:c r="H4477" s="381" t="n">
        <x:f>SUMIFS('Climate Data'!$G$7:$G$366,'Climate Data'!$A$7:$A$366,'Estimator'!$B$4,'Climate Data'!$B$7:$B$366,C4477)</x:f>
        <x:v>0.24916573971078979</x:v>
      </x:c>
      <x:c r="I4477" s="382" t="n">
        <x:f>SUMIFS('Climate Data'!$H$7:$H$366,'Climate Data'!$A$7:$A$366,'Estimator'!$B$4,'Climate Data'!$B$7:$B$366,C4477)</x:f>
        <x:v>9.709821428571429</x:v>
      </x:c>
      <x:c r="J4477" s="381" t="n">
        <x:f>SUMIFS('Wind Proxy'!$H$8:$H$19,'Wind Proxy'!$A$8:$A$19,'Estimator'!$B$4,'Wind Proxy'!$B$8:$B$19,C4477)</x:f>
        <x:v>0.11350059737156513</x:v>
      </x:c>
    </x:row>
    <x:row r="4478">
      <x:c r="A4478" s="379" t="n">
        <x:v>50129</x:v>
      </x:c>
      <x:c r="B4478" s="380" t="n">
        <x:v>2037</x:v>
      </x:c>
      <x:c r="C4478" s="380" t="n">
        <x:v>3</x:v>
      </x:c>
      <x:c r="D4478" s="380" t="str">
        <x:v>Mar</x:v>
      </x:c>
      <x:c r="E4478" s="380" t="n">
        <x:v>30</x:v>
      </x:c>
      <x:c r="F4478" s="380" t="n">
        <x:v>1</x:v>
      </x:c>
      <x:c r="G4478" s="380" t="n">
        <x:f>--(F4478&lt;='Estimator'!$B$7)</x:f>
        <x:v>1</x:v>
      </x:c>
      <x:c r="H4478" s="381" t="n">
        <x:f>SUMIFS('Climate Data'!$G$7:$G$366,'Climate Data'!$A$7:$A$366,'Estimator'!$B$4,'Climate Data'!$B$7:$B$366,C4478)</x:f>
        <x:v>0.24916573971078979</x:v>
      </x:c>
      <x:c r="I4478" s="382" t="n">
        <x:f>SUMIFS('Climate Data'!$H$7:$H$366,'Climate Data'!$A$7:$A$366,'Estimator'!$B$4,'Climate Data'!$B$7:$B$366,C4478)</x:f>
        <x:v>9.709821428571429</x:v>
      </x:c>
      <x:c r="J4478" s="381" t="n">
        <x:f>SUMIFS('Wind Proxy'!$H$8:$H$19,'Wind Proxy'!$A$8:$A$19,'Estimator'!$B$4,'Wind Proxy'!$B$8:$B$19,C4478)</x:f>
        <x:v>0.11350059737156513</x:v>
      </x:c>
    </x:row>
    <x:row r="4479">
      <x:c r="A4479" s="379" t="n">
        <x:v>50130</x:v>
      </x:c>
      <x:c r="B4479" s="380" t="n">
        <x:v>2037</x:v>
      </x:c>
      <x:c r="C4479" s="380" t="n">
        <x:v>3</x:v>
      </x:c>
      <x:c r="D4479" s="380" t="str">
        <x:v>Mar</x:v>
      </x:c>
      <x:c r="E4479" s="380" t="n">
        <x:v>31</x:v>
      </x:c>
      <x:c r="F4479" s="380" t="n">
        <x:v>2</x:v>
      </x:c>
      <x:c r="G4479" s="380" t="n">
        <x:f>--(F4479&lt;='Estimator'!$B$7)</x:f>
        <x:v>1</x:v>
      </x:c>
      <x:c r="H4479" s="381" t="n">
        <x:f>SUMIFS('Climate Data'!$G$7:$G$366,'Climate Data'!$A$7:$A$366,'Estimator'!$B$4,'Climate Data'!$B$7:$B$366,C4479)</x:f>
        <x:v>0.24916573971078979</x:v>
      </x:c>
      <x:c r="I4479" s="382" t="n">
        <x:f>SUMIFS('Climate Data'!$H$7:$H$366,'Climate Data'!$A$7:$A$366,'Estimator'!$B$4,'Climate Data'!$B$7:$B$366,C4479)</x:f>
        <x:v>9.709821428571429</x:v>
      </x:c>
      <x:c r="J4479" s="381" t="n">
        <x:f>SUMIFS('Wind Proxy'!$H$8:$H$19,'Wind Proxy'!$A$8:$A$19,'Estimator'!$B$4,'Wind Proxy'!$B$8:$B$19,C4479)</x:f>
        <x:v>0.11350059737156513</x:v>
      </x:c>
    </x:row>
    <x:row r="4480">
      <x:c r="A4480" s="379" t="n">
        <x:v>50131</x:v>
      </x:c>
      <x:c r="B4480" s="380" t="n">
        <x:v>2037</x:v>
      </x:c>
      <x:c r="C4480" s="380" t="n">
        <x:v>4</x:v>
      </x:c>
      <x:c r="D4480" s="380" t="str">
        <x:v>Apr</x:v>
      </x:c>
      <x:c r="E4480" s="380" t="n">
        <x:v>1</x:v>
      </x:c>
      <x:c r="F4480" s="380" t="n">
        <x:v>3</x:v>
      </x:c>
      <x:c r="G4480" s="380" t="n">
        <x:f>--(F4480&lt;='Estimator'!$B$7)</x:f>
        <x:v>1</x:v>
      </x:c>
      <x:c r="H4480" s="381" t="n">
        <x:f>SUMIFS('Climate Data'!$G$7:$G$366,'Climate Data'!$A$7:$A$366,'Estimator'!$B$4,'Climate Data'!$B$7:$B$366,C4480)</x:f>
        <x:v>0.32023809523809527</x:v>
      </x:c>
      <x:c r="I4480" s="382" t="n">
        <x:f>SUMIFS('Climate Data'!$H$7:$H$366,'Climate Data'!$A$7:$A$366,'Estimator'!$B$4,'Climate Data'!$B$7:$B$366,C4480)</x:f>
        <x:v>9.066171003717471</x:v>
      </x:c>
      <x:c r="J4480" s="381" t="n">
        <x:f>SUMIFS('Wind Proxy'!$H$8:$H$19,'Wind Proxy'!$A$8:$A$19,'Estimator'!$B$4,'Wind Proxy'!$B$8:$B$19,C4480)</x:f>
        <x:v>0.11728395061728397</x:v>
      </x:c>
    </x:row>
    <x:row r="4481">
      <x:c r="A4481" s="379" t="n">
        <x:v>50132</x:v>
      </x:c>
      <x:c r="B4481" s="380" t="n">
        <x:v>2037</x:v>
      </x:c>
      <x:c r="C4481" s="380" t="n">
        <x:v>4</x:v>
      </x:c>
      <x:c r="D4481" s="380" t="str">
        <x:v>Apr</x:v>
      </x:c>
      <x:c r="E4481" s="380" t="n">
        <x:v>2</x:v>
      </x:c>
      <x:c r="F4481" s="380" t="n">
        <x:v>4</x:v>
      </x:c>
      <x:c r="G4481" s="380" t="n">
        <x:f>--(F4481&lt;='Estimator'!$B$7)</x:f>
        <x:v>1</x:v>
      </x:c>
      <x:c r="H4481" s="381" t="n">
        <x:f>SUMIFS('Climate Data'!$G$7:$G$366,'Climate Data'!$A$7:$A$366,'Estimator'!$B$4,'Climate Data'!$B$7:$B$366,C4481)</x:f>
        <x:v>0.32023809523809527</x:v>
      </x:c>
      <x:c r="I4481" s="382" t="n">
        <x:f>SUMIFS('Climate Data'!$H$7:$H$366,'Climate Data'!$A$7:$A$366,'Estimator'!$B$4,'Climate Data'!$B$7:$B$366,C4481)</x:f>
        <x:v>9.066171003717471</x:v>
      </x:c>
      <x:c r="J4481" s="381" t="n">
        <x:f>SUMIFS('Wind Proxy'!$H$8:$H$19,'Wind Proxy'!$A$8:$A$19,'Estimator'!$B$4,'Wind Proxy'!$B$8:$B$19,C4481)</x:f>
        <x:v>0.11728395061728397</x:v>
      </x:c>
    </x:row>
    <x:row r="4482">
      <x:c r="A4482" s="379" t="n">
        <x:v>50133</x:v>
      </x:c>
      <x:c r="B4482" s="380" t="n">
        <x:v>2037</x:v>
      </x:c>
      <x:c r="C4482" s="380" t="n">
        <x:v>4</x:v>
      </x:c>
      <x:c r="D4482" s="380" t="str">
        <x:v>Apr</x:v>
      </x:c>
      <x:c r="E4482" s="380" t="n">
        <x:v>3</x:v>
      </x:c>
      <x:c r="F4482" s="380" t="n">
        <x:v>5</x:v>
      </x:c>
      <x:c r="G4482" s="380" t="n">
        <x:f>--(F4482&lt;='Estimator'!$B$7)</x:f>
        <x:v>1</x:v>
      </x:c>
      <x:c r="H4482" s="381" t="n">
        <x:f>SUMIFS('Climate Data'!$G$7:$G$366,'Climate Data'!$A$7:$A$366,'Estimator'!$B$4,'Climate Data'!$B$7:$B$366,C4482)</x:f>
        <x:v>0.32023809523809527</x:v>
      </x:c>
      <x:c r="I4482" s="382" t="n">
        <x:f>SUMIFS('Climate Data'!$H$7:$H$366,'Climate Data'!$A$7:$A$366,'Estimator'!$B$4,'Climate Data'!$B$7:$B$366,C4482)</x:f>
        <x:v>9.066171003717471</x:v>
      </x:c>
      <x:c r="J4482" s="381" t="n">
        <x:f>SUMIFS('Wind Proxy'!$H$8:$H$19,'Wind Proxy'!$A$8:$A$19,'Estimator'!$B$4,'Wind Proxy'!$B$8:$B$19,C4482)</x:f>
        <x:v>0.11728395061728397</x:v>
      </x:c>
    </x:row>
    <x:row r="4483">
      <x:c r="A4483" s="379" t="n">
        <x:v>50134</x:v>
      </x:c>
      <x:c r="B4483" s="380" t="n">
        <x:v>2037</x:v>
      </x:c>
      <x:c r="C4483" s="380" t="n">
        <x:v>4</x:v>
      </x:c>
      <x:c r="D4483" s="380" t="str">
        <x:v>Apr</x:v>
      </x:c>
      <x:c r="E4483" s="380" t="n">
        <x:v>4</x:v>
      </x:c>
      <x:c r="F4483" s="380" t="n">
        <x:v>6</x:v>
      </x:c>
      <x:c r="G4483" s="380" t="n">
        <x:f>--(F4483&lt;='Estimator'!$B$7)</x:f>
        <x:v>0</x:v>
      </x:c>
      <x:c r="H4483" s="381" t="n">
        <x:f>SUMIFS('Climate Data'!$G$7:$G$366,'Climate Data'!$A$7:$A$366,'Estimator'!$B$4,'Climate Data'!$B$7:$B$366,C4483)</x:f>
        <x:v>0.32023809523809527</x:v>
      </x:c>
      <x:c r="I4483" s="382" t="n">
        <x:f>SUMIFS('Climate Data'!$H$7:$H$366,'Climate Data'!$A$7:$A$366,'Estimator'!$B$4,'Climate Data'!$B$7:$B$366,C4483)</x:f>
        <x:v>9.066171003717471</x:v>
      </x:c>
      <x:c r="J4483" s="381" t="n">
        <x:f>SUMIFS('Wind Proxy'!$H$8:$H$19,'Wind Proxy'!$A$8:$A$19,'Estimator'!$B$4,'Wind Proxy'!$B$8:$B$19,C4483)</x:f>
        <x:v>0.11728395061728397</x:v>
      </x:c>
    </x:row>
    <x:row r="4484">
      <x:c r="A4484" s="379" t="n">
        <x:v>50135</x:v>
      </x:c>
      <x:c r="B4484" s="380" t="n">
        <x:v>2037</x:v>
      </x:c>
      <x:c r="C4484" s="380" t="n">
        <x:v>4</x:v>
      </x:c>
      <x:c r="D4484" s="380" t="str">
        <x:v>Apr</x:v>
      </x:c>
      <x:c r="E4484" s="380" t="n">
        <x:v>5</x:v>
      </x:c>
      <x:c r="F4484" s="380" t="n">
        <x:v>7</x:v>
      </x:c>
      <x:c r="G4484" s="380" t="n">
        <x:f>--(F4484&lt;='Estimator'!$B$7)</x:f>
        <x:v>0</x:v>
      </x:c>
      <x:c r="H4484" s="381" t="n">
        <x:f>SUMIFS('Climate Data'!$G$7:$G$366,'Climate Data'!$A$7:$A$366,'Estimator'!$B$4,'Climate Data'!$B$7:$B$366,C4484)</x:f>
        <x:v>0.32023809523809527</x:v>
      </x:c>
      <x:c r="I4484" s="382" t="n">
        <x:f>SUMIFS('Climate Data'!$H$7:$H$366,'Climate Data'!$A$7:$A$366,'Estimator'!$B$4,'Climate Data'!$B$7:$B$366,C4484)</x:f>
        <x:v>9.066171003717471</x:v>
      </x:c>
      <x:c r="J4484" s="381" t="n">
        <x:f>SUMIFS('Wind Proxy'!$H$8:$H$19,'Wind Proxy'!$A$8:$A$19,'Estimator'!$B$4,'Wind Proxy'!$B$8:$B$19,C4484)</x:f>
        <x:v>0.11728395061728397</x:v>
      </x:c>
    </x:row>
    <x:row r="4485">
      <x:c r="A4485" s="379" t="n">
        <x:v>50136</x:v>
      </x:c>
      <x:c r="B4485" s="380" t="n">
        <x:v>2037</x:v>
      </x:c>
      <x:c r="C4485" s="380" t="n">
        <x:v>4</x:v>
      </x:c>
      <x:c r="D4485" s="380" t="str">
        <x:v>Apr</x:v>
      </x:c>
      <x:c r="E4485" s="380" t="n">
        <x:v>6</x:v>
      </x:c>
      <x:c r="F4485" s="380" t="n">
        <x:v>1</x:v>
      </x:c>
      <x:c r="G4485" s="380" t="n">
        <x:f>--(F4485&lt;='Estimator'!$B$7)</x:f>
        <x:v>1</x:v>
      </x:c>
      <x:c r="H4485" s="381" t="n">
        <x:f>SUMIFS('Climate Data'!$G$7:$G$366,'Climate Data'!$A$7:$A$366,'Estimator'!$B$4,'Climate Data'!$B$7:$B$366,C4485)</x:f>
        <x:v>0.32023809523809527</x:v>
      </x:c>
      <x:c r="I4485" s="382" t="n">
        <x:f>SUMIFS('Climate Data'!$H$7:$H$366,'Climate Data'!$A$7:$A$366,'Estimator'!$B$4,'Climate Data'!$B$7:$B$366,C4485)</x:f>
        <x:v>9.066171003717471</x:v>
      </x:c>
      <x:c r="J4485" s="381" t="n">
        <x:f>SUMIFS('Wind Proxy'!$H$8:$H$19,'Wind Proxy'!$A$8:$A$19,'Estimator'!$B$4,'Wind Proxy'!$B$8:$B$19,C4485)</x:f>
        <x:v>0.11728395061728397</x:v>
      </x:c>
    </x:row>
    <x:row r="4486">
      <x:c r="A4486" s="379" t="n">
        <x:v>50137</x:v>
      </x:c>
      <x:c r="B4486" s="380" t="n">
        <x:v>2037</x:v>
      </x:c>
      <x:c r="C4486" s="380" t="n">
        <x:v>4</x:v>
      </x:c>
      <x:c r="D4486" s="380" t="str">
        <x:v>Apr</x:v>
      </x:c>
      <x:c r="E4486" s="380" t="n">
        <x:v>7</x:v>
      </x:c>
      <x:c r="F4486" s="380" t="n">
        <x:v>2</x:v>
      </x:c>
      <x:c r="G4486" s="380" t="n">
        <x:f>--(F4486&lt;='Estimator'!$B$7)</x:f>
        <x:v>1</x:v>
      </x:c>
      <x:c r="H4486" s="381" t="n">
        <x:f>SUMIFS('Climate Data'!$G$7:$G$366,'Climate Data'!$A$7:$A$366,'Estimator'!$B$4,'Climate Data'!$B$7:$B$366,C4486)</x:f>
        <x:v>0.32023809523809527</x:v>
      </x:c>
      <x:c r="I4486" s="382" t="n">
        <x:f>SUMIFS('Climate Data'!$H$7:$H$366,'Climate Data'!$A$7:$A$366,'Estimator'!$B$4,'Climate Data'!$B$7:$B$366,C4486)</x:f>
        <x:v>9.066171003717471</x:v>
      </x:c>
      <x:c r="J4486" s="381" t="n">
        <x:f>SUMIFS('Wind Proxy'!$H$8:$H$19,'Wind Proxy'!$A$8:$A$19,'Estimator'!$B$4,'Wind Proxy'!$B$8:$B$19,C4486)</x:f>
        <x:v>0.11728395061728397</x:v>
      </x:c>
    </x:row>
    <x:row r="4487">
      <x:c r="A4487" s="379" t="n">
        <x:v>50138</x:v>
      </x:c>
      <x:c r="B4487" s="380" t="n">
        <x:v>2037</x:v>
      </x:c>
      <x:c r="C4487" s="380" t="n">
        <x:v>4</x:v>
      </x:c>
      <x:c r="D4487" s="380" t="str">
        <x:v>Apr</x:v>
      </x:c>
      <x:c r="E4487" s="380" t="n">
        <x:v>8</x:v>
      </x:c>
      <x:c r="F4487" s="380" t="n">
        <x:v>3</x:v>
      </x:c>
      <x:c r="G4487" s="380" t="n">
        <x:f>--(F4487&lt;='Estimator'!$B$7)</x:f>
        <x:v>1</x:v>
      </x:c>
      <x:c r="H4487" s="381" t="n">
        <x:f>SUMIFS('Climate Data'!$G$7:$G$366,'Climate Data'!$A$7:$A$366,'Estimator'!$B$4,'Climate Data'!$B$7:$B$366,C4487)</x:f>
        <x:v>0.32023809523809527</x:v>
      </x:c>
      <x:c r="I4487" s="382" t="n">
        <x:f>SUMIFS('Climate Data'!$H$7:$H$366,'Climate Data'!$A$7:$A$366,'Estimator'!$B$4,'Climate Data'!$B$7:$B$366,C4487)</x:f>
        <x:v>9.066171003717471</x:v>
      </x:c>
      <x:c r="J4487" s="381" t="n">
        <x:f>SUMIFS('Wind Proxy'!$H$8:$H$19,'Wind Proxy'!$A$8:$A$19,'Estimator'!$B$4,'Wind Proxy'!$B$8:$B$19,C4487)</x:f>
        <x:v>0.11728395061728397</x:v>
      </x:c>
    </x:row>
    <x:row r="4488">
      <x:c r="A4488" s="379" t="n">
        <x:v>50139</x:v>
      </x:c>
      <x:c r="B4488" s="380" t="n">
        <x:v>2037</x:v>
      </x:c>
      <x:c r="C4488" s="380" t="n">
        <x:v>4</x:v>
      </x:c>
      <x:c r="D4488" s="380" t="str">
        <x:v>Apr</x:v>
      </x:c>
      <x:c r="E4488" s="380" t="n">
        <x:v>9</x:v>
      </x:c>
      <x:c r="F4488" s="380" t="n">
        <x:v>4</x:v>
      </x:c>
      <x:c r="G4488" s="380" t="n">
        <x:f>--(F4488&lt;='Estimator'!$B$7)</x:f>
        <x:v>1</x:v>
      </x:c>
      <x:c r="H4488" s="381" t="n">
        <x:f>SUMIFS('Climate Data'!$G$7:$G$366,'Climate Data'!$A$7:$A$366,'Estimator'!$B$4,'Climate Data'!$B$7:$B$366,C4488)</x:f>
        <x:v>0.32023809523809527</x:v>
      </x:c>
      <x:c r="I4488" s="382" t="n">
        <x:f>SUMIFS('Climate Data'!$H$7:$H$366,'Climate Data'!$A$7:$A$366,'Estimator'!$B$4,'Climate Data'!$B$7:$B$366,C4488)</x:f>
        <x:v>9.066171003717471</x:v>
      </x:c>
      <x:c r="J4488" s="381" t="n">
        <x:f>SUMIFS('Wind Proxy'!$H$8:$H$19,'Wind Proxy'!$A$8:$A$19,'Estimator'!$B$4,'Wind Proxy'!$B$8:$B$19,C4488)</x:f>
        <x:v>0.11728395061728397</x:v>
      </x:c>
    </x:row>
    <x:row r="4489">
      <x:c r="A4489" s="379" t="n">
        <x:v>50140</x:v>
      </x:c>
      <x:c r="B4489" s="380" t="n">
        <x:v>2037</x:v>
      </x:c>
      <x:c r="C4489" s="380" t="n">
        <x:v>4</x:v>
      </x:c>
      <x:c r="D4489" s="380" t="str">
        <x:v>Apr</x:v>
      </x:c>
      <x:c r="E4489" s="380" t="n">
        <x:v>10</x:v>
      </x:c>
      <x:c r="F4489" s="380" t="n">
        <x:v>5</x:v>
      </x:c>
      <x:c r="G4489" s="380" t="n">
        <x:f>--(F4489&lt;='Estimator'!$B$7)</x:f>
        <x:v>1</x:v>
      </x:c>
      <x:c r="H4489" s="381" t="n">
        <x:f>SUMIFS('Climate Data'!$G$7:$G$366,'Climate Data'!$A$7:$A$366,'Estimator'!$B$4,'Climate Data'!$B$7:$B$366,C4489)</x:f>
        <x:v>0.32023809523809527</x:v>
      </x:c>
      <x:c r="I4489" s="382" t="n">
        <x:f>SUMIFS('Climate Data'!$H$7:$H$366,'Climate Data'!$A$7:$A$366,'Estimator'!$B$4,'Climate Data'!$B$7:$B$366,C4489)</x:f>
        <x:v>9.066171003717471</x:v>
      </x:c>
      <x:c r="J4489" s="381" t="n">
        <x:f>SUMIFS('Wind Proxy'!$H$8:$H$19,'Wind Proxy'!$A$8:$A$19,'Estimator'!$B$4,'Wind Proxy'!$B$8:$B$19,C4489)</x:f>
        <x:v>0.11728395061728397</x:v>
      </x:c>
    </x:row>
    <x:row r="4490">
      <x:c r="A4490" s="379" t="n">
        <x:v>50141</x:v>
      </x:c>
      <x:c r="B4490" s="380" t="n">
        <x:v>2037</x:v>
      </x:c>
      <x:c r="C4490" s="380" t="n">
        <x:v>4</x:v>
      </x:c>
      <x:c r="D4490" s="380" t="str">
        <x:v>Apr</x:v>
      </x:c>
      <x:c r="E4490" s="380" t="n">
        <x:v>11</x:v>
      </x:c>
      <x:c r="F4490" s="380" t="n">
        <x:v>6</x:v>
      </x:c>
      <x:c r="G4490" s="380" t="n">
        <x:f>--(F4490&lt;='Estimator'!$B$7)</x:f>
        <x:v>0</x:v>
      </x:c>
      <x:c r="H4490" s="381" t="n">
        <x:f>SUMIFS('Climate Data'!$G$7:$G$366,'Climate Data'!$A$7:$A$366,'Estimator'!$B$4,'Climate Data'!$B$7:$B$366,C4490)</x:f>
        <x:v>0.32023809523809527</x:v>
      </x:c>
      <x:c r="I4490" s="382" t="n">
        <x:f>SUMIFS('Climate Data'!$H$7:$H$366,'Climate Data'!$A$7:$A$366,'Estimator'!$B$4,'Climate Data'!$B$7:$B$366,C4490)</x:f>
        <x:v>9.066171003717471</x:v>
      </x:c>
      <x:c r="J4490" s="381" t="n">
        <x:f>SUMIFS('Wind Proxy'!$H$8:$H$19,'Wind Proxy'!$A$8:$A$19,'Estimator'!$B$4,'Wind Proxy'!$B$8:$B$19,C4490)</x:f>
        <x:v>0.11728395061728397</x:v>
      </x:c>
    </x:row>
    <x:row r="4491">
      <x:c r="A4491" s="379" t="n">
        <x:v>50142</x:v>
      </x:c>
      <x:c r="B4491" s="380" t="n">
        <x:v>2037</x:v>
      </x:c>
      <x:c r="C4491" s="380" t="n">
        <x:v>4</x:v>
      </x:c>
      <x:c r="D4491" s="380" t="str">
        <x:v>Apr</x:v>
      </x:c>
      <x:c r="E4491" s="380" t="n">
        <x:v>12</x:v>
      </x:c>
      <x:c r="F4491" s="380" t="n">
        <x:v>7</x:v>
      </x:c>
      <x:c r="G4491" s="380" t="n">
        <x:f>--(F4491&lt;='Estimator'!$B$7)</x:f>
        <x:v>0</x:v>
      </x:c>
      <x:c r="H4491" s="381" t="n">
        <x:f>SUMIFS('Climate Data'!$G$7:$G$366,'Climate Data'!$A$7:$A$366,'Estimator'!$B$4,'Climate Data'!$B$7:$B$366,C4491)</x:f>
        <x:v>0.32023809523809527</x:v>
      </x:c>
      <x:c r="I4491" s="382" t="n">
        <x:f>SUMIFS('Climate Data'!$H$7:$H$366,'Climate Data'!$A$7:$A$366,'Estimator'!$B$4,'Climate Data'!$B$7:$B$366,C4491)</x:f>
        <x:v>9.066171003717471</x:v>
      </x:c>
      <x:c r="J4491" s="381" t="n">
        <x:f>SUMIFS('Wind Proxy'!$H$8:$H$19,'Wind Proxy'!$A$8:$A$19,'Estimator'!$B$4,'Wind Proxy'!$B$8:$B$19,C4491)</x:f>
        <x:v>0.11728395061728397</x:v>
      </x:c>
    </x:row>
    <x:row r="4492">
      <x:c r="A4492" s="379" t="n">
        <x:v>50143</x:v>
      </x:c>
      <x:c r="B4492" s="380" t="n">
        <x:v>2037</x:v>
      </x:c>
      <x:c r="C4492" s="380" t="n">
        <x:v>4</x:v>
      </x:c>
      <x:c r="D4492" s="380" t="str">
        <x:v>Apr</x:v>
      </x:c>
      <x:c r="E4492" s="380" t="n">
        <x:v>13</x:v>
      </x:c>
      <x:c r="F4492" s="380" t="n">
        <x:v>1</x:v>
      </x:c>
      <x:c r="G4492" s="380" t="n">
        <x:f>--(F4492&lt;='Estimator'!$B$7)</x:f>
        <x:v>1</x:v>
      </x:c>
      <x:c r="H4492" s="381" t="n">
        <x:f>SUMIFS('Climate Data'!$G$7:$G$366,'Climate Data'!$A$7:$A$366,'Estimator'!$B$4,'Climate Data'!$B$7:$B$366,C4492)</x:f>
        <x:v>0.32023809523809527</x:v>
      </x:c>
      <x:c r="I4492" s="382" t="n">
        <x:f>SUMIFS('Climate Data'!$H$7:$H$366,'Climate Data'!$A$7:$A$366,'Estimator'!$B$4,'Climate Data'!$B$7:$B$366,C4492)</x:f>
        <x:v>9.066171003717471</x:v>
      </x:c>
      <x:c r="J4492" s="381" t="n">
        <x:f>SUMIFS('Wind Proxy'!$H$8:$H$19,'Wind Proxy'!$A$8:$A$19,'Estimator'!$B$4,'Wind Proxy'!$B$8:$B$19,C4492)</x:f>
        <x:v>0.11728395061728397</x:v>
      </x:c>
    </x:row>
    <x:row r="4493">
      <x:c r="A4493" s="379" t="n">
        <x:v>50144</x:v>
      </x:c>
      <x:c r="B4493" s="380" t="n">
        <x:v>2037</x:v>
      </x:c>
      <x:c r="C4493" s="380" t="n">
        <x:v>4</x:v>
      </x:c>
      <x:c r="D4493" s="380" t="str">
        <x:v>Apr</x:v>
      </x:c>
      <x:c r="E4493" s="380" t="n">
        <x:v>14</x:v>
      </x:c>
      <x:c r="F4493" s="380" t="n">
        <x:v>2</x:v>
      </x:c>
      <x:c r="G4493" s="380" t="n">
        <x:f>--(F4493&lt;='Estimator'!$B$7)</x:f>
        <x:v>1</x:v>
      </x:c>
      <x:c r="H4493" s="381" t="n">
        <x:f>SUMIFS('Climate Data'!$G$7:$G$366,'Climate Data'!$A$7:$A$366,'Estimator'!$B$4,'Climate Data'!$B$7:$B$366,C4493)</x:f>
        <x:v>0.32023809523809527</x:v>
      </x:c>
      <x:c r="I4493" s="382" t="n">
        <x:f>SUMIFS('Climate Data'!$H$7:$H$366,'Climate Data'!$A$7:$A$366,'Estimator'!$B$4,'Climate Data'!$B$7:$B$366,C4493)</x:f>
        <x:v>9.066171003717471</x:v>
      </x:c>
      <x:c r="J4493" s="381" t="n">
        <x:f>SUMIFS('Wind Proxy'!$H$8:$H$19,'Wind Proxy'!$A$8:$A$19,'Estimator'!$B$4,'Wind Proxy'!$B$8:$B$19,C4493)</x:f>
        <x:v>0.11728395061728397</x:v>
      </x:c>
    </x:row>
    <x:row r="4494">
      <x:c r="A4494" s="379" t="n">
        <x:v>50145</x:v>
      </x:c>
      <x:c r="B4494" s="380" t="n">
        <x:v>2037</x:v>
      </x:c>
      <x:c r="C4494" s="380" t="n">
        <x:v>4</x:v>
      </x:c>
      <x:c r="D4494" s="380" t="str">
        <x:v>Apr</x:v>
      </x:c>
      <x:c r="E4494" s="380" t="n">
        <x:v>15</x:v>
      </x:c>
      <x:c r="F4494" s="380" t="n">
        <x:v>3</x:v>
      </x:c>
      <x:c r="G4494" s="380" t="n">
        <x:f>--(F4494&lt;='Estimator'!$B$7)</x:f>
        <x:v>1</x:v>
      </x:c>
      <x:c r="H4494" s="381" t="n">
        <x:f>SUMIFS('Climate Data'!$G$7:$G$366,'Climate Data'!$A$7:$A$366,'Estimator'!$B$4,'Climate Data'!$B$7:$B$366,C4494)</x:f>
        <x:v>0.32023809523809527</x:v>
      </x:c>
      <x:c r="I4494" s="382" t="n">
        <x:f>SUMIFS('Climate Data'!$H$7:$H$366,'Climate Data'!$A$7:$A$366,'Estimator'!$B$4,'Climate Data'!$B$7:$B$366,C4494)</x:f>
        <x:v>9.066171003717471</x:v>
      </x:c>
      <x:c r="J4494" s="381" t="n">
        <x:f>SUMIFS('Wind Proxy'!$H$8:$H$19,'Wind Proxy'!$A$8:$A$19,'Estimator'!$B$4,'Wind Proxy'!$B$8:$B$19,C4494)</x:f>
        <x:v>0.11728395061728397</x:v>
      </x:c>
    </x:row>
    <x:row r="4495">
      <x:c r="A4495" s="379" t="n">
        <x:v>50146</x:v>
      </x:c>
      <x:c r="B4495" s="380" t="n">
        <x:v>2037</x:v>
      </x:c>
      <x:c r="C4495" s="380" t="n">
        <x:v>4</x:v>
      </x:c>
      <x:c r="D4495" s="380" t="str">
        <x:v>Apr</x:v>
      </x:c>
      <x:c r="E4495" s="380" t="n">
        <x:v>16</x:v>
      </x:c>
      <x:c r="F4495" s="380" t="n">
        <x:v>4</x:v>
      </x:c>
      <x:c r="G4495" s="380" t="n">
        <x:f>--(F4495&lt;='Estimator'!$B$7)</x:f>
        <x:v>1</x:v>
      </x:c>
      <x:c r="H4495" s="381" t="n">
        <x:f>SUMIFS('Climate Data'!$G$7:$G$366,'Climate Data'!$A$7:$A$366,'Estimator'!$B$4,'Climate Data'!$B$7:$B$366,C4495)</x:f>
        <x:v>0.32023809523809527</x:v>
      </x:c>
      <x:c r="I4495" s="382" t="n">
        <x:f>SUMIFS('Climate Data'!$H$7:$H$366,'Climate Data'!$A$7:$A$366,'Estimator'!$B$4,'Climate Data'!$B$7:$B$366,C4495)</x:f>
        <x:v>9.066171003717471</x:v>
      </x:c>
      <x:c r="J4495" s="381" t="n">
        <x:f>SUMIFS('Wind Proxy'!$H$8:$H$19,'Wind Proxy'!$A$8:$A$19,'Estimator'!$B$4,'Wind Proxy'!$B$8:$B$19,C4495)</x:f>
        <x:v>0.11728395061728397</x:v>
      </x:c>
    </x:row>
    <x:row r="4496">
      <x:c r="A4496" s="379" t="n">
        <x:v>50147</x:v>
      </x:c>
      <x:c r="B4496" s="380" t="n">
        <x:v>2037</x:v>
      </x:c>
      <x:c r="C4496" s="380" t="n">
        <x:v>4</x:v>
      </x:c>
      <x:c r="D4496" s="380" t="str">
        <x:v>Apr</x:v>
      </x:c>
      <x:c r="E4496" s="380" t="n">
        <x:v>17</x:v>
      </x:c>
      <x:c r="F4496" s="380" t="n">
        <x:v>5</x:v>
      </x:c>
      <x:c r="G4496" s="380" t="n">
        <x:f>--(F4496&lt;='Estimator'!$B$7)</x:f>
        <x:v>1</x:v>
      </x:c>
      <x:c r="H4496" s="381" t="n">
        <x:f>SUMIFS('Climate Data'!$G$7:$G$366,'Climate Data'!$A$7:$A$366,'Estimator'!$B$4,'Climate Data'!$B$7:$B$366,C4496)</x:f>
        <x:v>0.32023809523809527</x:v>
      </x:c>
      <x:c r="I4496" s="382" t="n">
        <x:f>SUMIFS('Climate Data'!$H$7:$H$366,'Climate Data'!$A$7:$A$366,'Estimator'!$B$4,'Climate Data'!$B$7:$B$366,C4496)</x:f>
        <x:v>9.066171003717471</x:v>
      </x:c>
      <x:c r="J4496" s="381" t="n">
        <x:f>SUMIFS('Wind Proxy'!$H$8:$H$19,'Wind Proxy'!$A$8:$A$19,'Estimator'!$B$4,'Wind Proxy'!$B$8:$B$19,C4496)</x:f>
        <x:v>0.11728395061728397</x:v>
      </x:c>
    </x:row>
    <x:row r="4497">
      <x:c r="A4497" s="379" t="n">
        <x:v>50148</x:v>
      </x:c>
      <x:c r="B4497" s="380" t="n">
        <x:v>2037</x:v>
      </x:c>
      <x:c r="C4497" s="380" t="n">
        <x:v>4</x:v>
      </x:c>
      <x:c r="D4497" s="380" t="str">
        <x:v>Apr</x:v>
      </x:c>
      <x:c r="E4497" s="380" t="n">
        <x:v>18</x:v>
      </x:c>
      <x:c r="F4497" s="380" t="n">
        <x:v>6</x:v>
      </x:c>
      <x:c r="G4497" s="380" t="n">
        <x:f>--(F4497&lt;='Estimator'!$B$7)</x:f>
        <x:v>0</x:v>
      </x:c>
      <x:c r="H4497" s="381" t="n">
        <x:f>SUMIFS('Climate Data'!$G$7:$G$366,'Climate Data'!$A$7:$A$366,'Estimator'!$B$4,'Climate Data'!$B$7:$B$366,C4497)</x:f>
        <x:v>0.32023809523809527</x:v>
      </x:c>
      <x:c r="I4497" s="382" t="n">
        <x:f>SUMIFS('Climate Data'!$H$7:$H$366,'Climate Data'!$A$7:$A$366,'Estimator'!$B$4,'Climate Data'!$B$7:$B$366,C4497)</x:f>
        <x:v>9.066171003717471</x:v>
      </x:c>
      <x:c r="J4497" s="381" t="n">
        <x:f>SUMIFS('Wind Proxy'!$H$8:$H$19,'Wind Proxy'!$A$8:$A$19,'Estimator'!$B$4,'Wind Proxy'!$B$8:$B$19,C4497)</x:f>
        <x:v>0.11728395061728397</x:v>
      </x:c>
    </x:row>
    <x:row r="4498">
      <x:c r="A4498" s="379" t="n">
        <x:v>50149</x:v>
      </x:c>
      <x:c r="B4498" s="380" t="n">
        <x:v>2037</x:v>
      </x:c>
      <x:c r="C4498" s="380" t="n">
        <x:v>4</x:v>
      </x:c>
      <x:c r="D4498" s="380" t="str">
        <x:v>Apr</x:v>
      </x:c>
      <x:c r="E4498" s="380" t="n">
        <x:v>19</x:v>
      </x:c>
      <x:c r="F4498" s="380" t="n">
        <x:v>7</x:v>
      </x:c>
      <x:c r="G4498" s="380" t="n">
        <x:f>--(F4498&lt;='Estimator'!$B$7)</x:f>
        <x:v>0</x:v>
      </x:c>
      <x:c r="H4498" s="381" t="n">
        <x:f>SUMIFS('Climate Data'!$G$7:$G$366,'Climate Data'!$A$7:$A$366,'Estimator'!$B$4,'Climate Data'!$B$7:$B$366,C4498)</x:f>
        <x:v>0.32023809523809527</x:v>
      </x:c>
      <x:c r="I4498" s="382" t="n">
        <x:f>SUMIFS('Climate Data'!$H$7:$H$366,'Climate Data'!$A$7:$A$366,'Estimator'!$B$4,'Climate Data'!$B$7:$B$366,C4498)</x:f>
        <x:v>9.066171003717471</x:v>
      </x:c>
      <x:c r="J4498" s="381" t="n">
        <x:f>SUMIFS('Wind Proxy'!$H$8:$H$19,'Wind Proxy'!$A$8:$A$19,'Estimator'!$B$4,'Wind Proxy'!$B$8:$B$19,C4498)</x:f>
        <x:v>0.11728395061728397</x:v>
      </x:c>
    </x:row>
    <x:row r="4499">
      <x:c r="A4499" s="379" t="n">
        <x:v>50150</x:v>
      </x:c>
      <x:c r="B4499" s="380" t="n">
        <x:v>2037</x:v>
      </x:c>
      <x:c r="C4499" s="380" t="n">
        <x:v>4</x:v>
      </x:c>
      <x:c r="D4499" s="380" t="str">
        <x:v>Apr</x:v>
      </x:c>
      <x:c r="E4499" s="380" t="n">
        <x:v>20</x:v>
      </x:c>
      <x:c r="F4499" s="380" t="n">
        <x:v>1</x:v>
      </x:c>
      <x:c r="G4499" s="380" t="n">
        <x:f>--(F4499&lt;='Estimator'!$B$7)</x:f>
        <x:v>1</x:v>
      </x:c>
      <x:c r="H4499" s="381" t="n">
        <x:f>SUMIFS('Climate Data'!$G$7:$G$366,'Climate Data'!$A$7:$A$366,'Estimator'!$B$4,'Climate Data'!$B$7:$B$366,C4499)</x:f>
        <x:v>0.32023809523809527</x:v>
      </x:c>
      <x:c r="I4499" s="382" t="n">
        <x:f>SUMIFS('Climate Data'!$H$7:$H$366,'Climate Data'!$A$7:$A$366,'Estimator'!$B$4,'Climate Data'!$B$7:$B$366,C4499)</x:f>
        <x:v>9.066171003717471</x:v>
      </x:c>
      <x:c r="J4499" s="381" t="n">
        <x:f>SUMIFS('Wind Proxy'!$H$8:$H$19,'Wind Proxy'!$A$8:$A$19,'Estimator'!$B$4,'Wind Proxy'!$B$8:$B$19,C4499)</x:f>
        <x:v>0.11728395061728397</x:v>
      </x:c>
    </x:row>
    <x:row r="4500">
      <x:c r="A4500" s="379" t="n">
        <x:v>50151</x:v>
      </x:c>
      <x:c r="B4500" s="380" t="n">
        <x:v>2037</x:v>
      </x:c>
      <x:c r="C4500" s="380" t="n">
        <x:v>4</x:v>
      </x:c>
      <x:c r="D4500" s="380" t="str">
        <x:v>Apr</x:v>
      </x:c>
      <x:c r="E4500" s="380" t="n">
        <x:v>21</x:v>
      </x:c>
      <x:c r="F4500" s="380" t="n">
        <x:v>2</x:v>
      </x:c>
      <x:c r="G4500" s="380" t="n">
        <x:f>--(F4500&lt;='Estimator'!$B$7)</x:f>
        <x:v>1</x:v>
      </x:c>
      <x:c r="H4500" s="381" t="n">
        <x:f>SUMIFS('Climate Data'!$G$7:$G$366,'Climate Data'!$A$7:$A$366,'Estimator'!$B$4,'Climate Data'!$B$7:$B$366,C4500)</x:f>
        <x:v>0.32023809523809527</x:v>
      </x:c>
      <x:c r="I4500" s="382" t="n">
        <x:f>SUMIFS('Climate Data'!$H$7:$H$366,'Climate Data'!$A$7:$A$366,'Estimator'!$B$4,'Climate Data'!$B$7:$B$366,C4500)</x:f>
        <x:v>9.066171003717471</x:v>
      </x:c>
      <x:c r="J4500" s="381" t="n">
        <x:f>SUMIFS('Wind Proxy'!$H$8:$H$19,'Wind Proxy'!$A$8:$A$19,'Estimator'!$B$4,'Wind Proxy'!$B$8:$B$19,C4500)</x:f>
        <x:v>0.11728395061728397</x:v>
      </x:c>
    </x:row>
    <x:row r="4501">
      <x:c r="A4501" s="379" t="n">
        <x:v>50152</x:v>
      </x:c>
      <x:c r="B4501" s="380" t="n">
        <x:v>2037</x:v>
      </x:c>
      <x:c r="C4501" s="380" t="n">
        <x:v>4</x:v>
      </x:c>
      <x:c r="D4501" s="380" t="str">
        <x:v>Apr</x:v>
      </x:c>
      <x:c r="E4501" s="380" t="n">
        <x:v>22</x:v>
      </x:c>
      <x:c r="F4501" s="380" t="n">
        <x:v>3</x:v>
      </x:c>
      <x:c r="G4501" s="380" t="n">
        <x:f>--(F4501&lt;='Estimator'!$B$7)</x:f>
        <x:v>1</x:v>
      </x:c>
      <x:c r="H4501" s="381" t="n">
        <x:f>SUMIFS('Climate Data'!$G$7:$G$366,'Climate Data'!$A$7:$A$366,'Estimator'!$B$4,'Climate Data'!$B$7:$B$366,C4501)</x:f>
        <x:v>0.32023809523809527</x:v>
      </x:c>
      <x:c r="I4501" s="382" t="n">
        <x:f>SUMIFS('Climate Data'!$H$7:$H$366,'Climate Data'!$A$7:$A$366,'Estimator'!$B$4,'Climate Data'!$B$7:$B$366,C4501)</x:f>
        <x:v>9.066171003717471</x:v>
      </x:c>
      <x:c r="J4501" s="381" t="n">
        <x:f>SUMIFS('Wind Proxy'!$H$8:$H$19,'Wind Proxy'!$A$8:$A$19,'Estimator'!$B$4,'Wind Proxy'!$B$8:$B$19,C4501)</x:f>
        <x:v>0.11728395061728397</x:v>
      </x:c>
    </x:row>
    <x:row r="4502">
      <x:c r="A4502" s="379" t="n">
        <x:v>50153</x:v>
      </x:c>
      <x:c r="B4502" s="380" t="n">
        <x:v>2037</x:v>
      </x:c>
      <x:c r="C4502" s="380" t="n">
        <x:v>4</x:v>
      </x:c>
      <x:c r="D4502" s="380" t="str">
        <x:v>Apr</x:v>
      </x:c>
      <x:c r="E4502" s="380" t="n">
        <x:v>23</x:v>
      </x:c>
      <x:c r="F4502" s="380" t="n">
        <x:v>4</x:v>
      </x:c>
      <x:c r="G4502" s="380" t="n">
        <x:f>--(F4502&lt;='Estimator'!$B$7)</x:f>
        <x:v>1</x:v>
      </x:c>
      <x:c r="H4502" s="381" t="n">
        <x:f>SUMIFS('Climate Data'!$G$7:$G$366,'Climate Data'!$A$7:$A$366,'Estimator'!$B$4,'Climate Data'!$B$7:$B$366,C4502)</x:f>
        <x:v>0.32023809523809527</x:v>
      </x:c>
      <x:c r="I4502" s="382" t="n">
        <x:f>SUMIFS('Climate Data'!$H$7:$H$366,'Climate Data'!$A$7:$A$366,'Estimator'!$B$4,'Climate Data'!$B$7:$B$366,C4502)</x:f>
        <x:v>9.066171003717471</x:v>
      </x:c>
      <x:c r="J4502" s="381" t="n">
        <x:f>SUMIFS('Wind Proxy'!$H$8:$H$19,'Wind Proxy'!$A$8:$A$19,'Estimator'!$B$4,'Wind Proxy'!$B$8:$B$19,C4502)</x:f>
        <x:v>0.11728395061728397</x:v>
      </x:c>
    </x:row>
    <x:row r="4503">
      <x:c r="A4503" s="379" t="n">
        <x:v>50154</x:v>
      </x:c>
      <x:c r="B4503" s="380" t="n">
        <x:v>2037</x:v>
      </x:c>
      <x:c r="C4503" s="380" t="n">
        <x:v>4</x:v>
      </x:c>
      <x:c r="D4503" s="380" t="str">
        <x:v>Apr</x:v>
      </x:c>
      <x:c r="E4503" s="380" t="n">
        <x:v>24</x:v>
      </x:c>
      <x:c r="F4503" s="380" t="n">
        <x:v>5</x:v>
      </x:c>
      <x:c r="G4503" s="380" t="n">
        <x:f>--(F4503&lt;='Estimator'!$B$7)</x:f>
        <x:v>1</x:v>
      </x:c>
      <x:c r="H4503" s="381" t="n">
        <x:f>SUMIFS('Climate Data'!$G$7:$G$366,'Climate Data'!$A$7:$A$366,'Estimator'!$B$4,'Climate Data'!$B$7:$B$366,C4503)</x:f>
        <x:v>0.32023809523809527</x:v>
      </x:c>
      <x:c r="I4503" s="382" t="n">
        <x:f>SUMIFS('Climate Data'!$H$7:$H$366,'Climate Data'!$A$7:$A$366,'Estimator'!$B$4,'Climate Data'!$B$7:$B$366,C4503)</x:f>
        <x:v>9.066171003717471</x:v>
      </x:c>
      <x:c r="J4503" s="381" t="n">
        <x:f>SUMIFS('Wind Proxy'!$H$8:$H$19,'Wind Proxy'!$A$8:$A$19,'Estimator'!$B$4,'Wind Proxy'!$B$8:$B$19,C4503)</x:f>
        <x:v>0.11728395061728397</x:v>
      </x:c>
    </x:row>
    <x:row r="4504">
      <x:c r="A4504" s="379" t="n">
        <x:v>50155</x:v>
      </x:c>
      <x:c r="B4504" s="380" t="n">
        <x:v>2037</x:v>
      </x:c>
      <x:c r="C4504" s="380" t="n">
        <x:v>4</x:v>
      </x:c>
      <x:c r="D4504" s="380" t="str">
        <x:v>Apr</x:v>
      </x:c>
      <x:c r="E4504" s="380" t="n">
        <x:v>25</x:v>
      </x:c>
      <x:c r="F4504" s="380" t="n">
        <x:v>6</x:v>
      </x:c>
      <x:c r="G4504" s="380" t="n">
        <x:f>--(F4504&lt;='Estimator'!$B$7)</x:f>
        <x:v>0</x:v>
      </x:c>
      <x:c r="H4504" s="381" t="n">
        <x:f>SUMIFS('Climate Data'!$G$7:$G$366,'Climate Data'!$A$7:$A$366,'Estimator'!$B$4,'Climate Data'!$B$7:$B$366,C4504)</x:f>
        <x:v>0.32023809523809527</x:v>
      </x:c>
      <x:c r="I4504" s="382" t="n">
        <x:f>SUMIFS('Climate Data'!$H$7:$H$366,'Climate Data'!$A$7:$A$366,'Estimator'!$B$4,'Climate Data'!$B$7:$B$366,C4504)</x:f>
        <x:v>9.066171003717471</x:v>
      </x:c>
      <x:c r="J4504" s="381" t="n">
        <x:f>SUMIFS('Wind Proxy'!$H$8:$H$19,'Wind Proxy'!$A$8:$A$19,'Estimator'!$B$4,'Wind Proxy'!$B$8:$B$19,C4504)</x:f>
        <x:v>0.11728395061728397</x:v>
      </x:c>
    </x:row>
    <x:row r="4505">
      <x:c r="A4505" s="379" t="n">
        <x:v>50156</x:v>
      </x:c>
      <x:c r="B4505" s="380" t="n">
        <x:v>2037</x:v>
      </x:c>
      <x:c r="C4505" s="380" t="n">
        <x:v>4</x:v>
      </x:c>
      <x:c r="D4505" s="380" t="str">
        <x:v>Apr</x:v>
      </x:c>
      <x:c r="E4505" s="380" t="n">
        <x:v>26</x:v>
      </x:c>
      <x:c r="F4505" s="380" t="n">
        <x:v>7</x:v>
      </x:c>
      <x:c r="G4505" s="380" t="n">
        <x:f>--(F4505&lt;='Estimator'!$B$7)</x:f>
        <x:v>0</x:v>
      </x:c>
      <x:c r="H4505" s="381" t="n">
        <x:f>SUMIFS('Climate Data'!$G$7:$G$366,'Climate Data'!$A$7:$A$366,'Estimator'!$B$4,'Climate Data'!$B$7:$B$366,C4505)</x:f>
        <x:v>0.32023809523809527</x:v>
      </x:c>
      <x:c r="I4505" s="382" t="n">
        <x:f>SUMIFS('Climate Data'!$H$7:$H$366,'Climate Data'!$A$7:$A$366,'Estimator'!$B$4,'Climate Data'!$B$7:$B$366,C4505)</x:f>
        <x:v>9.066171003717471</x:v>
      </x:c>
      <x:c r="J4505" s="381" t="n">
        <x:f>SUMIFS('Wind Proxy'!$H$8:$H$19,'Wind Proxy'!$A$8:$A$19,'Estimator'!$B$4,'Wind Proxy'!$B$8:$B$19,C4505)</x:f>
        <x:v>0.11728395061728397</x:v>
      </x:c>
    </x:row>
    <x:row r="4506">
      <x:c r="A4506" s="379" t="n">
        <x:v>50157</x:v>
      </x:c>
      <x:c r="B4506" s="380" t="n">
        <x:v>2037</x:v>
      </x:c>
      <x:c r="C4506" s="380" t="n">
        <x:v>4</x:v>
      </x:c>
      <x:c r="D4506" s="380" t="str">
        <x:v>Apr</x:v>
      </x:c>
      <x:c r="E4506" s="380" t="n">
        <x:v>27</x:v>
      </x:c>
      <x:c r="F4506" s="380" t="n">
        <x:v>1</x:v>
      </x:c>
      <x:c r="G4506" s="380" t="n">
        <x:f>--(F4506&lt;='Estimator'!$B$7)</x:f>
        <x:v>1</x:v>
      </x:c>
      <x:c r="H4506" s="381" t="n">
        <x:f>SUMIFS('Climate Data'!$G$7:$G$366,'Climate Data'!$A$7:$A$366,'Estimator'!$B$4,'Climate Data'!$B$7:$B$366,C4506)</x:f>
        <x:v>0.32023809523809527</x:v>
      </x:c>
      <x:c r="I4506" s="382" t="n">
        <x:f>SUMIFS('Climate Data'!$H$7:$H$366,'Climate Data'!$A$7:$A$366,'Estimator'!$B$4,'Climate Data'!$B$7:$B$366,C4506)</x:f>
        <x:v>9.066171003717471</x:v>
      </x:c>
      <x:c r="J4506" s="381" t="n">
        <x:f>SUMIFS('Wind Proxy'!$H$8:$H$19,'Wind Proxy'!$A$8:$A$19,'Estimator'!$B$4,'Wind Proxy'!$B$8:$B$19,C4506)</x:f>
        <x:v>0.11728395061728397</x:v>
      </x:c>
    </x:row>
    <x:row r="4507">
      <x:c r="A4507" s="379" t="n">
        <x:v>50158</x:v>
      </x:c>
      <x:c r="B4507" s="380" t="n">
        <x:v>2037</x:v>
      </x:c>
      <x:c r="C4507" s="380" t="n">
        <x:v>4</x:v>
      </x:c>
      <x:c r="D4507" s="380" t="str">
        <x:v>Apr</x:v>
      </x:c>
      <x:c r="E4507" s="380" t="n">
        <x:v>28</x:v>
      </x:c>
      <x:c r="F4507" s="380" t="n">
        <x:v>2</x:v>
      </x:c>
      <x:c r="G4507" s="380" t="n">
        <x:f>--(F4507&lt;='Estimator'!$B$7)</x:f>
        <x:v>1</x:v>
      </x:c>
      <x:c r="H4507" s="381" t="n">
        <x:f>SUMIFS('Climate Data'!$G$7:$G$366,'Climate Data'!$A$7:$A$366,'Estimator'!$B$4,'Climate Data'!$B$7:$B$366,C4507)</x:f>
        <x:v>0.32023809523809527</x:v>
      </x:c>
      <x:c r="I4507" s="382" t="n">
        <x:f>SUMIFS('Climate Data'!$H$7:$H$366,'Climate Data'!$A$7:$A$366,'Estimator'!$B$4,'Climate Data'!$B$7:$B$366,C4507)</x:f>
        <x:v>9.066171003717471</x:v>
      </x:c>
      <x:c r="J4507" s="381" t="n">
        <x:f>SUMIFS('Wind Proxy'!$H$8:$H$19,'Wind Proxy'!$A$8:$A$19,'Estimator'!$B$4,'Wind Proxy'!$B$8:$B$19,C4507)</x:f>
        <x:v>0.11728395061728397</x:v>
      </x:c>
    </x:row>
    <x:row r="4508">
      <x:c r="A4508" s="379" t="n">
        <x:v>50159</x:v>
      </x:c>
      <x:c r="B4508" s="380" t="n">
        <x:v>2037</x:v>
      </x:c>
      <x:c r="C4508" s="380" t="n">
        <x:v>4</x:v>
      </x:c>
      <x:c r="D4508" s="380" t="str">
        <x:v>Apr</x:v>
      </x:c>
      <x:c r="E4508" s="380" t="n">
        <x:v>29</x:v>
      </x:c>
      <x:c r="F4508" s="380" t="n">
        <x:v>3</x:v>
      </x:c>
      <x:c r="G4508" s="380" t="n">
        <x:f>--(F4508&lt;='Estimator'!$B$7)</x:f>
        <x:v>1</x:v>
      </x:c>
      <x:c r="H4508" s="381" t="n">
        <x:f>SUMIFS('Climate Data'!$G$7:$G$366,'Climate Data'!$A$7:$A$366,'Estimator'!$B$4,'Climate Data'!$B$7:$B$366,C4508)</x:f>
        <x:v>0.32023809523809527</x:v>
      </x:c>
      <x:c r="I4508" s="382" t="n">
        <x:f>SUMIFS('Climate Data'!$H$7:$H$366,'Climate Data'!$A$7:$A$366,'Estimator'!$B$4,'Climate Data'!$B$7:$B$366,C4508)</x:f>
        <x:v>9.066171003717471</x:v>
      </x:c>
      <x:c r="J4508" s="381" t="n">
        <x:f>SUMIFS('Wind Proxy'!$H$8:$H$19,'Wind Proxy'!$A$8:$A$19,'Estimator'!$B$4,'Wind Proxy'!$B$8:$B$19,C4508)</x:f>
        <x:v>0.11728395061728397</x:v>
      </x:c>
    </x:row>
    <x:row r="4509">
      <x:c r="A4509" s="379" t="n">
        <x:v>50160</x:v>
      </x:c>
      <x:c r="B4509" s="380" t="n">
        <x:v>2037</x:v>
      </x:c>
      <x:c r="C4509" s="380" t="n">
        <x:v>4</x:v>
      </x:c>
      <x:c r="D4509" s="380" t="str">
        <x:v>Apr</x:v>
      </x:c>
      <x:c r="E4509" s="380" t="n">
        <x:v>30</x:v>
      </x:c>
      <x:c r="F4509" s="380" t="n">
        <x:v>4</x:v>
      </x:c>
      <x:c r="G4509" s="380" t="n">
        <x:f>--(F4509&lt;='Estimator'!$B$7)</x:f>
        <x:v>1</x:v>
      </x:c>
      <x:c r="H4509" s="381" t="n">
        <x:f>SUMIFS('Climate Data'!$G$7:$G$366,'Climate Data'!$A$7:$A$366,'Estimator'!$B$4,'Climate Data'!$B$7:$B$366,C4509)</x:f>
        <x:v>0.32023809523809527</x:v>
      </x:c>
      <x:c r="I4509" s="382" t="n">
        <x:f>SUMIFS('Climate Data'!$H$7:$H$366,'Climate Data'!$A$7:$A$366,'Estimator'!$B$4,'Climate Data'!$B$7:$B$366,C4509)</x:f>
        <x:v>9.066171003717471</x:v>
      </x:c>
      <x:c r="J4509" s="381" t="n">
        <x:f>SUMIFS('Wind Proxy'!$H$8:$H$19,'Wind Proxy'!$A$8:$A$19,'Estimator'!$B$4,'Wind Proxy'!$B$8:$B$19,C4509)</x:f>
        <x:v>0.11728395061728397</x:v>
      </x:c>
    </x:row>
    <x:row r="4510">
      <x:c r="A4510" s="379" t="n">
        <x:v>50161</x:v>
      </x:c>
      <x:c r="B4510" s="380" t="n">
        <x:v>2037</x:v>
      </x:c>
      <x:c r="C4510" s="380" t="n">
        <x:v>5</x:v>
      </x:c>
      <x:c r="D4510" s="380" t="str">
        <x:v>May</x:v>
      </x:c>
      <x:c r="E4510" s="380" t="n">
        <x:v>1</x:v>
      </x:c>
      <x:c r="F4510" s="380" t="n">
        <x:v>5</x:v>
      </x:c>
      <x:c r="G4510" s="380" t="n">
        <x:f>--(F4510&lt;='Estimator'!$B$7)</x:f>
        <x:v>1</x:v>
      </x:c>
      <x:c r="H4510" s="381" t="n">
        <x:f>SUMIFS('Climate Data'!$G$7:$G$366,'Climate Data'!$A$7:$A$366,'Estimator'!$B$4,'Climate Data'!$B$7:$B$366,C4510)</x:f>
        <x:v>0.41935483870967744</x:v>
      </x:c>
      <x:c r="I4510" s="382" t="n">
        <x:f>SUMIFS('Climate Data'!$H$7:$H$366,'Climate Data'!$A$7:$A$366,'Estimator'!$B$4,'Climate Data'!$B$7:$B$366,C4510)</x:f>
        <x:v>9.215384615384615</x:v>
      </x:c>
      <x:c r="J4510" s="381" t="n">
        <x:f>SUMIFS('Wind Proxy'!$H$8:$H$19,'Wind Proxy'!$A$8:$A$19,'Estimator'!$B$4,'Wind Proxy'!$B$8:$B$19,C4510)</x:f>
        <x:v>0.11350059737156513</x:v>
      </x:c>
    </x:row>
    <x:row r="4511">
      <x:c r="A4511" s="379" t="n">
        <x:v>50162</x:v>
      </x:c>
      <x:c r="B4511" s="380" t="n">
        <x:v>2037</x:v>
      </x:c>
      <x:c r="C4511" s="380" t="n">
        <x:v>5</x:v>
      </x:c>
      <x:c r="D4511" s="380" t="str">
        <x:v>May</x:v>
      </x:c>
      <x:c r="E4511" s="380" t="n">
        <x:v>2</x:v>
      </x:c>
      <x:c r="F4511" s="380" t="n">
        <x:v>6</x:v>
      </x:c>
      <x:c r="G4511" s="380" t="n">
        <x:f>--(F4511&lt;='Estimator'!$B$7)</x:f>
        <x:v>0</x:v>
      </x:c>
      <x:c r="H4511" s="381" t="n">
        <x:f>SUMIFS('Climate Data'!$G$7:$G$366,'Climate Data'!$A$7:$A$366,'Estimator'!$B$4,'Climate Data'!$B$7:$B$366,C4511)</x:f>
        <x:v>0.41935483870967744</x:v>
      </x:c>
      <x:c r="I4511" s="382" t="n">
        <x:f>SUMIFS('Climate Data'!$H$7:$H$366,'Climate Data'!$A$7:$A$366,'Estimator'!$B$4,'Climate Data'!$B$7:$B$366,C4511)</x:f>
        <x:v>9.215384615384615</x:v>
      </x:c>
      <x:c r="J4511" s="381" t="n">
        <x:f>SUMIFS('Wind Proxy'!$H$8:$H$19,'Wind Proxy'!$A$8:$A$19,'Estimator'!$B$4,'Wind Proxy'!$B$8:$B$19,C4511)</x:f>
        <x:v>0.11350059737156513</x:v>
      </x:c>
    </x:row>
    <x:row r="4512">
      <x:c r="A4512" s="379" t="n">
        <x:v>50163</x:v>
      </x:c>
      <x:c r="B4512" s="380" t="n">
        <x:v>2037</x:v>
      </x:c>
      <x:c r="C4512" s="380" t="n">
        <x:v>5</x:v>
      </x:c>
      <x:c r="D4512" s="380" t="str">
        <x:v>May</x:v>
      </x:c>
      <x:c r="E4512" s="380" t="n">
        <x:v>3</x:v>
      </x:c>
      <x:c r="F4512" s="380" t="n">
        <x:v>7</x:v>
      </x:c>
      <x:c r="G4512" s="380" t="n">
        <x:f>--(F4512&lt;='Estimator'!$B$7)</x:f>
        <x:v>0</x:v>
      </x:c>
      <x:c r="H4512" s="381" t="n">
        <x:f>SUMIFS('Climate Data'!$G$7:$G$366,'Climate Data'!$A$7:$A$366,'Estimator'!$B$4,'Climate Data'!$B$7:$B$366,C4512)</x:f>
        <x:v>0.41935483870967744</x:v>
      </x:c>
      <x:c r="I4512" s="382" t="n">
        <x:f>SUMIFS('Climate Data'!$H$7:$H$366,'Climate Data'!$A$7:$A$366,'Estimator'!$B$4,'Climate Data'!$B$7:$B$366,C4512)</x:f>
        <x:v>9.215384615384615</x:v>
      </x:c>
      <x:c r="J4512" s="381" t="n">
        <x:f>SUMIFS('Wind Proxy'!$H$8:$H$19,'Wind Proxy'!$A$8:$A$19,'Estimator'!$B$4,'Wind Proxy'!$B$8:$B$19,C4512)</x:f>
        <x:v>0.11350059737156513</x:v>
      </x:c>
    </x:row>
    <x:row r="4513">
      <x:c r="A4513" s="379" t="n">
        <x:v>50164</x:v>
      </x:c>
      <x:c r="B4513" s="380" t="n">
        <x:v>2037</x:v>
      </x:c>
      <x:c r="C4513" s="380" t="n">
        <x:v>5</x:v>
      </x:c>
      <x:c r="D4513" s="380" t="str">
        <x:v>May</x:v>
      </x:c>
      <x:c r="E4513" s="380" t="n">
        <x:v>4</x:v>
      </x:c>
      <x:c r="F4513" s="380" t="n">
        <x:v>1</x:v>
      </x:c>
      <x:c r="G4513" s="380" t="n">
        <x:f>--(F4513&lt;='Estimator'!$B$7)</x:f>
        <x:v>1</x:v>
      </x:c>
      <x:c r="H4513" s="381" t="n">
        <x:f>SUMIFS('Climate Data'!$G$7:$G$366,'Climate Data'!$A$7:$A$366,'Estimator'!$B$4,'Climate Data'!$B$7:$B$366,C4513)</x:f>
        <x:v>0.41935483870967744</x:v>
      </x:c>
      <x:c r="I4513" s="382" t="n">
        <x:f>SUMIFS('Climate Data'!$H$7:$H$366,'Climate Data'!$A$7:$A$366,'Estimator'!$B$4,'Climate Data'!$B$7:$B$366,C4513)</x:f>
        <x:v>9.215384615384615</x:v>
      </x:c>
      <x:c r="J4513" s="381" t="n">
        <x:f>SUMIFS('Wind Proxy'!$H$8:$H$19,'Wind Proxy'!$A$8:$A$19,'Estimator'!$B$4,'Wind Proxy'!$B$8:$B$19,C4513)</x:f>
        <x:v>0.11350059737156513</x:v>
      </x:c>
    </x:row>
    <x:row r="4514">
      <x:c r="A4514" s="379" t="n">
        <x:v>50165</x:v>
      </x:c>
      <x:c r="B4514" s="380" t="n">
        <x:v>2037</x:v>
      </x:c>
      <x:c r="C4514" s="380" t="n">
        <x:v>5</x:v>
      </x:c>
      <x:c r="D4514" s="380" t="str">
        <x:v>May</x:v>
      </x:c>
      <x:c r="E4514" s="380" t="n">
        <x:v>5</x:v>
      </x:c>
      <x:c r="F4514" s="380" t="n">
        <x:v>2</x:v>
      </x:c>
      <x:c r="G4514" s="380" t="n">
        <x:f>--(F4514&lt;='Estimator'!$B$7)</x:f>
        <x:v>1</x:v>
      </x:c>
      <x:c r="H4514" s="381" t="n">
        <x:f>SUMIFS('Climate Data'!$G$7:$G$366,'Climate Data'!$A$7:$A$366,'Estimator'!$B$4,'Climate Data'!$B$7:$B$366,C4514)</x:f>
        <x:v>0.41935483870967744</x:v>
      </x:c>
      <x:c r="I4514" s="382" t="n">
        <x:f>SUMIFS('Climate Data'!$H$7:$H$366,'Climate Data'!$A$7:$A$366,'Estimator'!$B$4,'Climate Data'!$B$7:$B$366,C4514)</x:f>
        <x:v>9.215384615384615</x:v>
      </x:c>
      <x:c r="J4514" s="381" t="n">
        <x:f>SUMIFS('Wind Proxy'!$H$8:$H$19,'Wind Proxy'!$A$8:$A$19,'Estimator'!$B$4,'Wind Proxy'!$B$8:$B$19,C4514)</x:f>
        <x:v>0.11350059737156513</x:v>
      </x:c>
    </x:row>
    <x:row r="4515">
      <x:c r="A4515" s="379" t="n">
        <x:v>50166</x:v>
      </x:c>
      <x:c r="B4515" s="380" t="n">
        <x:v>2037</x:v>
      </x:c>
      <x:c r="C4515" s="380" t="n">
        <x:v>5</x:v>
      </x:c>
      <x:c r="D4515" s="380" t="str">
        <x:v>May</x:v>
      </x:c>
      <x:c r="E4515" s="380" t="n">
        <x:v>6</x:v>
      </x:c>
      <x:c r="F4515" s="380" t="n">
        <x:v>3</x:v>
      </x:c>
      <x:c r="G4515" s="380" t="n">
        <x:f>--(F4515&lt;='Estimator'!$B$7)</x:f>
        <x:v>1</x:v>
      </x:c>
      <x:c r="H4515" s="381" t="n">
        <x:f>SUMIFS('Climate Data'!$G$7:$G$366,'Climate Data'!$A$7:$A$366,'Estimator'!$B$4,'Climate Data'!$B$7:$B$366,C4515)</x:f>
        <x:v>0.41935483870967744</x:v>
      </x:c>
      <x:c r="I4515" s="382" t="n">
        <x:f>SUMIFS('Climate Data'!$H$7:$H$366,'Climate Data'!$A$7:$A$366,'Estimator'!$B$4,'Climate Data'!$B$7:$B$366,C4515)</x:f>
        <x:v>9.215384615384615</x:v>
      </x:c>
      <x:c r="J4515" s="381" t="n">
        <x:f>SUMIFS('Wind Proxy'!$H$8:$H$19,'Wind Proxy'!$A$8:$A$19,'Estimator'!$B$4,'Wind Proxy'!$B$8:$B$19,C4515)</x:f>
        <x:v>0.11350059737156513</x:v>
      </x:c>
    </x:row>
    <x:row r="4516">
      <x:c r="A4516" s="379" t="n">
        <x:v>50167</x:v>
      </x:c>
      <x:c r="B4516" s="380" t="n">
        <x:v>2037</x:v>
      </x:c>
      <x:c r="C4516" s="380" t="n">
        <x:v>5</x:v>
      </x:c>
      <x:c r="D4516" s="380" t="str">
        <x:v>May</x:v>
      </x:c>
      <x:c r="E4516" s="380" t="n">
        <x:v>7</x:v>
      </x:c>
      <x:c r="F4516" s="380" t="n">
        <x:v>4</x:v>
      </x:c>
      <x:c r="G4516" s="380" t="n">
        <x:f>--(F4516&lt;='Estimator'!$B$7)</x:f>
        <x:v>1</x:v>
      </x:c>
      <x:c r="H4516" s="381" t="n">
        <x:f>SUMIFS('Climate Data'!$G$7:$G$366,'Climate Data'!$A$7:$A$366,'Estimator'!$B$4,'Climate Data'!$B$7:$B$366,C4516)</x:f>
        <x:v>0.41935483870967744</x:v>
      </x:c>
      <x:c r="I4516" s="382" t="n">
        <x:f>SUMIFS('Climate Data'!$H$7:$H$366,'Climate Data'!$A$7:$A$366,'Estimator'!$B$4,'Climate Data'!$B$7:$B$366,C4516)</x:f>
        <x:v>9.215384615384615</x:v>
      </x:c>
      <x:c r="J4516" s="381" t="n">
        <x:f>SUMIFS('Wind Proxy'!$H$8:$H$19,'Wind Proxy'!$A$8:$A$19,'Estimator'!$B$4,'Wind Proxy'!$B$8:$B$19,C4516)</x:f>
        <x:v>0.11350059737156513</x:v>
      </x:c>
    </x:row>
    <x:row r="4517">
      <x:c r="A4517" s="379" t="n">
        <x:v>50168</x:v>
      </x:c>
      <x:c r="B4517" s="380" t="n">
        <x:v>2037</x:v>
      </x:c>
      <x:c r="C4517" s="380" t="n">
        <x:v>5</x:v>
      </x:c>
      <x:c r="D4517" s="380" t="str">
        <x:v>May</x:v>
      </x:c>
      <x:c r="E4517" s="380" t="n">
        <x:v>8</x:v>
      </x:c>
      <x:c r="F4517" s="380" t="n">
        <x:v>5</x:v>
      </x:c>
      <x:c r="G4517" s="380" t="n">
        <x:f>--(F4517&lt;='Estimator'!$B$7)</x:f>
        <x:v>1</x:v>
      </x:c>
      <x:c r="H4517" s="381" t="n">
        <x:f>SUMIFS('Climate Data'!$G$7:$G$366,'Climate Data'!$A$7:$A$366,'Estimator'!$B$4,'Climate Data'!$B$7:$B$366,C4517)</x:f>
        <x:v>0.41935483870967744</x:v>
      </x:c>
      <x:c r="I4517" s="382" t="n">
        <x:f>SUMIFS('Climate Data'!$H$7:$H$366,'Climate Data'!$A$7:$A$366,'Estimator'!$B$4,'Climate Data'!$B$7:$B$366,C4517)</x:f>
        <x:v>9.215384615384615</x:v>
      </x:c>
      <x:c r="J4517" s="381" t="n">
        <x:f>SUMIFS('Wind Proxy'!$H$8:$H$19,'Wind Proxy'!$A$8:$A$19,'Estimator'!$B$4,'Wind Proxy'!$B$8:$B$19,C4517)</x:f>
        <x:v>0.11350059737156513</x:v>
      </x:c>
    </x:row>
    <x:row r="4518">
      <x:c r="A4518" s="379" t="n">
        <x:v>50169</x:v>
      </x:c>
      <x:c r="B4518" s="380" t="n">
        <x:v>2037</x:v>
      </x:c>
      <x:c r="C4518" s="380" t="n">
        <x:v>5</x:v>
      </x:c>
      <x:c r="D4518" s="380" t="str">
        <x:v>May</x:v>
      </x:c>
      <x:c r="E4518" s="380" t="n">
        <x:v>9</x:v>
      </x:c>
      <x:c r="F4518" s="380" t="n">
        <x:v>6</x:v>
      </x:c>
      <x:c r="G4518" s="380" t="n">
        <x:f>--(F4518&lt;='Estimator'!$B$7)</x:f>
        <x:v>0</x:v>
      </x:c>
      <x:c r="H4518" s="381" t="n">
        <x:f>SUMIFS('Climate Data'!$G$7:$G$366,'Climate Data'!$A$7:$A$366,'Estimator'!$B$4,'Climate Data'!$B$7:$B$366,C4518)</x:f>
        <x:v>0.41935483870967744</x:v>
      </x:c>
      <x:c r="I4518" s="382" t="n">
        <x:f>SUMIFS('Climate Data'!$H$7:$H$366,'Climate Data'!$A$7:$A$366,'Estimator'!$B$4,'Climate Data'!$B$7:$B$366,C4518)</x:f>
        <x:v>9.215384615384615</x:v>
      </x:c>
      <x:c r="J4518" s="381" t="n">
        <x:f>SUMIFS('Wind Proxy'!$H$8:$H$19,'Wind Proxy'!$A$8:$A$19,'Estimator'!$B$4,'Wind Proxy'!$B$8:$B$19,C4518)</x:f>
        <x:v>0.11350059737156513</x:v>
      </x:c>
    </x:row>
    <x:row r="4519">
      <x:c r="A4519" s="379" t="n">
        <x:v>50170</x:v>
      </x:c>
      <x:c r="B4519" s="380" t="n">
        <x:v>2037</x:v>
      </x:c>
      <x:c r="C4519" s="380" t="n">
        <x:v>5</x:v>
      </x:c>
      <x:c r="D4519" s="380" t="str">
        <x:v>May</x:v>
      </x:c>
      <x:c r="E4519" s="380" t="n">
        <x:v>10</x:v>
      </x:c>
      <x:c r="F4519" s="380" t="n">
        <x:v>7</x:v>
      </x:c>
      <x:c r="G4519" s="380" t="n">
        <x:f>--(F4519&lt;='Estimator'!$B$7)</x:f>
        <x:v>0</x:v>
      </x:c>
      <x:c r="H4519" s="381" t="n">
        <x:f>SUMIFS('Climate Data'!$G$7:$G$366,'Climate Data'!$A$7:$A$366,'Estimator'!$B$4,'Climate Data'!$B$7:$B$366,C4519)</x:f>
        <x:v>0.41935483870967744</x:v>
      </x:c>
      <x:c r="I4519" s="382" t="n">
        <x:f>SUMIFS('Climate Data'!$H$7:$H$366,'Climate Data'!$A$7:$A$366,'Estimator'!$B$4,'Climate Data'!$B$7:$B$366,C4519)</x:f>
        <x:v>9.215384615384615</x:v>
      </x:c>
      <x:c r="J4519" s="381" t="n">
        <x:f>SUMIFS('Wind Proxy'!$H$8:$H$19,'Wind Proxy'!$A$8:$A$19,'Estimator'!$B$4,'Wind Proxy'!$B$8:$B$19,C4519)</x:f>
        <x:v>0.11350059737156513</x:v>
      </x:c>
    </x:row>
    <x:row r="4520">
      <x:c r="A4520" s="379" t="n">
        <x:v>50171</x:v>
      </x:c>
      <x:c r="B4520" s="380" t="n">
        <x:v>2037</x:v>
      </x:c>
      <x:c r="C4520" s="380" t="n">
        <x:v>5</x:v>
      </x:c>
      <x:c r="D4520" s="380" t="str">
        <x:v>May</x:v>
      </x:c>
      <x:c r="E4520" s="380" t="n">
        <x:v>11</x:v>
      </x:c>
      <x:c r="F4520" s="380" t="n">
        <x:v>1</x:v>
      </x:c>
      <x:c r="G4520" s="380" t="n">
        <x:f>--(F4520&lt;='Estimator'!$B$7)</x:f>
        <x:v>1</x:v>
      </x:c>
      <x:c r="H4520" s="381" t="n">
        <x:f>SUMIFS('Climate Data'!$G$7:$G$366,'Climate Data'!$A$7:$A$366,'Estimator'!$B$4,'Climate Data'!$B$7:$B$366,C4520)</x:f>
        <x:v>0.41935483870967744</x:v>
      </x:c>
      <x:c r="I4520" s="382" t="n">
        <x:f>SUMIFS('Climate Data'!$H$7:$H$366,'Climate Data'!$A$7:$A$366,'Estimator'!$B$4,'Climate Data'!$B$7:$B$366,C4520)</x:f>
        <x:v>9.215384615384615</x:v>
      </x:c>
      <x:c r="J4520" s="381" t="n">
        <x:f>SUMIFS('Wind Proxy'!$H$8:$H$19,'Wind Proxy'!$A$8:$A$19,'Estimator'!$B$4,'Wind Proxy'!$B$8:$B$19,C4520)</x:f>
        <x:v>0.11350059737156513</x:v>
      </x:c>
    </x:row>
    <x:row r="4521">
      <x:c r="A4521" s="379" t="n">
        <x:v>50172</x:v>
      </x:c>
      <x:c r="B4521" s="380" t="n">
        <x:v>2037</x:v>
      </x:c>
      <x:c r="C4521" s="380" t="n">
        <x:v>5</x:v>
      </x:c>
      <x:c r="D4521" s="380" t="str">
        <x:v>May</x:v>
      </x:c>
      <x:c r="E4521" s="380" t="n">
        <x:v>12</x:v>
      </x:c>
      <x:c r="F4521" s="380" t="n">
        <x:v>2</x:v>
      </x:c>
      <x:c r="G4521" s="380" t="n">
        <x:f>--(F4521&lt;='Estimator'!$B$7)</x:f>
        <x:v>1</x:v>
      </x:c>
      <x:c r="H4521" s="381" t="n">
        <x:f>SUMIFS('Climate Data'!$G$7:$G$366,'Climate Data'!$A$7:$A$366,'Estimator'!$B$4,'Climate Data'!$B$7:$B$366,C4521)</x:f>
        <x:v>0.41935483870967744</x:v>
      </x:c>
      <x:c r="I4521" s="382" t="n">
        <x:f>SUMIFS('Climate Data'!$H$7:$H$366,'Climate Data'!$A$7:$A$366,'Estimator'!$B$4,'Climate Data'!$B$7:$B$366,C4521)</x:f>
        <x:v>9.215384615384615</x:v>
      </x:c>
      <x:c r="J4521" s="381" t="n">
        <x:f>SUMIFS('Wind Proxy'!$H$8:$H$19,'Wind Proxy'!$A$8:$A$19,'Estimator'!$B$4,'Wind Proxy'!$B$8:$B$19,C4521)</x:f>
        <x:v>0.11350059737156513</x:v>
      </x:c>
    </x:row>
    <x:row r="4522">
      <x:c r="A4522" s="379" t="n">
        <x:v>50173</x:v>
      </x:c>
      <x:c r="B4522" s="380" t="n">
        <x:v>2037</x:v>
      </x:c>
      <x:c r="C4522" s="380" t="n">
        <x:v>5</x:v>
      </x:c>
      <x:c r="D4522" s="380" t="str">
        <x:v>May</x:v>
      </x:c>
      <x:c r="E4522" s="380" t="n">
        <x:v>13</x:v>
      </x:c>
      <x:c r="F4522" s="380" t="n">
        <x:v>3</x:v>
      </x:c>
      <x:c r="G4522" s="380" t="n">
        <x:f>--(F4522&lt;='Estimator'!$B$7)</x:f>
        <x:v>1</x:v>
      </x:c>
      <x:c r="H4522" s="381" t="n">
        <x:f>SUMIFS('Climate Data'!$G$7:$G$366,'Climate Data'!$A$7:$A$366,'Estimator'!$B$4,'Climate Data'!$B$7:$B$366,C4522)</x:f>
        <x:v>0.41935483870967744</x:v>
      </x:c>
      <x:c r="I4522" s="382" t="n">
        <x:f>SUMIFS('Climate Data'!$H$7:$H$366,'Climate Data'!$A$7:$A$366,'Estimator'!$B$4,'Climate Data'!$B$7:$B$366,C4522)</x:f>
        <x:v>9.215384615384615</x:v>
      </x:c>
      <x:c r="J4522" s="381" t="n">
        <x:f>SUMIFS('Wind Proxy'!$H$8:$H$19,'Wind Proxy'!$A$8:$A$19,'Estimator'!$B$4,'Wind Proxy'!$B$8:$B$19,C4522)</x:f>
        <x:v>0.11350059737156513</x:v>
      </x:c>
    </x:row>
    <x:row r="4523">
      <x:c r="A4523" s="379" t="n">
        <x:v>50174</x:v>
      </x:c>
      <x:c r="B4523" s="380" t="n">
        <x:v>2037</x:v>
      </x:c>
      <x:c r="C4523" s="380" t="n">
        <x:v>5</x:v>
      </x:c>
      <x:c r="D4523" s="380" t="str">
        <x:v>May</x:v>
      </x:c>
      <x:c r="E4523" s="380" t="n">
        <x:v>14</x:v>
      </x:c>
      <x:c r="F4523" s="380" t="n">
        <x:v>4</x:v>
      </x:c>
      <x:c r="G4523" s="380" t="n">
        <x:f>--(F4523&lt;='Estimator'!$B$7)</x:f>
        <x:v>1</x:v>
      </x:c>
      <x:c r="H4523" s="381" t="n">
        <x:f>SUMIFS('Climate Data'!$G$7:$G$366,'Climate Data'!$A$7:$A$366,'Estimator'!$B$4,'Climate Data'!$B$7:$B$366,C4523)</x:f>
        <x:v>0.41935483870967744</x:v>
      </x:c>
      <x:c r="I4523" s="382" t="n">
        <x:f>SUMIFS('Climate Data'!$H$7:$H$366,'Climate Data'!$A$7:$A$366,'Estimator'!$B$4,'Climate Data'!$B$7:$B$366,C4523)</x:f>
        <x:v>9.215384615384615</x:v>
      </x:c>
      <x:c r="J4523" s="381" t="n">
        <x:f>SUMIFS('Wind Proxy'!$H$8:$H$19,'Wind Proxy'!$A$8:$A$19,'Estimator'!$B$4,'Wind Proxy'!$B$8:$B$19,C4523)</x:f>
        <x:v>0.11350059737156513</x:v>
      </x:c>
    </x:row>
    <x:row r="4524">
      <x:c r="A4524" s="379" t="n">
        <x:v>50175</x:v>
      </x:c>
      <x:c r="B4524" s="380" t="n">
        <x:v>2037</x:v>
      </x:c>
      <x:c r="C4524" s="380" t="n">
        <x:v>5</x:v>
      </x:c>
      <x:c r="D4524" s="380" t="str">
        <x:v>May</x:v>
      </x:c>
      <x:c r="E4524" s="380" t="n">
        <x:v>15</x:v>
      </x:c>
      <x:c r="F4524" s="380" t="n">
        <x:v>5</x:v>
      </x:c>
      <x:c r="G4524" s="380" t="n">
        <x:f>--(F4524&lt;='Estimator'!$B$7)</x:f>
        <x:v>1</x:v>
      </x:c>
      <x:c r="H4524" s="381" t="n">
        <x:f>SUMIFS('Climate Data'!$G$7:$G$366,'Climate Data'!$A$7:$A$366,'Estimator'!$B$4,'Climate Data'!$B$7:$B$366,C4524)</x:f>
        <x:v>0.41935483870967744</x:v>
      </x:c>
      <x:c r="I4524" s="382" t="n">
        <x:f>SUMIFS('Climate Data'!$H$7:$H$366,'Climate Data'!$A$7:$A$366,'Estimator'!$B$4,'Climate Data'!$B$7:$B$366,C4524)</x:f>
        <x:v>9.215384615384615</x:v>
      </x:c>
      <x:c r="J4524" s="381" t="n">
        <x:f>SUMIFS('Wind Proxy'!$H$8:$H$19,'Wind Proxy'!$A$8:$A$19,'Estimator'!$B$4,'Wind Proxy'!$B$8:$B$19,C4524)</x:f>
        <x:v>0.11350059737156513</x:v>
      </x:c>
    </x:row>
    <x:row r="4525">
      <x:c r="A4525" s="379" t="n">
        <x:v>50176</x:v>
      </x:c>
      <x:c r="B4525" s="380" t="n">
        <x:v>2037</x:v>
      </x:c>
      <x:c r="C4525" s="380" t="n">
        <x:v>5</x:v>
      </x:c>
      <x:c r="D4525" s="380" t="str">
        <x:v>May</x:v>
      </x:c>
      <x:c r="E4525" s="380" t="n">
        <x:v>16</x:v>
      </x:c>
      <x:c r="F4525" s="380" t="n">
        <x:v>6</x:v>
      </x:c>
      <x:c r="G4525" s="380" t="n">
        <x:f>--(F4525&lt;='Estimator'!$B$7)</x:f>
        <x:v>0</x:v>
      </x:c>
      <x:c r="H4525" s="381" t="n">
        <x:f>SUMIFS('Climate Data'!$G$7:$G$366,'Climate Data'!$A$7:$A$366,'Estimator'!$B$4,'Climate Data'!$B$7:$B$366,C4525)</x:f>
        <x:v>0.41935483870967744</x:v>
      </x:c>
      <x:c r="I4525" s="382" t="n">
        <x:f>SUMIFS('Climate Data'!$H$7:$H$366,'Climate Data'!$A$7:$A$366,'Estimator'!$B$4,'Climate Data'!$B$7:$B$366,C4525)</x:f>
        <x:v>9.215384615384615</x:v>
      </x:c>
      <x:c r="J4525" s="381" t="n">
        <x:f>SUMIFS('Wind Proxy'!$H$8:$H$19,'Wind Proxy'!$A$8:$A$19,'Estimator'!$B$4,'Wind Proxy'!$B$8:$B$19,C4525)</x:f>
        <x:v>0.11350059737156513</x:v>
      </x:c>
    </x:row>
    <x:row r="4526">
      <x:c r="A4526" s="379" t="n">
        <x:v>50177</x:v>
      </x:c>
      <x:c r="B4526" s="380" t="n">
        <x:v>2037</x:v>
      </x:c>
      <x:c r="C4526" s="380" t="n">
        <x:v>5</x:v>
      </x:c>
      <x:c r="D4526" s="380" t="str">
        <x:v>May</x:v>
      </x:c>
      <x:c r="E4526" s="380" t="n">
        <x:v>17</x:v>
      </x:c>
      <x:c r="F4526" s="380" t="n">
        <x:v>7</x:v>
      </x:c>
      <x:c r="G4526" s="380" t="n">
        <x:f>--(F4526&lt;='Estimator'!$B$7)</x:f>
        <x:v>0</x:v>
      </x:c>
      <x:c r="H4526" s="381" t="n">
        <x:f>SUMIFS('Climate Data'!$G$7:$G$366,'Climate Data'!$A$7:$A$366,'Estimator'!$B$4,'Climate Data'!$B$7:$B$366,C4526)</x:f>
        <x:v>0.41935483870967744</x:v>
      </x:c>
      <x:c r="I4526" s="382" t="n">
        <x:f>SUMIFS('Climate Data'!$H$7:$H$366,'Climate Data'!$A$7:$A$366,'Estimator'!$B$4,'Climate Data'!$B$7:$B$366,C4526)</x:f>
        <x:v>9.215384615384615</x:v>
      </x:c>
      <x:c r="J4526" s="381" t="n">
        <x:f>SUMIFS('Wind Proxy'!$H$8:$H$19,'Wind Proxy'!$A$8:$A$19,'Estimator'!$B$4,'Wind Proxy'!$B$8:$B$19,C4526)</x:f>
        <x:v>0.11350059737156513</x:v>
      </x:c>
    </x:row>
    <x:row r="4527">
      <x:c r="A4527" s="379" t="n">
        <x:v>50178</x:v>
      </x:c>
      <x:c r="B4527" s="380" t="n">
        <x:v>2037</x:v>
      </x:c>
      <x:c r="C4527" s="380" t="n">
        <x:v>5</x:v>
      </x:c>
      <x:c r="D4527" s="380" t="str">
        <x:v>May</x:v>
      </x:c>
      <x:c r="E4527" s="380" t="n">
        <x:v>18</x:v>
      </x:c>
      <x:c r="F4527" s="380" t="n">
        <x:v>1</x:v>
      </x:c>
      <x:c r="G4527" s="380" t="n">
        <x:f>--(F4527&lt;='Estimator'!$B$7)</x:f>
        <x:v>1</x:v>
      </x:c>
      <x:c r="H4527" s="381" t="n">
        <x:f>SUMIFS('Climate Data'!$G$7:$G$366,'Climate Data'!$A$7:$A$366,'Estimator'!$B$4,'Climate Data'!$B$7:$B$366,C4527)</x:f>
        <x:v>0.41935483870967744</x:v>
      </x:c>
      <x:c r="I4527" s="382" t="n">
        <x:f>SUMIFS('Climate Data'!$H$7:$H$366,'Climate Data'!$A$7:$A$366,'Estimator'!$B$4,'Climate Data'!$B$7:$B$366,C4527)</x:f>
        <x:v>9.215384615384615</x:v>
      </x:c>
      <x:c r="J4527" s="381" t="n">
        <x:f>SUMIFS('Wind Proxy'!$H$8:$H$19,'Wind Proxy'!$A$8:$A$19,'Estimator'!$B$4,'Wind Proxy'!$B$8:$B$19,C4527)</x:f>
        <x:v>0.11350059737156513</x:v>
      </x:c>
    </x:row>
    <x:row r="4528">
      <x:c r="A4528" s="379" t="n">
        <x:v>50179</x:v>
      </x:c>
      <x:c r="B4528" s="380" t="n">
        <x:v>2037</x:v>
      </x:c>
      <x:c r="C4528" s="380" t="n">
        <x:v>5</x:v>
      </x:c>
      <x:c r="D4528" s="380" t="str">
        <x:v>May</x:v>
      </x:c>
      <x:c r="E4528" s="380" t="n">
        <x:v>19</x:v>
      </x:c>
      <x:c r="F4528" s="380" t="n">
        <x:v>2</x:v>
      </x:c>
      <x:c r="G4528" s="380" t="n">
        <x:f>--(F4528&lt;='Estimator'!$B$7)</x:f>
        <x:v>1</x:v>
      </x:c>
      <x:c r="H4528" s="381" t="n">
        <x:f>SUMIFS('Climate Data'!$G$7:$G$366,'Climate Data'!$A$7:$A$366,'Estimator'!$B$4,'Climate Data'!$B$7:$B$366,C4528)</x:f>
        <x:v>0.41935483870967744</x:v>
      </x:c>
      <x:c r="I4528" s="382" t="n">
        <x:f>SUMIFS('Climate Data'!$H$7:$H$366,'Climate Data'!$A$7:$A$366,'Estimator'!$B$4,'Climate Data'!$B$7:$B$366,C4528)</x:f>
        <x:v>9.215384615384615</x:v>
      </x:c>
      <x:c r="J4528" s="381" t="n">
        <x:f>SUMIFS('Wind Proxy'!$H$8:$H$19,'Wind Proxy'!$A$8:$A$19,'Estimator'!$B$4,'Wind Proxy'!$B$8:$B$19,C4528)</x:f>
        <x:v>0.11350059737156513</x:v>
      </x:c>
    </x:row>
    <x:row r="4529">
      <x:c r="A4529" s="379" t="n">
        <x:v>50180</x:v>
      </x:c>
      <x:c r="B4529" s="380" t="n">
        <x:v>2037</x:v>
      </x:c>
      <x:c r="C4529" s="380" t="n">
        <x:v>5</x:v>
      </x:c>
      <x:c r="D4529" s="380" t="str">
        <x:v>May</x:v>
      </x:c>
      <x:c r="E4529" s="380" t="n">
        <x:v>20</x:v>
      </x:c>
      <x:c r="F4529" s="380" t="n">
        <x:v>3</x:v>
      </x:c>
      <x:c r="G4529" s="380" t="n">
        <x:f>--(F4529&lt;='Estimator'!$B$7)</x:f>
        <x:v>1</x:v>
      </x:c>
      <x:c r="H4529" s="381" t="n">
        <x:f>SUMIFS('Climate Data'!$G$7:$G$366,'Climate Data'!$A$7:$A$366,'Estimator'!$B$4,'Climate Data'!$B$7:$B$366,C4529)</x:f>
        <x:v>0.41935483870967744</x:v>
      </x:c>
      <x:c r="I4529" s="382" t="n">
        <x:f>SUMIFS('Climate Data'!$H$7:$H$366,'Climate Data'!$A$7:$A$366,'Estimator'!$B$4,'Climate Data'!$B$7:$B$366,C4529)</x:f>
        <x:v>9.215384615384615</x:v>
      </x:c>
      <x:c r="J4529" s="381" t="n">
        <x:f>SUMIFS('Wind Proxy'!$H$8:$H$19,'Wind Proxy'!$A$8:$A$19,'Estimator'!$B$4,'Wind Proxy'!$B$8:$B$19,C4529)</x:f>
        <x:v>0.11350059737156513</x:v>
      </x:c>
    </x:row>
    <x:row r="4530">
      <x:c r="A4530" s="379" t="n">
        <x:v>50181</x:v>
      </x:c>
      <x:c r="B4530" s="380" t="n">
        <x:v>2037</x:v>
      </x:c>
      <x:c r="C4530" s="380" t="n">
        <x:v>5</x:v>
      </x:c>
      <x:c r="D4530" s="380" t="str">
        <x:v>May</x:v>
      </x:c>
      <x:c r="E4530" s="380" t="n">
        <x:v>21</x:v>
      </x:c>
      <x:c r="F4530" s="380" t="n">
        <x:v>4</x:v>
      </x:c>
      <x:c r="G4530" s="380" t="n">
        <x:f>--(F4530&lt;='Estimator'!$B$7)</x:f>
        <x:v>1</x:v>
      </x:c>
      <x:c r="H4530" s="381" t="n">
        <x:f>SUMIFS('Climate Data'!$G$7:$G$366,'Climate Data'!$A$7:$A$366,'Estimator'!$B$4,'Climate Data'!$B$7:$B$366,C4530)</x:f>
        <x:v>0.41935483870967744</x:v>
      </x:c>
      <x:c r="I4530" s="382" t="n">
        <x:f>SUMIFS('Climate Data'!$H$7:$H$366,'Climate Data'!$A$7:$A$366,'Estimator'!$B$4,'Climate Data'!$B$7:$B$366,C4530)</x:f>
        <x:v>9.215384615384615</x:v>
      </x:c>
      <x:c r="J4530" s="381" t="n">
        <x:f>SUMIFS('Wind Proxy'!$H$8:$H$19,'Wind Proxy'!$A$8:$A$19,'Estimator'!$B$4,'Wind Proxy'!$B$8:$B$19,C4530)</x:f>
        <x:v>0.11350059737156513</x:v>
      </x:c>
    </x:row>
    <x:row r="4531">
      <x:c r="A4531" s="379" t="n">
        <x:v>50182</x:v>
      </x:c>
      <x:c r="B4531" s="380" t="n">
        <x:v>2037</x:v>
      </x:c>
      <x:c r="C4531" s="380" t="n">
        <x:v>5</x:v>
      </x:c>
      <x:c r="D4531" s="380" t="str">
        <x:v>May</x:v>
      </x:c>
      <x:c r="E4531" s="380" t="n">
        <x:v>22</x:v>
      </x:c>
      <x:c r="F4531" s="380" t="n">
        <x:v>5</x:v>
      </x:c>
      <x:c r="G4531" s="380" t="n">
        <x:f>--(F4531&lt;='Estimator'!$B$7)</x:f>
        <x:v>1</x:v>
      </x:c>
      <x:c r="H4531" s="381" t="n">
        <x:f>SUMIFS('Climate Data'!$G$7:$G$366,'Climate Data'!$A$7:$A$366,'Estimator'!$B$4,'Climate Data'!$B$7:$B$366,C4531)</x:f>
        <x:v>0.41935483870967744</x:v>
      </x:c>
      <x:c r="I4531" s="382" t="n">
        <x:f>SUMIFS('Climate Data'!$H$7:$H$366,'Climate Data'!$A$7:$A$366,'Estimator'!$B$4,'Climate Data'!$B$7:$B$366,C4531)</x:f>
        <x:v>9.215384615384615</x:v>
      </x:c>
      <x:c r="J4531" s="381" t="n">
        <x:f>SUMIFS('Wind Proxy'!$H$8:$H$19,'Wind Proxy'!$A$8:$A$19,'Estimator'!$B$4,'Wind Proxy'!$B$8:$B$19,C4531)</x:f>
        <x:v>0.11350059737156513</x:v>
      </x:c>
    </x:row>
    <x:row r="4532">
      <x:c r="A4532" s="379" t="n">
        <x:v>50183</x:v>
      </x:c>
      <x:c r="B4532" s="380" t="n">
        <x:v>2037</x:v>
      </x:c>
      <x:c r="C4532" s="380" t="n">
        <x:v>5</x:v>
      </x:c>
      <x:c r="D4532" s="380" t="str">
        <x:v>May</x:v>
      </x:c>
      <x:c r="E4532" s="380" t="n">
        <x:v>23</x:v>
      </x:c>
      <x:c r="F4532" s="380" t="n">
        <x:v>6</x:v>
      </x:c>
      <x:c r="G4532" s="380" t="n">
        <x:f>--(F4532&lt;='Estimator'!$B$7)</x:f>
        <x:v>0</x:v>
      </x:c>
      <x:c r="H4532" s="381" t="n">
        <x:f>SUMIFS('Climate Data'!$G$7:$G$366,'Climate Data'!$A$7:$A$366,'Estimator'!$B$4,'Climate Data'!$B$7:$B$366,C4532)</x:f>
        <x:v>0.41935483870967744</x:v>
      </x:c>
      <x:c r="I4532" s="382" t="n">
        <x:f>SUMIFS('Climate Data'!$H$7:$H$366,'Climate Data'!$A$7:$A$366,'Estimator'!$B$4,'Climate Data'!$B$7:$B$366,C4532)</x:f>
        <x:v>9.215384615384615</x:v>
      </x:c>
      <x:c r="J4532" s="381" t="n">
        <x:f>SUMIFS('Wind Proxy'!$H$8:$H$19,'Wind Proxy'!$A$8:$A$19,'Estimator'!$B$4,'Wind Proxy'!$B$8:$B$19,C4532)</x:f>
        <x:v>0.11350059737156513</x:v>
      </x:c>
    </x:row>
    <x:row r="4533">
      <x:c r="A4533" s="379" t="n">
        <x:v>50184</x:v>
      </x:c>
      <x:c r="B4533" s="380" t="n">
        <x:v>2037</x:v>
      </x:c>
      <x:c r="C4533" s="380" t="n">
        <x:v>5</x:v>
      </x:c>
      <x:c r="D4533" s="380" t="str">
        <x:v>May</x:v>
      </x:c>
      <x:c r="E4533" s="380" t="n">
        <x:v>24</x:v>
      </x:c>
      <x:c r="F4533" s="380" t="n">
        <x:v>7</x:v>
      </x:c>
      <x:c r="G4533" s="380" t="n">
        <x:f>--(F4533&lt;='Estimator'!$B$7)</x:f>
        <x:v>0</x:v>
      </x:c>
      <x:c r="H4533" s="381" t="n">
        <x:f>SUMIFS('Climate Data'!$G$7:$G$366,'Climate Data'!$A$7:$A$366,'Estimator'!$B$4,'Climate Data'!$B$7:$B$366,C4533)</x:f>
        <x:v>0.41935483870967744</x:v>
      </x:c>
      <x:c r="I4533" s="382" t="n">
        <x:f>SUMIFS('Climate Data'!$H$7:$H$366,'Climate Data'!$A$7:$A$366,'Estimator'!$B$4,'Climate Data'!$B$7:$B$366,C4533)</x:f>
        <x:v>9.215384615384615</x:v>
      </x:c>
      <x:c r="J4533" s="381" t="n">
        <x:f>SUMIFS('Wind Proxy'!$H$8:$H$19,'Wind Proxy'!$A$8:$A$19,'Estimator'!$B$4,'Wind Proxy'!$B$8:$B$19,C4533)</x:f>
        <x:v>0.11350059737156513</x:v>
      </x:c>
    </x:row>
    <x:row r="4534">
      <x:c r="A4534" s="379" t="n">
        <x:v>50185</x:v>
      </x:c>
      <x:c r="B4534" s="380" t="n">
        <x:v>2037</x:v>
      </x:c>
      <x:c r="C4534" s="380" t="n">
        <x:v>5</x:v>
      </x:c>
      <x:c r="D4534" s="380" t="str">
        <x:v>May</x:v>
      </x:c>
      <x:c r="E4534" s="380" t="n">
        <x:v>25</x:v>
      </x:c>
      <x:c r="F4534" s="380" t="n">
        <x:v>1</x:v>
      </x:c>
      <x:c r="G4534" s="380" t="n">
        <x:f>--(F4534&lt;='Estimator'!$B$7)</x:f>
        <x:v>1</x:v>
      </x:c>
      <x:c r="H4534" s="381" t="n">
        <x:f>SUMIFS('Climate Data'!$G$7:$G$366,'Climate Data'!$A$7:$A$366,'Estimator'!$B$4,'Climate Data'!$B$7:$B$366,C4534)</x:f>
        <x:v>0.41935483870967744</x:v>
      </x:c>
      <x:c r="I4534" s="382" t="n">
        <x:f>SUMIFS('Climate Data'!$H$7:$H$366,'Climate Data'!$A$7:$A$366,'Estimator'!$B$4,'Climate Data'!$B$7:$B$366,C4534)</x:f>
        <x:v>9.215384615384615</x:v>
      </x:c>
      <x:c r="J4534" s="381" t="n">
        <x:f>SUMIFS('Wind Proxy'!$H$8:$H$19,'Wind Proxy'!$A$8:$A$19,'Estimator'!$B$4,'Wind Proxy'!$B$8:$B$19,C4534)</x:f>
        <x:v>0.11350059737156513</x:v>
      </x:c>
    </x:row>
    <x:row r="4535">
      <x:c r="A4535" s="379" t="n">
        <x:v>50186</x:v>
      </x:c>
      <x:c r="B4535" s="380" t="n">
        <x:v>2037</x:v>
      </x:c>
      <x:c r="C4535" s="380" t="n">
        <x:v>5</x:v>
      </x:c>
      <x:c r="D4535" s="380" t="str">
        <x:v>May</x:v>
      </x:c>
      <x:c r="E4535" s="380" t="n">
        <x:v>26</x:v>
      </x:c>
      <x:c r="F4535" s="380" t="n">
        <x:v>2</x:v>
      </x:c>
      <x:c r="G4535" s="380" t="n">
        <x:f>--(F4535&lt;='Estimator'!$B$7)</x:f>
        <x:v>1</x:v>
      </x:c>
      <x:c r="H4535" s="381" t="n">
        <x:f>SUMIFS('Climate Data'!$G$7:$G$366,'Climate Data'!$A$7:$A$366,'Estimator'!$B$4,'Climate Data'!$B$7:$B$366,C4535)</x:f>
        <x:v>0.41935483870967744</x:v>
      </x:c>
      <x:c r="I4535" s="382" t="n">
        <x:f>SUMIFS('Climate Data'!$H$7:$H$366,'Climate Data'!$A$7:$A$366,'Estimator'!$B$4,'Climate Data'!$B$7:$B$366,C4535)</x:f>
        <x:v>9.215384615384615</x:v>
      </x:c>
      <x:c r="J4535" s="381" t="n">
        <x:f>SUMIFS('Wind Proxy'!$H$8:$H$19,'Wind Proxy'!$A$8:$A$19,'Estimator'!$B$4,'Wind Proxy'!$B$8:$B$19,C4535)</x:f>
        <x:v>0.11350059737156513</x:v>
      </x:c>
    </x:row>
    <x:row r="4536">
      <x:c r="A4536" s="379" t="n">
        <x:v>50187</x:v>
      </x:c>
      <x:c r="B4536" s="380" t="n">
        <x:v>2037</x:v>
      </x:c>
      <x:c r="C4536" s="380" t="n">
        <x:v>5</x:v>
      </x:c>
      <x:c r="D4536" s="380" t="str">
        <x:v>May</x:v>
      </x:c>
      <x:c r="E4536" s="380" t="n">
        <x:v>27</x:v>
      </x:c>
      <x:c r="F4536" s="380" t="n">
        <x:v>3</x:v>
      </x:c>
      <x:c r="G4536" s="380" t="n">
        <x:f>--(F4536&lt;='Estimator'!$B$7)</x:f>
        <x:v>1</x:v>
      </x:c>
      <x:c r="H4536" s="381" t="n">
        <x:f>SUMIFS('Climate Data'!$G$7:$G$366,'Climate Data'!$A$7:$A$366,'Estimator'!$B$4,'Climate Data'!$B$7:$B$366,C4536)</x:f>
        <x:v>0.41935483870967744</x:v>
      </x:c>
      <x:c r="I4536" s="382" t="n">
        <x:f>SUMIFS('Climate Data'!$H$7:$H$366,'Climate Data'!$A$7:$A$366,'Estimator'!$B$4,'Climate Data'!$B$7:$B$366,C4536)</x:f>
        <x:v>9.215384615384615</x:v>
      </x:c>
      <x:c r="J4536" s="381" t="n">
        <x:f>SUMIFS('Wind Proxy'!$H$8:$H$19,'Wind Proxy'!$A$8:$A$19,'Estimator'!$B$4,'Wind Proxy'!$B$8:$B$19,C4536)</x:f>
        <x:v>0.11350059737156513</x:v>
      </x:c>
    </x:row>
    <x:row r="4537">
      <x:c r="A4537" s="379" t="n">
        <x:v>50188</x:v>
      </x:c>
      <x:c r="B4537" s="380" t="n">
        <x:v>2037</x:v>
      </x:c>
      <x:c r="C4537" s="380" t="n">
        <x:v>5</x:v>
      </x:c>
      <x:c r="D4537" s="380" t="str">
        <x:v>May</x:v>
      </x:c>
      <x:c r="E4537" s="380" t="n">
        <x:v>28</x:v>
      </x:c>
      <x:c r="F4537" s="380" t="n">
        <x:v>4</x:v>
      </x:c>
      <x:c r="G4537" s="380" t="n">
        <x:f>--(F4537&lt;='Estimator'!$B$7)</x:f>
        <x:v>1</x:v>
      </x:c>
      <x:c r="H4537" s="381" t="n">
        <x:f>SUMIFS('Climate Data'!$G$7:$G$366,'Climate Data'!$A$7:$A$366,'Estimator'!$B$4,'Climate Data'!$B$7:$B$366,C4537)</x:f>
        <x:v>0.41935483870967744</x:v>
      </x:c>
      <x:c r="I4537" s="382" t="n">
        <x:f>SUMIFS('Climate Data'!$H$7:$H$366,'Climate Data'!$A$7:$A$366,'Estimator'!$B$4,'Climate Data'!$B$7:$B$366,C4537)</x:f>
        <x:v>9.215384615384615</x:v>
      </x:c>
      <x:c r="J4537" s="381" t="n">
        <x:f>SUMIFS('Wind Proxy'!$H$8:$H$19,'Wind Proxy'!$A$8:$A$19,'Estimator'!$B$4,'Wind Proxy'!$B$8:$B$19,C4537)</x:f>
        <x:v>0.11350059737156513</x:v>
      </x:c>
    </x:row>
    <x:row r="4538">
      <x:c r="A4538" s="379" t="n">
        <x:v>50189</x:v>
      </x:c>
      <x:c r="B4538" s="380" t="n">
        <x:v>2037</x:v>
      </x:c>
      <x:c r="C4538" s="380" t="n">
        <x:v>5</x:v>
      </x:c>
      <x:c r="D4538" s="380" t="str">
        <x:v>May</x:v>
      </x:c>
      <x:c r="E4538" s="380" t="n">
        <x:v>29</x:v>
      </x:c>
      <x:c r="F4538" s="380" t="n">
        <x:v>5</x:v>
      </x:c>
      <x:c r="G4538" s="380" t="n">
        <x:f>--(F4538&lt;='Estimator'!$B$7)</x:f>
        <x:v>1</x:v>
      </x:c>
      <x:c r="H4538" s="381" t="n">
        <x:f>SUMIFS('Climate Data'!$G$7:$G$366,'Climate Data'!$A$7:$A$366,'Estimator'!$B$4,'Climate Data'!$B$7:$B$366,C4538)</x:f>
        <x:v>0.41935483870967744</x:v>
      </x:c>
      <x:c r="I4538" s="382" t="n">
        <x:f>SUMIFS('Climate Data'!$H$7:$H$366,'Climate Data'!$A$7:$A$366,'Estimator'!$B$4,'Climate Data'!$B$7:$B$366,C4538)</x:f>
        <x:v>9.215384615384615</x:v>
      </x:c>
      <x:c r="J4538" s="381" t="n">
        <x:f>SUMIFS('Wind Proxy'!$H$8:$H$19,'Wind Proxy'!$A$8:$A$19,'Estimator'!$B$4,'Wind Proxy'!$B$8:$B$19,C4538)</x:f>
        <x:v>0.11350059737156513</x:v>
      </x:c>
    </x:row>
    <x:row r="4539">
      <x:c r="A4539" s="379" t="n">
        <x:v>50190</x:v>
      </x:c>
      <x:c r="B4539" s="380" t="n">
        <x:v>2037</x:v>
      </x:c>
      <x:c r="C4539" s="380" t="n">
        <x:v>5</x:v>
      </x:c>
      <x:c r="D4539" s="380" t="str">
        <x:v>May</x:v>
      </x:c>
      <x:c r="E4539" s="380" t="n">
        <x:v>30</x:v>
      </x:c>
      <x:c r="F4539" s="380" t="n">
        <x:v>6</x:v>
      </x:c>
      <x:c r="G4539" s="380" t="n">
        <x:f>--(F4539&lt;='Estimator'!$B$7)</x:f>
        <x:v>0</x:v>
      </x:c>
      <x:c r="H4539" s="381" t="n">
        <x:f>SUMIFS('Climate Data'!$G$7:$G$366,'Climate Data'!$A$7:$A$366,'Estimator'!$B$4,'Climate Data'!$B$7:$B$366,C4539)</x:f>
        <x:v>0.41935483870967744</x:v>
      </x:c>
      <x:c r="I4539" s="382" t="n">
        <x:f>SUMIFS('Climate Data'!$H$7:$H$366,'Climate Data'!$A$7:$A$366,'Estimator'!$B$4,'Climate Data'!$B$7:$B$366,C4539)</x:f>
        <x:v>9.215384615384615</x:v>
      </x:c>
      <x:c r="J4539" s="381" t="n">
        <x:f>SUMIFS('Wind Proxy'!$H$8:$H$19,'Wind Proxy'!$A$8:$A$19,'Estimator'!$B$4,'Wind Proxy'!$B$8:$B$19,C4539)</x:f>
        <x:v>0.11350059737156513</x:v>
      </x:c>
    </x:row>
    <x:row r="4540">
      <x:c r="A4540" s="379" t="n">
        <x:v>50191</x:v>
      </x:c>
      <x:c r="B4540" s="380" t="n">
        <x:v>2037</x:v>
      </x:c>
      <x:c r="C4540" s="380" t="n">
        <x:v>5</x:v>
      </x:c>
      <x:c r="D4540" s="380" t="str">
        <x:v>May</x:v>
      </x:c>
      <x:c r="E4540" s="380" t="n">
        <x:v>31</x:v>
      </x:c>
      <x:c r="F4540" s="380" t="n">
        <x:v>7</x:v>
      </x:c>
      <x:c r="G4540" s="380" t="n">
        <x:f>--(F4540&lt;='Estimator'!$B$7)</x:f>
        <x:v>0</x:v>
      </x:c>
      <x:c r="H4540" s="381" t="n">
        <x:f>SUMIFS('Climate Data'!$G$7:$G$366,'Climate Data'!$A$7:$A$366,'Estimator'!$B$4,'Climate Data'!$B$7:$B$366,C4540)</x:f>
        <x:v>0.41935483870967744</x:v>
      </x:c>
      <x:c r="I4540" s="382" t="n">
        <x:f>SUMIFS('Climate Data'!$H$7:$H$366,'Climate Data'!$A$7:$A$366,'Estimator'!$B$4,'Climate Data'!$B$7:$B$366,C4540)</x:f>
        <x:v>9.215384615384615</x:v>
      </x:c>
      <x:c r="J4540" s="381" t="n">
        <x:f>SUMIFS('Wind Proxy'!$H$8:$H$19,'Wind Proxy'!$A$8:$A$19,'Estimator'!$B$4,'Wind Proxy'!$B$8:$B$19,C4540)</x:f>
        <x:v>0.11350059737156513</x:v>
      </x:c>
    </x:row>
    <x:row r="4541">
      <x:c r="A4541" s="379" t="n">
        <x:v>50192</x:v>
      </x:c>
      <x:c r="B4541" s="380" t="n">
        <x:v>2037</x:v>
      </x:c>
      <x:c r="C4541" s="380" t="n">
        <x:v>6</x:v>
      </x:c>
      <x:c r="D4541" s="380" t="str">
        <x:v>Jun</x:v>
      </x:c>
      <x:c r="E4541" s="380" t="n">
        <x:v>1</x:v>
      </x:c>
      <x:c r="F4541" s="380" t="n">
        <x:v>1</x:v>
      </x:c>
      <x:c r="G4541" s="380" t="n">
        <x:f>--(F4541&lt;='Estimator'!$B$7)</x:f>
        <x:v>1</x:v>
      </x:c>
      <x:c r="H4541" s="381" t="n">
        <x:f>SUMIFS('Climate Data'!$G$7:$G$366,'Climate Data'!$A$7:$A$366,'Estimator'!$B$4,'Climate Data'!$B$7:$B$366,C4541)</x:f>
        <x:v>0.475</x:v>
      </x:c>
      <x:c r="I4541" s="382" t="n">
        <x:f>SUMIFS('Climate Data'!$H$7:$H$366,'Climate Data'!$A$7:$A$366,'Estimator'!$B$4,'Climate Data'!$B$7:$B$366,C4541)</x:f>
        <x:v>8.378947368421054</x:v>
      </x:c>
      <x:c r="J4541" s="381" t="n">
        <x:f>SUMIFS('Wind Proxy'!$H$8:$H$19,'Wind Proxy'!$A$8:$A$19,'Estimator'!$B$4,'Wind Proxy'!$B$8:$B$19,C4541)</x:f>
        <x:v>0.14197530864197533</x:v>
      </x:c>
    </x:row>
    <x:row r="4542">
      <x:c r="A4542" s="379" t="n">
        <x:v>50193</x:v>
      </x:c>
      <x:c r="B4542" s="380" t="n">
        <x:v>2037</x:v>
      </x:c>
      <x:c r="C4542" s="380" t="n">
        <x:v>6</x:v>
      </x:c>
      <x:c r="D4542" s="380" t="str">
        <x:v>Jun</x:v>
      </x:c>
      <x:c r="E4542" s="380" t="n">
        <x:v>2</x:v>
      </x:c>
      <x:c r="F4542" s="380" t="n">
        <x:v>2</x:v>
      </x:c>
      <x:c r="G4542" s="380" t="n">
        <x:f>--(F4542&lt;='Estimator'!$B$7)</x:f>
        <x:v>1</x:v>
      </x:c>
      <x:c r="H4542" s="381" t="n">
        <x:f>SUMIFS('Climate Data'!$G$7:$G$366,'Climate Data'!$A$7:$A$366,'Estimator'!$B$4,'Climate Data'!$B$7:$B$366,C4542)</x:f>
        <x:v>0.475</x:v>
      </x:c>
      <x:c r="I4542" s="382" t="n">
        <x:f>SUMIFS('Climate Data'!$H$7:$H$366,'Climate Data'!$A$7:$A$366,'Estimator'!$B$4,'Climate Data'!$B$7:$B$366,C4542)</x:f>
        <x:v>8.378947368421054</x:v>
      </x:c>
      <x:c r="J4542" s="381" t="n">
        <x:f>SUMIFS('Wind Proxy'!$H$8:$H$19,'Wind Proxy'!$A$8:$A$19,'Estimator'!$B$4,'Wind Proxy'!$B$8:$B$19,C4542)</x:f>
        <x:v>0.14197530864197533</x:v>
      </x:c>
    </x:row>
    <x:row r="4543">
      <x:c r="A4543" s="379" t="n">
        <x:v>50194</x:v>
      </x:c>
      <x:c r="B4543" s="380" t="n">
        <x:v>2037</x:v>
      </x:c>
      <x:c r="C4543" s="380" t="n">
        <x:v>6</x:v>
      </x:c>
      <x:c r="D4543" s="380" t="str">
        <x:v>Jun</x:v>
      </x:c>
      <x:c r="E4543" s="380" t="n">
        <x:v>3</x:v>
      </x:c>
      <x:c r="F4543" s="380" t="n">
        <x:v>3</x:v>
      </x:c>
      <x:c r="G4543" s="380" t="n">
        <x:f>--(F4543&lt;='Estimator'!$B$7)</x:f>
        <x:v>1</x:v>
      </x:c>
      <x:c r="H4543" s="381" t="n">
        <x:f>SUMIFS('Climate Data'!$G$7:$G$366,'Climate Data'!$A$7:$A$366,'Estimator'!$B$4,'Climate Data'!$B$7:$B$366,C4543)</x:f>
        <x:v>0.475</x:v>
      </x:c>
      <x:c r="I4543" s="382" t="n">
        <x:f>SUMIFS('Climate Data'!$H$7:$H$366,'Climate Data'!$A$7:$A$366,'Estimator'!$B$4,'Climate Data'!$B$7:$B$366,C4543)</x:f>
        <x:v>8.378947368421054</x:v>
      </x:c>
      <x:c r="J4543" s="381" t="n">
        <x:f>SUMIFS('Wind Proxy'!$H$8:$H$19,'Wind Proxy'!$A$8:$A$19,'Estimator'!$B$4,'Wind Proxy'!$B$8:$B$19,C4543)</x:f>
        <x:v>0.14197530864197533</x:v>
      </x:c>
    </x:row>
    <x:row r="4544">
      <x:c r="A4544" s="379" t="n">
        <x:v>50195</x:v>
      </x:c>
      <x:c r="B4544" s="380" t="n">
        <x:v>2037</x:v>
      </x:c>
      <x:c r="C4544" s="380" t="n">
        <x:v>6</x:v>
      </x:c>
      <x:c r="D4544" s="380" t="str">
        <x:v>Jun</x:v>
      </x:c>
      <x:c r="E4544" s="380" t="n">
        <x:v>4</x:v>
      </x:c>
      <x:c r="F4544" s="380" t="n">
        <x:v>4</x:v>
      </x:c>
      <x:c r="G4544" s="380" t="n">
        <x:f>--(F4544&lt;='Estimator'!$B$7)</x:f>
        <x:v>1</x:v>
      </x:c>
      <x:c r="H4544" s="381" t="n">
        <x:f>SUMIFS('Climate Data'!$G$7:$G$366,'Climate Data'!$A$7:$A$366,'Estimator'!$B$4,'Climate Data'!$B$7:$B$366,C4544)</x:f>
        <x:v>0.475</x:v>
      </x:c>
      <x:c r="I4544" s="382" t="n">
        <x:f>SUMIFS('Climate Data'!$H$7:$H$366,'Climate Data'!$A$7:$A$366,'Estimator'!$B$4,'Climate Data'!$B$7:$B$366,C4544)</x:f>
        <x:v>8.378947368421054</x:v>
      </x:c>
      <x:c r="J4544" s="381" t="n">
        <x:f>SUMIFS('Wind Proxy'!$H$8:$H$19,'Wind Proxy'!$A$8:$A$19,'Estimator'!$B$4,'Wind Proxy'!$B$8:$B$19,C4544)</x:f>
        <x:v>0.14197530864197533</x:v>
      </x:c>
    </x:row>
    <x:row r="4545">
      <x:c r="A4545" s="379" t="n">
        <x:v>50196</x:v>
      </x:c>
      <x:c r="B4545" s="380" t="n">
        <x:v>2037</x:v>
      </x:c>
      <x:c r="C4545" s="380" t="n">
        <x:v>6</x:v>
      </x:c>
      <x:c r="D4545" s="380" t="str">
        <x:v>Jun</x:v>
      </x:c>
      <x:c r="E4545" s="380" t="n">
        <x:v>5</x:v>
      </x:c>
      <x:c r="F4545" s="380" t="n">
        <x:v>5</x:v>
      </x:c>
      <x:c r="G4545" s="380" t="n">
        <x:f>--(F4545&lt;='Estimator'!$B$7)</x:f>
        <x:v>1</x:v>
      </x:c>
      <x:c r="H4545" s="381" t="n">
        <x:f>SUMIFS('Climate Data'!$G$7:$G$366,'Climate Data'!$A$7:$A$366,'Estimator'!$B$4,'Climate Data'!$B$7:$B$366,C4545)</x:f>
        <x:v>0.475</x:v>
      </x:c>
      <x:c r="I4545" s="382" t="n">
        <x:f>SUMIFS('Climate Data'!$H$7:$H$366,'Climate Data'!$A$7:$A$366,'Estimator'!$B$4,'Climate Data'!$B$7:$B$366,C4545)</x:f>
        <x:v>8.378947368421054</x:v>
      </x:c>
      <x:c r="J4545" s="381" t="n">
        <x:f>SUMIFS('Wind Proxy'!$H$8:$H$19,'Wind Proxy'!$A$8:$A$19,'Estimator'!$B$4,'Wind Proxy'!$B$8:$B$19,C4545)</x:f>
        <x:v>0.14197530864197533</x:v>
      </x:c>
    </x:row>
    <x:row r="4546">
      <x:c r="A4546" s="379" t="n">
        <x:v>50197</x:v>
      </x:c>
      <x:c r="B4546" s="380" t="n">
        <x:v>2037</x:v>
      </x:c>
      <x:c r="C4546" s="380" t="n">
        <x:v>6</x:v>
      </x:c>
      <x:c r="D4546" s="380" t="str">
        <x:v>Jun</x:v>
      </x:c>
      <x:c r="E4546" s="380" t="n">
        <x:v>6</x:v>
      </x:c>
      <x:c r="F4546" s="380" t="n">
        <x:v>6</x:v>
      </x:c>
      <x:c r="G4546" s="380" t="n">
        <x:f>--(F4546&lt;='Estimator'!$B$7)</x:f>
        <x:v>0</x:v>
      </x:c>
      <x:c r="H4546" s="381" t="n">
        <x:f>SUMIFS('Climate Data'!$G$7:$G$366,'Climate Data'!$A$7:$A$366,'Estimator'!$B$4,'Climate Data'!$B$7:$B$366,C4546)</x:f>
        <x:v>0.475</x:v>
      </x:c>
      <x:c r="I4546" s="382" t="n">
        <x:f>SUMIFS('Climate Data'!$H$7:$H$366,'Climate Data'!$A$7:$A$366,'Estimator'!$B$4,'Climate Data'!$B$7:$B$366,C4546)</x:f>
        <x:v>8.378947368421054</x:v>
      </x:c>
      <x:c r="J4546" s="381" t="n">
        <x:f>SUMIFS('Wind Proxy'!$H$8:$H$19,'Wind Proxy'!$A$8:$A$19,'Estimator'!$B$4,'Wind Proxy'!$B$8:$B$19,C4546)</x:f>
        <x:v>0.14197530864197533</x:v>
      </x:c>
    </x:row>
    <x:row r="4547">
      <x:c r="A4547" s="379" t="n">
        <x:v>50198</x:v>
      </x:c>
      <x:c r="B4547" s="380" t="n">
        <x:v>2037</x:v>
      </x:c>
      <x:c r="C4547" s="380" t="n">
        <x:v>6</x:v>
      </x:c>
      <x:c r="D4547" s="380" t="str">
        <x:v>Jun</x:v>
      </x:c>
      <x:c r="E4547" s="380" t="n">
        <x:v>7</x:v>
      </x:c>
      <x:c r="F4547" s="380" t="n">
        <x:v>7</x:v>
      </x:c>
      <x:c r="G4547" s="380" t="n">
        <x:f>--(F4547&lt;='Estimator'!$B$7)</x:f>
        <x:v>0</x:v>
      </x:c>
      <x:c r="H4547" s="381" t="n">
        <x:f>SUMIFS('Climate Data'!$G$7:$G$366,'Climate Data'!$A$7:$A$366,'Estimator'!$B$4,'Climate Data'!$B$7:$B$366,C4547)</x:f>
        <x:v>0.475</x:v>
      </x:c>
      <x:c r="I4547" s="382" t="n">
        <x:f>SUMIFS('Climate Data'!$H$7:$H$366,'Climate Data'!$A$7:$A$366,'Estimator'!$B$4,'Climate Data'!$B$7:$B$366,C4547)</x:f>
        <x:v>8.378947368421054</x:v>
      </x:c>
      <x:c r="J4547" s="381" t="n">
        <x:f>SUMIFS('Wind Proxy'!$H$8:$H$19,'Wind Proxy'!$A$8:$A$19,'Estimator'!$B$4,'Wind Proxy'!$B$8:$B$19,C4547)</x:f>
        <x:v>0.14197530864197533</x:v>
      </x:c>
    </x:row>
    <x:row r="4548">
      <x:c r="A4548" s="379" t="n">
        <x:v>50199</x:v>
      </x:c>
      <x:c r="B4548" s="380" t="n">
        <x:v>2037</x:v>
      </x:c>
      <x:c r="C4548" s="380" t="n">
        <x:v>6</x:v>
      </x:c>
      <x:c r="D4548" s="380" t="str">
        <x:v>Jun</x:v>
      </x:c>
      <x:c r="E4548" s="380" t="n">
        <x:v>8</x:v>
      </x:c>
      <x:c r="F4548" s="380" t="n">
        <x:v>1</x:v>
      </x:c>
      <x:c r="G4548" s="380" t="n">
        <x:f>--(F4548&lt;='Estimator'!$B$7)</x:f>
        <x:v>1</x:v>
      </x:c>
      <x:c r="H4548" s="381" t="n">
        <x:f>SUMIFS('Climate Data'!$G$7:$G$366,'Climate Data'!$A$7:$A$366,'Estimator'!$B$4,'Climate Data'!$B$7:$B$366,C4548)</x:f>
        <x:v>0.475</x:v>
      </x:c>
      <x:c r="I4548" s="382" t="n">
        <x:f>SUMIFS('Climate Data'!$H$7:$H$366,'Climate Data'!$A$7:$A$366,'Estimator'!$B$4,'Climate Data'!$B$7:$B$366,C4548)</x:f>
        <x:v>8.378947368421054</x:v>
      </x:c>
      <x:c r="J4548" s="381" t="n">
        <x:f>SUMIFS('Wind Proxy'!$H$8:$H$19,'Wind Proxy'!$A$8:$A$19,'Estimator'!$B$4,'Wind Proxy'!$B$8:$B$19,C4548)</x:f>
        <x:v>0.14197530864197533</x:v>
      </x:c>
    </x:row>
    <x:row r="4549">
      <x:c r="A4549" s="379" t="n">
        <x:v>50200</x:v>
      </x:c>
      <x:c r="B4549" s="380" t="n">
        <x:v>2037</x:v>
      </x:c>
      <x:c r="C4549" s="380" t="n">
        <x:v>6</x:v>
      </x:c>
      <x:c r="D4549" s="380" t="str">
        <x:v>Jun</x:v>
      </x:c>
      <x:c r="E4549" s="380" t="n">
        <x:v>9</x:v>
      </x:c>
      <x:c r="F4549" s="380" t="n">
        <x:v>2</x:v>
      </x:c>
      <x:c r="G4549" s="380" t="n">
        <x:f>--(F4549&lt;='Estimator'!$B$7)</x:f>
        <x:v>1</x:v>
      </x:c>
      <x:c r="H4549" s="381" t="n">
        <x:f>SUMIFS('Climate Data'!$G$7:$G$366,'Climate Data'!$A$7:$A$366,'Estimator'!$B$4,'Climate Data'!$B$7:$B$366,C4549)</x:f>
        <x:v>0.475</x:v>
      </x:c>
      <x:c r="I4549" s="382" t="n">
        <x:f>SUMIFS('Climate Data'!$H$7:$H$366,'Climate Data'!$A$7:$A$366,'Estimator'!$B$4,'Climate Data'!$B$7:$B$366,C4549)</x:f>
        <x:v>8.378947368421054</x:v>
      </x:c>
      <x:c r="J4549" s="381" t="n">
        <x:f>SUMIFS('Wind Proxy'!$H$8:$H$19,'Wind Proxy'!$A$8:$A$19,'Estimator'!$B$4,'Wind Proxy'!$B$8:$B$19,C4549)</x:f>
        <x:v>0.14197530864197533</x:v>
      </x:c>
    </x:row>
    <x:row r="4550">
      <x:c r="A4550" s="379" t="n">
        <x:v>50201</x:v>
      </x:c>
      <x:c r="B4550" s="380" t="n">
        <x:v>2037</x:v>
      </x:c>
      <x:c r="C4550" s="380" t="n">
        <x:v>6</x:v>
      </x:c>
      <x:c r="D4550" s="380" t="str">
        <x:v>Jun</x:v>
      </x:c>
      <x:c r="E4550" s="380" t="n">
        <x:v>10</x:v>
      </x:c>
      <x:c r="F4550" s="380" t="n">
        <x:v>3</x:v>
      </x:c>
      <x:c r="G4550" s="380" t="n">
        <x:f>--(F4550&lt;='Estimator'!$B$7)</x:f>
        <x:v>1</x:v>
      </x:c>
      <x:c r="H4550" s="381" t="n">
        <x:f>SUMIFS('Climate Data'!$G$7:$G$366,'Climate Data'!$A$7:$A$366,'Estimator'!$B$4,'Climate Data'!$B$7:$B$366,C4550)</x:f>
        <x:v>0.475</x:v>
      </x:c>
      <x:c r="I4550" s="382" t="n">
        <x:f>SUMIFS('Climate Data'!$H$7:$H$366,'Climate Data'!$A$7:$A$366,'Estimator'!$B$4,'Climate Data'!$B$7:$B$366,C4550)</x:f>
        <x:v>8.378947368421054</x:v>
      </x:c>
      <x:c r="J4550" s="381" t="n">
        <x:f>SUMIFS('Wind Proxy'!$H$8:$H$19,'Wind Proxy'!$A$8:$A$19,'Estimator'!$B$4,'Wind Proxy'!$B$8:$B$19,C4550)</x:f>
        <x:v>0.14197530864197533</x:v>
      </x:c>
    </x:row>
    <x:row r="4551">
      <x:c r="A4551" s="379" t="n">
        <x:v>50202</x:v>
      </x:c>
      <x:c r="B4551" s="380" t="n">
        <x:v>2037</x:v>
      </x:c>
      <x:c r="C4551" s="380" t="n">
        <x:v>6</x:v>
      </x:c>
      <x:c r="D4551" s="380" t="str">
        <x:v>Jun</x:v>
      </x:c>
      <x:c r="E4551" s="380" t="n">
        <x:v>11</x:v>
      </x:c>
      <x:c r="F4551" s="380" t="n">
        <x:v>4</x:v>
      </x:c>
      <x:c r="G4551" s="380" t="n">
        <x:f>--(F4551&lt;='Estimator'!$B$7)</x:f>
        <x:v>1</x:v>
      </x:c>
      <x:c r="H4551" s="381" t="n">
        <x:f>SUMIFS('Climate Data'!$G$7:$G$366,'Climate Data'!$A$7:$A$366,'Estimator'!$B$4,'Climate Data'!$B$7:$B$366,C4551)</x:f>
        <x:v>0.475</x:v>
      </x:c>
      <x:c r="I4551" s="382" t="n">
        <x:f>SUMIFS('Climate Data'!$H$7:$H$366,'Climate Data'!$A$7:$A$366,'Estimator'!$B$4,'Climate Data'!$B$7:$B$366,C4551)</x:f>
        <x:v>8.378947368421054</x:v>
      </x:c>
      <x:c r="J4551" s="381" t="n">
        <x:f>SUMIFS('Wind Proxy'!$H$8:$H$19,'Wind Proxy'!$A$8:$A$19,'Estimator'!$B$4,'Wind Proxy'!$B$8:$B$19,C4551)</x:f>
        <x:v>0.14197530864197533</x:v>
      </x:c>
    </x:row>
    <x:row r="4552">
      <x:c r="A4552" s="379" t="n">
        <x:v>50203</x:v>
      </x:c>
      <x:c r="B4552" s="380" t="n">
        <x:v>2037</x:v>
      </x:c>
      <x:c r="C4552" s="380" t="n">
        <x:v>6</x:v>
      </x:c>
      <x:c r="D4552" s="380" t="str">
        <x:v>Jun</x:v>
      </x:c>
      <x:c r="E4552" s="380" t="n">
        <x:v>12</x:v>
      </x:c>
      <x:c r="F4552" s="380" t="n">
        <x:v>5</x:v>
      </x:c>
      <x:c r="G4552" s="380" t="n">
        <x:f>--(F4552&lt;='Estimator'!$B$7)</x:f>
        <x:v>1</x:v>
      </x:c>
      <x:c r="H4552" s="381" t="n">
        <x:f>SUMIFS('Climate Data'!$G$7:$G$366,'Climate Data'!$A$7:$A$366,'Estimator'!$B$4,'Climate Data'!$B$7:$B$366,C4552)</x:f>
        <x:v>0.475</x:v>
      </x:c>
      <x:c r="I4552" s="382" t="n">
        <x:f>SUMIFS('Climate Data'!$H$7:$H$366,'Climate Data'!$A$7:$A$366,'Estimator'!$B$4,'Climate Data'!$B$7:$B$366,C4552)</x:f>
        <x:v>8.378947368421054</x:v>
      </x:c>
      <x:c r="J4552" s="381" t="n">
        <x:f>SUMIFS('Wind Proxy'!$H$8:$H$19,'Wind Proxy'!$A$8:$A$19,'Estimator'!$B$4,'Wind Proxy'!$B$8:$B$19,C4552)</x:f>
        <x:v>0.14197530864197533</x:v>
      </x:c>
    </x:row>
    <x:row r="4553">
      <x:c r="A4553" s="379" t="n">
        <x:v>50204</x:v>
      </x:c>
      <x:c r="B4553" s="380" t="n">
        <x:v>2037</x:v>
      </x:c>
      <x:c r="C4553" s="380" t="n">
        <x:v>6</x:v>
      </x:c>
      <x:c r="D4553" s="380" t="str">
        <x:v>Jun</x:v>
      </x:c>
      <x:c r="E4553" s="380" t="n">
        <x:v>13</x:v>
      </x:c>
      <x:c r="F4553" s="380" t="n">
        <x:v>6</x:v>
      </x:c>
      <x:c r="G4553" s="380" t="n">
        <x:f>--(F4553&lt;='Estimator'!$B$7)</x:f>
        <x:v>0</x:v>
      </x:c>
      <x:c r="H4553" s="381" t="n">
        <x:f>SUMIFS('Climate Data'!$G$7:$G$366,'Climate Data'!$A$7:$A$366,'Estimator'!$B$4,'Climate Data'!$B$7:$B$366,C4553)</x:f>
        <x:v>0.475</x:v>
      </x:c>
      <x:c r="I4553" s="382" t="n">
        <x:f>SUMIFS('Climate Data'!$H$7:$H$366,'Climate Data'!$A$7:$A$366,'Estimator'!$B$4,'Climate Data'!$B$7:$B$366,C4553)</x:f>
        <x:v>8.378947368421054</x:v>
      </x:c>
      <x:c r="J4553" s="381" t="n">
        <x:f>SUMIFS('Wind Proxy'!$H$8:$H$19,'Wind Proxy'!$A$8:$A$19,'Estimator'!$B$4,'Wind Proxy'!$B$8:$B$19,C4553)</x:f>
        <x:v>0.14197530864197533</x:v>
      </x:c>
    </x:row>
    <x:row r="4554">
      <x:c r="A4554" s="379" t="n">
        <x:v>50205</x:v>
      </x:c>
      <x:c r="B4554" s="380" t="n">
        <x:v>2037</x:v>
      </x:c>
      <x:c r="C4554" s="380" t="n">
        <x:v>6</x:v>
      </x:c>
      <x:c r="D4554" s="380" t="str">
        <x:v>Jun</x:v>
      </x:c>
      <x:c r="E4554" s="380" t="n">
        <x:v>14</x:v>
      </x:c>
      <x:c r="F4554" s="380" t="n">
        <x:v>7</x:v>
      </x:c>
      <x:c r="G4554" s="380" t="n">
        <x:f>--(F4554&lt;='Estimator'!$B$7)</x:f>
        <x:v>0</x:v>
      </x:c>
      <x:c r="H4554" s="381" t="n">
        <x:f>SUMIFS('Climate Data'!$G$7:$G$366,'Climate Data'!$A$7:$A$366,'Estimator'!$B$4,'Climate Data'!$B$7:$B$366,C4554)</x:f>
        <x:v>0.475</x:v>
      </x:c>
      <x:c r="I4554" s="382" t="n">
        <x:f>SUMIFS('Climate Data'!$H$7:$H$366,'Climate Data'!$A$7:$A$366,'Estimator'!$B$4,'Climate Data'!$B$7:$B$366,C4554)</x:f>
        <x:v>8.378947368421054</x:v>
      </x:c>
      <x:c r="J4554" s="381" t="n">
        <x:f>SUMIFS('Wind Proxy'!$H$8:$H$19,'Wind Proxy'!$A$8:$A$19,'Estimator'!$B$4,'Wind Proxy'!$B$8:$B$19,C4554)</x:f>
        <x:v>0.14197530864197533</x:v>
      </x:c>
    </x:row>
    <x:row r="4555">
      <x:c r="A4555" s="379" t="n">
        <x:v>50206</x:v>
      </x:c>
      <x:c r="B4555" s="380" t="n">
        <x:v>2037</x:v>
      </x:c>
      <x:c r="C4555" s="380" t="n">
        <x:v>6</x:v>
      </x:c>
      <x:c r="D4555" s="380" t="str">
        <x:v>Jun</x:v>
      </x:c>
      <x:c r="E4555" s="380" t="n">
        <x:v>15</x:v>
      </x:c>
      <x:c r="F4555" s="380" t="n">
        <x:v>1</x:v>
      </x:c>
      <x:c r="G4555" s="380" t="n">
        <x:f>--(F4555&lt;='Estimator'!$B$7)</x:f>
        <x:v>1</x:v>
      </x:c>
      <x:c r="H4555" s="381" t="n">
        <x:f>SUMIFS('Climate Data'!$G$7:$G$366,'Climate Data'!$A$7:$A$366,'Estimator'!$B$4,'Climate Data'!$B$7:$B$366,C4555)</x:f>
        <x:v>0.475</x:v>
      </x:c>
      <x:c r="I4555" s="382" t="n">
        <x:f>SUMIFS('Climate Data'!$H$7:$H$366,'Climate Data'!$A$7:$A$366,'Estimator'!$B$4,'Climate Data'!$B$7:$B$366,C4555)</x:f>
        <x:v>8.378947368421054</x:v>
      </x:c>
      <x:c r="J4555" s="381" t="n">
        <x:f>SUMIFS('Wind Proxy'!$H$8:$H$19,'Wind Proxy'!$A$8:$A$19,'Estimator'!$B$4,'Wind Proxy'!$B$8:$B$19,C4555)</x:f>
        <x:v>0.14197530864197533</x:v>
      </x:c>
    </x:row>
    <x:row r="4556">
      <x:c r="A4556" s="379" t="n">
        <x:v>50207</x:v>
      </x:c>
      <x:c r="B4556" s="380" t="n">
        <x:v>2037</x:v>
      </x:c>
      <x:c r="C4556" s="380" t="n">
        <x:v>6</x:v>
      </x:c>
      <x:c r="D4556" s="380" t="str">
        <x:v>Jun</x:v>
      </x:c>
      <x:c r="E4556" s="380" t="n">
        <x:v>16</x:v>
      </x:c>
      <x:c r="F4556" s="380" t="n">
        <x:v>2</x:v>
      </x:c>
      <x:c r="G4556" s="380" t="n">
        <x:f>--(F4556&lt;='Estimator'!$B$7)</x:f>
        <x:v>1</x:v>
      </x:c>
      <x:c r="H4556" s="381" t="n">
        <x:f>SUMIFS('Climate Data'!$G$7:$G$366,'Climate Data'!$A$7:$A$366,'Estimator'!$B$4,'Climate Data'!$B$7:$B$366,C4556)</x:f>
        <x:v>0.475</x:v>
      </x:c>
      <x:c r="I4556" s="382" t="n">
        <x:f>SUMIFS('Climate Data'!$H$7:$H$366,'Climate Data'!$A$7:$A$366,'Estimator'!$B$4,'Climate Data'!$B$7:$B$366,C4556)</x:f>
        <x:v>8.378947368421054</x:v>
      </x:c>
      <x:c r="J4556" s="381" t="n">
        <x:f>SUMIFS('Wind Proxy'!$H$8:$H$19,'Wind Proxy'!$A$8:$A$19,'Estimator'!$B$4,'Wind Proxy'!$B$8:$B$19,C4556)</x:f>
        <x:v>0.14197530864197533</x:v>
      </x:c>
    </x:row>
    <x:row r="4557">
      <x:c r="A4557" s="379" t="n">
        <x:v>50208</x:v>
      </x:c>
      <x:c r="B4557" s="380" t="n">
        <x:v>2037</x:v>
      </x:c>
      <x:c r="C4557" s="380" t="n">
        <x:v>6</x:v>
      </x:c>
      <x:c r="D4557" s="380" t="str">
        <x:v>Jun</x:v>
      </x:c>
      <x:c r="E4557" s="380" t="n">
        <x:v>17</x:v>
      </x:c>
      <x:c r="F4557" s="380" t="n">
        <x:v>3</x:v>
      </x:c>
      <x:c r="G4557" s="380" t="n">
        <x:f>--(F4557&lt;='Estimator'!$B$7)</x:f>
        <x:v>1</x:v>
      </x:c>
      <x:c r="H4557" s="381" t="n">
        <x:f>SUMIFS('Climate Data'!$G$7:$G$366,'Climate Data'!$A$7:$A$366,'Estimator'!$B$4,'Climate Data'!$B$7:$B$366,C4557)</x:f>
        <x:v>0.475</x:v>
      </x:c>
      <x:c r="I4557" s="382" t="n">
        <x:f>SUMIFS('Climate Data'!$H$7:$H$366,'Climate Data'!$A$7:$A$366,'Estimator'!$B$4,'Climate Data'!$B$7:$B$366,C4557)</x:f>
        <x:v>8.378947368421054</x:v>
      </x:c>
      <x:c r="J4557" s="381" t="n">
        <x:f>SUMIFS('Wind Proxy'!$H$8:$H$19,'Wind Proxy'!$A$8:$A$19,'Estimator'!$B$4,'Wind Proxy'!$B$8:$B$19,C4557)</x:f>
        <x:v>0.14197530864197533</x:v>
      </x:c>
    </x:row>
    <x:row r="4558">
      <x:c r="A4558" s="379" t="n">
        <x:v>50209</x:v>
      </x:c>
      <x:c r="B4558" s="380" t="n">
        <x:v>2037</x:v>
      </x:c>
      <x:c r="C4558" s="380" t="n">
        <x:v>6</x:v>
      </x:c>
      <x:c r="D4558" s="380" t="str">
        <x:v>Jun</x:v>
      </x:c>
      <x:c r="E4558" s="380" t="n">
        <x:v>18</x:v>
      </x:c>
      <x:c r="F4558" s="380" t="n">
        <x:v>4</x:v>
      </x:c>
      <x:c r="G4558" s="380" t="n">
        <x:f>--(F4558&lt;='Estimator'!$B$7)</x:f>
        <x:v>1</x:v>
      </x:c>
      <x:c r="H4558" s="381" t="n">
        <x:f>SUMIFS('Climate Data'!$G$7:$G$366,'Climate Data'!$A$7:$A$366,'Estimator'!$B$4,'Climate Data'!$B$7:$B$366,C4558)</x:f>
        <x:v>0.475</x:v>
      </x:c>
      <x:c r="I4558" s="382" t="n">
        <x:f>SUMIFS('Climate Data'!$H$7:$H$366,'Climate Data'!$A$7:$A$366,'Estimator'!$B$4,'Climate Data'!$B$7:$B$366,C4558)</x:f>
        <x:v>8.378947368421054</x:v>
      </x:c>
      <x:c r="J4558" s="381" t="n">
        <x:f>SUMIFS('Wind Proxy'!$H$8:$H$19,'Wind Proxy'!$A$8:$A$19,'Estimator'!$B$4,'Wind Proxy'!$B$8:$B$19,C4558)</x:f>
        <x:v>0.14197530864197533</x:v>
      </x:c>
    </x:row>
    <x:row r="4559">
      <x:c r="A4559" s="379" t="n">
        <x:v>50210</x:v>
      </x:c>
      <x:c r="B4559" s="380" t="n">
        <x:v>2037</x:v>
      </x:c>
      <x:c r="C4559" s="380" t="n">
        <x:v>6</x:v>
      </x:c>
      <x:c r="D4559" s="380" t="str">
        <x:v>Jun</x:v>
      </x:c>
      <x:c r="E4559" s="380" t="n">
        <x:v>19</x:v>
      </x:c>
      <x:c r="F4559" s="380" t="n">
        <x:v>5</x:v>
      </x:c>
      <x:c r="G4559" s="380" t="n">
        <x:f>--(F4559&lt;='Estimator'!$B$7)</x:f>
        <x:v>1</x:v>
      </x:c>
      <x:c r="H4559" s="381" t="n">
        <x:f>SUMIFS('Climate Data'!$G$7:$G$366,'Climate Data'!$A$7:$A$366,'Estimator'!$B$4,'Climate Data'!$B$7:$B$366,C4559)</x:f>
        <x:v>0.475</x:v>
      </x:c>
      <x:c r="I4559" s="382" t="n">
        <x:f>SUMIFS('Climate Data'!$H$7:$H$366,'Climate Data'!$A$7:$A$366,'Estimator'!$B$4,'Climate Data'!$B$7:$B$366,C4559)</x:f>
        <x:v>8.378947368421054</x:v>
      </x:c>
      <x:c r="J4559" s="381" t="n">
        <x:f>SUMIFS('Wind Proxy'!$H$8:$H$19,'Wind Proxy'!$A$8:$A$19,'Estimator'!$B$4,'Wind Proxy'!$B$8:$B$19,C4559)</x:f>
        <x:v>0.14197530864197533</x:v>
      </x:c>
    </x:row>
    <x:row r="4560">
      <x:c r="A4560" s="379" t="n">
        <x:v>50211</x:v>
      </x:c>
      <x:c r="B4560" s="380" t="n">
        <x:v>2037</x:v>
      </x:c>
      <x:c r="C4560" s="380" t="n">
        <x:v>6</x:v>
      </x:c>
      <x:c r="D4560" s="380" t="str">
        <x:v>Jun</x:v>
      </x:c>
      <x:c r="E4560" s="380" t="n">
        <x:v>20</x:v>
      </x:c>
      <x:c r="F4560" s="380" t="n">
        <x:v>6</x:v>
      </x:c>
      <x:c r="G4560" s="380" t="n">
        <x:f>--(F4560&lt;='Estimator'!$B$7)</x:f>
        <x:v>0</x:v>
      </x:c>
      <x:c r="H4560" s="381" t="n">
        <x:f>SUMIFS('Climate Data'!$G$7:$G$366,'Climate Data'!$A$7:$A$366,'Estimator'!$B$4,'Climate Data'!$B$7:$B$366,C4560)</x:f>
        <x:v>0.475</x:v>
      </x:c>
      <x:c r="I4560" s="382" t="n">
        <x:f>SUMIFS('Climate Data'!$H$7:$H$366,'Climate Data'!$A$7:$A$366,'Estimator'!$B$4,'Climate Data'!$B$7:$B$366,C4560)</x:f>
        <x:v>8.378947368421054</x:v>
      </x:c>
      <x:c r="J4560" s="381" t="n">
        <x:f>SUMIFS('Wind Proxy'!$H$8:$H$19,'Wind Proxy'!$A$8:$A$19,'Estimator'!$B$4,'Wind Proxy'!$B$8:$B$19,C4560)</x:f>
        <x:v>0.14197530864197533</x:v>
      </x:c>
    </x:row>
    <x:row r="4561">
      <x:c r="A4561" s="379" t="n">
        <x:v>50212</x:v>
      </x:c>
      <x:c r="B4561" s="380" t="n">
        <x:v>2037</x:v>
      </x:c>
      <x:c r="C4561" s="380" t="n">
        <x:v>6</x:v>
      </x:c>
      <x:c r="D4561" s="380" t="str">
        <x:v>Jun</x:v>
      </x:c>
      <x:c r="E4561" s="380" t="n">
        <x:v>21</x:v>
      </x:c>
      <x:c r="F4561" s="380" t="n">
        <x:v>7</x:v>
      </x:c>
      <x:c r="G4561" s="380" t="n">
        <x:f>--(F4561&lt;='Estimator'!$B$7)</x:f>
        <x:v>0</x:v>
      </x:c>
      <x:c r="H4561" s="381" t="n">
        <x:f>SUMIFS('Climate Data'!$G$7:$G$366,'Climate Data'!$A$7:$A$366,'Estimator'!$B$4,'Climate Data'!$B$7:$B$366,C4561)</x:f>
        <x:v>0.475</x:v>
      </x:c>
      <x:c r="I4561" s="382" t="n">
        <x:f>SUMIFS('Climate Data'!$H$7:$H$366,'Climate Data'!$A$7:$A$366,'Estimator'!$B$4,'Climate Data'!$B$7:$B$366,C4561)</x:f>
        <x:v>8.378947368421054</x:v>
      </x:c>
      <x:c r="J4561" s="381" t="n">
        <x:f>SUMIFS('Wind Proxy'!$H$8:$H$19,'Wind Proxy'!$A$8:$A$19,'Estimator'!$B$4,'Wind Proxy'!$B$8:$B$19,C4561)</x:f>
        <x:v>0.14197530864197533</x:v>
      </x:c>
    </x:row>
    <x:row r="4562">
      <x:c r="A4562" s="379" t="n">
        <x:v>50213</x:v>
      </x:c>
      <x:c r="B4562" s="380" t="n">
        <x:v>2037</x:v>
      </x:c>
      <x:c r="C4562" s="380" t="n">
        <x:v>6</x:v>
      </x:c>
      <x:c r="D4562" s="380" t="str">
        <x:v>Jun</x:v>
      </x:c>
      <x:c r="E4562" s="380" t="n">
        <x:v>22</x:v>
      </x:c>
      <x:c r="F4562" s="380" t="n">
        <x:v>1</x:v>
      </x:c>
      <x:c r="G4562" s="380" t="n">
        <x:f>--(F4562&lt;='Estimator'!$B$7)</x:f>
        <x:v>1</x:v>
      </x:c>
      <x:c r="H4562" s="381" t="n">
        <x:f>SUMIFS('Climate Data'!$G$7:$G$366,'Climate Data'!$A$7:$A$366,'Estimator'!$B$4,'Climate Data'!$B$7:$B$366,C4562)</x:f>
        <x:v>0.475</x:v>
      </x:c>
      <x:c r="I4562" s="382" t="n">
        <x:f>SUMIFS('Climate Data'!$H$7:$H$366,'Climate Data'!$A$7:$A$366,'Estimator'!$B$4,'Climate Data'!$B$7:$B$366,C4562)</x:f>
        <x:v>8.378947368421054</x:v>
      </x:c>
      <x:c r="J4562" s="381" t="n">
        <x:f>SUMIFS('Wind Proxy'!$H$8:$H$19,'Wind Proxy'!$A$8:$A$19,'Estimator'!$B$4,'Wind Proxy'!$B$8:$B$19,C4562)</x:f>
        <x:v>0.14197530864197533</x:v>
      </x:c>
    </x:row>
    <x:row r="4563">
      <x:c r="A4563" s="379" t="n">
        <x:v>50214</x:v>
      </x:c>
      <x:c r="B4563" s="380" t="n">
        <x:v>2037</x:v>
      </x:c>
      <x:c r="C4563" s="380" t="n">
        <x:v>6</x:v>
      </x:c>
      <x:c r="D4563" s="380" t="str">
        <x:v>Jun</x:v>
      </x:c>
      <x:c r="E4563" s="380" t="n">
        <x:v>23</x:v>
      </x:c>
      <x:c r="F4563" s="380" t="n">
        <x:v>2</x:v>
      </x:c>
      <x:c r="G4563" s="380" t="n">
        <x:f>--(F4563&lt;='Estimator'!$B$7)</x:f>
        <x:v>1</x:v>
      </x:c>
      <x:c r="H4563" s="381" t="n">
        <x:f>SUMIFS('Climate Data'!$G$7:$G$366,'Climate Data'!$A$7:$A$366,'Estimator'!$B$4,'Climate Data'!$B$7:$B$366,C4563)</x:f>
        <x:v>0.475</x:v>
      </x:c>
      <x:c r="I4563" s="382" t="n">
        <x:f>SUMIFS('Climate Data'!$H$7:$H$366,'Climate Data'!$A$7:$A$366,'Estimator'!$B$4,'Climate Data'!$B$7:$B$366,C4563)</x:f>
        <x:v>8.378947368421054</x:v>
      </x:c>
      <x:c r="J4563" s="381" t="n">
        <x:f>SUMIFS('Wind Proxy'!$H$8:$H$19,'Wind Proxy'!$A$8:$A$19,'Estimator'!$B$4,'Wind Proxy'!$B$8:$B$19,C4563)</x:f>
        <x:v>0.14197530864197533</x:v>
      </x:c>
    </x:row>
    <x:row r="4564">
      <x:c r="A4564" s="379" t="n">
        <x:v>50215</x:v>
      </x:c>
      <x:c r="B4564" s="380" t="n">
        <x:v>2037</x:v>
      </x:c>
      <x:c r="C4564" s="380" t="n">
        <x:v>6</x:v>
      </x:c>
      <x:c r="D4564" s="380" t="str">
        <x:v>Jun</x:v>
      </x:c>
      <x:c r="E4564" s="380" t="n">
        <x:v>24</x:v>
      </x:c>
      <x:c r="F4564" s="380" t="n">
        <x:v>3</x:v>
      </x:c>
      <x:c r="G4564" s="380" t="n">
        <x:f>--(F4564&lt;='Estimator'!$B$7)</x:f>
        <x:v>1</x:v>
      </x:c>
      <x:c r="H4564" s="381" t="n">
        <x:f>SUMIFS('Climate Data'!$G$7:$G$366,'Climate Data'!$A$7:$A$366,'Estimator'!$B$4,'Climate Data'!$B$7:$B$366,C4564)</x:f>
        <x:v>0.475</x:v>
      </x:c>
      <x:c r="I4564" s="382" t="n">
        <x:f>SUMIFS('Climate Data'!$H$7:$H$366,'Climate Data'!$A$7:$A$366,'Estimator'!$B$4,'Climate Data'!$B$7:$B$366,C4564)</x:f>
        <x:v>8.378947368421054</x:v>
      </x:c>
      <x:c r="J4564" s="381" t="n">
        <x:f>SUMIFS('Wind Proxy'!$H$8:$H$19,'Wind Proxy'!$A$8:$A$19,'Estimator'!$B$4,'Wind Proxy'!$B$8:$B$19,C4564)</x:f>
        <x:v>0.14197530864197533</x:v>
      </x:c>
    </x:row>
    <x:row r="4565">
      <x:c r="A4565" s="379" t="n">
        <x:v>50216</x:v>
      </x:c>
      <x:c r="B4565" s="380" t="n">
        <x:v>2037</x:v>
      </x:c>
      <x:c r="C4565" s="380" t="n">
        <x:v>6</x:v>
      </x:c>
      <x:c r="D4565" s="380" t="str">
        <x:v>Jun</x:v>
      </x:c>
      <x:c r="E4565" s="380" t="n">
        <x:v>25</x:v>
      </x:c>
      <x:c r="F4565" s="380" t="n">
        <x:v>4</x:v>
      </x:c>
      <x:c r="G4565" s="380" t="n">
        <x:f>--(F4565&lt;='Estimator'!$B$7)</x:f>
        <x:v>1</x:v>
      </x:c>
      <x:c r="H4565" s="381" t="n">
        <x:f>SUMIFS('Climate Data'!$G$7:$G$366,'Climate Data'!$A$7:$A$366,'Estimator'!$B$4,'Climate Data'!$B$7:$B$366,C4565)</x:f>
        <x:v>0.475</x:v>
      </x:c>
      <x:c r="I4565" s="382" t="n">
        <x:f>SUMIFS('Climate Data'!$H$7:$H$366,'Climate Data'!$A$7:$A$366,'Estimator'!$B$4,'Climate Data'!$B$7:$B$366,C4565)</x:f>
        <x:v>8.378947368421054</x:v>
      </x:c>
      <x:c r="J4565" s="381" t="n">
        <x:f>SUMIFS('Wind Proxy'!$H$8:$H$19,'Wind Proxy'!$A$8:$A$19,'Estimator'!$B$4,'Wind Proxy'!$B$8:$B$19,C4565)</x:f>
        <x:v>0.14197530864197533</x:v>
      </x:c>
    </x:row>
    <x:row r="4566">
      <x:c r="A4566" s="379" t="n">
        <x:v>50217</x:v>
      </x:c>
      <x:c r="B4566" s="380" t="n">
        <x:v>2037</x:v>
      </x:c>
      <x:c r="C4566" s="380" t="n">
        <x:v>6</x:v>
      </x:c>
      <x:c r="D4566" s="380" t="str">
        <x:v>Jun</x:v>
      </x:c>
      <x:c r="E4566" s="380" t="n">
        <x:v>26</x:v>
      </x:c>
      <x:c r="F4566" s="380" t="n">
        <x:v>5</x:v>
      </x:c>
      <x:c r="G4566" s="380" t="n">
        <x:f>--(F4566&lt;='Estimator'!$B$7)</x:f>
        <x:v>1</x:v>
      </x:c>
      <x:c r="H4566" s="381" t="n">
        <x:f>SUMIFS('Climate Data'!$G$7:$G$366,'Climate Data'!$A$7:$A$366,'Estimator'!$B$4,'Climate Data'!$B$7:$B$366,C4566)</x:f>
        <x:v>0.475</x:v>
      </x:c>
      <x:c r="I4566" s="382" t="n">
        <x:f>SUMIFS('Climate Data'!$H$7:$H$366,'Climate Data'!$A$7:$A$366,'Estimator'!$B$4,'Climate Data'!$B$7:$B$366,C4566)</x:f>
        <x:v>8.378947368421054</x:v>
      </x:c>
      <x:c r="J4566" s="381" t="n">
        <x:f>SUMIFS('Wind Proxy'!$H$8:$H$19,'Wind Proxy'!$A$8:$A$19,'Estimator'!$B$4,'Wind Proxy'!$B$8:$B$19,C4566)</x:f>
        <x:v>0.14197530864197533</x:v>
      </x:c>
    </x:row>
    <x:row r="4567">
      <x:c r="A4567" s="379" t="n">
        <x:v>50218</x:v>
      </x:c>
      <x:c r="B4567" s="380" t="n">
        <x:v>2037</x:v>
      </x:c>
      <x:c r="C4567" s="380" t="n">
        <x:v>6</x:v>
      </x:c>
      <x:c r="D4567" s="380" t="str">
        <x:v>Jun</x:v>
      </x:c>
      <x:c r="E4567" s="380" t="n">
        <x:v>27</x:v>
      </x:c>
      <x:c r="F4567" s="380" t="n">
        <x:v>6</x:v>
      </x:c>
      <x:c r="G4567" s="380" t="n">
        <x:f>--(F4567&lt;='Estimator'!$B$7)</x:f>
        <x:v>0</x:v>
      </x:c>
      <x:c r="H4567" s="381" t="n">
        <x:f>SUMIFS('Climate Data'!$G$7:$G$366,'Climate Data'!$A$7:$A$366,'Estimator'!$B$4,'Climate Data'!$B$7:$B$366,C4567)</x:f>
        <x:v>0.475</x:v>
      </x:c>
      <x:c r="I4567" s="382" t="n">
        <x:f>SUMIFS('Climate Data'!$H$7:$H$366,'Climate Data'!$A$7:$A$366,'Estimator'!$B$4,'Climate Data'!$B$7:$B$366,C4567)</x:f>
        <x:v>8.378947368421054</x:v>
      </x:c>
      <x:c r="J4567" s="381" t="n">
        <x:f>SUMIFS('Wind Proxy'!$H$8:$H$19,'Wind Proxy'!$A$8:$A$19,'Estimator'!$B$4,'Wind Proxy'!$B$8:$B$19,C4567)</x:f>
        <x:v>0.14197530864197533</x:v>
      </x:c>
    </x:row>
    <x:row r="4568">
      <x:c r="A4568" s="379" t="n">
        <x:v>50219</x:v>
      </x:c>
      <x:c r="B4568" s="380" t="n">
        <x:v>2037</x:v>
      </x:c>
      <x:c r="C4568" s="380" t="n">
        <x:v>6</x:v>
      </x:c>
      <x:c r="D4568" s="380" t="str">
        <x:v>Jun</x:v>
      </x:c>
      <x:c r="E4568" s="380" t="n">
        <x:v>28</x:v>
      </x:c>
      <x:c r="F4568" s="380" t="n">
        <x:v>7</x:v>
      </x:c>
      <x:c r="G4568" s="380" t="n">
        <x:f>--(F4568&lt;='Estimator'!$B$7)</x:f>
        <x:v>0</x:v>
      </x:c>
      <x:c r="H4568" s="381" t="n">
        <x:f>SUMIFS('Climate Data'!$G$7:$G$366,'Climate Data'!$A$7:$A$366,'Estimator'!$B$4,'Climate Data'!$B$7:$B$366,C4568)</x:f>
        <x:v>0.475</x:v>
      </x:c>
      <x:c r="I4568" s="382" t="n">
        <x:f>SUMIFS('Climate Data'!$H$7:$H$366,'Climate Data'!$A$7:$A$366,'Estimator'!$B$4,'Climate Data'!$B$7:$B$366,C4568)</x:f>
        <x:v>8.378947368421054</x:v>
      </x:c>
      <x:c r="J4568" s="381" t="n">
        <x:f>SUMIFS('Wind Proxy'!$H$8:$H$19,'Wind Proxy'!$A$8:$A$19,'Estimator'!$B$4,'Wind Proxy'!$B$8:$B$19,C4568)</x:f>
        <x:v>0.14197530864197533</x:v>
      </x:c>
    </x:row>
    <x:row r="4569">
      <x:c r="A4569" s="379" t="n">
        <x:v>50220</x:v>
      </x:c>
      <x:c r="B4569" s="380" t="n">
        <x:v>2037</x:v>
      </x:c>
      <x:c r="C4569" s="380" t="n">
        <x:v>6</x:v>
      </x:c>
      <x:c r="D4569" s="380" t="str">
        <x:v>Jun</x:v>
      </x:c>
      <x:c r="E4569" s="380" t="n">
        <x:v>29</x:v>
      </x:c>
      <x:c r="F4569" s="380" t="n">
        <x:v>1</x:v>
      </x:c>
      <x:c r="G4569" s="380" t="n">
        <x:f>--(F4569&lt;='Estimator'!$B$7)</x:f>
        <x:v>1</x:v>
      </x:c>
      <x:c r="H4569" s="381" t="n">
        <x:f>SUMIFS('Climate Data'!$G$7:$G$366,'Climate Data'!$A$7:$A$366,'Estimator'!$B$4,'Climate Data'!$B$7:$B$366,C4569)</x:f>
        <x:v>0.475</x:v>
      </x:c>
      <x:c r="I4569" s="382" t="n">
        <x:f>SUMIFS('Climate Data'!$H$7:$H$366,'Climate Data'!$A$7:$A$366,'Estimator'!$B$4,'Climate Data'!$B$7:$B$366,C4569)</x:f>
        <x:v>8.378947368421054</x:v>
      </x:c>
      <x:c r="J4569" s="381" t="n">
        <x:f>SUMIFS('Wind Proxy'!$H$8:$H$19,'Wind Proxy'!$A$8:$A$19,'Estimator'!$B$4,'Wind Proxy'!$B$8:$B$19,C4569)</x:f>
        <x:v>0.14197530864197533</x:v>
      </x:c>
    </x:row>
    <x:row r="4570">
      <x:c r="A4570" s="379" t="n">
        <x:v>50221</x:v>
      </x:c>
      <x:c r="B4570" s="380" t="n">
        <x:v>2037</x:v>
      </x:c>
      <x:c r="C4570" s="380" t="n">
        <x:v>6</x:v>
      </x:c>
      <x:c r="D4570" s="380" t="str">
        <x:v>Jun</x:v>
      </x:c>
      <x:c r="E4570" s="380" t="n">
        <x:v>30</x:v>
      </x:c>
      <x:c r="F4570" s="380" t="n">
        <x:v>2</x:v>
      </x:c>
      <x:c r="G4570" s="380" t="n">
        <x:f>--(F4570&lt;='Estimator'!$B$7)</x:f>
        <x:v>1</x:v>
      </x:c>
      <x:c r="H4570" s="381" t="n">
        <x:f>SUMIFS('Climate Data'!$G$7:$G$366,'Climate Data'!$A$7:$A$366,'Estimator'!$B$4,'Climate Data'!$B$7:$B$366,C4570)</x:f>
        <x:v>0.475</x:v>
      </x:c>
      <x:c r="I4570" s="382" t="n">
        <x:f>SUMIFS('Climate Data'!$H$7:$H$366,'Climate Data'!$A$7:$A$366,'Estimator'!$B$4,'Climate Data'!$B$7:$B$366,C4570)</x:f>
        <x:v>8.378947368421054</x:v>
      </x:c>
      <x:c r="J4570" s="381" t="n">
        <x:f>SUMIFS('Wind Proxy'!$H$8:$H$19,'Wind Proxy'!$A$8:$A$19,'Estimator'!$B$4,'Wind Proxy'!$B$8:$B$19,C4570)</x:f>
        <x:v>0.14197530864197533</x:v>
      </x:c>
    </x:row>
    <x:row r="4571">
      <x:c r="A4571" s="379" t="n">
        <x:v>50222</x:v>
      </x:c>
      <x:c r="B4571" s="380" t="n">
        <x:v>2037</x:v>
      </x:c>
      <x:c r="C4571" s="380" t="n">
        <x:v>7</x:v>
      </x:c>
      <x:c r="D4571" s="380" t="str">
        <x:v>Jul</x:v>
      </x:c>
      <x:c r="E4571" s="380" t="n">
        <x:v>1</x:v>
      </x:c>
      <x:c r="F4571" s="380" t="n">
        <x:v>3</x:v>
      </x:c>
      <x:c r="G4571" s="380" t="n">
        <x:f>--(F4571&lt;='Estimator'!$B$7)</x:f>
        <x:v>1</x:v>
      </x:c>
      <x:c r="H4571" s="381" t="n">
        <x:f>SUMIFS('Climate Data'!$G$7:$G$366,'Climate Data'!$A$7:$A$366,'Estimator'!$B$4,'Climate Data'!$B$7:$B$366,C4571)</x:f>
        <x:v>0.49078341013824883</x:v>
      </x:c>
      <x:c r="I4571" s="382" t="n">
        <x:f>SUMIFS('Climate Data'!$H$7:$H$366,'Climate Data'!$A$7:$A$366,'Estimator'!$B$4,'Climate Data'!$B$7:$B$366,C4571)</x:f>
        <x:v>8.998122065727701</x:v>
      </x:c>
      <x:c r="J4571" s="381" t="n">
        <x:f>SUMIFS('Wind Proxy'!$H$8:$H$19,'Wind Proxy'!$A$8:$A$19,'Estimator'!$B$4,'Wind Proxy'!$B$8:$B$19,C4571)</x:f>
        <x:v>0.13739545997610514</x:v>
      </x:c>
    </x:row>
    <x:row r="4572">
      <x:c r="A4572" s="379" t="n">
        <x:v>50223</x:v>
      </x:c>
      <x:c r="B4572" s="380" t="n">
        <x:v>2037</x:v>
      </x:c>
      <x:c r="C4572" s="380" t="n">
        <x:v>7</x:v>
      </x:c>
      <x:c r="D4572" s="380" t="str">
        <x:v>Jul</x:v>
      </x:c>
      <x:c r="E4572" s="380" t="n">
        <x:v>2</x:v>
      </x:c>
      <x:c r="F4572" s="380" t="n">
        <x:v>4</x:v>
      </x:c>
      <x:c r="G4572" s="380" t="n">
        <x:f>--(F4572&lt;='Estimator'!$B$7)</x:f>
        <x:v>1</x:v>
      </x:c>
      <x:c r="H4572" s="381" t="n">
        <x:f>SUMIFS('Climate Data'!$G$7:$G$366,'Climate Data'!$A$7:$A$366,'Estimator'!$B$4,'Climate Data'!$B$7:$B$366,C4572)</x:f>
        <x:v>0.49078341013824883</x:v>
      </x:c>
      <x:c r="I4572" s="382" t="n">
        <x:f>SUMIFS('Climate Data'!$H$7:$H$366,'Climate Data'!$A$7:$A$366,'Estimator'!$B$4,'Climate Data'!$B$7:$B$366,C4572)</x:f>
        <x:v>8.998122065727701</x:v>
      </x:c>
      <x:c r="J4572" s="381" t="n">
        <x:f>SUMIFS('Wind Proxy'!$H$8:$H$19,'Wind Proxy'!$A$8:$A$19,'Estimator'!$B$4,'Wind Proxy'!$B$8:$B$19,C4572)</x:f>
        <x:v>0.13739545997610514</x:v>
      </x:c>
    </x:row>
    <x:row r="4573">
      <x:c r="A4573" s="379" t="n">
        <x:v>50224</x:v>
      </x:c>
      <x:c r="B4573" s="380" t="n">
        <x:v>2037</x:v>
      </x:c>
      <x:c r="C4573" s="380" t="n">
        <x:v>7</x:v>
      </x:c>
      <x:c r="D4573" s="380" t="str">
        <x:v>Jul</x:v>
      </x:c>
      <x:c r="E4573" s="380" t="n">
        <x:v>3</x:v>
      </x:c>
      <x:c r="F4573" s="380" t="n">
        <x:v>5</x:v>
      </x:c>
      <x:c r="G4573" s="380" t="n">
        <x:f>--(F4573&lt;='Estimator'!$B$7)</x:f>
        <x:v>1</x:v>
      </x:c>
      <x:c r="H4573" s="381" t="n">
        <x:f>SUMIFS('Climate Data'!$G$7:$G$366,'Climate Data'!$A$7:$A$366,'Estimator'!$B$4,'Climate Data'!$B$7:$B$366,C4573)</x:f>
        <x:v>0.49078341013824883</x:v>
      </x:c>
      <x:c r="I4573" s="382" t="n">
        <x:f>SUMIFS('Climate Data'!$H$7:$H$366,'Climate Data'!$A$7:$A$366,'Estimator'!$B$4,'Climate Data'!$B$7:$B$366,C4573)</x:f>
        <x:v>8.998122065727701</x:v>
      </x:c>
      <x:c r="J4573" s="381" t="n">
        <x:f>SUMIFS('Wind Proxy'!$H$8:$H$19,'Wind Proxy'!$A$8:$A$19,'Estimator'!$B$4,'Wind Proxy'!$B$8:$B$19,C4573)</x:f>
        <x:v>0.13739545997610514</x:v>
      </x:c>
    </x:row>
    <x:row r="4574">
      <x:c r="A4574" s="379" t="n">
        <x:v>50225</x:v>
      </x:c>
      <x:c r="B4574" s="380" t="n">
        <x:v>2037</x:v>
      </x:c>
      <x:c r="C4574" s="380" t="n">
        <x:v>7</x:v>
      </x:c>
      <x:c r="D4574" s="380" t="str">
        <x:v>Jul</x:v>
      </x:c>
      <x:c r="E4574" s="380" t="n">
        <x:v>4</x:v>
      </x:c>
      <x:c r="F4574" s="380" t="n">
        <x:v>6</x:v>
      </x:c>
      <x:c r="G4574" s="380" t="n">
        <x:f>--(F4574&lt;='Estimator'!$B$7)</x:f>
        <x:v>0</x:v>
      </x:c>
      <x:c r="H4574" s="381" t="n">
        <x:f>SUMIFS('Climate Data'!$G$7:$G$366,'Climate Data'!$A$7:$A$366,'Estimator'!$B$4,'Climate Data'!$B$7:$B$366,C4574)</x:f>
        <x:v>0.49078341013824883</x:v>
      </x:c>
      <x:c r="I4574" s="382" t="n">
        <x:f>SUMIFS('Climate Data'!$H$7:$H$366,'Climate Data'!$A$7:$A$366,'Estimator'!$B$4,'Climate Data'!$B$7:$B$366,C4574)</x:f>
        <x:v>8.998122065727701</x:v>
      </x:c>
      <x:c r="J4574" s="381" t="n">
        <x:f>SUMIFS('Wind Proxy'!$H$8:$H$19,'Wind Proxy'!$A$8:$A$19,'Estimator'!$B$4,'Wind Proxy'!$B$8:$B$19,C4574)</x:f>
        <x:v>0.13739545997610514</x:v>
      </x:c>
    </x:row>
    <x:row r="4575">
      <x:c r="A4575" s="379" t="n">
        <x:v>50226</x:v>
      </x:c>
      <x:c r="B4575" s="380" t="n">
        <x:v>2037</x:v>
      </x:c>
      <x:c r="C4575" s="380" t="n">
        <x:v>7</x:v>
      </x:c>
      <x:c r="D4575" s="380" t="str">
        <x:v>Jul</x:v>
      </x:c>
      <x:c r="E4575" s="380" t="n">
        <x:v>5</x:v>
      </x:c>
      <x:c r="F4575" s="380" t="n">
        <x:v>7</x:v>
      </x:c>
      <x:c r="G4575" s="380" t="n">
        <x:f>--(F4575&lt;='Estimator'!$B$7)</x:f>
        <x:v>0</x:v>
      </x:c>
      <x:c r="H4575" s="381" t="n">
        <x:f>SUMIFS('Climate Data'!$G$7:$G$366,'Climate Data'!$A$7:$A$366,'Estimator'!$B$4,'Climate Data'!$B$7:$B$366,C4575)</x:f>
        <x:v>0.49078341013824883</x:v>
      </x:c>
      <x:c r="I4575" s="382" t="n">
        <x:f>SUMIFS('Climate Data'!$H$7:$H$366,'Climate Data'!$A$7:$A$366,'Estimator'!$B$4,'Climate Data'!$B$7:$B$366,C4575)</x:f>
        <x:v>8.998122065727701</x:v>
      </x:c>
      <x:c r="J4575" s="381" t="n">
        <x:f>SUMIFS('Wind Proxy'!$H$8:$H$19,'Wind Proxy'!$A$8:$A$19,'Estimator'!$B$4,'Wind Proxy'!$B$8:$B$19,C4575)</x:f>
        <x:v>0.13739545997610514</x:v>
      </x:c>
    </x:row>
    <x:row r="4576">
      <x:c r="A4576" s="379" t="n">
        <x:v>50227</x:v>
      </x:c>
      <x:c r="B4576" s="380" t="n">
        <x:v>2037</x:v>
      </x:c>
      <x:c r="C4576" s="380" t="n">
        <x:v>7</x:v>
      </x:c>
      <x:c r="D4576" s="380" t="str">
        <x:v>Jul</x:v>
      </x:c>
      <x:c r="E4576" s="380" t="n">
        <x:v>6</x:v>
      </x:c>
      <x:c r="F4576" s="380" t="n">
        <x:v>1</x:v>
      </x:c>
      <x:c r="G4576" s="380" t="n">
        <x:f>--(F4576&lt;='Estimator'!$B$7)</x:f>
        <x:v>1</x:v>
      </x:c>
      <x:c r="H4576" s="381" t="n">
        <x:f>SUMIFS('Climate Data'!$G$7:$G$366,'Climate Data'!$A$7:$A$366,'Estimator'!$B$4,'Climate Data'!$B$7:$B$366,C4576)</x:f>
        <x:v>0.49078341013824883</x:v>
      </x:c>
      <x:c r="I4576" s="382" t="n">
        <x:f>SUMIFS('Climate Data'!$H$7:$H$366,'Climate Data'!$A$7:$A$366,'Estimator'!$B$4,'Climate Data'!$B$7:$B$366,C4576)</x:f>
        <x:v>8.998122065727701</x:v>
      </x:c>
      <x:c r="J4576" s="381" t="n">
        <x:f>SUMIFS('Wind Proxy'!$H$8:$H$19,'Wind Proxy'!$A$8:$A$19,'Estimator'!$B$4,'Wind Proxy'!$B$8:$B$19,C4576)</x:f>
        <x:v>0.13739545997610514</x:v>
      </x:c>
    </x:row>
    <x:row r="4577">
      <x:c r="A4577" s="379" t="n">
        <x:v>50228</x:v>
      </x:c>
      <x:c r="B4577" s="380" t="n">
        <x:v>2037</x:v>
      </x:c>
      <x:c r="C4577" s="380" t="n">
        <x:v>7</x:v>
      </x:c>
      <x:c r="D4577" s="380" t="str">
        <x:v>Jul</x:v>
      </x:c>
      <x:c r="E4577" s="380" t="n">
        <x:v>7</x:v>
      </x:c>
      <x:c r="F4577" s="380" t="n">
        <x:v>2</x:v>
      </x:c>
      <x:c r="G4577" s="380" t="n">
        <x:f>--(F4577&lt;='Estimator'!$B$7)</x:f>
        <x:v>1</x:v>
      </x:c>
      <x:c r="H4577" s="381" t="n">
        <x:f>SUMIFS('Climate Data'!$G$7:$G$366,'Climate Data'!$A$7:$A$366,'Estimator'!$B$4,'Climate Data'!$B$7:$B$366,C4577)</x:f>
        <x:v>0.49078341013824883</x:v>
      </x:c>
      <x:c r="I4577" s="382" t="n">
        <x:f>SUMIFS('Climate Data'!$H$7:$H$366,'Climate Data'!$A$7:$A$366,'Estimator'!$B$4,'Climate Data'!$B$7:$B$366,C4577)</x:f>
        <x:v>8.998122065727701</x:v>
      </x:c>
      <x:c r="J4577" s="381" t="n">
        <x:f>SUMIFS('Wind Proxy'!$H$8:$H$19,'Wind Proxy'!$A$8:$A$19,'Estimator'!$B$4,'Wind Proxy'!$B$8:$B$19,C4577)</x:f>
        <x:v>0.13739545997610514</x:v>
      </x:c>
    </x:row>
    <x:row r="4578">
      <x:c r="A4578" s="379" t="n">
        <x:v>50229</x:v>
      </x:c>
      <x:c r="B4578" s="380" t="n">
        <x:v>2037</x:v>
      </x:c>
      <x:c r="C4578" s="380" t="n">
        <x:v>7</x:v>
      </x:c>
      <x:c r="D4578" s="380" t="str">
        <x:v>Jul</x:v>
      </x:c>
      <x:c r="E4578" s="380" t="n">
        <x:v>8</x:v>
      </x:c>
      <x:c r="F4578" s="380" t="n">
        <x:v>3</x:v>
      </x:c>
      <x:c r="G4578" s="380" t="n">
        <x:f>--(F4578&lt;='Estimator'!$B$7)</x:f>
        <x:v>1</x:v>
      </x:c>
      <x:c r="H4578" s="381" t="n">
        <x:f>SUMIFS('Climate Data'!$G$7:$G$366,'Climate Data'!$A$7:$A$366,'Estimator'!$B$4,'Climate Data'!$B$7:$B$366,C4578)</x:f>
        <x:v>0.49078341013824883</x:v>
      </x:c>
      <x:c r="I4578" s="382" t="n">
        <x:f>SUMIFS('Climate Data'!$H$7:$H$366,'Climate Data'!$A$7:$A$366,'Estimator'!$B$4,'Climate Data'!$B$7:$B$366,C4578)</x:f>
        <x:v>8.998122065727701</x:v>
      </x:c>
      <x:c r="J4578" s="381" t="n">
        <x:f>SUMIFS('Wind Proxy'!$H$8:$H$19,'Wind Proxy'!$A$8:$A$19,'Estimator'!$B$4,'Wind Proxy'!$B$8:$B$19,C4578)</x:f>
        <x:v>0.13739545997610514</x:v>
      </x:c>
    </x:row>
    <x:row r="4579">
      <x:c r="A4579" s="379" t="n">
        <x:v>50230</x:v>
      </x:c>
      <x:c r="B4579" s="380" t="n">
        <x:v>2037</x:v>
      </x:c>
      <x:c r="C4579" s="380" t="n">
        <x:v>7</x:v>
      </x:c>
      <x:c r="D4579" s="380" t="str">
        <x:v>Jul</x:v>
      </x:c>
      <x:c r="E4579" s="380" t="n">
        <x:v>9</x:v>
      </x:c>
      <x:c r="F4579" s="380" t="n">
        <x:v>4</x:v>
      </x:c>
      <x:c r="G4579" s="380" t="n">
        <x:f>--(F4579&lt;='Estimator'!$B$7)</x:f>
        <x:v>1</x:v>
      </x:c>
      <x:c r="H4579" s="381" t="n">
        <x:f>SUMIFS('Climate Data'!$G$7:$G$366,'Climate Data'!$A$7:$A$366,'Estimator'!$B$4,'Climate Data'!$B$7:$B$366,C4579)</x:f>
        <x:v>0.49078341013824883</x:v>
      </x:c>
      <x:c r="I4579" s="382" t="n">
        <x:f>SUMIFS('Climate Data'!$H$7:$H$366,'Climate Data'!$A$7:$A$366,'Estimator'!$B$4,'Climate Data'!$B$7:$B$366,C4579)</x:f>
        <x:v>8.998122065727701</x:v>
      </x:c>
      <x:c r="J4579" s="381" t="n">
        <x:f>SUMIFS('Wind Proxy'!$H$8:$H$19,'Wind Proxy'!$A$8:$A$19,'Estimator'!$B$4,'Wind Proxy'!$B$8:$B$19,C4579)</x:f>
        <x:v>0.13739545997610514</x:v>
      </x:c>
    </x:row>
    <x:row r="4580">
      <x:c r="A4580" s="379" t="n">
        <x:v>50231</x:v>
      </x:c>
      <x:c r="B4580" s="380" t="n">
        <x:v>2037</x:v>
      </x:c>
      <x:c r="C4580" s="380" t="n">
        <x:v>7</x:v>
      </x:c>
      <x:c r="D4580" s="380" t="str">
        <x:v>Jul</x:v>
      </x:c>
      <x:c r="E4580" s="380" t="n">
        <x:v>10</x:v>
      </x:c>
      <x:c r="F4580" s="380" t="n">
        <x:v>5</x:v>
      </x:c>
      <x:c r="G4580" s="380" t="n">
        <x:f>--(F4580&lt;='Estimator'!$B$7)</x:f>
        <x:v>1</x:v>
      </x:c>
      <x:c r="H4580" s="381" t="n">
        <x:f>SUMIFS('Climate Data'!$G$7:$G$366,'Climate Data'!$A$7:$A$366,'Estimator'!$B$4,'Climate Data'!$B$7:$B$366,C4580)</x:f>
        <x:v>0.49078341013824883</x:v>
      </x:c>
      <x:c r="I4580" s="382" t="n">
        <x:f>SUMIFS('Climate Data'!$H$7:$H$366,'Climate Data'!$A$7:$A$366,'Estimator'!$B$4,'Climate Data'!$B$7:$B$366,C4580)</x:f>
        <x:v>8.998122065727701</x:v>
      </x:c>
      <x:c r="J4580" s="381" t="n">
        <x:f>SUMIFS('Wind Proxy'!$H$8:$H$19,'Wind Proxy'!$A$8:$A$19,'Estimator'!$B$4,'Wind Proxy'!$B$8:$B$19,C4580)</x:f>
        <x:v>0.13739545997610514</x:v>
      </x:c>
    </x:row>
    <x:row r="4581">
      <x:c r="A4581" s="379" t="n">
        <x:v>50232</x:v>
      </x:c>
      <x:c r="B4581" s="380" t="n">
        <x:v>2037</x:v>
      </x:c>
      <x:c r="C4581" s="380" t="n">
        <x:v>7</x:v>
      </x:c>
      <x:c r="D4581" s="380" t="str">
        <x:v>Jul</x:v>
      </x:c>
      <x:c r="E4581" s="380" t="n">
        <x:v>11</x:v>
      </x:c>
      <x:c r="F4581" s="380" t="n">
        <x:v>6</x:v>
      </x:c>
      <x:c r="G4581" s="380" t="n">
        <x:f>--(F4581&lt;='Estimator'!$B$7)</x:f>
        <x:v>0</x:v>
      </x:c>
      <x:c r="H4581" s="381" t="n">
        <x:f>SUMIFS('Climate Data'!$G$7:$G$366,'Climate Data'!$A$7:$A$366,'Estimator'!$B$4,'Climate Data'!$B$7:$B$366,C4581)</x:f>
        <x:v>0.49078341013824883</x:v>
      </x:c>
      <x:c r="I4581" s="382" t="n">
        <x:f>SUMIFS('Climate Data'!$H$7:$H$366,'Climate Data'!$A$7:$A$366,'Estimator'!$B$4,'Climate Data'!$B$7:$B$366,C4581)</x:f>
        <x:v>8.998122065727701</x:v>
      </x:c>
      <x:c r="J4581" s="381" t="n">
        <x:f>SUMIFS('Wind Proxy'!$H$8:$H$19,'Wind Proxy'!$A$8:$A$19,'Estimator'!$B$4,'Wind Proxy'!$B$8:$B$19,C4581)</x:f>
        <x:v>0.13739545997610514</x:v>
      </x:c>
    </x:row>
    <x:row r="4582">
      <x:c r="A4582" s="379" t="n">
        <x:v>50233</x:v>
      </x:c>
      <x:c r="B4582" s="380" t="n">
        <x:v>2037</x:v>
      </x:c>
      <x:c r="C4582" s="380" t="n">
        <x:v>7</x:v>
      </x:c>
      <x:c r="D4582" s="380" t="str">
        <x:v>Jul</x:v>
      </x:c>
      <x:c r="E4582" s="380" t="n">
        <x:v>12</x:v>
      </x:c>
      <x:c r="F4582" s="380" t="n">
        <x:v>7</x:v>
      </x:c>
      <x:c r="G4582" s="380" t="n">
        <x:f>--(F4582&lt;='Estimator'!$B$7)</x:f>
        <x:v>0</x:v>
      </x:c>
      <x:c r="H4582" s="381" t="n">
        <x:f>SUMIFS('Climate Data'!$G$7:$G$366,'Climate Data'!$A$7:$A$366,'Estimator'!$B$4,'Climate Data'!$B$7:$B$366,C4582)</x:f>
        <x:v>0.49078341013824883</x:v>
      </x:c>
      <x:c r="I4582" s="382" t="n">
        <x:f>SUMIFS('Climate Data'!$H$7:$H$366,'Climate Data'!$A$7:$A$366,'Estimator'!$B$4,'Climate Data'!$B$7:$B$366,C4582)</x:f>
        <x:v>8.998122065727701</x:v>
      </x:c>
      <x:c r="J4582" s="381" t="n">
        <x:f>SUMIFS('Wind Proxy'!$H$8:$H$19,'Wind Proxy'!$A$8:$A$19,'Estimator'!$B$4,'Wind Proxy'!$B$8:$B$19,C4582)</x:f>
        <x:v>0.13739545997610514</x:v>
      </x:c>
    </x:row>
    <x:row r="4583">
      <x:c r="A4583" s="379" t="n">
        <x:v>50234</x:v>
      </x:c>
      <x:c r="B4583" s="380" t="n">
        <x:v>2037</x:v>
      </x:c>
      <x:c r="C4583" s="380" t="n">
        <x:v>7</x:v>
      </x:c>
      <x:c r="D4583" s="380" t="str">
        <x:v>Jul</x:v>
      </x:c>
      <x:c r="E4583" s="380" t="n">
        <x:v>13</x:v>
      </x:c>
      <x:c r="F4583" s="380" t="n">
        <x:v>1</x:v>
      </x:c>
      <x:c r="G4583" s="380" t="n">
        <x:f>--(F4583&lt;='Estimator'!$B$7)</x:f>
        <x:v>1</x:v>
      </x:c>
      <x:c r="H4583" s="381" t="n">
        <x:f>SUMIFS('Climate Data'!$G$7:$G$366,'Climate Data'!$A$7:$A$366,'Estimator'!$B$4,'Climate Data'!$B$7:$B$366,C4583)</x:f>
        <x:v>0.49078341013824883</x:v>
      </x:c>
      <x:c r="I4583" s="382" t="n">
        <x:f>SUMIFS('Climate Data'!$H$7:$H$366,'Climate Data'!$A$7:$A$366,'Estimator'!$B$4,'Climate Data'!$B$7:$B$366,C4583)</x:f>
        <x:v>8.998122065727701</x:v>
      </x:c>
      <x:c r="J4583" s="381" t="n">
        <x:f>SUMIFS('Wind Proxy'!$H$8:$H$19,'Wind Proxy'!$A$8:$A$19,'Estimator'!$B$4,'Wind Proxy'!$B$8:$B$19,C4583)</x:f>
        <x:v>0.13739545997610514</x:v>
      </x:c>
    </x:row>
    <x:row r="4584">
      <x:c r="A4584" s="379" t="n">
        <x:v>50235</x:v>
      </x:c>
      <x:c r="B4584" s="380" t="n">
        <x:v>2037</x:v>
      </x:c>
      <x:c r="C4584" s="380" t="n">
        <x:v>7</x:v>
      </x:c>
      <x:c r="D4584" s="380" t="str">
        <x:v>Jul</x:v>
      </x:c>
      <x:c r="E4584" s="380" t="n">
        <x:v>14</x:v>
      </x:c>
      <x:c r="F4584" s="380" t="n">
        <x:v>2</x:v>
      </x:c>
      <x:c r="G4584" s="380" t="n">
        <x:f>--(F4584&lt;='Estimator'!$B$7)</x:f>
        <x:v>1</x:v>
      </x:c>
      <x:c r="H4584" s="381" t="n">
        <x:f>SUMIFS('Climate Data'!$G$7:$G$366,'Climate Data'!$A$7:$A$366,'Estimator'!$B$4,'Climate Data'!$B$7:$B$366,C4584)</x:f>
        <x:v>0.49078341013824883</x:v>
      </x:c>
      <x:c r="I4584" s="382" t="n">
        <x:f>SUMIFS('Climate Data'!$H$7:$H$366,'Climate Data'!$A$7:$A$366,'Estimator'!$B$4,'Climate Data'!$B$7:$B$366,C4584)</x:f>
        <x:v>8.998122065727701</x:v>
      </x:c>
      <x:c r="J4584" s="381" t="n">
        <x:f>SUMIFS('Wind Proxy'!$H$8:$H$19,'Wind Proxy'!$A$8:$A$19,'Estimator'!$B$4,'Wind Proxy'!$B$8:$B$19,C4584)</x:f>
        <x:v>0.13739545997610514</x:v>
      </x:c>
    </x:row>
    <x:row r="4585">
      <x:c r="A4585" s="379" t="n">
        <x:v>50236</x:v>
      </x:c>
      <x:c r="B4585" s="380" t="n">
        <x:v>2037</x:v>
      </x:c>
      <x:c r="C4585" s="380" t="n">
        <x:v>7</x:v>
      </x:c>
      <x:c r="D4585" s="380" t="str">
        <x:v>Jul</x:v>
      </x:c>
      <x:c r="E4585" s="380" t="n">
        <x:v>15</x:v>
      </x:c>
      <x:c r="F4585" s="380" t="n">
        <x:v>3</x:v>
      </x:c>
      <x:c r="G4585" s="380" t="n">
        <x:f>--(F4585&lt;='Estimator'!$B$7)</x:f>
        <x:v>1</x:v>
      </x:c>
      <x:c r="H4585" s="381" t="n">
        <x:f>SUMIFS('Climate Data'!$G$7:$G$366,'Climate Data'!$A$7:$A$366,'Estimator'!$B$4,'Climate Data'!$B$7:$B$366,C4585)</x:f>
        <x:v>0.49078341013824883</x:v>
      </x:c>
      <x:c r="I4585" s="382" t="n">
        <x:f>SUMIFS('Climate Data'!$H$7:$H$366,'Climate Data'!$A$7:$A$366,'Estimator'!$B$4,'Climate Data'!$B$7:$B$366,C4585)</x:f>
        <x:v>8.998122065727701</x:v>
      </x:c>
      <x:c r="J4585" s="381" t="n">
        <x:f>SUMIFS('Wind Proxy'!$H$8:$H$19,'Wind Proxy'!$A$8:$A$19,'Estimator'!$B$4,'Wind Proxy'!$B$8:$B$19,C4585)</x:f>
        <x:v>0.13739545997610514</x:v>
      </x:c>
    </x:row>
    <x:row r="4586">
      <x:c r="A4586" s="379" t="n">
        <x:v>50237</x:v>
      </x:c>
      <x:c r="B4586" s="380" t="n">
        <x:v>2037</x:v>
      </x:c>
      <x:c r="C4586" s="380" t="n">
        <x:v>7</x:v>
      </x:c>
      <x:c r="D4586" s="380" t="str">
        <x:v>Jul</x:v>
      </x:c>
      <x:c r="E4586" s="380" t="n">
        <x:v>16</x:v>
      </x:c>
      <x:c r="F4586" s="380" t="n">
        <x:v>4</x:v>
      </x:c>
      <x:c r="G4586" s="380" t="n">
        <x:f>--(F4586&lt;='Estimator'!$B$7)</x:f>
        <x:v>1</x:v>
      </x:c>
      <x:c r="H4586" s="381" t="n">
        <x:f>SUMIFS('Climate Data'!$G$7:$G$366,'Climate Data'!$A$7:$A$366,'Estimator'!$B$4,'Climate Data'!$B$7:$B$366,C4586)</x:f>
        <x:v>0.49078341013824883</x:v>
      </x:c>
      <x:c r="I4586" s="382" t="n">
        <x:f>SUMIFS('Climate Data'!$H$7:$H$366,'Climate Data'!$A$7:$A$366,'Estimator'!$B$4,'Climate Data'!$B$7:$B$366,C4586)</x:f>
        <x:v>8.998122065727701</x:v>
      </x:c>
      <x:c r="J4586" s="381" t="n">
        <x:f>SUMIFS('Wind Proxy'!$H$8:$H$19,'Wind Proxy'!$A$8:$A$19,'Estimator'!$B$4,'Wind Proxy'!$B$8:$B$19,C4586)</x:f>
        <x:v>0.13739545997610514</x:v>
      </x:c>
    </x:row>
    <x:row r="4587">
      <x:c r="A4587" s="379" t="n">
        <x:v>50238</x:v>
      </x:c>
      <x:c r="B4587" s="380" t="n">
        <x:v>2037</x:v>
      </x:c>
      <x:c r="C4587" s="380" t="n">
        <x:v>7</x:v>
      </x:c>
      <x:c r="D4587" s="380" t="str">
        <x:v>Jul</x:v>
      </x:c>
      <x:c r="E4587" s="380" t="n">
        <x:v>17</x:v>
      </x:c>
      <x:c r="F4587" s="380" t="n">
        <x:v>5</x:v>
      </x:c>
      <x:c r="G4587" s="380" t="n">
        <x:f>--(F4587&lt;='Estimator'!$B$7)</x:f>
        <x:v>1</x:v>
      </x:c>
      <x:c r="H4587" s="381" t="n">
        <x:f>SUMIFS('Climate Data'!$G$7:$G$366,'Climate Data'!$A$7:$A$366,'Estimator'!$B$4,'Climate Data'!$B$7:$B$366,C4587)</x:f>
        <x:v>0.49078341013824883</x:v>
      </x:c>
      <x:c r="I4587" s="382" t="n">
        <x:f>SUMIFS('Climate Data'!$H$7:$H$366,'Climate Data'!$A$7:$A$366,'Estimator'!$B$4,'Climate Data'!$B$7:$B$366,C4587)</x:f>
        <x:v>8.998122065727701</x:v>
      </x:c>
      <x:c r="J4587" s="381" t="n">
        <x:f>SUMIFS('Wind Proxy'!$H$8:$H$19,'Wind Proxy'!$A$8:$A$19,'Estimator'!$B$4,'Wind Proxy'!$B$8:$B$19,C4587)</x:f>
        <x:v>0.13739545997610514</x:v>
      </x:c>
    </x:row>
    <x:row r="4588">
      <x:c r="A4588" s="379" t="n">
        <x:v>50239</x:v>
      </x:c>
      <x:c r="B4588" s="380" t="n">
        <x:v>2037</x:v>
      </x:c>
      <x:c r="C4588" s="380" t="n">
        <x:v>7</x:v>
      </x:c>
      <x:c r="D4588" s="380" t="str">
        <x:v>Jul</x:v>
      </x:c>
      <x:c r="E4588" s="380" t="n">
        <x:v>18</x:v>
      </x:c>
      <x:c r="F4588" s="380" t="n">
        <x:v>6</x:v>
      </x:c>
      <x:c r="G4588" s="380" t="n">
        <x:f>--(F4588&lt;='Estimator'!$B$7)</x:f>
        <x:v>0</x:v>
      </x:c>
      <x:c r="H4588" s="381" t="n">
        <x:f>SUMIFS('Climate Data'!$G$7:$G$366,'Climate Data'!$A$7:$A$366,'Estimator'!$B$4,'Climate Data'!$B$7:$B$366,C4588)</x:f>
        <x:v>0.49078341013824883</x:v>
      </x:c>
      <x:c r="I4588" s="382" t="n">
        <x:f>SUMIFS('Climate Data'!$H$7:$H$366,'Climate Data'!$A$7:$A$366,'Estimator'!$B$4,'Climate Data'!$B$7:$B$366,C4588)</x:f>
        <x:v>8.998122065727701</x:v>
      </x:c>
      <x:c r="J4588" s="381" t="n">
        <x:f>SUMIFS('Wind Proxy'!$H$8:$H$19,'Wind Proxy'!$A$8:$A$19,'Estimator'!$B$4,'Wind Proxy'!$B$8:$B$19,C4588)</x:f>
        <x:v>0.13739545997610514</x:v>
      </x:c>
    </x:row>
    <x:row r="4589">
      <x:c r="A4589" s="379" t="n">
        <x:v>50240</x:v>
      </x:c>
      <x:c r="B4589" s="380" t="n">
        <x:v>2037</x:v>
      </x:c>
      <x:c r="C4589" s="380" t="n">
        <x:v>7</x:v>
      </x:c>
      <x:c r="D4589" s="380" t="str">
        <x:v>Jul</x:v>
      </x:c>
      <x:c r="E4589" s="380" t="n">
        <x:v>19</x:v>
      </x:c>
      <x:c r="F4589" s="380" t="n">
        <x:v>7</x:v>
      </x:c>
      <x:c r="G4589" s="380" t="n">
        <x:f>--(F4589&lt;='Estimator'!$B$7)</x:f>
        <x:v>0</x:v>
      </x:c>
      <x:c r="H4589" s="381" t="n">
        <x:f>SUMIFS('Climate Data'!$G$7:$G$366,'Climate Data'!$A$7:$A$366,'Estimator'!$B$4,'Climate Data'!$B$7:$B$366,C4589)</x:f>
        <x:v>0.49078341013824883</x:v>
      </x:c>
      <x:c r="I4589" s="382" t="n">
        <x:f>SUMIFS('Climate Data'!$H$7:$H$366,'Climate Data'!$A$7:$A$366,'Estimator'!$B$4,'Climate Data'!$B$7:$B$366,C4589)</x:f>
        <x:v>8.998122065727701</x:v>
      </x:c>
      <x:c r="J4589" s="381" t="n">
        <x:f>SUMIFS('Wind Proxy'!$H$8:$H$19,'Wind Proxy'!$A$8:$A$19,'Estimator'!$B$4,'Wind Proxy'!$B$8:$B$19,C4589)</x:f>
        <x:v>0.13739545997610514</x:v>
      </x:c>
    </x:row>
    <x:row r="4590">
      <x:c r="A4590" s="379" t="n">
        <x:v>50241</x:v>
      </x:c>
      <x:c r="B4590" s="380" t="n">
        <x:v>2037</x:v>
      </x:c>
      <x:c r="C4590" s="380" t="n">
        <x:v>7</x:v>
      </x:c>
      <x:c r="D4590" s="380" t="str">
        <x:v>Jul</x:v>
      </x:c>
      <x:c r="E4590" s="380" t="n">
        <x:v>20</x:v>
      </x:c>
      <x:c r="F4590" s="380" t="n">
        <x:v>1</x:v>
      </x:c>
      <x:c r="G4590" s="380" t="n">
        <x:f>--(F4590&lt;='Estimator'!$B$7)</x:f>
        <x:v>1</x:v>
      </x:c>
      <x:c r="H4590" s="381" t="n">
        <x:f>SUMIFS('Climate Data'!$G$7:$G$366,'Climate Data'!$A$7:$A$366,'Estimator'!$B$4,'Climate Data'!$B$7:$B$366,C4590)</x:f>
        <x:v>0.49078341013824883</x:v>
      </x:c>
      <x:c r="I4590" s="382" t="n">
        <x:f>SUMIFS('Climate Data'!$H$7:$H$366,'Climate Data'!$A$7:$A$366,'Estimator'!$B$4,'Climate Data'!$B$7:$B$366,C4590)</x:f>
        <x:v>8.998122065727701</x:v>
      </x:c>
      <x:c r="J4590" s="381" t="n">
        <x:f>SUMIFS('Wind Proxy'!$H$8:$H$19,'Wind Proxy'!$A$8:$A$19,'Estimator'!$B$4,'Wind Proxy'!$B$8:$B$19,C4590)</x:f>
        <x:v>0.13739545997610514</x:v>
      </x:c>
    </x:row>
    <x:row r="4591">
      <x:c r="A4591" s="379" t="n">
        <x:v>50242</x:v>
      </x:c>
      <x:c r="B4591" s="380" t="n">
        <x:v>2037</x:v>
      </x:c>
      <x:c r="C4591" s="380" t="n">
        <x:v>7</x:v>
      </x:c>
      <x:c r="D4591" s="380" t="str">
        <x:v>Jul</x:v>
      </x:c>
      <x:c r="E4591" s="380" t="n">
        <x:v>21</x:v>
      </x:c>
      <x:c r="F4591" s="380" t="n">
        <x:v>2</x:v>
      </x:c>
      <x:c r="G4591" s="380" t="n">
        <x:f>--(F4591&lt;='Estimator'!$B$7)</x:f>
        <x:v>1</x:v>
      </x:c>
      <x:c r="H4591" s="381" t="n">
        <x:f>SUMIFS('Climate Data'!$G$7:$G$366,'Climate Data'!$A$7:$A$366,'Estimator'!$B$4,'Climate Data'!$B$7:$B$366,C4591)</x:f>
        <x:v>0.49078341013824883</x:v>
      </x:c>
      <x:c r="I4591" s="382" t="n">
        <x:f>SUMIFS('Climate Data'!$H$7:$H$366,'Climate Data'!$A$7:$A$366,'Estimator'!$B$4,'Climate Data'!$B$7:$B$366,C4591)</x:f>
        <x:v>8.998122065727701</x:v>
      </x:c>
      <x:c r="J4591" s="381" t="n">
        <x:f>SUMIFS('Wind Proxy'!$H$8:$H$19,'Wind Proxy'!$A$8:$A$19,'Estimator'!$B$4,'Wind Proxy'!$B$8:$B$19,C4591)</x:f>
        <x:v>0.13739545997610514</x:v>
      </x:c>
    </x:row>
    <x:row r="4592">
      <x:c r="A4592" s="379" t="n">
        <x:v>50243</x:v>
      </x:c>
      <x:c r="B4592" s="380" t="n">
        <x:v>2037</x:v>
      </x:c>
      <x:c r="C4592" s="380" t="n">
        <x:v>7</x:v>
      </x:c>
      <x:c r="D4592" s="380" t="str">
        <x:v>Jul</x:v>
      </x:c>
      <x:c r="E4592" s="380" t="n">
        <x:v>22</x:v>
      </x:c>
      <x:c r="F4592" s="380" t="n">
        <x:v>3</x:v>
      </x:c>
      <x:c r="G4592" s="380" t="n">
        <x:f>--(F4592&lt;='Estimator'!$B$7)</x:f>
        <x:v>1</x:v>
      </x:c>
      <x:c r="H4592" s="381" t="n">
        <x:f>SUMIFS('Climate Data'!$G$7:$G$366,'Climate Data'!$A$7:$A$366,'Estimator'!$B$4,'Climate Data'!$B$7:$B$366,C4592)</x:f>
        <x:v>0.49078341013824883</x:v>
      </x:c>
      <x:c r="I4592" s="382" t="n">
        <x:f>SUMIFS('Climate Data'!$H$7:$H$366,'Climate Data'!$A$7:$A$366,'Estimator'!$B$4,'Climate Data'!$B$7:$B$366,C4592)</x:f>
        <x:v>8.998122065727701</x:v>
      </x:c>
      <x:c r="J4592" s="381" t="n">
        <x:f>SUMIFS('Wind Proxy'!$H$8:$H$19,'Wind Proxy'!$A$8:$A$19,'Estimator'!$B$4,'Wind Proxy'!$B$8:$B$19,C4592)</x:f>
        <x:v>0.13739545997610514</x:v>
      </x:c>
    </x:row>
    <x:row r="4593">
      <x:c r="A4593" s="379" t="n">
        <x:v>50244</x:v>
      </x:c>
      <x:c r="B4593" s="380" t="n">
        <x:v>2037</x:v>
      </x:c>
      <x:c r="C4593" s="380" t="n">
        <x:v>7</x:v>
      </x:c>
      <x:c r="D4593" s="380" t="str">
        <x:v>Jul</x:v>
      </x:c>
      <x:c r="E4593" s="380" t="n">
        <x:v>23</x:v>
      </x:c>
      <x:c r="F4593" s="380" t="n">
        <x:v>4</x:v>
      </x:c>
      <x:c r="G4593" s="380" t="n">
        <x:f>--(F4593&lt;='Estimator'!$B$7)</x:f>
        <x:v>1</x:v>
      </x:c>
      <x:c r="H4593" s="381" t="n">
        <x:f>SUMIFS('Climate Data'!$G$7:$G$366,'Climate Data'!$A$7:$A$366,'Estimator'!$B$4,'Climate Data'!$B$7:$B$366,C4593)</x:f>
        <x:v>0.49078341013824883</x:v>
      </x:c>
      <x:c r="I4593" s="382" t="n">
        <x:f>SUMIFS('Climate Data'!$H$7:$H$366,'Climate Data'!$A$7:$A$366,'Estimator'!$B$4,'Climate Data'!$B$7:$B$366,C4593)</x:f>
        <x:v>8.998122065727701</x:v>
      </x:c>
      <x:c r="J4593" s="381" t="n">
        <x:f>SUMIFS('Wind Proxy'!$H$8:$H$19,'Wind Proxy'!$A$8:$A$19,'Estimator'!$B$4,'Wind Proxy'!$B$8:$B$19,C4593)</x:f>
        <x:v>0.13739545997610514</x:v>
      </x:c>
    </x:row>
    <x:row r="4594">
      <x:c r="A4594" s="379" t="n">
        <x:v>50245</x:v>
      </x:c>
      <x:c r="B4594" s="380" t="n">
        <x:v>2037</x:v>
      </x:c>
      <x:c r="C4594" s="380" t="n">
        <x:v>7</x:v>
      </x:c>
      <x:c r="D4594" s="380" t="str">
        <x:v>Jul</x:v>
      </x:c>
      <x:c r="E4594" s="380" t="n">
        <x:v>24</x:v>
      </x:c>
      <x:c r="F4594" s="380" t="n">
        <x:v>5</x:v>
      </x:c>
      <x:c r="G4594" s="380" t="n">
        <x:f>--(F4594&lt;='Estimator'!$B$7)</x:f>
        <x:v>1</x:v>
      </x:c>
      <x:c r="H4594" s="381" t="n">
        <x:f>SUMIFS('Climate Data'!$G$7:$G$366,'Climate Data'!$A$7:$A$366,'Estimator'!$B$4,'Climate Data'!$B$7:$B$366,C4594)</x:f>
        <x:v>0.49078341013824883</x:v>
      </x:c>
      <x:c r="I4594" s="382" t="n">
        <x:f>SUMIFS('Climate Data'!$H$7:$H$366,'Climate Data'!$A$7:$A$366,'Estimator'!$B$4,'Climate Data'!$B$7:$B$366,C4594)</x:f>
        <x:v>8.998122065727701</x:v>
      </x:c>
      <x:c r="J4594" s="381" t="n">
        <x:f>SUMIFS('Wind Proxy'!$H$8:$H$19,'Wind Proxy'!$A$8:$A$19,'Estimator'!$B$4,'Wind Proxy'!$B$8:$B$19,C4594)</x:f>
        <x:v>0.13739545997610514</x:v>
      </x:c>
    </x:row>
    <x:row r="4595">
      <x:c r="A4595" s="379" t="n">
        <x:v>50246</x:v>
      </x:c>
      <x:c r="B4595" s="380" t="n">
        <x:v>2037</x:v>
      </x:c>
      <x:c r="C4595" s="380" t="n">
        <x:v>7</x:v>
      </x:c>
      <x:c r="D4595" s="380" t="str">
        <x:v>Jul</x:v>
      </x:c>
      <x:c r="E4595" s="380" t="n">
        <x:v>25</x:v>
      </x:c>
      <x:c r="F4595" s="380" t="n">
        <x:v>6</x:v>
      </x:c>
      <x:c r="G4595" s="380" t="n">
        <x:f>--(F4595&lt;='Estimator'!$B$7)</x:f>
        <x:v>0</x:v>
      </x:c>
      <x:c r="H4595" s="381" t="n">
        <x:f>SUMIFS('Climate Data'!$G$7:$G$366,'Climate Data'!$A$7:$A$366,'Estimator'!$B$4,'Climate Data'!$B$7:$B$366,C4595)</x:f>
        <x:v>0.49078341013824883</x:v>
      </x:c>
      <x:c r="I4595" s="382" t="n">
        <x:f>SUMIFS('Climate Data'!$H$7:$H$366,'Climate Data'!$A$7:$A$366,'Estimator'!$B$4,'Climate Data'!$B$7:$B$366,C4595)</x:f>
        <x:v>8.998122065727701</x:v>
      </x:c>
      <x:c r="J4595" s="381" t="n">
        <x:f>SUMIFS('Wind Proxy'!$H$8:$H$19,'Wind Proxy'!$A$8:$A$19,'Estimator'!$B$4,'Wind Proxy'!$B$8:$B$19,C4595)</x:f>
        <x:v>0.13739545997610514</x:v>
      </x:c>
    </x:row>
    <x:row r="4596">
      <x:c r="A4596" s="379" t="n">
        <x:v>50247</x:v>
      </x:c>
      <x:c r="B4596" s="380" t="n">
        <x:v>2037</x:v>
      </x:c>
      <x:c r="C4596" s="380" t="n">
        <x:v>7</x:v>
      </x:c>
      <x:c r="D4596" s="380" t="str">
        <x:v>Jul</x:v>
      </x:c>
      <x:c r="E4596" s="380" t="n">
        <x:v>26</x:v>
      </x:c>
      <x:c r="F4596" s="380" t="n">
        <x:v>7</x:v>
      </x:c>
      <x:c r="G4596" s="380" t="n">
        <x:f>--(F4596&lt;='Estimator'!$B$7)</x:f>
        <x:v>0</x:v>
      </x:c>
      <x:c r="H4596" s="381" t="n">
        <x:f>SUMIFS('Climate Data'!$G$7:$G$366,'Climate Data'!$A$7:$A$366,'Estimator'!$B$4,'Climate Data'!$B$7:$B$366,C4596)</x:f>
        <x:v>0.49078341013824883</x:v>
      </x:c>
      <x:c r="I4596" s="382" t="n">
        <x:f>SUMIFS('Climate Data'!$H$7:$H$366,'Climate Data'!$A$7:$A$366,'Estimator'!$B$4,'Climate Data'!$B$7:$B$366,C4596)</x:f>
        <x:v>8.998122065727701</x:v>
      </x:c>
      <x:c r="J4596" s="381" t="n">
        <x:f>SUMIFS('Wind Proxy'!$H$8:$H$19,'Wind Proxy'!$A$8:$A$19,'Estimator'!$B$4,'Wind Proxy'!$B$8:$B$19,C4596)</x:f>
        <x:v>0.13739545997610514</x:v>
      </x:c>
    </x:row>
    <x:row r="4597">
      <x:c r="A4597" s="379" t="n">
        <x:v>50248</x:v>
      </x:c>
      <x:c r="B4597" s="380" t="n">
        <x:v>2037</x:v>
      </x:c>
      <x:c r="C4597" s="380" t="n">
        <x:v>7</x:v>
      </x:c>
      <x:c r="D4597" s="380" t="str">
        <x:v>Jul</x:v>
      </x:c>
      <x:c r="E4597" s="380" t="n">
        <x:v>27</x:v>
      </x:c>
      <x:c r="F4597" s="380" t="n">
        <x:v>1</x:v>
      </x:c>
      <x:c r="G4597" s="380" t="n">
        <x:f>--(F4597&lt;='Estimator'!$B$7)</x:f>
        <x:v>1</x:v>
      </x:c>
      <x:c r="H4597" s="381" t="n">
        <x:f>SUMIFS('Climate Data'!$G$7:$G$366,'Climate Data'!$A$7:$A$366,'Estimator'!$B$4,'Climate Data'!$B$7:$B$366,C4597)</x:f>
        <x:v>0.49078341013824883</x:v>
      </x:c>
      <x:c r="I4597" s="382" t="n">
        <x:f>SUMIFS('Climate Data'!$H$7:$H$366,'Climate Data'!$A$7:$A$366,'Estimator'!$B$4,'Climate Data'!$B$7:$B$366,C4597)</x:f>
        <x:v>8.998122065727701</x:v>
      </x:c>
      <x:c r="J4597" s="381" t="n">
        <x:f>SUMIFS('Wind Proxy'!$H$8:$H$19,'Wind Proxy'!$A$8:$A$19,'Estimator'!$B$4,'Wind Proxy'!$B$8:$B$19,C4597)</x:f>
        <x:v>0.13739545997610514</x:v>
      </x:c>
    </x:row>
    <x:row r="4598">
      <x:c r="A4598" s="379" t="n">
        <x:v>50249</x:v>
      </x:c>
      <x:c r="B4598" s="380" t="n">
        <x:v>2037</x:v>
      </x:c>
      <x:c r="C4598" s="380" t="n">
        <x:v>7</x:v>
      </x:c>
      <x:c r="D4598" s="380" t="str">
        <x:v>Jul</x:v>
      </x:c>
      <x:c r="E4598" s="380" t="n">
        <x:v>28</x:v>
      </x:c>
      <x:c r="F4598" s="380" t="n">
        <x:v>2</x:v>
      </x:c>
      <x:c r="G4598" s="380" t="n">
        <x:f>--(F4598&lt;='Estimator'!$B$7)</x:f>
        <x:v>1</x:v>
      </x:c>
      <x:c r="H4598" s="381" t="n">
        <x:f>SUMIFS('Climate Data'!$G$7:$G$366,'Climate Data'!$A$7:$A$366,'Estimator'!$B$4,'Climate Data'!$B$7:$B$366,C4598)</x:f>
        <x:v>0.49078341013824883</x:v>
      </x:c>
      <x:c r="I4598" s="382" t="n">
        <x:f>SUMIFS('Climate Data'!$H$7:$H$366,'Climate Data'!$A$7:$A$366,'Estimator'!$B$4,'Climate Data'!$B$7:$B$366,C4598)</x:f>
        <x:v>8.998122065727701</x:v>
      </x:c>
      <x:c r="J4598" s="381" t="n">
        <x:f>SUMIFS('Wind Proxy'!$H$8:$H$19,'Wind Proxy'!$A$8:$A$19,'Estimator'!$B$4,'Wind Proxy'!$B$8:$B$19,C4598)</x:f>
        <x:v>0.13739545997610514</x:v>
      </x:c>
    </x:row>
    <x:row r="4599">
      <x:c r="A4599" s="379" t="n">
        <x:v>50250</x:v>
      </x:c>
      <x:c r="B4599" s="380" t="n">
        <x:v>2037</x:v>
      </x:c>
      <x:c r="C4599" s="380" t="n">
        <x:v>7</x:v>
      </x:c>
      <x:c r="D4599" s="380" t="str">
        <x:v>Jul</x:v>
      </x:c>
      <x:c r="E4599" s="380" t="n">
        <x:v>29</x:v>
      </x:c>
      <x:c r="F4599" s="380" t="n">
        <x:v>3</x:v>
      </x:c>
      <x:c r="G4599" s="380" t="n">
        <x:f>--(F4599&lt;='Estimator'!$B$7)</x:f>
        <x:v>1</x:v>
      </x:c>
      <x:c r="H4599" s="381" t="n">
        <x:f>SUMIFS('Climate Data'!$G$7:$G$366,'Climate Data'!$A$7:$A$366,'Estimator'!$B$4,'Climate Data'!$B$7:$B$366,C4599)</x:f>
        <x:v>0.49078341013824883</x:v>
      </x:c>
      <x:c r="I4599" s="382" t="n">
        <x:f>SUMIFS('Climate Data'!$H$7:$H$366,'Climate Data'!$A$7:$A$366,'Estimator'!$B$4,'Climate Data'!$B$7:$B$366,C4599)</x:f>
        <x:v>8.998122065727701</x:v>
      </x:c>
      <x:c r="J4599" s="381" t="n">
        <x:f>SUMIFS('Wind Proxy'!$H$8:$H$19,'Wind Proxy'!$A$8:$A$19,'Estimator'!$B$4,'Wind Proxy'!$B$8:$B$19,C4599)</x:f>
        <x:v>0.13739545997610514</x:v>
      </x:c>
    </x:row>
    <x:row r="4600">
      <x:c r="A4600" s="379" t="n">
        <x:v>50251</x:v>
      </x:c>
      <x:c r="B4600" s="380" t="n">
        <x:v>2037</x:v>
      </x:c>
      <x:c r="C4600" s="380" t="n">
        <x:v>7</x:v>
      </x:c>
      <x:c r="D4600" s="380" t="str">
        <x:v>Jul</x:v>
      </x:c>
      <x:c r="E4600" s="380" t="n">
        <x:v>30</x:v>
      </x:c>
      <x:c r="F4600" s="380" t="n">
        <x:v>4</x:v>
      </x:c>
      <x:c r="G4600" s="380" t="n">
        <x:f>--(F4600&lt;='Estimator'!$B$7)</x:f>
        <x:v>1</x:v>
      </x:c>
      <x:c r="H4600" s="381" t="n">
        <x:f>SUMIFS('Climate Data'!$G$7:$G$366,'Climate Data'!$A$7:$A$366,'Estimator'!$B$4,'Climate Data'!$B$7:$B$366,C4600)</x:f>
        <x:v>0.49078341013824883</x:v>
      </x:c>
      <x:c r="I4600" s="382" t="n">
        <x:f>SUMIFS('Climate Data'!$H$7:$H$366,'Climate Data'!$A$7:$A$366,'Estimator'!$B$4,'Climate Data'!$B$7:$B$366,C4600)</x:f>
        <x:v>8.998122065727701</x:v>
      </x:c>
      <x:c r="J4600" s="381" t="n">
        <x:f>SUMIFS('Wind Proxy'!$H$8:$H$19,'Wind Proxy'!$A$8:$A$19,'Estimator'!$B$4,'Wind Proxy'!$B$8:$B$19,C4600)</x:f>
        <x:v>0.13739545997610514</x:v>
      </x:c>
    </x:row>
    <x:row r="4601">
      <x:c r="A4601" s="379" t="n">
        <x:v>50252</x:v>
      </x:c>
      <x:c r="B4601" s="380" t="n">
        <x:v>2037</x:v>
      </x:c>
      <x:c r="C4601" s="380" t="n">
        <x:v>7</x:v>
      </x:c>
      <x:c r="D4601" s="380" t="str">
        <x:v>Jul</x:v>
      </x:c>
      <x:c r="E4601" s="380" t="n">
        <x:v>31</x:v>
      </x:c>
      <x:c r="F4601" s="380" t="n">
        <x:v>5</x:v>
      </x:c>
      <x:c r="G4601" s="380" t="n">
        <x:f>--(F4601&lt;='Estimator'!$B$7)</x:f>
        <x:v>1</x:v>
      </x:c>
      <x:c r="H4601" s="381" t="n">
        <x:f>SUMIFS('Climate Data'!$G$7:$G$366,'Climate Data'!$A$7:$A$366,'Estimator'!$B$4,'Climate Data'!$B$7:$B$366,C4601)</x:f>
        <x:v>0.49078341013824883</x:v>
      </x:c>
      <x:c r="I4601" s="382" t="n">
        <x:f>SUMIFS('Climate Data'!$H$7:$H$366,'Climate Data'!$A$7:$A$366,'Estimator'!$B$4,'Climate Data'!$B$7:$B$366,C4601)</x:f>
        <x:v>8.998122065727701</x:v>
      </x:c>
      <x:c r="J4601" s="381" t="n">
        <x:f>SUMIFS('Wind Proxy'!$H$8:$H$19,'Wind Proxy'!$A$8:$A$19,'Estimator'!$B$4,'Wind Proxy'!$B$8:$B$19,C4601)</x:f>
        <x:v>0.13739545997610514</x:v>
      </x:c>
    </x:row>
    <x:row r="4602">
      <x:c r="A4602" s="379" t="n">
        <x:v>50253</x:v>
      </x:c>
      <x:c r="B4602" s="380" t="n">
        <x:v>2037</x:v>
      </x:c>
      <x:c r="C4602" s="380" t="n">
        <x:v>8</x:v>
      </x:c>
      <x:c r="D4602" s="380" t="str">
        <x:v>Aug</x:v>
      </x:c>
      <x:c r="E4602" s="380" t="n">
        <x:v>1</x:v>
      </x:c>
      <x:c r="F4602" s="380" t="n">
        <x:v>6</x:v>
      </x:c>
      <x:c r="G4602" s="380" t="n">
        <x:f>--(F4602&lt;='Estimator'!$B$7)</x:f>
        <x:v>0</x:v>
      </x:c>
      <x:c r="H4602" s="381" t="n">
        <x:f>SUMIFS('Climate Data'!$G$7:$G$366,'Climate Data'!$A$7:$A$366,'Estimator'!$B$4,'Climate Data'!$B$7:$B$366,C4602)</x:f>
        <x:v>0.47274749721913234</x:v>
      </x:c>
      <x:c r="I4602" s="382" t="n">
        <x:f>SUMIFS('Climate Data'!$H$7:$H$366,'Climate Data'!$A$7:$A$366,'Estimator'!$B$4,'Climate Data'!$B$7:$B$366,C4602)</x:f>
        <x:v>7.9971764705882356</x:v>
      </x:c>
      <x:c r="J4602" s="381" t="n">
        <x:f>SUMIFS('Wind Proxy'!$H$8:$H$19,'Wind Proxy'!$A$8:$A$19,'Estimator'!$B$4,'Wind Proxy'!$B$8:$B$19,C4602)</x:f>
        <x:v>0.13739545997610514</x:v>
      </x:c>
    </x:row>
    <x:row r="4603">
      <x:c r="A4603" s="379" t="n">
        <x:v>50254</x:v>
      </x:c>
      <x:c r="B4603" s="380" t="n">
        <x:v>2037</x:v>
      </x:c>
      <x:c r="C4603" s="380" t="n">
        <x:v>8</x:v>
      </x:c>
      <x:c r="D4603" s="380" t="str">
        <x:v>Aug</x:v>
      </x:c>
      <x:c r="E4603" s="380" t="n">
        <x:v>2</x:v>
      </x:c>
      <x:c r="F4603" s="380" t="n">
        <x:v>7</x:v>
      </x:c>
      <x:c r="G4603" s="380" t="n">
        <x:f>--(F4603&lt;='Estimator'!$B$7)</x:f>
        <x:v>0</x:v>
      </x:c>
      <x:c r="H4603" s="381" t="n">
        <x:f>SUMIFS('Climate Data'!$G$7:$G$366,'Climate Data'!$A$7:$A$366,'Estimator'!$B$4,'Climate Data'!$B$7:$B$366,C4603)</x:f>
        <x:v>0.47274749721913234</x:v>
      </x:c>
      <x:c r="I4603" s="382" t="n">
        <x:f>SUMIFS('Climate Data'!$H$7:$H$366,'Climate Data'!$A$7:$A$366,'Estimator'!$B$4,'Climate Data'!$B$7:$B$366,C4603)</x:f>
        <x:v>7.9971764705882356</x:v>
      </x:c>
      <x:c r="J4603" s="381" t="n">
        <x:f>SUMIFS('Wind Proxy'!$H$8:$H$19,'Wind Proxy'!$A$8:$A$19,'Estimator'!$B$4,'Wind Proxy'!$B$8:$B$19,C4603)</x:f>
        <x:v>0.13739545997610514</x:v>
      </x:c>
    </x:row>
    <x:row r="4604">
      <x:c r="A4604" s="379" t="n">
        <x:v>50255</x:v>
      </x:c>
      <x:c r="B4604" s="380" t="n">
        <x:v>2037</x:v>
      </x:c>
      <x:c r="C4604" s="380" t="n">
        <x:v>8</x:v>
      </x:c>
      <x:c r="D4604" s="380" t="str">
        <x:v>Aug</x:v>
      </x:c>
      <x:c r="E4604" s="380" t="n">
        <x:v>3</x:v>
      </x:c>
      <x:c r="F4604" s="380" t="n">
        <x:v>1</x:v>
      </x:c>
      <x:c r="G4604" s="380" t="n">
        <x:f>--(F4604&lt;='Estimator'!$B$7)</x:f>
        <x:v>1</x:v>
      </x:c>
      <x:c r="H4604" s="381" t="n">
        <x:f>SUMIFS('Climate Data'!$G$7:$G$366,'Climate Data'!$A$7:$A$366,'Estimator'!$B$4,'Climate Data'!$B$7:$B$366,C4604)</x:f>
        <x:v>0.47274749721913234</x:v>
      </x:c>
      <x:c r="I4604" s="382" t="n">
        <x:f>SUMIFS('Climate Data'!$H$7:$H$366,'Climate Data'!$A$7:$A$366,'Estimator'!$B$4,'Climate Data'!$B$7:$B$366,C4604)</x:f>
        <x:v>7.9971764705882356</x:v>
      </x:c>
      <x:c r="J4604" s="381" t="n">
        <x:f>SUMIFS('Wind Proxy'!$H$8:$H$19,'Wind Proxy'!$A$8:$A$19,'Estimator'!$B$4,'Wind Proxy'!$B$8:$B$19,C4604)</x:f>
        <x:v>0.13739545997610514</x:v>
      </x:c>
    </x:row>
    <x:row r="4605">
      <x:c r="A4605" s="379" t="n">
        <x:v>50256</x:v>
      </x:c>
      <x:c r="B4605" s="380" t="n">
        <x:v>2037</x:v>
      </x:c>
      <x:c r="C4605" s="380" t="n">
        <x:v>8</x:v>
      </x:c>
      <x:c r="D4605" s="380" t="str">
        <x:v>Aug</x:v>
      </x:c>
      <x:c r="E4605" s="380" t="n">
        <x:v>4</x:v>
      </x:c>
      <x:c r="F4605" s="380" t="n">
        <x:v>2</x:v>
      </x:c>
      <x:c r="G4605" s="380" t="n">
        <x:f>--(F4605&lt;='Estimator'!$B$7)</x:f>
        <x:v>1</x:v>
      </x:c>
      <x:c r="H4605" s="381" t="n">
        <x:f>SUMIFS('Climate Data'!$G$7:$G$366,'Climate Data'!$A$7:$A$366,'Estimator'!$B$4,'Climate Data'!$B$7:$B$366,C4605)</x:f>
        <x:v>0.47274749721913234</x:v>
      </x:c>
      <x:c r="I4605" s="382" t="n">
        <x:f>SUMIFS('Climate Data'!$H$7:$H$366,'Climate Data'!$A$7:$A$366,'Estimator'!$B$4,'Climate Data'!$B$7:$B$366,C4605)</x:f>
        <x:v>7.9971764705882356</x:v>
      </x:c>
      <x:c r="J4605" s="381" t="n">
        <x:f>SUMIFS('Wind Proxy'!$H$8:$H$19,'Wind Proxy'!$A$8:$A$19,'Estimator'!$B$4,'Wind Proxy'!$B$8:$B$19,C4605)</x:f>
        <x:v>0.13739545997610514</x:v>
      </x:c>
    </x:row>
    <x:row r="4606">
      <x:c r="A4606" s="379" t="n">
        <x:v>50257</x:v>
      </x:c>
      <x:c r="B4606" s="380" t="n">
        <x:v>2037</x:v>
      </x:c>
      <x:c r="C4606" s="380" t="n">
        <x:v>8</x:v>
      </x:c>
      <x:c r="D4606" s="380" t="str">
        <x:v>Aug</x:v>
      </x:c>
      <x:c r="E4606" s="380" t="n">
        <x:v>5</x:v>
      </x:c>
      <x:c r="F4606" s="380" t="n">
        <x:v>3</x:v>
      </x:c>
      <x:c r="G4606" s="380" t="n">
        <x:f>--(F4606&lt;='Estimator'!$B$7)</x:f>
        <x:v>1</x:v>
      </x:c>
      <x:c r="H4606" s="381" t="n">
        <x:f>SUMIFS('Climate Data'!$G$7:$G$366,'Climate Data'!$A$7:$A$366,'Estimator'!$B$4,'Climate Data'!$B$7:$B$366,C4606)</x:f>
        <x:v>0.47274749721913234</x:v>
      </x:c>
      <x:c r="I4606" s="382" t="n">
        <x:f>SUMIFS('Climate Data'!$H$7:$H$366,'Climate Data'!$A$7:$A$366,'Estimator'!$B$4,'Climate Data'!$B$7:$B$366,C4606)</x:f>
        <x:v>7.9971764705882356</x:v>
      </x:c>
      <x:c r="J4606" s="381" t="n">
        <x:f>SUMIFS('Wind Proxy'!$H$8:$H$19,'Wind Proxy'!$A$8:$A$19,'Estimator'!$B$4,'Wind Proxy'!$B$8:$B$19,C4606)</x:f>
        <x:v>0.13739545997610514</x:v>
      </x:c>
    </x:row>
    <x:row r="4607">
      <x:c r="A4607" s="379" t="n">
        <x:v>50258</x:v>
      </x:c>
      <x:c r="B4607" s="380" t="n">
        <x:v>2037</x:v>
      </x:c>
      <x:c r="C4607" s="380" t="n">
        <x:v>8</x:v>
      </x:c>
      <x:c r="D4607" s="380" t="str">
        <x:v>Aug</x:v>
      </x:c>
      <x:c r="E4607" s="380" t="n">
        <x:v>6</x:v>
      </x:c>
      <x:c r="F4607" s="380" t="n">
        <x:v>4</x:v>
      </x:c>
      <x:c r="G4607" s="380" t="n">
        <x:f>--(F4607&lt;='Estimator'!$B$7)</x:f>
        <x:v>1</x:v>
      </x:c>
      <x:c r="H4607" s="381" t="n">
        <x:f>SUMIFS('Climate Data'!$G$7:$G$366,'Climate Data'!$A$7:$A$366,'Estimator'!$B$4,'Climate Data'!$B$7:$B$366,C4607)</x:f>
        <x:v>0.47274749721913234</x:v>
      </x:c>
      <x:c r="I4607" s="382" t="n">
        <x:f>SUMIFS('Climate Data'!$H$7:$H$366,'Climate Data'!$A$7:$A$366,'Estimator'!$B$4,'Climate Data'!$B$7:$B$366,C4607)</x:f>
        <x:v>7.9971764705882356</x:v>
      </x:c>
      <x:c r="J4607" s="381" t="n">
        <x:f>SUMIFS('Wind Proxy'!$H$8:$H$19,'Wind Proxy'!$A$8:$A$19,'Estimator'!$B$4,'Wind Proxy'!$B$8:$B$19,C4607)</x:f>
        <x:v>0.13739545997610514</x:v>
      </x:c>
    </x:row>
    <x:row r="4608">
      <x:c r="A4608" s="379" t="n">
        <x:v>50259</x:v>
      </x:c>
      <x:c r="B4608" s="380" t="n">
        <x:v>2037</x:v>
      </x:c>
      <x:c r="C4608" s="380" t="n">
        <x:v>8</x:v>
      </x:c>
      <x:c r="D4608" s="380" t="str">
        <x:v>Aug</x:v>
      </x:c>
      <x:c r="E4608" s="380" t="n">
        <x:v>7</x:v>
      </x:c>
      <x:c r="F4608" s="380" t="n">
        <x:v>5</x:v>
      </x:c>
      <x:c r="G4608" s="380" t="n">
        <x:f>--(F4608&lt;='Estimator'!$B$7)</x:f>
        <x:v>1</x:v>
      </x:c>
      <x:c r="H4608" s="381" t="n">
        <x:f>SUMIFS('Climate Data'!$G$7:$G$366,'Climate Data'!$A$7:$A$366,'Estimator'!$B$4,'Climate Data'!$B$7:$B$366,C4608)</x:f>
        <x:v>0.47274749721913234</x:v>
      </x:c>
      <x:c r="I4608" s="382" t="n">
        <x:f>SUMIFS('Climate Data'!$H$7:$H$366,'Climate Data'!$A$7:$A$366,'Estimator'!$B$4,'Climate Data'!$B$7:$B$366,C4608)</x:f>
        <x:v>7.9971764705882356</x:v>
      </x:c>
      <x:c r="J4608" s="381" t="n">
        <x:f>SUMIFS('Wind Proxy'!$H$8:$H$19,'Wind Proxy'!$A$8:$A$19,'Estimator'!$B$4,'Wind Proxy'!$B$8:$B$19,C4608)</x:f>
        <x:v>0.13739545997610514</x:v>
      </x:c>
    </x:row>
    <x:row r="4609">
      <x:c r="A4609" s="379" t="n">
        <x:v>50260</x:v>
      </x:c>
      <x:c r="B4609" s="380" t="n">
        <x:v>2037</x:v>
      </x:c>
      <x:c r="C4609" s="380" t="n">
        <x:v>8</x:v>
      </x:c>
      <x:c r="D4609" s="380" t="str">
        <x:v>Aug</x:v>
      </x:c>
      <x:c r="E4609" s="380" t="n">
        <x:v>8</x:v>
      </x:c>
      <x:c r="F4609" s="380" t="n">
        <x:v>6</x:v>
      </x:c>
      <x:c r="G4609" s="380" t="n">
        <x:f>--(F4609&lt;='Estimator'!$B$7)</x:f>
        <x:v>0</x:v>
      </x:c>
      <x:c r="H4609" s="381" t="n">
        <x:f>SUMIFS('Climate Data'!$G$7:$G$366,'Climate Data'!$A$7:$A$366,'Estimator'!$B$4,'Climate Data'!$B$7:$B$366,C4609)</x:f>
        <x:v>0.47274749721913234</x:v>
      </x:c>
      <x:c r="I4609" s="382" t="n">
        <x:f>SUMIFS('Climate Data'!$H$7:$H$366,'Climate Data'!$A$7:$A$366,'Estimator'!$B$4,'Climate Data'!$B$7:$B$366,C4609)</x:f>
        <x:v>7.9971764705882356</x:v>
      </x:c>
      <x:c r="J4609" s="381" t="n">
        <x:f>SUMIFS('Wind Proxy'!$H$8:$H$19,'Wind Proxy'!$A$8:$A$19,'Estimator'!$B$4,'Wind Proxy'!$B$8:$B$19,C4609)</x:f>
        <x:v>0.13739545997610514</x:v>
      </x:c>
    </x:row>
    <x:row r="4610">
      <x:c r="A4610" s="379" t="n">
        <x:v>50261</x:v>
      </x:c>
      <x:c r="B4610" s="380" t="n">
        <x:v>2037</x:v>
      </x:c>
      <x:c r="C4610" s="380" t="n">
        <x:v>8</x:v>
      </x:c>
      <x:c r="D4610" s="380" t="str">
        <x:v>Aug</x:v>
      </x:c>
      <x:c r="E4610" s="380" t="n">
        <x:v>9</x:v>
      </x:c>
      <x:c r="F4610" s="380" t="n">
        <x:v>7</x:v>
      </x:c>
      <x:c r="G4610" s="380" t="n">
        <x:f>--(F4610&lt;='Estimator'!$B$7)</x:f>
        <x:v>0</x:v>
      </x:c>
      <x:c r="H4610" s="381" t="n">
        <x:f>SUMIFS('Climate Data'!$G$7:$G$366,'Climate Data'!$A$7:$A$366,'Estimator'!$B$4,'Climate Data'!$B$7:$B$366,C4610)</x:f>
        <x:v>0.47274749721913234</x:v>
      </x:c>
      <x:c r="I4610" s="382" t="n">
        <x:f>SUMIFS('Climate Data'!$H$7:$H$366,'Climate Data'!$A$7:$A$366,'Estimator'!$B$4,'Climate Data'!$B$7:$B$366,C4610)</x:f>
        <x:v>7.9971764705882356</x:v>
      </x:c>
      <x:c r="J4610" s="381" t="n">
        <x:f>SUMIFS('Wind Proxy'!$H$8:$H$19,'Wind Proxy'!$A$8:$A$19,'Estimator'!$B$4,'Wind Proxy'!$B$8:$B$19,C4610)</x:f>
        <x:v>0.13739545997610514</x:v>
      </x:c>
    </x:row>
    <x:row r="4611">
      <x:c r="A4611" s="379" t="n">
        <x:v>50262</x:v>
      </x:c>
      <x:c r="B4611" s="380" t="n">
        <x:v>2037</x:v>
      </x:c>
      <x:c r="C4611" s="380" t="n">
        <x:v>8</x:v>
      </x:c>
      <x:c r="D4611" s="380" t="str">
        <x:v>Aug</x:v>
      </x:c>
      <x:c r="E4611" s="380" t="n">
        <x:v>10</x:v>
      </x:c>
      <x:c r="F4611" s="380" t="n">
        <x:v>1</x:v>
      </x:c>
      <x:c r="G4611" s="380" t="n">
        <x:f>--(F4611&lt;='Estimator'!$B$7)</x:f>
        <x:v>1</x:v>
      </x:c>
      <x:c r="H4611" s="381" t="n">
        <x:f>SUMIFS('Climate Data'!$G$7:$G$366,'Climate Data'!$A$7:$A$366,'Estimator'!$B$4,'Climate Data'!$B$7:$B$366,C4611)</x:f>
        <x:v>0.47274749721913234</x:v>
      </x:c>
      <x:c r="I4611" s="382" t="n">
        <x:f>SUMIFS('Climate Data'!$H$7:$H$366,'Climate Data'!$A$7:$A$366,'Estimator'!$B$4,'Climate Data'!$B$7:$B$366,C4611)</x:f>
        <x:v>7.9971764705882356</x:v>
      </x:c>
      <x:c r="J4611" s="381" t="n">
        <x:f>SUMIFS('Wind Proxy'!$H$8:$H$19,'Wind Proxy'!$A$8:$A$19,'Estimator'!$B$4,'Wind Proxy'!$B$8:$B$19,C4611)</x:f>
        <x:v>0.13739545997610514</x:v>
      </x:c>
    </x:row>
    <x:row r="4612">
      <x:c r="A4612" s="379" t="n">
        <x:v>50263</x:v>
      </x:c>
      <x:c r="B4612" s="380" t="n">
        <x:v>2037</x:v>
      </x:c>
      <x:c r="C4612" s="380" t="n">
        <x:v>8</x:v>
      </x:c>
      <x:c r="D4612" s="380" t="str">
        <x:v>Aug</x:v>
      </x:c>
      <x:c r="E4612" s="380" t="n">
        <x:v>11</x:v>
      </x:c>
      <x:c r="F4612" s="380" t="n">
        <x:v>2</x:v>
      </x:c>
      <x:c r="G4612" s="380" t="n">
        <x:f>--(F4612&lt;='Estimator'!$B$7)</x:f>
        <x:v>1</x:v>
      </x:c>
      <x:c r="H4612" s="381" t="n">
        <x:f>SUMIFS('Climate Data'!$G$7:$G$366,'Climate Data'!$A$7:$A$366,'Estimator'!$B$4,'Climate Data'!$B$7:$B$366,C4612)</x:f>
        <x:v>0.47274749721913234</x:v>
      </x:c>
      <x:c r="I4612" s="382" t="n">
        <x:f>SUMIFS('Climate Data'!$H$7:$H$366,'Climate Data'!$A$7:$A$366,'Estimator'!$B$4,'Climate Data'!$B$7:$B$366,C4612)</x:f>
        <x:v>7.9971764705882356</x:v>
      </x:c>
      <x:c r="J4612" s="381" t="n">
        <x:f>SUMIFS('Wind Proxy'!$H$8:$H$19,'Wind Proxy'!$A$8:$A$19,'Estimator'!$B$4,'Wind Proxy'!$B$8:$B$19,C4612)</x:f>
        <x:v>0.13739545997610514</x:v>
      </x:c>
    </x:row>
    <x:row r="4613">
      <x:c r="A4613" s="379" t="n">
        <x:v>50264</x:v>
      </x:c>
      <x:c r="B4613" s="380" t="n">
        <x:v>2037</x:v>
      </x:c>
      <x:c r="C4613" s="380" t="n">
        <x:v>8</x:v>
      </x:c>
      <x:c r="D4613" s="380" t="str">
        <x:v>Aug</x:v>
      </x:c>
      <x:c r="E4613" s="380" t="n">
        <x:v>12</x:v>
      </x:c>
      <x:c r="F4613" s="380" t="n">
        <x:v>3</x:v>
      </x:c>
      <x:c r="G4613" s="380" t="n">
        <x:f>--(F4613&lt;='Estimator'!$B$7)</x:f>
        <x:v>1</x:v>
      </x:c>
      <x:c r="H4613" s="381" t="n">
        <x:f>SUMIFS('Climate Data'!$G$7:$G$366,'Climate Data'!$A$7:$A$366,'Estimator'!$B$4,'Climate Data'!$B$7:$B$366,C4613)</x:f>
        <x:v>0.47274749721913234</x:v>
      </x:c>
      <x:c r="I4613" s="382" t="n">
        <x:f>SUMIFS('Climate Data'!$H$7:$H$366,'Climate Data'!$A$7:$A$366,'Estimator'!$B$4,'Climate Data'!$B$7:$B$366,C4613)</x:f>
        <x:v>7.9971764705882356</x:v>
      </x:c>
      <x:c r="J4613" s="381" t="n">
        <x:f>SUMIFS('Wind Proxy'!$H$8:$H$19,'Wind Proxy'!$A$8:$A$19,'Estimator'!$B$4,'Wind Proxy'!$B$8:$B$19,C4613)</x:f>
        <x:v>0.13739545997610514</x:v>
      </x:c>
    </x:row>
    <x:row r="4614">
      <x:c r="A4614" s="379" t="n">
        <x:v>50265</x:v>
      </x:c>
      <x:c r="B4614" s="380" t="n">
        <x:v>2037</x:v>
      </x:c>
      <x:c r="C4614" s="380" t="n">
        <x:v>8</x:v>
      </x:c>
      <x:c r="D4614" s="380" t="str">
        <x:v>Aug</x:v>
      </x:c>
      <x:c r="E4614" s="380" t="n">
        <x:v>13</x:v>
      </x:c>
      <x:c r="F4614" s="380" t="n">
        <x:v>4</x:v>
      </x:c>
      <x:c r="G4614" s="380" t="n">
        <x:f>--(F4614&lt;='Estimator'!$B$7)</x:f>
        <x:v>1</x:v>
      </x:c>
      <x:c r="H4614" s="381" t="n">
        <x:f>SUMIFS('Climate Data'!$G$7:$G$366,'Climate Data'!$A$7:$A$366,'Estimator'!$B$4,'Climate Data'!$B$7:$B$366,C4614)</x:f>
        <x:v>0.47274749721913234</x:v>
      </x:c>
      <x:c r="I4614" s="382" t="n">
        <x:f>SUMIFS('Climate Data'!$H$7:$H$366,'Climate Data'!$A$7:$A$366,'Estimator'!$B$4,'Climate Data'!$B$7:$B$366,C4614)</x:f>
        <x:v>7.9971764705882356</x:v>
      </x:c>
      <x:c r="J4614" s="381" t="n">
        <x:f>SUMIFS('Wind Proxy'!$H$8:$H$19,'Wind Proxy'!$A$8:$A$19,'Estimator'!$B$4,'Wind Proxy'!$B$8:$B$19,C4614)</x:f>
        <x:v>0.13739545997610514</x:v>
      </x:c>
    </x:row>
    <x:row r="4615">
      <x:c r="A4615" s="379" t="n">
        <x:v>50266</x:v>
      </x:c>
      <x:c r="B4615" s="380" t="n">
        <x:v>2037</x:v>
      </x:c>
      <x:c r="C4615" s="380" t="n">
        <x:v>8</x:v>
      </x:c>
      <x:c r="D4615" s="380" t="str">
        <x:v>Aug</x:v>
      </x:c>
      <x:c r="E4615" s="380" t="n">
        <x:v>14</x:v>
      </x:c>
      <x:c r="F4615" s="380" t="n">
        <x:v>5</x:v>
      </x:c>
      <x:c r="G4615" s="380" t="n">
        <x:f>--(F4615&lt;='Estimator'!$B$7)</x:f>
        <x:v>1</x:v>
      </x:c>
      <x:c r="H4615" s="381" t="n">
        <x:f>SUMIFS('Climate Data'!$G$7:$G$366,'Climate Data'!$A$7:$A$366,'Estimator'!$B$4,'Climate Data'!$B$7:$B$366,C4615)</x:f>
        <x:v>0.47274749721913234</x:v>
      </x:c>
      <x:c r="I4615" s="382" t="n">
        <x:f>SUMIFS('Climate Data'!$H$7:$H$366,'Climate Data'!$A$7:$A$366,'Estimator'!$B$4,'Climate Data'!$B$7:$B$366,C4615)</x:f>
        <x:v>7.9971764705882356</x:v>
      </x:c>
      <x:c r="J4615" s="381" t="n">
        <x:f>SUMIFS('Wind Proxy'!$H$8:$H$19,'Wind Proxy'!$A$8:$A$19,'Estimator'!$B$4,'Wind Proxy'!$B$8:$B$19,C4615)</x:f>
        <x:v>0.13739545997610514</x:v>
      </x:c>
    </x:row>
    <x:row r="4616">
      <x:c r="A4616" s="379" t="n">
        <x:v>50267</x:v>
      </x:c>
      <x:c r="B4616" s="380" t="n">
        <x:v>2037</x:v>
      </x:c>
      <x:c r="C4616" s="380" t="n">
        <x:v>8</x:v>
      </x:c>
      <x:c r="D4616" s="380" t="str">
        <x:v>Aug</x:v>
      </x:c>
      <x:c r="E4616" s="380" t="n">
        <x:v>15</x:v>
      </x:c>
      <x:c r="F4616" s="380" t="n">
        <x:v>6</x:v>
      </x:c>
      <x:c r="G4616" s="380" t="n">
        <x:f>--(F4616&lt;='Estimator'!$B$7)</x:f>
        <x:v>0</x:v>
      </x:c>
      <x:c r="H4616" s="381" t="n">
        <x:f>SUMIFS('Climate Data'!$G$7:$G$366,'Climate Data'!$A$7:$A$366,'Estimator'!$B$4,'Climate Data'!$B$7:$B$366,C4616)</x:f>
        <x:v>0.47274749721913234</x:v>
      </x:c>
      <x:c r="I4616" s="382" t="n">
        <x:f>SUMIFS('Climate Data'!$H$7:$H$366,'Climate Data'!$A$7:$A$366,'Estimator'!$B$4,'Climate Data'!$B$7:$B$366,C4616)</x:f>
        <x:v>7.9971764705882356</x:v>
      </x:c>
      <x:c r="J4616" s="381" t="n">
        <x:f>SUMIFS('Wind Proxy'!$H$8:$H$19,'Wind Proxy'!$A$8:$A$19,'Estimator'!$B$4,'Wind Proxy'!$B$8:$B$19,C4616)</x:f>
        <x:v>0.13739545997610514</x:v>
      </x:c>
    </x:row>
    <x:row r="4617">
      <x:c r="A4617" s="379" t="n">
        <x:v>50268</x:v>
      </x:c>
      <x:c r="B4617" s="380" t="n">
        <x:v>2037</x:v>
      </x:c>
      <x:c r="C4617" s="380" t="n">
        <x:v>8</x:v>
      </x:c>
      <x:c r="D4617" s="380" t="str">
        <x:v>Aug</x:v>
      </x:c>
      <x:c r="E4617" s="380" t="n">
        <x:v>16</x:v>
      </x:c>
      <x:c r="F4617" s="380" t="n">
        <x:v>7</x:v>
      </x:c>
      <x:c r="G4617" s="380" t="n">
        <x:f>--(F4617&lt;='Estimator'!$B$7)</x:f>
        <x:v>0</x:v>
      </x:c>
      <x:c r="H4617" s="381" t="n">
        <x:f>SUMIFS('Climate Data'!$G$7:$G$366,'Climate Data'!$A$7:$A$366,'Estimator'!$B$4,'Climate Data'!$B$7:$B$366,C4617)</x:f>
        <x:v>0.47274749721913234</x:v>
      </x:c>
      <x:c r="I4617" s="382" t="n">
        <x:f>SUMIFS('Climate Data'!$H$7:$H$366,'Climate Data'!$A$7:$A$366,'Estimator'!$B$4,'Climate Data'!$B$7:$B$366,C4617)</x:f>
        <x:v>7.9971764705882356</x:v>
      </x:c>
      <x:c r="J4617" s="381" t="n">
        <x:f>SUMIFS('Wind Proxy'!$H$8:$H$19,'Wind Proxy'!$A$8:$A$19,'Estimator'!$B$4,'Wind Proxy'!$B$8:$B$19,C4617)</x:f>
        <x:v>0.13739545997610514</x:v>
      </x:c>
    </x:row>
    <x:row r="4618">
      <x:c r="A4618" s="379" t="n">
        <x:v>50269</x:v>
      </x:c>
      <x:c r="B4618" s="380" t="n">
        <x:v>2037</x:v>
      </x:c>
      <x:c r="C4618" s="380" t="n">
        <x:v>8</x:v>
      </x:c>
      <x:c r="D4618" s="380" t="str">
        <x:v>Aug</x:v>
      </x:c>
      <x:c r="E4618" s="380" t="n">
        <x:v>17</x:v>
      </x:c>
      <x:c r="F4618" s="380" t="n">
        <x:v>1</x:v>
      </x:c>
      <x:c r="G4618" s="380" t="n">
        <x:f>--(F4618&lt;='Estimator'!$B$7)</x:f>
        <x:v>1</x:v>
      </x:c>
      <x:c r="H4618" s="381" t="n">
        <x:f>SUMIFS('Climate Data'!$G$7:$G$366,'Climate Data'!$A$7:$A$366,'Estimator'!$B$4,'Climate Data'!$B$7:$B$366,C4618)</x:f>
        <x:v>0.47274749721913234</x:v>
      </x:c>
      <x:c r="I4618" s="382" t="n">
        <x:f>SUMIFS('Climate Data'!$H$7:$H$366,'Climate Data'!$A$7:$A$366,'Estimator'!$B$4,'Climate Data'!$B$7:$B$366,C4618)</x:f>
        <x:v>7.9971764705882356</x:v>
      </x:c>
      <x:c r="J4618" s="381" t="n">
        <x:f>SUMIFS('Wind Proxy'!$H$8:$H$19,'Wind Proxy'!$A$8:$A$19,'Estimator'!$B$4,'Wind Proxy'!$B$8:$B$19,C4618)</x:f>
        <x:v>0.13739545997610514</x:v>
      </x:c>
    </x:row>
    <x:row r="4619">
      <x:c r="A4619" s="379" t="n">
        <x:v>50270</x:v>
      </x:c>
      <x:c r="B4619" s="380" t="n">
        <x:v>2037</x:v>
      </x:c>
      <x:c r="C4619" s="380" t="n">
        <x:v>8</x:v>
      </x:c>
      <x:c r="D4619" s="380" t="str">
        <x:v>Aug</x:v>
      </x:c>
      <x:c r="E4619" s="380" t="n">
        <x:v>18</x:v>
      </x:c>
      <x:c r="F4619" s="380" t="n">
        <x:v>2</x:v>
      </x:c>
      <x:c r="G4619" s="380" t="n">
        <x:f>--(F4619&lt;='Estimator'!$B$7)</x:f>
        <x:v>1</x:v>
      </x:c>
      <x:c r="H4619" s="381" t="n">
        <x:f>SUMIFS('Climate Data'!$G$7:$G$366,'Climate Data'!$A$7:$A$366,'Estimator'!$B$4,'Climate Data'!$B$7:$B$366,C4619)</x:f>
        <x:v>0.47274749721913234</x:v>
      </x:c>
      <x:c r="I4619" s="382" t="n">
        <x:f>SUMIFS('Climate Data'!$H$7:$H$366,'Climate Data'!$A$7:$A$366,'Estimator'!$B$4,'Climate Data'!$B$7:$B$366,C4619)</x:f>
        <x:v>7.9971764705882356</x:v>
      </x:c>
      <x:c r="J4619" s="381" t="n">
        <x:f>SUMIFS('Wind Proxy'!$H$8:$H$19,'Wind Proxy'!$A$8:$A$19,'Estimator'!$B$4,'Wind Proxy'!$B$8:$B$19,C4619)</x:f>
        <x:v>0.13739545997610514</x:v>
      </x:c>
    </x:row>
    <x:row r="4620">
      <x:c r="A4620" s="379" t="n">
        <x:v>50271</x:v>
      </x:c>
      <x:c r="B4620" s="380" t="n">
        <x:v>2037</x:v>
      </x:c>
      <x:c r="C4620" s="380" t="n">
        <x:v>8</x:v>
      </x:c>
      <x:c r="D4620" s="380" t="str">
        <x:v>Aug</x:v>
      </x:c>
      <x:c r="E4620" s="380" t="n">
        <x:v>19</x:v>
      </x:c>
      <x:c r="F4620" s="380" t="n">
        <x:v>3</x:v>
      </x:c>
      <x:c r="G4620" s="380" t="n">
        <x:f>--(F4620&lt;='Estimator'!$B$7)</x:f>
        <x:v>1</x:v>
      </x:c>
      <x:c r="H4620" s="381" t="n">
        <x:f>SUMIFS('Climate Data'!$G$7:$G$366,'Climate Data'!$A$7:$A$366,'Estimator'!$B$4,'Climate Data'!$B$7:$B$366,C4620)</x:f>
        <x:v>0.47274749721913234</x:v>
      </x:c>
      <x:c r="I4620" s="382" t="n">
        <x:f>SUMIFS('Climate Data'!$H$7:$H$366,'Climate Data'!$A$7:$A$366,'Estimator'!$B$4,'Climate Data'!$B$7:$B$366,C4620)</x:f>
        <x:v>7.9971764705882356</x:v>
      </x:c>
      <x:c r="J4620" s="381" t="n">
        <x:f>SUMIFS('Wind Proxy'!$H$8:$H$19,'Wind Proxy'!$A$8:$A$19,'Estimator'!$B$4,'Wind Proxy'!$B$8:$B$19,C4620)</x:f>
        <x:v>0.13739545997610514</x:v>
      </x:c>
    </x:row>
    <x:row r="4621">
      <x:c r="A4621" s="379" t="n">
        <x:v>50272</x:v>
      </x:c>
      <x:c r="B4621" s="380" t="n">
        <x:v>2037</x:v>
      </x:c>
      <x:c r="C4621" s="380" t="n">
        <x:v>8</x:v>
      </x:c>
      <x:c r="D4621" s="380" t="str">
        <x:v>Aug</x:v>
      </x:c>
      <x:c r="E4621" s="380" t="n">
        <x:v>20</x:v>
      </x:c>
      <x:c r="F4621" s="380" t="n">
        <x:v>4</x:v>
      </x:c>
      <x:c r="G4621" s="380" t="n">
        <x:f>--(F4621&lt;='Estimator'!$B$7)</x:f>
        <x:v>1</x:v>
      </x:c>
      <x:c r="H4621" s="381" t="n">
        <x:f>SUMIFS('Climate Data'!$G$7:$G$366,'Climate Data'!$A$7:$A$366,'Estimator'!$B$4,'Climate Data'!$B$7:$B$366,C4621)</x:f>
        <x:v>0.47274749721913234</x:v>
      </x:c>
      <x:c r="I4621" s="382" t="n">
        <x:f>SUMIFS('Climate Data'!$H$7:$H$366,'Climate Data'!$A$7:$A$366,'Estimator'!$B$4,'Climate Data'!$B$7:$B$366,C4621)</x:f>
        <x:v>7.9971764705882356</x:v>
      </x:c>
      <x:c r="J4621" s="381" t="n">
        <x:f>SUMIFS('Wind Proxy'!$H$8:$H$19,'Wind Proxy'!$A$8:$A$19,'Estimator'!$B$4,'Wind Proxy'!$B$8:$B$19,C4621)</x:f>
        <x:v>0.13739545997610514</x:v>
      </x:c>
    </x:row>
    <x:row r="4622">
      <x:c r="A4622" s="379" t="n">
        <x:v>50273</x:v>
      </x:c>
      <x:c r="B4622" s="380" t="n">
        <x:v>2037</x:v>
      </x:c>
      <x:c r="C4622" s="380" t="n">
        <x:v>8</x:v>
      </x:c>
      <x:c r="D4622" s="380" t="str">
        <x:v>Aug</x:v>
      </x:c>
      <x:c r="E4622" s="380" t="n">
        <x:v>21</x:v>
      </x:c>
      <x:c r="F4622" s="380" t="n">
        <x:v>5</x:v>
      </x:c>
      <x:c r="G4622" s="380" t="n">
        <x:f>--(F4622&lt;='Estimator'!$B$7)</x:f>
        <x:v>1</x:v>
      </x:c>
      <x:c r="H4622" s="381" t="n">
        <x:f>SUMIFS('Climate Data'!$G$7:$G$366,'Climate Data'!$A$7:$A$366,'Estimator'!$B$4,'Climate Data'!$B$7:$B$366,C4622)</x:f>
        <x:v>0.47274749721913234</x:v>
      </x:c>
      <x:c r="I4622" s="382" t="n">
        <x:f>SUMIFS('Climate Data'!$H$7:$H$366,'Climate Data'!$A$7:$A$366,'Estimator'!$B$4,'Climate Data'!$B$7:$B$366,C4622)</x:f>
        <x:v>7.9971764705882356</x:v>
      </x:c>
      <x:c r="J4622" s="381" t="n">
        <x:f>SUMIFS('Wind Proxy'!$H$8:$H$19,'Wind Proxy'!$A$8:$A$19,'Estimator'!$B$4,'Wind Proxy'!$B$8:$B$19,C4622)</x:f>
        <x:v>0.13739545997610514</x:v>
      </x:c>
    </x:row>
    <x:row r="4623">
      <x:c r="A4623" s="379" t="n">
        <x:v>50274</x:v>
      </x:c>
      <x:c r="B4623" s="380" t="n">
        <x:v>2037</x:v>
      </x:c>
      <x:c r="C4623" s="380" t="n">
        <x:v>8</x:v>
      </x:c>
      <x:c r="D4623" s="380" t="str">
        <x:v>Aug</x:v>
      </x:c>
      <x:c r="E4623" s="380" t="n">
        <x:v>22</x:v>
      </x:c>
      <x:c r="F4623" s="380" t="n">
        <x:v>6</x:v>
      </x:c>
      <x:c r="G4623" s="380" t="n">
        <x:f>--(F4623&lt;='Estimator'!$B$7)</x:f>
        <x:v>0</x:v>
      </x:c>
      <x:c r="H4623" s="381" t="n">
        <x:f>SUMIFS('Climate Data'!$G$7:$G$366,'Climate Data'!$A$7:$A$366,'Estimator'!$B$4,'Climate Data'!$B$7:$B$366,C4623)</x:f>
        <x:v>0.47274749721913234</x:v>
      </x:c>
      <x:c r="I4623" s="382" t="n">
        <x:f>SUMIFS('Climate Data'!$H$7:$H$366,'Climate Data'!$A$7:$A$366,'Estimator'!$B$4,'Climate Data'!$B$7:$B$366,C4623)</x:f>
        <x:v>7.9971764705882356</x:v>
      </x:c>
      <x:c r="J4623" s="381" t="n">
        <x:f>SUMIFS('Wind Proxy'!$H$8:$H$19,'Wind Proxy'!$A$8:$A$19,'Estimator'!$B$4,'Wind Proxy'!$B$8:$B$19,C4623)</x:f>
        <x:v>0.13739545997610514</x:v>
      </x:c>
    </x:row>
    <x:row r="4624">
      <x:c r="A4624" s="379" t="n">
        <x:v>50275</x:v>
      </x:c>
      <x:c r="B4624" s="380" t="n">
        <x:v>2037</x:v>
      </x:c>
      <x:c r="C4624" s="380" t="n">
        <x:v>8</x:v>
      </x:c>
      <x:c r="D4624" s="380" t="str">
        <x:v>Aug</x:v>
      </x:c>
      <x:c r="E4624" s="380" t="n">
        <x:v>23</x:v>
      </x:c>
      <x:c r="F4624" s="380" t="n">
        <x:v>7</x:v>
      </x:c>
      <x:c r="G4624" s="380" t="n">
        <x:f>--(F4624&lt;='Estimator'!$B$7)</x:f>
        <x:v>0</x:v>
      </x:c>
      <x:c r="H4624" s="381" t="n">
        <x:f>SUMIFS('Climate Data'!$G$7:$G$366,'Climate Data'!$A$7:$A$366,'Estimator'!$B$4,'Climate Data'!$B$7:$B$366,C4624)</x:f>
        <x:v>0.47274749721913234</x:v>
      </x:c>
      <x:c r="I4624" s="382" t="n">
        <x:f>SUMIFS('Climate Data'!$H$7:$H$366,'Climate Data'!$A$7:$A$366,'Estimator'!$B$4,'Climate Data'!$B$7:$B$366,C4624)</x:f>
        <x:v>7.9971764705882356</x:v>
      </x:c>
      <x:c r="J4624" s="381" t="n">
        <x:f>SUMIFS('Wind Proxy'!$H$8:$H$19,'Wind Proxy'!$A$8:$A$19,'Estimator'!$B$4,'Wind Proxy'!$B$8:$B$19,C4624)</x:f>
        <x:v>0.13739545997610514</x:v>
      </x:c>
    </x:row>
    <x:row r="4625">
      <x:c r="A4625" s="379" t="n">
        <x:v>50276</x:v>
      </x:c>
      <x:c r="B4625" s="380" t="n">
        <x:v>2037</x:v>
      </x:c>
      <x:c r="C4625" s="380" t="n">
        <x:v>8</x:v>
      </x:c>
      <x:c r="D4625" s="380" t="str">
        <x:v>Aug</x:v>
      </x:c>
      <x:c r="E4625" s="380" t="n">
        <x:v>24</x:v>
      </x:c>
      <x:c r="F4625" s="380" t="n">
        <x:v>1</x:v>
      </x:c>
      <x:c r="G4625" s="380" t="n">
        <x:f>--(F4625&lt;='Estimator'!$B$7)</x:f>
        <x:v>1</x:v>
      </x:c>
      <x:c r="H4625" s="381" t="n">
        <x:f>SUMIFS('Climate Data'!$G$7:$G$366,'Climate Data'!$A$7:$A$366,'Estimator'!$B$4,'Climate Data'!$B$7:$B$366,C4625)</x:f>
        <x:v>0.47274749721913234</x:v>
      </x:c>
      <x:c r="I4625" s="382" t="n">
        <x:f>SUMIFS('Climate Data'!$H$7:$H$366,'Climate Data'!$A$7:$A$366,'Estimator'!$B$4,'Climate Data'!$B$7:$B$366,C4625)</x:f>
        <x:v>7.9971764705882356</x:v>
      </x:c>
      <x:c r="J4625" s="381" t="n">
        <x:f>SUMIFS('Wind Proxy'!$H$8:$H$19,'Wind Proxy'!$A$8:$A$19,'Estimator'!$B$4,'Wind Proxy'!$B$8:$B$19,C4625)</x:f>
        <x:v>0.13739545997610514</x:v>
      </x:c>
    </x:row>
    <x:row r="4626">
      <x:c r="A4626" s="379" t="n">
        <x:v>50277</x:v>
      </x:c>
      <x:c r="B4626" s="380" t="n">
        <x:v>2037</x:v>
      </x:c>
      <x:c r="C4626" s="380" t="n">
        <x:v>8</x:v>
      </x:c>
      <x:c r="D4626" s="380" t="str">
        <x:v>Aug</x:v>
      </x:c>
      <x:c r="E4626" s="380" t="n">
        <x:v>25</x:v>
      </x:c>
      <x:c r="F4626" s="380" t="n">
        <x:v>2</x:v>
      </x:c>
      <x:c r="G4626" s="380" t="n">
        <x:f>--(F4626&lt;='Estimator'!$B$7)</x:f>
        <x:v>1</x:v>
      </x:c>
      <x:c r="H4626" s="381" t="n">
        <x:f>SUMIFS('Climate Data'!$G$7:$G$366,'Climate Data'!$A$7:$A$366,'Estimator'!$B$4,'Climate Data'!$B$7:$B$366,C4626)</x:f>
        <x:v>0.47274749721913234</x:v>
      </x:c>
      <x:c r="I4626" s="382" t="n">
        <x:f>SUMIFS('Climate Data'!$H$7:$H$366,'Climate Data'!$A$7:$A$366,'Estimator'!$B$4,'Climate Data'!$B$7:$B$366,C4626)</x:f>
        <x:v>7.9971764705882356</x:v>
      </x:c>
      <x:c r="J4626" s="381" t="n">
        <x:f>SUMIFS('Wind Proxy'!$H$8:$H$19,'Wind Proxy'!$A$8:$A$19,'Estimator'!$B$4,'Wind Proxy'!$B$8:$B$19,C4626)</x:f>
        <x:v>0.13739545997610514</x:v>
      </x:c>
    </x:row>
    <x:row r="4627">
      <x:c r="A4627" s="379" t="n">
        <x:v>50278</x:v>
      </x:c>
      <x:c r="B4627" s="380" t="n">
        <x:v>2037</x:v>
      </x:c>
      <x:c r="C4627" s="380" t="n">
        <x:v>8</x:v>
      </x:c>
      <x:c r="D4627" s="380" t="str">
        <x:v>Aug</x:v>
      </x:c>
      <x:c r="E4627" s="380" t="n">
        <x:v>26</x:v>
      </x:c>
      <x:c r="F4627" s="380" t="n">
        <x:v>3</x:v>
      </x:c>
      <x:c r="G4627" s="380" t="n">
        <x:f>--(F4627&lt;='Estimator'!$B$7)</x:f>
        <x:v>1</x:v>
      </x:c>
      <x:c r="H4627" s="381" t="n">
        <x:f>SUMIFS('Climate Data'!$G$7:$G$366,'Climate Data'!$A$7:$A$366,'Estimator'!$B$4,'Climate Data'!$B$7:$B$366,C4627)</x:f>
        <x:v>0.47274749721913234</x:v>
      </x:c>
      <x:c r="I4627" s="382" t="n">
        <x:f>SUMIFS('Climate Data'!$H$7:$H$366,'Climate Data'!$A$7:$A$366,'Estimator'!$B$4,'Climate Data'!$B$7:$B$366,C4627)</x:f>
        <x:v>7.9971764705882356</x:v>
      </x:c>
      <x:c r="J4627" s="381" t="n">
        <x:f>SUMIFS('Wind Proxy'!$H$8:$H$19,'Wind Proxy'!$A$8:$A$19,'Estimator'!$B$4,'Wind Proxy'!$B$8:$B$19,C4627)</x:f>
        <x:v>0.13739545997610514</x:v>
      </x:c>
    </x:row>
    <x:row r="4628">
      <x:c r="A4628" s="379" t="n">
        <x:v>50279</x:v>
      </x:c>
      <x:c r="B4628" s="380" t="n">
        <x:v>2037</x:v>
      </x:c>
      <x:c r="C4628" s="380" t="n">
        <x:v>8</x:v>
      </x:c>
      <x:c r="D4628" s="380" t="str">
        <x:v>Aug</x:v>
      </x:c>
      <x:c r="E4628" s="380" t="n">
        <x:v>27</x:v>
      </x:c>
      <x:c r="F4628" s="380" t="n">
        <x:v>4</x:v>
      </x:c>
      <x:c r="G4628" s="380" t="n">
        <x:f>--(F4628&lt;='Estimator'!$B$7)</x:f>
        <x:v>1</x:v>
      </x:c>
      <x:c r="H4628" s="381" t="n">
        <x:f>SUMIFS('Climate Data'!$G$7:$G$366,'Climate Data'!$A$7:$A$366,'Estimator'!$B$4,'Climate Data'!$B$7:$B$366,C4628)</x:f>
        <x:v>0.47274749721913234</x:v>
      </x:c>
      <x:c r="I4628" s="382" t="n">
        <x:f>SUMIFS('Climate Data'!$H$7:$H$366,'Climate Data'!$A$7:$A$366,'Estimator'!$B$4,'Climate Data'!$B$7:$B$366,C4628)</x:f>
        <x:v>7.9971764705882356</x:v>
      </x:c>
      <x:c r="J4628" s="381" t="n">
        <x:f>SUMIFS('Wind Proxy'!$H$8:$H$19,'Wind Proxy'!$A$8:$A$19,'Estimator'!$B$4,'Wind Proxy'!$B$8:$B$19,C4628)</x:f>
        <x:v>0.13739545997610514</x:v>
      </x:c>
    </x:row>
    <x:row r="4629">
      <x:c r="A4629" s="379" t="n">
        <x:v>50280</x:v>
      </x:c>
      <x:c r="B4629" s="380" t="n">
        <x:v>2037</x:v>
      </x:c>
      <x:c r="C4629" s="380" t="n">
        <x:v>8</x:v>
      </x:c>
      <x:c r="D4629" s="380" t="str">
        <x:v>Aug</x:v>
      </x:c>
      <x:c r="E4629" s="380" t="n">
        <x:v>28</x:v>
      </x:c>
      <x:c r="F4629" s="380" t="n">
        <x:v>5</x:v>
      </x:c>
      <x:c r="G4629" s="380" t="n">
        <x:f>--(F4629&lt;='Estimator'!$B$7)</x:f>
        <x:v>1</x:v>
      </x:c>
      <x:c r="H4629" s="381" t="n">
        <x:f>SUMIFS('Climate Data'!$G$7:$G$366,'Climate Data'!$A$7:$A$366,'Estimator'!$B$4,'Climate Data'!$B$7:$B$366,C4629)</x:f>
        <x:v>0.47274749721913234</x:v>
      </x:c>
      <x:c r="I4629" s="382" t="n">
        <x:f>SUMIFS('Climate Data'!$H$7:$H$366,'Climate Data'!$A$7:$A$366,'Estimator'!$B$4,'Climate Data'!$B$7:$B$366,C4629)</x:f>
        <x:v>7.9971764705882356</x:v>
      </x:c>
      <x:c r="J4629" s="381" t="n">
        <x:f>SUMIFS('Wind Proxy'!$H$8:$H$19,'Wind Proxy'!$A$8:$A$19,'Estimator'!$B$4,'Wind Proxy'!$B$8:$B$19,C4629)</x:f>
        <x:v>0.13739545997610514</x:v>
      </x:c>
    </x:row>
    <x:row r="4630">
      <x:c r="A4630" s="379" t="n">
        <x:v>50281</x:v>
      </x:c>
      <x:c r="B4630" s="380" t="n">
        <x:v>2037</x:v>
      </x:c>
      <x:c r="C4630" s="380" t="n">
        <x:v>8</x:v>
      </x:c>
      <x:c r="D4630" s="380" t="str">
        <x:v>Aug</x:v>
      </x:c>
      <x:c r="E4630" s="380" t="n">
        <x:v>29</x:v>
      </x:c>
      <x:c r="F4630" s="380" t="n">
        <x:v>6</x:v>
      </x:c>
      <x:c r="G4630" s="380" t="n">
        <x:f>--(F4630&lt;='Estimator'!$B$7)</x:f>
        <x:v>0</x:v>
      </x:c>
      <x:c r="H4630" s="381" t="n">
        <x:f>SUMIFS('Climate Data'!$G$7:$G$366,'Climate Data'!$A$7:$A$366,'Estimator'!$B$4,'Climate Data'!$B$7:$B$366,C4630)</x:f>
        <x:v>0.47274749721913234</x:v>
      </x:c>
      <x:c r="I4630" s="382" t="n">
        <x:f>SUMIFS('Climate Data'!$H$7:$H$366,'Climate Data'!$A$7:$A$366,'Estimator'!$B$4,'Climate Data'!$B$7:$B$366,C4630)</x:f>
        <x:v>7.9971764705882356</x:v>
      </x:c>
      <x:c r="J4630" s="381" t="n">
        <x:f>SUMIFS('Wind Proxy'!$H$8:$H$19,'Wind Proxy'!$A$8:$A$19,'Estimator'!$B$4,'Wind Proxy'!$B$8:$B$19,C4630)</x:f>
        <x:v>0.13739545997610514</x:v>
      </x:c>
    </x:row>
    <x:row r="4631">
      <x:c r="A4631" s="379" t="n">
        <x:v>50282</x:v>
      </x:c>
      <x:c r="B4631" s="380" t="n">
        <x:v>2037</x:v>
      </x:c>
      <x:c r="C4631" s="380" t="n">
        <x:v>8</x:v>
      </x:c>
      <x:c r="D4631" s="380" t="str">
        <x:v>Aug</x:v>
      </x:c>
      <x:c r="E4631" s="380" t="n">
        <x:v>30</x:v>
      </x:c>
      <x:c r="F4631" s="380" t="n">
        <x:v>7</x:v>
      </x:c>
      <x:c r="G4631" s="380" t="n">
        <x:f>--(F4631&lt;='Estimator'!$B$7)</x:f>
        <x:v>0</x:v>
      </x:c>
      <x:c r="H4631" s="381" t="n">
        <x:f>SUMIFS('Climate Data'!$G$7:$G$366,'Climate Data'!$A$7:$A$366,'Estimator'!$B$4,'Climate Data'!$B$7:$B$366,C4631)</x:f>
        <x:v>0.47274749721913234</x:v>
      </x:c>
      <x:c r="I4631" s="382" t="n">
        <x:f>SUMIFS('Climate Data'!$H$7:$H$366,'Climate Data'!$A$7:$A$366,'Estimator'!$B$4,'Climate Data'!$B$7:$B$366,C4631)</x:f>
        <x:v>7.9971764705882356</x:v>
      </x:c>
      <x:c r="J4631" s="381" t="n">
        <x:f>SUMIFS('Wind Proxy'!$H$8:$H$19,'Wind Proxy'!$A$8:$A$19,'Estimator'!$B$4,'Wind Proxy'!$B$8:$B$19,C4631)</x:f>
        <x:v>0.13739545997610514</x:v>
      </x:c>
    </x:row>
    <x:row r="4632">
      <x:c r="A4632" s="379" t="n">
        <x:v>50283</x:v>
      </x:c>
      <x:c r="B4632" s="380" t="n">
        <x:v>2037</x:v>
      </x:c>
      <x:c r="C4632" s="380" t="n">
        <x:v>8</x:v>
      </x:c>
      <x:c r="D4632" s="380" t="str">
        <x:v>Aug</x:v>
      </x:c>
      <x:c r="E4632" s="380" t="n">
        <x:v>31</x:v>
      </x:c>
      <x:c r="F4632" s="380" t="n">
        <x:v>1</x:v>
      </x:c>
      <x:c r="G4632" s="380" t="n">
        <x:f>--(F4632&lt;='Estimator'!$B$7)</x:f>
        <x:v>1</x:v>
      </x:c>
      <x:c r="H4632" s="381" t="n">
        <x:f>SUMIFS('Climate Data'!$G$7:$G$366,'Climate Data'!$A$7:$A$366,'Estimator'!$B$4,'Climate Data'!$B$7:$B$366,C4632)</x:f>
        <x:v>0.47274749721913234</x:v>
      </x:c>
      <x:c r="I4632" s="382" t="n">
        <x:f>SUMIFS('Climate Data'!$H$7:$H$366,'Climate Data'!$A$7:$A$366,'Estimator'!$B$4,'Climate Data'!$B$7:$B$366,C4632)</x:f>
        <x:v>7.9971764705882356</x:v>
      </x:c>
      <x:c r="J4632" s="381" t="n">
        <x:f>SUMIFS('Wind Proxy'!$H$8:$H$19,'Wind Proxy'!$A$8:$A$19,'Estimator'!$B$4,'Wind Proxy'!$B$8:$B$19,C4632)</x:f>
        <x:v>0.13739545997610514</x:v>
      </x:c>
    </x:row>
    <x:row r="4633">
      <x:c r="A4633" s="379" t="n">
        <x:v>50284</x:v>
      </x:c>
      <x:c r="B4633" s="380" t="n">
        <x:v>2037</x:v>
      </x:c>
      <x:c r="C4633" s="380" t="n">
        <x:v>9</x:v>
      </x:c>
      <x:c r="D4633" s="380" t="str">
        <x:v>Sep</x:v>
      </x:c>
      <x:c r="E4633" s="380" t="n">
        <x:v>1</x:v>
      </x:c>
      <x:c r="F4633" s="380" t="n">
        <x:v>2</x:v>
      </x:c>
      <x:c r="G4633" s="380" t="n">
        <x:f>--(F4633&lt;='Estimator'!$B$7)</x:f>
        <x:v>1</x:v>
      </x:c>
      <x:c r="H4633" s="381" t="n">
        <x:f>SUMIFS('Climate Data'!$G$7:$G$366,'Climate Data'!$A$7:$A$366,'Estimator'!$B$4,'Climate Data'!$B$7:$B$366,C4633)</x:f>
        <x:v>0.4160919540229885</x:v>
      </x:c>
      <x:c r="I4633" s="382" t="n">
        <x:f>SUMIFS('Climate Data'!$H$7:$H$366,'Climate Data'!$A$7:$A$366,'Estimator'!$B$4,'Climate Data'!$B$7:$B$366,C4633)</x:f>
        <x:v>8.019060773480662</x:v>
      </x:c>
      <x:c r="J4633" s="381" t="n">
        <x:f>SUMIFS('Wind Proxy'!$H$8:$H$19,'Wind Proxy'!$A$8:$A$19,'Estimator'!$B$4,'Wind Proxy'!$B$8:$B$19,C4633)</x:f>
        <x:v>0.22222222222222224</x:v>
      </x:c>
    </x:row>
    <x:row r="4634">
      <x:c r="A4634" s="379" t="n">
        <x:v>50285</x:v>
      </x:c>
      <x:c r="B4634" s="380" t="n">
        <x:v>2037</x:v>
      </x:c>
      <x:c r="C4634" s="380" t="n">
        <x:v>9</x:v>
      </x:c>
      <x:c r="D4634" s="380" t="str">
        <x:v>Sep</x:v>
      </x:c>
      <x:c r="E4634" s="380" t="n">
        <x:v>2</x:v>
      </x:c>
      <x:c r="F4634" s="380" t="n">
        <x:v>3</x:v>
      </x:c>
      <x:c r="G4634" s="380" t="n">
        <x:f>--(F4634&lt;='Estimator'!$B$7)</x:f>
        <x:v>1</x:v>
      </x:c>
      <x:c r="H4634" s="381" t="n">
        <x:f>SUMIFS('Climate Data'!$G$7:$G$366,'Climate Data'!$A$7:$A$366,'Estimator'!$B$4,'Climate Data'!$B$7:$B$366,C4634)</x:f>
        <x:v>0.4160919540229885</x:v>
      </x:c>
      <x:c r="I4634" s="382" t="n">
        <x:f>SUMIFS('Climate Data'!$H$7:$H$366,'Climate Data'!$A$7:$A$366,'Estimator'!$B$4,'Climate Data'!$B$7:$B$366,C4634)</x:f>
        <x:v>8.019060773480662</x:v>
      </x:c>
      <x:c r="J4634" s="381" t="n">
        <x:f>SUMIFS('Wind Proxy'!$H$8:$H$19,'Wind Proxy'!$A$8:$A$19,'Estimator'!$B$4,'Wind Proxy'!$B$8:$B$19,C4634)</x:f>
        <x:v>0.22222222222222224</x:v>
      </x:c>
    </x:row>
    <x:row r="4635">
      <x:c r="A4635" s="379" t="n">
        <x:v>50286</x:v>
      </x:c>
      <x:c r="B4635" s="380" t="n">
        <x:v>2037</x:v>
      </x:c>
      <x:c r="C4635" s="380" t="n">
        <x:v>9</x:v>
      </x:c>
      <x:c r="D4635" s="380" t="str">
        <x:v>Sep</x:v>
      </x:c>
      <x:c r="E4635" s="380" t="n">
        <x:v>3</x:v>
      </x:c>
      <x:c r="F4635" s="380" t="n">
        <x:v>4</x:v>
      </x:c>
      <x:c r="G4635" s="380" t="n">
        <x:f>--(F4635&lt;='Estimator'!$B$7)</x:f>
        <x:v>1</x:v>
      </x:c>
      <x:c r="H4635" s="381" t="n">
        <x:f>SUMIFS('Climate Data'!$G$7:$G$366,'Climate Data'!$A$7:$A$366,'Estimator'!$B$4,'Climate Data'!$B$7:$B$366,C4635)</x:f>
        <x:v>0.4160919540229885</x:v>
      </x:c>
      <x:c r="I4635" s="382" t="n">
        <x:f>SUMIFS('Climate Data'!$H$7:$H$366,'Climate Data'!$A$7:$A$366,'Estimator'!$B$4,'Climate Data'!$B$7:$B$366,C4635)</x:f>
        <x:v>8.019060773480662</x:v>
      </x:c>
      <x:c r="J4635" s="381" t="n">
        <x:f>SUMIFS('Wind Proxy'!$H$8:$H$19,'Wind Proxy'!$A$8:$A$19,'Estimator'!$B$4,'Wind Proxy'!$B$8:$B$19,C4635)</x:f>
        <x:v>0.22222222222222224</x:v>
      </x:c>
    </x:row>
    <x:row r="4636">
      <x:c r="A4636" s="379" t="n">
        <x:v>50287</x:v>
      </x:c>
      <x:c r="B4636" s="380" t="n">
        <x:v>2037</x:v>
      </x:c>
      <x:c r="C4636" s="380" t="n">
        <x:v>9</x:v>
      </x:c>
      <x:c r="D4636" s="380" t="str">
        <x:v>Sep</x:v>
      </x:c>
      <x:c r="E4636" s="380" t="n">
        <x:v>4</x:v>
      </x:c>
      <x:c r="F4636" s="380" t="n">
        <x:v>5</x:v>
      </x:c>
      <x:c r="G4636" s="380" t="n">
        <x:f>--(F4636&lt;='Estimator'!$B$7)</x:f>
        <x:v>1</x:v>
      </x:c>
      <x:c r="H4636" s="381" t="n">
        <x:f>SUMIFS('Climate Data'!$G$7:$G$366,'Climate Data'!$A$7:$A$366,'Estimator'!$B$4,'Climate Data'!$B$7:$B$366,C4636)</x:f>
        <x:v>0.4160919540229885</x:v>
      </x:c>
      <x:c r="I4636" s="382" t="n">
        <x:f>SUMIFS('Climate Data'!$H$7:$H$366,'Climate Data'!$A$7:$A$366,'Estimator'!$B$4,'Climate Data'!$B$7:$B$366,C4636)</x:f>
        <x:v>8.019060773480662</x:v>
      </x:c>
      <x:c r="J4636" s="381" t="n">
        <x:f>SUMIFS('Wind Proxy'!$H$8:$H$19,'Wind Proxy'!$A$8:$A$19,'Estimator'!$B$4,'Wind Proxy'!$B$8:$B$19,C4636)</x:f>
        <x:v>0.22222222222222224</x:v>
      </x:c>
    </x:row>
    <x:row r="4637">
      <x:c r="A4637" s="379" t="n">
        <x:v>50288</x:v>
      </x:c>
      <x:c r="B4637" s="380" t="n">
        <x:v>2037</x:v>
      </x:c>
      <x:c r="C4637" s="380" t="n">
        <x:v>9</x:v>
      </x:c>
      <x:c r="D4637" s="380" t="str">
        <x:v>Sep</x:v>
      </x:c>
      <x:c r="E4637" s="380" t="n">
        <x:v>5</x:v>
      </x:c>
      <x:c r="F4637" s="380" t="n">
        <x:v>6</x:v>
      </x:c>
      <x:c r="G4637" s="380" t="n">
        <x:f>--(F4637&lt;='Estimator'!$B$7)</x:f>
        <x:v>0</x:v>
      </x:c>
      <x:c r="H4637" s="381" t="n">
        <x:f>SUMIFS('Climate Data'!$G$7:$G$366,'Climate Data'!$A$7:$A$366,'Estimator'!$B$4,'Climate Data'!$B$7:$B$366,C4637)</x:f>
        <x:v>0.4160919540229885</x:v>
      </x:c>
      <x:c r="I4637" s="382" t="n">
        <x:f>SUMIFS('Climate Data'!$H$7:$H$366,'Climate Data'!$A$7:$A$366,'Estimator'!$B$4,'Climate Data'!$B$7:$B$366,C4637)</x:f>
        <x:v>8.019060773480662</x:v>
      </x:c>
      <x:c r="J4637" s="381" t="n">
        <x:f>SUMIFS('Wind Proxy'!$H$8:$H$19,'Wind Proxy'!$A$8:$A$19,'Estimator'!$B$4,'Wind Proxy'!$B$8:$B$19,C4637)</x:f>
        <x:v>0.22222222222222224</x:v>
      </x:c>
    </x:row>
    <x:row r="4638">
      <x:c r="A4638" s="379" t="n">
        <x:v>50289</x:v>
      </x:c>
      <x:c r="B4638" s="380" t="n">
        <x:v>2037</x:v>
      </x:c>
      <x:c r="C4638" s="380" t="n">
        <x:v>9</x:v>
      </x:c>
      <x:c r="D4638" s="380" t="str">
        <x:v>Sep</x:v>
      </x:c>
      <x:c r="E4638" s="380" t="n">
        <x:v>6</x:v>
      </x:c>
      <x:c r="F4638" s="380" t="n">
        <x:v>7</x:v>
      </x:c>
      <x:c r="G4638" s="380" t="n">
        <x:f>--(F4638&lt;='Estimator'!$B$7)</x:f>
        <x:v>0</x:v>
      </x:c>
      <x:c r="H4638" s="381" t="n">
        <x:f>SUMIFS('Climate Data'!$G$7:$G$366,'Climate Data'!$A$7:$A$366,'Estimator'!$B$4,'Climate Data'!$B$7:$B$366,C4638)</x:f>
        <x:v>0.4160919540229885</x:v>
      </x:c>
      <x:c r="I4638" s="382" t="n">
        <x:f>SUMIFS('Climate Data'!$H$7:$H$366,'Climate Data'!$A$7:$A$366,'Estimator'!$B$4,'Climate Data'!$B$7:$B$366,C4638)</x:f>
        <x:v>8.019060773480662</x:v>
      </x:c>
      <x:c r="J4638" s="381" t="n">
        <x:f>SUMIFS('Wind Proxy'!$H$8:$H$19,'Wind Proxy'!$A$8:$A$19,'Estimator'!$B$4,'Wind Proxy'!$B$8:$B$19,C4638)</x:f>
        <x:v>0.22222222222222224</x:v>
      </x:c>
    </x:row>
    <x:row r="4639">
      <x:c r="A4639" s="379" t="n">
        <x:v>50290</x:v>
      </x:c>
      <x:c r="B4639" s="380" t="n">
        <x:v>2037</x:v>
      </x:c>
      <x:c r="C4639" s="380" t="n">
        <x:v>9</x:v>
      </x:c>
      <x:c r="D4639" s="380" t="str">
        <x:v>Sep</x:v>
      </x:c>
      <x:c r="E4639" s="380" t="n">
        <x:v>7</x:v>
      </x:c>
      <x:c r="F4639" s="380" t="n">
        <x:v>1</x:v>
      </x:c>
      <x:c r="G4639" s="380" t="n">
        <x:f>--(F4639&lt;='Estimator'!$B$7)</x:f>
        <x:v>1</x:v>
      </x:c>
      <x:c r="H4639" s="381" t="n">
        <x:f>SUMIFS('Climate Data'!$G$7:$G$366,'Climate Data'!$A$7:$A$366,'Estimator'!$B$4,'Climate Data'!$B$7:$B$366,C4639)</x:f>
        <x:v>0.4160919540229885</x:v>
      </x:c>
      <x:c r="I4639" s="382" t="n">
        <x:f>SUMIFS('Climate Data'!$H$7:$H$366,'Climate Data'!$A$7:$A$366,'Estimator'!$B$4,'Climate Data'!$B$7:$B$366,C4639)</x:f>
        <x:v>8.019060773480662</x:v>
      </x:c>
      <x:c r="J4639" s="381" t="n">
        <x:f>SUMIFS('Wind Proxy'!$H$8:$H$19,'Wind Proxy'!$A$8:$A$19,'Estimator'!$B$4,'Wind Proxy'!$B$8:$B$19,C4639)</x:f>
        <x:v>0.22222222222222224</x:v>
      </x:c>
    </x:row>
    <x:row r="4640">
      <x:c r="A4640" s="379" t="n">
        <x:v>50291</x:v>
      </x:c>
      <x:c r="B4640" s="380" t="n">
        <x:v>2037</x:v>
      </x:c>
      <x:c r="C4640" s="380" t="n">
        <x:v>9</x:v>
      </x:c>
      <x:c r="D4640" s="380" t="str">
        <x:v>Sep</x:v>
      </x:c>
      <x:c r="E4640" s="380" t="n">
        <x:v>8</x:v>
      </x:c>
      <x:c r="F4640" s="380" t="n">
        <x:v>2</x:v>
      </x:c>
      <x:c r="G4640" s="380" t="n">
        <x:f>--(F4640&lt;='Estimator'!$B$7)</x:f>
        <x:v>1</x:v>
      </x:c>
      <x:c r="H4640" s="381" t="n">
        <x:f>SUMIFS('Climate Data'!$G$7:$G$366,'Climate Data'!$A$7:$A$366,'Estimator'!$B$4,'Climate Data'!$B$7:$B$366,C4640)</x:f>
        <x:v>0.4160919540229885</x:v>
      </x:c>
      <x:c r="I4640" s="382" t="n">
        <x:f>SUMIFS('Climate Data'!$H$7:$H$366,'Climate Data'!$A$7:$A$366,'Estimator'!$B$4,'Climate Data'!$B$7:$B$366,C4640)</x:f>
        <x:v>8.019060773480662</x:v>
      </x:c>
      <x:c r="J4640" s="381" t="n">
        <x:f>SUMIFS('Wind Proxy'!$H$8:$H$19,'Wind Proxy'!$A$8:$A$19,'Estimator'!$B$4,'Wind Proxy'!$B$8:$B$19,C4640)</x:f>
        <x:v>0.22222222222222224</x:v>
      </x:c>
    </x:row>
    <x:row r="4641">
      <x:c r="A4641" s="379" t="n">
        <x:v>50292</x:v>
      </x:c>
      <x:c r="B4641" s="380" t="n">
        <x:v>2037</x:v>
      </x:c>
      <x:c r="C4641" s="380" t="n">
        <x:v>9</x:v>
      </x:c>
      <x:c r="D4641" s="380" t="str">
        <x:v>Sep</x:v>
      </x:c>
      <x:c r="E4641" s="380" t="n">
        <x:v>9</x:v>
      </x:c>
      <x:c r="F4641" s="380" t="n">
        <x:v>3</x:v>
      </x:c>
      <x:c r="G4641" s="380" t="n">
        <x:f>--(F4641&lt;='Estimator'!$B$7)</x:f>
        <x:v>1</x:v>
      </x:c>
      <x:c r="H4641" s="381" t="n">
        <x:f>SUMIFS('Climate Data'!$G$7:$G$366,'Climate Data'!$A$7:$A$366,'Estimator'!$B$4,'Climate Data'!$B$7:$B$366,C4641)</x:f>
        <x:v>0.4160919540229885</x:v>
      </x:c>
      <x:c r="I4641" s="382" t="n">
        <x:f>SUMIFS('Climate Data'!$H$7:$H$366,'Climate Data'!$A$7:$A$366,'Estimator'!$B$4,'Climate Data'!$B$7:$B$366,C4641)</x:f>
        <x:v>8.019060773480662</x:v>
      </x:c>
      <x:c r="J4641" s="381" t="n">
        <x:f>SUMIFS('Wind Proxy'!$H$8:$H$19,'Wind Proxy'!$A$8:$A$19,'Estimator'!$B$4,'Wind Proxy'!$B$8:$B$19,C4641)</x:f>
        <x:v>0.22222222222222224</x:v>
      </x:c>
    </x:row>
    <x:row r="4642">
      <x:c r="A4642" s="379" t="n">
        <x:v>50293</x:v>
      </x:c>
      <x:c r="B4642" s="380" t="n">
        <x:v>2037</x:v>
      </x:c>
      <x:c r="C4642" s="380" t="n">
        <x:v>9</x:v>
      </x:c>
      <x:c r="D4642" s="380" t="str">
        <x:v>Sep</x:v>
      </x:c>
      <x:c r="E4642" s="380" t="n">
        <x:v>10</x:v>
      </x:c>
      <x:c r="F4642" s="380" t="n">
        <x:v>4</x:v>
      </x:c>
      <x:c r="G4642" s="380" t="n">
        <x:f>--(F4642&lt;='Estimator'!$B$7)</x:f>
        <x:v>1</x:v>
      </x:c>
      <x:c r="H4642" s="381" t="n">
        <x:f>SUMIFS('Climate Data'!$G$7:$G$366,'Climate Data'!$A$7:$A$366,'Estimator'!$B$4,'Climate Data'!$B$7:$B$366,C4642)</x:f>
        <x:v>0.4160919540229885</x:v>
      </x:c>
      <x:c r="I4642" s="382" t="n">
        <x:f>SUMIFS('Climate Data'!$H$7:$H$366,'Climate Data'!$A$7:$A$366,'Estimator'!$B$4,'Climate Data'!$B$7:$B$366,C4642)</x:f>
        <x:v>8.019060773480662</x:v>
      </x:c>
      <x:c r="J4642" s="381" t="n">
        <x:f>SUMIFS('Wind Proxy'!$H$8:$H$19,'Wind Proxy'!$A$8:$A$19,'Estimator'!$B$4,'Wind Proxy'!$B$8:$B$19,C4642)</x:f>
        <x:v>0.22222222222222224</x:v>
      </x:c>
    </x:row>
    <x:row r="4643">
      <x:c r="A4643" s="379" t="n">
        <x:v>50294</x:v>
      </x:c>
      <x:c r="B4643" s="380" t="n">
        <x:v>2037</x:v>
      </x:c>
      <x:c r="C4643" s="380" t="n">
        <x:v>9</x:v>
      </x:c>
      <x:c r="D4643" s="380" t="str">
        <x:v>Sep</x:v>
      </x:c>
      <x:c r="E4643" s="380" t="n">
        <x:v>11</x:v>
      </x:c>
      <x:c r="F4643" s="380" t="n">
        <x:v>5</x:v>
      </x:c>
      <x:c r="G4643" s="380" t="n">
        <x:f>--(F4643&lt;='Estimator'!$B$7)</x:f>
        <x:v>1</x:v>
      </x:c>
      <x:c r="H4643" s="381" t="n">
        <x:f>SUMIFS('Climate Data'!$G$7:$G$366,'Climate Data'!$A$7:$A$366,'Estimator'!$B$4,'Climate Data'!$B$7:$B$366,C4643)</x:f>
        <x:v>0.4160919540229885</x:v>
      </x:c>
      <x:c r="I4643" s="382" t="n">
        <x:f>SUMIFS('Climate Data'!$H$7:$H$366,'Climate Data'!$A$7:$A$366,'Estimator'!$B$4,'Climate Data'!$B$7:$B$366,C4643)</x:f>
        <x:v>8.019060773480662</x:v>
      </x:c>
      <x:c r="J4643" s="381" t="n">
        <x:f>SUMIFS('Wind Proxy'!$H$8:$H$19,'Wind Proxy'!$A$8:$A$19,'Estimator'!$B$4,'Wind Proxy'!$B$8:$B$19,C4643)</x:f>
        <x:v>0.22222222222222224</x:v>
      </x:c>
    </x:row>
    <x:row r="4644">
      <x:c r="A4644" s="379" t="n">
        <x:v>50295</x:v>
      </x:c>
      <x:c r="B4644" s="380" t="n">
        <x:v>2037</x:v>
      </x:c>
      <x:c r="C4644" s="380" t="n">
        <x:v>9</x:v>
      </x:c>
      <x:c r="D4644" s="380" t="str">
        <x:v>Sep</x:v>
      </x:c>
      <x:c r="E4644" s="380" t="n">
        <x:v>12</x:v>
      </x:c>
      <x:c r="F4644" s="380" t="n">
        <x:v>6</x:v>
      </x:c>
      <x:c r="G4644" s="380" t="n">
        <x:f>--(F4644&lt;='Estimator'!$B$7)</x:f>
        <x:v>0</x:v>
      </x:c>
      <x:c r="H4644" s="381" t="n">
        <x:f>SUMIFS('Climate Data'!$G$7:$G$366,'Climate Data'!$A$7:$A$366,'Estimator'!$B$4,'Climate Data'!$B$7:$B$366,C4644)</x:f>
        <x:v>0.4160919540229885</x:v>
      </x:c>
      <x:c r="I4644" s="382" t="n">
        <x:f>SUMIFS('Climate Data'!$H$7:$H$366,'Climate Data'!$A$7:$A$366,'Estimator'!$B$4,'Climate Data'!$B$7:$B$366,C4644)</x:f>
        <x:v>8.019060773480662</x:v>
      </x:c>
      <x:c r="J4644" s="381" t="n">
        <x:f>SUMIFS('Wind Proxy'!$H$8:$H$19,'Wind Proxy'!$A$8:$A$19,'Estimator'!$B$4,'Wind Proxy'!$B$8:$B$19,C4644)</x:f>
        <x:v>0.22222222222222224</x:v>
      </x:c>
    </x:row>
    <x:row r="4645">
      <x:c r="A4645" s="379" t="n">
        <x:v>50296</x:v>
      </x:c>
      <x:c r="B4645" s="380" t="n">
        <x:v>2037</x:v>
      </x:c>
      <x:c r="C4645" s="380" t="n">
        <x:v>9</x:v>
      </x:c>
      <x:c r="D4645" s="380" t="str">
        <x:v>Sep</x:v>
      </x:c>
      <x:c r="E4645" s="380" t="n">
        <x:v>13</x:v>
      </x:c>
      <x:c r="F4645" s="380" t="n">
        <x:v>7</x:v>
      </x:c>
      <x:c r="G4645" s="380" t="n">
        <x:f>--(F4645&lt;='Estimator'!$B$7)</x:f>
        <x:v>0</x:v>
      </x:c>
      <x:c r="H4645" s="381" t="n">
        <x:f>SUMIFS('Climate Data'!$G$7:$G$366,'Climate Data'!$A$7:$A$366,'Estimator'!$B$4,'Climate Data'!$B$7:$B$366,C4645)</x:f>
        <x:v>0.4160919540229885</x:v>
      </x:c>
      <x:c r="I4645" s="382" t="n">
        <x:f>SUMIFS('Climate Data'!$H$7:$H$366,'Climate Data'!$A$7:$A$366,'Estimator'!$B$4,'Climate Data'!$B$7:$B$366,C4645)</x:f>
        <x:v>8.019060773480662</x:v>
      </x:c>
      <x:c r="J4645" s="381" t="n">
        <x:f>SUMIFS('Wind Proxy'!$H$8:$H$19,'Wind Proxy'!$A$8:$A$19,'Estimator'!$B$4,'Wind Proxy'!$B$8:$B$19,C4645)</x:f>
        <x:v>0.22222222222222224</x:v>
      </x:c>
    </x:row>
    <x:row r="4646">
      <x:c r="A4646" s="379" t="n">
        <x:v>50297</x:v>
      </x:c>
      <x:c r="B4646" s="380" t="n">
        <x:v>2037</x:v>
      </x:c>
      <x:c r="C4646" s="380" t="n">
        <x:v>9</x:v>
      </x:c>
      <x:c r="D4646" s="380" t="str">
        <x:v>Sep</x:v>
      </x:c>
      <x:c r="E4646" s="380" t="n">
        <x:v>14</x:v>
      </x:c>
      <x:c r="F4646" s="380" t="n">
        <x:v>1</x:v>
      </x:c>
      <x:c r="G4646" s="380" t="n">
        <x:f>--(F4646&lt;='Estimator'!$B$7)</x:f>
        <x:v>1</x:v>
      </x:c>
      <x:c r="H4646" s="381" t="n">
        <x:f>SUMIFS('Climate Data'!$G$7:$G$366,'Climate Data'!$A$7:$A$366,'Estimator'!$B$4,'Climate Data'!$B$7:$B$366,C4646)</x:f>
        <x:v>0.4160919540229885</x:v>
      </x:c>
      <x:c r="I4646" s="382" t="n">
        <x:f>SUMIFS('Climate Data'!$H$7:$H$366,'Climate Data'!$A$7:$A$366,'Estimator'!$B$4,'Climate Data'!$B$7:$B$366,C4646)</x:f>
        <x:v>8.019060773480662</x:v>
      </x:c>
      <x:c r="J4646" s="381" t="n">
        <x:f>SUMIFS('Wind Proxy'!$H$8:$H$19,'Wind Proxy'!$A$8:$A$19,'Estimator'!$B$4,'Wind Proxy'!$B$8:$B$19,C4646)</x:f>
        <x:v>0.22222222222222224</x:v>
      </x:c>
    </x:row>
    <x:row r="4647">
      <x:c r="A4647" s="379" t="n">
        <x:v>50298</x:v>
      </x:c>
      <x:c r="B4647" s="380" t="n">
        <x:v>2037</x:v>
      </x:c>
      <x:c r="C4647" s="380" t="n">
        <x:v>9</x:v>
      </x:c>
      <x:c r="D4647" s="380" t="str">
        <x:v>Sep</x:v>
      </x:c>
      <x:c r="E4647" s="380" t="n">
        <x:v>15</x:v>
      </x:c>
      <x:c r="F4647" s="380" t="n">
        <x:v>2</x:v>
      </x:c>
      <x:c r="G4647" s="380" t="n">
        <x:f>--(F4647&lt;='Estimator'!$B$7)</x:f>
        <x:v>1</x:v>
      </x:c>
      <x:c r="H4647" s="381" t="n">
        <x:f>SUMIFS('Climate Data'!$G$7:$G$366,'Climate Data'!$A$7:$A$366,'Estimator'!$B$4,'Climate Data'!$B$7:$B$366,C4647)</x:f>
        <x:v>0.4160919540229885</x:v>
      </x:c>
      <x:c r="I4647" s="382" t="n">
        <x:f>SUMIFS('Climate Data'!$H$7:$H$366,'Climate Data'!$A$7:$A$366,'Estimator'!$B$4,'Climate Data'!$B$7:$B$366,C4647)</x:f>
        <x:v>8.019060773480662</x:v>
      </x:c>
      <x:c r="J4647" s="381" t="n">
        <x:f>SUMIFS('Wind Proxy'!$H$8:$H$19,'Wind Proxy'!$A$8:$A$19,'Estimator'!$B$4,'Wind Proxy'!$B$8:$B$19,C4647)</x:f>
        <x:v>0.22222222222222224</x:v>
      </x:c>
    </x:row>
    <x:row r="4648">
      <x:c r="A4648" s="379" t="n">
        <x:v>50299</x:v>
      </x:c>
      <x:c r="B4648" s="380" t="n">
        <x:v>2037</x:v>
      </x:c>
      <x:c r="C4648" s="380" t="n">
        <x:v>9</x:v>
      </x:c>
      <x:c r="D4648" s="380" t="str">
        <x:v>Sep</x:v>
      </x:c>
      <x:c r="E4648" s="380" t="n">
        <x:v>16</x:v>
      </x:c>
      <x:c r="F4648" s="380" t="n">
        <x:v>3</x:v>
      </x:c>
      <x:c r="G4648" s="380" t="n">
        <x:f>--(F4648&lt;='Estimator'!$B$7)</x:f>
        <x:v>1</x:v>
      </x:c>
      <x:c r="H4648" s="381" t="n">
        <x:f>SUMIFS('Climate Data'!$G$7:$G$366,'Climate Data'!$A$7:$A$366,'Estimator'!$B$4,'Climate Data'!$B$7:$B$366,C4648)</x:f>
        <x:v>0.4160919540229885</x:v>
      </x:c>
      <x:c r="I4648" s="382" t="n">
        <x:f>SUMIFS('Climate Data'!$H$7:$H$366,'Climate Data'!$A$7:$A$366,'Estimator'!$B$4,'Climate Data'!$B$7:$B$366,C4648)</x:f>
        <x:v>8.019060773480662</x:v>
      </x:c>
      <x:c r="J4648" s="381" t="n">
        <x:f>SUMIFS('Wind Proxy'!$H$8:$H$19,'Wind Proxy'!$A$8:$A$19,'Estimator'!$B$4,'Wind Proxy'!$B$8:$B$19,C4648)</x:f>
        <x:v>0.22222222222222224</x:v>
      </x:c>
    </x:row>
    <x:row r="4649">
      <x:c r="A4649" s="379" t="n">
        <x:v>50300</x:v>
      </x:c>
      <x:c r="B4649" s="380" t="n">
        <x:v>2037</x:v>
      </x:c>
      <x:c r="C4649" s="380" t="n">
        <x:v>9</x:v>
      </x:c>
      <x:c r="D4649" s="380" t="str">
        <x:v>Sep</x:v>
      </x:c>
      <x:c r="E4649" s="380" t="n">
        <x:v>17</x:v>
      </x:c>
      <x:c r="F4649" s="380" t="n">
        <x:v>4</x:v>
      </x:c>
      <x:c r="G4649" s="380" t="n">
        <x:f>--(F4649&lt;='Estimator'!$B$7)</x:f>
        <x:v>1</x:v>
      </x:c>
      <x:c r="H4649" s="381" t="n">
        <x:f>SUMIFS('Climate Data'!$G$7:$G$366,'Climate Data'!$A$7:$A$366,'Estimator'!$B$4,'Climate Data'!$B$7:$B$366,C4649)</x:f>
        <x:v>0.4160919540229885</x:v>
      </x:c>
      <x:c r="I4649" s="382" t="n">
        <x:f>SUMIFS('Climate Data'!$H$7:$H$366,'Climate Data'!$A$7:$A$366,'Estimator'!$B$4,'Climate Data'!$B$7:$B$366,C4649)</x:f>
        <x:v>8.019060773480662</x:v>
      </x:c>
      <x:c r="J4649" s="381" t="n">
        <x:f>SUMIFS('Wind Proxy'!$H$8:$H$19,'Wind Proxy'!$A$8:$A$19,'Estimator'!$B$4,'Wind Proxy'!$B$8:$B$19,C4649)</x:f>
        <x:v>0.22222222222222224</x:v>
      </x:c>
    </x:row>
    <x:row r="4650">
      <x:c r="A4650" s="379" t="n">
        <x:v>50301</x:v>
      </x:c>
      <x:c r="B4650" s="380" t="n">
        <x:v>2037</x:v>
      </x:c>
      <x:c r="C4650" s="380" t="n">
        <x:v>9</x:v>
      </x:c>
      <x:c r="D4650" s="380" t="str">
        <x:v>Sep</x:v>
      </x:c>
      <x:c r="E4650" s="380" t="n">
        <x:v>18</x:v>
      </x:c>
      <x:c r="F4650" s="380" t="n">
        <x:v>5</x:v>
      </x:c>
      <x:c r="G4650" s="380" t="n">
        <x:f>--(F4650&lt;='Estimator'!$B$7)</x:f>
        <x:v>1</x:v>
      </x:c>
      <x:c r="H4650" s="381" t="n">
        <x:f>SUMIFS('Climate Data'!$G$7:$G$366,'Climate Data'!$A$7:$A$366,'Estimator'!$B$4,'Climate Data'!$B$7:$B$366,C4650)</x:f>
        <x:v>0.4160919540229885</x:v>
      </x:c>
      <x:c r="I4650" s="382" t="n">
        <x:f>SUMIFS('Climate Data'!$H$7:$H$366,'Climate Data'!$A$7:$A$366,'Estimator'!$B$4,'Climate Data'!$B$7:$B$366,C4650)</x:f>
        <x:v>8.019060773480662</x:v>
      </x:c>
      <x:c r="J4650" s="381" t="n">
        <x:f>SUMIFS('Wind Proxy'!$H$8:$H$19,'Wind Proxy'!$A$8:$A$19,'Estimator'!$B$4,'Wind Proxy'!$B$8:$B$19,C4650)</x:f>
        <x:v>0.22222222222222224</x:v>
      </x:c>
    </x:row>
    <x:row r="4651">
      <x:c r="A4651" s="379" t="n">
        <x:v>50302</x:v>
      </x:c>
      <x:c r="B4651" s="380" t="n">
        <x:v>2037</x:v>
      </x:c>
      <x:c r="C4651" s="380" t="n">
        <x:v>9</x:v>
      </x:c>
      <x:c r="D4651" s="380" t="str">
        <x:v>Sep</x:v>
      </x:c>
      <x:c r="E4651" s="380" t="n">
        <x:v>19</x:v>
      </x:c>
      <x:c r="F4651" s="380" t="n">
        <x:v>6</x:v>
      </x:c>
      <x:c r="G4651" s="380" t="n">
        <x:f>--(F4651&lt;='Estimator'!$B$7)</x:f>
        <x:v>0</x:v>
      </x:c>
      <x:c r="H4651" s="381" t="n">
        <x:f>SUMIFS('Climate Data'!$G$7:$G$366,'Climate Data'!$A$7:$A$366,'Estimator'!$B$4,'Climate Data'!$B$7:$B$366,C4651)</x:f>
        <x:v>0.4160919540229885</x:v>
      </x:c>
      <x:c r="I4651" s="382" t="n">
        <x:f>SUMIFS('Climate Data'!$H$7:$H$366,'Climate Data'!$A$7:$A$366,'Estimator'!$B$4,'Climate Data'!$B$7:$B$366,C4651)</x:f>
        <x:v>8.019060773480662</x:v>
      </x:c>
      <x:c r="J4651" s="381" t="n">
        <x:f>SUMIFS('Wind Proxy'!$H$8:$H$19,'Wind Proxy'!$A$8:$A$19,'Estimator'!$B$4,'Wind Proxy'!$B$8:$B$19,C4651)</x:f>
        <x:v>0.22222222222222224</x:v>
      </x:c>
    </x:row>
    <x:row r="4652">
      <x:c r="A4652" s="379" t="n">
        <x:v>50303</x:v>
      </x:c>
      <x:c r="B4652" s="380" t="n">
        <x:v>2037</x:v>
      </x:c>
      <x:c r="C4652" s="380" t="n">
        <x:v>9</x:v>
      </x:c>
      <x:c r="D4652" s="380" t="str">
        <x:v>Sep</x:v>
      </x:c>
      <x:c r="E4652" s="380" t="n">
        <x:v>20</x:v>
      </x:c>
      <x:c r="F4652" s="380" t="n">
        <x:v>7</x:v>
      </x:c>
      <x:c r="G4652" s="380" t="n">
        <x:f>--(F4652&lt;='Estimator'!$B$7)</x:f>
        <x:v>0</x:v>
      </x:c>
      <x:c r="H4652" s="381" t="n">
        <x:f>SUMIFS('Climate Data'!$G$7:$G$366,'Climate Data'!$A$7:$A$366,'Estimator'!$B$4,'Climate Data'!$B$7:$B$366,C4652)</x:f>
        <x:v>0.4160919540229885</x:v>
      </x:c>
      <x:c r="I4652" s="382" t="n">
        <x:f>SUMIFS('Climate Data'!$H$7:$H$366,'Climate Data'!$A$7:$A$366,'Estimator'!$B$4,'Climate Data'!$B$7:$B$366,C4652)</x:f>
        <x:v>8.019060773480662</x:v>
      </x:c>
      <x:c r="J4652" s="381" t="n">
        <x:f>SUMIFS('Wind Proxy'!$H$8:$H$19,'Wind Proxy'!$A$8:$A$19,'Estimator'!$B$4,'Wind Proxy'!$B$8:$B$19,C4652)</x:f>
        <x:v>0.22222222222222224</x:v>
      </x:c>
    </x:row>
    <x:row r="4653">
      <x:c r="A4653" s="379" t="n">
        <x:v>50304</x:v>
      </x:c>
      <x:c r="B4653" s="380" t="n">
        <x:v>2037</x:v>
      </x:c>
      <x:c r="C4653" s="380" t="n">
        <x:v>9</x:v>
      </x:c>
      <x:c r="D4653" s="380" t="str">
        <x:v>Sep</x:v>
      </x:c>
      <x:c r="E4653" s="380" t="n">
        <x:v>21</x:v>
      </x:c>
      <x:c r="F4653" s="380" t="n">
        <x:v>1</x:v>
      </x:c>
      <x:c r="G4653" s="380" t="n">
        <x:f>--(F4653&lt;='Estimator'!$B$7)</x:f>
        <x:v>1</x:v>
      </x:c>
      <x:c r="H4653" s="381" t="n">
        <x:f>SUMIFS('Climate Data'!$G$7:$G$366,'Climate Data'!$A$7:$A$366,'Estimator'!$B$4,'Climate Data'!$B$7:$B$366,C4653)</x:f>
        <x:v>0.4160919540229885</x:v>
      </x:c>
      <x:c r="I4653" s="382" t="n">
        <x:f>SUMIFS('Climate Data'!$H$7:$H$366,'Climate Data'!$A$7:$A$366,'Estimator'!$B$4,'Climate Data'!$B$7:$B$366,C4653)</x:f>
        <x:v>8.019060773480662</x:v>
      </x:c>
      <x:c r="J4653" s="381" t="n">
        <x:f>SUMIFS('Wind Proxy'!$H$8:$H$19,'Wind Proxy'!$A$8:$A$19,'Estimator'!$B$4,'Wind Proxy'!$B$8:$B$19,C4653)</x:f>
        <x:v>0.22222222222222224</x:v>
      </x:c>
    </x:row>
    <x:row r="4654">
      <x:c r="A4654" s="379" t="n">
        <x:v>50305</x:v>
      </x:c>
      <x:c r="B4654" s="380" t="n">
        <x:v>2037</x:v>
      </x:c>
      <x:c r="C4654" s="380" t="n">
        <x:v>9</x:v>
      </x:c>
      <x:c r="D4654" s="380" t="str">
        <x:v>Sep</x:v>
      </x:c>
      <x:c r="E4654" s="380" t="n">
        <x:v>22</x:v>
      </x:c>
      <x:c r="F4654" s="380" t="n">
        <x:v>2</x:v>
      </x:c>
      <x:c r="G4654" s="380" t="n">
        <x:f>--(F4654&lt;='Estimator'!$B$7)</x:f>
        <x:v>1</x:v>
      </x:c>
      <x:c r="H4654" s="381" t="n">
        <x:f>SUMIFS('Climate Data'!$G$7:$G$366,'Climate Data'!$A$7:$A$366,'Estimator'!$B$4,'Climate Data'!$B$7:$B$366,C4654)</x:f>
        <x:v>0.4160919540229885</x:v>
      </x:c>
      <x:c r="I4654" s="382" t="n">
        <x:f>SUMIFS('Climate Data'!$H$7:$H$366,'Climate Data'!$A$7:$A$366,'Estimator'!$B$4,'Climate Data'!$B$7:$B$366,C4654)</x:f>
        <x:v>8.019060773480662</x:v>
      </x:c>
      <x:c r="J4654" s="381" t="n">
        <x:f>SUMIFS('Wind Proxy'!$H$8:$H$19,'Wind Proxy'!$A$8:$A$19,'Estimator'!$B$4,'Wind Proxy'!$B$8:$B$19,C4654)</x:f>
        <x:v>0.22222222222222224</x:v>
      </x:c>
    </x:row>
    <x:row r="4655">
      <x:c r="A4655" s="379" t="n">
        <x:v>50306</x:v>
      </x:c>
      <x:c r="B4655" s="380" t="n">
        <x:v>2037</x:v>
      </x:c>
      <x:c r="C4655" s="380" t="n">
        <x:v>9</x:v>
      </x:c>
      <x:c r="D4655" s="380" t="str">
        <x:v>Sep</x:v>
      </x:c>
      <x:c r="E4655" s="380" t="n">
        <x:v>23</x:v>
      </x:c>
      <x:c r="F4655" s="380" t="n">
        <x:v>3</x:v>
      </x:c>
      <x:c r="G4655" s="380" t="n">
        <x:f>--(F4655&lt;='Estimator'!$B$7)</x:f>
        <x:v>1</x:v>
      </x:c>
      <x:c r="H4655" s="381" t="n">
        <x:f>SUMIFS('Climate Data'!$G$7:$G$366,'Climate Data'!$A$7:$A$366,'Estimator'!$B$4,'Climate Data'!$B$7:$B$366,C4655)</x:f>
        <x:v>0.4160919540229885</x:v>
      </x:c>
      <x:c r="I4655" s="382" t="n">
        <x:f>SUMIFS('Climate Data'!$H$7:$H$366,'Climate Data'!$A$7:$A$366,'Estimator'!$B$4,'Climate Data'!$B$7:$B$366,C4655)</x:f>
        <x:v>8.019060773480662</x:v>
      </x:c>
      <x:c r="J4655" s="381" t="n">
        <x:f>SUMIFS('Wind Proxy'!$H$8:$H$19,'Wind Proxy'!$A$8:$A$19,'Estimator'!$B$4,'Wind Proxy'!$B$8:$B$19,C4655)</x:f>
        <x:v>0.22222222222222224</x:v>
      </x:c>
    </x:row>
    <x:row r="4656">
      <x:c r="A4656" s="379" t="n">
        <x:v>50307</x:v>
      </x:c>
      <x:c r="B4656" s="380" t="n">
        <x:v>2037</x:v>
      </x:c>
      <x:c r="C4656" s="380" t="n">
        <x:v>9</x:v>
      </x:c>
      <x:c r="D4656" s="380" t="str">
        <x:v>Sep</x:v>
      </x:c>
      <x:c r="E4656" s="380" t="n">
        <x:v>24</x:v>
      </x:c>
      <x:c r="F4656" s="380" t="n">
        <x:v>4</x:v>
      </x:c>
      <x:c r="G4656" s="380" t="n">
        <x:f>--(F4656&lt;='Estimator'!$B$7)</x:f>
        <x:v>1</x:v>
      </x:c>
      <x:c r="H4656" s="381" t="n">
        <x:f>SUMIFS('Climate Data'!$G$7:$G$366,'Climate Data'!$A$7:$A$366,'Estimator'!$B$4,'Climate Data'!$B$7:$B$366,C4656)</x:f>
        <x:v>0.4160919540229885</x:v>
      </x:c>
      <x:c r="I4656" s="382" t="n">
        <x:f>SUMIFS('Climate Data'!$H$7:$H$366,'Climate Data'!$A$7:$A$366,'Estimator'!$B$4,'Climate Data'!$B$7:$B$366,C4656)</x:f>
        <x:v>8.019060773480662</x:v>
      </x:c>
      <x:c r="J4656" s="381" t="n">
        <x:f>SUMIFS('Wind Proxy'!$H$8:$H$19,'Wind Proxy'!$A$8:$A$19,'Estimator'!$B$4,'Wind Proxy'!$B$8:$B$19,C4656)</x:f>
        <x:v>0.22222222222222224</x:v>
      </x:c>
    </x:row>
    <x:row r="4657">
      <x:c r="A4657" s="379" t="n">
        <x:v>50308</x:v>
      </x:c>
      <x:c r="B4657" s="380" t="n">
        <x:v>2037</x:v>
      </x:c>
      <x:c r="C4657" s="380" t="n">
        <x:v>9</x:v>
      </x:c>
      <x:c r="D4657" s="380" t="str">
        <x:v>Sep</x:v>
      </x:c>
      <x:c r="E4657" s="380" t="n">
        <x:v>25</x:v>
      </x:c>
      <x:c r="F4657" s="380" t="n">
        <x:v>5</x:v>
      </x:c>
      <x:c r="G4657" s="380" t="n">
        <x:f>--(F4657&lt;='Estimator'!$B$7)</x:f>
        <x:v>1</x:v>
      </x:c>
      <x:c r="H4657" s="381" t="n">
        <x:f>SUMIFS('Climate Data'!$G$7:$G$366,'Climate Data'!$A$7:$A$366,'Estimator'!$B$4,'Climate Data'!$B$7:$B$366,C4657)</x:f>
        <x:v>0.4160919540229885</x:v>
      </x:c>
      <x:c r="I4657" s="382" t="n">
        <x:f>SUMIFS('Climate Data'!$H$7:$H$366,'Climate Data'!$A$7:$A$366,'Estimator'!$B$4,'Climate Data'!$B$7:$B$366,C4657)</x:f>
        <x:v>8.019060773480662</x:v>
      </x:c>
      <x:c r="J4657" s="381" t="n">
        <x:f>SUMIFS('Wind Proxy'!$H$8:$H$19,'Wind Proxy'!$A$8:$A$19,'Estimator'!$B$4,'Wind Proxy'!$B$8:$B$19,C4657)</x:f>
        <x:v>0.22222222222222224</x:v>
      </x:c>
    </x:row>
    <x:row r="4658">
      <x:c r="A4658" s="379" t="n">
        <x:v>50309</x:v>
      </x:c>
      <x:c r="B4658" s="380" t="n">
        <x:v>2037</x:v>
      </x:c>
      <x:c r="C4658" s="380" t="n">
        <x:v>9</x:v>
      </x:c>
      <x:c r="D4658" s="380" t="str">
        <x:v>Sep</x:v>
      </x:c>
      <x:c r="E4658" s="380" t="n">
        <x:v>26</x:v>
      </x:c>
      <x:c r="F4658" s="380" t="n">
        <x:v>6</x:v>
      </x:c>
      <x:c r="G4658" s="380" t="n">
        <x:f>--(F4658&lt;='Estimator'!$B$7)</x:f>
        <x:v>0</x:v>
      </x:c>
      <x:c r="H4658" s="381" t="n">
        <x:f>SUMIFS('Climate Data'!$G$7:$G$366,'Climate Data'!$A$7:$A$366,'Estimator'!$B$4,'Climate Data'!$B$7:$B$366,C4658)</x:f>
        <x:v>0.4160919540229885</x:v>
      </x:c>
      <x:c r="I4658" s="382" t="n">
        <x:f>SUMIFS('Climate Data'!$H$7:$H$366,'Climate Data'!$A$7:$A$366,'Estimator'!$B$4,'Climate Data'!$B$7:$B$366,C4658)</x:f>
        <x:v>8.019060773480662</x:v>
      </x:c>
      <x:c r="J4658" s="381" t="n">
        <x:f>SUMIFS('Wind Proxy'!$H$8:$H$19,'Wind Proxy'!$A$8:$A$19,'Estimator'!$B$4,'Wind Proxy'!$B$8:$B$19,C4658)</x:f>
        <x:v>0.22222222222222224</x:v>
      </x:c>
    </x:row>
    <x:row r="4659">
      <x:c r="A4659" s="379" t="n">
        <x:v>50310</x:v>
      </x:c>
      <x:c r="B4659" s="380" t="n">
        <x:v>2037</x:v>
      </x:c>
      <x:c r="C4659" s="380" t="n">
        <x:v>9</x:v>
      </x:c>
      <x:c r="D4659" s="380" t="str">
        <x:v>Sep</x:v>
      </x:c>
      <x:c r="E4659" s="380" t="n">
        <x:v>27</x:v>
      </x:c>
      <x:c r="F4659" s="380" t="n">
        <x:v>7</x:v>
      </x:c>
      <x:c r="G4659" s="380" t="n">
        <x:f>--(F4659&lt;='Estimator'!$B$7)</x:f>
        <x:v>0</x:v>
      </x:c>
      <x:c r="H4659" s="381" t="n">
        <x:f>SUMIFS('Climate Data'!$G$7:$G$366,'Climate Data'!$A$7:$A$366,'Estimator'!$B$4,'Climate Data'!$B$7:$B$366,C4659)</x:f>
        <x:v>0.4160919540229885</x:v>
      </x:c>
      <x:c r="I4659" s="382" t="n">
        <x:f>SUMIFS('Climate Data'!$H$7:$H$366,'Climate Data'!$A$7:$A$366,'Estimator'!$B$4,'Climate Data'!$B$7:$B$366,C4659)</x:f>
        <x:v>8.019060773480662</x:v>
      </x:c>
      <x:c r="J4659" s="381" t="n">
        <x:f>SUMIFS('Wind Proxy'!$H$8:$H$19,'Wind Proxy'!$A$8:$A$19,'Estimator'!$B$4,'Wind Proxy'!$B$8:$B$19,C4659)</x:f>
        <x:v>0.22222222222222224</x:v>
      </x:c>
    </x:row>
    <x:row r="4660">
      <x:c r="A4660" s="379" t="n">
        <x:v>50311</x:v>
      </x:c>
      <x:c r="B4660" s="380" t="n">
        <x:v>2037</x:v>
      </x:c>
      <x:c r="C4660" s="380" t="n">
        <x:v>9</x:v>
      </x:c>
      <x:c r="D4660" s="380" t="str">
        <x:v>Sep</x:v>
      </x:c>
      <x:c r="E4660" s="380" t="n">
        <x:v>28</x:v>
      </x:c>
      <x:c r="F4660" s="380" t="n">
        <x:v>1</x:v>
      </x:c>
      <x:c r="G4660" s="380" t="n">
        <x:f>--(F4660&lt;='Estimator'!$B$7)</x:f>
        <x:v>1</x:v>
      </x:c>
      <x:c r="H4660" s="381" t="n">
        <x:f>SUMIFS('Climate Data'!$G$7:$G$366,'Climate Data'!$A$7:$A$366,'Estimator'!$B$4,'Climate Data'!$B$7:$B$366,C4660)</x:f>
        <x:v>0.4160919540229885</x:v>
      </x:c>
      <x:c r="I4660" s="382" t="n">
        <x:f>SUMIFS('Climate Data'!$H$7:$H$366,'Climate Data'!$A$7:$A$366,'Estimator'!$B$4,'Climate Data'!$B$7:$B$366,C4660)</x:f>
        <x:v>8.019060773480662</x:v>
      </x:c>
      <x:c r="J4660" s="381" t="n">
        <x:f>SUMIFS('Wind Proxy'!$H$8:$H$19,'Wind Proxy'!$A$8:$A$19,'Estimator'!$B$4,'Wind Proxy'!$B$8:$B$19,C4660)</x:f>
        <x:v>0.22222222222222224</x:v>
      </x:c>
    </x:row>
    <x:row r="4661">
      <x:c r="A4661" s="379" t="n">
        <x:v>50312</x:v>
      </x:c>
      <x:c r="B4661" s="380" t="n">
        <x:v>2037</x:v>
      </x:c>
      <x:c r="C4661" s="380" t="n">
        <x:v>9</x:v>
      </x:c>
      <x:c r="D4661" s="380" t="str">
        <x:v>Sep</x:v>
      </x:c>
      <x:c r="E4661" s="380" t="n">
        <x:v>29</x:v>
      </x:c>
      <x:c r="F4661" s="380" t="n">
        <x:v>2</x:v>
      </x:c>
      <x:c r="G4661" s="380" t="n">
        <x:f>--(F4661&lt;='Estimator'!$B$7)</x:f>
        <x:v>1</x:v>
      </x:c>
      <x:c r="H4661" s="381" t="n">
        <x:f>SUMIFS('Climate Data'!$G$7:$G$366,'Climate Data'!$A$7:$A$366,'Estimator'!$B$4,'Climate Data'!$B$7:$B$366,C4661)</x:f>
        <x:v>0.4160919540229885</x:v>
      </x:c>
      <x:c r="I4661" s="382" t="n">
        <x:f>SUMIFS('Climate Data'!$H$7:$H$366,'Climate Data'!$A$7:$A$366,'Estimator'!$B$4,'Climate Data'!$B$7:$B$366,C4661)</x:f>
        <x:v>8.019060773480662</x:v>
      </x:c>
      <x:c r="J4661" s="381" t="n">
        <x:f>SUMIFS('Wind Proxy'!$H$8:$H$19,'Wind Proxy'!$A$8:$A$19,'Estimator'!$B$4,'Wind Proxy'!$B$8:$B$19,C4661)</x:f>
        <x:v>0.22222222222222224</x:v>
      </x:c>
    </x:row>
    <x:row r="4662">
      <x:c r="A4662" s="379" t="n">
        <x:v>50313</x:v>
      </x:c>
      <x:c r="B4662" s="380" t="n">
        <x:v>2037</x:v>
      </x:c>
      <x:c r="C4662" s="380" t="n">
        <x:v>9</x:v>
      </x:c>
      <x:c r="D4662" s="380" t="str">
        <x:v>Sep</x:v>
      </x:c>
      <x:c r="E4662" s="380" t="n">
        <x:v>30</x:v>
      </x:c>
      <x:c r="F4662" s="380" t="n">
        <x:v>3</x:v>
      </x:c>
      <x:c r="G4662" s="380" t="n">
        <x:f>--(F4662&lt;='Estimator'!$B$7)</x:f>
        <x:v>1</x:v>
      </x:c>
      <x:c r="H4662" s="381" t="n">
        <x:f>SUMIFS('Climate Data'!$G$7:$G$366,'Climate Data'!$A$7:$A$366,'Estimator'!$B$4,'Climate Data'!$B$7:$B$366,C4662)</x:f>
        <x:v>0.4160919540229885</x:v>
      </x:c>
      <x:c r="I4662" s="382" t="n">
        <x:f>SUMIFS('Climate Data'!$H$7:$H$366,'Climate Data'!$A$7:$A$366,'Estimator'!$B$4,'Climate Data'!$B$7:$B$366,C4662)</x:f>
        <x:v>8.019060773480662</x:v>
      </x:c>
      <x:c r="J4662" s="381" t="n">
        <x:f>SUMIFS('Wind Proxy'!$H$8:$H$19,'Wind Proxy'!$A$8:$A$19,'Estimator'!$B$4,'Wind Proxy'!$B$8:$B$19,C4662)</x:f>
        <x:v>0.22222222222222224</x:v>
      </x:c>
    </x:row>
    <x:row r="4663">
      <x:c r="A4663" s="379" t="n">
        <x:v>50314</x:v>
      </x:c>
      <x:c r="B4663" s="380" t="n">
        <x:v>2037</x:v>
      </x:c>
      <x:c r="C4663" s="380" t="n">
        <x:v>10</x:v>
      </x:c>
      <x:c r="D4663" s="380" t="str">
        <x:v>Oct</x:v>
      </x:c>
      <x:c r="E4663" s="380" t="n">
        <x:v>1</x:v>
      </x:c>
      <x:c r="F4663" s="380" t="n">
        <x:v>4</x:v>
      </x:c>
      <x:c r="G4663" s="380" t="n">
        <x:f>--(F4663&lt;='Estimator'!$B$7)</x:f>
        <x:v>1</x:v>
      </x:c>
      <x:c r="H4663" s="381" t="n">
        <x:f>SUMIFS('Climate Data'!$G$7:$G$366,'Climate Data'!$A$7:$A$366,'Estimator'!$B$4,'Climate Data'!$B$7:$B$366,C4663)</x:f>
        <x:v>0.3721198156682028</x:v>
      </x:c>
      <x:c r="I4663" s="382" t="n">
        <x:f>SUMIFS('Climate Data'!$H$7:$H$366,'Climate Data'!$A$7:$A$366,'Estimator'!$B$4,'Climate Data'!$B$7:$B$366,C4663)</x:f>
        <x:v>7.940557275541795</x:v>
      </x:c>
      <x:c r="J4663" s="381" t="n">
        <x:f>SUMIFS('Wind Proxy'!$H$8:$H$19,'Wind Proxy'!$A$8:$A$19,'Estimator'!$B$4,'Wind Proxy'!$B$8:$B$19,C4663)</x:f>
        <x:v>0.21505376344086022</x:v>
      </x:c>
    </x:row>
    <x:row r="4664">
      <x:c r="A4664" s="379" t="n">
        <x:v>50315</x:v>
      </x:c>
      <x:c r="B4664" s="380" t="n">
        <x:v>2037</x:v>
      </x:c>
      <x:c r="C4664" s="380" t="n">
        <x:v>10</x:v>
      </x:c>
      <x:c r="D4664" s="380" t="str">
        <x:v>Oct</x:v>
      </x:c>
      <x:c r="E4664" s="380" t="n">
        <x:v>2</x:v>
      </x:c>
      <x:c r="F4664" s="380" t="n">
        <x:v>5</x:v>
      </x:c>
      <x:c r="G4664" s="380" t="n">
        <x:f>--(F4664&lt;='Estimator'!$B$7)</x:f>
        <x:v>1</x:v>
      </x:c>
      <x:c r="H4664" s="381" t="n">
        <x:f>SUMIFS('Climate Data'!$G$7:$G$366,'Climate Data'!$A$7:$A$366,'Estimator'!$B$4,'Climate Data'!$B$7:$B$366,C4664)</x:f>
        <x:v>0.3721198156682028</x:v>
      </x:c>
      <x:c r="I4664" s="382" t="n">
        <x:f>SUMIFS('Climate Data'!$H$7:$H$366,'Climate Data'!$A$7:$A$366,'Estimator'!$B$4,'Climate Data'!$B$7:$B$366,C4664)</x:f>
        <x:v>7.940557275541795</x:v>
      </x:c>
      <x:c r="J4664" s="381" t="n">
        <x:f>SUMIFS('Wind Proxy'!$H$8:$H$19,'Wind Proxy'!$A$8:$A$19,'Estimator'!$B$4,'Wind Proxy'!$B$8:$B$19,C4664)</x:f>
        <x:v>0.21505376344086022</x:v>
      </x:c>
    </x:row>
    <x:row r="4665">
      <x:c r="A4665" s="379" t="n">
        <x:v>50316</x:v>
      </x:c>
      <x:c r="B4665" s="380" t="n">
        <x:v>2037</x:v>
      </x:c>
      <x:c r="C4665" s="380" t="n">
        <x:v>10</x:v>
      </x:c>
      <x:c r="D4665" s="380" t="str">
        <x:v>Oct</x:v>
      </x:c>
      <x:c r="E4665" s="380" t="n">
        <x:v>3</x:v>
      </x:c>
      <x:c r="F4665" s="380" t="n">
        <x:v>6</x:v>
      </x:c>
      <x:c r="G4665" s="380" t="n">
        <x:f>--(F4665&lt;='Estimator'!$B$7)</x:f>
        <x:v>0</x:v>
      </x:c>
      <x:c r="H4665" s="381" t="n">
        <x:f>SUMIFS('Climate Data'!$G$7:$G$366,'Climate Data'!$A$7:$A$366,'Estimator'!$B$4,'Climate Data'!$B$7:$B$366,C4665)</x:f>
        <x:v>0.3721198156682028</x:v>
      </x:c>
      <x:c r="I4665" s="382" t="n">
        <x:f>SUMIFS('Climate Data'!$H$7:$H$366,'Climate Data'!$A$7:$A$366,'Estimator'!$B$4,'Climate Data'!$B$7:$B$366,C4665)</x:f>
        <x:v>7.940557275541795</x:v>
      </x:c>
      <x:c r="J4665" s="381" t="n">
        <x:f>SUMIFS('Wind Proxy'!$H$8:$H$19,'Wind Proxy'!$A$8:$A$19,'Estimator'!$B$4,'Wind Proxy'!$B$8:$B$19,C4665)</x:f>
        <x:v>0.21505376344086022</x:v>
      </x:c>
    </x:row>
    <x:row r="4666">
      <x:c r="A4666" s="379" t="n">
        <x:v>50317</x:v>
      </x:c>
      <x:c r="B4666" s="380" t="n">
        <x:v>2037</x:v>
      </x:c>
      <x:c r="C4666" s="380" t="n">
        <x:v>10</x:v>
      </x:c>
      <x:c r="D4666" s="380" t="str">
        <x:v>Oct</x:v>
      </x:c>
      <x:c r="E4666" s="380" t="n">
        <x:v>4</x:v>
      </x:c>
      <x:c r="F4666" s="380" t="n">
        <x:v>7</x:v>
      </x:c>
      <x:c r="G4666" s="380" t="n">
        <x:f>--(F4666&lt;='Estimator'!$B$7)</x:f>
        <x:v>0</x:v>
      </x:c>
      <x:c r="H4666" s="381" t="n">
        <x:f>SUMIFS('Climate Data'!$G$7:$G$366,'Climate Data'!$A$7:$A$366,'Estimator'!$B$4,'Climate Data'!$B$7:$B$366,C4666)</x:f>
        <x:v>0.3721198156682028</x:v>
      </x:c>
      <x:c r="I4666" s="382" t="n">
        <x:f>SUMIFS('Climate Data'!$H$7:$H$366,'Climate Data'!$A$7:$A$366,'Estimator'!$B$4,'Climate Data'!$B$7:$B$366,C4666)</x:f>
        <x:v>7.940557275541795</x:v>
      </x:c>
      <x:c r="J4666" s="381" t="n">
        <x:f>SUMIFS('Wind Proxy'!$H$8:$H$19,'Wind Proxy'!$A$8:$A$19,'Estimator'!$B$4,'Wind Proxy'!$B$8:$B$19,C4666)</x:f>
        <x:v>0.21505376344086022</x:v>
      </x:c>
    </x:row>
    <x:row r="4667">
      <x:c r="A4667" s="379" t="n">
        <x:v>50318</x:v>
      </x:c>
      <x:c r="B4667" s="380" t="n">
        <x:v>2037</x:v>
      </x:c>
      <x:c r="C4667" s="380" t="n">
        <x:v>10</x:v>
      </x:c>
      <x:c r="D4667" s="380" t="str">
        <x:v>Oct</x:v>
      </x:c>
      <x:c r="E4667" s="380" t="n">
        <x:v>5</x:v>
      </x:c>
      <x:c r="F4667" s="380" t="n">
        <x:v>1</x:v>
      </x:c>
      <x:c r="G4667" s="380" t="n">
        <x:f>--(F4667&lt;='Estimator'!$B$7)</x:f>
        <x:v>1</x:v>
      </x:c>
      <x:c r="H4667" s="381" t="n">
        <x:f>SUMIFS('Climate Data'!$G$7:$G$366,'Climate Data'!$A$7:$A$366,'Estimator'!$B$4,'Climate Data'!$B$7:$B$366,C4667)</x:f>
        <x:v>0.3721198156682028</x:v>
      </x:c>
      <x:c r="I4667" s="382" t="n">
        <x:f>SUMIFS('Climate Data'!$H$7:$H$366,'Climate Data'!$A$7:$A$366,'Estimator'!$B$4,'Climate Data'!$B$7:$B$366,C4667)</x:f>
        <x:v>7.940557275541795</x:v>
      </x:c>
      <x:c r="J4667" s="381" t="n">
        <x:f>SUMIFS('Wind Proxy'!$H$8:$H$19,'Wind Proxy'!$A$8:$A$19,'Estimator'!$B$4,'Wind Proxy'!$B$8:$B$19,C4667)</x:f>
        <x:v>0.21505376344086022</x:v>
      </x:c>
    </x:row>
    <x:row r="4668">
      <x:c r="A4668" s="379" t="n">
        <x:v>50319</x:v>
      </x:c>
      <x:c r="B4668" s="380" t="n">
        <x:v>2037</x:v>
      </x:c>
      <x:c r="C4668" s="380" t="n">
        <x:v>10</x:v>
      </x:c>
      <x:c r="D4668" s="380" t="str">
        <x:v>Oct</x:v>
      </x:c>
      <x:c r="E4668" s="380" t="n">
        <x:v>6</x:v>
      </x:c>
      <x:c r="F4668" s="380" t="n">
        <x:v>2</x:v>
      </x:c>
      <x:c r="G4668" s="380" t="n">
        <x:f>--(F4668&lt;='Estimator'!$B$7)</x:f>
        <x:v>1</x:v>
      </x:c>
      <x:c r="H4668" s="381" t="n">
        <x:f>SUMIFS('Climate Data'!$G$7:$G$366,'Climate Data'!$A$7:$A$366,'Estimator'!$B$4,'Climate Data'!$B$7:$B$366,C4668)</x:f>
        <x:v>0.3721198156682028</x:v>
      </x:c>
      <x:c r="I4668" s="382" t="n">
        <x:f>SUMIFS('Climate Data'!$H$7:$H$366,'Climate Data'!$A$7:$A$366,'Estimator'!$B$4,'Climate Data'!$B$7:$B$366,C4668)</x:f>
        <x:v>7.940557275541795</x:v>
      </x:c>
      <x:c r="J4668" s="381" t="n">
        <x:f>SUMIFS('Wind Proxy'!$H$8:$H$19,'Wind Proxy'!$A$8:$A$19,'Estimator'!$B$4,'Wind Proxy'!$B$8:$B$19,C4668)</x:f>
        <x:v>0.21505376344086022</x:v>
      </x:c>
    </x:row>
    <x:row r="4669">
      <x:c r="A4669" s="379" t="n">
        <x:v>50320</x:v>
      </x:c>
      <x:c r="B4669" s="380" t="n">
        <x:v>2037</x:v>
      </x:c>
      <x:c r="C4669" s="380" t="n">
        <x:v>10</x:v>
      </x:c>
      <x:c r="D4669" s="380" t="str">
        <x:v>Oct</x:v>
      </x:c>
      <x:c r="E4669" s="380" t="n">
        <x:v>7</x:v>
      </x:c>
      <x:c r="F4669" s="380" t="n">
        <x:v>3</x:v>
      </x:c>
      <x:c r="G4669" s="380" t="n">
        <x:f>--(F4669&lt;='Estimator'!$B$7)</x:f>
        <x:v>1</x:v>
      </x:c>
      <x:c r="H4669" s="381" t="n">
        <x:f>SUMIFS('Climate Data'!$G$7:$G$366,'Climate Data'!$A$7:$A$366,'Estimator'!$B$4,'Climate Data'!$B$7:$B$366,C4669)</x:f>
        <x:v>0.3721198156682028</x:v>
      </x:c>
      <x:c r="I4669" s="382" t="n">
        <x:f>SUMIFS('Climate Data'!$H$7:$H$366,'Climate Data'!$A$7:$A$366,'Estimator'!$B$4,'Climate Data'!$B$7:$B$366,C4669)</x:f>
        <x:v>7.940557275541795</x:v>
      </x:c>
      <x:c r="J4669" s="381" t="n">
        <x:f>SUMIFS('Wind Proxy'!$H$8:$H$19,'Wind Proxy'!$A$8:$A$19,'Estimator'!$B$4,'Wind Proxy'!$B$8:$B$19,C4669)</x:f>
        <x:v>0.21505376344086022</x:v>
      </x:c>
    </x:row>
    <x:row r="4670">
      <x:c r="A4670" s="379" t="n">
        <x:v>50321</x:v>
      </x:c>
      <x:c r="B4670" s="380" t="n">
        <x:v>2037</x:v>
      </x:c>
      <x:c r="C4670" s="380" t="n">
        <x:v>10</x:v>
      </x:c>
      <x:c r="D4670" s="380" t="str">
        <x:v>Oct</x:v>
      </x:c>
      <x:c r="E4670" s="380" t="n">
        <x:v>8</x:v>
      </x:c>
      <x:c r="F4670" s="380" t="n">
        <x:v>4</x:v>
      </x:c>
      <x:c r="G4670" s="380" t="n">
        <x:f>--(F4670&lt;='Estimator'!$B$7)</x:f>
        <x:v>1</x:v>
      </x:c>
      <x:c r="H4670" s="381" t="n">
        <x:f>SUMIFS('Climate Data'!$G$7:$G$366,'Climate Data'!$A$7:$A$366,'Estimator'!$B$4,'Climate Data'!$B$7:$B$366,C4670)</x:f>
        <x:v>0.3721198156682028</x:v>
      </x:c>
      <x:c r="I4670" s="382" t="n">
        <x:f>SUMIFS('Climate Data'!$H$7:$H$366,'Climate Data'!$A$7:$A$366,'Estimator'!$B$4,'Climate Data'!$B$7:$B$366,C4670)</x:f>
        <x:v>7.940557275541795</x:v>
      </x:c>
      <x:c r="J4670" s="381" t="n">
        <x:f>SUMIFS('Wind Proxy'!$H$8:$H$19,'Wind Proxy'!$A$8:$A$19,'Estimator'!$B$4,'Wind Proxy'!$B$8:$B$19,C4670)</x:f>
        <x:v>0.21505376344086022</x:v>
      </x:c>
    </x:row>
    <x:row r="4671">
      <x:c r="A4671" s="379" t="n">
        <x:v>50322</x:v>
      </x:c>
      <x:c r="B4671" s="380" t="n">
        <x:v>2037</x:v>
      </x:c>
      <x:c r="C4671" s="380" t="n">
        <x:v>10</x:v>
      </x:c>
      <x:c r="D4671" s="380" t="str">
        <x:v>Oct</x:v>
      </x:c>
      <x:c r="E4671" s="380" t="n">
        <x:v>9</x:v>
      </x:c>
      <x:c r="F4671" s="380" t="n">
        <x:v>5</x:v>
      </x:c>
      <x:c r="G4671" s="380" t="n">
        <x:f>--(F4671&lt;='Estimator'!$B$7)</x:f>
        <x:v>1</x:v>
      </x:c>
      <x:c r="H4671" s="381" t="n">
        <x:f>SUMIFS('Climate Data'!$G$7:$G$366,'Climate Data'!$A$7:$A$366,'Estimator'!$B$4,'Climate Data'!$B$7:$B$366,C4671)</x:f>
        <x:v>0.3721198156682028</x:v>
      </x:c>
      <x:c r="I4671" s="382" t="n">
        <x:f>SUMIFS('Climate Data'!$H$7:$H$366,'Climate Data'!$A$7:$A$366,'Estimator'!$B$4,'Climate Data'!$B$7:$B$366,C4671)</x:f>
        <x:v>7.940557275541795</x:v>
      </x:c>
      <x:c r="J4671" s="381" t="n">
        <x:f>SUMIFS('Wind Proxy'!$H$8:$H$19,'Wind Proxy'!$A$8:$A$19,'Estimator'!$B$4,'Wind Proxy'!$B$8:$B$19,C4671)</x:f>
        <x:v>0.21505376344086022</x:v>
      </x:c>
    </x:row>
    <x:row r="4672">
      <x:c r="A4672" s="379" t="n">
        <x:v>50323</x:v>
      </x:c>
      <x:c r="B4672" s="380" t="n">
        <x:v>2037</x:v>
      </x:c>
      <x:c r="C4672" s="380" t="n">
        <x:v>10</x:v>
      </x:c>
      <x:c r="D4672" s="380" t="str">
        <x:v>Oct</x:v>
      </x:c>
      <x:c r="E4672" s="380" t="n">
        <x:v>10</x:v>
      </x:c>
      <x:c r="F4672" s="380" t="n">
        <x:v>6</x:v>
      </x:c>
      <x:c r="G4672" s="380" t="n">
        <x:f>--(F4672&lt;='Estimator'!$B$7)</x:f>
        <x:v>0</x:v>
      </x:c>
      <x:c r="H4672" s="381" t="n">
        <x:f>SUMIFS('Climate Data'!$G$7:$G$366,'Climate Data'!$A$7:$A$366,'Estimator'!$B$4,'Climate Data'!$B$7:$B$366,C4672)</x:f>
        <x:v>0.3721198156682028</x:v>
      </x:c>
      <x:c r="I4672" s="382" t="n">
        <x:f>SUMIFS('Climate Data'!$H$7:$H$366,'Climate Data'!$A$7:$A$366,'Estimator'!$B$4,'Climate Data'!$B$7:$B$366,C4672)</x:f>
        <x:v>7.940557275541795</x:v>
      </x:c>
      <x:c r="J4672" s="381" t="n">
        <x:f>SUMIFS('Wind Proxy'!$H$8:$H$19,'Wind Proxy'!$A$8:$A$19,'Estimator'!$B$4,'Wind Proxy'!$B$8:$B$19,C4672)</x:f>
        <x:v>0.21505376344086022</x:v>
      </x:c>
    </x:row>
    <x:row r="4673">
      <x:c r="A4673" s="379" t="n">
        <x:v>50324</x:v>
      </x:c>
      <x:c r="B4673" s="380" t="n">
        <x:v>2037</x:v>
      </x:c>
      <x:c r="C4673" s="380" t="n">
        <x:v>10</x:v>
      </x:c>
      <x:c r="D4673" s="380" t="str">
        <x:v>Oct</x:v>
      </x:c>
      <x:c r="E4673" s="380" t="n">
        <x:v>11</x:v>
      </x:c>
      <x:c r="F4673" s="380" t="n">
        <x:v>7</x:v>
      </x:c>
      <x:c r="G4673" s="380" t="n">
        <x:f>--(F4673&lt;='Estimator'!$B$7)</x:f>
        <x:v>0</x:v>
      </x:c>
      <x:c r="H4673" s="381" t="n">
        <x:f>SUMIFS('Climate Data'!$G$7:$G$366,'Climate Data'!$A$7:$A$366,'Estimator'!$B$4,'Climate Data'!$B$7:$B$366,C4673)</x:f>
        <x:v>0.3721198156682028</x:v>
      </x:c>
      <x:c r="I4673" s="382" t="n">
        <x:f>SUMIFS('Climate Data'!$H$7:$H$366,'Climate Data'!$A$7:$A$366,'Estimator'!$B$4,'Climate Data'!$B$7:$B$366,C4673)</x:f>
        <x:v>7.940557275541795</x:v>
      </x:c>
      <x:c r="J4673" s="381" t="n">
        <x:f>SUMIFS('Wind Proxy'!$H$8:$H$19,'Wind Proxy'!$A$8:$A$19,'Estimator'!$B$4,'Wind Proxy'!$B$8:$B$19,C4673)</x:f>
        <x:v>0.21505376344086022</x:v>
      </x:c>
    </x:row>
    <x:row r="4674">
      <x:c r="A4674" s="379" t="n">
        <x:v>50325</x:v>
      </x:c>
      <x:c r="B4674" s="380" t="n">
        <x:v>2037</x:v>
      </x:c>
      <x:c r="C4674" s="380" t="n">
        <x:v>10</x:v>
      </x:c>
      <x:c r="D4674" s="380" t="str">
        <x:v>Oct</x:v>
      </x:c>
      <x:c r="E4674" s="380" t="n">
        <x:v>12</x:v>
      </x:c>
      <x:c r="F4674" s="380" t="n">
        <x:v>1</x:v>
      </x:c>
      <x:c r="G4674" s="380" t="n">
        <x:f>--(F4674&lt;='Estimator'!$B$7)</x:f>
        <x:v>1</x:v>
      </x:c>
      <x:c r="H4674" s="381" t="n">
        <x:f>SUMIFS('Climate Data'!$G$7:$G$366,'Climate Data'!$A$7:$A$366,'Estimator'!$B$4,'Climate Data'!$B$7:$B$366,C4674)</x:f>
        <x:v>0.3721198156682028</x:v>
      </x:c>
      <x:c r="I4674" s="382" t="n">
        <x:f>SUMIFS('Climate Data'!$H$7:$H$366,'Climate Data'!$A$7:$A$366,'Estimator'!$B$4,'Climate Data'!$B$7:$B$366,C4674)</x:f>
        <x:v>7.940557275541795</x:v>
      </x:c>
      <x:c r="J4674" s="381" t="n">
        <x:f>SUMIFS('Wind Proxy'!$H$8:$H$19,'Wind Proxy'!$A$8:$A$19,'Estimator'!$B$4,'Wind Proxy'!$B$8:$B$19,C4674)</x:f>
        <x:v>0.21505376344086022</x:v>
      </x:c>
    </x:row>
    <x:row r="4675">
      <x:c r="A4675" s="379" t="n">
        <x:v>50326</x:v>
      </x:c>
      <x:c r="B4675" s="380" t="n">
        <x:v>2037</x:v>
      </x:c>
      <x:c r="C4675" s="380" t="n">
        <x:v>10</x:v>
      </x:c>
      <x:c r="D4675" s="380" t="str">
        <x:v>Oct</x:v>
      </x:c>
      <x:c r="E4675" s="380" t="n">
        <x:v>13</x:v>
      </x:c>
      <x:c r="F4675" s="380" t="n">
        <x:v>2</x:v>
      </x:c>
      <x:c r="G4675" s="380" t="n">
        <x:f>--(F4675&lt;='Estimator'!$B$7)</x:f>
        <x:v>1</x:v>
      </x:c>
      <x:c r="H4675" s="381" t="n">
        <x:f>SUMIFS('Climate Data'!$G$7:$G$366,'Climate Data'!$A$7:$A$366,'Estimator'!$B$4,'Climate Data'!$B$7:$B$366,C4675)</x:f>
        <x:v>0.3721198156682028</x:v>
      </x:c>
      <x:c r="I4675" s="382" t="n">
        <x:f>SUMIFS('Climate Data'!$H$7:$H$366,'Climate Data'!$A$7:$A$366,'Estimator'!$B$4,'Climate Data'!$B$7:$B$366,C4675)</x:f>
        <x:v>7.940557275541795</x:v>
      </x:c>
      <x:c r="J4675" s="381" t="n">
        <x:f>SUMIFS('Wind Proxy'!$H$8:$H$19,'Wind Proxy'!$A$8:$A$19,'Estimator'!$B$4,'Wind Proxy'!$B$8:$B$19,C4675)</x:f>
        <x:v>0.21505376344086022</x:v>
      </x:c>
    </x:row>
    <x:row r="4676">
      <x:c r="A4676" s="379" t="n">
        <x:v>50327</x:v>
      </x:c>
      <x:c r="B4676" s="380" t="n">
        <x:v>2037</x:v>
      </x:c>
      <x:c r="C4676" s="380" t="n">
        <x:v>10</x:v>
      </x:c>
      <x:c r="D4676" s="380" t="str">
        <x:v>Oct</x:v>
      </x:c>
      <x:c r="E4676" s="380" t="n">
        <x:v>14</x:v>
      </x:c>
      <x:c r="F4676" s="380" t="n">
        <x:v>3</x:v>
      </x:c>
      <x:c r="G4676" s="380" t="n">
        <x:f>--(F4676&lt;='Estimator'!$B$7)</x:f>
        <x:v>1</x:v>
      </x:c>
      <x:c r="H4676" s="381" t="n">
        <x:f>SUMIFS('Climate Data'!$G$7:$G$366,'Climate Data'!$A$7:$A$366,'Estimator'!$B$4,'Climate Data'!$B$7:$B$366,C4676)</x:f>
        <x:v>0.3721198156682028</x:v>
      </x:c>
      <x:c r="I4676" s="382" t="n">
        <x:f>SUMIFS('Climate Data'!$H$7:$H$366,'Climate Data'!$A$7:$A$366,'Estimator'!$B$4,'Climate Data'!$B$7:$B$366,C4676)</x:f>
        <x:v>7.940557275541795</x:v>
      </x:c>
      <x:c r="J4676" s="381" t="n">
        <x:f>SUMIFS('Wind Proxy'!$H$8:$H$19,'Wind Proxy'!$A$8:$A$19,'Estimator'!$B$4,'Wind Proxy'!$B$8:$B$19,C4676)</x:f>
        <x:v>0.21505376344086022</x:v>
      </x:c>
    </x:row>
    <x:row r="4677">
      <x:c r="A4677" s="379" t="n">
        <x:v>50328</x:v>
      </x:c>
      <x:c r="B4677" s="380" t="n">
        <x:v>2037</x:v>
      </x:c>
      <x:c r="C4677" s="380" t="n">
        <x:v>10</x:v>
      </x:c>
      <x:c r="D4677" s="380" t="str">
        <x:v>Oct</x:v>
      </x:c>
      <x:c r="E4677" s="380" t="n">
        <x:v>15</x:v>
      </x:c>
      <x:c r="F4677" s="380" t="n">
        <x:v>4</x:v>
      </x:c>
      <x:c r="G4677" s="380" t="n">
        <x:f>--(F4677&lt;='Estimator'!$B$7)</x:f>
        <x:v>1</x:v>
      </x:c>
      <x:c r="H4677" s="381" t="n">
        <x:f>SUMIFS('Climate Data'!$G$7:$G$366,'Climate Data'!$A$7:$A$366,'Estimator'!$B$4,'Climate Data'!$B$7:$B$366,C4677)</x:f>
        <x:v>0.3721198156682028</x:v>
      </x:c>
      <x:c r="I4677" s="382" t="n">
        <x:f>SUMIFS('Climate Data'!$H$7:$H$366,'Climate Data'!$A$7:$A$366,'Estimator'!$B$4,'Climate Data'!$B$7:$B$366,C4677)</x:f>
        <x:v>7.940557275541795</x:v>
      </x:c>
      <x:c r="J4677" s="381" t="n">
        <x:f>SUMIFS('Wind Proxy'!$H$8:$H$19,'Wind Proxy'!$A$8:$A$19,'Estimator'!$B$4,'Wind Proxy'!$B$8:$B$19,C4677)</x:f>
        <x:v>0.21505376344086022</x:v>
      </x:c>
    </x:row>
    <x:row r="4678">
      <x:c r="A4678" s="379" t="n">
        <x:v>50329</x:v>
      </x:c>
      <x:c r="B4678" s="380" t="n">
        <x:v>2037</x:v>
      </x:c>
      <x:c r="C4678" s="380" t="n">
        <x:v>10</x:v>
      </x:c>
      <x:c r="D4678" s="380" t="str">
        <x:v>Oct</x:v>
      </x:c>
      <x:c r="E4678" s="380" t="n">
        <x:v>16</x:v>
      </x:c>
      <x:c r="F4678" s="380" t="n">
        <x:v>5</x:v>
      </x:c>
      <x:c r="G4678" s="380" t="n">
        <x:f>--(F4678&lt;='Estimator'!$B$7)</x:f>
        <x:v>1</x:v>
      </x:c>
      <x:c r="H4678" s="381" t="n">
        <x:f>SUMIFS('Climate Data'!$G$7:$G$366,'Climate Data'!$A$7:$A$366,'Estimator'!$B$4,'Climate Data'!$B$7:$B$366,C4678)</x:f>
        <x:v>0.3721198156682028</x:v>
      </x:c>
      <x:c r="I4678" s="382" t="n">
        <x:f>SUMIFS('Climate Data'!$H$7:$H$366,'Climate Data'!$A$7:$A$366,'Estimator'!$B$4,'Climate Data'!$B$7:$B$366,C4678)</x:f>
        <x:v>7.940557275541795</x:v>
      </x:c>
      <x:c r="J4678" s="381" t="n">
        <x:f>SUMIFS('Wind Proxy'!$H$8:$H$19,'Wind Proxy'!$A$8:$A$19,'Estimator'!$B$4,'Wind Proxy'!$B$8:$B$19,C4678)</x:f>
        <x:v>0.21505376344086022</x:v>
      </x:c>
    </x:row>
    <x:row r="4679">
      <x:c r="A4679" s="379" t="n">
        <x:v>50330</x:v>
      </x:c>
      <x:c r="B4679" s="380" t="n">
        <x:v>2037</x:v>
      </x:c>
      <x:c r="C4679" s="380" t="n">
        <x:v>10</x:v>
      </x:c>
      <x:c r="D4679" s="380" t="str">
        <x:v>Oct</x:v>
      </x:c>
      <x:c r="E4679" s="380" t="n">
        <x:v>17</x:v>
      </x:c>
      <x:c r="F4679" s="380" t="n">
        <x:v>6</x:v>
      </x:c>
      <x:c r="G4679" s="380" t="n">
        <x:f>--(F4679&lt;='Estimator'!$B$7)</x:f>
        <x:v>0</x:v>
      </x:c>
      <x:c r="H4679" s="381" t="n">
        <x:f>SUMIFS('Climate Data'!$G$7:$G$366,'Climate Data'!$A$7:$A$366,'Estimator'!$B$4,'Climate Data'!$B$7:$B$366,C4679)</x:f>
        <x:v>0.3721198156682028</x:v>
      </x:c>
      <x:c r="I4679" s="382" t="n">
        <x:f>SUMIFS('Climate Data'!$H$7:$H$366,'Climate Data'!$A$7:$A$366,'Estimator'!$B$4,'Climate Data'!$B$7:$B$366,C4679)</x:f>
        <x:v>7.940557275541795</x:v>
      </x:c>
      <x:c r="J4679" s="381" t="n">
        <x:f>SUMIFS('Wind Proxy'!$H$8:$H$19,'Wind Proxy'!$A$8:$A$19,'Estimator'!$B$4,'Wind Proxy'!$B$8:$B$19,C4679)</x:f>
        <x:v>0.21505376344086022</x:v>
      </x:c>
    </x:row>
    <x:row r="4680">
      <x:c r="A4680" s="379" t="n">
        <x:v>50331</x:v>
      </x:c>
      <x:c r="B4680" s="380" t="n">
        <x:v>2037</x:v>
      </x:c>
      <x:c r="C4680" s="380" t="n">
        <x:v>10</x:v>
      </x:c>
      <x:c r="D4680" s="380" t="str">
        <x:v>Oct</x:v>
      </x:c>
      <x:c r="E4680" s="380" t="n">
        <x:v>18</x:v>
      </x:c>
      <x:c r="F4680" s="380" t="n">
        <x:v>7</x:v>
      </x:c>
      <x:c r="G4680" s="380" t="n">
        <x:f>--(F4680&lt;='Estimator'!$B$7)</x:f>
        <x:v>0</x:v>
      </x:c>
      <x:c r="H4680" s="381" t="n">
        <x:f>SUMIFS('Climate Data'!$G$7:$G$366,'Climate Data'!$A$7:$A$366,'Estimator'!$B$4,'Climate Data'!$B$7:$B$366,C4680)</x:f>
        <x:v>0.3721198156682028</x:v>
      </x:c>
      <x:c r="I4680" s="382" t="n">
        <x:f>SUMIFS('Climate Data'!$H$7:$H$366,'Climate Data'!$A$7:$A$366,'Estimator'!$B$4,'Climate Data'!$B$7:$B$366,C4680)</x:f>
        <x:v>7.940557275541795</x:v>
      </x:c>
      <x:c r="J4680" s="381" t="n">
        <x:f>SUMIFS('Wind Proxy'!$H$8:$H$19,'Wind Proxy'!$A$8:$A$19,'Estimator'!$B$4,'Wind Proxy'!$B$8:$B$19,C4680)</x:f>
        <x:v>0.21505376344086022</x:v>
      </x:c>
    </x:row>
    <x:row r="4681">
      <x:c r="A4681" s="379" t="n">
        <x:v>50332</x:v>
      </x:c>
      <x:c r="B4681" s="380" t="n">
        <x:v>2037</x:v>
      </x:c>
      <x:c r="C4681" s="380" t="n">
        <x:v>10</x:v>
      </x:c>
      <x:c r="D4681" s="380" t="str">
        <x:v>Oct</x:v>
      </x:c>
      <x:c r="E4681" s="380" t="n">
        <x:v>19</x:v>
      </x:c>
      <x:c r="F4681" s="380" t="n">
        <x:v>1</x:v>
      </x:c>
      <x:c r="G4681" s="380" t="n">
        <x:f>--(F4681&lt;='Estimator'!$B$7)</x:f>
        <x:v>1</x:v>
      </x:c>
      <x:c r="H4681" s="381" t="n">
        <x:f>SUMIFS('Climate Data'!$G$7:$G$366,'Climate Data'!$A$7:$A$366,'Estimator'!$B$4,'Climate Data'!$B$7:$B$366,C4681)</x:f>
        <x:v>0.3721198156682028</x:v>
      </x:c>
      <x:c r="I4681" s="382" t="n">
        <x:f>SUMIFS('Climate Data'!$H$7:$H$366,'Climate Data'!$A$7:$A$366,'Estimator'!$B$4,'Climate Data'!$B$7:$B$366,C4681)</x:f>
        <x:v>7.940557275541795</x:v>
      </x:c>
      <x:c r="J4681" s="381" t="n">
        <x:f>SUMIFS('Wind Proxy'!$H$8:$H$19,'Wind Proxy'!$A$8:$A$19,'Estimator'!$B$4,'Wind Proxy'!$B$8:$B$19,C4681)</x:f>
        <x:v>0.21505376344086022</x:v>
      </x:c>
    </x:row>
    <x:row r="4682">
      <x:c r="A4682" s="379" t="n">
        <x:v>50333</x:v>
      </x:c>
      <x:c r="B4682" s="380" t="n">
        <x:v>2037</x:v>
      </x:c>
      <x:c r="C4682" s="380" t="n">
        <x:v>10</x:v>
      </x:c>
      <x:c r="D4682" s="380" t="str">
        <x:v>Oct</x:v>
      </x:c>
      <x:c r="E4682" s="380" t="n">
        <x:v>20</x:v>
      </x:c>
      <x:c r="F4682" s="380" t="n">
        <x:v>2</x:v>
      </x:c>
      <x:c r="G4682" s="380" t="n">
        <x:f>--(F4682&lt;='Estimator'!$B$7)</x:f>
        <x:v>1</x:v>
      </x:c>
      <x:c r="H4682" s="381" t="n">
        <x:f>SUMIFS('Climate Data'!$G$7:$G$366,'Climate Data'!$A$7:$A$366,'Estimator'!$B$4,'Climate Data'!$B$7:$B$366,C4682)</x:f>
        <x:v>0.3721198156682028</x:v>
      </x:c>
      <x:c r="I4682" s="382" t="n">
        <x:f>SUMIFS('Climate Data'!$H$7:$H$366,'Climate Data'!$A$7:$A$366,'Estimator'!$B$4,'Climate Data'!$B$7:$B$366,C4682)</x:f>
        <x:v>7.940557275541795</x:v>
      </x:c>
      <x:c r="J4682" s="381" t="n">
        <x:f>SUMIFS('Wind Proxy'!$H$8:$H$19,'Wind Proxy'!$A$8:$A$19,'Estimator'!$B$4,'Wind Proxy'!$B$8:$B$19,C4682)</x:f>
        <x:v>0.21505376344086022</x:v>
      </x:c>
    </x:row>
    <x:row r="4683">
      <x:c r="A4683" s="379" t="n">
        <x:v>50334</x:v>
      </x:c>
      <x:c r="B4683" s="380" t="n">
        <x:v>2037</x:v>
      </x:c>
      <x:c r="C4683" s="380" t="n">
        <x:v>10</x:v>
      </x:c>
      <x:c r="D4683" s="380" t="str">
        <x:v>Oct</x:v>
      </x:c>
      <x:c r="E4683" s="380" t="n">
        <x:v>21</x:v>
      </x:c>
      <x:c r="F4683" s="380" t="n">
        <x:v>3</x:v>
      </x:c>
      <x:c r="G4683" s="380" t="n">
        <x:f>--(F4683&lt;='Estimator'!$B$7)</x:f>
        <x:v>1</x:v>
      </x:c>
      <x:c r="H4683" s="381" t="n">
        <x:f>SUMIFS('Climate Data'!$G$7:$G$366,'Climate Data'!$A$7:$A$366,'Estimator'!$B$4,'Climate Data'!$B$7:$B$366,C4683)</x:f>
        <x:v>0.3721198156682028</x:v>
      </x:c>
      <x:c r="I4683" s="382" t="n">
        <x:f>SUMIFS('Climate Data'!$H$7:$H$366,'Climate Data'!$A$7:$A$366,'Estimator'!$B$4,'Climate Data'!$B$7:$B$366,C4683)</x:f>
        <x:v>7.940557275541795</x:v>
      </x:c>
      <x:c r="J4683" s="381" t="n">
        <x:f>SUMIFS('Wind Proxy'!$H$8:$H$19,'Wind Proxy'!$A$8:$A$19,'Estimator'!$B$4,'Wind Proxy'!$B$8:$B$19,C4683)</x:f>
        <x:v>0.21505376344086022</x:v>
      </x:c>
    </x:row>
    <x:row r="4684">
      <x:c r="A4684" s="379" t="n">
        <x:v>50335</x:v>
      </x:c>
      <x:c r="B4684" s="380" t="n">
        <x:v>2037</x:v>
      </x:c>
      <x:c r="C4684" s="380" t="n">
        <x:v>10</x:v>
      </x:c>
      <x:c r="D4684" s="380" t="str">
        <x:v>Oct</x:v>
      </x:c>
      <x:c r="E4684" s="380" t="n">
        <x:v>22</x:v>
      </x:c>
      <x:c r="F4684" s="380" t="n">
        <x:v>4</x:v>
      </x:c>
      <x:c r="G4684" s="380" t="n">
        <x:f>--(F4684&lt;='Estimator'!$B$7)</x:f>
        <x:v>1</x:v>
      </x:c>
      <x:c r="H4684" s="381" t="n">
        <x:f>SUMIFS('Climate Data'!$G$7:$G$366,'Climate Data'!$A$7:$A$366,'Estimator'!$B$4,'Climate Data'!$B$7:$B$366,C4684)</x:f>
        <x:v>0.3721198156682028</x:v>
      </x:c>
      <x:c r="I4684" s="382" t="n">
        <x:f>SUMIFS('Climate Data'!$H$7:$H$366,'Climate Data'!$A$7:$A$366,'Estimator'!$B$4,'Climate Data'!$B$7:$B$366,C4684)</x:f>
        <x:v>7.940557275541795</x:v>
      </x:c>
      <x:c r="J4684" s="381" t="n">
        <x:f>SUMIFS('Wind Proxy'!$H$8:$H$19,'Wind Proxy'!$A$8:$A$19,'Estimator'!$B$4,'Wind Proxy'!$B$8:$B$19,C4684)</x:f>
        <x:v>0.21505376344086022</x:v>
      </x:c>
    </x:row>
    <x:row r="4685">
      <x:c r="A4685" s="379" t="n">
        <x:v>50336</x:v>
      </x:c>
      <x:c r="B4685" s="380" t="n">
        <x:v>2037</x:v>
      </x:c>
      <x:c r="C4685" s="380" t="n">
        <x:v>10</x:v>
      </x:c>
      <x:c r="D4685" s="380" t="str">
        <x:v>Oct</x:v>
      </x:c>
      <x:c r="E4685" s="380" t="n">
        <x:v>23</x:v>
      </x:c>
      <x:c r="F4685" s="380" t="n">
        <x:v>5</x:v>
      </x:c>
      <x:c r="G4685" s="380" t="n">
        <x:f>--(F4685&lt;='Estimator'!$B$7)</x:f>
        <x:v>1</x:v>
      </x:c>
      <x:c r="H4685" s="381" t="n">
        <x:f>SUMIFS('Climate Data'!$G$7:$G$366,'Climate Data'!$A$7:$A$366,'Estimator'!$B$4,'Climate Data'!$B$7:$B$366,C4685)</x:f>
        <x:v>0.3721198156682028</x:v>
      </x:c>
      <x:c r="I4685" s="382" t="n">
        <x:f>SUMIFS('Climate Data'!$H$7:$H$366,'Climate Data'!$A$7:$A$366,'Estimator'!$B$4,'Climate Data'!$B$7:$B$366,C4685)</x:f>
        <x:v>7.940557275541795</x:v>
      </x:c>
      <x:c r="J4685" s="381" t="n">
        <x:f>SUMIFS('Wind Proxy'!$H$8:$H$19,'Wind Proxy'!$A$8:$A$19,'Estimator'!$B$4,'Wind Proxy'!$B$8:$B$19,C4685)</x:f>
        <x:v>0.21505376344086022</x:v>
      </x:c>
    </x:row>
    <x:row r="4686">
      <x:c r="A4686" s="379" t="n">
        <x:v>50337</x:v>
      </x:c>
      <x:c r="B4686" s="380" t="n">
        <x:v>2037</x:v>
      </x:c>
      <x:c r="C4686" s="380" t="n">
        <x:v>10</x:v>
      </x:c>
      <x:c r="D4686" s="380" t="str">
        <x:v>Oct</x:v>
      </x:c>
      <x:c r="E4686" s="380" t="n">
        <x:v>24</x:v>
      </x:c>
      <x:c r="F4686" s="380" t="n">
        <x:v>6</x:v>
      </x:c>
      <x:c r="G4686" s="380" t="n">
        <x:f>--(F4686&lt;='Estimator'!$B$7)</x:f>
        <x:v>0</x:v>
      </x:c>
      <x:c r="H4686" s="381" t="n">
        <x:f>SUMIFS('Climate Data'!$G$7:$G$366,'Climate Data'!$A$7:$A$366,'Estimator'!$B$4,'Climate Data'!$B$7:$B$366,C4686)</x:f>
        <x:v>0.3721198156682028</x:v>
      </x:c>
      <x:c r="I4686" s="382" t="n">
        <x:f>SUMIFS('Climate Data'!$H$7:$H$366,'Climate Data'!$A$7:$A$366,'Estimator'!$B$4,'Climate Data'!$B$7:$B$366,C4686)</x:f>
        <x:v>7.940557275541795</x:v>
      </x:c>
      <x:c r="J4686" s="381" t="n">
        <x:f>SUMIFS('Wind Proxy'!$H$8:$H$19,'Wind Proxy'!$A$8:$A$19,'Estimator'!$B$4,'Wind Proxy'!$B$8:$B$19,C4686)</x:f>
        <x:v>0.21505376344086022</x:v>
      </x:c>
    </x:row>
    <x:row r="4687">
      <x:c r="A4687" s="379" t="n">
        <x:v>50338</x:v>
      </x:c>
      <x:c r="B4687" s="380" t="n">
        <x:v>2037</x:v>
      </x:c>
      <x:c r="C4687" s="380" t="n">
        <x:v>10</x:v>
      </x:c>
      <x:c r="D4687" s="380" t="str">
        <x:v>Oct</x:v>
      </x:c>
      <x:c r="E4687" s="380" t="n">
        <x:v>25</x:v>
      </x:c>
      <x:c r="F4687" s="380" t="n">
        <x:v>7</x:v>
      </x:c>
      <x:c r="G4687" s="380" t="n">
        <x:f>--(F4687&lt;='Estimator'!$B$7)</x:f>
        <x:v>0</x:v>
      </x:c>
      <x:c r="H4687" s="381" t="n">
        <x:f>SUMIFS('Climate Data'!$G$7:$G$366,'Climate Data'!$A$7:$A$366,'Estimator'!$B$4,'Climate Data'!$B$7:$B$366,C4687)</x:f>
        <x:v>0.3721198156682028</x:v>
      </x:c>
      <x:c r="I4687" s="382" t="n">
        <x:f>SUMIFS('Climate Data'!$H$7:$H$366,'Climate Data'!$A$7:$A$366,'Estimator'!$B$4,'Climate Data'!$B$7:$B$366,C4687)</x:f>
        <x:v>7.940557275541795</x:v>
      </x:c>
      <x:c r="J4687" s="381" t="n">
        <x:f>SUMIFS('Wind Proxy'!$H$8:$H$19,'Wind Proxy'!$A$8:$A$19,'Estimator'!$B$4,'Wind Proxy'!$B$8:$B$19,C4687)</x:f>
        <x:v>0.21505376344086022</x:v>
      </x:c>
    </x:row>
    <x:row r="4688">
      <x:c r="A4688" s="379" t="n">
        <x:v>50339</x:v>
      </x:c>
      <x:c r="B4688" s="380" t="n">
        <x:v>2037</x:v>
      </x:c>
      <x:c r="C4688" s="380" t="n">
        <x:v>10</x:v>
      </x:c>
      <x:c r="D4688" s="380" t="str">
        <x:v>Oct</x:v>
      </x:c>
      <x:c r="E4688" s="380" t="n">
        <x:v>26</x:v>
      </x:c>
      <x:c r="F4688" s="380" t="n">
        <x:v>1</x:v>
      </x:c>
      <x:c r="G4688" s="380" t="n">
        <x:f>--(F4688&lt;='Estimator'!$B$7)</x:f>
        <x:v>1</x:v>
      </x:c>
      <x:c r="H4688" s="381" t="n">
        <x:f>SUMIFS('Climate Data'!$G$7:$G$366,'Climate Data'!$A$7:$A$366,'Estimator'!$B$4,'Climate Data'!$B$7:$B$366,C4688)</x:f>
        <x:v>0.3721198156682028</x:v>
      </x:c>
      <x:c r="I4688" s="382" t="n">
        <x:f>SUMIFS('Climate Data'!$H$7:$H$366,'Climate Data'!$A$7:$A$366,'Estimator'!$B$4,'Climate Data'!$B$7:$B$366,C4688)</x:f>
        <x:v>7.940557275541795</x:v>
      </x:c>
      <x:c r="J4688" s="381" t="n">
        <x:f>SUMIFS('Wind Proxy'!$H$8:$H$19,'Wind Proxy'!$A$8:$A$19,'Estimator'!$B$4,'Wind Proxy'!$B$8:$B$19,C4688)</x:f>
        <x:v>0.21505376344086022</x:v>
      </x:c>
    </x:row>
    <x:row r="4689">
      <x:c r="A4689" s="379" t="n">
        <x:v>50340</x:v>
      </x:c>
      <x:c r="B4689" s="380" t="n">
        <x:v>2037</x:v>
      </x:c>
      <x:c r="C4689" s="380" t="n">
        <x:v>10</x:v>
      </x:c>
      <x:c r="D4689" s="380" t="str">
        <x:v>Oct</x:v>
      </x:c>
      <x:c r="E4689" s="380" t="n">
        <x:v>27</x:v>
      </x:c>
      <x:c r="F4689" s="380" t="n">
        <x:v>2</x:v>
      </x:c>
      <x:c r="G4689" s="380" t="n">
        <x:f>--(F4689&lt;='Estimator'!$B$7)</x:f>
        <x:v>1</x:v>
      </x:c>
      <x:c r="H4689" s="381" t="n">
        <x:f>SUMIFS('Climate Data'!$G$7:$G$366,'Climate Data'!$A$7:$A$366,'Estimator'!$B$4,'Climate Data'!$B$7:$B$366,C4689)</x:f>
        <x:v>0.3721198156682028</x:v>
      </x:c>
      <x:c r="I4689" s="382" t="n">
        <x:f>SUMIFS('Climate Data'!$H$7:$H$366,'Climate Data'!$A$7:$A$366,'Estimator'!$B$4,'Climate Data'!$B$7:$B$366,C4689)</x:f>
        <x:v>7.940557275541795</x:v>
      </x:c>
      <x:c r="J4689" s="381" t="n">
        <x:f>SUMIFS('Wind Proxy'!$H$8:$H$19,'Wind Proxy'!$A$8:$A$19,'Estimator'!$B$4,'Wind Proxy'!$B$8:$B$19,C4689)</x:f>
        <x:v>0.21505376344086022</x:v>
      </x:c>
    </x:row>
    <x:row r="4690">
      <x:c r="A4690" s="379" t="n">
        <x:v>50341</x:v>
      </x:c>
      <x:c r="B4690" s="380" t="n">
        <x:v>2037</x:v>
      </x:c>
      <x:c r="C4690" s="380" t="n">
        <x:v>10</x:v>
      </x:c>
      <x:c r="D4690" s="380" t="str">
        <x:v>Oct</x:v>
      </x:c>
      <x:c r="E4690" s="380" t="n">
        <x:v>28</x:v>
      </x:c>
      <x:c r="F4690" s="380" t="n">
        <x:v>3</x:v>
      </x:c>
      <x:c r="G4690" s="380" t="n">
        <x:f>--(F4690&lt;='Estimator'!$B$7)</x:f>
        <x:v>1</x:v>
      </x:c>
      <x:c r="H4690" s="381" t="n">
        <x:f>SUMIFS('Climate Data'!$G$7:$G$366,'Climate Data'!$A$7:$A$366,'Estimator'!$B$4,'Climate Data'!$B$7:$B$366,C4690)</x:f>
        <x:v>0.3721198156682028</x:v>
      </x:c>
      <x:c r="I4690" s="382" t="n">
        <x:f>SUMIFS('Climate Data'!$H$7:$H$366,'Climate Data'!$A$7:$A$366,'Estimator'!$B$4,'Climate Data'!$B$7:$B$366,C4690)</x:f>
        <x:v>7.940557275541795</x:v>
      </x:c>
      <x:c r="J4690" s="381" t="n">
        <x:f>SUMIFS('Wind Proxy'!$H$8:$H$19,'Wind Proxy'!$A$8:$A$19,'Estimator'!$B$4,'Wind Proxy'!$B$8:$B$19,C4690)</x:f>
        <x:v>0.21505376344086022</x:v>
      </x:c>
    </x:row>
    <x:row r="4691">
      <x:c r="A4691" s="379" t="n">
        <x:v>50342</x:v>
      </x:c>
      <x:c r="B4691" s="380" t="n">
        <x:v>2037</x:v>
      </x:c>
      <x:c r="C4691" s="380" t="n">
        <x:v>10</x:v>
      </x:c>
      <x:c r="D4691" s="380" t="str">
        <x:v>Oct</x:v>
      </x:c>
      <x:c r="E4691" s="380" t="n">
        <x:v>29</x:v>
      </x:c>
      <x:c r="F4691" s="380" t="n">
        <x:v>4</x:v>
      </x:c>
      <x:c r="G4691" s="380" t="n">
        <x:f>--(F4691&lt;='Estimator'!$B$7)</x:f>
        <x:v>1</x:v>
      </x:c>
      <x:c r="H4691" s="381" t="n">
        <x:f>SUMIFS('Climate Data'!$G$7:$G$366,'Climate Data'!$A$7:$A$366,'Estimator'!$B$4,'Climate Data'!$B$7:$B$366,C4691)</x:f>
        <x:v>0.3721198156682028</x:v>
      </x:c>
      <x:c r="I4691" s="382" t="n">
        <x:f>SUMIFS('Climate Data'!$H$7:$H$366,'Climate Data'!$A$7:$A$366,'Estimator'!$B$4,'Climate Data'!$B$7:$B$366,C4691)</x:f>
        <x:v>7.940557275541795</x:v>
      </x:c>
      <x:c r="J4691" s="381" t="n">
        <x:f>SUMIFS('Wind Proxy'!$H$8:$H$19,'Wind Proxy'!$A$8:$A$19,'Estimator'!$B$4,'Wind Proxy'!$B$8:$B$19,C4691)</x:f>
        <x:v>0.21505376344086022</x:v>
      </x:c>
    </x:row>
    <x:row r="4692">
      <x:c r="A4692" s="379" t="n">
        <x:v>50343</x:v>
      </x:c>
      <x:c r="B4692" s="380" t="n">
        <x:v>2037</x:v>
      </x:c>
      <x:c r="C4692" s="380" t="n">
        <x:v>10</x:v>
      </x:c>
      <x:c r="D4692" s="380" t="str">
        <x:v>Oct</x:v>
      </x:c>
      <x:c r="E4692" s="380" t="n">
        <x:v>30</x:v>
      </x:c>
      <x:c r="F4692" s="380" t="n">
        <x:v>5</x:v>
      </x:c>
      <x:c r="G4692" s="380" t="n">
        <x:f>--(F4692&lt;='Estimator'!$B$7)</x:f>
        <x:v>1</x:v>
      </x:c>
      <x:c r="H4692" s="381" t="n">
        <x:f>SUMIFS('Climate Data'!$G$7:$G$366,'Climate Data'!$A$7:$A$366,'Estimator'!$B$4,'Climate Data'!$B$7:$B$366,C4692)</x:f>
        <x:v>0.3721198156682028</x:v>
      </x:c>
      <x:c r="I4692" s="382" t="n">
        <x:f>SUMIFS('Climate Data'!$H$7:$H$366,'Climate Data'!$A$7:$A$366,'Estimator'!$B$4,'Climate Data'!$B$7:$B$366,C4692)</x:f>
        <x:v>7.940557275541795</x:v>
      </x:c>
      <x:c r="J4692" s="381" t="n">
        <x:f>SUMIFS('Wind Proxy'!$H$8:$H$19,'Wind Proxy'!$A$8:$A$19,'Estimator'!$B$4,'Wind Proxy'!$B$8:$B$19,C4692)</x:f>
        <x:v>0.21505376344086022</x:v>
      </x:c>
    </x:row>
    <x:row r="4693">
      <x:c r="A4693" s="379" t="n">
        <x:v>50344</x:v>
      </x:c>
      <x:c r="B4693" s="380" t="n">
        <x:v>2037</x:v>
      </x:c>
      <x:c r="C4693" s="380" t="n">
        <x:v>10</x:v>
      </x:c>
      <x:c r="D4693" s="380" t="str">
        <x:v>Oct</x:v>
      </x:c>
      <x:c r="E4693" s="380" t="n">
        <x:v>31</x:v>
      </x:c>
      <x:c r="F4693" s="380" t="n">
        <x:v>6</x:v>
      </x:c>
      <x:c r="G4693" s="380" t="n">
        <x:f>--(F4693&lt;='Estimator'!$B$7)</x:f>
        <x:v>0</x:v>
      </x:c>
      <x:c r="H4693" s="381" t="n">
        <x:f>SUMIFS('Climate Data'!$G$7:$G$366,'Climate Data'!$A$7:$A$366,'Estimator'!$B$4,'Climate Data'!$B$7:$B$366,C4693)</x:f>
        <x:v>0.3721198156682028</x:v>
      </x:c>
      <x:c r="I4693" s="382" t="n">
        <x:f>SUMIFS('Climate Data'!$H$7:$H$366,'Climate Data'!$A$7:$A$366,'Estimator'!$B$4,'Climate Data'!$B$7:$B$366,C4693)</x:f>
        <x:v>7.940557275541795</x:v>
      </x:c>
      <x:c r="J4693" s="381" t="n">
        <x:f>SUMIFS('Wind Proxy'!$H$8:$H$19,'Wind Proxy'!$A$8:$A$19,'Estimator'!$B$4,'Wind Proxy'!$B$8:$B$19,C4693)</x:f>
        <x:v>0.21505376344086022</x:v>
      </x:c>
    </x:row>
    <x:row r="4694">
      <x:c r="A4694" s="379" t="n">
        <x:v>50345</x:v>
      </x:c>
      <x:c r="B4694" s="380" t="n">
        <x:v>2037</x:v>
      </x:c>
      <x:c r="C4694" s="380" t="n">
        <x:v>11</x:v>
      </x:c>
      <x:c r="D4694" s="380" t="str">
        <x:v>Nov</x:v>
      </x:c>
      <x:c r="E4694" s="380" t="n">
        <x:v>1</x:v>
      </x:c>
      <x:c r="F4694" s="380" t="n">
        <x:v>7</x:v>
      </x:c>
      <x:c r="G4694" s="380" t="n">
        <x:f>--(F4694&lt;='Estimator'!$B$7)</x:f>
        <x:v>0</x:v>
      </x:c>
      <x:c r="H4694" s="381" t="n">
        <x:f>SUMIFS('Climate Data'!$G$7:$G$366,'Climate Data'!$A$7:$A$366,'Estimator'!$B$4,'Climate Data'!$B$7:$B$366,C4694)</x:f>
        <x:v>0.3111111111111111</x:v>
      </x:c>
      <x:c r="I4694" s="382" t="n">
        <x:f>SUMIFS('Climate Data'!$H$7:$H$366,'Climate Data'!$A$7:$A$366,'Estimator'!$B$4,'Climate Data'!$B$7:$B$366,C4694)</x:f>
        <x:v>7.382142857142857</x:v>
      </x:c>
      <x:c r="J4694" s="381" t="n">
        <x:f>SUMIFS('Wind Proxy'!$H$8:$H$19,'Wind Proxy'!$A$8:$A$19,'Estimator'!$B$4,'Wind Proxy'!$B$8:$B$19,C4694)</x:f>
        <x:v>0.22222222222222224</x:v>
      </x:c>
    </x:row>
    <x:row r="4695">
      <x:c r="A4695" s="379" t="n">
        <x:v>50346</x:v>
      </x:c>
      <x:c r="B4695" s="380" t="n">
        <x:v>2037</x:v>
      </x:c>
      <x:c r="C4695" s="380" t="n">
        <x:v>11</x:v>
      </x:c>
      <x:c r="D4695" s="380" t="str">
        <x:v>Nov</x:v>
      </x:c>
      <x:c r="E4695" s="380" t="n">
        <x:v>2</x:v>
      </x:c>
      <x:c r="F4695" s="380" t="n">
        <x:v>1</x:v>
      </x:c>
      <x:c r="G4695" s="380" t="n">
        <x:f>--(F4695&lt;='Estimator'!$B$7)</x:f>
        <x:v>1</x:v>
      </x:c>
      <x:c r="H4695" s="381" t="n">
        <x:f>SUMIFS('Climate Data'!$G$7:$G$366,'Climate Data'!$A$7:$A$366,'Estimator'!$B$4,'Climate Data'!$B$7:$B$366,C4695)</x:f>
        <x:v>0.3111111111111111</x:v>
      </x:c>
      <x:c r="I4695" s="382" t="n">
        <x:f>SUMIFS('Climate Data'!$H$7:$H$366,'Climate Data'!$A$7:$A$366,'Estimator'!$B$4,'Climate Data'!$B$7:$B$366,C4695)</x:f>
        <x:v>7.382142857142857</x:v>
      </x:c>
      <x:c r="J4695" s="381" t="n">
        <x:f>SUMIFS('Wind Proxy'!$H$8:$H$19,'Wind Proxy'!$A$8:$A$19,'Estimator'!$B$4,'Wind Proxy'!$B$8:$B$19,C4695)</x:f>
        <x:v>0.22222222222222224</x:v>
      </x:c>
    </x:row>
    <x:row r="4696">
      <x:c r="A4696" s="379" t="n">
        <x:v>50347</x:v>
      </x:c>
      <x:c r="B4696" s="380" t="n">
        <x:v>2037</x:v>
      </x:c>
      <x:c r="C4696" s="380" t="n">
        <x:v>11</x:v>
      </x:c>
      <x:c r="D4696" s="380" t="str">
        <x:v>Nov</x:v>
      </x:c>
      <x:c r="E4696" s="380" t="n">
        <x:v>3</x:v>
      </x:c>
      <x:c r="F4696" s="380" t="n">
        <x:v>2</x:v>
      </x:c>
      <x:c r="G4696" s="380" t="n">
        <x:f>--(F4696&lt;='Estimator'!$B$7)</x:f>
        <x:v>1</x:v>
      </x:c>
      <x:c r="H4696" s="381" t="n">
        <x:f>SUMIFS('Climate Data'!$G$7:$G$366,'Climate Data'!$A$7:$A$366,'Estimator'!$B$4,'Climate Data'!$B$7:$B$366,C4696)</x:f>
        <x:v>0.3111111111111111</x:v>
      </x:c>
      <x:c r="I4696" s="382" t="n">
        <x:f>SUMIFS('Climate Data'!$H$7:$H$366,'Climate Data'!$A$7:$A$366,'Estimator'!$B$4,'Climate Data'!$B$7:$B$366,C4696)</x:f>
        <x:v>7.382142857142857</x:v>
      </x:c>
      <x:c r="J4696" s="381" t="n">
        <x:f>SUMIFS('Wind Proxy'!$H$8:$H$19,'Wind Proxy'!$A$8:$A$19,'Estimator'!$B$4,'Wind Proxy'!$B$8:$B$19,C4696)</x:f>
        <x:v>0.22222222222222224</x:v>
      </x:c>
    </x:row>
    <x:row r="4697">
      <x:c r="A4697" s="379" t="n">
        <x:v>50348</x:v>
      </x:c>
      <x:c r="B4697" s="380" t="n">
        <x:v>2037</x:v>
      </x:c>
      <x:c r="C4697" s="380" t="n">
        <x:v>11</x:v>
      </x:c>
      <x:c r="D4697" s="380" t="str">
        <x:v>Nov</x:v>
      </x:c>
      <x:c r="E4697" s="380" t="n">
        <x:v>4</x:v>
      </x:c>
      <x:c r="F4697" s="380" t="n">
        <x:v>3</x:v>
      </x:c>
      <x:c r="G4697" s="380" t="n">
        <x:f>--(F4697&lt;='Estimator'!$B$7)</x:f>
        <x:v>1</x:v>
      </x:c>
      <x:c r="H4697" s="381" t="n">
        <x:f>SUMIFS('Climate Data'!$G$7:$G$366,'Climate Data'!$A$7:$A$366,'Estimator'!$B$4,'Climate Data'!$B$7:$B$366,C4697)</x:f>
        <x:v>0.3111111111111111</x:v>
      </x:c>
      <x:c r="I4697" s="382" t="n">
        <x:f>SUMIFS('Climate Data'!$H$7:$H$366,'Climate Data'!$A$7:$A$366,'Estimator'!$B$4,'Climate Data'!$B$7:$B$366,C4697)</x:f>
        <x:v>7.382142857142857</x:v>
      </x:c>
      <x:c r="J4697" s="381" t="n">
        <x:f>SUMIFS('Wind Proxy'!$H$8:$H$19,'Wind Proxy'!$A$8:$A$19,'Estimator'!$B$4,'Wind Proxy'!$B$8:$B$19,C4697)</x:f>
        <x:v>0.22222222222222224</x:v>
      </x:c>
    </x:row>
    <x:row r="4698">
      <x:c r="A4698" s="379" t="n">
        <x:v>50349</x:v>
      </x:c>
      <x:c r="B4698" s="380" t="n">
        <x:v>2037</x:v>
      </x:c>
      <x:c r="C4698" s="380" t="n">
        <x:v>11</x:v>
      </x:c>
      <x:c r="D4698" s="380" t="str">
        <x:v>Nov</x:v>
      </x:c>
      <x:c r="E4698" s="380" t="n">
        <x:v>5</x:v>
      </x:c>
      <x:c r="F4698" s="380" t="n">
        <x:v>4</x:v>
      </x:c>
      <x:c r="G4698" s="380" t="n">
        <x:f>--(F4698&lt;='Estimator'!$B$7)</x:f>
        <x:v>1</x:v>
      </x:c>
      <x:c r="H4698" s="381" t="n">
        <x:f>SUMIFS('Climate Data'!$G$7:$G$366,'Climate Data'!$A$7:$A$366,'Estimator'!$B$4,'Climate Data'!$B$7:$B$366,C4698)</x:f>
        <x:v>0.3111111111111111</x:v>
      </x:c>
      <x:c r="I4698" s="382" t="n">
        <x:f>SUMIFS('Climate Data'!$H$7:$H$366,'Climate Data'!$A$7:$A$366,'Estimator'!$B$4,'Climate Data'!$B$7:$B$366,C4698)</x:f>
        <x:v>7.382142857142857</x:v>
      </x:c>
      <x:c r="J4698" s="381" t="n">
        <x:f>SUMIFS('Wind Proxy'!$H$8:$H$19,'Wind Proxy'!$A$8:$A$19,'Estimator'!$B$4,'Wind Proxy'!$B$8:$B$19,C4698)</x:f>
        <x:v>0.22222222222222224</x:v>
      </x:c>
    </x:row>
    <x:row r="4699">
      <x:c r="A4699" s="379" t="n">
        <x:v>50350</x:v>
      </x:c>
      <x:c r="B4699" s="380" t="n">
        <x:v>2037</x:v>
      </x:c>
      <x:c r="C4699" s="380" t="n">
        <x:v>11</x:v>
      </x:c>
      <x:c r="D4699" s="380" t="str">
        <x:v>Nov</x:v>
      </x:c>
      <x:c r="E4699" s="380" t="n">
        <x:v>6</x:v>
      </x:c>
      <x:c r="F4699" s="380" t="n">
        <x:v>5</x:v>
      </x:c>
      <x:c r="G4699" s="380" t="n">
        <x:f>--(F4699&lt;='Estimator'!$B$7)</x:f>
        <x:v>1</x:v>
      </x:c>
      <x:c r="H4699" s="381" t="n">
        <x:f>SUMIFS('Climate Data'!$G$7:$G$366,'Climate Data'!$A$7:$A$366,'Estimator'!$B$4,'Climate Data'!$B$7:$B$366,C4699)</x:f>
        <x:v>0.3111111111111111</x:v>
      </x:c>
      <x:c r="I4699" s="382" t="n">
        <x:f>SUMIFS('Climate Data'!$H$7:$H$366,'Climate Data'!$A$7:$A$366,'Estimator'!$B$4,'Climate Data'!$B$7:$B$366,C4699)</x:f>
        <x:v>7.382142857142857</x:v>
      </x:c>
      <x:c r="J4699" s="381" t="n">
        <x:f>SUMIFS('Wind Proxy'!$H$8:$H$19,'Wind Proxy'!$A$8:$A$19,'Estimator'!$B$4,'Wind Proxy'!$B$8:$B$19,C4699)</x:f>
        <x:v>0.22222222222222224</x:v>
      </x:c>
    </x:row>
    <x:row r="4700">
      <x:c r="A4700" s="379" t="n">
        <x:v>50351</x:v>
      </x:c>
      <x:c r="B4700" s="380" t="n">
        <x:v>2037</x:v>
      </x:c>
      <x:c r="C4700" s="380" t="n">
        <x:v>11</x:v>
      </x:c>
      <x:c r="D4700" s="380" t="str">
        <x:v>Nov</x:v>
      </x:c>
      <x:c r="E4700" s="380" t="n">
        <x:v>7</x:v>
      </x:c>
      <x:c r="F4700" s="380" t="n">
        <x:v>6</x:v>
      </x:c>
      <x:c r="G4700" s="380" t="n">
        <x:f>--(F4700&lt;='Estimator'!$B$7)</x:f>
        <x:v>0</x:v>
      </x:c>
      <x:c r="H4700" s="381" t="n">
        <x:f>SUMIFS('Climate Data'!$G$7:$G$366,'Climate Data'!$A$7:$A$366,'Estimator'!$B$4,'Climate Data'!$B$7:$B$366,C4700)</x:f>
        <x:v>0.3111111111111111</x:v>
      </x:c>
      <x:c r="I4700" s="382" t="n">
        <x:f>SUMIFS('Climate Data'!$H$7:$H$366,'Climate Data'!$A$7:$A$366,'Estimator'!$B$4,'Climate Data'!$B$7:$B$366,C4700)</x:f>
        <x:v>7.382142857142857</x:v>
      </x:c>
      <x:c r="J4700" s="381" t="n">
        <x:f>SUMIFS('Wind Proxy'!$H$8:$H$19,'Wind Proxy'!$A$8:$A$19,'Estimator'!$B$4,'Wind Proxy'!$B$8:$B$19,C4700)</x:f>
        <x:v>0.22222222222222224</x:v>
      </x:c>
    </x:row>
    <x:row r="4701">
      <x:c r="A4701" s="379" t="n">
        <x:v>50352</x:v>
      </x:c>
      <x:c r="B4701" s="380" t="n">
        <x:v>2037</x:v>
      </x:c>
      <x:c r="C4701" s="380" t="n">
        <x:v>11</x:v>
      </x:c>
      <x:c r="D4701" s="380" t="str">
        <x:v>Nov</x:v>
      </x:c>
      <x:c r="E4701" s="380" t="n">
        <x:v>8</x:v>
      </x:c>
      <x:c r="F4701" s="380" t="n">
        <x:v>7</x:v>
      </x:c>
      <x:c r="G4701" s="380" t="n">
        <x:f>--(F4701&lt;='Estimator'!$B$7)</x:f>
        <x:v>0</x:v>
      </x:c>
      <x:c r="H4701" s="381" t="n">
        <x:f>SUMIFS('Climate Data'!$G$7:$G$366,'Climate Data'!$A$7:$A$366,'Estimator'!$B$4,'Climate Data'!$B$7:$B$366,C4701)</x:f>
        <x:v>0.3111111111111111</x:v>
      </x:c>
      <x:c r="I4701" s="382" t="n">
        <x:f>SUMIFS('Climate Data'!$H$7:$H$366,'Climate Data'!$A$7:$A$366,'Estimator'!$B$4,'Climate Data'!$B$7:$B$366,C4701)</x:f>
        <x:v>7.382142857142857</x:v>
      </x:c>
      <x:c r="J4701" s="381" t="n">
        <x:f>SUMIFS('Wind Proxy'!$H$8:$H$19,'Wind Proxy'!$A$8:$A$19,'Estimator'!$B$4,'Wind Proxy'!$B$8:$B$19,C4701)</x:f>
        <x:v>0.22222222222222224</x:v>
      </x:c>
    </x:row>
    <x:row r="4702">
      <x:c r="A4702" s="379" t="n">
        <x:v>50353</x:v>
      </x:c>
      <x:c r="B4702" s="380" t="n">
        <x:v>2037</x:v>
      </x:c>
      <x:c r="C4702" s="380" t="n">
        <x:v>11</x:v>
      </x:c>
      <x:c r="D4702" s="380" t="str">
        <x:v>Nov</x:v>
      </x:c>
      <x:c r="E4702" s="380" t="n">
        <x:v>9</x:v>
      </x:c>
      <x:c r="F4702" s="380" t="n">
        <x:v>1</x:v>
      </x:c>
      <x:c r="G4702" s="380" t="n">
        <x:f>--(F4702&lt;='Estimator'!$B$7)</x:f>
        <x:v>1</x:v>
      </x:c>
      <x:c r="H4702" s="381" t="n">
        <x:f>SUMIFS('Climate Data'!$G$7:$G$366,'Climate Data'!$A$7:$A$366,'Estimator'!$B$4,'Climate Data'!$B$7:$B$366,C4702)</x:f>
        <x:v>0.3111111111111111</x:v>
      </x:c>
      <x:c r="I4702" s="382" t="n">
        <x:f>SUMIFS('Climate Data'!$H$7:$H$366,'Climate Data'!$A$7:$A$366,'Estimator'!$B$4,'Climate Data'!$B$7:$B$366,C4702)</x:f>
        <x:v>7.382142857142857</x:v>
      </x:c>
      <x:c r="J4702" s="381" t="n">
        <x:f>SUMIFS('Wind Proxy'!$H$8:$H$19,'Wind Proxy'!$A$8:$A$19,'Estimator'!$B$4,'Wind Proxy'!$B$8:$B$19,C4702)</x:f>
        <x:v>0.22222222222222224</x:v>
      </x:c>
    </x:row>
    <x:row r="4703">
      <x:c r="A4703" s="379" t="n">
        <x:v>50354</x:v>
      </x:c>
      <x:c r="B4703" s="380" t="n">
        <x:v>2037</x:v>
      </x:c>
      <x:c r="C4703" s="380" t="n">
        <x:v>11</x:v>
      </x:c>
      <x:c r="D4703" s="380" t="str">
        <x:v>Nov</x:v>
      </x:c>
      <x:c r="E4703" s="380" t="n">
        <x:v>10</x:v>
      </x:c>
      <x:c r="F4703" s="380" t="n">
        <x:v>2</x:v>
      </x:c>
      <x:c r="G4703" s="380" t="n">
        <x:f>--(F4703&lt;='Estimator'!$B$7)</x:f>
        <x:v>1</x:v>
      </x:c>
      <x:c r="H4703" s="381" t="n">
        <x:f>SUMIFS('Climate Data'!$G$7:$G$366,'Climate Data'!$A$7:$A$366,'Estimator'!$B$4,'Climate Data'!$B$7:$B$366,C4703)</x:f>
        <x:v>0.3111111111111111</x:v>
      </x:c>
      <x:c r="I4703" s="382" t="n">
        <x:f>SUMIFS('Climate Data'!$H$7:$H$366,'Climate Data'!$A$7:$A$366,'Estimator'!$B$4,'Climate Data'!$B$7:$B$366,C4703)</x:f>
        <x:v>7.382142857142857</x:v>
      </x:c>
      <x:c r="J4703" s="381" t="n">
        <x:f>SUMIFS('Wind Proxy'!$H$8:$H$19,'Wind Proxy'!$A$8:$A$19,'Estimator'!$B$4,'Wind Proxy'!$B$8:$B$19,C4703)</x:f>
        <x:v>0.22222222222222224</x:v>
      </x:c>
    </x:row>
    <x:row r="4704">
      <x:c r="A4704" s="379" t="n">
        <x:v>50355</x:v>
      </x:c>
      <x:c r="B4704" s="380" t="n">
        <x:v>2037</x:v>
      </x:c>
      <x:c r="C4704" s="380" t="n">
        <x:v>11</x:v>
      </x:c>
      <x:c r="D4704" s="380" t="str">
        <x:v>Nov</x:v>
      </x:c>
      <x:c r="E4704" s="380" t="n">
        <x:v>11</x:v>
      </x:c>
      <x:c r="F4704" s="380" t="n">
        <x:v>3</x:v>
      </x:c>
      <x:c r="G4704" s="380" t="n">
        <x:f>--(F4704&lt;='Estimator'!$B$7)</x:f>
        <x:v>1</x:v>
      </x:c>
      <x:c r="H4704" s="381" t="n">
        <x:f>SUMIFS('Climate Data'!$G$7:$G$366,'Climate Data'!$A$7:$A$366,'Estimator'!$B$4,'Climate Data'!$B$7:$B$366,C4704)</x:f>
        <x:v>0.3111111111111111</x:v>
      </x:c>
      <x:c r="I4704" s="382" t="n">
        <x:f>SUMIFS('Climate Data'!$H$7:$H$366,'Climate Data'!$A$7:$A$366,'Estimator'!$B$4,'Climate Data'!$B$7:$B$366,C4704)</x:f>
        <x:v>7.382142857142857</x:v>
      </x:c>
      <x:c r="J4704" s="381" t="n">
        <x:f>SUMIFS('Wind Proxy'!$H$8:$H$19,'Wind Proxy'!$A$8:$A$19,'Estimator'!$B$4,'Wind Proxy'!$B$8:$B$19,C4704)</x:f>
        <x:v>0.22222222222222224</x:v>
      </x:c>
    </x:row>
    <x:row r="4705">
      <x:c r="A4705" s="379" t="n">
        <x:v>50356</x:v>
      </x:c>
      <x:c r="B4705" s="380" t="n">
        <x:v>2037</x:v>
      </x:c>
      <x:c r="C4705" s="380" t="n">
        <x:v>11</x:v>
      </x:c>
      <x:c r="D4705" s="380" t="str">
        <x:v>Nov</x:v>
      </x:c>
      <x:c r="E4705" s="380" t="n">
        <x:v>12</x:v>
      </x:c>
      <x:c r="F4705" s="380" t="n">
        <x:v>4</x:v>
      </x:c>
      <x:c r="G4705" s="380" t="n">
        <x:f>--(F4705&lt;='Estimator'!$B$7)</x:f>
        <x:v>1</x:v>
      </x:c>
      <x:c r="H4705" s="381" t="n">
        <x:f>SUMIFS('Climate Data'!$G$7:$G$366,'Climate Data'!$A$7:$A$366,'Estimator'!$B$4,'Climate Data'!$B$7:$B$366,C4705)</x:f>
        <x:v>0.3111111111111111</x:v>
      </x:c>
      <x:c r="I4705" s="382" t="n">
        <x:f>SUMIFS('Climate Data'!$H$7:$H$366,'Climate Data'!$A$7:$A$366,'Estimator'!$B$4,'Climate Data'!$B$7:$B$366,C4705)</x:f>
        <x:v>7.382142857142857</x:v>
      </x:c>
      <x:c r="J4705" s="381" t="n">
        <x:f>SUMIFS('Wind Proxy'!$H$8:$H$19,'Wind Proxy'!$A$8:$A$19,'Estimator'!$B$4,'Wind Proxy'!$B$8:$B$19,C4705)</x:f>
        <x:v>0.22222222222222224</x:v>
      </x:c>
    </x:row>
    <x:row r="4706">
      <x:c r="A4706" s="379" t="n">
        <x:v>50357</x:v>
      </x:c>
      <x:c r="B4706" s="380" t="n">
        <x:v>2037</x:v>
      </x:c>
      <x:c r="C4706" s="380" t="n">
        <x:v>11</x:v>
      </x:c>
      <x:c r="D4706" s="380" t="str">
        <x:v>Nov</x:v>
      </x:c>
      <x:c r="E4706" s="380" t="n">
        <x:v>13</x:v>
      </x:c>
      <x:c r="F4706" s="380" t="n">
        <x:v>5</x:v>
      </x:c>
      <x:c r="G4706" s="380" t="n">
        <x:f>--(F4706&lt;='Estimator'!$B$7)</x:f>
        <x:v>1</x:v>
      </x:c>
      <x:c r="H4706" s="381" t="n">
        <x:f>SUMIFS('Climate Data'!$G$7:$G$366,'Climate Data'!$A$7:$A$366,'Estimator'!$B$4,'Climate Data'!$B$7:$B$366,C4706)</x:f>
        <x:v>0.3111111111111111</x:v>
      </x:c>
      <x:c r="I4706" s="382" t="n">
        <x:f>SUMIFS('Climate Data'!$H$7:$H$366,'Climate Data'!$A$7:$A$366,'Estimator'!$B$4,'Climate Data'!$B$7:$B$366,C4706)</x:f>
        <x:v>7.382142857142857</x:v>
      </x:c>
      <x:c r="J4706" s="381" t="n">
        <x:f>SUMIFS('Wind Proxy'!$H$8:$H$19,'Wind Proxy'!$A$8:$A$19,'Estimator'!$B$4,'Wind Proxy'!$B$8:$B$19,C4706)</x:f>
        <x:v>0.22222222222222224</x:v>
      </x:c>
    </x:row>
    <x:row r="4707">
      <x:c r="A4707" s="379" t="n">
        <x:v>50358</x:v>
      </x:c>
      <x:c r="B4707" s="380" t="n">
        <x:v>2037</x:v>
      </x:c>
      <x:c r="C4707" s="380" t="n">
        <x:v>11</x:v>
      </x:c>
      <x:c r="D4707" s="380" t="str">
        <x:v>Nov</x:v>
      </x:c>
      <x:c r="E4707" s="380" t="n">
        <x:v>14</x:v>
      </x:c>
      <x:c r="F4707" s="380" t="n">
        <x:v>6</x:v>
      </x:c>
      <x:c r="G4707" s="380" t="n">
        <x:f>--(F4707&lt;='Estimator'!$B$7)</x:f>
        <x:v>0</x:v>
      </x:c>
      <x:c r="H4707" s="381" t="n">
        <x:f>SUMIFS('Climate Data'!$G$7:$G$366,'Climate Data'!$A$7:$A$366,'Estimator'!$B$4,'Climate Data'!$B$7:$B$366,C4707)</x:f>
        <x:v>0.3111111111111111</x:v>
      </x:c>
      <x:c r="I4707" s="382" t="n">
        <x:f>SUMIFS('Climate Data'!$H$7:$H$366,'Climate Data'!$A$7:$A$366,'Estimator'!$B$4,'Climate Data'!$B$7:$B$366,C4707)</x:f>
        <x:v>7.382142857142857</x:v>
      </x:c>
      <x:c r="J4707" s="381" t="n">
        <x:f>SUMIFS('Wind Proxy'!$H$8:$H$19,'Wind Proxy'!$A$8:$A$19,'Estimator'!$B$4,'Wind Proxy'!$B$8:$B$19,C4707)</x:f>
        <x:v>0.22222222222222224</x:v>
      </x:c>
    </x:row>
    <x:row r="4708">
      <x:c r="A4708" s="379" t="n">
        <x:v>50359</x:v>
      </x:c>
      <x:c r="B4708" s="380" t="n">
        <x:v>2037</x:v>
      </x:c>
      <x:c r="C4708" s="380" t="n">
        <x:v>11</x:v>
      </x:c>
      <x:c r="D4708" s="380" t="str">
        <x:v>Nov</x:v>
      </x:c>
      <x:c r="E4708" s="380" t="n">
        <x:v>15</x:v>
      </x:c>
      <x:c r="F4708" s="380" t="n">
        <x:v>7</x:v>
      </x:c>
      <x:c r="G4708" s="380" t="n">
        <x:f>--(F4708&lt;='Estimator'!$B$7)</x:f>
        <x:v>0</x:v>
      </x:c>
      <x:c r="H4708" s="381" t="n">
        <x:f>SUMIFS('Climate Data'!$G$7:$G$366,'Climate Data'!$A$7:$A$366,'Estimator'!$B$4,'Climate Data'!$B$7:$B$366,C4708)</x:f>
        <x:v>0.3111111111111111</x:v>
      </x:c>
      <x:c r="I4708" s="382" t="n">
        <x:f>SUMIFS('Climate Data'!$H$7:$H$366,'Climate Data'!$A$7:$A$366,'Estimator'!$B$4,'Climate Data'!$B$7:$B$366,C4708)</x:f>
        <x:v>7.382142857142857</x:v>
      </x:c>
      <x:c r="J4708" s="381" t="n">
        <x:f>SUMIFS('Wind Proxy'!$H$8:$H$19,'Wind Proxy'!$A$8:$A$19,'Estimator'!$B$4,'Wind Proxy'!$B$8:$B$19,C4708)</x:f>
        <x:v>0.22222222222222224</x:v>
      </x:c>
    </x:row>
    <x:row r="4709">
      <x:c r="A4709" s="379" t="n">
        <x:v>50360</x:v>
      </x:c>
      <x:c r="B4709" s="380" t="n">
        <x:v>2037</x:v>
      </x:c>
      <x:c r="C4709" s="380" t="n">
        <x:v>11</x:v>
      </x:c>
      <x:c r="D4709" s="380" t="str">
        <x:v>Nov</x:v>
      </x:c>
      <x:c r="E4709" s="380" t="n">
        <x:v>16</x:v>
      </x:c>
      <x:c r="F4709" s="380" t="n">
        <x:v>1</x:v>
      </x:c>
      <x:c r="G4709" s="380" t="n">
        <x:f>--(F4709&lt;='Estimator'!$B$7)</x:f>
        <x:v>1</x:v>
      </x:c>
      <x:c r="H4709" s="381" t="n">
        <x:f>SUMIFS('Climate Data'!$G$7:$G$366,'Climate Data'!$A$7:$A$366,'Estimator'!$B$4,'Climate Data'!$B$7:$B$366,C4709)</x:f>
        <x:v>0.3111111111111111</x:v>
      </x:c>
      <x:c r="I4709" s="382" t="n">
        <x:f>SUMIFS('Climate Data'!$H$7:$H$366,'Climate Data'!$A$7:$A$366,'Estimator'!$B$4,'Climate Data'!$B$7:$B$366,C4709)</x:f>
        <x:v>7.382142857142857</x:v>
      </x:c>
      <x:c r="J4709" s="381" t="n">
        <x:f>SUMIFS('Wind Proxy'!$H$8:$H$19,'Wind Proxy'!$A$8:$A$19,'Estimator'!$B$4,'Wind Proxy'!$B$8:$B$19,C4709)</x:f>
        <x:v>0.22222222222222224</x:v>
      </x:c>
    </x:row>
    <x:row r="4710">
      <x:c r="A4710" s="379" t="n">
        <x:v>50361</x:v>
      </x:c>
      <x:c r="B4710" s="380" t="n">
        <x:v>2037</x:v>
      </x:c>
      <x:c r="C4710" s="380" t="n">
        <x:v>11</x:v>
      </x:c>
      <x:c r="D4710" s="380" t="str">
        <x:v>Nov</x:v>
      </x:c>
      <x:c r="E4710" s="380" t="n">
        <x:v>17</x:v>
      </x:c>
      <x:c r="F4710" s="380" t="n">
        <x:v>2</x:v>
      </x:c>
      <x:c r="G4710" s="380" t="n">
        <x:f>--(F4710&lt;='Estimator'!$B$7)</x:f>
        <x:v>1</x:v>
      </x:c>
      <x:c r="H4710" s="381" t="n">
        <x:f>SUMIFS('Climate Data'!$G$7:$G$366,'Climate Data'!$A$7:$A$366,'Estimator'!$B$4,'Climate Data'!$B$7:$B$366,C4710)</x:f>
        <x:v>0.3111111111111111</x:v>
      </x:c>
      <x:c r="I4710" s="382" t="n">
        <x:f>SUMIFS('Climate Data'!$H$7:$H$366,'Climate Data'!$A$7:$A$366,'Estimator'!$B$4,'Climate Data'!$B$7:$B$366,C4710)</x:f>
        <x:v>7.382142857142857</x:v>
      </x:c>
      <x:c r="J4710" s="381" t="n">
        <x:f>SUMIFS('Wind Proxy'!$H$8:$H$19,'Wind Proxy'!$A$8:$A$19,'Estimator'!$B$4,'Wind Proxy'!$B$8:$B$19,C4710)</x:f>
        <x:v>0.22222222222222224</x:v>
      </x:c>
    </x:row>
    <x:row r="4711">
      <x:c r="A4711" s="379" t="n">
        <x:v>50362</x:v>
      </x:c>
      <x:c r="B4711" s="380" t="n">
        <x:v>2037</x:v>
      </x:c>
      <x:c r="C4711" s="380" t="n">
        <x:v>11</x:v>
      </x:c>
      <x:c r="D4711" s="380" t="str">
        <x:v>Nov</x:v>
      </x:c>
      <x:c r="E4711" s="380" t="n">
        <x:v>18</x:v>
      </x:c>
      <x:c r="F4711" s="380" t="n">
        <x:v>3</x:v>
      </x:c>
      <x:c r="G4711" s="380" t="n">
        <x:f>--(F4711&lt;='Estimator'!$B$7)</x:f>
        <x:v>1</x:v>
      </x:c>
      <x:c r="H4711" s="381" t="n">
        <x:f>SUMIFS('Climate Data'!$G$7:$G$366,'Climate Data'!$A$7:$A$366,'Estimator'!$B$4,'Climate Data'!$B$7:$B$366,C4711)</x:f>
        <x:v>0.3111111111111111</x:v>
      </x:c>
      <x:c r="I4711" s="382" t="n">
        <x:f>SUMIFS('Climate Data'!$H$7:$H$366,'Climate Data'!$A$7:$A$366,'Estimator'!$B$4,'Climate Data'!$B$7:$B$366,C4711)</x:f>
        <x:v>7.382142857142857</x:v>
      </x:c>
      <x:c r="J4711" s="381" t="n">
        <x:f>SUMIFS('Wind Proxy'!$H$8:$H$19,'Wind Proxy'!$A$8:$A$19,'Estimator'!$B$4,'Wind Proxy'!$B$8:$B$19,C4711)</x:f>
        <x:v>0.22222222222222224</x:v>
      </x:c>
    </x:row>
    <x:row r="4712">
      <x:c r="A4712" s="379" t="n">
        <x:v>50363</x:v>
      </x:c>
      <x:c r="B4712" s="380" t="n">
        <x:v>2037</x:v>
      </x:c>
      <x:c r="C4712" s="380" t="n">
        <x:v>11</x:v>
      </x:c>
      <x:c r="D4712" s="380" t="str">
        <x:v>Nov</x:v>
      </x:c>
      <x:c r="E4712" s="380" t="n">
        <x:v>19</x:v>
      </x:c>
      <x:c r="F4712" s="380" t="n">
        <x:v>4</x:v>
      </x:c>
      <x:c r="G4712" s="380" t="n">
        <x:f>--(F4712&lt;='Estimator'!$B$7)</x:f>
        <x:v>1</x:v>
      </x:c>
      <x:c r="H4712" s="381" t="n">
        <x:f>SUMIFS('Climate Data'!$G$7:$G$366,'Climate Data'!$A$7:$A$366,'Estimator'!$B$4,'Climate Data'!$B$7:$B$366,C4712)</x:f>
        <x:v>0.3111111111111111</x:v>
      </x:c>
      <x:c r="I4712" s="382" t="n">
        <x:f>SUMIFS('Climate Data'!$H$7:$H$366,'Climate Data'!$A$7:$A$366,'Estimator'!$B$4,'Climate Data'!$B$7:$B$366,C4712)</x:f>
        <x:v>7.382142857142857</x:v>
      </x:c>
      <x:c r="J4712" s="381" t="n">
        <x:f>SUMIFS('Wind Proxy'!$H$8:$H$19,'Wind Proxy'!$A$8:$A$19,'Estimator'!$B$4,'Wind Proxy'!$B$8:$B$19,C4712)</x:f>
        <x:v>0.22222222222222224</x:v>
      </x:c>
    </x:row>
    <x:row r="4713">
      <x:c r="A4713" s="379" t="n">
        <x:v>50364</x:v>
      </x:c>
      <x:c r="B4713" s="380" t="n">
        <x:v>2037</x:v>
      </x:c>
      <x:c r="C4713" s="380" t="n">
        <x:v>11</x:v>
      </x:c>
      <x:c r="D4713" s="380" t="str">
        <x:v>Nov</x:v>
      </x:c>
      <x:c r="E4713" s="380" t="n">
        <x:v>20</x:v>
      </x:c>
      <x:c r="F4713" s="380" t="n">
        <x:v>5</x:v>
      </x:c>
      <x:c r="G4713" s="380" t="n">
        <x:f>--(F4713&lt;='Estimator'!$B$7)</x:f>
        <x:v>1</x:v>
      </x:c>
      <x:c r="H4713" s="381" t="n">
        <x:f>SUMIFS('Climate Data'!$G$7:$G$366,'Climate Data'!$A$7:$A$366,'Estimator'!$B$4,'Climate Data'!$B$7:$B$366,C4713)</x:f>
        <x:v>0.3111111111111111</x:v>
      </x:c>
      <x:c r="I4713" s="382" t="n">
        <x:f>SUMIFS('Climate Data'!$H$7:$H$366,'Climate Data'!$A$7:$A$366,'Estimator'!$B$4,'Climate Data'!$B$7:$B$366,C4713)</x:f>
        <x:v>7.382142857142857</x:v>
      </x:c>
      <x:c r="J4713" s="381" t="n">
        <x:f>SUMIFS('Wind Proxy'!$H$8:$H$19,'Wind Proxy'!$A$8:$A$19,'Estimator'!$B$4,'Wind Proxy'!$B$8:$B$19,C4713)</x:f>
        <x:v>0.22222222222222224</x:v>
      </x:c>
    </x:row>
    <x:row r="4714">
      <x:c r="A4714" s="379" t="n">
        <x:v>50365</x:v>
      </x:c>
      <x:c r="B4714" s="380" t="n">
        <x:v>2037</x:v>
      </x:c>
      <x:c r="C4714" s="380" t="n">
        <x:v>11</x:v>
      </x:c>
      <x:c r="D4714" s="380" t="str">
        <x:v>Nov</x:v>
      </x:c>
      <x:c r="E4714" s="380" t="n">
        <x:v>21</x:v>
      </x:c>
      <x:c r="F4714" s="380" t="n">
        <x:v>6</x:v>
      </x:c>
      <x:c r="G4714" s="380" t="n">
        <x:f>--(F4714&lt;='Estimator'!$B$7)</x:f>
        <x:v>0</x:v>
      </x:c>
      <x:c r="H4714" s="381" t="n">
        <x:f>SUMIFS('Climate Data'!$G$7:$G$366,'Climate Data'!$A$7:$A$366,'Estimator'!$B$4,'Climate Data'!$B$7:$B$366,C4714)</x:f>
        <x:v>0.3111111111111111</x:v>
      </x:c>
      <x:c r="I4714" s="382" t="n">
        <x:f>SUMIFS('Climate Data'!$H$7:$H$366,'Climate Data'!$A$7:$A$366,'Estimator'!$B$4,'Climate Data'!$B$7:$B$366,C4714)</x:f>
        <x:v>7.382142857142857</x:v>
      </x:c>
      <x:c r="J4714" s="381" t="n">
        <x:f>SUMIFS('Wind Proxy'!$H$8:$H$19,'Wind Proxy'!$A$8:$A$19,'Estimator'!$B$4,'Wind Proxy'!$B$8:$B$19,C4714)</x:f>
        <x:v>0.22222222222222224</x:v>
      </x:c>
    </x:row>
    <x:row r="4715">
      <x:c r="A4715" s="379" t="n">
        <x:v>50366</x:v>
      </x:c>
      <x:c r="B4715" s="380" t="n">
        <x:v>2037</x:v>
      </x:c>
      <x:c r="C4715" s="380" t="n">
        <x:v>11</x:v>
      </x:c>
      <x:c r="D4715" s="380" t="str">
        <x:v>Nov</x:v>
      </x:c>
      <x:c r="E4715" s="380" t="n">
        <x:v>22</x:v>
      </x:c>
      <x:c r="F4715" s="380" t="n">
        <x:v>7</x:v>
      </x:c>
      <x:c r="G4715" s="380" t="n">
        <x:f>--(F4715&lt;='Estimator'!$B$7)</x:f>
        <x:v>0</x:v>
      </x:c>
      <x:c r="H4715" s="381" t="n">
        <x:f>SUMIFS('Climate Data'!$G$7:$G$366,'Climate Data'!$A$7:$A$366,'Estimator'!$B$4,'Climate Data'!$B$7:$B$366,C4715)</x:f>
        <x:v>0.3111111111111111</x:v>
      </x:c>
      <x:c r="I4715" s="382" t="n">
        <x:f>SUMIFS('Climate Data'!$H$7:$H$366,'Climate Data'!$A$7:$A$366,'Estimator'!$B$4,'Climate Data'!$B$7:$B$366,C4715)</x:f>
        <x:v>7.382142857142857</x:v>
      </x:c>
      <x:c r="J4715" s="381" t="n">
        <x:f>SUMIFS('Wind Proxy'!$H$8:$H$19,'Wind Proxy'!$A$8:$A$19,'Estimator'!$B$4,'Wind Proxy'!$B$8:$B$19,C4715)</x:f>
        <x:v>0.22222222222222224</x:v>
      </x:c>
    </x:row>
    <x:row r="4716">
      <x:c r="A4716" s="379" t="n">
        <x:v>50367</x:v>
      </x:c>
      <x:c r="B4716" s="380" t="n">
        <x:v>2037</x:v>
      </x:c>
      <x:c r="C4716" s="380" t="n">
        <x:v>11</x:v>
      </x:c>
      <x:c r="D4716" s="380" t="str">
        <x:v>Nov</x:v>
      </x:c>
      <x:c r="E4716" s="380" t="n">
        <x:v>23</x:v>
      </x:c>
      <x:c r="F4716" s="380" t="n">
        <x:v>1</x:v>
      </x:c>
      <x:c r="G4716" s="380" t="n">
        <x:f>--(F4716&lt;='Estimator'!$B$7)</x:f>
        <x:v>1</x:v>
      </x:c>
      <x:c r="H4716" s="381" t="n">
        <x:f>SUMIFS('Climate Data'!$G$7:$G$366,'Climate Data'!$A$7:$A$366,'Estimator'!$B$4,'Climate Data'!$B$7:$B$366,C4716)</x:f>
        <x:v>0.3111111111111111</x:v>
      </x:c>
      <x:c r="I4716" s="382" t="n">
        <x:f>SUMIFS('Climate Data'!$H$7:$H$366,'Climate Data'!$A$7:$A$366,'Estimator'!$B$4,'Climate Data'!$B$7:$B$366,C4716)</x:f>
        <x:v>7.382142857142857</x:v>
      </x:c>
      <x:c r="J4716" s="381" t="n">
        <x:f>SUMIFS('Wind Proxy'!$H$8:$H$19,'Wind Proxy'!$A$8:$A$19,'Estimator'!$B$4,'Wind Proxy'!$B$8:$B$19,C4716)</x:f>
        <x:v>0.22222222222222224</x:v>
      </x:c>
    </x:row>
    <x:row r="4717">
      <x:c r="A4717" s="379" t="n">
        <x:v>50368</x:v>
      </x:c>
      <x:c r="B4717" s="380" t="n">
        <x:v>2037</x:v>
      </x:c>
      <x:c r="C4717" s="380" t="n">
        <x:v>11</x:v>
      </x:c>
      <x:c r="D4717" s="380" t="str">
        <x:v>Nov</x:v>
      </x:c>
      <x:c r="E4717" s="380" t="n">
        <x:v>24</x:v>
      </x:c>
      <x:c r="F4717" s="380" t="n">
        <x:v>2</x:v>
      </x:c>
      <x:c r="G4717" s="380" t="n">
        <x:f>--(F4717&lt;='Estimator'!$B$7)</x:f>
        <x:v>1</x:v>
      </x:c>
      <x:c r="H4717" s="381" t="n">
        <x:f>SUMIFS('Climate Data'!$G$7:$G$366,'Climate Data'!$A$7:$A$366,'Estimator'!$B$4,'Climate Data'!$B$7:$B$366,C4717)</x:f>
        <x:v>0.3111111111111111</x:v>
      </x:c>
      <x:c r="I4717" s="382" t="n">
        <x:f>SUMIFS('Climate Data'!$H$7:$H$366,'Climate Data'!$A$7:$A$366,'Estimator'!$B$4,'Climate Data'!$B$7:$B$366,C4717)</x:f>
        <x:v>7.382142857142857</x:v>
      </x:c>
      <x:c r="J4717" s="381" t="n">
        <x:f>SUMIFS('Wind Proxy'!$H$8:$H$19,'Wind Proxy'!$A$8:$A$19,'Estimator'!$B$4,'Wind Proxy'!$B$8:$B$19,C4717)</x:f>
        <x:v>0.22222222222222224</x:v>
      </x:c>
    </x:row>
    <x:row r="4718">
      <x:c r="A4718" s="379" t="n">
        <x:v>50369</x:v>
      </x:c>
      <x:c r="B4718" s="380" t="n">
        <x:v>2037</x:v>
      </x:c>
      <x:c r="C4718" s="380" t="n">
        <x:v>11</x:v>
      </x:c>
      <x:c r="D4718" s="380" t="str">
        <x:v>Nov</x:v>
      </x:c>
      <x:c r="E4718" s="380" t="n">
        <x:v>25</x:v>
      </x:c>
      <x:c r="F4718" s="380" t="n">
        <x:v>3</x:v>
      </x:c>
      <x:c r="G4718" s="380" t="n">
        <x:f>--(F4718&lt;='Estimator'!$B$7)</x:f>
        <x:v>1</x:v>
      </x:c>
      <x:c r="H4718" s="381" t="n">
        <x:f>SUMIFS('Climate Data'!$G$7:$G$366,'Climate Data'!$A$7:$A$366,'Estimator'!$B$4,'Climate Data'!$B$7:$B$366,C4718)</x:f>
        <x:v>0.3111111111111111</x:v>
      </x:c>
      <x:c r="I4718" s="382" t="n">
        <x:f>SUMIFS('Climate Data'!$H$7:$H$366,'Climate Data'!$A$7:$A$366,'Estimator'!$B$4,'Climate Data'!$B$7:$B$366,C4718)</x:f>
        <x:v>7.382142857142857</x:v>
      </x:c>
      <x:c r="J4718" s="381" t="n">
        <x:f>SUMIFS('Wind Proxy'!$H$8:$H$19,'Wind Proxy'!$A$8:$A$19,'Estimator'!$B$4,'Wind Proxy'!$B$8:$B$19,C4718)</x:f>
        <x:v>0.22222222222222224</x:v>
      </x:c>
    </x:row>
    <x:row r="4719">
      <x:c r="A4719" s="379" t="n">
        <x:v>50370</x:v>
      </x:c>
      <x:c r="B4719" s="380" t="n">
        <x:v>2037</x:v>
      </x:c>
      <x:c r="C4719" s="380" t="n">
        <x:v>11</x:v>
      </x:c>
      <x:c r="D4719" s="380" t="str">
        <x:v>Nov</x:v>
      </x:c>
      <x:c r="E4719" s="380" t="n">
        <x:v>26</x:v>
      </x:c>
      <x:c r="F4719" s="380" t="n">
        <x:v>4</x:v>
      </x:c>
      <x:c r="G4719" s="380" t="n">
        <x:f>--(F4719&lt;='Estimator'!$B$7)</x:f>
        <x:v>1</x:v>
      </x:c>
      <x:c r="H4719" s="381" t="n">
        <x:f>SUMIFS('Climate Data'!$G$7:$G$366,'Climate Data'!$A$7:$A$366,'Estimator'!$B$4,'Climate Data'!$B$7:$B$366,C4719)</x:f>
        <x:v>0.3111111111111111</x:v>
      </x:c>
      <x:c r="I4719" s="382" t="n">
        <x:f>SUMIFS('Climate Data'!$H$7:$H$366,'Climate Data'!$A$7:$A$366,'Estimator'!$B$4,'Climate Data'!$B$7:$B$366,C4719)</x:f>
        <x:v>7.382142857142857</x:v>
      </x:c>
      <x:c r="J4719" s="381" t="n">
        <x:f>SUMIFS('Wind Proxy'!$H$8:$H$19,'Wind Proxy'!$A$8:$A$19,'Estimator'!$B$4,'Wind Proxy'!$B$8:$B$19,C4719)</x:f>
        <x:v>0.22222222222222224</x:v>
      </x:c>
    </x:row>
    <x:row r="4720">
      <x:c r="A4720" s="379" t="n">
        <x:v>50371</x:v>
      </x:c>
      <x:c r="B4720" s="380" t="n">
        <x:v>2037</x:v>
      </x:c>
      <x:c r="C4720" s="380" t="n">
        <x:v>11</x:v>
      </x:c>
      <x:c r="D4720" s="380" t="str">
        <x:v>Nov</x:v>
      </x:c>
      <x:c r="E4720" s="380" t="n">
        <x:v>27</x:v>
      </x:c>
      <x:c r="F4720" s="380" t="n">
        <x:v>5</x:v>
      </x:c>
      <x:c r="G4720" s="380" t="n">
        <x:f>--(F4720&lt;='Estimator'!$B$7)</x:f>
        <x:v>1</x:v>
      </x:c>
      <x:c r="H4720" s="381" t="n">
        <x:f>SUMIFS('Climate Data'!$G$7:$G$366,'Climate Data'!$A$7:$A$366,'Estimator'!$B$4,'Climate Data'!$B$7:$B$366,C4720)</x:f>
        <x:v>0.3111111111111111</x:v>
      </x:c>
      <x:c r="I4720" s="382" t="n">
        <x:f>SUMIFS('Climate Data'!$H$7:$H$366,'Climate Data'!$A$7:$A$366,'Estimator'!$B$4,'Climate Data'!$B$7:$B$366,C4720)</x:f>
        <x:v>7.382142857142857</x:v>
      </x:c>
      <x:c r="J4720" s="381" t="n">
        <x:f>SUMIFS('Wind Proxy'!$H$8:$H$19,'Wind Proxy'!$A$8:$A$19,'Estimator'!$B$4,'Wind Proxy'!$B$8:$B$19,C4720)</x:f>
        <x:v>0.22222222222222224</x:v>
      </x:c>
    </x:row>
    <x:row r="4721">
      <x:c r="A4721" s="379" t="n">
        <x:v>50372</x:v>
      </x:c>
      <x:c r="B4721" s="380" t="n">
        <x:v>2037</x:v>
      </x:c>
      <x:c r="C4721" s="380" t="n">
        <x:v>11</x:v>
      </x:c>
      <x:c r="D4721" s="380" t="str">
        <x:v>Nov</x:v>
      </x:c>
      <x:c r="E4721" s="380" t="n">
        <x:v>28</x:v>
      </x:c>
      <x:c r="F4721" s="380" t="n">
        <x:v>6</x:v>
      </x:c>
      <x:c r="G4721" s="380" t="n">
        <x:f>--(F4721&lt;='Estimator'!$B$7)</x:f>
        <x:v>0</x:v>
      </x:c>
      <x:c r="H4721" s="381" t="n">
        <x:f>SUMIFS('Climate Data'!$G$7:$G$366,'Climate Data'!$A$7:$A$366,'Estimator'!$B$4,'Climate Data'!$B$7:$B$366,C4721)</x:f>
        <x:v>0.3111111111111111</x:v>
      </x:c>
      <x:c r="I4721" s="382" t="n">
        <x:f>SUMIFS('Climate Data'!$H$7:$H$366,'Climate Data'!$A$7:$A$366,'Estimator'!$B$4,'Climate Data'!$B$7:$B$366,C4721)</x:f>
        <x:v>7.382142857142857</x:v>
      </x:c>
      <x:c r="J4721" s="381" t="n">
        <x:f>SUMIFS('Wind Proxy'!$H$8:$H$19,'Wind Proxy'!$A$8:$A$19,'Estimator'!$B$4,'Wind Proxy'!$B$8:$B$19,C4721)</x:f>
        <x:v>0.22222222222222224</x:v>
      </x:c>
    </x:row>
    <x:row r="4722">
      <x:c r="A4722" s="379" t="n">
        <x:v>50373</x:v>
      </x:c>
      <x:c r="B4722" s="380" t="n">
        <x:v>2037</x:v>
      </x:c>
      <x:c r="C4722" s="380" t="n">
        <x:v>11</x:v>
      </x:c>
      <x:c r="D4722" s="380" t="str">
        <x:v>Nov</x:v>
      </x:c>
      <x:c r="E4722" s="380" t="n">
        <x:v>29</x:v>
      </x:c>
      <x:c r="F4722" s="380" t="n">
        <x:v>7</x:v>
      </x:c>
      <x:c r="G4722" s="380" t="n">
        <x:f>--(F4722&lt;='Estimator'!$B$7)</x:f>
        <x:v>0</x:v>
      </x:c>
      <x:c r="H4722" s="381" t="n">
        <x:f>SUMIFS('Climate Data'!$G$7:$G$366,'Climate Data'!$A$7:$A$366,'Estimator'!$B$4,'Climate Data'!$B$7:$B$366,C4722)</x:f>
        <x:v>0.3111111111111111</x:v>
      </x:c>
      <x:c r="I4722" s="382" t="n">
        <x:f>SUMIFS('Climate Data'!$H$7:$H$366,'Climate Data'!$A$7:$A$366,'Estimator'!$B$4,'Climate Data'!$B$7:$B$366,C4722)</x:f>
        <x:v>7.382142857142857</x:v>
      </x:c>
      <x:c r="J4722" s="381" t="n">
        <x:f>SUMIFS('Wind Proxy'!$H$8:$H$19,'Wind Proxy'!$A$8:$A$19,'Estimator'!$B$4,'Wind Proxy'!$B$8:$B$19,C4722)</x:f>
        <x:v>0.22222222222222224</x:v>
      </x:c>
    </x:row>
    <x:row r="4723">
      <x:c r="A4723" s="379" t="n">
        <x:v>50374</x:v>
      </x:c>
      <x:c r="B4723" s="380" t="n">
        <x:v>2037</x:v>
      </x:c>
      <x:c r="C4723" s="380" t="n">
        <x:v>11</x:v>
      </x:c>
      <x:c r="D4723" s="380" t="str">
        <x:v>Nov</x:v>
      </x:c>
      <x:c r="E4723" s="380" t="n">
        <x:v>30</x:v>
      </x:c>
      <x:c r="F4723" s="380" t="n">
        <x:v>1</x:v>
      </x:c>
      <x:c r="G4723" s="380" t="n">
        <x:f>--(F4723&lt;='Estimator'!$B$7)</x:f>
        <x:v>1</x:v>
      </x:c>
      <x:c r="H4723" s="381" t="n">
        <x:f>SUMIFS('Climate Data'!$G$7:$G$366,'Climate Data'!$A$7:$A$366,'Estimator'!$B$4,'Climate Data'!$B$7:$B$366,C4723)</x:f>
        <x:v>0.3111111111111111</x:v>
      </x:c>
      <x:c r="I4723" s="382" t="n">
        <x:f>SUMIFS('Climate Data'!$H$7:$H$366,'Climate Data'!$A$7:$A$366,'Estimator'!$B$4,'Climate Data'!$B$7:$B$366,C4723)</x:f>
        <x:v>7.382142857142857</x:v>
      </x:c>
      <x:c r="J4723" s="381" t="n">
        <x:f>SUMIFS('Wind Proxy'!$H$8:$H$19,'Wind Proxy'!$A$8:$A$19,'Estimator'!$B$4,'Wind Proxy'!$B$8:$B$19,C4723)</x:f>
        <x:v>0.22222222222222224</x:v>
      </x:c>
    </x:row>
    <x:row r="4724">
      <x:c r="A4724" s="379" t="n">
        <x:v>50375</x:v>
      </x:c>
      <x:c r="B4724" s="380" t="n">
        <x:v>2037</x:v>
      </x:c>
      <x:c r="C4724" s="380" t="n">
        <x:v>12</x:v>
      </x:c>
      <x:c r="D4724" s="380" t="str">
        <x:v>Dec</x:v>
      </x:c>
      <x:c r="E4724" s="380" t="n">
        <x:v>1</x:v>
      </x:c>
      <x:c r="F4724" s="380" t="n">
        <x:v>2</x:v>
      </x:c>
      <x:c r="G4724" s="380" t="n">
        <x:f>--(F4724&lt;='Estimator'!$B$7)</x:f>
        <x:v>1</x:v>
      </x:c>
      <x:c r="H4724" s="381" t="n">
        <x:f>SUMIFS('Climate Data'!$G$7:$G$366,'Climate Data'!$A$7:$A$366,'Estimator'!$B$4,'Climate Data'!$B$7:$B$366,C4724)</x:f>
        <x:v>0.2914349276974416</x:v>
      </x:c>
      <x:c r="I4724" s="382" t="n">
        <x:f>SUMIFS('Climate Data'!$H$7:$H$366,'Climate Data'!$A$7:$A$366,'Estimator'!$B$4,'Climate Data'!$B$7:$B$366,C4724)</x:f>
        <x:v>9.043129770992365</x:v>
      </x:c>
      <x:c r="J4724" s="381" t="n">
        <x:f>SUMIFS('Wind Proxy'!$H$8:$H$19,'Wind Proxy'!$A$8:$A$19,'Estimator'!$B$4,'Wind Proxy'!$B$8:$B$19,C4724)</x:f>
        <x:v>0.12544802867383514</x:v>
      </x:c>
    </x:row>
    <x:row r="4725">
      <x:c r="A4725" s="379" t="n">
        <x:v>50376</x:v>
      </x:c>
      <x:c r="B4725" s="380" t="n">
        <x:v>2037</x:v>
      </x:c>
      <x:c r="C4725" s="380" t="n">
        <x:v>12</x:v>
      </x:c>
      <x:c r="D4725" s="380" t="str">
        <x:v>Dec</x:v>
      </x:c>
      <x:c r="E4725" s="380" t="n">
        <x:v>2</x:v>
      </x:c>
      <x:c r="F4725" s="380" t="n">
        <x:v>3</x:v>
      </x:c>
      <x:c r="G4725" s="380" t="n">
        <x:f>--(F4725&lt;='Estimator'!$B$7)</x:f>
        <x:v>1</x:v>
      </x:c>
      <x:c r="H4725" s="381" t="n">
        <x:f>SUMIFS('Climate Data'!$G$7:$G$366,'Climate Data'!$A$7:$A$366,'Estimator'!$B$4,'Climate Data'!$B$7:$B$366,C4725)</x:f>
        <x:v>0.2914349276974416</x:v>
      </x:c>
      <x:c r="I4725" s="382" t="n">
        <x:f>SUMIFS('Climate Data'!$H$7:$H$366,'Climate Data'!$A$7:$A$366,'Estimator'!$B$4,'Climate Data'!$B$7:$B$366,C4725)</x:f>
        <x:v>9.043129770992365</x:v>
      </x:c>
      <x:c r="J4725" s="381" t="n">
        <x:f>SUMIFS('Wind Proxy'!$H$8:$H$19,'Wind Proxy'!$A$8:$A$19,'Estimator'!$B$4,'Wind Proxy'!$B$8:$B$19,C4725)</x:f>
        <x:v>0.12544802867383514</x:v>
      </x:c>
    </x:row>
    <x:row r="4726">
      <x:c r="A4726" s="379" t="n">
        <x:v>50377</x:v>
      </x:c>
      <x:c r="B4726" s="380" t="n">
        <x:v>2037</x:v>
      </x:c>
      <x:c r="C4726" s="380" t="n">
        <x:v>12</x:v>
      </x:c>
      <x:c r="D4726" s="380" t="str">
        <x:v>Dec</x:v>
      </x:c>
      <x:c r="E4726" s="380" t="n">
        <x:v>3</x:v>
      </x:c>
      <x:c r="F4726" s="380" t="n">
        <x:v>4</x:v>
      </x:c>
      <x:c r="G4726" s="380" t="n">
        <x:f>--(F4726&lt;='Estimator'!$B$7)</x:f>
        <x:v>1</x:v>
      </x:c>
      <x:c r="H4726" s="381" t="n">
        <x:f>SUMIFS('Climate Data'!$G$7:$G$366,'Climate Data'!$A$7:$A$366,'Estimator'!$B$4,'Climate Data'!$B$7:$B$366,C4726)</x:f>
        <x:v>0.2914349276974416</x:v>
      </x:c>
      <x:c r="I4726" s="382" t="n">
        <x:f>SUMIFS('Climate Data'!$H$7:$H$366,'Climate Data'!$A$7:$A$366,'Estimator'!$B$4,'Climate Data'!$B$7:$B$366,C4726)</x:f>
        <x:v>9.043129770992365</x:v>
      </x:c>
      <x:c r="J4726" s="381" t="n">
        <x:f>SUMIFS('Wind Proxy'!$H$8:$H$19,'Wind Proxy'!$A$8:$A$19,'Estimator'!$B$4,'Wind Proxy'!$B$8:$B$19,C4726)</x:f>
        <x:v>0.12544802867383514</x:v>
      </x:c>
    </x:row>
    <x:row r="4727">
      <x:c r="A4727" s="379" t="n">
        <x:v>50378</x:v>
      </x:c>
      <x:c r="B4727" s="380" t="n">
        <x:v>2037</x:v>
      </x:c>
      <x:c r="C4727" s="380" t="n">
        <x:v>12</x:v>
      </x:c>
      <x:c r="D4727" s="380" t="str">
        <x:v>Dec</x:v>
      </x:c>
      <x:c r="E4727" s="380" t="n">
        <x:v>4</x:v>
      </x:c>
      <x:c r="F4727" s="380" t="n">
        <x:v>5</x:v>
      </x:c>
      <x:c r="G4727" s="380" t="n">
        <x:f>--(F4727&lt;='Estimator'!$B$7)</x:f>
        <x:v>1</x:v>
      </x:c>
      <x:c r="H4727" s="381" t="n">
        <x:f>SUMIFS('Climate Data'!$G$7:$G$366,'Climate Data'!$A$7:$A$366,'Estimator'!$B$4,'Climate Data'!$B$7:$B$366,C4727)</x:f>
        <x:v>0.2914349276974416</x:v>
      </x:c>
      <x:c r="I4727" s="382" t="n">
        <x:f>SUMIFS('Climate Data'!$H$7:$H$366,'Climate Data'!$A$7:$A$366,'Estimator'!$B$4,'Climate Data'!$B$7:$B$366,C4727)</x:f>
        <x:v>9.043129770992365</x:v>
      </x:c>
      <x:c r="J4727" s="381" t="n">
        <x:f>SUMIFS('Wind Proxy'!$H$8:$H$19,'Wind Proxy'!$A$8:$A$19,'Estimator'!$B$4,'Wind Proxy'!$B$8:$B$19,C4727)</x:f>
        <x:v>0.12544802867383514</x:v>
      </x:c>
    </x:row>
    <x:row r="4728">
      <x:c r="A4728" s="379" t="n">
        <x:v>50379</x:v>
      </x:c>
      <x:c r="B4728" s="380" t="n">
        <x:v>2037</x:v>
      </x:c>
      <x:c r="C4728" s="380" t="n">
        <x:v>12</x:v>
      </x:c>
      <x:c r="D4728" s="380" t="str">
        <x:v>Dec</x:v>
      </x:c>
      <x:c r="E4728" s="380" t="n">
        <x:v>5</x:v>
      </x:c>
      <x:c r="F4728" s="380" t="n">
        <x:v>6</x:v>
      </x:c>
      <x:c r="G4728" s="380" t="n">
        <x:f>--(F4728&lt;='Estimator'!$B$7)</x:f>
        <x:v>0</x:v>
      </x:c>
      <x:c r="H4728" s="381" t="n">
        <x:f>SUMIFS('Climate Data'!$G$7:$G$366,'Climate Data'!$A$7:$A$366,'Estimator'!$B$4,'Climate Data'!$B$7:$B$366,C4728)</x:f>
        <x:v>0.2914349276974416</x:v>
      </x:c>
      <x:c r="I4728" s="382" t="n">
        <x:f>SUMIFS('Climate Data'!$H$7:$H$366,'Climate Data'!$A$7:$A$366,'Estimator'!$B$4,'Climate Data'!$B$7:$B$366,C4728)</x:f>
        <x:v>9.043129770992365</x:v>
      </x:c>
      <x:c r="J4728" s="381" t="n">
        <x:f>SUMIFS('Wind Proxy'!$H$8:$H$19,'Wind Proxy'!$A$8:$A$19,'Estimator'!$B$4,'Wind Proxy'!$B$8:$B$19,C4728)</x:f>
        <x:v>0.12544802867383514</x:v>
      </x:c>
    </x:row>
    <x:row r="4729">
      <x:c r="A4729" s="379" t="n">
        <x:v>50380</x:v>
      </x:c>
      <x:c r="B4729" s="380" t="n">
        <x:v>2037</x:v>
      </x:c>
      <x:c r="C4729" s="380" t="n">
        <x:v>12</x:v>
      </x:c>
      <x:c r="D4729" s="380" t="str">
        <x:v>Dec</x:v>
      </x:c>
      <x:c r="E4729" s="380" t="n">
        <x:v>6</x:v>
      </x:c>
      <x:c r="F4729" s="380" t="n">
        <x:v>7</x:v>
      </x:c>
      <x:c r="G4729" s="380" t="n">
        <x:f>--(F4729&lt;='Estimator'!$B$7)</x:f>
        <x:v>0</x:v>
      </x:c>
      <x:c r="H4729" s="381" t="n">
        <x:f>SUMIFS('Climate Data'!$G$7:$G$366,'Climate Data'!$A$7:$A$366,'Estimator'!$B$4,'Climate Data'!$B$7:$B$366,C4729)</x:f>
        <x:v>0.2914349276974416</x:v>
      </x:c>
      <x:c r="I4729" s="382" t="n">
        <x:f>SUMIFS('Climate Data'!$H$7:$H$366,'Climate Data'!$A$7:$A$366,'Estimator'!$B$4,'Climate Data'!$B$7:$B$366,C4729)</x:f>
        <x:v>9.043129770992365</x:v>
      </x:c>
      <x:c r="J4729" s="381" t="n">
        <x:f>SUMIFS('Wind Proxy'!$H$8:$H$19,'Wind Proxy'!$A$8:$A$19,'Estimator'!$B$4,'Wind Proxy'!$B$8:$B$19,C4729)</x:f>
        <x:v>0.12544802867383514</x:v>
      </x:c>
    </x:row>
    <x:row r="4730">
      <x:c r="A4730" s="379" t="n">
        <x:v>50381</x:v>
      </x:c>
      <x:c r="B4730" s="380" t="n">
        <x:v>2037</x:v>
      </x:c>
      <x:c r="C4730" s="380" t="n">
        <x:v>12</x:v>
      </x:c>
      <x:c r="D4730" s="380" t="str">
        <x:v>Dec</x:v>
      </x:c>
      <x:c r="E4730" s="380" t="n">
        <x:v>7</x:v>
      </x:c>
      <x:c r="F4730" s="380" t="n">
        <x:v>1</x:v>
      </x:c>
      <x:c r="G4730" s="380" t="n">
        <x:f>--(F4730&lt;='Estimator'!$B$7)</x:f>
        <x:v>1</x:v>
      </x:c>
      <x:c r="H4730" s="381" t="n">
        <x:f>SUMIFS('Climate Data'!$G$7:$G$366,'Climate Data'!$A$7:$A$366,'Estimator'!$B$4,'Climate Data'!$B$7:$B$366,C4730)</x:f>
        <x:v>0.2914349276974416</x:v>
      </x:c>
      <x:c r="I4730" s="382" t="n">
        <x:f>SUMIFS('Climate Data'!$H$7:$H$366,'Climate Data'!$A$7:$A$366,'Estimator'!$B$4,'Climate Data'!$B$7:$B$366,C4730)</x:f>
        <x:v>9.043129770992365</x:v>
      </x:c>
      <x:c r="J4730" s="381" t="n">
        <x:f>SUMIFS('Wind Proxy'!$H$8:$H$19,'Wind Proxy'!$A$8:$A$19,'Estimator'!$B$4,'Wind Proxy'!$B$8:$B$19,C4730)</x:f>
        <x:v>0.12544802867383514</x:v>
      </x:c>
    </x:row>
    <x:row r="4731">
      <x:c r="A4731" s="379" t="n">
        <x:v>50382</x:v>
      </x:c>
      <x:c r="B4731" s="380" t="n">
        <x:v>2037</x:v>
      </x:c>
      <x:c r="C4731" s="380" t="n">
        <x:v>12</x:v>
      </x:c>
      <x:c r="D4731" s="380" t="str">
        <x:v>Dec</x:v>
      </x:c>
      <x:c r="E4731" s="380" t="n">
        <x:v>8</x:v>
      </x:c>
      <x:c r="F4731" s="380" t="n">
        <x:v>2</x:v>
      </x:c>
      <x:c r="G4731" s="380" t="n">
        <x:f>--(F4731&lt;='Estimator'!$B$7)</x:f>
        <x:v>1</x:v>
      </x:c>
      <x:c r="H4731" s="381" t="n">
        <x:f>SUMIFS('Climate Data'!$G$7:$G$366,'Climate Data'!$A$7:$A$366,'Estimator'!$B$4,'Climate Data'!$B$7:$B$366,C4731)</x:f>
        <x:v>0.2914349276974416</x:v>
      </x:c>
      <x:c r="I4731" s="382" t="n">
        <x:f>SUMIFS('Climate Data'!$H$7:$H$366,'Climate Data'!$A$7:$A$366,'Estimator'!$B$4,'Climate Data'!$B$7:$B$366,C4731)</x:f>
        <x:v>9.043129770992365</x:v>
      </x:c>
      <x:c r="J4731" s="381" t="n">
        <x:f>SUMIFS('Wind Proxy'!$H$8:$H$19,'Wind Proxy'!$A$8:$A$19,'Estimator'!$B$4,'Wind Proxy'!$B$8:$B$19,C4731)</x:f>
        <x:v>0.12544802867383514</x:v>
      </x:c>
    </x:row>
    <x:row r="4732">
      <x:c r="A4732" s="379" t="n">
        <x:v>50383</x:v>
      </x:c>
      <x:c r="B4732" s="380" t="n">
        <x:v>2037</x:v>
      </x:c>
      <x:c r="C4732" s="380" t="n">
        <x:v>12</x:v>
      </x:c>
      <x:c r="D4732" s="380" t="str">
        <x:v>Dec</x:v>
      </x:c>
      <x:c r="E4732" s="380" t="n">
        <x:v>9</x:v>
      </x:c>
      <x:c r="F4732" s="380" t="n">
        <x:v>3</x:v>
      </x:c>
      <x:c r="G4732" s="380" t="n">
        <x:f>--(F4732&lt;='Estimator'!$B$7)</x:f>
        <x:v>1</x:v>
      </x:c>
      <x:c r="H4732" s="381" t="n">
        <x:f>SUMIFS('Climate Data'!$G$7:$G$366,'Climate Data'!$A$7:$A$366,'Estimator'!$B$4,'Climate Data'!$B$7:$B$366,C4732)</x:f>
        <x:v>0.2914349276974416</x:v>
      </x:c>
      <x:c r="I4732" s="382" t="n">
        <x:f>SUMIFS('Climate Data'!$H$7:$H$366,'Climate Data'!$A$7:$A$366,'Estimator'!$B$4,'Climate Data'!$B$7:$B$366,C4732)</x:f>
        <x:v>9.043129770992365</x:v>
      </x:c>
      <x:c r="J4732" s="381" t="n">
        <x:f>SUMIFS('Wind Proxy'!$H$8:$H$19,'Wind Proxy'!$A$8:$A$19,'Estimator'!$B$4,'Wind Proxy'!$B$8:$B$19,C4732)</x:f>
        <x:v>0.12544802867383514</x:v>
      </x:c>
    </x:row>
    <x:row r="4733">
      <x:c r="A4733" s="379" t="n">
        <x:v>50384</x:v>
      </x:c>
      <x:c r="B4733" s="380" t="n">
        <x:v>2037</x:v>
      </x:c>
      <x:c r="C4733" s="380" t="n">
        <x:v>12</x:v>
      </x:c>
      <x:c r="D4733" s="380" t="str">
        <x:v>Dec</x:v>
      </x:c>
      <x:c r="E4733" s="380" t="n">
        <x:v>10</x:v>
      </x:c>
      <x:c r="F4733" s="380" t="n">
        <x:v>4</x:v>
      </x:c>
      <x:c r="G4733" s="380" t="n">
        <x:f>--(F4733&lt;='Estimator'!$B$7)</x:f>
        <x:v>1</x:v>
      </x:c>
      <x:c r="H4733" s="381" t="n">
        <x:f>SUMIFS('Climate Data'!$G$7:$G$366,'Climate Data'!$A$7:$A$366,'Estimator'!$B$4,'Climate Data'!$B$7:$B$366,C4733)</x:f>
        <x:v>0.2914349276974416</x:v>
      </x:c>
      <x:c r="I4733" s="382" t="n">
        <x:f>SUMIFS('Climate Data'!$H$7:$H$366,'Climate Data'!$A$7:$A$366,'Estimator'!$B$4,'Climate Data'!$B$7:$B$366,C4733)</x:f>
        <x:v>9.043129770992365</x:v>
      </x:c>
      <x:c r="J4733" s="381" t="n">
        <x:f>SUMIFS('Wind Proxy'!$H$8:$H$19,'Wind Proxy'!$A$8:$A$19,'Estimator'!$B$4,'Wind Proxy'!$B$8:$B$19,C4733)</x:f>
        <x:v>0.12544802867383514</x:v>
      </x:c>
    </x:row>
    <x:row r="4734">
      <x:c r="A4734" s="379" t="n">
        <x:v>50385</x:v>
      </x:c>
      <x:c r="B4734" s="380" t="n">
        <x:v>2037</x:v>
      </x:c>
      <x:c r="C4734" s="380" t="n">
        <x:v>12</x:v>
      </x:c>
      <x:c r="D4734" s="380" t="str">
        <x:v>Dec</x:v>
      </x:c>
      <x:c r="E4734" s="380" t="n">
        <x:v>11</x:v>
      </x:c>
      <x:c r="F4734" s="380" t="n">
        <x:v>5</x:v>
      </x:c>
      <x:c r="G4734" s="380" t="n">
        <x:f>--(F4734&lt;='Estimator'!$B$7)</x:f>
        <x:v>1</x:v>
      </x:c>
      <x:c r="H4734" s="381" t="n">
        <x:f>SUMIFS('Climate Data'!$G$7:$G$366,'Climate Data'!$A$7:$A$366,'Estimator'!$B$4,'Climate Data'!$B$7:$B$366,C4734)</x:f>
        <x:v>0.2914349276974416</x:v>
      </x:c>
      <x:c r="I4734" s="382" t="n">
        <x:f>SUMIFS('Climate Data'!$H$7:$H$366,'Climate Data'!$A$7:$A$366,'Estimator'!$B$4,'Climate Data'!$B$7:$B$366,C4734)</x:f>
        <x:v>9.043129770992365</x:v>
      </x:c>
      <x:c r="J4734" s="381" t="n">
        <x:f>SUMIFS('Wind Proxy'!$H$8:$H$19,'Wind Proxy'!$A$8:$A$19,'Estimator'!$B$4,'Wind Proxy'!$B$8:$B$19,C4734)</x:f>
        <x:v>0.12544802867383514</x:v>
      </x:c>
    </x:row>
    <x:row r="4735">
      <x:c r="A4735" s="379" t="n">
        <x:v>50386</x:v>
      </x:c>
      <x:c r="B4735" s="380" t="n">
        <x:v>2037</x:v>
      </x:c>
      <x:c r="C4735" s="380" t="n">
        <x:v>12</x:v>
      </x:c>
      <x:c r="D4735" s="380" t="str">
        <x:v>Dec</x:v>
      </x:c>
      <x:c r="E4735" s="380" t="n">
        <x:v>12</x:v>
      </x:c>
      <x:c r="F4735" s="380" t="n">
        <x:v>6</x:v>
      </x:c>
      <x:c r="G4735" s="380" t="n">
        <x:f>--(F4735&lt;='Estimator'!$B$7)</x:f>
        <x:v>0</x:v>
      </x:c>
      <x:c r="H4735" s="381" t="n">
        <x:f>SUMIFS('Climate Data'!$G$7:$G$366,'Climate Data'!$A$7:$A$366,'Estimator'!$B$4,'Climate Data'!$B$7:$B$366,C4735)</x:f>
        <x:v>0.2914349276974416</x:v>
      </x:c>
      <x:c r="I4735" s="382" t="n">
        <x:f>SUMIFS('Climate Data'!$H$7:$H$366,'Climate Data'!$A$7:$A$366,'Estimator'!$B$4,'Climate Data'!$B$7:$B$366,C4735)</x:f>
        <x:v>9.043129770992365</x:v>
      </x:c>
      <x:c r="J4735" s="381" t="n">
        <x:f>SUMIFS('Wind Proxy'!$H$8:$H$19,'Wind Proxy'!$A$8:$A$19,'Estimator'!$B$4,'Wind Proxy'!$B$8:$B$19,C4735)</x:f>
        <x:v>0.12544802867383514</x:v>
      </x:c>
    </x:row>
    <x:row r="4736">
      <x:c r="A4736" s="379" t="n">
        <x:v>50387</x:v>
      </x:c>
      <x:c r="B4736" s="380" t="n">
        <x:v>2037</x:v>
      </x:c>
      <x:c r="C4736" s="380" t="n">
        <x:v>12</x:v>
      </x:c>
      <x:c r="D4736" s="380" t="str">
        <x:v>Dec</x:v>
      </x:c>
      <x:c r="E4736" s="380" t="n">
        <x:v>13</x:v>
      </x:c>
      <x:c r="F4736" s="380" t="n">
        <x:v>7</x:v>
      </x:c>
      <x:c r="G4736" s="380" t="n">
        <x:f>--(F4736&lt;='Estimator'!$B$7)</x:f>
        <x:v>0</x:v>
      </x:c>
      <x:c r="H4736" s="381" t="n">
        <x:f>SUMIFS('Climate Data'!$G$7:$G$366,'Climate Data'!$A$7:$A$366,'Estimator'!$B$4,'Climate Data'!$B$7:$B$366,C4736)</x:f>
        <x:v>0.2914349276974416</x:v>
      </x:c>
      <x:c r="I4736" s="382" t="n">
        <x:f>SUMIFS('Climate Data'!$H$7:$H$366,'Climate Data'!$A$7:$A$366,'Estimator'!$B$4,'Climate Data'!$B$7:$B$366,C4736)</x:f>
        <x:v>9.043129770992365</x:v>
      </x:c>
      <x:c r="J4736" s="381" t="n">
        <x:f>SUMIFS('Wind Proxy'!$H$8:$H$19,'Wind Proxy'!$A$8:$A$19,'Estimator'!$B$4,'Wind Proxy'!$B$8:$B$19,C4736)</x:f>
        <x:v>0.12544802867383514</x:v>
      </x:c>
    </x:row>
    <x:row r="4737">
      <x:c r="A4737" s="379" t="n">
        <x:v>50388</x:v>
      </x:c>
      <x:c r="B4737" s="380" t="n">
        <x:v>2037</x:v>
      </x:c>
      <x:c r="C4737" s="380" t="n">
        <x:v>12</x:v>
      </x:c>
      <x:c r="D4737" s="380" t="str">
        <x:v>Dec</x:v>
      </x:c>
      <x:c r="E4737" s="380" t="n">
        <x:v>14</x:v>
      </x:c>
      <x:c r="F4737" s="380" t="n">
        <x:v>1</x:v>
      </x:c>
      <x:c r="G4737" s="380" t="n">
        <x:f>--(F4737&lt;='Estimator'!$B$7)</x:f>
        <x:v>1</x:v>
      </x:c>
      <x:c r="H4737" s="381" t="n">
        <x:f>SUMIFS('Climate Data'!$G$7:$G$366,'Climate Data'!$A$7:$A$366,'Estimator'!$B$4,'Climate Data'!$B$7:$B$366,C4737)</x:f>
        <x:v>0.2914349276974416</x:v>
      </x:c>
      <x:c r="I4737" s="382" t="n">
        <x:f>SUMIFS('Climate Data'!$H$7:$H$366,'Climate Data'!$A$7:$A$366,'Estimator'!$B$4,'Climate Data'!$B$7:$B$366,C4737)</x:f>
        <x:v>9.043129770992365</x:v>
      </x:c>
      <x:c r="J4737" s="381" t="n">
        <x:f>SUMIFS('Wind Proxy'!$H$8:$H$19,'Wind Proxy'!$A$8:$A$19,'Estimator'!$B$4,'Wind Proxy'!$B$8:$B$19,C4737)</x:f>
        <x:v>0.12544802867383514</x:v>
      </x:c>
    </x:row>
    <x:row r="4738">
      <x:c r="A4738" s="379" t="n">
        <x:v>50389</x:v>
      </x:c>
      <x:c r="B4738" s="380" t="n">
        <x:v>2037</x:v>
      </x:c>
      <x:c r="C4738" s="380" t="n">
        <x:v>12</x:v>
      </x:c>
      <x:c r="D4738" s="380" t="str">
        <x:v>Dec</x:v>
      </x:c>
      <x:c r="E4738" s="380" t="n">
        <x:v>15</x:v>
      </x:c>
      <x:c r="F4738" s="380" t="n">
        <x:v>2</x:v>
      </x:c>
      <x:c r="G4738" s="380" t="n">
        <x:f>--(F4738&lt;='Estimator'!$B$7)</x:f>
        <x:v>1</x:v>
      </x:c>
      <x:c r="H4738" s="381" t="n">
        <x:f>SUMIFS('Climate Data'!$G$7:$G$366,'Climate Data'!$A$7:$A$366,'Estimator'!$B$4,'Climate Data'!$B$7:$B$366,C4738)</x:f>
        <x:v>0.2914349276974416</x:v>
      </x:c>
      <x:c r="I4738" s="382" t="n">
        <x:f>SUMIFS('Climate Data'!$H$7:$H$366,'Climate Data'!$A$7:$A$366,'Estimator'!$B$4,'Climate Data'!$B$7:$B$366,C4738)</x:f>
        <x:v>9.043129770992365</x:v>
      </x:c>
      <x:c r="J4738" s="381" t="n">
        <x:f>SUMIFS('Wind Proxy'!$H$8:$H$19,'Wind Proxy'!$A$8:$A$19,'Estimator'!$B$4,'Wind Proxy'!$B$8:$B$19,C4738)</x:f>
        <x:v>0.12544802867383514</x:v>
      </x:c>
    </x:row>
    <x:row r="4739">
      <x:c r="A4739" s="379" t="n">
        <x:v>50390</x:v>
      </x:c>
      <x:c r="B4739" s="380" t="n">
        <x:v>2037</x:v>
      </x:c>
      <x:c r="C4739" s="380" t="n">
        <x:v>12</x:v>
      </x:c>
      <x:c r="D4739" s="380" t="str">
        <x:v>Dec</x:v>
      </x:c>
      <x:c r="E4739" s="380" t="n">
        <x:v>16</x:v>
      </x:c>
      <x:c r="F4739" s="380" t="n">
        <x:v>3</x:v>
      </x:c>
      <x:c r="G4739" s="380" t="n">
        <x:f>--(F4739&lt;='Estimator'!$B$7)</x:f>
        <x:v>1</x:v>
      </x:c>
      <x:c r="H4739" s="381" t="n">
        <x:f>SUMIFS('Climate Data'!$G$7:$G$366,'Climate Data'!$A$7:$A$366,'Estimator'!$B$4,'Climate Data'!$B$7:$B$366,C4739)</x:f>
        <x:v>0.2914349276974416</x:v>
      </x:c>
      <x:c r="I4739" s="382" t="n">
        <x:f>SUMIFS('Climate Data'!$H$7:$H$366,'Climate Data'!$A$7:$A$366,'Estimator'!$B$4,'Climate Data'!$B$7:$B$366,C4739)</x:f>
        <x:v>9.043129770992365</x:v>
      </x:c>
      <x:c r="J4739" s="381" t="n">
        <x:f>SUMIFS('Wind Proxy'!$H$8:$H$19,'Wind Proxy'!$A$8:$A$19,'Estimator'!$B$4,'Wind Proxy'!$B$8:$B$19,C4739)</x:f>
        <x:v>0.12544802867383514</x:v>
      </x:c>
    </x:row>
    <x:row r="4740">
      <x:c r="A4740" s="379" t="n">
        <x:v>50391</x:v>
      </x:c>
      <x:c r="B4740" s="380" t="n">
        <x:v>2037</x:v>
      </x:c>
      <x:c r="C4740" s="380" t="n">
        <x:v>12</x:v>
      </x:c>
      <x:c r="D4740" s="380" t="str">
        <x:v>Dec</x:v>
      </x:c>
      <x:c r="E4740" s="380" t="n">
        <x:v>17</x:v>
      </x:c>
      <x:c r="F4740" s="380" t="n">
        <x:v>4</x:v>
      </x:c>
      <x:c r="G4740" s="380" t="n">
        <x:f>--(F4740&lt;='Estimator'!$B$7)</x:f>
        <x:v>1</x:v>
      </x:c>
      <x:c r="H4740" s="381" t="n">
        <x:f>SUMIFS('Climate Data'!$G$7:$G$366,'Climate Data'!$A$7:$A$366,'Estimator'!$B$4,'Climate Data'!$B$7:$B$366,C4740)</x:f>
        <x:v>0.2914349276974416</x:v>
      </x:c>
      <x:c r="I4740" s="382" t="n">
        <x:f>SUMIFS('Climate Data'!$H$7:$H$366,'Climate Data'!$A$7:$A$366,'Estimator'!$B$4,'Climate Data'!$B$7:$B$366,C4740)</x:f>
        <x:v>9.043129770992365</x:v>
      </x:c>
      <x:c r="J4740" s="381" t="n">
        <x:f>SUMIFS('Wind Proxy'!$H$8:$H$19,'Wind Proxy'!$A$8:$A$19,'Estimator'!$B$4,'Wind Proxy'!$B$8:$B$19,C4740)</x:f>
        <x:v>0.12544802867383514</x:v>
      </x:c>
    </x:row>
    <x:row r="4741">
      <x:c r="A4741" s="379" t="n">
        <x:v>50392</x:v>
      </x:c>
      <x:c r="B4741" s="380" t="n">
        <x:v>2037</x:v>
      </x:c>
      <x:c r="C4741" s="380" t="n">
        <x:v>12</x:v>
      </x:c>
      <x:c r="D4741" s="380" t="str">
        <x:v>Dec</x:v>
      </x:c>
      <x:c r="E4741" s="380" t="n">
        <x:v>18</x:v>
      </x:c>
      <x:c r="F4741" s="380" t="n">
        <x:v>5</x:v>
      </x:c>
      <x:c r="G4741" s="380" t="n">
        <x:f>--(F4741&lt;='Estimator'!$B$7)</x:f>
        <x:v>1</x:v>
      </x:c>
      <x:c r="H4741" s="381" t="n">
        <x:f>SUMIFS('Climate Data'!$G$7:$G$366,'Climate Data'!$A$7:$A$366,'Estimator'!$B$4,'Climate Data'!$B$7:$B$366,C4741)</x:f>
        <x:v>0.2914349276974416</x:v>
      </x:c>
      <x:c r="I4741" s="382" t="n">
        <x:f>SUMIFS('Climate Data'!$H$7:$H$366,'Climate Data'!$A$7:$A$366,'Estimator'!$B$4,'Climate Data'!$B$7:$B$366,C4741)</x:f>
        <x:v>9.043129770992365</x:v>
      </x:c>
      <x:c r="J4741" s="381" t="n">
        <x:f>SUMIFS('Wind Proxy'!$H$8:$H$19,'Wind Proxy'!$A$8:$A$19,'Estimator'!$B$4,'Wind Proxy'!$B$8:$B$19,C4741)</x:f>
        <x:v>0.12544802867383514</x:v>
      </x:c>
    </x:row>
    <x:row r="4742">
      <x:c r="A4742" s="379" t="n">
        <x:v>50393</x:v>
      </x:c>
      <x:c r="B4742" s="380" t="n">
        <x:v>2037</x:v>
      </x:c>
      <x:c r="C4742" s="380" t="n">
        <x:v>12</x:v>
      </x:c>
      <x:c r="D4742" s="380" t="str">
        <x:v>Dec</x:v>
      </x:c>
      <x:c r="E4742" s="380" t="n">
        <x:v>19</x:v>
      </x:c>
      <x:c r="F4742" s="380" t="n">
        <x:v>6</x:v>
      </x:c>
      <x:c r="G4742" s="380" t="n">
        <x:f>--(F4742&lt;='Estimator'!$B$7)</x:f>
        <x:v>0</x:v>
      </x:c>
      <x:c r="H4742" s="381" t="n">
        <x:f>SUMIFS('Climate Data'!$G$7:$G$366,'Climate Data'!$A$7:$A$366,'Estimator'!$B$4,'Climate Data'!$B$7:$B$366,C4742)</x:f>
        <x:v>0.2914349276974416</x:v>
      </x:c>
      <x:c r="I4742" s="382" t="n">
        <x:f>SUMIFS('Climate Data'!$H$7:$H$366,'Climate Data'!$A$7:$A$366,'Estimator'!$B$4,'Climate Data'!$B$7:$B$366,C4742)</x:f>
        <x:v>9.043129770992365</x:v>
      </x:c>
      <x:c r="J4742" s="381" t="n">
        <x:f>SUMIFS('Wind Proxy'!$H$8:$H$19,'Wind Proxy'!$A$8:$A$19,'Estimator'!$B$4,'Wind Proxy'!$B$8:$B$19,C4742)</x:f>
        <x:v>0.12544802867383514</x:v>
      </x:c>
    </x:row>
    <x:row r="4743">
      <x:c r="A4743" s="379" t="n">
        <x:v>50394</x:v>
      </x:c>
      <x:c r="B4743" s="380" t="n">
        <x:v>2037</x:v>
      </x:c>
      <x:c r="C4743" s="380" t="n">
        <x:v>12</x:v>
      </x:c>
      <x:c r="D4743" s="380" t="str">
        <x:v>Dec</x:v>
      </x:c>
      <x:c r="E4743" s="380" t="n">
        <x:v>20</x:v>
      </x:c>
      <x:c r="F4743" s="380" t="n">
        <x:v>7</x:v>
      </x:c>
      <x:c r="G4743" s="380" t="n">
        <x:f>--(F4743&lt;='Estimator'!$B$7)</x:f>
        <x:v>0</x:v>
      </x:c>
      <x:c r="H4743" s="381" t="n">
        <x:f>SUMIFS('Climate Data'!$G$7:$G$366,'Climate Data'!$A$7:$A$366,'Estimator'!$B$4,'Climate Data'!$B$7:$B$366,C4743)</x:f>
        <x:v>0.2914349276974416</x:v>
      </x:c>
      <x:c r="I4743" s="382" t="n">
        <x:f>SUMIFS('Climate Data'!$H$7:$H$366,'Climate Data'!$A$7:$A$366,'Estimator'!$B$4,'Climate Data'!$B$7:$B$366,C4743)</x:f>
        <x:v>9.043129770992365</x:v>
      </x:c>
      <x:c r="J4743" s="381" t="n">
        <x:f>SUMIFS('Wind Proxy'!$H$8:$H$19,'Wind Proxy'!$A$8:$A$19,'Estimator'!$B$4,'Wind Proxy'!$B$8:$B$19,C4743)</x:f>
        <x:v>0.12544802867383514</x:v>
      </x:c>
    </x:row>
    <x:row r="4744">
      <x:c r="A4744" s="379" t="n">
        <x:v>50395</x:v>
      </x:c>
      <x:c r="B4744" s="380" t="n">
        <x:v>2037</x:v>
      </x:c>
      <x:c r="C4744" s="380" t="n">
        <x:v>12</x:v>
      </x:c>
      <x:c r="D4744" s="380" t="str">
        <x:v>Dec</x:v>
      </x:c>
      <x:c r="E4744" s="380" t="n">
        <x:v>21</x:v>
      </x:c>
      <x:c r="F4744" s="380" t="n">
        <x:v>1</x:v>
      </x:c>
      <x:c r="G4744" s="380" t="n">
        <x:f>--(F4744&lt;='Estimator'!$B$7)</x:f>
        <x:v>1</x:v>
      </x:c>
      <x:c r="H4744" s="381" t="n">
        <x:f>SUMIFS('Climate Data'!$G$7:$G$366,'Climate Data'!$A$7:$A$366,'Estimator'!$B$4,'Climate Data'!$B$7:$B$366,C4744)</x:f>
        <x:v>0.2914349276974416</x:v>
      </x:c>
      <x:c r="I4744" s="382" t="n">
        <x:f>SUMIFS('Climate Data'!$H$7:$H$366,'Climate Data'!$A$7:$A$366,'Estimator'!$B$4,'Climate Data'!$B$7:$B$366,C4744)</x:f>
        <x:v>9.043129770992365</x:v>
      </x:c>
      <x:c r="J4744" s="381" t="n">
        <x:f>SUMIFS('Wind Proxy'!$H$8:$H$19,'Wind Proxy'!$A$8:$A$19,'Estimator'!$B$4,'Wind Proxy'!$B$8:$B$19,C4744)</x:f>
        <x:v>0.12544802867383514</x:v>
      </x:c>
    </x:row>
    <x:row r="4745">
      <x:c r="A4745" s="379" t="n">
        <x:v>50396</x:v>
      </x:c>
      <x:c r="B4745" s="380" t="n">
        <x:v>2037</x:v>
      </x:c>
      <x:c r="C4745" s="380" t="n">
        <x:v>12</x:v>
      </x:c>
      <x:c r="D4745" s="380" t="str">
        <x:v>Dec</x:v>
      </x:c>
      <x:c r="E4745" s="380" t="n">
        <x:v>22</x:v>
      </x:c>
      <x:c r="F4745" s="380" t="n">
        <x:v>2</x:v>
      </x:c>
      <x:c r="G4745" s="380" t="n">
        <x:f>--(F4745&lt;='Estimator'!$B$7)</x:f>
        <x:v>1</x:v>
      </x:c>
      <x:c r="H4745" s="381" t="n">
        <x:f>SUMIFS('Climate Data'!$G$7:$G$366,'Climate Data'!$A$7:$A$366,'Estimator'!$B$4,'Climate Data'!$B$7:$B$366,C4745)</x:f>
        <x:v>0.2914349276974416</x:v>
      </x:c>
      <x:c r="I4745" s="382" t="n">
        <x:f>SUMIFS('Climate Data'!$H$7:$H$366,'Climate Data'!$A$7:$A$366,'Estimator'!$B$4,'Climate Data'!$B$7:$B$366,C4745)</x:f>
        <x:v>9.043129770992365</x:v>
      </x:c>
      <x:c r="J4745" s="381" t="n">
        <x:f>SUMIFS('Wind Proxy'!$H$8:$H$19,'Wind Proxy'!$A$8:$A$19,'Estimator'!$B$4,'Wind Proxy'!$B$8:$B$19,C4745)</x:f>
        <x:v>0.12544802867383514</x:v>
      </x:c>
    </x:row>
    <x:row r="4746">
      <x:c r="A4746" s="379" t="n">
        <x:v>50397</x:v>
      </x:c>
      <x:c r="B4746" s="380" t="n">
        <x:v>2037</x:v>
      </x:c>
      <x:c r="C4746" s="380" t="n">
        <x:v>12</x:v>
      </x:c>
      <x:c r="D4746" s="380" t="str">
        <x:v>Dec</x:v>
      </x:c>
      <x:c r="E4746" s="380" t="n">
        <x:v>23</x:v>
      </x:c>
      <x:c r="F4746" s="380" t="n">
        <x:v>3</x:v>
      </x:c>
      <x:c r="G4746" s="380" t="n">
        <x:f>--(F4746&lt;='Estimator'!$B$7)</x:f>
        <x:v>1</x:v>
      </x:c>
      <x:c r="H4746" s="381" t="n">
        <x:f>SUMIFS('Climate Data'!$G$7:$G$366,'Climate Data'!$A$7:$A$366,'Estimator'!$B$4,'Climate Data'!$B$7:$B$366,C4746)</x:f>
        <x:v>0.2914349276974416</x:v>
      </x:c>
      <x:c r="I4746" s="382" t="n">
        <x:f>SUMIFS('Climate Data'!$H$7:$H$366,'Climate Data'!$A$7:$A$366,'Estimator'!$B$4,'Climate Data'!$B$7:$B$366,C4746)</x:f>
        <x:v>9.043129770992365</x:v>
      </x:c>
      <x:c r="J4746" s="381" t="n">
        <x:f>SUMIFS('Wind Proxy'!$H$8:$H$19,'Wind Proxy'!$A$8:$A$19,'Estimator'!$B$4,'Wind Proxy'!$B$8:$B$19,C4746)</x:f>
        <x:v>0.12544802867383514</x:v>
      </x:c>
    </x:row>
    <x:row r="4747">
      <x:c r="A4747" s="379" t="n">
        <x:v>50398</x:v>
      </x:c>
      <x:c r="B4747" s="380" t="n">
        <x:v>2037</x:v>
      </x:c>
      <x:c r="C4747" s="380" t="n">
        <x:v>12</x:v>
      </x:c>
      <x:c r="D4747" s="380" t="str">
        <x:v>Dec</x:v>
      </x:c>
      <x:c r="E4747" s="380" t="n">
        <x:v>24</x:v>
      </x:c>
      <x:c r="F4747" s="380" t="n">
        <x:v>4</x:v>
      </x:c>
      <x:c r="G4747" s="380" t="n">
        <x:f>--(F4747&lt;='Estimator'!$B$7)</x:f>
        <x:v>1</x:v>
      </x:c>
      <x:c r="H4747" s="381" t="n">
        <x:f>SUMIFS('Climate Data'!$G$7:$G$366,'Climate Data'!$A$7:$A$366,'Estimator'!$B$4,'Climate Data'!$B$7:$B$366,C4747)</x:f>
        <x:v>0.2914349276974416</x:v>
      </x:c>
      <x:c r="I4747" s="382" t="n">
        <x:f>SUMIFS('Climate Data'!$H$7:$H$366,'Climate Data'!$A$7:$A$366,'Estimator'!$B$4,'Climate Data'!$B$7:$B$366,C4747)</x:f>
        <x:v>9.043129770992365</x:v>
      </x:c>
      <x:c r="J4747" s="381" t="n">
        <x:f>SUMIFS('Wind Proxy'!$H$8:$H$19,'Wind Proxy'!$A$8:$A$19,'Estimator'!$B$4,'Wind Proxy'!$B$8:$B$19,C4747)</x:f>
        <x:v>0.12544802867383514</x:v>
      </x:c>
    </x:row>
    <x:row r="4748">
      <x:c r="A4748" s="379" t="n">
        <x:v>50399</x:v>
      </x:c>
      <x:c r="B4748" s="380" t="n">
        <x:v>2037</x:v>
      </x:c>
      <x:c r="C4748" s="380" t="n">
        <x:v>12</x:v>
      </x:c>
      <x:c r="D4748" s="380" t="str">
        <x:v>Dec</x:v>
      </x:c>
      <x:c r="E4748" s="380" t="n">
        <x:v>25</x:v>
      </x:c>
      <x:c r="F4748" s="380" t="n">
        <x:v>5</x:v>
      </x:c>
      <x:c r="G4748" s="380" t="n">
        <x:f>--(F4748&lt;='Estimator'!$B$7)</x:f>
        <x:v>1</x:v>
      </x:c>
      <x:c r="H4748" s="381" t="n">
        <x:f>SUMIFS('Climate Data'!$G$7:$G$366,'Climate Data'!$A$7:$A$366,'Estimator'!$B$4,'Climate Data'!$B$7:$B$366,C4748)</x:f>
        <x:v>0.2914349276974416</x:v>
      </x:c>
      <x:c r="I4748" s="382" t="n">
        <x:f>SUMIFS('Climate Data'!$H$7:$H$366,'Climate Data'!$A$7:$A$366,'Estimator'!$B$4,'Climate Data'!$B$7:$B$366,C4748)</x:f>
        <x:v>9.043129770992365</x:v>
      </x:c>
      <x:c r="J4748" s="381" t="n">
        <x:f>SUMIFS('Wind Proxy'!$H$8:$H$19,'Wind Proxy'!$A$8:$A$19,'Estimator'!$B$4,'Wind Proxy'!$B$8:$B$19,C4748)</x:f>
        <x:v>0.12544802867383514</x:v>
      </x:c>
    </x:row>
    <x:row r="4749">
      <x:c r="A4749" s="379" t="n">
        <x:v>50400</x:v>
      </x:c>
      <x:c r="B4749" s="380" t="n">
        <x:v>2037</x:v>
      </x:c>
      <x:c r="C4749" s="380" t="n">
        <x:v>12</x:v>
      </x:c>
      <x:c r="D4749" s="380" t="str">
        <x:v>Dec</x:v>
      </x:c>
      <x:c r="E4749" s="380" t="n">
        <x:v>26</x:v>
      </x:c>
      <x:c r="F4749" s="380" t="n">
        <x:v>6</x:v>
      </x:c>
      <x:c r="G4749" s="380" t="n">
        <x:f>--(F4749&lt;='Estimator'!$B$7)</x:f>
        <x:v>0</x:v>
      </x:c>
      <x:c r="H4749" s="381" t="n">
        <x:f>SUMIFS('Climate Data'!$G$7:$G$366,'Climate Data'!$A$7:$A$366,'Estimator'!$B$4,'Climate Data'!$B$7:$B$366,C4749)</x:f>
        <x:v>0.2914349276974416</x:v>
      </x:c>
      <x:c r="I4749" s="382" t="n">
        <x:f>SUMIFS('Climate Data'!$H$7:$H$366,'Climate Data'!$A$7:$A$366,'Estimator'!$B$4,'Climate Data'!$B$7:$B$366,C4749)</x:f>
        <x:v>9.043129770992365</x:v>
      </x:c>
      <x:c r="J4749" s="381" t="n">
        <x:f>SUMIFS('Wind Proxy'!$H$8:$H$19,'Wind Proxy'!$A$8:$A$19,'Estimator'!$B$4,'Wind Proxy'!$B$8:$B$19,C4749)</x:f>
        <x:v>0.12544802867383514</x:v>
      </x:c>
    </x:row>
    <x:row r="4750">
      <x:c r="A4750" s="379" t="n">
        <x:v>50401</x:v>
      </x:c>
      <x:c r="B4750" s="380" t="n">
        <x:v>2037</x:v>
      </x:c>
      <x:c r="C4750" s="380" t="n">
        <x:v>12</x:v>
      </x:c>
      <x:c r="D4750" s="380" t="str">
        <x:v>Dec</x:v>
      </x:c>
      <x:c r="E4750" s="380" t="n">
        <x:v>27</x:v>
      </x:c>
      <x:c r="F4750" s="380" t="n">
        <x:v>7</x:v>
      </x:c>
      <x:c r="G4750" s="380" t="n">
        <x:f>--(F4750&lt;='Estimator'!$B$7)</x:f>
        <x:v>0</x:v>
      </x:c>
      <x:c r="H4750" s="381" t="n">
        <x:f>SUMIFS('Climate Data'!$G$7:$G$366,'Climate Data'!$A$7:$A$366,'Estimator'!$B$4,'Climate Data'!$B$7:$B$366,C4750)</x:f>
        <x:v>0.2914349276974416</x:v>
      </x:c>
      <x:c r="I4750" s="382" t="n">
        <x:f>SUMIFS('Climate Data'!$H$7:$H$366,'Climate Data'!$A$7:$A$366,'Estimator'!$B$4,'Climate Data'!$B$7:$B$366,C4750)</x:f>
        <x:v>9.043129770992365</x:v>
      </x:c>
      <x:c r="J4750" s="381" t="n">
        <x:f>SUMIFS('Wind Proxy'!$H$8:$H$19,'Wind Proxy'!$A$8:$A$19,'Estimator'!$B$4,'Wind Proxy'!$B$8:$B$19,C4750)</x:f>
        <x:v>0.12544802867383514</x:v>
      </x:c>
    </x:row>
    <x:row r="4751">
      <x:c r="A4751" s="379" t="n">
        <x:v>50402</x:v>
      </x:c>
      <x:c r="B4751" s="380" t="n">
        <x:v>2037</x:v>
      </x:c>
      <x:c r="C4751" s="380" t="n">
        <x:v>12</x:v>
      </x:c>
      <x:c r="D4751" s="380" t="str">
        <x:v>Dec</x:v>
      </x:c>
      <x:c r="E4751" s="380" t="n">
        <x:v>28</x:v>
      </x:c>
      <x:c r="F4751" s="380" t="n">
        <x:v>1</x:v>
      </x:c>
      <x:c r="G4751" s="380" t="n">
        <x:f>--(F4751&lt;='Estimator'!$B$7)</x:f>
        <x:v>1</x:v>
      </x:c>
      <x:c r="H4751" s="381" t="n">
        <x:f>SUMIFS('Climate Data'!$G$7:$G$366,'Climate Data'!$A$7:$A$366,'Estimator'!$B$4,'Climate Data'!$B$7:$B$366,C4751)</x:f>
        <x:v>0.2914349276974416</x:v>
      </x:c>
      <x:c r="I4751" s="382" t="n">
        <x:f>SUMIFS('Climate Data'!$H$7:$H$366,'Climate Data'!$A$7:$A$366,'Estimator'!$B$4,'Climate Data'!$B$7:$B$366,C4751)</x:f>
        <x:v>9.043129770992365</x:v>
      </x:c>
      <x:c r="J4751" s="381" t="n">
        <x:f>SUMIFS('Wind Proxy'!$H$8:$H$19,'Wind Proxy'!$A$8:$A$19,'Estimator'!$B$4,'Wind Proxy'!$B$8:$B$19,C4751)</x:f>
        <x:v>0.12544802867383514</x:v>
      </x:c>
    </x:row>
    <x:row r="4752">
      <x:c r="A4752" s="379" t="n">
        <x:v>50403</x:v>
      </x:c>
      <x:c r="B4752" s="380" t="n">
        <x:v>2037</x:v>
      </x:c>
      <x:c r="C4752" s="380" t="n">
        <x:v>12</x:v>
      </x:c>
      <x:c r="D4752" s="380" t="str">
        <x:v>Dec</x:v>
      </x:c>
      <x:c r="E4752" s="380" t="n">
        <x:v>29</x:v>
      </x:c>
      <x:c r="F4752" s="380" t="n">
        <x:v>2</x:v>
      </x:c>
      <x:c r="G4752" s="380" t="n">
        <x:f>--(F4752&lt;='Estimator'!$B$7)</x:f>
        <x:v>1</x:v>
      </x:c>
      <x:c r="H4752" s="381" t="n">
        <x:f>SUMIFS('Climate Data'!$G$7:$G$366,'Climate Data'!$A$7:$A$366,'Estimator'!$B$4,'Climate Data'!$B$7:$B$366,C4752)</x:f>
        <x:v>0.2914349276974416</x:v>
      </x:c>
      <x:c r="I4752" s="382" t="n">
        <x:f>SUMIFS('Climate Data'!$H$7:$H$366,'Climate Data'!$A$7:$A$366,'Estimator'!$B$4,'Climate Data'!$B$7:$B$366,C4752)</x:f>
        <x:v>9.043129770992365</x:v>
      </x:c>
      <x:c r="J4752" s="381" t="n">
        <x:f>SUMIFS('Wind Proxy'!$H$8:$H$19,'Wind Proxy'!$A$8:$A$19,'Estimator'!$B$4,'Wind Proxy'!$B$8:$B$19,C4752)</x:f>
        <x:v>0.12544802867383514</x:v>
      </x:c>
    </x:row>
    <x:row r="4753">
      <x:c r="A4753" s="379" t="n">
        <x:v>50404</x:v>
      </x:c>
      <x:c r="B4753" s="380" t="n">
        <x:v>2037</x:v>
      </x:c>
      <x:c r="C4753" s="380" t="n">
        <x:v>12</x:v>
      </x:c>
      <x:c r="D4753" s="380" t="str">
        <x:v>Dec</x:v>
      </x:c>
      <x:c r="E4753" s="380" t="n">
        <x:v>30</x:v>
      </x:c>
      <x:c r="F4753" s="380" t="n">
        <x:v>3</x:v>
      </x:c>
      <x:c r="G4753" s="380" t="n">
        <x:f>--(F4753&lt;='Estimator'!$B$7)</x:f>
        <x:v>1</x:v>
      </x:c>
      <x:c r="H4753" s="381" t="n">
        <x:f>SUMIFS('Climate Data'!$G$7:$G$366,'Climate Data'!$A$7:$A$366,'Estimator'!$B$4,'Climate Data'!$B$7:$B$366,C4753)</x:f>
        <x:v>0.2914349276974416</x:v>
      </x:c>
      <x:c r="I4753" s="382" t="n">
        <x:f>SUMIFS('Climate Data'!$H$7:$H$366,'Climate Data'!$A$7:$A$366,'Estimator'!$B$4,'Climate Data'!$B$7:$B$366,C4753)</x:f>
        <x:v>9.043129770992365</x:v>
      </x:c>
      <x:c r="J4753" s="381" t="n">
        <x:f>SUMIFS('Wind Proxy'!$H$8:$H$19,'Wind Proxy'!$A$8:$A$19,'Estimator'!$B$4,'Wind Proxy'!$B$8:$B$19,C4753)</x:f>
        <x:v>0.12544802867383514</x:v>
      </x:c>
    </x:row>
    <x:row r="4754">
      <x:c r="A4754" s="379" t="n">
        <x:v>50405</x:v>
      </x:c>
      <x:c r="B4754" s="380" t="n">
        <x:v>2037</x:v>
      </x:c>
      <x:c r="C4754" s="380" t="n">
        <x:v>12</x:v>
      </x:c>
      <x:c r="D4754" s="380" t="str">
        <x:v>Dec</x:v>
      </x:c>
      <x:c r="E4754" s="380" t="n">
        <x:v>31</x:v>
      </x:c>
      <x:c r="F4754" s="380" t="n">
        <x:v>4</x:v>
      </x:c>
      <x:c r="G4754" s="380" t="n">
        <x:f>--(F4754&lt;='Estimator'!$B$7)</x:f>
        <x:v>1</x:v>
      </x:c>
      <x:c r="H4754" s="381" t="n">
        <x:f>SUMIFS('Climate Data'!$G$7:$G$366,'Climate Data'!$A$7:$A$366,'Estimator'!$B$4,'Climate Data'!$B$7:$B$366,C4754)</x:f>
        <x:v>0.2914349276974416</x:v>
      </x:c>
      <x:c r="I4754" s="382" t="n">
        <x:f>SUMIFS('Climate Data'!$H$7:$H$366,'Climate Data'!$A$7:$A$366,'Estimator'!$B$4,'Climate Data'!$B$7:$B$366,C4754)</x:f>
        <x:v>9.043129770992365</x:v>
      </x:c>
      <x:c r="J4754" s="381" t="n">
        <x:f>SUMIFS('Wind Proxy'!$H$8:$H$19,'Wind Proxy'!$A$8:$A$19,'Estimator'!$B$4,'Wind Proxy'!$B$8:$B$19,C4754)</x:f>
        <x:v>0.12544802867383514</x:v>
      </x:c>
    </x:row>
    <x:row r="4755">
      <x:c r="A4755" s="379" t="n">
        <x:v>50406</x:v>
      </x:c>
      <x:c r="B4755" s="380" t="n">
        <x:v>2038</x:v>
      </x:c>
      <x:c r="C4755" s="380" t="n">
        <x:v>1</x:v>
      </x:c>
      <x:c r="D4755" s="380" t="str">
        <x:v>Jan</x:v>
      </x:c>
      <x:c r="E4755" s="380" t="n">
        <x:v>1</x:v>
      </x:c>
      <x:c r="F4755" s="380" t="n">
        <x:v>5</x:v>
      </x:c>
      <x:c r="G4755" s="380" t="n">
        <x:f>--(F4755&lt;='Estimator'!$B$7)</x:f>
        <x:v>1</x:v>
      </x:c>
      <x:c r="H4755" s="381" t="n">
        <x:f>SUMIFS('Climate Data'!$G$7:$G$366,'Climate Data'!$A$7:$A$366,'Estimator'!$B$4,'Climate Data'!$B$7:$B$366,C4755)</x:f>
        <x:v>0.21802002224694106</x:v>
      </x:c>
      <x:c r="I4755" s="382" t="n">
        <x:f>SUMIFS('Climate Data'!$H$7:$H$366,'Climate Data'!$A$7:$A$366,'Estimator'!$B$4,'Climate Data'!$B$7:$B$366,C4755)</x:f>
        <x:v>8.596428571428572</x:v>
      </x:c>
      <x:c r="J4755" s="381" t="n">
        <x:f>SUMIFS('Wind Proxy'!$H$8:$H$19,'Wind Proxy'!$A$8:$A$19,'Estimator'!$B$4,'Wind Proxy'!$B$8:$B$19,C4755)</x:f>
        <x:v>0.12544802867383514</x:v>
      </x:c>
    </x:row>
    <x:row r="4756">
      <x:c r="A4756" s="379" t="n">
        <x:v>50407</x:v>
      </x:c>
      <x:c r="B4756" s="380" t="n">
        <x:v>2038</x:v>
      </x:c>
      <x:c r="C4756" s="380" t="n">
        <x:v>1</x:v>
      </x:c>
      <x:c r="D4756" s="380" t="str">
        <x:v>Jan</x:v>
      </x:c>
      <x:c r="E4756" s="380" t="n">
        <x:v>2</x:v>
      </x:c>
      <x:c r="F4756" s="380" t="n">
        <x:v>6</x:v>
      </x:c>
      <x:c r="G4756" s="380" t="n">
        <x:f>--(F4756&lt;='Estimator'!$B$7)</x:f>
        <x:v>0</x:v>
      </x:c>
      <x:c r="H4756" s="381" t="n">
        <x:f>SUMIFS('Climate Data'!$G$7:$G$366,'Climate Data'!$A$7:$A$366,'Estimator'!$B$4,'Climate Data'!$B$7:$B$366,C4756)</x:f>
        <x:v>0.21802002224694106</x:v>
      </x:c>
      <x:c r="I4756" s="382" t="n">
        <x:f>SUMIFS('Climate Data'!$H$7:$H$366,'Climate Data'!$A$7:$A$366,'Estimator'!$B$4,'Climate Data'!$B$7:$B$366,C4756)</x:f>
        <x:v>8.596428571428572</x:v>
      </x:c>
      <x:c r="J4756" s="381" t="n">
        <x:f>SUMIFS('Wind Proxy'!$H$8:$H$19,'Wind Proxy'!$A$8:$A$19,'Estimator'!$B$4,'Wind Proxy'!$B$8:$B$19,C4756)</x:f>
        <x:v>0.12544802867383514</x:v>
      </x:c>
    </x:row>
    <x:row r="4757">
      <x:c r="A4757" s="379" t="n">
        <x:v>50408</x:v>
      </x:c>
      <x:c r="B4757" s="380" t="n">
        <x:v>2038</x:v>
      </x:c>
      <x:c r="C4757" s="380" t="n">
        <x:v>1</x:v>
      </x:c>
      <x:c r="D4757" s="380" t="str">
        <x:v>Jan</x:v>
      </x:c>
      <x:c r="E4757" s="380" t="n">
        <x:v>3</x:v>
      </x:c>
      <x:c r="F4757" s="380" t="n">
        <x:v>7</x:v>
      </x:c>
      <x:c r="G4757" s="380" t="n">
        <x:f>--(F4757&lt;='Estimator'!$B$7)</x:f>
        <x:v>0</x:v>
      </x:c>
      <x:c r="H4757" s="381" t="n">
        <x:f>SUMIFS('Climate Data'!$G$7:$G$366,'Climate Data'!$A$7:$A$366,'Estimator'!$B$4,'Climate Data'!$B$7:$B$366,C4757)</x:f>
        <x:v>0.21802002224694106</x:v>
      </x:c>
      <x:c r="I4757" s="382" t="n">
        <x:f>SUMIFS('Climate Data'!$H$7:$H$366,'Climate Data'!$A$7:$A$366,'Estimator'!$B$4,'Climate Data'!$B$7:$B$366,C4757)</x:f>
        <x:v>8.596428571428572</x:v>
      </x:c>
      <x:c r="J4757" s="381" t="n">
        <x:f>SUMIFS('Wind Proxy'!$H$8:$H$19,'Wind Proxy'!$A$8:$A$19,'Estimator'!$B$4,'Wind Proxy'!$B$8:$B$19,C4757)</x:f>
        <x:v>0.12544802867383514</x:v>
      </x:c>
    </x:row>
    <x:row r="4758">
      <x:c r="A4758" s="379" t="n">
        <x:v>50409</x:v>
      </x:c>
      <x:c r="B4758" s="380" t="n">
        <x:v>2038</x:v>
      </x:c>
      <x:c r="C4758" s="380" t="n">
        <x:v>1</x:v>
      </x:c>
      <x:c r="D4758" s="380" t="str">
        <x:v>Jan</x:v>
      </x:c>
      <x:c r="E4758" s="380" t="n">
        <x:v>4</x:v>
      </x:c>
      <x:c r="F4758" s="380" t="n">
        <x:v>1</x:v>
      </x:c>
      <x:c r="G4758" s="380" t="n">
        <x:f>--(F4758&lt;='Estimator'!$B$7)</x:f>
        <x:v>1</x:v>
      </x:c>
      <x:c r="H4758" s="381" t="n">
        <x:f>SUMIFS('Climate Data'!$G$7:$G$366,'Climate Data'!$A$7:$A$366,'Estimator'!$B$4,'Climate Data'!$B$7:$B$366,C4758)</x:f>
        <x:v>0.21802002224694106</x:v>
      </x:c>
      <x:c r="I4758" s="382" t="n">
        <x:f>SUMIFS('Climate Data'!$H$7:$H$366,'Climate Data'!$A$7:$A$366,'Estimator'!$B$4,'Climate Data'!$B$7:$B$366,C4758)</x:f>
        <x:v>8.596428571428572</x:v>
      </x:c>
      <x:c r="J4758" s="381" t="n">
        <x:f>SUMIFS('Wind Proxy'!$H$8:$H$19,'Wind Proxy'!$A$8:$A$19,'Estimator'!$B$4,'Wind Proxy'!$B$8:$B$19,C4758)</x:f>
        <x:v>0.12544802867383514</x:v>
      </x:c>
    </x:row>
    <x:row r="4759">
      <x:c r="A4759" s="379" t="n">
        <x:v>50410</x:v>
      </x:c>
      <x:c r="B4759" s="380" t="n">
        <x:v>2038</x:v>
      </x:c>
      <x:c r="C4759" s="380" t="n">
        <x:v>1</x:v>
      </x:c>
      <x:c r="D4759" s="380" t="str">
        <x:v>Jan</x:v>
      </x:c>
      <x:c r="E4759" s="380" t="n">
        <x:v>5</x:v>
      </x:c>
      <x:c r="F4759" s="380" t="n">
        <x:v>2</x:v>
      </x:c>
      <x:c r="G4759" s="380" t="n">
        <x:f>--(F4759&lt;='Estimator'!$B$7)</x:f>
        <x:v>1</x:v>
      </x:c>
      <x:c r="H4759" s="381" t="n">
        <x:f>SUMIFS('Climate Data'!$G$7:$G$366,'Climate Data'!$A$7:$A$366,'Estimator'!$B$4,'Climate Data'!$B$7:$B$366,C4759)</x:f>
        <x:v>0.21802002224694106</x:v>
      </x:c>
      <x:c r="I4759" s="382" t="n">
        <x:f>SUMIFS('Climate Data'!$H$7:$H$366,'Climate Data'!$A$7:$A$366,'Estimator'!$B$4,'Climate Data'!$B$7:$B$366,C4759)</x:f>
        <x:v>8.596428571428572</x:v>
      </x:c>
      <x:c r="J4759" s="381" t="n">
        <x:f>SUMIFS('Wind Proxy'!$H$8:$H$19,'Wind Proxy'!$A$8:$A$19,'Estimator'!$B$4,'Wind Proxy'!$B$8:$B$19,C4759)</x:f>
        <x:v>0.12544802867383514</x:v>
      </x:c>
    </x:row>
    <x:row r="4760">
      <x:c r="A4760" s="379" t="n">
        <x:v>50411</x:v>
      </x:c>
      <x:c r="B4760" s="380" t="n">
        <x:v>2038</x:v>
      </x:c>
      <x:c r="C4760" s="380" t="n">
        <x:v>1</x:v>
      </x:c>
      <x:c r="D4760" s="380" t="str">
        <x:v>Jan</x:v>
      </x:c>
      <x:c r="E4760" s="380" t="n">
        <x:v>6</x:v>
      </x:c>
      <x:c r="F4760" s="380" t="n">
        <x:v>3</x:v>
      </x:c>
      <x:c r="G4760" s="380" t="n">
        <x:f>--(F4760&lt;='Estimator'!$B$7)</x:f>
        <x:v>1</x:v>
      </x:c>
      <x:c r="H4760" s="381" t="n">
        <x:f>SUMIFS('Climate Data'!$G$7:$G$366,'Climate Data'!$A$7:$A$366,'Estimator'!$B$4,'Climate Data'!$B$7:$B$366,C4760)</x:f>
        <x:v>0.21802002224694106</x:v>
      </x:c>
      <x:c r="I4760" s="382" t="n">
        <x:f>SUMIFS('Climate Data'!$H$7:$H$366,'Climate Data'!$A$7:$A$366,'Estimator'!$B$4,'Climate Data'!$B$7:$B$366,C4760)</x:f>
        <x:v>8.596428571428572</x:v>
      </x:c>
      <x:c r="J4760" s="381" t="n">
        <x:f>SUMIFS('Wind Proxy'!$H$8:$H$19,'Wind Proxy'!$A$8:$A$19,'Estimator'!$B$4,'Wind Proxy'!$B$8:$B$19,C4760)</x:f>
        <x:v>0.12544802867383514</x:v>
      </x:c>
    </x:row>
    <x:row r="4761">
      <x:c r="A4761" s="379" t="n">
        <x:v>50412</x:v>
      </x:c>
      <x:c r="B4761" s="380" t="n">
        <x:v>2038</x:v>
      </x:c>
      <x:c r="C4761" s="380" t="n">
        <x:v>1</x:v>
      </x:c>
      <x:c r="D4761" s="380" t="str">
        <x:v>Jan</x:v>
      </x:c>
      <x:c r="E4761" s="380" t="n">
        <x:v>7</x:v>
      </x:c>
      <x:c r="F4761" s="380" t="n">
        <x:v>4</x:v>
      </x:c>
      <x:c r="G4761" s="380" t="n">
        <x:f>--(F4761&lt;='Estimator'!$B$7)</x:f>
        <x:v>1</x:v>
      </x:c>
      <x:c r="H4761" s="381" t="n">
        <x:f>SUMIFS('Climate Data'!$G$7:$G$366,'Climate Data'!$A$7:$A$366,'Estimator'!$B$4,'Climate Data'!$B$7:$B$366,C4761)</x:f>
        <x:v>0.21802002224694106</x:v>
      </x:c>
      <x:c r="I4761" s="382" t="n">
        <x:f>SUMIFS('Climate Data'!$H$7:$H$366,'Climate Data'!$A$7:$A$366,'Estimator'!$B$4,'Climate Data'!$B$7:$B$366,C4761)</x:f>
        <x:v>8.596428571428572</x:v>
      </x:c>
      <x:c r="J4761" s="381" t="n">
        <x:f>SUMIFS('Wind Proxy'!$H$8:$H$19,'Wind Proxy'!$A$8:$A$19,'Estimator'!$B$4,'Wind Proxy'!$B$8:$B$19,C4761)</x:f>
        <x:v>0.12544802867383514</x:v>
      </x:c>
    </x:row>
    <x:row r="4762">
      <x:c r="A4762" s="379" t="n">
        <x:v>50413</x:v>
      </x:c>
      <x:c r="B4762" s="380" t="n">
        <x:v>2038</x:v>
      </x:c>
      <x:c r="C4762" s="380" t="n">
        <x:v>1</x:v>
      </x:c>
      <x:c r="D4762" s="380" t="str">
        <x:v>Jan</x:v>
      </x:c>
      <x:c r="E4762" s="380" t="n">
        <x:v>8</x:v>
      </x:c>
      <x:c r="F4762" s="380" t="n">
        <x:v>5</x:v>
      </x:c>
      <x:c r="G4762" s="380" t="n">
        <x:f>--(F4762&lt;='Estimator'!$B$7)</x:f>
        <x:v>1</x:v>
      </x:c>
      <x:c r="H4762" s="381" t="n">
        <x:f>SUMIFS('Climate Data'!$G$7:$G$366,'Climate Data'!$A$7:$A$366,'Estimator'!$B$4,'Climate Data'!$B$7:$B$366,C4762)</x:f>
        <x:v>0.21802002224694106</x:v>
      </x:c>
      <x:c r="I4762" s="382" t="n">
        <x:f>SUMIFS('Climate Data'!$H$7:$H$366,'Climate Data'!$A$7:$A$366,'Estimator'!$B$4,'Climate Data'!$B$7:$B$366,C4762)</x:f>
        <x:v>8.596428571428572</x:v>
      </x:c>
      <x:c r="J4762" s="381" t="n">
        <x:f>SUMIFS('Wind Proxy'!$H$8:$H$19,'Wind Proxy'!$A$8:$A$19,'Estimator'!$B$4,'Wind Proxy'!$B$8:$B$19,C4762)</x:f>
        <x:v>0.12544802867383514</x:v>
      </x:c>
    </x:row>
    <x:row r="4763">
      <x:c r="A4763" s="379" t="n">
        <x:v>50414</x:v>
      </x:c>
      <x:c r="B4763" s="380" t="n">
        <x:v>2038</x:v>
      </x:c>
      <x:c r="C4763" s="380" t="n">
        <x:v>1</x:v>
      </x:c>
      <x:c r="D4763" s="380" t="str">
        <x:v>Jan</x:v>
      </x:c>
      <x:c r="E4763" s="380" t="n">
        <x:v>9</x:v>
      </x:c>
      <x:c r="F4763" s="380" t="n">
        <x:v>6</x:v>
      </x:c>
      <x:c r="G4763" s="380" t="n">
        <x:f>--(F4763&lt;='Estimator'!$B$7)</x:f>
        <x:v>0</x:v>
      </x:c>
      <x:c r="H4763" s="381" t="n">
        <x:f>SUMIFS('Climate Data'!$G$7:$G$366,'Climate Data'!$A$7:$A$366,'Estimator'!$B$4,'Climate Data'!$B$7:$B$366,C4763)</x:f>
        <x:v>0.21802002224694106</x:v>
      </x:c>
      <x:c r="I4763" s="382" t="n">
        <x:f>SUMIFS('Climate Data'!$H$7:$H$366,'Climate Data'!$A$7:$A$366,'Estimator'!$B$4,'Climate Data'!$B$7:$B$366,C4763)</x:f>
        <x:v>8.596428571428572</x:v>
      </x:c>
      <x:c r="J4763" s="381" t="n">
        <x:f>SUMIFS('Wind Proxy'!$H$8:$H$19,'Wind Proxy'!$A$8:$A$19,'Estimator'!$B$4,'Wind Proxy'!$B$8:$B$19,C4763)</x:f>
        <x:v>0.12544802867383514</x:v>
      </x:c>
    </x:row>
    <x:row r="4764">
      <x:c r="A4764" s="379" t="n">
        <x:v>50415</x:v>
      </x:c>
      <x:c r="B4764" s="380" t="n">
        <x:v>2038</x:v>
      </x:c>
      <x:c r="C4764" s="380" t="n">
        <x:v>1</x:v>
      </x:c>
      <x:c r="D4764" s="380" t="str">
        <x:v>Jan</x:v>
      </x:c>
      <x:c r="E4764" s="380" t="n">
        <x:v>10</x:v>
      </x:c>
      <x:c r="F4764" s="380" t="n">
        <x:v>7</x:v>
      </x:c>
      <x:c r="G4764" s="380" t="n">
        <x:f>--(F4764&lt;='Estimator'!$B$7)</x:f>
        <x:v>0</x:v>
      </x:c>
      <x:c r="H4764" s="381" t="n">
        <x:f>SUMIFS('Climate Data'!$G$7:$G$366,'Climate Data'!$A$7:$A$366,'Estimator'!$B$4,'Climate Data'!$B$7:$B$366,C4764)</x:f>
        <x:v>0.21802002224694106</x:v>
      </x:c>
      <x:c r="I4764" s="382" t="n">
        <x:f>SUMIFS('Climate Data'!$H$7:$H$366,'Climate Data'!$A$7:$A$366,'Estimator'!$B$4,'Climate Data'!$B$7:$B$366,C4764)</x:f>
        <x:v>8.596428571428572</x:v>
      </x:c>
      <x:c r="J4764" s="381" t="n">
        <x:f>SUMIFS('Wind Proxy'!$H$8:$H$19,'Wind Proxy'!$A$8:$A$19,'Estimator'!$B$4,'Wind Proxy'!$B$8:$B$19,C4764)</x:f>
        <x:v>0.12544802867383514</x:v>
      </x:c>
    </x:row>
    <x:row r="4765">
      <x:c r="A4765" s="379" t="n">
        <x:v>50416</x:v>
      </x:c>
      <x:c r="B4765" s="380" t="n">
        <x:v>2038</x:v>
      </x:c>
      <x:c r="C4765" s="380" t="n">
        <x:v>1</x:v>
      </x:c>
      <x:c r="D4765" s="380" t="str">
        <x:v>Jan</x:v>
      </x:c>
      <x:c r="E4765" s="380" t="n">
        <x:v>11</x:v>
      </x:c>
      <x:c r="F4765" s="380" t="n">
        <x:v>1</x:v>
      </x:c>
      <x:c r="G4765" s="380" t="n">
        <x:f>--(F4765&lt;='Estimator'!$B$7)</x:f>
        <x:v>1</x:v>
      </x:c>
      <x:c r="H4765" s="381" t="n">
        <x:f>SUMIFS('Climate Data'!$G$7:$G$366,'Climate Data'!$A$7:$A$366,'Estimator'!$B$4,'Climate Data'!$B$7:$B$366,C4765)</x:f>
        <x:v>0.21802002224694106</x:v>
      </x:c>
      <x:c r="I4765" s="382" t="n">
        <x:f>SUMIFS('Climate Data'!$H$7:$H$366,'Climate Data'!$A$7:$A$366,'Estimator'!$B$4,'Climate Data'!$B$7:$B$366,C4765)</x:f>
        <x:v>8.596428571428572</x:v>
      </x:c>
      <x:c r="J4765" s="381" t="n">
        <x:f>SUMIFS('Wind Proxy'!$H$8:$H$19,'Wind Proxy'!$A$8:$A$19,'Estimator'!$B$4,'Wind Proxy'!$B$8:$B$19,C4765)</x:f>
        <x:v>0.12544802867383514</x:v>
      </x:c>
    </x:row>
    <x:row r="4766">
      <x:c r="A4766" s="379" t="n">
        <x:v>50417</x:v>
      </x:c>
      <x:c r="B4766" s="380" t="n">
        <x:v>2038</x:v>
      </x:c>
      <x:c r="C4766" s="380" t="n">
        <x:v>1</x:v>
      </x:c>
      <x:c r="D4766" s="380" t="str">
        <x:v>Jan</x:v>
      </x:c>
      <x:c r="E4766" s="380" t="n">
        <x:v>12</x:v>
      </x:c>
      <x:c r="F4766" s="380" t="n">
        <x:v>2</x:v>
      </x:c>
      <x:c r="G4766" s="380" t="n">
        <x:f>--(F4766&lt;='Estimator'!$B$7)</x:f>
        <x:v>1</x:v>
      </x:c>
      <x:c r="H4766" s="381" t="n">
        <x:f>SUMIFS('Climate Data'!$G$7:$G$366,'Climate Data'!$A$7:$A$366,'Estimator'!$B$4,'Climate Data'!$B$7:$B$366,C4766)</x:f>
        <x:v>0.21802002224694106</x:v>
      </x:c>
      <x:c r="I4766" s="382" t="n">
        <x:f>SUMIFS('Climate Data'!$H$7:$H$366,'Climate Data'!$A$7:$A$366,'Estimator'!$B$4,'Climate Data'!$B$7:$B$366,C4766)</x:f>
        <x:v>8.596428571428572</x:v>
      </x:c>
      <x:c r="J4766" s="381" t="n">
        <x:f>SUMIFS('Wind Proxy'!$H$8:$H$19,'Wind Proxy'!$A$8:$A$19,'Estimator'!$B$4,'Wind Proxy'!$B$8:$B$19,C4766)</x:f>
        <x:v>0.12544802867383514</x:v>
      </x:c>
    </x:row>
    <x:row r="4767">
      <x:c r="A4767" s="379" t="n">
        <x:v>50418</x:v>
      </x:c>
      <x:c r="B4767" s="380" t="n">
        <x:v>2038</x:v>
      </x:c>
      <x:c r="C4767" s="380" t="n">
        <x:v>1</x:v>
      </x:c>
      <x:c r="D4767" s="380" t="str">
        <x:v>Jan</x:v>
      </x:c>
      <x:c r="E4767" s="380" t="n">
        <x:v>13</x:v>
      </x:c>
      <x:c r="F4767" s="380" t="n">
        <x:v>3</x:v>
      </x:c>
      <x:c r="G4767" s="380" t="n">
        <x:f>--(F4767&lt;='Estimator'!$B$7)</x:f>
        <x:v>1</x:v>
      </x:c>
      <x:c r="H4767" s="381" t="n">
        <x:f>SUMIFS('Climate Data'!$G$7:$G$366,'Climate Data'!$A$7:$A$366,'Estimator'!$B$4,'Climate Data'!$B$7:$B$366,C4767)</x:f>
        <x:v>0.21802002224694106</x:v>
      </x:c>
      <x:c r="I4767" s="382" t="n">
        <x:f>SUMIFS('Climate Data'!$H$7:$H$366,'Climate Data'!$A$7:$A$366,'Estimator'!$B$4,'Climate Data'!$B$7:$B$366,C4767)</x:f>
        <x:v>8.596428571428572</x:v>
      </x:c>
      <x:c r="J4767" s="381" t="n">
        <x:f>SUMIFS('Wind Proxy'!$H$8:$H$19,'Wind Proxy'!$A$8:$A$19,'Estimator'!$B$4,'Wind Proxy'!$B$8:$B$19,C4767)</x:f>
        <x:v>0.12544802867383514</x:v>
      </x:c>
    </x:row>
    <x:row r="4768">
      <x:c r="A4768" s="379" t="n">
        <x:v>50419</x:v>
      </x:c>
      <x:c r="B4768" s="380" t="n">
        <x:v>2038</x:v>
      </x:c>
      <x:c r="C4768" s="380" t="n">
        <x:v>1</x:v>
      </x:c>
      <x:c r="D4768" s="380" t="str">
        <x:v>Jan</x:v>
      </x:c>
      <x:c r="E4768" s="380" t="n">
        <x:v>14</x:v>
      </x:c>
      <x:c r="F4768" s="380" t="n">
        <x:v>4</x:v>
      </x:c>
      <x:c r="G4768" s="380" t="n">
        <x:f>--(F4768&lt;='Estimator'!$B$7)</x:f>
        <x:v>1</x:v>
      </x:c>
      <x:c r="H4768" s="381" t="n">
        <x:f>SUMIFS('Climate Data'!$G$7:$G$366,'Climate Data'!$A$7:$A$366,'Estimator'!$B$4,'Climate Data'!$B$7:$B$366,C4768)</x:f>
        <x:v>0.21802002224694106</x:v>
      </x:c>
      <x:c r="I4768" s="382" t="n">
        <x:f>SUMIFS('Climate Data'!$H$7:$H$366,'Climate Data'!$A$7:$A$366,'Estimator'!$B$4,'Climate Data'!$B$7:$B$366,C4768)</x:f>
        <x:v>8.596428571428572</x:v>
      </x:c>
      <x:c r="J4768" s="381" t="n">
        <x:f>SUMIFS('Wind Proxy'!$H$8:$H$19,'Wind Proxy'!$A$8:$A$19,'Estimator'!$B$4,'Wind Proxy'!$B$8:$B$19,C4768)</x:f>
        <x:v>0.12544802867383514</x:v>
      </x:c>
    </x:row>
    <x:row r="4769">
      <x:c r="A4769" s="379" t="n">
        <x:v>50420</x:v>
      </x:c>
      <x:c r="B4769" s="380" t="n">
        <x:v>2038</x:v>
      </x:c>
      <x:c r="C4769" s="380" t="n">
        <x:v>1</x:v>
      </x:c>
      <x:c r="D4769" s="380" t="str">
        <x:v>Jan</x:v>
      </x:c>
      <x:c r="E4769" s="380" t="n">
        <x:v>15</x:v>
      </x:c>
      <x:c r="F4769" s="380" t="n">
        <x:v>5</x:v>
      </x:c>
      <x:c r="G4769" s="380" t="n">
        <x:f>--(F4769&lt;='Estimator'!$B$7)</x:f>
        <x:v>1</x:v>
      </x:c>
      <x:c r="H4769" s="381" t="n">
        <x:f>SUMIFS('Climate Data'!$G$7:$G$366,'Climate Data'!$A$7:$A$366,'Estimator'!$B$4,'Climate Data'!$B$7:$B$366,C4769)</x:f>
        <x:v>0.21802002224694106</x:v>
      </x:c>
      <x:c r="I4769" s="382" t="n">
        <x:f>SUMIFS('Climate Data'!$H$7:$H$366,'Climate Data'!$A$7:$A$366,'Estimator'!$B$4,'Climate Data'!$B$7:$B$366,C4769)</x:f>
        <x:v>8.596428571428572</x:v>
      </x:c>
      <x:c r="J4769" s="381" t="n">
        <x:f>SUMIFS('Wind Proxy'!$H$8:$H$19,'Wind Proxy'!$A$8:$A$19,'Estimator'!$B$4,'Wind Proxy'!$B$8:$B$19,C4769)</x:f>
        <x:v>0.12544802867383514</x:v>
      </x:c>
    </x:row>
    <x:row r="4770">
      <x:c r="A4770" s="379" t="n">
        <x:v>50421</x:v>
      </x:c>
      <x:c r="B4770" s="380" t="n">
        <x:v>2038</x:v>
      </x:c>
      <x:c r="C4770" s="380" t="n">
        <x:v>1</x:v>
      </x:c>
      <x:c r="D4770" s="380" t="str">
        <x:v>Jan</x:v>
      </x:c>
      <x:c r="E4770" s="380" t="n">
        <x:v>16</x:v>
      </x:c>
      <x:c r="F4770" s="380" t="n">
        <x:v>6</x:v>
      </x:c>
      <x:c r="G4770" s="380" t="n">
        <x:f>--(F4770&lt;='Estimator'!$B$7)</x:f>
        <x:v>0</x:v>
      </x:c>
      <x:c r="H4770" s="381" t="n">
        <x:f>SUMIFS('Climate Data'!$G$7:$G$366,'Climate Data'!$A$7:$A$366,'Estimator'!$B$4,'Climate Data'!$B$7:$B$366,C4770)</x:f>
        <x:v>0.21802002224694106</x:v>
      </x:c>
      <x:c r="I4770" s="382" t="n">
        <x:f>SUMIFS('Climate Data'!$H$7:$H$366,'Climate Data'!$A$7:$A$366,'Estimator'!$B$4,'Climate Data'!$B$7:$B$366,C4770)</x:f>
        <x:v>8.596428571428572</x:v>
      </x:c>
      <x:c r="J4770" s="381" t="n">
        <x:f>SUMIFS('Wind Proxy'!$H$8:$H$19,'Wind Proxy'!$A$8:$A$19,'Estimator'!$B$4,'Wind Proxy'!$B$8:$B$19,C4770)</x:f>
        <x:v>0.12544802867383514</x:v>
      </x:c>
    </x:row>
    <x:row r="4771">
      <x:c r="A4771" s="379" t="n">
        <x:v>50422</x:v>
      </x:c>
      <x:c r="B4771" s="380" t="n">
        <x:v>2038</x:v>
      </x:c>
      <x:c r="C4771" s="380" t="n">
        <x:v>1</x:v>
      </x:c>
      <x:c r="D4771" s="380" t="str">
        <x:v>Jan</x:v>
      </x:c>
      <x:c r="E4771" s="380" t="n">
        <x:v>17</x:v>
      </x:c>
      <x:c r="F4771" s="380" t="n">
        <x:v>7</x:v>
      </x:c>
      <x:c r="G4771" s="380" t="n">
        <x:f>--(F4771&lt;='Estimator'!$B$7)</x:f>
        <x:v>0</x:v>
      </x:c>
      <x:c r="H4771" s="381" t="n">
        <x:f>SUMIFS('Climate Data'!$G$7:$G$366,'Climate Data'!$A$7:$A$366,'Estimator'!$B$4,'Climate Data'!$B$7:$B$366,C4771)</x:f>
        <x:v>0.21802002224694106</x:v>
      </x:c>
      <x:c r="I4771" s="382" t="n">
        <x:f>SUMIFS('Climate Data'!$H$7:$H$366,'Climate Data'!$A$7:$A$366,'Estimator'!$B$4,'Climate Data'!$B$7:$B$366,C4771)</x:f>
        <x:v>8.596428571428572</x:v>
      </x:c>
      <x:c r="J4771" s="381" t="n">
        <x:f>SUMIFS('Wind Proxy'!$H$8:$H$19,'Wind Proxy'!$A$8:$A$19,'Estimator'!$B$4,'Wind Proxy'!$B$8:$B$19,C4771)</x:f>
        <x:v>0.12544802867383514</x:v>
      </x:c>
    </x:row>
    <x:row r="4772">
      <x:c r="A4772" s="379" t="n">
        <x:v>50423</x:v>
      </x:c>
      <x:c r="B4772" s="380" t="n">
        <x:v>2038</x:v>
      </x:c>
      <x:c r="C4772" s="380" t="n">
        <x:v>1</x:v>
      </x:c>
      <x:c r="D4772" s="380" t="str">
        <x:v>Jan</x:v>
      </x:c>
      <x:c r="E4772" s="380" t="n">
        <x:v>18</x:v>
      </x:c>
      <x:c r="F4772" s="380" t="n">
        <x:v>1</x:v>
      </x:c>
      <x:c r="G4772" s="380" t="n">
        <x:f>--(F4772&lt;='Estimator'!$B$7)</x:f>
        <x:v>1</x:v>
      </x:c>
      <x:c r="H4772" s="381" t="n">
        <x:f>SUMIFS('Climate Data'!$G$7:$G$366,'Climate Data'!$A$7:$A$366,'Estimator'!$B$4,'Climate Data'!$B$7:$B$366,C4772)</x:f>
        <x:v>0.21802002224694106</x:v>
      </x:c>
      <x:c r="I4772" s="382" t="n">
        <x:f>SUMIFS('Climate Data'!$H$7:$H$366,'Climate Data'!$A$7:$A$366,'Estimator'!$B$4,'Climate Data'!$B$7:$B$366,C4772)</x:f>
        <x:v>8.596428571428572</x:v>
      </x:c>
      <x:c r="J4772" s="381" t="n">
        <x:f>SUMIFS('Wind Proxy'!$H$8:$H$19,'Wind Proxy'!$A$8:$A$19,'Estimator'!$B$4,'Wind Proxy'!$B$8:$B$19,C4772)</x:f>
        <x:v>0.12544802867383514</x:v>
      </x:c>
    </x:row>
    <x:row r="4773">
      <x:c r="A4773" s="379" t="n">
        <x:v>50424</x:v>
      </x:c>
      <x:c r="B4773" s="380" t="n">
        <x:v>2038</x:v>
      </x:c>
      <x:c r="C4773" s="380" t="n">
        <x:v>1</x:v>
      </x:c>
      <x:c r="D4773" s="380" t="str">
        <x:v>Jan</x:v>
      </x:c>
      <x:c r="E4773" s="380" t="n">
        <x:v>19</x:v>
      </x:c>
      <x:c r="F4773" s="380" t="n">
        <x:v>2</x:v>
      </x:c>
      <x:c r="G4773" s="380" t="n">
        <x:f>--(F4773&lt;='Estimator'!$B$7)</x:f>
        <x:v>1</x:v>
      </x:c>
      <x:c r="H4773" s="381" t="n">
        <x:f>SUMIFS('Climate Data'!$G$7:$G$366,'Climate Data'!$A$7:$A$366,'Estimator'!$B$4,'Climate Data'!$B$7:$B$366,C4773)</x:f>
        <x:v>0.21802002224694106</x:v>
      </x:c>
      <x:c r="I4773" s="382" t="n">
        <x:f>SUMIFS('Climate Data'!$H$7:$H$366,'Climate Data'!$A$7:$A$366,'Estimator'!$B$4,'Climate Data'!$B$7:$B$366,C4773)</x:f>
        <x:v>8.596428571428572</x:v>
      </x:c>
      <x:c r="J4773" s="381" t="n">
        <x:f>SUMIFS('Wind Proxy'!$H$8:$H$19,'Wind Proxy'!$A$8:$A$19,'Estimator'!$B$4,'Wind Proxy'!$B$8:$B$19,C4773)</x:f>
        <x:v>0.12544802867383514</x:v>
      </x:c>
    </x:row>
    <x:row r="4774">
      <x:c r="A4774" s="379" t="n">
        <x:v>50425</x:v>
      </x:c>
      <x:c r="B4774" s="380" t="n">
        <x:v>2038</x:v>
      </x:c>
      <x:c r="C4774" s="380" t="n">
        <x:v>1</x:v>
      </x:c>
      <x:c r="D4774" s="380" t="str">
        <x:v>Jan</x:v>
      </x:c>
      <x:c r="E4774" s="380" t="n">
        <x:v>20</x:v>
      </x:c>
      <x:c r="F4774" s="380" t="n">
        <x:v>3</x:v>
      </x:c>
      <x:c r="G4774" s="380" t="n">
        <x:f>--(F4774&lt;='Estimator'!$B$7)</x:f>
        <x:v>1</x:v>
      </x:c>
      <x:c r="H4774" s="381" t="n">
        <x:f>SUMIFS('Climate Data'!$G$7:$G$366,'Climate Data'!$A$7:$A$366,'Estimator'!$B$4,'Climate Data'!$B$7:$B$366,C4774)</x:f>
        <x:v>0.21802002224694106</x:v>
      </x:c>
      <x:c r="I4774" s="382" t="n">
        <x:f>SUMIFS('Climate Data'!$H$7:$H$366,'Climate Data'!$A$7:$A$366,'Estimator'!$B$4,'Climate Data'!$B$7:$B$366,C4774)</x:f>
        <x:v>8.596428571428572</x:v>
      </x:c>
      <x:c r="J4774" s="381" t="n">
        <x:f>SUMIFS('Wind Proxy'!$H$8:$H$19,'Wind Proxy'!$A$8:$A$19,'Estimator'!$B$4,'Wind Proxy'!$B$8:$B$19,C4774)</x:f>
        <x:v>0.12544802867383514</x:v>
      </x:c>
    </x:row>
    <x:row r="4775">
      <x:c r="A4775" s="379" t="n">
        <x:v>50426</x:v>
      </x:c>
      <x:c r="B4775" s="380" t="n">
        <x:v>2038</x:v>
      </x:c>
      <x:c r="C4775" s="380" t="n">
        <x:v>1</x:v>
      </x:c>
      <x:c r="D4775" s="380" t="str">
        <x:v>Jan</x:v>
      </x:c>
      <x:c r="E4775" s="380" t="n">
        <x:v>21</x:v>
      </x:c>
      <x:c r="F4775" s="380" t="n">
        <x:v>4</x:v>
      </x:c>
      <x:c r="G4775" s="380" t="n">
        <x:f>--(F4775&lt;='Estimator'!$B$7)</x:f>
        <x:v>1</x:v>
      </x:c>
      <x:c r="H4775" s="381" t="n">
        <x:f>SUMIFS('Climate Data'!$G$7:$G$366,'Climate Data'!$A$7:$A$366,'Estimator'!$B$4,'Climate Data'!$B$7:$B$366,C4775)</x:f>
        <x:v>0.21802002224694106</x:v>
      </x:c>
      <x:c r="I4775" s="382" t="n">
        <x:f>SUMIFS('Climate Data'!$H$7:$H$366,'Climate Data'!$A$7:$A$366,'Estimator'!$B$4,'Climate Data'!$B$7:$B$366,C4775)</x:f>
        <x:v>8.596428571428572</x:v>
      </x:c>
      <x:c r="J4775" s="381" t="n">
        <x:f>SUMIFS('Wind Proxy'!$H$8:$H$19,'Wind Proxy'!$A$8:$A$19,'Estimator'!$B$4,'Wind Proxy'!$B$8:$B$19,C4775)</x:f>
        <x:v>0.12544802867383514</x:v>
      </x:c>
    </x:row>
    <x:row r="4776">
      <x:c r="A4776" s="379" t="n">
        <x:v>50427</x:v>
      </x:c>
      <x:c r="B4776" s="380" t="n">
        <x:v>2038</x:v>
      </x:c>
      <x:c r="C4776" s="380" t="n">
        <x:v>1</x:v>
      </x:c>
      <x:c r="D4776" s="380" t="str">
        <x:v>Jan</x:v>
      </x:c>
      <x:c r="E4776" s="380" t="n">
        <x:v>22</x:v>
      </x:c>
      <x:c r="F4776" s="380" t="n">
        <x:v>5</x:v>
      </x:c>
      <x:c r="G4776" s="380" t="n">
        <x:f>--(F4776&lt;='Estimator'!$B$7)</x:f>
        <x:v>1</x:v>
      </x:c>
      <x:c r="H4776" s="381" t="n">
        <x:f>SUMIFS('Climate Data'!$G$7:$G$366,'Climate Data'!$A$7:$A$366,'Estimator'!$B$4,'Climate Data'!$B$7:$B$366,C4776)</x:f>
        <x:v>0.21802002224694106</x:v>
      </x:c>
      <x:c r="I4776" s="382" t="n">
        <x:f>SUMIFS('Climate Data'!$H$7:$H$366,'Climate Data'!$A$7:$A$366,'Estimator'!$B$4,'Climate Data'!$B$7:$B$366,C4776)</x:f>
        <x:v>8.596428571428572</x:v>
      </x:c>
      <x:c r="J4776" s="381" t="n">
        <x:f>SUMIFS('Wind Proxy'!$H$8:$H$19,'Wind Proxy'!$A$8:$A$19,'Estimator'!$B$4,'Wind Proxy'!$B$8:$B$19,C4776)</x:f>
        <x:v>0.12544802867383514</x:v>
      </x:c>
    </x:row>
    <x:row r="4777">
      <x:c r="A4777" s="379" t="n">
        <x:v>50428</x:v>
      </x:c>
      <x:c r="B4777" s="380" t="n">
        <x:v>2038</x:v>
      </x:c>
      <x:c r="C4777" s="380" t="n">
        <x:v>1</x:v>
      </x:c>
      <x:c r="D4777" s="380" t="str">
        <x:v>Jan</x:v>
      </x:c>
      <x:c r="E4777" s="380" t="n">
        <x:v>23</x:v>
      </x:c>
      <x:c r="F4777" s="380" t="n">
        <x:v>6</x:v>
      </x:c>
      <x:c r="G4777" s="380" t="n">
        <x:f>--(F4777&lt;='Estimator'!$B$7)</x:f>
        <x:v>0</x:v>
      </x:c>
      <x:c r="H4777" s="381" t="n">
        <x:f>SUMIFS('Climate Data'!$G$7:$G$366,'Climate Data'!$A$7:$A$366,'Estimator'!$B$4,'Climate Data'!$B$7:$B$366,C4777)</x:f>
        <x:v>0.21802002224694106</x:v>
      </x:c>
      <x:c r="I4777" s="382" t="n">
        <x:f>SUMIFS('Climate Data'!$H$7:$H$366,'Climate Data'!$A$7:$A$366,'Estimator'!$B$4,'Climate Data'!$B$7:$B$366,C4777)</x:f>
        <x:v>8.596428571428572</x:v>
      </x:c>
      <x:c r="J4777" s="381" t="n">
        <x:f>SUMIFS('Wind Proxy'!$H$8:$H$19,'Wind Proxy'!$A$8:$A$19,'Estimator'!$B$4,'Wind Proxy'!$B$8:$B$19,C4777)</x:f>
        <x:v>0.12544802867383514</x:v>
      </x:c>
    </x:row>
    <x:row r="4778">
      <x:c r="A4778" s="379" t="n">
        <x:v>50429</x:v>
      </x:c>
      <x:c r="B4778" s="380" t="n">
        <x:v>2038</x:v>
      </x:c>
      <x:c r="C4778" s="380" t="n">
        <x:v>1</x:v>
      </x:c>
      <x:c r="D4778" s="380" t="str">
        <x:v>Jan</x:v>
      </x:c>
      <x:c r="E4778" s="380" t="n">
        <x:v>24</x:v>
      </x:c>
      <x:c r="F4778" s="380" t="n">
        <x:v>7</x:v>
      </x:c>
      <x:c r="G4778" s="380" t="n">
        <x:f>--(F4778&lt;='Estimator'!$B$7)</x:f>
        <x:v>0</x:v>
      </x:c>
      <x:c r="H4778" s="381" t="n">
        <x:f>SUMIFS('Climate Data'!$G$7:$G$366,'Climate Data'!$A$7:$A$366,'Estimator'!$B$4,'Climate Data'!$B$7:$B$366,C4778)</x:f>
        <x:v>0.21802002224694106</x:v>
      </x:c>
      <x:c r="I4778" s="382" t="n">
        <x:f>SUMIFS('Climate Data'!$H$7:$H$366,'Climate Data'!$A$7:$A$366,'Estimator'!$B$4,'Climate Data'!$B$7:$B$366,C4778)</x:f>
        <x:v>8.596428571428572</x:v>
      </x:c>
      <x:c r="J4778" s="381" t="n">
        <x:f>SUMIFS('Wind Proxy'!$H$8:$H$19,'Wind Proxy'!$A$8:$A$19,'Estimator'!$B$4,'Wind Proxy'!$B$8:$B$19,C4778)</x:f>
        <x:v>0.12544802867383514</x:v>
      </x:c>
    </x:row>
    <x:row r="4779">
      <x:c r="A4779" s="379" t="n">
        <x:v>50430</x:v>
      </x:c>
      <x:c r="B4779" s="380" t="n">
        <x:v>2038</x:v>
      </x:c>
      <x:c r="C4779" s="380" t="n">
        <x:v>1</x:v>
      </x:c>
      <x:c r="D4779" s="380" t="str">
        <x:v>Jan</x:v>
      </x:c>
      <x:c r="E4779" s="380" t="n">
        <x:v>25</x:v>
      </x:c>
      <x:c r="F4779" s="380" t="n">
        <x:v>1</x:v>
      </x:c>
      <x:c r="G4779" s="380" t="n">
        <x:f>--(F4779&lt;='Estimator'!$B$7)</x:f>
        <x:v>1</x:v>
      </x:c>
      <x:c r="H4779" s="381" t="n">
        <x:f>SUMIFS('Climate Data'!$G$7:$G$366,'Climate Data'!$A$7:$A$366,'Estimator'!$B$4,'Climate Data'!$B$7:$B$366,C4779)</x:f>
        <x:v>0.21802002224694106</x:v>
      </x:c>
      <x:c r="I4779" s="382" t="n">
        <x:f>SUMIFS('Climate Data'!$H$7:$H$366,'Climate Data'!$A$7:$A$366,'Estimator'!$B$4,'Climate Data'!$B$7:$B$366,C4779)</x:f>
        <x:v>8.596428571428572</x:v>
      </x:c>
      <x:c r="J4779" s="381" t="n">
        <x:f>SUMIFS('Wind Proxy'!$H$8:$H$19,'Wind Proxy'!$A$8:$A$19,'Estimator'!$B$4,'Wind Proxy'!$B$8:$B$19,C4779)</x:f>
        <x:v>0.12544802867383514</x:v>
      </x:c>
    </x:row>
    <x:row r="4780">
      <x:c r="A4780" s="379" t="n">
        <x:v>50431</x:v>
      </x:c>
      <x:c r="B4780" s="380" t="n">
        <x:v>2038</x:v>
      </x:c>
      <x:c r="C4780" s="380" t="n">
        <x:v>1</x:v>
      </x:c>
      <x:c r="D4780" s="380" t="str">
        <x:v>Jan</x:v>
      </x:c>
      <x:c r="E4780" s="380" t="n">
        <x:v>26</x:v>
      </x:c>
      <x:c r="F4780" s="380" t="n">
        <x:v>2</x:v>
      </x:c>
      <x:c r="G4780" s="380" t="n">
        <x:f>--(F4780&lt;='Estimator'!$B$7)</x:f>
        <x:v>1</x:v>
      </x:c>
      <x:c r="H4780" s="381" t="n">
        <x:f>SUMIFS('Climate Data'!$G$7:$G$366,'Climate Data'!$A$7:$A$366,'Estimator'!$B$4,'Climate Data'!$B$7:$B$366,C4780)</x:f>
        <x:v>0.21802002224694106</x:v>
      </x:c>
      <x:c r="I4780" s="382" t="n">
        <x:f>SUMIFS('Climate Data'!$H$7:$H$366,'Climate Data'!$A$7:$A$366,'Estimator'!$B$4,'Climate Data'!$B$7:$B$366,C4780)</x:f>
        <x:v>8.596428571428572</x:v>
      </x:c>
      <x:c r="J4780" s="381" t="n">
        <x:f>SUMIFS('Wind Proxy'!$H$8:$H$19,'Wind Proxy'!$A$8:$A$19,'Estimator'!$B$4,'Wind Proxy'!$B$8:$B$19,C4780)</x:f>
        <x:v>0.12544802867383514</x:v>
      </x:c>
    </x:row>
    <x:row r="4781">
      <x:c r="A4781" s="379" t="n">
        <x:v>50432</x:v>
      </x:c>
      <x:c r="B4781" s="380" t="n">
        <x:v>2038</x:v>
      </x:c>
      <x:c r="C4781" s="380" t="n">
        <x:v>1</x:v>
      </x:c>
      <x:c r="D4781" s="380" t="str">
        <x:v>Jan</x:v>
      </x:c>
      <x:c r="E4781" s="380" t="n">
        <x:v>27</x:v>
      </x:c>
      <x:c r="F4781" s="380" t="n">
        <x:v>3</x:v>
      </x:c>
      <x:c r="G4781" s="380" t="n">
        <x:f>--(F4781&lt;='Estimator'!$B$7)</x:f>
        <x:v>1</x:v>
      </x:c>
      <x:c r="H4781" s="381" t="n">
        <x:f>SUMIFS('Climate Data'!$G$7:$G$366,'Climate Data'!$A$7:$A$366,'Estimator'!$B$4,'Climate Data'!$B$7:$B$366,C4781)</x:f>
        <x:v>0.21802002224694106</x:v>
      </x:c>
      <x:c r="I4781" s="382" t="n">
        <x:f>SUMIFS('Climate Data'!$H$7:$H$366,'Climate Data'!$A$7:$A$366,'Estimator'!$B$4,'Climate Data'!$B$7:$B$366,C4781)</x:f>
        <x:v>8.596428571428572</x:v>
      </x:c>
      <x:c r="J4781" s="381" t="n">
        <x:f>SUMIFS('Wind Proxy'!$H$8:$H$19,'Wind Proxy'!$A$8:$A$19,'Estimator'!$B$4,'Wind Proxy'!$B$8:$B$19,C4781)</x:f>
        <x:v>0.12544802867383514</x:v>
      </x:c>
    </x:row>
    <x:row r="4782">
      <x:c r="A4782" s="379" t="n">
        <x:v>50433</x:v>
      </x:c>
      <x:c r="B4782" s="380" t="n">
        <x:v>2038</x:v>
      </x:c>
      <x:c r="C4782" s="380" t="n">
        <x:v>1</x:v>
      </x:c>
      <x:c r="D4782" s="380" t="str">
        <x:v>Jan</x:v>
      </x:c>
      <x:c r="E4782" s="380" t="n">
        <x:v>28</x:v>
      </x:c>
      <x:c r="F4782" s="380" t="n">
        <x:v>4</x:v>
      </x:c>
      <x:c r="G4782" s="380" t="n">
        <x:f>--(F4782&lt;='Estimator'!$B$7)</x:f>
        <x:v>1</x:v>
      </x:c>
      <x:c r="H4782" s="381" t="n">
        <x:f>SUMIFS('Climate Data'!$G$7:$G$366,'Climate Data'!$A$7:$A$366,'Estimator'!$B$4,'Climate Data'!$B$7:$B$366,C4782)</x:f>
        <x:v>0.21802002224694106</x:v>
      </x:c>
      <x:c r="I4782" s="382" t="n">
        <x:f>SUMIFS('Climate Data'!$H$7:$H$366,'Climate Data'!$A$7:$A$366,'Estimator'!$B$4,'Climate Data'!$B$7:$B$366,C4782)</x:f>
        <x:v>8.596428571428572</x:v>
      </x:c>
      <x:c r="J4782" s="381" t="n">
        <x:f>SUMIFS('Wind Proxy'!$H$8:$H$19,'Wind Proxy'!$A$8:$A$19,'Estimator'!$B$4,'Wind Proxy'!$B$8:$B$19,C4782)</x:f>
        <x:v>0.12544802867383514</x:v>
      </x:c>
    </x:row>
    <x:row r="4783">
      <x:c r="A4783" s="379" t="n">
        <x:v>50434</x:v>
      </x:c>
      <x:c r="B4783" s="380" t="n">
        <x:v>2038</x:v>
      </x:c>
      <x:c r="C4783" s="380" t="n">
        <x:v>1</x:v>
      </x:c>
      <x:c r="D4783" s="380" t="str">
        <x:v>Jan</x:v>
      </x:c>
      <x:c r="E4783" s="380" t="n">
        <x:v>29</x:v>
      </x:c>
      <x:c r="F4783" s="380" t="n">
        <x:v>5</x:v>
      </x:c>
      <x:c r="G4783" s="380" t="n">
        <x:f>--(F4783&lt;='Estimator'!$B$7)</x:f>
        <x:v>1</x:v>
      </x:c>
      <x:c r="H4783" s="381" t="n">
        <x:f>SUMIFS('Climate Data'!$G$7:$G$366,'Climate Data'!$A$7:$A$366,'Estimator'!$B$4,'Climate Data'!$B$7:$B$366,C4783)</x:f>
        <x:v>0.21802002224694106</x:v>
      </x:c>
      <x:c r="I4783" s="382" t="n">
        <x:f>SUMIFS('Climate Data'!$H$7:$H$366,'Climate Data'!$A$7:$A$366,'Estimator'!$B$4,'Climate Data'!$B$7:$B$366,C4783)</x:f>
        <x:v>8.596428571428572</x:v>
      </x:c>
      <x:c r="J4783" s="381" t="n">
        <x:f>SUMIFS('Wind Proxy'!$H$8:$H$19,'Wind Proxy'!$A$8:$A$19,'Estimator'!$B$4,'Wind Proxy'!$B$8:$B$19,C4783)</x:f>
        <x:v>0.12544802867383514</x:v>
      </x:c>
    </x:row>
    <x:row r="4784">
      <x:c r="A4784" s="379" t="n">
        <x:v>50435</x:v>
      </x:c>
      <x:c r="B4784" s="380" t="n">
        <x:v>2038</x:v>
      </x:c>
      <x:c r="C4784" s="380" t="n">
        <x:v>1</x:v>
      </x:c>
      <x:c r="D4784" s="380" t="str">
        <x:v>Jan</x:v>
      </x:c>
      <x:c r="E4784" s="380" t="n">
        <x:v>30</x:v>
      </x:c>
      <x:c r="F4784" s="380" t="n">
        <x:v>6</x:v>
      </x:c>
      <x:c r="G4784" s="380" t="n">
        <x:f>--(F4784&lt;='Estimator'!$B$7)</x:f>
        <x:v>0</x:v>
      </x:c>
      <x:c r="H4784" s="381" t="n">
        <x:f>SUMIFS('Climate Data'!$G$7:$G$366,'Climate Data'!$A$7:$A$366,'Estimator'!$B$4,'Climate Data'!$B$7:$B$366,C4784)</x:f>
        <x:v>0.21802002224694106</x:v>
      </x:c>
      <x:c r="I4784" s="382" t="n">
        <x:f>SUMIFS('Climate Data'!$H$7:$H$366,'Climate Data'!$A$7:$A$366,'Estimator'!$B$4,'Climate Data'!$B$7:$B$366,C4784)</x:f>
        <x:v>8.596428571428572</x:v>
      </x:c>
      <x:c r="J4784" s="381" t="n">
        <x:f>SUMIFS('Wind Proxy'!$H$8:$H$19,'Wind Proxy'!$A$8:$A$19,'Estimator'!$B$4,'Wind Proxy'!$B$8:$B$19,C4784)</x:f>
        <x:v>0.12544802867383514</x:v>
      </x:c>
    </x:row>
    <x:row r="4785">
      <x:c r="A4785" s="379" t="n">
        <x:v>50436</x:v>
      </x:c>
      <x:c r="B4785" s="380" t="n">
        <x:v>2038</x:v>
      </x:c>
      <x:c r="C4785" s="380" t="n">
        <x:v>1</x:v>
      </x:c>
      <x:c r="D4785" s="380" t="str">
        <x:v>Jan</x:v>
      </x:c>
      <x:c r="E4785" s="380" t="n">
        <x:v>31</x:v>
      </x:c>
      <x:c r="F4785" s="380" t="n">
        <x:v>7</x:v>
      </x:c>
      <x:c r="G4785" s="380" t="n">
        <x:f>--(F4785&lt;='Estimator'!$B$7)</x:f>
        <x:v>0</x:v>
      </x:c>
      <x:c r="H4785" s="381" t="n">
        <x:f>SUMIFS('Climate Data'!$G$7:$G$366,'Climate Data'!$A$7:$A$366,'Estimator'!$B$4,'Climate Data'!$B$7:$B$366,C4785)</x:f>
        <x:v>0.21802002224694106</x:v>
      </x:c>
      <x:c r="I4785" s="382" t="n">
        <x:f>SUMIFS('Climate Data'!$H$7:$H$366,'Climate Data'!$A$7:$A$366,'Estimator'!$B$4,'Climate Data'!$B$7:$B$366,C4785)</x:f>
        <x:v>8.596428571428572</x:v>
      </x:c>
      <x:c r="J4785" s="381" t="n">
        <x:f>SUMIFS('Wind Proxy'!$H$8:$H$19,'Wind Proxy'!$A$8:$A$19,'Estimator'!$B$4,'Wind Proxy'!$B$8:$B$19,C4785)</x:f>
        <x:v>0.12544802867383514</x:v>
      </x:c>
    </x:row>
    <x:row r="4786">
      <x:c r="A4786" s="379" t="n">
        <x:v>50437</x:v>
      </x:c>
      <x:c r="B4786" s="380" t="n">
        <x:v>2038</x:v>
      </x:c>
      <x:c r="C4786" s="380" t="n">
        <x:v>2</x:v>
      </x:c>
      <x:c r="D4786" s="380" t="str">
        <x:v>Feb</x:v>
      </x:c>
      <x:c r="E4786" s="380" t="n">
        <x:v>1</x:v>
      </x:c>
      <x:c r="F4786" s="380" t="n">
        <x:v>1</x:v>
      </x:c>
      <x:c r="G4786" s="380" t="n">
        <x:f>--(F4786&lt;='Estimator'!$B$7)</x:f>
        <x:v>1</x:v>
      </x:c>
      <x:c r="H4786" s="381" t="n">
        <x:f>SUMIFS('Climate Data'!$G$7:$G$366,'Climate Data'!$A$7:$A$366,'Estimator'!$B$4,'Climate Data'!$B$7:$B$366,C4786)</x:f>
        <x:v>0.23056278464541316</x:v>
      </x:c>
      <x:c r="I4786" s="382" t="n">
        <x:f>SUMIFS('Climate Data'!$H$7:$H$366,'Climate Data'!$A$7:$A$366,'Estimator'!$B$4,'Climate Data'!$B$7:$B$366,C4786)</x:f>
        <x:v>9.682010582010582</x:v>
      </x:c>
      <x:c r="J4786" s="381" t="n">
        <x:f>SUMIFS('Wind Proxy'!$H$8:$H$19,'Wind Proxy'!$A$8:$A$19,'Estimator'!$B$4,'Wind Proxy'!$B$8:$B$19,C4786)</x:f>
        <x:v>0.13757861635220128</x:v>
      </x:c>
    </x:row>
    <x:row r="4787">
      <x:c r="A4787" s="379" t="n">
        <x:v>50438</x:v>
      </x:c>
      <x:c r="B4787" s="380" t="n">
        <x:v>2038</x:v>
      </x:c>
      <x:c r="C4787" s="380" t="n">
        <x:v>2</x:v>
      </x:c>
      <x:c r="D4787" s="380" t="str">
        <x:v>Feb</x:v>
      </x:c>
      <x:c r="E4787" s="380" t="n">
        <x:v>2</x:v>
      </x:c>
      <x:c r="F4787" s="380" t="n">
        <x:v>2</x:v>
      </x:c>
      <x:c r="G4787" s="380" t="n">
        <x:f>--(F4787&lt;='Estimator'!$B$7)</x:f>
        <x:v>1</x:v>
      </x:c>
      <x:c r="H4787" s="381" t="n">
        <x:f>SUMIFS('Climate Data'!$G$7:$G$366,'Climate Data'!$A$7:$A$366,'Estimator'!$B$4,'Climate Data'!$B$7:$B$366,C4787)</x:f>
        <x:v>0.23056278464541316</x:v>
      </x:c>
      <x:c r="I4787" s="382" t="n">
        <x:f>SUMIFS('Climate Data'!$H$7:$H$366,'Climate Data'!$A$7:$A$366,'Estimator'!$B$4,'Climate Data'!$B$7:$B$366,C4787)</x:f>
        <x:v>9.682010582010582</x:v>
      </x:c>
      <x:c r="J4787" s="381" t="n">
        <x:f>SUMIFS('Wind Proxy'!$H$8:$H$19,'Wind Proxy'!$A$8:$A$19,'Estimator'!$B$4,'Wind Proxy'!$B$8:$B$19,C4787)</x:f>
        <x:v>0.13757861635220128</x:v>
      </x:c>
    </x:row>
    <x:row r="4788">
      <x:c r="A4788" s="379" t="n">
        <x:v>50439</x:v>
      </x:c>
      <x:c r="B4788" s="380" t="n">
        <x:v>2038</x:v>
      </x:c>
      <x:c r="C4788" s="380" t="n">
        <x:v>2</x:v>
      </x:c>
      <x:c r="D4788" s="380" t="str">
        <x:v>Feb</x:v>
      </x:c>
      <x:c r="E4788" s="380" t="n">
        <x:v>3</x:v>
      </x:c>
      <x:c r="F4788" s="380" t="n">
        <x:v>3</x:v>
      </x:c>
      <x:c r="G4788" s="380" t="n">
        <x:f>--(F4788&lt;='Estimator'!$B$7)</x:f>
        <x:v>1</x:v>
      </x:c>
      <x:c r="H4788" s="381" t="n">
        <x:f>SUMIFS('Climate Data'!$G$7:$G$366,'Climate Data'!$A$7:$A$366,'Estimator'!$B$4,'Climate Data'!$B$7:$B$366,C4788)</x:f>
        <x:v>0.23056278464541316</x:v>
      </x:c>
      <x:c r="I4788" s="382" t="n">
        <x:f>SUMIFS('Climate Data'!$H$7:$H$366,'Climate Data'!$A$7:$A$366,'Estimator'!$B$4,'Climate Data'!$B$7:$B$366,C4788)</x:f>
        <x:v>9.682010582010582</x:v>
      </x:c>
      <x:c r="J4788" s="381" t="n">
        <x:f>SUMIFS('Wind Proxy'!$H$8:$H$19,'Wind Proxy'!$A$8:$A$19,'Estimator'!$B$4,'Wind Proxy'!$B$8:$B$19,C4788)</x:f>
        <x:v>0.13757861635220128</x:v>
      </x:c>
    </x:row>
    <x:row r="4789">
      <x:c r="A4789" s="379" t="n">
        <x:v>50440</x:v>
      </x:c>
      <x:c r="B4789" s="380" t="n">
        <x:v>2038</x:v>
      </x:c>
      <x:c r="C4789" s="380" t="n">
        <x:v>2</x:v>
      </x:c>
      <x:c r="D4789" s="380" t="str">
        <x:v>Feb</x:v>
      </x:c>
      <x:c r="E4789" s="380" t="n">
        <x:v>4</x:v>
      </x:c>
      <x:c r="F4789" s="380" t="n">
        <x:v>4</x:v>
      </x:c>
      <x:c r="G4789" s="380" t="n">
        <x:f>--(F4789&lt;='Estimator'!$B$7)</x:f>
        <x:v>1</x:v>
      </x:c>
      <x:c r="H4789" s="381" t="n">
        <x:f>SUMIFS('Climate Data'!$G$7:$G$366,'Climate Data'!$A$7:$A$366,'Estimator'!$B$4,'Climate Data'!$B$7:$B$366,C4789)</x:f>
        <x:v>0.23056278464541316</x:v>
      </x:c>
      <x:c r="I4789" s="382" t="n">
        <x:f>SUMIFS('Climate Data'!$H$7:$H$366,'Climate Data'!$A$7:$A$366,'Estimator'!$B$4,'Climate Data'!$B$7:$B$366,C4789)</x:f>
        <x:v>9.682010582010582</x:v>
      </x:c>
      <x:c r="J4789" s="381" t="n">
        <x:f>SUMIFS('Wind Proxy'!$H$8:$H$19,'Wind Proxy'!$A$8:$A$19,'Estimator'!$B$4,'Wind Proxy'!$B$8:$B$19,C4789)</x:f>
        <x:v>0.13757861635220128</x:v>
      </x:c>
    </x:row>
    <x:row r="4790">
      <x:c r="A4790" s="379" t="n">
        <x:v>50441</x:v>
      </x:c>
      <x:c r="B4790" s="380" t="n">
        <x:v>2038</x:v>
      </x:c>
      <x:c r="C4790" s="380" t="n">
        <x:v>2</x:v>
      </x:c>
      <x:c r="D4790" s="380" t="str">
        <x:v>Feb</x:v>
      </x:c>
      <x:c r="E4790" s="380" t="n">
        <x:v>5</x:v>
      </x:c>
      <x:c r="F4790" s="380" t="n">
        <x:v>5</x:v>
      </x:c>
      <x:c r="G4790" s="380" t="n">
        <x:f>--(F4790&lt;='Estimator'!$B$7)</x:f>
        <x:v>1</x:v>
      </x:c>
      <x:c r="H4790" s="381" t="n">
        <x:f>SUMIFS('Climate Data'!$G$7:$G$366,'Climate Data'!$A$7:$A$366,'Estimator'!$B$4,'Climate Data'!$B$7:$B$366,C4790)</x:f>
        <x:v>0.23056278464541316</x:v>
      </x:c>
      <x:c r="I4790" s="382" t="n">
        <x:f>SUMIFS('Climate Data'!$H$7:$H$366,'Climate Data'!$A$7:$A$366,'Estimator'!$B$4,'Climate Data'!$B$7:$B$366,C4790)</x:f>
        <x:v>9.682010582010582</x:v>
      </x:c>
      <x:c r="J4790" s="381" t="n">
        <x:f>SUMIFS('Wind Proxy'!$H$8:$H$19,'Wind Proxy'!$A$8:$A$19,'Estimator'!$B$4,'Wind Proxy'!$B$8:$B$19,C4790)</x:f>
        <x:v>0.13757861635220128</x:v>
      </x:c>
    </x:row>
    <x:row r="4791">
      <x:c r="A4791" s="379" t="n">
        <x:v>50442</x:v>
      </x:c>
      <x:c r="B4791" s="380" t="n">
        <x:v>2038</x:v>
      </x:c>
      <x:c r="C4791" s="380" t="n">
        <x:v>2</x:v>
      </x:c>
      <x:c r="D4791" s="380" t="str">
        <x:v>Feb</x:v>
      </x:c>
      <x:c r="E4791" s="380" t="n">
        <x:v>6</x:v>
      </x:c>
      <x:c r="F4791" s="380" t="n">
        <x:v>6</x:v>
      </x:c>
      <x:c r="G4791" s="380" t="n">
        <x:f>--(F4791&lt;='Estimator'!$B$7)</x:f>
        <x:v>0</x:v>
      </x:c>
      <x:c r="H4791" s="381" t="n">
        <x:f>SUMIFS('Climate Data'!$G$7:$G$366,'Climate Data'!$A$7:$A$366,'Estimator'!$B$4,'Climate Data'!$B$7:$B$366,C4791)</x:f>
        <x:v>0.23056278464541316</x:v>
      </x:c>
      <x:c r="I4791" s="382" t="n">
        <x:f>SUMIFS('Climate Data'!$H$7:$H$366,'Climate Data'!$A$7:$A$366,'Estimator'!$B$4,'Climate Data'!$B$7:$B$366,C4791)</x:f>
        <x:v>9.682010582010582</x:v>
      </x:c>
      <x:c r="J4791" s="381" t="n">
        <x:f>SUMIFS('Wind Proxy'!$H$8:$H$19,'Wind Proxy'!$A$8:$A$19,'Estimator'!$B$4,'Wind Proxy'!$B$8:$B$19,C4791)</x:f>
        <x:v>0.13757861635220128</x:v>
      </x:c>
    </x:row>
    <x:row r="4792">
      <x:c r="A4792" s="379" t="n">
        <x:v>50443</x:v>
      </x:c>
      <x:c r="B4792" s="380" t="n">
        <x:v>2038</x:v>
      </x:c>
      <x:c r="C4792" s="380" t="n">
        <x:v>2</x:v>
      </x:c>
      <x:c r="D4792" s="380" t="str">
        <x:v>Feb</x:v>
      </x:c>
      <x:c r="E4792" s="380" t="n">
        <x:v>7</x:v>
      </x:c>
      <x:c r="F4792" s="380" t="n">
        <x:v>7</x:v>
      </x:c>
      <x:c r="G4792" s="380" t="n">
        <x:f>--(F4792&lt;='Estimator'!$B$7)</x:f>
        <x:v>0</x:v>
      </x:c>
      <x:c r="H4792" s="381" t="n">
        <x:f>SUMIFS('Climate Data'!$G$7:$G$366,'Climate Data'!$A$7:$A$366,'Estimator'!$B$4,'Climate Data'!$B$7:$B$366,C4792)</x:f>
        <x:v>0.23056278464541316</x:v>
      </x:c>
      <x:c r="I4792" s="382" t="n">
        <x:f>SUMIFS('Climate Data'!$H$7:$H$366,'Climate Data'!$A$7:$A$366,'Estimator'!$B$4,'Climate Data'!$B$7:$B$366,C4792)</x:f>
        <x:v>9.682010582010582</x:v>
      </x:c>
      <x:c r="J4792" s="381" t="n">
        <x:f>SUMIFS('Wind Proxy'!$H$8:$H$19,'Wind Proxy'!$A$8:$A$19,'Estimator'!$B$4,'Wind Proxy'!$B$8:$B$19,C4792)</x:f>
        <x:v>0.13757861635220128</x:v>
      </x:c>
    </x:row>
    <x:row r="4793">
      <x:c r="A4793" s="379" t="n">
        <x:v>50444</x:v>
      </x:c>
      <x:c r="B4793" s="380" t="n">
        <x:v>2038</x:v>
      </x:c>
      <x:c r="C4793" s="380" t="n">
        <x:v>2</x:v>
      </x:c>
      <x:c r="D4793" s="380" t="str">
        <x:v>Feb</x:v>
      </x:c>
      <x:c r="E4793" s="380" t="n">
        <x:v>8</x:v>
      </x:c>
      <x:c r="F4793" s="380" t="n">
        <x:v>1</x:v>
      </x:c>
      <x:c r="G4793" s="380" t="n">
        <x:f>--(F4793&lt;='Estimator'!$B$7)</x:f>
        <x:v>1</x:v>
      </x:c>
      <x:c r="H4793" s="381" t="n">
        <x:f>SUMIFS('Climate Data'!$G$7:$G$366,'Climate Data'!$A$7:$A$366,'Estimator'!$B$4,'Climate Data'!$B$7:$B$366,C4793)</x:f>
        <x:v>0.23056278464541316</x:v>
      </x:c>
      <x:c r="I4793" s="382" t="n">
        <x:f>SUMIFS('Climate Data'!$H$7:$H$366,'Climate Data'!$A$7:$A$366,'Estimator'!$B$4,'Climate Data'!$B$7:$B$366,C4793)</x:f>
        <x:v>9.682010582010582</x:v>
      </x:c>
      <x:c r="J4793" s="381" t="n">
        <x:f>SUMIFS('Wind Proxy'!$H$8:$H$19,'Wind Proxy'!$A$8:$A$19,'Estimator'!$B$4,'Wind Proxy'!$B$8:$B$19,C4793)</x:f>
        <x:v>0.13757861635220128</x:v>
      </x:c>
    </x:row>
    <x:row r="4794">
      <x:c r="A4794" s="379" t="n">
        <x:v>50445</x:v>
      </x:c>
      <x:c r="B4794" s="380" t="n">
        <x:v>2038</x:v>
      </x:c>
      <x:c r="C4794" s="380" t="n">
        <x:v>2</x:v>
      </x:c>
      <x:c r="D4794" s="380" t="str">
        <x:v>Feb</x:v>
      </x:c>
      <x:c r="E4794" s="380" t="n">
        <x:v>9</x:v>
      </x:c>
      <x:c r="F4794" s="380" t="n">
        <x:v>2</x:v>
      </x:c>
      <x:c r="G4794" s="380" t="n">
        <x:f>--(F4794&lt;='Estimator'!$B$7)</x:f>
        <x:v>1</x:v>
      </x:c>
      <x:c r="H4794" s="381" t="n">
        <x:f>SUMIFS('Climate Data'!$G$7:$G$366,'Climate Data'!$A$7:$A$366,'Estimator'!$B$4,'Climate Data'!$B$7:$B$366,C4794)</x:f>
        <x:v>0.23056278464541316</x:v>
      </x:c>
      <x:c r="I4794" s="382" t="n">
        <x:f>SUMIFS('Climate Data'!$H$7:$H$366,'Climate Data'!$A$7:$A$366,'Estimator'!$B$4,'Climate Data'!$B$7:$B$366,C4794)</x:f>
        <x:v>9.682010582010582</x:v>
      </x:c>
      <x:c r="J4794" s="381" t="n">
        <x:f>SUMIFS('Wind Proxy'!$H$8:$H$19,'Wind Proxy'!$A$8:$A$19,'Estimator'!$B$4,'Wind Proxy'!$B$8:$B$19,C4794)</x:f>
        <x:v>0.13757861635220128</x:v>
      </x:c>
    </x:row>
    <x:row r="4795">
      <x:c r="A4795" s="379" t="n">
        <x:v>50446</x:v>
      </x:c>
      <x:c r="B4795" s="380" t="n">
        <x:v>2038</x:v>
      </x:c>
      <x:c r="C4795" s="380" t="n">
        <x:v>2</x:v>
      </x:c>
      <x:c r="D4795" s="380" t="str">
        <x:v>Feb</x:v>
      </x:c>
      <x:c r="E4795" s="380" t="n">
        <x:v>10</x:v>
      </x:c>
      <x:c r="F4795" s="380" t="n">
        <x:v>3</x:v>
      </x:c>
      <x:c r="G4795" s="380" t="n">
        <x:f>--(F4795&lt;='Estimator'!$B$7)</x:f>
        <x:v>1</x:v>
      </x:c>
      <x:c r="H4795" s="381" t="n">
        <x:f>SUMIFS('Climate Data'!$G$7:$G$366,'Climate Data'!$A$7:$A$366,'Estimator'!$B$4,'Climate Data'!$B$7:$B$366,C4795)</x:f>
        <x:v>0.23056278464541316</x:v>
      </x:c>
      <x:c r="I4795" s="382" t="n">
        <x:f>SUMIFS('Climate Data'!$H$7:$H$366,'Climate Data'!$A$7:$A$366,'Estimator'!$B$4,'Climate Data'!$B$7:$B$366,C4795)</x:f>
        <x:v>9.682010582010582</x:v>
      </x:c>
      <x:c r="J4795" s="381" t="n">
        <x:f>SUMIFS('Wind Proxy'!$H$8:$H$19,'Wind Proxy'!$A$8:$A$19,'Estimator'!$B$4,'Wind Proxy'!$B$8:$B$19,C4795)</x:f>
        <x:v>0.13757861635220128</x:v>
      </x:c>
    </x:row>
    <x:row r="4796">
      <x:c r="A4796" s="379" t="n">
        <x:v>50447</x:v>
      </x:c>
      <x:c r="B4796" s="380" t="n">
        <x:v>2038</x:v>
      </x:c>
      <x:c r="C4796" s="380" t="n">
        <x:v>2</x:v>
      </x:c>
      <x:c r="D4796" s="380" t="str">
        <x:v>Feb</x:v>
      </x:c>
      <x:c r="E4796" s="380" t="n">
        <x:v>11</x:v>
      </x:c>
      <x:c r="F4796" s="380" t="n">
        <x:v>4</x:v>
      </x:c>
      <x:c r="G4796" s="380" t="n">
        <x:f>--(F4796&lt;='Estimator'!$B$7)</x:f>
        <x:v>1</x:v>
      </x:c>
      <x:c r="H4796" s="381" t="n">
        <x:f>SUMIFS('Climate Data'!$G$7:$G$366,'Climate Data'!$A$7:$A$366,'Estimator'!$B$4,'Climate Data'!$B$7:$B$366,C4796)</x:f>
        <x:v>0.23056278464541316</x:v>
      </x:c>
      <x:c r="I4796" s="382" t="n">
        <x:f>SUMIFS('Climate Data'!$H$7:$H$366,'Climate Data'!$A$7:$A$366,'Estimator'!$B$4,'Climate Data'!$B$7:$B$366,C4796)</x:f>
        <x:v>9.682010582010582</x:v>
      </x:c>
      <x:c r="J4796" s="381" t="n">
        <x:f>SUMIFS('Wind Proxy'!$H$8:$H$19,'Wind Proxy'!$A$8:$A$19,'Estimator'!$B$4,'Wind Proxy'!$B$8:$B$19,C4796)</x:f>
        <x:v>0.13757861635220128</x:v>
      </x:c>
    </x:row>
    <x:row r="4797">
      <x:c r="A4797" s="379" t="n">
        <x:v>50448</x:v>
      </x:c>
      <x:c r="B4797" s="380" t="n">
        <x:v>2038</x:v>
      </x:c>
      <x:c r="C4797" s="380" t="n">
        <x:v>2</x:v>
      </x:c>
      <x:c r="D4797" s="380" t="str">
        <x:v>Feb</x:v>
      </x:c>
      <x:c r="E4797" s="380" t="n">
        <x:v>12</x:v>
      </x:c>
      <x:c r="F4797" s="380" t="n">
        <x:v>5</x:v>
      </x:c>
      <x:c r="G4797" s="380" t="n">
        <x:f>--(F4797&lt;='Estimator'!$B$7)</x:f>
        <x:v>1</x:v>
      </x:c>
      <x:c r="H4797" s="381" t="n">
        <x:f>SUMIFS('Climate Data'!$G$7:$G$366,'Climate Data'!$A$7:$A$366,'Estimator'!$B$4,'Climate Data'!$B$7:$B$366,C4797)</x:f>
        <x:v>0.23056278464541316</x:v>
      </x:c>
      <x:c r="I4797" s="382" t="n">
        <x:f>SUMIFS('Climate Data'!$H$7:$H$366,'Climate Data'!$A$7:$A$366,'Estimator'!$B$4,'Climate Data'!$B$7:$B$366,C4797)</x:f>
        <x:v>9.682010582010582</x:v>
      </x:c>
      <x:c r="J4797" s="381" t="n">
        <x:f>SUMIFS('Wind Proxy'!$H$8:$H$19,'Wind Proxy'!$A$8:$A$19,'Estimator'!$B$4,'Wind Proxy'!$B$8:$B$19,C4797)</x:f>
        <x:v>0.13757861635220128</x:v>
      </x:c>
    </x:row>
    <x:row r="4798">
      <x:c r="A4798" s="379" t="n">
        <x:v>50449</x:v>
      </x:c>
      <x:c r="B4798" s="380" t="n">
        <x:v>2038</x:v>
      </x:c>
      <x:c r="C4798" s="380" t="n">
        <x:v>2</x:v>
      </x:c>
      <x:c r="D4798" s="380" t="str">
        <x:v>Feb</x:v>
      </x:c>
      <x:c r="E4798" s="380" t="n">
        <x:v>13</x:v>
      </x:c>
      <x:c r="F4798" s="380" t="n">
        <x:v>6</x:v>
      </x:c>
      <x:c r="G4798" s="380" t="n">
        <x:f>--(F4798&lt;='Estimator'!$B$7)</x:f>
        <x:v>0</x:v>
      </x:c>
      <x:c r="H4798" s="381" t="n">
        <x:f>SUMIFS('Climate Data'!$G$7:$G$366,'Climate Data'!$A$7:$A$366,'Estimator'!$B$4,'Climate Data'!$B$7:$B$366,C4798)</x:f>
        <x:v>0.23056278464541316</x:v>
      </x:c>
      <x:c r="I4798" s="382" t="n">
        <x:f>SUMIFS('Climate Data'!$H$7:$H$366,'Climate Data'!$A$7:$A$366,'Estimator'!$B$4,'Climate Data'!$B$7:$B$366,C4798)</x:f>
        <x:v>9.682010582010582</x:v>
      </x:c>
      <x:c r="J4798" s="381" t="n">
        <x:f>SUMIFS('Wind Proxy'!$H$8:$H$19,'Wind Proxy'!$A$8:$A$19,'Estimator'!$B$4,'Wind Proxy'!$B$8:$B$19,C4798)</x:f>
        <x:v>0.13757861635220128</x:v>
      </x:c>
    </x:row>
    <x:row r="4799">
      <x:c r="A4799" s="379" t="n">
        <x:v>50450</x:v>
      </x:c>
      <x:c r="B4799" s="380" t="n">
        <x:v>2038</x:v>
      </x:c>
      <x:c r="C4799" s="380" t="n">
        <x:v>2</x:v>
      </x:c>
      <x:c r="D4799" s="380" t="str">
        <x:v>Feb</x:v>
      </x:c>
      <x:c r="E4799" s="380" t="n">
        <x:v>14</x:v>
      </x:c>
      <x:c r="F4799" s="380" t="n">
        <x:v>7</x:v>
      </x:c>
      <x:c r="G4799" s="380" t="n">
        <x:f>--(F4799&lt;='Estimator'!$B$7)</x:f>
        <x:v>0</x:v>
      </x:c>
      <x:c r="H4799" s="381" t="n">
        <x:f>SUMIFS('Climate Data'!$G$7:$G$366,'Climate Data'!$A$7:$A$366,'Estimator'!$B$4,'Climate Data'!$B$7:$B$366,C4799)</x:f>
        <x:v>0.23056278464541316</x:v>
      </x:c>
      <x:c r="I4799" s="382" t="n">
        <x:f>SUMIFS('Climate Data'!$H$7:$H$366,'Climate Data'!$A$7:$A$366,'Estimator'!$B$4,'Climate Data'!$B$7:$B$366,C4799)</x:f>
        <x:v>9.682010582010582</x:v>
      </x:c>
      <x:c r="J4799" s="381" t="n">
        <x:f>SUMIFS('Wind Proxy'!$H$8:$H$19,'Wind Proxy'!$A$8:$A$19,'Estimator'!$B$4,'Wind Proxy'!$B$8:$B$19,C4799)</x:f>
        <x:v>0.13757861635220128</x:v>
      </x:c>
    </x:row>
    <x:row r="4800">
      <x:c r="A4800" s="379" t="n">
        <x:v>50451</x:v>
      </x:c>
      <x:c r="B4800" s="380" t="n">
        <x:v>2038</x:v>
      </x:c>
      <x:c r="C4800" s="380" t="n">
        <x:v>2</x:v>
      </x:c>
      <x:c r="D4800" s="380" t="str">
        <x:v>Feb</x:v>
      </x:c>
      <x:c r="E4800" s="380" t="n">
        <x:v>15</x:v>
      </x:c>
      <x:c r="F4800" s="380" t="n">
        <x:v>1</x:v>
      </x:c>
      <x:c r="G4800" s="380" t="n">
        <x:f>--(F4800&lt;='Estimator'!$B$7)</x:f>
        <x:v>1</x:v>
      </x:c>
      <x:c r="H4800" s="381" t="n">
        <x:f>SUMIFS('Climate Data'!$G$7:$G$366,'Climate Data'!$A$7:$A$366,'Estimator'!$B$4,'Climate Data'!$B$7:$B$366,C4800)</x:f>
        <x:v>0.23056278464541316</x:v>
      </x:c>
      <x:c r="I4800" s="382" t="n">
        <x:f>SUMIFS('Climate Data'!$H$7:$H$366,'Climate Data'!$A$7:$A$366,'Estimator'!$B$4,'Climate Data'!$B$7:$B$366,C4800)</x:f>
        <x:v>9.682010582010582</x:v>
      </x:c>
      <x:c r="J4800" s="381" t="n">
        <x:f>SUMIFS('Wind Proxy'!$H$8:$H$19,'Wind Proxy'!$A$8:$A$19,'Estimator'!$B$4,'Wind Proxy'!$B$8:$B$19,C4800)</x:f>
        <x:v>0.13757861635220128</x:v>
      </x:c>
    </x:row>
    <x:row r="4801">
      <x:c r="A4801" s="379" t="n">
        <x:v>50452</x:v>
      </x:c>
      <x:c r="B4801" s="380" t="n">
        <x:v>2038</x:v>
      </x:c>
      <x:c r="C4801" s="380" t="n">
        <x:v>2</x:v>
      </x:c>
      <x:c r="D4801" s="380" t="str">
        <x:v>Feb</x:v>
      </x:c>
      <x:c r="E4801" s="380" t="n">
        <x:v>16</x:v>
      </x:c>
      <x:c r="F4801" s="380" t="n">
        <x:v>2</x:v>
      </x:c>
      <x:c r="G4801" s="380" t="n">
        <x:f>--(F4801&lt;='Estimator'!$B$7)</x:f>
        <x:v>1</x:v>
      </x:c>
      <x:c r="H4801" s="381" t="n">
        <x:f>SUMIFS('Climate Data'!$G$7:$G$366,'Climate Data'!$A$7:$A$366,'Estimator'!$B$4,'Climate Data'!$B$7:$B$366,C4801)</x:f>
        <x:v>0.23056278464541316</x:v>
      </x:c>
      <x:c r="I4801" s="382" t="n">
        <x:f>SUMIFS('Climate Data'!$H$7:$H$366,'Climate Data'!$A$7:$A$366,'Estimator'!$B$4,'Climate Data'!$B$7:$B$366,C4801)</x:f>
        <x:v>9.682010582010582</x:v>
      </x:c>
      <x:c r="J4801" s="381" t="n">
        <x:f>SUMIFS('Wind Proxy'!$H$8:$H$19,'Wind Proxy'!$A$8:$A$19,'Estimator'!$B$4,'Wind Proxy'!$B$8:$B$19,C4801)</x:f>
        <x:v>0.13757861635220128</x:v>
      </x:c>
    </x:row>
    <x:row r="4802">
      <x:c r="A4802" s="379" t="n">
        <x:v>50453</x:v>
      </x:c>
      <x:c r="B4802" s="380" t="n">
        <x:v>2038</x:v>
      </x:c>
      <x:c r="C4802" s="380" t="n">
        <x:v>2</x:v>
      </x:c>
      <x:c r="D4802" s="380" t="str">
        <x:v>Feb</x:v>
      </x:c>
      <x:c r="E4802" s="380" t="n">
        <x:v>17</x:v>
      </x:c>
      <x:c r="F4802" s="380" t="n">
        <x:v>3</x:v>
      </x:c>
      <x:c r="G4802" s="380" t="n">
        <x:f>--(F4802&lt;='Estimator'!$B$7)</x:f>
        <x:v>1</x:v>
      </x:c>
      <x:c r="H4802" s="381" t="n">
        <x:f>SUMIFS('Climate Data'!$G$7:$G$366,'Climate Data'!$A$7:$A$366,'Estimator'!$B$4,'Climate Data'!$B$7:$B$366,C4802)</x:f>
        <x:v>0.23056278464541316</x:v>
      </x:c>
      <x:c r="I4802" s="382" t="n">
        <x:f>SUMIFS('Climate Data'!$H$7:$H$366,'Climate Data'!$A$7:$A$366,'Estimator'!$B$4,'Climate Data'!$B$7:$B$366,C4802)</x:f>
        <x:v>9.682010582010582</x:v>
      </x:c>
      <x:c r="J4802" s="381" t="n">
        <x:f>SUMIFS('Wind Proxy'!$H$8:$H$19,'Wind Proxy'!$A$8:$A$19,'Estimator'!$B$4,'Wind Proxy'!$B$8:$B$19,C4802)</x:f>
        <x:v>0.13757861635220128</x:v>
      </x:c>
    </x:row>
    <x:row r="4803">
      <x:c r="A4803" s="379" t="n">
        <x:v>50454</x:v>
      </x:c>
      <x:c r="B4803" s="380" t="n">
        <x:v>2038</x:v>
      </x:c>
      <x:c r="C4803" s="380" t="n">
        <x:v>2</x:v>
      </x:c>
      <x:c r="D4803" s="380" t="str">
        <x:v>Feb</x:v>
      </x:c>
      <x:c r="E4803" s="380" t="n">
        <x:v>18</x:v>
      </x:c>
      <x:c r="F4803" s="380" t="n">
        <x:v>4</x:v>
      </x:c>
      <x:c r="G4803" s="380" t="n">
        <x:f>--(F4803&lt;='Estimator'!$B$7)</x:f>
        <x:v>1</x:v>
      </x:c>
      <x:c r="H4803" s="381" t="n">
        <x:f>SUMIFS('Climate Data'!$G$7:$G$366,'Climate Data'!$A$7:$A$366,'Estimator'!$B$4,'Climate Data'!$B$7:$B$366,C4803)</x:f>
        <x:v>0.23056278464541316</x:v>
      </x:c>
      <x:c r="I4803" s="382" t="n">
        <x:f>SUMIFS('Climate Data'!$H$7:$H$366,'Climate Data'!$A$7:$A$366,'Estimator'!$B$4,'Climate Data'!$B$7:$B$366,C4803)</x:f>
        <x:v>9.682010582010582</x:v>
      </x:c>
      <x:c r="J4803" s="381" t="n">
        <x:f>SUMIFS('Wind Proxy'!$H$8:$H$19,'Wind Proxy'!$A$8:$A$19,'Estimator'!$B$4,'Wind Proxy'!$B$8:$B$19,C4803)</x:f>
        <x:v>0.13757861635220128</x:v>
      </x:c>
    </x:row>
    <x:row r="4804">
      <x:c r="A4804" s="379" t="n">
        <x:v>50455</x:v>
      </x:c>
      <x:c r="B4804" s="380" t="n">
        <x:v>2038</x:v>
      </x:c>
      <x:c r="C4804" s="380" t="n">
        <x:v>2</x:v>
      </x:c>
      <x:c r="D4804" s="380" t="str">
        <x:v>Feb</x:v>
      </x:c>
      <x:c r="E4804" s="380" t="n">
        <x:v>19</x:v>
      </x:c>
      <x:c r="F4804" s="380" t="n">
        <x:v>5</x:v>
      </x:c>
      <x:c r="G4804" s="380" t="n">
        <x:f>--(F4804&lt;='Estimator'!$B$7)</x:f>
        <x:v>1</x:v>
      </x:c>
      <x:c r="H4804" s="381" t="n">
        <x:f>SUMIFS('Climate Data'!$G$7:$G$366,'Climate Data'!$A$7:$A$366,'Estimator'!$B$4,'Climate Data'!$B$7:$B$366,C4804)</x:f>
        <x:v>0.23056278464541316</x:v>
      </x:c>
      <x:c r="I4804" s="382" t="n">
        <x:f>SUMIFS('Climate Data'!$H$7:$H$366,'Climate Data'!$A$7:$A$366,'Estimator'!$B$4,'Climate Data'!$B$7:$B$366,C4804)</x:f>
        <x:v>9.682010582010582</x:v>
      </x:c>
      <x:c r="J4804" s="381" t="n">
        <x:f>SUMIFS('Wind Proxy'!$H$8:$H$19,'Wind Proxy'!$A$8:$A$19,'Estimator'!$B$4,'Wind Proxy'!$B$8:$B$19,C4804)</x:f>
        <x:v>0.13757861635220128</x:v>
      </x:c>
    </x:row>
    <x:row r="4805">
      <x:c r="A4805" s="379" t="n">
        <x:v>50456</x:v>
      </x:c>
      <x:c r="B4805" s="380" t="n">
        <x:v>2038</x:v>
      </x:c>
      <x:c r="C4805" s="380" t="n">
        <x:v>2</x:v>
      </x:c>
      <x:c r="D4805" s="380" t="str">
        <x:v>Feb</x:v>
      </x:c>
      <x:c r="E4805" s="380" t="n">
        <x:v>20</x:v>
      </x:c>
      <x:c r="F4805" s="380" t="n">
        <x:v>6</x:v>
      </x:c>
      <x:c r="G4805" s="380" t="n">
        <x:f>--(F4805&lt;='Estimator'!$B$7)</x:f>
        <x:v>0</x:v>
      </x:c>
      <x:c r="H4805" s="381" t="n">
        <x:f>SUMIFS('Climate Data'!$G$7:$G$366,'Climate Data'!$A$7:$A$366,'Estimator'!$B$4,'Climate Data'!$B$7:$B$366,C4805)</x:f>
        <x:v>0.23056278464541316</x:v>
      </x:c>
      <x:c r="I4805" s="382" t="n">
        <x:f>SUMIFS('Climate Data'!$H$7:$H$366,'Climate Data'!$A$7:$A$366,'Estimator'!$B$4,'Climate Data'!$B$7:$B$366,C4805)</x:f>
        <x:v>9.682010582010582</x:v>
      </x:c>
      <x:c r="J4805" s="381" t="n">
        <x:f>SUMIFS('Wind Proxy'!$H$8:$H$19,'Wind Proxy'!$A$8:$A$19,'Estimator'!$B$4,'Wind Proxy'!$B$8:$B$19,C4805)</x:f>
        <x:v>0.13757861635220128</x:v>
      </x:c>
    </x:row>
    <x:row r="4806">
      <x:c r="A4806" s="379" t="n">
        <x:v>50457</x:v>
      </x:c>
      <x:c r="B4806" s="380" t="n">
        <x:v>2038</x:v>
      </x:c>
      <x:c r="C4806" s="380" t="n">
        <x:v>2</x:v>
      </x:c>
      <x:c r="D4806" s="380" t="str">
        <x:v>Feb</x:v>
      </x:c>
      <x:c r="E4806" s="380" t="n">
        <x:v>21</x:v>
      </x:c>
      <x:c r="F4806" s="380" t="n">
        <x:v>7</x:v>
      </x:c>
      <x:c r="G4806" s="380" t="n">
        <x:f>--(F4806&lt;='Estimator'!$B$7)</x:f>
        <x:v>0</x:v>
      </x:c>
      <x:c r="H4806" s="381" t="n">
        <x:f>SUMIFS('Climate Data'!$G$7:$G$366,'Climate Data'!$A$7:$A$366,'Estimator'!$B$4,'Climate Data'!$B$7:$B$366,C4806)</x:f>
        <x:v>0.23056278464541316</x:v>
      </x:c>
      <x:c r="I4806" s="382" t="n">
        <x:f>SUMIFS('Climate Data'!$H$7:$H$366,'Climate Data'!$A$7:$A$366,'Estimator'!$B$4,'Climate Data'!$B$7:$B$366,C4806)</x:f>
        <x:v>9.682010582010582</x:v>
      </x:c>
      <x:c r="J4806" s="381" t="n">
        <x:f>SUMIFS('Wind Proxy'!$H$8:$H$19,'Wind Proxy'!$A$8:$A$19,'Estimator'!$B$4,'Wind Proxy'!$B$8:$B$19,C4806)</x:f>
        <x:v>0.13757861635220128</x:v>
      </x:c>
    </x:row>
    <x:row r="4807">
      <x:c r="A4807" s="379" t="n">
        <x:v>50458</x:v>
      </x:c>
      <x:c r="B4807" s="380" t="n">
        <x:v>2038</x:v>
      </x:c>
      <x:c r="C4807" s="380" t="n">
        <x:v>2</x:v>
      </x:c>
      <x:c r="D4807" s="380" t="str">
        <x:v>Feb</x:v>
      </x:c>
      <x:c r="E4807" s="380" t="n">
        <x:v>22</x:v>
      </x:c>
      <x:c r="F4807" s="380" t="n">
        <x:v>1</x:v>
      </x:c>
      <x:c r="G4807" s="380" t="n">
        <x:f>--(F4807&lt;='Estimator'!$B$7)</x:f>
        <x:v>1</x:v>
      </x:c>
      <x:c r="H4807" s="381" t="n">
        <x:f>SUMIFS('Climate Data'!$G$7:$G$366,'Climate Data'!$A$7:$A$366,'Estimator'!$B$4,'Climate Data'!$B$7:$B$366,C4807)</x:f>
        <x:v>0.23056278464541316</x:v>
      </x:c>
      <x:c r="I4807" s="382" t="n">
        <x:f>SUMIFS('Climate Data'!$H$7:$H$366,'Climate Data'!$A$7:$A$366,'Estimator'!$B$4,'Climate Data'!$B$7:$B$366,C4807)</x:f>
        <x:v>9.682010582010582</x:v>
      </x:c>
      <x:c r="J4807" s="381" t="n">
        <x:f>SUMIFS('Wind Proxy'!$H$8:$H$19,'Wind Proxy'!$A$8:$A$19,'Estimator'!$B$4,'Wind Proxy'!$B$8:$B$19,C4807)</x:f>
        <x:v>0.13757861635220128</x:v>
      </x:c>
    </x:row>
    <x:row r="4808">
      <x:c r="A4808" s="379" t="n">
        <x:v>50459</x:v>
      </x:c>
      <x:c r="B4808" s="380" t="n">
        <x:v>2038</x:v>
      </x:c>
      <x:c r="C4808" s="380" t="n">
        <x:v>2</x:v>
      </x:c>
      <x:c r="D4808" s="380" t="str">
        <x:v>Feb</x:v>
      </x:c>
      <x:c r="E4808" s="380" t="n">
        <x:v>23</x:v>
      </x:c>
      <x:c r="F4808" s="380" t="n">
        <x:v>2</x:v>
      </x:c>
      <x:c r="G4808" s="380" t="n">
        <x:f>--(F4808&lt;='Estimator'!$B$7)</x:f>
        <x:v>1</x:v>
      </x:c>
      <x:c r="H4808" s="381" t="n">
        <x:f>SUMIFS('Climate Data'!$G$7:$G$366,'Climate Data'!$A$7:$A$366,'Estimator'!$B$4,'Climate Data'!$B$7:$B$366,C4808)</x:f>
        <x:v>0.23056278464541316</x:v>
      </x:c>
      <x:c r="I4808" s="382" t="n">
        <x:f>SUMIFS('Climate Data'!$H$7:$H$366,'Climate Data'!$A$7:$A$366,'Estimator'!$B$4,'Climate Data'!$B$7:$B$366,C4808)</x:f>
        <x:v>9.682010582010582</x:v>
      </x:c>
      <x:c r="J4808" s="381" t="n">
        <x:f>SUMIFS('Wind Proxy'!$H$8:$H$19,'Wind Proxy'!$A$8:$A$19,'Estimator'!$B$4,'Wind Proxy'!$B$8:$B$19,C4808)</x:f>
        <x:v>0.13757861635220128</x:v>
      </x:c>
    </x:row>
    <x:row r="4809">
      <x:c r="A4809" s="379" t="n">
        <x:v>50460</x:v>
      </x:c>
      <x:c r="B4809" s="380" t="n">
        <x:v>2038</x:v>
      </x:c>
      <x:c r="C4809" s="380" t="n">
        <x:v>2</x:v>
      </x:c>
      <x:c r="D4809" s="380" t="str">
        <x:v>Feb</x:v>
      </x:c>
      <x:c r="E4809" s="380" t="n">
        <x:v>24</x:v>
      </x:c>
      <x:c r="F4809" s="380" t="n">
        <x:v>3</x:v>
      </x:c>
      <x:c r="G4809" s="380" t="n">
        <x:f>--(F4809&lt;='Estimator'!$B$7)</x:f>
        <x:v>1</x:v>
      </x:c>
      <x:c r="H4809" s="381" t="n">
        <x:f>SUMIFS('Climate Data'!$G$7:$G$366,'Climate Data'!$A$7:$A$366,'Estimator'!$B$4,'Climate Data'!$B$7:$B$366,C4809)</x:f>
        <x:v>0.23056278464541316</x:v>
      </x:c>
      <x:c r="I4809" s="382" t="n">
        <x:f>SUMIFS('Climate Data'!$H$7:$H$366,'Climate Data'!$A$7:$A$366,'Estimator'!$B$4,'Climate Data'!$B$7:$B$366,C4809)</x:f>
        <x:v>9.682010582010582</x:v>
      </x:c>
      <x:c r="J4809" s="381" t="n">
        <x:f>SUMIFS('Wind Proxy'!$H$8:$H$19,'Wind Proxy'!$A$8:$A$19,'Estimator'!$B$4,'Wind Proxy'!$B$8:$B$19,C4809)</x:f>
        <x:v>0.13757861635220128</x:v>
      </x:c>
    </x:row>
    <x:row r="4810">
      <x:c r="A4810" s="379" t="n">
        <x:v>50461</x:v>
      </x:c>
      <x:c r="B4810" s="380" t="n">
        <x:v>2038</x:v>
      </x:c>
      <x:c r="C4810" s="380" t="n">
        <x:v>2</x:v>
      </x:c>
      <x:c r="D4810" s="380" t="str">
        <x:v>Feb</x:v>
      </x:c>
      <x:c r="E4810" s="380" t="n">
        <x:v>25</x:v>
      </x:c>
      <x:c r="F4810" s="380" t="n">
        <x:v>4</x:v>
      </x:c>
      <x:c r="G4810" s="380" t="n">
        <x:f>--(F4810&lt;='Estimator'!$B$7)</x:f>
        <x:v>1</x:v>
      </x:c>
      <x:c r="H4810" s="381" t="n">
        <x:f>SUMIFS('Climate Data'!$G$7:$G$366,'Climate Data'!$A$7:$A$366,'Estimator'!$B$4,'Climate Data'!$B$7:$B$366,C4810)</x:f>
        <x:v>0.23056278464541316</x:v>
      </x:c>
      <x:c r="I4810" s="382" t="n">
        <x:f>SUMIFS('Climate Data'!$H$7:$H$366,'Climate Data'!$A$7:$A$366,'Estimator'!$B$4,'Climate Data'!$B$7:$B$366,C4810)</x:f>
        <x:v>9.682010582010582</x:v>
      </x:c>
      <x:c r="J4810" s="381" t="n">
        <x:f>SUMIFS('Wind Proxy'!$H$8:$H$19,'Wind Proxy'!$A$8:$A$19,'Estimator'!$B$4,'Wind Proxy'!$B$8:$B$19,C4810)</x:f>
        <x:v>0.13757861635220128</x:v>
      </x:c>
    </x:row>
    <x:row r="4811">
      <x:c r="A4811" s="379" t="n">
        <x:v>50462</x:v>
      </x:c>
      <x:c r="B4811" s="380" t="n">
        <x:v>2038</x:v>
      </x:c>
      <x:c r="C4811" s="380" t="n">
        <x:v>2</x:v>
      </x:c>
      <x:c r="D4811" s="380" t="str">
        <x:v>Feb</x:v>
      </x:c>
      <x:c r="E4811" s="380" t="n">
        <x:v>26</x:v>
      </x:c>
      <x:c r="F4811" s="380" t="n">
        <x:v>5</x:v>
      </x:c>
      <x:c r="G4811" s="380" t="n">
        <x:f>--(F4811&lt;='Estimator'!$B$7)</x:f>
        <x:v>1</x:v>
      </x:c>
      <x:c r="H4811" s="381" t="n">
        <x:f>SUMIFS('Climate Data'!$G$7:$G$366,'Climate Data'!$A$7:$A$366,'Estimator'!$B$4,'Climate Data'!$B$7:$B$366,C4811)</x:f>
        <x:v>0.23056278464541316</x:v>
      </x:c>
      <x:c r="I4811" s="382" t="n">
        <x:f>SUMIFS('Climate Data'!$H$7:$H$366,'Climate Data'!$A$7:$A$366,'Estimator'!$B$4,'Climate Data'!$B$7:$B$366,C4811)</x:f>
        <x:v>9.682010582010582</x:v>
      </x:c>
      <x:c r="J4811" s="381" t="n">
        <x:f>SUMIFS('Wind Proxy'!$H$8:$H$19,'Wind Proxy'!$A$8:$A$19,'Estimator'!$B$4,'Wind Proxy'!$B$8:$B$19,C4811)</x:f>
        <x:v>0.13757861635220128</x:v>
      </x:c>
    </x:row>
    <x:row r="4812">
      <x:c r="A4812" s="379" t="n">
        <x:v>50463</x:v>
      </x:c>
      <x:c r="B4812" s="380" t="n">
        <x:v>2038</x:v>
      </x:c>
      <x:c r="C4812" s="380" t="n">
        <x:v>2</x:v>
      </x:c>
      <x:c r="D4812" s="380" t="str">
        <x:v>Feb</x:v>
      </x:c>
      <x:c r="E4812" s="380" t="n">
        <x:v>27</x:v>
      </x:c>
      <x:c r="F4812" s="380" t="n">
        <x:v>6</x:v>
      </x:c>
      <x:c r="G4812" s="380" t="n">
        <x:f>--(F4812&lt;='Estimator'!$B$7)</x:f>
        <x:v>0</x:v>
      </x:c>
      <x:c r="H4812" s="381" t="n">
        <x:f>SUMIFS('Climate Data'!$G$7:$G$366,'Climate Data'!$A$7:$A$366,'Estimator'!$B$4,'Climate Data'!$B$7:$B$366,C4812)</x:f>
        <x:v>0.23056278464541316</x:v>
      </x:c>
      <x:c r="I4812" s="382" t="n">
        <x:f>SUMIFS('Climate Data'!$H$7:$H$366,'Climate Data'!$A$7:$A$366,'Estimator'!$B$4,'Climate Data'!$B$7:$B$366,C4812)</x:f>
        <x:v>9.682010582010582</x:v>
      </x:c>
      <x:c r="J4812" s="381" t="n">
        <x:f>SUMIFS('Wind Proxy'!$H$8:$H$19,'Wind Proxy'!$A$8:$A$19,'Estimator'!$B$4,'Wind Proxy'!$B$8:$B$19,C4812)</x:f>
        <x:v>0.13757861635220128</x:v>
      </x:c>
    </x:row>
    <x:row r="4813">
      <x:c r="A4813" s="379" t="n">
        <x:v>50464</x:v>
      </x:c>
      <x:c r="B4813" s="380" t="n">
        <x:v>2038</x:v>
      </x:c>
      <x:c r="C4813" s="380" t="n">
        <x:v>2</x:v>
      </x:c>
      <x:c r="D4813" s="380" t="str">
        <x:v>Feb</x:v>
      </x:c>
      <x:c r="E4813" s="380" t="n">
        <x:v>28</x:v>
      </x:c>
      <x:c r="F4813" s="380" t="n">
        <x:v>7</x:v>
      </x:c>
      <x:c r="G4813" s="380" t="n">
        <x:f>--(F4813&lt;='Estimator'!$B$7)</x:f>
        <x:v>0</x:v>
      </x:c>
      <x:c r="H4813" s="381" t="n">
        <x:f>SUMIFS('Climate Data'!$G$7:$G$366,'Climate Data'!$A$7:$A$366,'Estimator'!$B$4,'Climate Data'!$B$7:$B$366,C4813)</x:f>
        <x:v>0.23056278464541316</x:v>
      </x:c>
      <x:c r="I4813" s="382" t="n">
        <x:f>SUMIFS('Climate Data'!$H$7:$H$366,'Climate Data'!$A$7:$A$366,'Estimator'!$B$4,'Climate Data'!$B$7:$B$366,C4813)</x:f>
        <x:v>9.682010582010582</x:v>
      </x:c>
      <x:c r="J4813" s="381" t="n">
        <x:f>SUMIFS('Wind Proxy'!$H$8:$H$19,'Wind Proxy'!$A$8:$A$19,'Estimator'!$B$4,'Wind Proxy'!$B$8:$B$19,C4813)</x:f>
        <x:v>0.13757861635220128</x:v>
      </x:c>
    </x:row>
    <x:row r="4814">
      <x:c r="A4814" s="379" t="n">
        <x:v>50465</x:v>
      </x:c>
      <x:c r="B4814" s="380" t="n">
        <x:v>2038</x:v>
      </x:c>
      <x:c r="C4814" s="380" t="n">
        <x:v>3</x:v>
      </x:c>
      <x:c r="D4814" s="380" t="str">
        <x:v>Mar</x:v>
      </x:c>
      <x:c r="E4814" s="380" t="n">
        <x:v>1</x:v>
      </x:c>
      <x:c r="F4814" s="380" t="n">
        <x:v>1</x:v>
      </x:c>
      <x:c r="G4814" s="380" t="n">
        <x:f>--(F4814&lt;='Estimator'!$B$7)</x:f>
        <x:v>1</x:v>
      </x:c>
      <x:c r="H4814" s="381" t="n">
        <x:f>SUMIFS('Climate Data'!$G$7:$G$366,'Climate Data'!$A$7:$A$366,'Estimator'!$B$4,'Climate Data'!$B$7:$B$366,C4814)</x:f>
        <x:v>0.24916573971078979</x:v>
      </x:c>
      <x:c r="I4814" s="382" t="n">
        <x:f>SUMIFS('Climate Data'!$H$7:$H$366,'Climate Data'!$A$7:$A$366,'Estimator'!$B$4,'Climate Data'!$B$7:$B$366,C4814)</x:f>
        <x:v>9.709821428571429</x:v>
      </x:c>
      <x:c r="J4814" s="381" t="n">
        <x:f>SUMIFS('Wind Proxy'!$H$8:$H$19,'Wind Proxy'!$A$8:$A$19,'Estimator'!$B$4,'Wind Proxy'!$B$8:$B$19,C4814)</x:f>
        <x:v>0.11350059737156513</x:v>
      </x:c>
    </x:row>
    <x:row r="4815">
      <x:c r="A4815" s="379" t="n">
        <x:v>50466</x:v>
      </x:c>
      <x:c r="B4815" s="380" t="n">
        <x:v>2038</x:v>
      </x:c>
      <x:c r="C4815" s="380" t="n">
        <x:v>3</x:v>
      </x:c>
      <x:c r="D4815" s="380" t="str">
        <x:v>Mar</x:v>
      </x:c>
      <x:c r="E4815" s="380" t="n">
        <x:v>2</x:v>
      </x:c>
      <x:c r="F4815" s="380" t="n">
        <x:v>2</x:v>
      </x:c>
      <x:c r="G4815" s="380" t="n">
        <x:f>--(F4815&lt;='Estimator'!$B$7)</x:f>
        <x:v>1</x:v>
      </x:c>
      <x:c r="H4815" s="381" t="n">
        <x:f>SUMIFS('Climate Data'!$G$7:$G$366,'Climate Data'!$A$7:$A$366,'Estimator'!$B$4,'Climate Data'!$B$7:$B$366,C4815)</x:f>
        <x:v>0.24916573971078979</x:v>
      </x:c>
      <x:c r="I4815" s="382" t="n">
        <x:f>SUMIFS('Climate Data'!$H$7:$H$366,'Climate Data'!$A$7:$A$366,'Estimator'!$B$4,'Climate Data'!$B$7:$B$366,C4815)</x:f>
        <x:v>9.709821428571429</x:v>
      </x:c>
      <x:c r="J4815" s="381" t="n">
        <x:f>SUMIFS('Wind Proxy'!$H$8:$H$19,'Wind Proxy'!$A$8:$A$19,'Estimator'!$B$4,'Wind Proxy'!$B$8:$B$19,C4815)</x:f>
        <x:v>0.11350059737156513</x:v>
      </x:c>
    </x:row>
    <x:row r="4816">
      <x:c r="A4816" s="379" t="n">
        <x:v>50467</x:v>
      </x:c>
      <x:c r="B4816" s="380" t="n">
        <x:v>2038</x:v>
      </x:c>
      <x:c r="C4816" s="380" t="n">
        <x:v>3</x:v>
      </x:c>
      <x:c r="D4816" s="380" t="str">
        <x:v>Mar</x:v>
      </x:c>
      <x:c r="E4816" s="380" t="n">
        <x:v>3</x:v>
      </x:c>
      <x:c r="F4816" s="380" t="n">
        <x:v>3</x:v>
      </x:c>
      <x:c r="G4816" s="380" t="n">
        <x:f>--(F4816&lt;='Estimator'!$B$7)</x:f>
        <x:v>1</x:v>
      </x:c>
      <x:c r="H4816" s="381" t="n">
        <x:f>SUMIFS('Climate Data'!$G$7:$G$366,'Climate Data'!$A$7:$A$366,'Estimator'!$B$4,'Climate Data'!$B$7:$B$366,C4816)</x:f>
        <x:v>0.24916573971078979</x:v>
      </x:c>
      <x:c r="I4816" s="382" t="n">
        <x:f>SUMIFS('Climate Data'!$H$7:$H$366,'Climate Data'!$A$7:$A$366,'Estimator'!$B$4,'Climate Data'!$B$7:$B$366,C4816)</x:f>
        <x:v>9.709821428571429</x:v>
      </x:c>
      <x:c r="J4816" s="381" t="n">
        <x:f>SUMIFS('Wind Proxy'!$H$8:$H$19,'Wind Proxy'!$A$8:$A$19,'Estimator'!$B$4,'Wind Proxy'!$B$8:$B$19,C4816)</x:f>
        <x:v>0.11350059737156513</x:v>
      </x:c>
    </x:row>
    <x:row r="4817">
      <x:c r="A4817" s="379" t="n">
        <x:v>50468</x:v>
      </x:c>
      <x:c r="B4817" s="380" t="n">
        <x:v>2038</x:v>
      </x:c>
      <x:c r="C4817" s="380" t="n">
        <x:v>3</x:v>
      </x:c>
      <x:c r="D4817" s="380" t="str">
        <x:v>Mar</x:v>
      </x:c>
      <x:c r="E4817" s="380" t="n">
        <x:v>4</x:v>
      </x:c>
      <x:c r="F4817" s="380" t="n">
        <x:v>4</x:v>
      </x:c>
      <x:c r="G4817" s="380" t="n">
        <x:f>--(F4817&lt;='Estimator'!$B$7)</x:f>
        <x:v>1</x:v>
      </x:c>
      <x:c r="H4817" s="381" t="n">
        <x:f>SUMIFS('Climate Data'!$G$7:$G$366,'Climate Data'!$A$7:$A$366,'Estimator'!$B$4,'Climate Data'!$B$7:$B$366,C4817)</x:f>
        <x:v>0.24916573971078979</x:v>
      </x:c>
      <x:c r="I4817" s="382" t="n">
        <x:f>SUMIFS('Climate Data'!$H$7:$H$366,'Climate Data'!$A$7:$A$366,'Estimator'!$B$4,'Climate Data'!$B$7:$B$366,C4817)</x:f>
        <x:v>9.709821428571429</x:v>
      </x:c>
      <x:c r="J4817" s="381" t="n">
        <x:f>SUMIFS('Wind Proxy'!$H$8:$H$19,'Wind Proxy'!$A$8:$A$19,'Estimator'!$B$4,'Wind Proxy'!$B$8:$B$19,C4817)</x:f>
        <x:v>0.11350059737156513</x:v>
      </x:c>
    </x:row>
    <x:row r="4818">
      <x:c r="A4818" s="379" t="n">
        <x:v>50469</x:v>
      </x:c>
      <x:c r="B4818" s="380" t="n">
        <x:v>2038</x:v>
      </x:c>
      <x:c r="C4818" s="380" t="n">
        <x:v>3</x:v>
      </x:c>
      <x:c r="D4818" s="380" t="str">
        <x:v>Mar</x:v>
      </x:c>
      <x:c r="E4818" s="380" t="n">
        <x:v>5</x:v>
      </x:c>
      <x:c r="F4818" s="380" t="n">
        <x:v>5</x:v>
      </x:c>
      <x:c r="G4818" s="380" t="n">
        <x:f>--(F4818&lt;='Estimator'!$B$7)</x:f>
        <x:v>1</x:v>
      </x:c>
      <x:c r="H4818" s="381" t="n">
        <x:f>SUMIFS('Climate Data'!$G$7:$G$366,'Climate Data'!$A$7:$A$366,'Estimator'!$B$4,'Climate Data'!$B$7:$B$366,C4818)</x:f>
        <x:v>0.24916573971078979</x:v>
      </x:c>
      <x:c r="I4818" s="382" t="n">
        <x:f>SUMIFS('Climate Data'!$H$7:$H$366,'Climate Data'!$A$7:$A$366,'Estimator'!$B$4,'Climate Data'!$B$7:$B$366,C4818)</x:f>
        <x:v>9.709821428571429</x:v>
      </x:c>
      <x:c r="J4818" s="381" t="n">
        <x:f>SUMIFS('Wind Proxy'!$H$8:$H$19,'Wind Proxy'!$A$8:$A$19,'Estimator'!$B$4,'Wind Proxy'!$B$8:$B$19,C4818)</x:f>
        <x:v>0.11350059737156513</x:v>
      </x:c>
    </x:row>
    <x:row r="4819">
      <x:c r="A4819" s="379" t="n">
        <x:v>50470</x:v>
      </x:c>
      <x:c r="B4819" s="380" t="n">
        <x:v>2038</x:v>
      </x:c>
      <x:c r="C4819" s="380" t="n">
        <x:v>3</x:v>
      </x:c>
      <x:c r="D4819" s="380" t="str">
        <x:v>Mar</x:v>
      </x:c>
      <x:c r="E4819" s="380" t="n">
        <x:v>6</x:v>
      </x:c>
      <x:c r="F4819" s="380" t="n">
        <x:v>6</x:v>
      </x:c>
      <x:c r="G4819" s="380" t="n">
        <x:f>--(F4819&lt;='Estimator'!$B$7)</x:f>
        <x:v>0</x:v>
      </x:c>
      <x:c r="H4819" s="381" t="n">
        <x:f>SUMIFS('Climate Data'!$G$7:$G$366,'Climate Data'!$A$7:$A$366,'Estimator'!$B$4,'Climate Data'!$B$7:$B$366,C4819)</x:f>
        <x:v>0.24916573971078979</x:v>
      </x:c>
      <x:c r="I4819" s="382" t="n">
        <x:f>SUMIFS('Climate Data'!$H$7:$H$366,'Climate Data'!$A$7:$A$366,'Estimator'!$B$4,'Climate Data'!$B$7:$B$366,C4819)</x:f>
        <x:v>9.709821428571429</x:v>
      </x:c>
      <x:c r="J4819" s="381" t="n">
        <x:f>SUMIFS('Wind Proxy'!$H$8:$H$19,'Wind Proxy'!$A$8:$A$19,'Estimator'!$B$4,'Wind Proxy'!$B$8:$B$19,C4819)</x:f>
        <x:v>0.11350059737156513</x:v>
      </x:c>
    </x:row>
    <x:row r="4820">
      <x:c r="A4820" s="379" t="n">
        <x:v>50471</x:v>
      </x:c>
      <x:c r="B4820" s="380" t="n">
        <x:v>2038</x:v>
      </x:c>
      <x:c r="C4820" s="380" t="n">
        <x:v>3</x:v>
      </x:c>
      <x:c r="D4820" s="380" t="str">
        <x:v>Mar</x:v>
      </x:c>
      <x:c r="E4820" s="380" t="n">
        <x:v>7</x:v>
      </x:c>
      <x:c r="F4820" s="380" t="n">
        <x:v>7</x:v>
      </x:c>
      <x:c r="G4820" s="380" t="n">
        <x:f>--(F4820&lt;='Estimator'!$B$7)</x:f>
        <x:v>0</x:v>
      </x:c>
      <x:c r="H4820" s="381" t="n">
        <x:f>SUMIFS('Climate Data'!$G$7:$G$366,'Climate Data'!$A$7:$A$366,'Estimator'!$B$4,'Climate Data'!$B$7:$B$366,C4820)</x:f>
        <x:v>0.24916573971078979</x:v>
      </x:c>
      <x:c r="I4820" s="382" t="n">
        <x:f>SUMIFS('Climate Data'!$H$7:$H$366,'Climate Data'!$A$7:$A$366,'Estimator'!$B$4,'Climate Data'!$B$7:$B$366,C4820)</x:f>
        <x:v>9.709821428571429</x:v>
      </x:c>
      <x:c r="J4820" s="381" t="n">
        <x:f>SUMIFS('Wind Proxy'!$H$8:$H$19,'Wind Proxy'!$A$8:$A$19,'Estimator'!$B$4,'Wind Proxy'!$B$8:$B$19,C4820)</x:f>
        <x:v>0.11350059737156513</x:v>
      </x:c>
    </x:row>
    <x:row r="4821">
      <x:c r="A4821" s="379" t="n">
        <x:v>50472</x:v>
      </x:c>
      <x:c r="B4821" s="380" t="n">
        <x:v>2038</x:v>
      </x:c>
      <x:c r="C4821" s="380" t="n">
        <x:v>3</x:v>
      </x:c>
      <x:c r="D4821" s="380" t="str">
        <x:v>Mar</x:v>
      </x:c>
      <x:c r="E4821" s="380" t="n">
        <x:v>8</x:v>
      </x:c>
      <x:c r="F4821" s="380" t="n">
        <x:v>1</x:v>
      </x:c>
      <x:c r="G4821" s="380" t="n">
        <x:f>--(F4821&lt;='Estimator'!$B$7)</x:f>
        <x:v>1</x:v>
      </x:c>
      <x:c r="H4821" s="381" t="n">
        <x:f>SUMIFS('Climate Data'!$G$7:$G$366,'Climate Data'!$A$7:$A$366,'Estimator'!$B$4,'Climate Data'!$B$7:$B$366,C4821)</x:f>
        <x:v>0.24916573971078979</x:v>
      </x:c>
      <x:c r="I4821" s="382" t="n">
        <x:f>SUMIFS('Climate Data'!$H$7:$H$366,'Climate Data'!$A$7:$A$366,'Estimator'!$B$4,'Climate Data'!$B$7:$B$366,C4821)</x:f>
        <x:v>9.709821428571429</x:v>
      </x:c>
      <x:c r="J4821" s="381" t="n">
        <x:f>SUMIFS('Wind Proxy'!$H$8:$H$19,'Wind Proxy'!$A$8:$A$19,'Estimator'!$B$4,'Wind Proxy'!$B$8:$B$19,C4821)</x:f>
        <x:v>0.11350059737156513</x:v>
      </x:c>
    </x:row>
    <x:row r="4822">
      <x:c r="A4822" s="379" t="n">
        <x:v>50473</x:v>
      </x:c>
      <x:c r="B4822" s="380" t="n">
        <x:v>2038</x:v>
      </x:c>
      <x:c r="C4822" s="380" t="n">
        <x:v>3</x:v>
      </x:c>
      <x:c r="D4822" s="380" t="str">
        <x:v>Mar</x:v>
      </x:c>
      <x:c r="E4822" s="380" t="n">
        <x:v>9</x:v>
      </x:c>
      <x:c r="F4822" s="380" t="n">
        <x:v>2</x:v>
      </x:c>
      <x:c r="G4822" s="380" t="n">
        <x:f>--(F4822&lt;='Estimator'!$B$7)</x:f>
        <x:v>1</x:v>
      </x:c>
      <x:c r="H4822" s="381" t="n">
        <x:f>SUMIFS('Climate Data'!$G$7:$G$366,'Climate Data'!$A$7:$A$366,'Estimator'!$B$4,'Climate Data'!$B$7:$B$366,C4822)</x:f>
        <x:v>0.24916573971078979</x:v>
      </x:c>
      <x:c r="I4822" s="382" t="n">
        <x:f>SUMIFS('Climate Data'!$H$7:$H$366,'Climate Data'!$A$7:$A$366,'Estimator'!$B$4,'Climate Data'!$B$7:$B$366,C4822)</x:f>
        <x:v>9.709821428571429</x:v>
      </x:c>
      <x:c r="J4822" s="381" t="n">
        <x:f>SUMIFS('Wind Proxy'!$H$8:$H$19,'Wind Proxy'!$A$8:$A$19,'Estimator'!$B$4,'Wind Proxy'!$B$8:$B$19,C4822)</x:f>
        <x:v>0.11350059737156513</x:v>
      </x:c>
    </x:row>
    <x:row r="4823">
      <x:c r="A4823" s="379" t="n">
        <x:v>50474</x:v>
      </x:c>
      <x:c r="B4823" s="380" t="n">
        <x:v>2038</x:v>
      </x:c>
      <x:c r="C4823" s="380" t="n">
        <x:v>3</x:v>
      </x:c>
      <x:c r="D4823" s="380" t="str">
        <x:v>Mar</x:v>
      </x:c>
      <x:c r="E4823" s="380" t="n">
        <x:v>10</x:v>
      </x:c>
      <x:c r="F4823" s="380" t="n">
        <x:v>3</x:v>
      </x:c>
      <x:c r="G4823" s="380" t="n">
        <x:f>--(F4823&lt;='Estimator'!$B$7)</x:f>
        <x:v>1</x:v>
      </x:c>
      <x:c r="H4823" s="381" t="n">
        <x:f>SUMIFS('Climate Data'!$G$7:$G$366,'Climate Data'!$A$7:$A$366,'Estimator'!$B$4,'Climate Data'!$B$7:$B$366,C4823)</x:f>
        <x:v>0.24916573971078979</x:v>
      </x:c>
      <x:c r="I4823" s="382" t="n">
        <x:f>SUMIFS('Climate Data'!$H$7:$H$366,'Climate Data'!$A$7:$A$366,'Estimator'!$B$4,'Climate Data'!$B$7:$B$366,C4823)</x:f>
        <x:v>9.709821428571429</x:v>
      </x:c>
      <x:c r="J4823" s="381" t="n">
        <x:f>SUMIFS('Wind Proxy'!$H$8:$H$19,'Wind Proxy'!$A$8:$A$19,'Estimator'!$B$4,'Wind Proxy'!$B$8:$B$19,C4823)</x:f>
        <x:v>0.11350059737156513</x:v>
      </x:c>
    </x:row>
    <x:row r="4824">
      <x:c r="A4824" s="379" t="n">
        <x:v>50475</x:v>
      </x:c>
      <x:c r="B4824" s="380" t="n">
        <x:v>2038</x:v>
      </x:c>
      <x:c r="C4824" s="380" t="n">
        <x:v>3</x:v>
      </x:c>
      <x:c r="D4824" s="380" t="str">
        <x:v>Mar</x:v>
      </x:c>
      <x:c r="E4824" s="380" t="n">
        <x:v>11</x:v>
      </x:c>
      <x:c r="F4824" s="380" t="n">
        <x:v>4</x:v>
      </x:c>
      <x:c r="G4824" s="380" t="n">
        <x:f>--(F4824&lt;='Estimator'!$B$7)</x:f>
        <x:v>1</x:v>
      </x:c>
      <x:c r="H4824" s="381" t="n">
        <x:f>SUMIFS('Climate Data'!$G$7:$G$366,'Climate Data'!$A$7:$A$366,'Estimator'!$B$4,'Climate Data'!$B$7:$B$366,C4824)</x:f>
        <x:v>0.24916573971078979</x:v>
      </x:c>
      <x:c r="I4824" s="382" t="n">
        <x:f>SUMIFS('Climate Data'!$H$7:$H$366,'Climate Data'!$A$7:$A$366,'Estimator'!$B$4,'Climate Data'!$B$7:$B$366,C4824)</x:f>
        <x:v>9.709821428571429</x:v>
      </x:c>
      <x:c r="J4824" s="381" t="n">
        <x:f>SUMIFS('Wind Proxy'!$H$8:$H$19,'Wind Proxy'!$A$8:$A$19,'Estimator'!$B$4,'Wind Proxy'!$B$8:$B$19,C4824)</x:f>
        <x:v>0.11350059737156513</x:v>
      </x:c>
    </x:row>
    <x:row r="4825">
      <x:c r="A4825" s="379" t="n">
        <x:v>50476</x:v>
      </x:c>
      <x:c r="B4825" s="380" t="n">
        <x:v>2038</x:v>
      </x:c>
      <x:c r="C4825" s="380" t="n">
        <x:v>3</x:v>
      </x:c>
      <x:c r="D4825" s="380" t="str">
        <x:v>Mar</x:v>
      </x:c>
      <x:c r="E4825" s="380" t="n">
        <x:v>12</x:v>
      </x:c>
      <x:c r="F4825" s="380" t="n">
        <x:v>5</x:v>
      </x:c>
      <x:c r="G4825" s="380" t="n">
        <x:f>--(F4825&lt;='Estimator'!$B$7)</x:f>
        <x:v>1</x:v>
      </x:c>
      <x:c r="H4825" s="381" t="n">
        <x:f>SUMIFS('Climate Data'!$G$7:$G$366,'Climate Data'!$A$7:$A$366,'Estimator'!$B$4,'Climate Data'!$B$7:$B$366,C4825)</x:f>
        <x:v>0.24916573971078979</x:v>
      </x:c>
      <x:c r="I4825" s="382" t="n">
        <x:f>SUMIFS('Climate Data'!$H$7:$H$366,'Climate Data'!$A$7:$A$366,'Estimator'!$B$4,'Climate Data'!$B$7:$B$366,C4825)</x:f>
        <x:v>9.709821428571429</x:v>
      </x:c>
      <x:c r="J4825" s="381" t="n">
        <x:f>SUMIFS('Wind Proxy'!$H$8:$H$19,'Wind Proxy'!$A$8:$A$19,'Estimator'!$B$4,'Wind Proxy'!$B$8:$B$19,C4825)</x:f>
        <x:v>0.11350059737156513</x:v>
      </x:c>
    </x:row>
    <x:row r="4826">
      <x:c r="A4826" s="379" t="n">
        <x:v>50477</x:v>
      </x:c>
      <x:c r="B4826" s="380" t="n">
        <x:v>2038</x:v>
      </x:c>
      <x:c r="C4826" s="380" t="n">
        <x:v>3</x:v>
      </x:c>
      <x:c r="D4826" s="380" t="str">
        <x:v>Mar</x:v>
      </x:c>
      <x:c r="E4826" s="380" t="n">
        <x:v>13</x:v>
      </x:c>
      <x:c r="F4826" s="380" t="n">
        <x:v>6</x:v>
      </x:c>
      <x:c r="G4826" s="380" t="n">
        <x:f>--(F4826&lt;='Estimator'!$B$7)</x:f>
        <x:v>0</x:v>
      </x:c>
      <x:c r="H4826" s="381" t="n">
        <x:f>SUMIFS('Climate Data'!$G$7:$G$366,'Climate Data'!$A$7:$A$366,'Estimator'!$B$4,'Climate Data'!$B$7:$B$366,C4826)</x:f>
        <x:v>0.24916573971078979</x:v>
      </x:c>
      <x:c r="I4826" s="382" t="n">
        <x:f>SUMIFS('Climate Data'!$H$7:$H$366,'Climate Data'!$A$7:$A$366,'Estimator'!$B$4,'Climate Data'!$B$7:$B$366,C4826)</x:f>
        <x:v>9.709821428571429</x:v>
      </x:c>
      <x:c r="J4826" s="381" t="n">
        <x:f>SUMIFS('Wind Proxy'!$H$8:$H$19,'Wind Proxy'!$A$8:$A$19,'Estimator'!$B$4,'Wind Proxy'!$B$8:$B$19,C4826)</x:f>
        <x:v>0.11350059737156513</x:v>
      </x:c>
    </x:row>
    <x:row r="4827">
      <x:c r="A4827" s="379" t="n">
        <x:v>50478</x:v>
      </x:c>
      <x:c r="B4827" s="380" t="n">
        <x:v>2038</x:v>
      </x:c>
      <x:c r="C4827" s="380" t="n">
        <x:v>3</x:v>
      </x:c>
      <x:c r="D4827" s="380" t="str">
        <x:v>Mar</x:v>
      </x:c>
      <x:c r="E4827" s="380" t="n">
        <x:v>14</x:v>
      </x:c>
      <x:c r="F4827" s="380" t="n">
        <x:v>7</x:v>
      </x:c>
      <x:c r="G4827" s="380" t="n">
        <x:f>--(F4827&lt;='Estimator'!$B$7)</x:f>
        <x:v>0</x:v>
      </x:c>
      <x:c r="H4827" s="381" t="n">
        <x:f>SUMIFS('Climate Data'!$G$7:$G$366,'Climate Data'!$A$7:$A$366,'Estimator'!$B$4,'Climate Data'!$B$7:$B$366,C4827)</x:f>
        <x:v>0.24916573971078979</x:v>
      </x:c>
      <x:c r="I4827" s="382" t="n">
        <x:f>SUMIFS('Climate Data'!$H$7:$H$366,'Climate Data'!$A$7:$A$366,'Estimator'!$B$4,'Climate Data'!$B$7:$B$366,C4827)</x:f>
        <x:v>9.709821428571429</x:v>
      </x:c>
      <x:c r="J4827" s="381" t="n">
        <x:f>SUMIFS('Wind Proxy'!$H$8:$H$19,'Wind Proxy'!$A$8:$A$19,'Estimator'!$B$4,'Wind Proxy'!$B$8:$B$19,C4827)</x:f>
        <x:v>0.11350059737156513</x:v>
      </x:c>
    </x:row>
    <x:row r="4828">
      <x:c r="A4828" s="379" t="n">
        <x:v>50479</x:v>
      </x:c>
      <x:c r="B4828" s="380" t="n">
        <x:v>2038</x:v>
      </x:c>
      <x:c r="C4828" s="380" t="n">
        <x:v>3</x:v>
      </x:c>
      <x:c r="D4828" s="380" t="str">
        <x:v>Mar</x:v>
      </x:c>
      <x:c r="E4828" s="380" t="n">
        <x:v>15</x:v>
      </x:c>
      <x:c r="F4828" s="380" t="n">
        <x:v>1</x:v>
      </x:c>
      <x:c r="G4828" s="380" t="n">
        <x:f>--(F4828&lt;='Estimator'!$B$7)</x:f>
        <x:v>1</x:v>
      </x:c>
      <x:c r="H4828" s="381" t="n">
        <x:f>SUMIFS('Climate Data'!$G$7:$G$366,'Climate Data'!$A$7:$A$366,'Estimator'!$B$4,'Climate Data'!$B$7:$B$366,C4828)</x:f>
        <x:v>0.24916573971078979</x:v>
      </x:c>
      <x:c r="I4828" s="382" t="n">
        <x:f>SUMIFS('Climate Data'!$H$7:$H$366,'Climate Data'!$A$7:$A$366,'Estimator'!$B$4,'Climate Data'!$B$7:$B$366,C4828)</x:f>
        <x:v>9.709821428571429</x:v>
      </x:c>
      <x:c r="J4828" s="381" t="n">
        <x:f>SUMIFS('Wind Proxy'!$H$8:$H$19,'Wind Proxy'!$A$8:$A$19,'Estimator'!$B$4,'Wind Proxy'!$B$8:$B$19,C4828)</x:f>
        <x:v>0.11350059737156513</x:v>
      </x:c>
    </x:row>
    <x:row r="4829">
      <x:c r="A4829" s="379" t="n">
        <x:v>50480</x:v>
      </x:c>
      <x:c r="B4829" s="380" t="n">
        <x:v>2038</x:v>
      </x:c>
      <x:c r="C4829" s="380" t="n">
        <x:v>3</x:v>
      </x:c>
      <x:c r="D4829" s="380" t="str">
        <x:v>Mar</x:v>
      </x:c>
      <x:c r="E4829" s="380" t="n">
        <x:v>16</x:v>
      </x:c>
      <x:c r="F4829" s="380" t="n">
        <x:v>2</x:v>
      </x:c>
      <x:c r="G4829" s="380" t="n">
        <x:f>--(F4829&lt;='Estimator'!$B$7)</x:f>
        <x:v>1</x:v>
      </x:c>
      <x:c r="H4829" s="381" t="n">
        <x:f>SUMIFS('Climate Data'!$G$7:$G$366,'Climate Data'!$A$7:$A$366,'Estimator'!$B$4,'Climate Data'!$B$7:$B$366,C4829)</x:f>
        <x:v>0.24916573971078979</x:v>
      </x:c>
      <x:c r="I4829" s="382" t="n">
        <x:f>SUMIFS('Climate Data'!$H$7:$H$366,'Climate Data'!$A$7:$A$366,'Estimator'!$B$4,'Climate Data'!$B$7:$B$366,C4829)</x:f>
        <x:v>9.709821428571429</x:v>
      </x:c>
      <x:c r="J4829" s="381" t="n">
        <x:f>SUMIFS('Wind Proxy'!$H$8:$H$19,'Wind Proxy'!$A$8:$A$19,'Estimator'!$B$4,'Wind Proxy'!$B$8:$B$19,C4829)</x:f>
        <x:v>0.11350059737156513</x:v>
      </x:c>
    </x:row>
    <x:row r="4830">
      <x:c r="A4830" s="379" t="n">
        <x:v>50481</x:v>
      </x:c>
      <x:c r="B4830" s="380" t="n">
        <x:v>2038</x:v>
      </x:c>
      <x:c r="C4830" s="380" t="n">
        <x:v>3</x:v>
      </x:c>
      <x:c r="D4830" s="380" t="str">
        <x:v>Mar</x:v>
      </x:c>
      <x:c r="E4830" s="380" t="n">
        <x:v>17</x:v>
      </x:c>
      <x:c r="F4830" s="380" t="n">
        <x:v>3</x:v>
      </x:c>
      <x:c r="G4830" s="380" t="n">
        <x:f>--(F4830&lt;='Estimator'!$B$7)</x:f>
        <x:v>1</x:v>
      </x:c>
      <x:c r="H4830" s="381" t="n">
        <x:f>SUMIFS('Climate Data'!$G$7:$G$366,'Climate Data'!$A$7:$A$366,'Estimator'!$B$4,'Climate Data'!$B$7:$B$366,C4830)</x:f>
        <x:v>0.24916573971078979</x:v>
      </x:c>
      <x:c r="I4830" s="382" t="n">
        <x:f>SUMIFS('Climate Data'!$H$7:$H$366,'Climate Data'!$A$7:$A$366,'Estimator'!$B$4,'Climate Data'!$B$7:$B$366,C4830)</x:f>
        <x:v>9.709821428571429</x:v>
      </x:c>
      <x:c r="J4830" s="381" t="n">
        <x:f>SUMIFS('Wind Proxy'!$H$8:$H$19,'Wind Proxy'!$A$8:$A$19,'Estimator'!$B$4,'Wind Proxy'!$B$8:$B$19,C4830)</x:f>
        <x:v>0.11350059737156513</x:v>
      </x:c>
    </x:row>
    <x:row r="4831">
      <x:c r="A4831" s="379" t="n">
        <x:v>50482</x:v>
      </x:c>
      <x:c r="B4831" s="380" t="n">
        <x:v>2038</x:v>
      </x:c>
      <x:c r="C4831" s="380" t="n">
        <x:v>3</x:v>
      </x:c>
      <x:c r="D4831" s="380" t="str">
        <x:v>Mar</x:v>
      </x:c>
      <x:c r="E4831" s="380" t="n">
        <x:v>18</x:v>
      </x:c>
      <x:c r="F4831" s="380" t="n">
        <x:v>4</x:v>
      </x:c>
      <x:c r="G4831" s="380" t="n">
        <x:f>--(F4831&lt;='Estimator'!$B$7)</x:f>
        <x:v>1</x:v>
      </x:c>
      <x:c r="H4831" s="381" t="n">
        <x:f>SUMIFS('Climate Data'!$G$7:$G$366,'Climate Data'!$A$7:$A$366,'Estimator'!$B$4,'Climate Data'!$B$7:$B$366,C4831)</x:f>
        <x:v>0.24916573971078979</x:v>
      </x:c>
      <x:c r="I4831" s="382" t="n">
        <x:f>SUMIFS('Climate Data'!$H$7:$H$366,'Climate Data'!$A$7:$A$366,'Estimator'!$B$4,'Climate Data'!$B$7:$B$366,C4831)</x:f>
        <x:v>9.709821428571429</x:v>
      </x:c>
      <x:c r="J4831" s="381" t="n">
        <x:f>SUMIFS('Wind Proxy'!$H$8:$H$19,'Wind Proxy'!$A$8:$A$19,'Estimator'!$B$4,'Wind Proxy'!$B$8:$B$19,C4831)</x:f>
        <x:v>0.11350059737156513</x:v>
      </x:c>
    </x:row>
    <x:row r="4832">
      <x:c r="A4832" s="379" t="n">
        <x:v>50483</x:v>
      </x:c>
      <x:c r="B4832" s="380" t="n">
        <x:v>2038</x:v>
      </x:c>
      <x:c r="C4832" s="380" t="n">
        <x:v>3</x:v>
      </x:c>
      <x:c r="D4832" s="380" t="str">
        <x:v>Mar</x:v>
      </x:c>
      <x:c r="E4832" s="380" t="n">
        <x:v>19</x:v>
      </x:c>
      <x:c r="F4832" s="380" t="n">
        <x:v>5</x:v>
      </x:c>
      <x:c r="G4832" s="380" t="n">
        <x:f>--(F4832&lt;='Estimator'!$B$7)</x:f>
        <x:v>1</x:v>
      </x:c>
      <x:c r="H4832" s="381" t="n">
        <x:f>SUMIFS('Climate Data'!$G$7:$G$366,'Climate Data'!$A$7:$A$366,'Estimator'!$B$4,'Climate Data'!$B$7:$B$366,C4832)</x:f>
        <x:v>0.24916573971078979</x:v>
      </x:c>
      <x:c r="I4832" s="382" t="n">
        <x:f>SUMIFS('Climate Data'!$H$7:$H$366,'Climate Data'!$A$7:$A$366,'Estimator'!$B$4,'Climate Data'!$B$7:$B$366,C4832)</x:f>
        <x:v>9.709821428571429</x:v>
      </x:c>
      <x:c r="J4832" s="381" t="n">
        <x:f>SUMIFS('Wind Proxy'!$H$8:$H$19,'Wind Proxy'!$A$8:$A$19,'Estimator'!$B$4,'Wind Proxy'!$B$8:$B$19,C4832)</x:f>
        <x:v>0.11350059737156513</x:v>
      </x:c>
    </x:row>
    <x:row r="4833">
      <x:c r="A4833" s="379" t="n">
        <x:v>50484</x:v>
      </x:c>
      <x:c r="B4833" s="380" t="n">
        <x:v>2038</x:v>
      </x:c>
      <x:c r="C4833" s="380" t="n">
        <x:v>3</x:v>
      </x:c>
      <x:c r="D4833" s="380" t="str">
        <x:v>Mar</x:v>
      </x:c>
      <x:c r="E4833" s="380" t="n">
        <x:v>20</x:v>
      </x:c>
      <x:c r="F4833" s="380" t="n">
        <x:v>6</x:v>
      </x:c>
      <x:c r="G4833" s="380" t="n">
        <x:f>--(F4833&lt;='Estimator'!$B$7)</x:f>
        <x:v>0</x:v>
      </x:c>
      <x:c r="H4833" s="381" t="n">
        <x:f>SUMIFS('Climate Data'!$G$7:$G$366,'Climate Data'!$A$7:$A$366,'Estimator'!$B$4,'Climate Data'!$B$7:$B$366,C4833)</x:f>
        <x:v>0.24916573971078979</x:v>
      </x:c>
      <x:c r="I4833" s="382" t="n">
        <x:f>SUMIFS('Climate Data'!$H$7:$H$366,'Climate Data'!$A$7:$A$366,'Estimator'!$B$4,'Climate Data'!$B$7:$B$366,C4833)</x:f>
        <x:v>9.709821428571429</x:v>
      </x:c>
      <x:c r="J4833" s="381" t="n">
        <x:f>SUMIFS('Wind Proxy'!$H$8:$H$19,'Wind Proxy'!$A$8:$A$19,'Estimator'!$B$4,'Wind Proxy'!$B$8:$B$19,C4833)</x:f>
        <x:v>0.11350059737156513</x:v>
      </x:c>
    </x:row>
    <x:row r="4834">
      <x:c r="A4834" s="379" t="n">
        <x:v>50485</x:v>
      </x:c>
      <x:c r="B4834" s="380" t="n">
        <x:v>2038</x:v>
      </x:c>
      <x:c r="C4834" s="380" t="n">
        <x:v>3</x:v>
      </x:c>
      <x:c r="D4834" s="380" t="str">
        <x:v>Mar</x:v>
      </x:c>
      <x:c r="E4834" s="380" t="n">
        <x:v>21</x:v>
      </x:c>
      <x:c r="F4834" s="380" t="n">
        <x:v>7</x:v>
      </x:c>
      <x:c r="G4834" s="380" t="n">
        <x:f>--(F4834&lt;='Estimator'!$B$7)</x:f>
        <x:v>0</x:v>
      </x:c>
      <x:c r="H4834" s="381" t="n">
        <x:f>SUMIFS('Climate Data'!$G$7:$G$366,'Climate Data'!$A$7:$A$366,'Estimator'!$B$4,'Climate Data'!$B$7:$B$366,C4834)</x:f>
        <x:v>0.24916573971078979</x:v>
      </x:c>
      <x:c r="I4834" s="382" t="n">
        <x:f>SUMIFS('Climate Data'!$H$7:$H$366,'Climate Data'!$A$7:$A$366,'Estimator'!$B$4,'Climate Data'!$B$7:$B$366,C4834)</x:f>
        <x:v>9.709821428571429</x:v>
      </x:c>
      <x:c r="J4834" s="381" t="n">
        <x:f>SUMIFS('Wind Proxy'!$H$8:$H$19,'Wind Proxy'!$A$8:$A$19,'Estimator'!$B$4,'Wind Proxy'!$B$8:$B$19,C4834)</x:f>
        <x:v>0.11350059737156513</x:v>
      </x:c>
    </x:row>
    <x:row r="4835">
      <x:c r="A4835" s="379" t="n">
        <x:v>50486</x:v>
      </x:c>
      <x:c r="B4835" s="380" t="n">
        <x:v>2038</x:v>
      </x:c>
      <x:c r="C4835" s="380" t="n">
        <x:v>3</x:v>
      </x:c>
      <x:c r="D4835" s="380" t="str">
        <x:v>Mar</x:v>
      </x:c>
      <x:c r="E4835" s="380" t="n">
        <x:v>22</x:v>
      </x:c>
      <x:c r="F4835" s="380" t="n">
        <x:v>1</x:v>
      </x:c>
      <x:c r="G4835" s="380" t="n">
        <x:f>--(F4835&lt;='Estimator'!$B$7)</x:f>
        <x:v>1</x:v>
      </x:c>
      <x:c r="H4835" s="381" t="n">
        <x:f>SUMIFS('Climate Data'!$G$7:$G$366,'Climate Data'!$A$7:$A$366,'Estimator'!$B$4,'Climate Data'!$B$7:$B$366,C4835)</x:f>
        <x:v>0.24916573971078979</x:v>
      </x:c>
      <x:c r="I4835" s="382" t="n">
        <x:f>SUMIFS('Climate Data'!$H$7:$H$366,'Climate Data'!$A$7:$A$366,'Estimator'!$B$4,'Climate Data'!$B$7:$B$366,C4835)</x:f>
        <x:v>9.709821428571429</x:v>
      </x:c>
      <x:c r="J4835" s="381" t="n">
        <x:f>SUMIFS('Wind Proxy'!$H$8:$H$19,'Wind Proxy'!$A$8:$A$19,'Estimator'!$B$4,'Wind Proxy'!$B$8:$B$19,C4835)</x:f>
        <x:v>0.11350059737156513</x:v>
      </x:c>
    </x:row>
    <x:row r="4836">
      <x:c r="A4836" s="379" t="n">
        <x:v>50487</x:v>
      </x:c>
      <x:c r="B4836" s="380" t="n">
        <x:v>2038</x:v>
      </x:c>
      <x:c r="C4836" s="380" t="n">
        <x:v>3</x:v>
      </x:c>
      <x:c r="D4836" s="380" t="str">
        <x:v>Mar</x:v>
      </x:c>
      <x:c r="E4836" s="380" t="n">
        <x:v>23</x:v>
      </x:c>
      <x:c r="F4836" s="380" t="n">
        <x:v>2</x:v>
      </x:c>
      <x:c r="G4836" s="380" t="n">
        <x:f>--(F4836&lt;='Estimator'!$B$7)</x:f>
        <x:v>1</x:v>
      </x:c>
      <x:c r="H4836" s="381" t="n">
        <x:f>SUMIFS('Climate Data'!$G$7:$G$366,'Climate Data'!$A$7:$A$366,'Estimator'!$B$4,'Climate Data'!$B$7:$B$366,C4836)</x:f>
        <x:v>0.24916573971078979</x:v>
      </x:c>
      <x:c r="I4836" s="382" t="n">
        <x:f>SUMIFS('Climate Data'!$H$7:$H$366,'Climate Data'!$A$7:$A$366,'Estimator'!$B$4,'Climate Data'!$B$7:$B$366,C4836)</x:f>
        <x:v>9.709821428571429</x:v>
      </x:c>
      <x:c r="J4836" s="381" t="n">
        <x:f>SUMIFS('Wind Proxy'!$H$8:$H$19,'Wind Proxy'!$A$8:$A$19,'Estimator'!$B$4,'Wind Proxy'!$B$8:$B$19,C4836)</x:f>
        <x:v>0.11350059737156513</x:v>
      </x:c>
    </x:row>
    <x:row r="4837">
      <x:c r="A4837" s="379" t="n">
        <x:v>50488</x:v>
      </x:c>
      <x:c r="B4837" s="380" t="n">
        <x:v>2038</x:v>
      </x:c>
      <x:c r="C4837" s="380" t="n">
        <x:v>3</x:v>
      </x:c>
      <x:c r="D4837" s="380" t="str">
        <x:v>Mar</x:v>
      </x:c>
      <x:c r="E4837" s="380" t="n">
        <x:v>24</x:v>
      </x:c>
      <x:c r="F4837" s="380" t="n">
        <x:v>3</x:v>
      </x:c>
      <x:c r="G4837" s="380" t="n">
        <x:f>--(F4837&lt;='Estimator'!$B$7)</x:f>
        <x:v>1</x:v>
      </x:c>
      <x:c r="H4837" s="381" t="n">
        <x:f>SUMIFS('Climate Data'!$G$7:$G$366,'Climate Data'!$A$7:$A$366,'Estimator'!$B$4,'Climate Data'!$B$7:$B$366,C4837)</x:f>
        <x:v>0.24916573971078979</x:v>
      </x:c>
      <x:c r="I4837" s="382" t="n">
        <x:f>SUMIFS('Climate Data'!$H$7:$H$366,'Climate Data'!$A$7:$A$366,'Estimator'!$B$4,'Climate Data'!$B$7:$B$366,C4837)</x:f>
        <x:v>9.709821428571429</x:v>
      </x:c>
      <x:c r="J4837" s="381" t="n">
        <x:f>SUMIFS('Wind Proxy'!$H$8:$H$19,'Wind Proxy'!$A$8:$A$19,'Estimator'!$B$4,'Wind Proxy'!$B$8:$B$19,C4837)</x:f>
        <x:v>0.11350059737156513</x:v>
      </x:c>
    </x:row>
    <x:row r="4838">
      <x:c r="A4838" s="379" t="n">
        <x:v>50489</x:v>
      </x:c>
      <x:c r="B4838" s="380" t="n">
        <x:v>2038</x:v>
      </x:c>
      <x:c r="C4838" s="380" t="n">
        <x:v>3</x:v>
      </x:c>
      <x:c r="D4838" s="380" t="str">
        <x:v>Mar</x:v>
      </x:c>
      <x:c r="E4838" s="380" t="n">
        <x:v>25</x:v>
      </x:c>
      <x:c r="F4838" s="380" t="n">
        <x:v>4</x:v>
      </x:c>
      <x:c r="G4838" s="380" t="n">
        <x:f>--(F4838&lt;='Estimator'!$B$7)</x:f>
        <x:v>1</x:v>
      </x:c>
      <x:c r="H4838" s="381" t="n">
        <x:f>SUMIFS('Climate Data'!$G$7:$G$366,'Climate Data'!$A$7:$A$366,'Estimator'!$B$4,'Climate Data'!$B$7:$B$366,C4838)</x:f>
        <x:v>0.24916573971078979</x:v>
      </x:c>
      <x:c r="I4838" s="382" t="n">
        <x:f>SUMIFS('Climate Data'!$H$7:$H$366,'Climate Data'!$A$7:$A$366,'Estimator'!$B$4,'Climate Data'!$B$7:$B$366,C4838)</x:f>
        <x:v>9.709821428571429</x:v>
      </x:c>
      <x:c r="J4838" s="381" t="n">
        <x:f>SUMIFS('Wind Proxy'!$H$8:$H$19,'Wind Proxy'!$A$8:$A$19,'Estimator'!$B$4,'Wind Proxy'!$B$8:$B$19,C4838)</x:f>
        <x:v>0.11350059737156513</x:v>
      </x:c>
    </x:row>
    <x:row r="4839">
      <x:c r="A4839" s="379" t="n">
        <x:v>50490</x:v>
      </x:c>
      <x:c r="B4839" s="380" t="n">
        <x:v>2038</x:v>
      </x:c>
      <x:c r="C4839" s="380" t="n">
        <x:v>3</x:v>
      </x:c>
      <x:c r="D4839" s="380" t="str">
        <x:v>Mar</x:v>
      </x:c>
      <x:c r="E4839" s="380" t="n">
        <x:v>26</x:v>
      </x:c>
      <x:c r="F4839" s="380" t="n">
        <x:v>5</x:v>
      </x:c>
      <x:c r="G4839" s="380" t="n">
        <x:f>--(F4839&lt;='Estimator'!$B$7)</x:f>
        <x:v>1</x:v>
      </x:c>
      <x:c r="H4839" s="381" t="n">
        <x:f>SUMIFS('Climate Data'!$G$7:$G$366,'Climate Data'!$A$7:$A$366,'Estimator'!$B$4,'Climate Data'!$B$7:$B$366,C4839)</x:f>
        <x:v>0.24916573971078979</x:v>
      </x:c>
      <x:c r="I4839" s="382" t="n">
        <x:f>SUMIFS('Climate Data'!$H$7:$H$366,'Climate Data'!$A$7:$A$366,'Estimator'!$B$4,'Climate Data'!$B$7:$B$366,C4839)</x:f>
        <x:v>9.709821428571429</x:v>
      </x:c>
      <x:c r="J4839" s="381" t="n">
        <x:f>SUMIFS('Wind Proxy'!$H$8:$H$19,'Wind Proxy'!$A$8:$A$19,'Estimator'!$B$4,'Wind Proxy'!$B$8:$B$19,C4839)</x:f>
        <x:v>0.11350059737156513</x:v>
      </x:c>
    </x:row>
    <x:row r="4840">
      <x:c r="A4840" s="379" t="n">
        <x:v>50491</x:v>
      </x:c>
      <x:c r="B4840" s="380" t="n">
        <x:v>2038</x:v>
      </x:c>
      <x:c r="C4840" s="380" t="n">
        <x:v>3</x:v>
      </x:c>
      <x:c r="D4840" s="380" t="str">
        <x:v>Mar</x:v>
      </x:c>
      <x:c r="E4840" s="380" t="n">
        <x:v>27</x:v>
      </x:c>
      <x:c r="F4840" s="380" t="n">
        <x:v>6</x:v>
      </x:c>
      <x:c r="G4840" s="380" t="n">
        <x:f>--(F4840&lt;='Estimator'!$B$7)</x:f>
        <x:v>0</x:v>
      </x:c>
      <x:c r="H4840" s="381" t="n">
        <x:f>SUMIFS('Climate Data'!$G$7:$G$366,'Climate Data'!$A$7:$A$366,'Estimator'!$B$4,'Climate Data'!$B$7:$B$366,C4840)</x:f>
        <x:v>0.24916573971078979</x:v>
      </x:c>
      <x:c r="I4840" s="382" t="n">
        <x:f>SUMIFS('Climate Data'!$H$7:$H$366,'Climate Data'!$A$7:$A$366,'Estimator'!$B$4,'Climate Data'!$B$7:$B$366,C4840)</x:f>
        <x:v>9.709821428571429</x:v>
      </x:c>
      <x:c r="J4840" s="381" t="n">
        <x:f>SUMIFS('Wind Proxy'!$H$8:$H$19,'Wind Proxy'!$A$8:$A$19,'Estimator'!$B$4,'Wind Proxy'!$B$8:$B$19,C4840)</x:f>
        <x:v>0.11350059737156513</x:v>
      </x:c>
    </x:row>
    <x:row r="4841">
      <x:c r="A4841" s="379" t="n">
        <x:v>50492</x:v>
      </x:c>
      <x:c r="B4841" s="380" t="n">
        <x:v>2038</x:v>
      </x:c>
      <x:c r="C4841" s="380" t="n">
        <x:v>3</x:v>
      </x:c>
      <x:c r="D4841" s="380" t="str">
        <x:v>Mar</x:v>
      </x:c>
      <x:c r="E4841" s="380" t="n">
        <x:v>28</x:v>
      </x:c>
      <x:c r="F4841" s="380" t="n">
        <x:v>7</x:v>
      </x:c>
      <x:c r="G4841" s="380" t="n">
        <x:f>--(F4841&lt;='Estimator'!$B$7)</x:f>
        <x:v>0</x:v>
      </x:c>
      <x:c r="H4841" s="381" t="n">
        <x:f>SUMIFS('Climate Data'!$G$7:$G$366,'Climate Data'!$A$7:$A$366,'Estimator'!$B$4,'Climate Data'!$B$7:$B$366,C4841)</x:f>
        <x:v>0.24916573971078979</x:v>
      </x:c>
      <x:c r="I4841" s="382" t="n">
        <x:f>SUMIFS('Climate Data'!$H$7:$H$366,'Climate Data'!$A$7:$A$366,'Estimator'!$B$4,'Climate Data'!$B$7:$B$366,C4841)</x:f>
        <x:v>9.709821428571429</x:v>
      </x:c>
      <x:c r="J4841" s="381" t="n">
        <x:f>SUMIFS('Wind Proxy'!$H$8:$H$19,'Wind Proxy'!$A$8:$A$19,'Estimator'!$B$4,'Wind Proxy'!$B$8:$B$19,C4841)</x:f>
        <x:v>0.11350059737156513</x:v>
      </x:c>
    </x:row>
    <x:row r="4842">
      <x:c r="A4842" s="379" t="n">
        <x:v>50493</x:v>
      </x:c>
      <x:c r="B4842" s="380" t="n">
        <x:v>2038</x:v>
      </x:c>
      <x:c r="C4842" s="380" t="n">
        <x:v>3</x:v>
      </x:c>
      <x:c r="D4842" s="380" t="str">
        <x:v>Mar</x:v>
      </x:c>
      <x:c r="E4842" s="380" t="n">
        <x:v>29</x:v>
      </x:c>
      <x:c r="F4842" s="380" t="n">
        <x:v>1</x:v>
      </x:c>
      <x:c r="G4842" s="380" t="n">
        <x:f>--(F4842&lt;='Estimator'!$B$7)</x:f>
        <x:v>1</x:v>
      </x:c>
      <x:c r="H4842" s="381" t="n">
        <x:f>SUMIFS('Climate Data'!$G$7:$G$366,'Climate Data'!$A$7:$A$366,'Estimator'!$B$4,'Climate Data'!$B$7:$B$366,C4842)</x:f>
        <x:v>0.24916573971078979</x:v>
      </x:c>
      <x:c r="I4842" s="382" t="n">
        <x:f>SUMIFS('Climate Data'!$H$7:$H$366,'Climate Data'!$A$7:$A$366,'Estimator'!$B$4,'Climate Data'!$B$7:$B$366,C4842)</x:f>
        <x:v>9.709821428571429</x:v>
      </x:c>
      <x:c r="J4842" s="381" t="n">
        <x:f>SUMIFS('Wind Proxy'!$H$8:$H$19,'Wind Proxy'!$A$8:$A$19,'Estimator'!$B$4,'Wind Proxy'!$B$8:$B$19,C4842)</x:f>
        <x:v>0.11350059737156513</x:v>
      </x:c>
    </x:row>
    <x:row r="4843">
      <x:c r="A4843" s="379" t="n">
        <x:v>50494</x:v>
      </x:c>
      <x:c r="B4843" s="380" t="n">
        <x:v>2038</x:v>
      </x:c>
      <x:c r="C4843" s="380" t="n">
        <x:v>3</x:v>
      </x:c>
      <x:c r="D4843" s="380" t="str">
        <x:v>Mar</x:v>
      </x:c>
      <x:c r="E4843" s="380" t="n">
        <x:v>30</x:v>
      </x:c>
      <x:c r="F4843" s="380" t="n">
        <x:v>2</x:v>
      </x:c>
      <x:c r="G4843" s="380" t="n">
        <x:f>--(F4843&lt;='Estimator'!$B$7)</x:f>
        <x:v>1</x:v>
      </x:c>
      <x:c r="H4843" s="381" t="n">
        <x:f>SUMIFS('Climate Data'!$G$7:$G$366,'Climate Data'!$A$7:$A$366,'Estimator'!$B$4,'Climate Data'!$B$7:$B$366,C4843)</x:f>
        <x:v>0.24916573971078979</x:v>
      </x:c>
      <x:c r="I4843" s="382" t="n">
        <x:f>SUMIFS('Climate Data'!$H$7:$H$366,'Climate Data'!$A$7:$A$366,'Estimator'!$B$4,'Climate Data'!$B$7:$B$366,C4843)</x:f>
        <x:v>9.709821428571429</x:v>
      </x:c>
      <x:c r="J4843" s="381" t="n">
        <x:f>SUMIFS('Wind Proxy'!$H$8:$H$19,'Wind Proxy'!$A$8:$A$19,'Estimator'!$B$4,'Wind Proxy'!$B$8:$B$19,C4843)</x:f>
        <x:v>0.11350059737156513</x:v>
      </x:c>
    </x:row>
    <x:row r="4844">
      <x:c r="A4844" s="379" t="n">
        <x:v>50495</x:v>
      </x:c>
      <x:c r="B4844" s="380" t="n">
        <x:v>2038</x:v>
      </x:c>
      <x:c r="C4844" s="380" t="n">
        <x:v>3</x:v>
      </x:c>
      <x:c r="D4844" s="380" t="str">
        <x:v>Mar</x:v>
      </x:c>
      <x:c r="E4844" s="380" t="n">
        <x:v>31</x:v>
      </x:c>
      <x:c r="F4844" s="380" t="n">
        <x:v>3</x:v>
      </x:c>
      <x:c r="G4844" s="380" t="n">
        <x:f>--(F4844&lt;='Estimator'!$B$7)</x:f>
        <x:v>1</x:v>
      </x:c>
      <x:c r="H4844" s="381" t="n">
        <x:f>SUMIFS('Climate Data'!$G$7:$G$366,'Climate Data'!$A$7:$A$366,'Estimator'!$B$4,'Climate Data'!$B$7:$B$366,C4844)</x:f>
        <x:v>0.24916573971078979</x:v>
      </x:c>
      <x:c r="I4844" s="382" t="n">
        <x:f>SUMIFS('Climate Data'!$H$7:$H$366,'Climate Data'!$A$7:$A$366,'Estimator'!$B$4,'Climate Data'!$B$7:$B$366,C4844)</x:f>
        <x:v>9.709821428571429</x:v>
      </x:c>
      <x:c r="J4844" s="381" t="n">
        <x:f>SUMIFS('Wind Proxy'!$H$8:$H$19,'Wind Proxy'!$A$8:$A$19,'Estimator'!$B$4,'Wind Proxy'!$B$8:$B$19,C4844)</x:f>
        <x:v>0.11350059737156513</x:v>
      </x:c>
    </x:row>
    <x:row r="4845">
      <x:c r="A4845" s="379" t="n">
        <x:v>50496</x:v>
      </x:c>
      <x:c r="B4845" s="380" t="n">
        <x:v>2038</x:v>
      </x:c>
      <x:c r="C4845" s="380" t="n">
        <x:v>4</x:v>
      </x:c>
      <x:c r="D4845" s="380" t="str">
        <x:v>Apr</x:v>
      </x:c>
      <x:c r="E4845" s="380" t="n">
        <x:v>1</x:v>
      </x:c>
      <x:c r="F4845" s="380" t="n">
        <x:v>4</x:v>
      </x:c>
      <x:c r="G4845" s="380" t="n">
        <x:f>--(F4845&lt;='Estimator'!$B$7)</x:f>
        <x:v>1</x:v>
      </x:c>
      <x:c r="H4845" s="381" t="n">
        <x:f>SUMIFS('Climate Data'!$G$7:$G$366,'Climate Data'!$A$7:$A$366,'Estimator'!$B$4,'Climate Data'!$B$7:$B$366,C4845)</x:f>
        <x:v>0.32023809523809527</x:v>
      </x:c>
      <x:c r="I4845" s="382" t="n">
        <x:f>SUMIFS('Climate Data'!$H$7:$H$366,'Climate Data'!$A$7:$A$366,'Estimator'!$B$4,'Climate Data'!$B$7:$B$366,C4845)</x:f>
        <x:v>9.066171003717471</x:v>
      </x:c>
      <x:c r="J4845" s="381" t="n">
        <x:f>SUMIFS('Wind Proxy'!$H$8:$H$19,'Wind Proxy'!$A$8:$A$19,'Estimator'!$B$4,'Wind Proxy'!$B$8:$B$19,C4845)</x:f>
        <x:v>0.11728395061728397</x:v>
      </x:c>
    </x:row>
    <x:row r="4846">
      <x:c r="A4846" s="379" t="n">
        <x:v>50497</x:v>
      </x:c>
      <x:c r="B4846" s="380" t="n">
        <x:v>2038</x:v>
      </x:c>
      <x:c r="C4846" s="380" t="n">
        <x:v>4</x:v>
      </x:c>
      <x:c r="D4846" s="380" t="str">
        <x:v>Apr</x:v>
      </x:c>
      <x:c r="E4846" s="380" t="n">
        <x:v>2</x:v>
      </x:c>
      <x:c r="F4846" s="380" t="n">
        <x:v>5</x:v>
      </x:c>
      <x:c r="G4846" s="380" t="n">
        <x:f>--(F4846&lt;='Estimator'!$B$7)</x:f>
        <x:v>1</x:v>
      </x:c>
      <x:c r="H4846" s="381" t="n">
        <x:f>SUMIFS('Climate Data'!$G$7:$G$366,'Climate Data'!$A$7:$A$366,'Estimator'!$B$4,'Climate Data'!$B$7:$B$366,C4846)</x:f>
        <x:v>0.32023809523809527</x:v>
      </x:c>
      <x:c r="I4846" s="382" t="n">
        <x:f>SUMIFS('Climate Data'!$H$7:$H$366,'Climate Data'!$A$7:$A$366,'Estimator'!$B$4,'Climate Data'!$B$7:$B$366,C4846)</x:f>
        <x:v>9.066171003717471</x:v>
      </x:c>
      <x:c r="J4846" s="381" t="n">
        <x:f>SUMIFS('Wind Proxy'!$H$8:$H$19,'Wind Proxy'!$A$8:$A$19,'Estimator'!$B$4,'Wind Proxy'!$B$8:$B$19,C4846)</x:f>
        <x:v>0.11728395061728397</x:v>
      </x:c>
    </x:row>
    <x:row r="4847">
      <x:c r="A4847" s="379" t="n">
        <x:v>50498</x:v>
      </x:c>
      <x:c r="B4847" s="380" t="n">
        <x:v>2038</x:v>
      </x:c>
      <x:c r="C4847" s="380" t="n">
        <x:v>4</x:v>
      </x:c>
      <x:c r="D4847" s="380" t="str">
        <x:v>Apr</x:v>
      </x:c>
      <x:c r="E4847" s="380" t="n">
        <x:v>3</x:v>
      </x:c>
      <x:c r="F4847" s="380" t="n">
        <x:v>6</x:v>
      </x:c>
      <x:c r="G4847" s="380" t="n">
        <x:f>--(F4847&lt;='Estimator'!$B$7)</x:f>
        <x:v>0</x:v>
      </x:c>
      <x:c r="H4847" s="381" t="n">
        <x:f>SUMIFS('Climate Data'!$G$7:$G$366,'Climate Data'!$A$7:$A$366,'Estimator'!$B$4,'Climate Data'!$B$7:$B$366,C4847)</x:f>
        <x:v>0.32023809523809527</x:v>
      </x:c>
      <x:c r="I4847" s="382" t="n">
        <x:f>SUMIFS('Climate Data'!$H$7:$H$366,'Climate Data'!$A$7:$A$366,'Estimator'!$B$4,'Climate Data'!$B$7:$B$366,C4847)</x:f>
        <x:v>9.066171003717471</x:v>
      </x:c>
      <x:c r="J4847" s="381" t="n">
        <x:f>SUMIFS('Wind Proxy'!$H$8:$H$19,'Wind Proxy'!$A$8:$A$19,'Estimator'!$B$4,'Wind Proxy'!$B$8:$B$19,C4847)</x:f>
        <x:v>0.11728395061728397</x:v>
      </x:c>
    </x:row>
    <x:row r="4848">
      <x:c r="A4848" s="379" t="n">
        <x:v>50499</x:v>
      </x:c>
      <x:c r="B4848" s="380" t="n">
        <x:v>2038</x:v>
      </x:c>
      <x:c r="C4848" s="380" t="n">
        <x:v>4</x:v>
      </x:c>
      <x:c r="D4848" s="380" t="str">
        <x:v>Apr</x:v>
      </x:c>
      <x:c r="E4848" s="380" t="n">
        <x:v>4</x:v>
      </x:c>
      <x:c r="F4848" s="380" t="n">
        <x:v>7</x:v>
      </x:c>
      <x:c r="G4848" s="380" t="n">
        <x:f>--(F4848&lt;='Estimator'!$B$7)</x:f>
        <x:v>0</x:v>
      </x:c>
      <x:c r="H4848" s="381" t="n">
        <x:f>SUMIFS('Climate Data'!$G$7:$G$366,'Climate Data'!$A$7:$A$366,'Estimator'!$B$4,'Climate Data'!$B$7:$B$366,C4848)</x:f>
        <x:v>0.32023809523809527</x:v>
      </x:c>
      <x:c r="I4848" s="382" t="n">
        <x:f>SUMIFS('Climate Data'!$H$7:$H$366,'Climate Data'!$A$7:$A$366,'Estimator'!$B$4,'Climate Data'!$B$7:$B$366,C4848)</x:f>
        <x:v>9.066171003717471</x:v>
      </x:c>
      <x:c r="J4848" s="381" t="n">
        <x:f>SUMIFS('Wind Proxy'!$H$8:$H$19,'Wind Proxy'!$A$8:$A$19,'Estimator'!$B$4,'Wind Proxy'!$B$8:$B$19,C4848)</x:f>
        <x:v>0.11728395061728397</x:v>
      </x:c>
    </x:row>
    <x:row r="4849">
      <x:c r="A4849" s="379" t="n">
        <x:v>50500</x:v>
      </x:c>
      <x:c r="B4849" s="380" t="n">
        <x:v>2038</x:v>
      </x:c>
      <x:c r="C4849" s="380" t="n">
        <x:v>4</x:v>
      </x:c>
      <x:c r="D4849" s="380" t="str">
        <x:v>Apr</x:v>
      </x:c>
      <x:c r="E4849" s="380" t="n">
        <x:v>5</x:v>
      </x:c>
      <x:c r="F4849" s="380" t="n">
        <x:v>1</x:v>
      </x:c>
      <x:c r="G4849" s="380" t="n">
        <x:f>--(F4849&lt;='Estimator'!$B$7)</x:f>
        <x:v>1</x:v>
      </x:c>
      <x:c r="H4849" s="381" t="n">
        <x:f>SUMIFS('Climate Data'!$G$7:$G$366,'Climate Data'!$A$7:$A$366,'Estimator'!$B$4,'Climate Data'!$B$7:$B$366,C4849)</x:f>
        <x:v>0.32023809523809527</x:v>
      </x:c>
      <x:c r="I4849" s="382" t="n">
        <x:f>SUMIFS('Climate Data'!$H$7:$H$366,'Climate Data'!$A$7:$A$366,'Estimator'!$B$4,'Climate Data'!$B$7:$B$366,C4849)</x:f>
        <x:v>9.066171003717471</x:v>
      </x:c>
      <x:c r="J4849" s="381" t="n">
        <x:f>SUMIFS('Wind Proxy'!$H$8:$H$19,'Wind Proxy'!$A$8:$A$19,'Estimator'!$B$4,'Wind Proxy'!$B$8:$B$19,C4849)</x:f>
        <x:v>0.11728395061728397</x:v>
      </x:c>
    </x:row>
    <x:row r="4850">
      <x:c r="A4850" s="379" t="n">
        <x:v>50501</x:v>
      </x:c>
      <x:c r="B4850" s="380" t="n">
        <x:v>2038</x:v>
      </x:c>
      <x:c r="C4850" s="380" t="n">
        <x:v>4</x:v>
      </x:c>
      <x:c r="D4850" s="380" t="str">
        <x:v>Apr</x:v>
      </x:c>
      <x:c r="E4850" s="380" t="n">
        <x:v>6</x:v>
      </x:c>
      <x:c r="F4850" s="380" t="n">
        <x:v>2</x:v>
      </x:c>
      <x:c r="G4850" s="380" t="n">
        <x:f>--(F4850&lt;='Estimator'!$B$7)</x:f>
        <x:v>1</x:v>
      </x:c>
      <x:c r="H4850" s="381" t="n">
        <x:f>SUMIFS('Climate Data'!$G$7:$G$366,'Climate Data'!$A$7:$A$366,'Estimator'!$B$4,'Climate Data'!$B$7:$B$366,C4850)</x:f>
        <x:v>0.32023809523809527</x:v>
      </x:c>
      <x:c r="I4850" s="382" t="n">
        <x:f>SUMIFS('Climate Data'!$H$7:$H$366,'Climate Data'!$A$7:$A$366,'Estimator'!$B$4,'Climate Data'!$B$7:$B$366,C4850)</x:f>
        <x:v>9.066171003717471</x:v>
      </x:c>
      <x:c r="J4850" s="381" t="n">
        <x:f>SUMIFS('Wind Proxy'!$H$8:$H$19,'Wind Proxy'!$A$8:$A$19,'Estimator'!$B$4,'Wind Proxy'!$B$8:$B$19,C4850)</x:f>
        <x:v>0.11728395061728397</x:v>
      </x:c>
    </x:row>
    <x:row r="4851">
      <x:c r="A4851" s="379" t="n">
        <x:v>50502</x:v>
      </x:c>
      <x:c r="B4851" s="380" t="n">
        <x:v>2038</x:v>
      </x:c>
      <x:c r="C4851" s="380" t="n">
        <x:v>4</x:v>
      </x:c>
      <x:c r="D4851" s="380" t="str">
        <x:v>Apr</x:v>
      </x:c>
      <x:c r="E4851" s="380" t="n">
        <x:v>7</x:v>
      </x:c>
      <x:c r="F4851" s="380" t="n">
        <x:v>3</x:v>
      </x:c>
      <x:c r="G4851" s="380" t="n">
        <x:f>--(F4851&lt;='Estimator'!$B$7)</x:f>
        <x:v>1</x:v>
      </x:c>
      <x:c r="H4851" s="381" t="n">
        <x:f>SUMIFS('Climate Data'!$G$7:$G$366,'Climate Data'!$A$7:$A$366,'Estimator'!$B$4,'Climate Data'!$B$7:$B$366,C4851)</x:f>
        <x:v>0.32023809523809527</x:v>
      </x:c>
      <x:c r="I4851" s="382" t="n">
        <x:f>SUMIFS('Climate Data'!$H$7:$H$366,'Climate Data'!$A$7:$A$366,'Estimator'!$B$4,'Climate Data'!$B$7:$B$366,C4851)</x:f>
        <x:v>9.066171003717471</x:v>
      </x:c>
      <x:c r="J4851" s="381" t="n">
        <x:f>SUMIFS('Wind Proxy'!$H$8:$H$19,'Wind Proxy'!$A$8:$A$19,'Estimator'!$B$4,'Wind Proxy'!$B$8:$B$19,C4851)</x:f>
        <x:v>0.11728395061728397</x:v>
      </x:c>
    </x:row>
    <x:row r="4852">
      <x:c r="A4852" s="379" t="n">
        <x:v>50503</x:v>
      </x:c>
      <x:c r="B4852" s="380" t="n">
        <x:v>2038</x:v>
      </x:c>
      <x:c r="C4852" s="380" t="n">
        <x:v>4</x:v>
      </x:c>
      <x:c r="D4852" s="380" t="str">
        <x:v>Apr</x:v>
      </x:c>
      <x:c r="E4852" s="380" t="n">
        <x:v>8</x:v>
      </x:c>
      <x:c r="F4852" s="380" t="n">
        <x:v>4</x:v>
      </x:c>
      <x:c r="G4852" s="380" t="n">
        <x:f>--(F4852&lt;='Estimator'!$B$7)</x:f>
        <x:v>1</x:v>
      </x:c>
      <x:c r="H4852" s="381" t="n">
        <x:f>SUMIFS('Climate Data'!$G$7:$G$366,'Climate Data'!$A$7:$A$366,'Estimator'!$B$4,'Climate Data'!$B$7:$B$366,C4852)</x:f>
        <x:v>0.32023809523809527</x:v>
      </x:c>
      <x:c r="I4852" s="382" t="n">
        <x:f>SUMIFS('Climate Data'!$H$7:$H$366,'Climate Data'!$A$7:$A$366,'Estimator'!$B$4,'Climate Data'!$B$7:$B$366,C4852)</x:f>
        <x:v>9.066171003717471</x:v>
      </x:c>
      <x:c r="J4852" s="381" t="n">
        <x:f>SUMIFS('Wind Proxy'!$H$8:$H$19,'Wind Proxy'!$A$8:$A$19,'Estimator'!$B$4,'Wind Proxy'!$B$8:$B$19,C4852)</x:f>
        <x:v>0.11728395061728397</x:v>
      </x:c>
    </x:row>
    <x:row r="4853">
      <x:c r="A4853" s="379" t="n">
        <x:v>50504</x:v>
      </x:c>
      <x:c r="B4853" s="380" t="n">
        <x:v>2038</x:v>
      </x:c>
      <x:c r="C4853" s="380" t="n">
        <x:v>4</x:v>
      </x:c>
      <x:c r="D4853" s="380" t="str">
        <x:v>Apr</x:v>
      </x:c>
      <x:c r="E4853" s="380" t="n">
        <x:v>9</x:v>
      </x:c>
      <x:c r="F4853" s="380" t="n">
        <x:v>5</x:v>
      </x:c>
      <x:c r="G4853" s="380" t="n">
        <x:f>--(F4853&lt;='Estimator'!$B$7)</x:f>
        <x:v>1</x:v>
      </x:c>
      <x:c r="H4853" s="381" t="n">
        <x:f>SUMIFS('Climate Data'!$G$7:$G$366,'Climate Data'!$A$7:$A$366,'Estimator'!$B$4,'Climate Data'!$B$7:$B$366,C4853)</x:f>
        <x:v>0.32023809523809527</x:v>
      </x:c>
      <x:c r="I4853" s="382" t="n">
        <x:f>SUMIFS('Climate Data'!$H$7:$H$366,'Climate Data'!$A$7:$A$366,'Estimator'!$B$4,'Climate Data'!$B$7:$B$366,C4853)</x:f>
        <x:v>9.066171003717471</x:v>
      </x:c>
      <x:c r="J4853" s="381" t="n">
        <x:f>SUMIFS('Wind Proxy'!$H$8:$H$19,'Wind Proxy'!$A$8:$A$19,'Estimator'!$B$4,'Wind Proxy'!$B$8:$B$19,C4853)</x:f>
        <x:v>0.11728395061728397</x:v>
      </x:c>
    </x:row>
    <x:row r="4854">
      <x:c r="A4854" s="379" t="n">
        <x:v>50505</x:v>
      </x:c>
      <x:c r="B4854" s="380" t="n">
        <x:v>2038</x:v>
      </x:c>
      <x:c r="C4854" s="380" t="n">
        <x:v>4</x:v>
      </x:c>
      <x:c r="D4854" s="380" t="str">
        <x:v>Apr</x:v>
      </x:c>
      <x:c r="E4854" s="380" t="n">
        <x:v>10</x:v>
      </x:c>
      <x:c r="F4854" s="380" t="n">
        <x:v>6</x:v>
      </x:c>
      <x:c r="G4854" s="380" t="n">
        <x:f>--(F4854&lt;='Estimator'!$B$7)</x:f>
        <x:v>0</x:v>
      </x:c>
      <x:c r="H4854" s="381" t="n">
        <x:f>SUMIFS('Climate Data'!$G$7:$G$366,'Climate Data'!$A$7:$A$366,'Estimator'!$B$4,'Climate Data'!$B$7:$B$366,C4854)</x:f>
        <x:v>0.32023809523809527</x:v>
      </x:c>
      <x:c r="I4854" s="382" t="n">
        <x:f>SUMIFS('Climate Data'!$H$7:$H$366,'Climate Data'!$A$7:$A$366,'Estimator'!$B$4,'Climate Data'!$B$7:$B$366,C4854)</x:f>
        <x:v>9.066171003717471</x:v>
      </x:c>
      <x:c r="J4854" s="381" t="n">
        <x:f>SUMIFS('Wind Proxy'!$H$8:$H$19,'Wind Proxy'!$A$8:$A$19,'Estimator'!$B$4,'Wind Proxy'!$B$8:$B$19,C4854)</x:f>
        <x:v>0.11728395061728397</x:v>
      </x:c>
    </x:row>
    <x:row r="4855">
      <x:c r="A4855" s="379" t="n">
        <x:v>50506</x:v>
      </x:c>
      <x:c r="B4855" s="380" t="n">
        <x:v>2038</x:v>
      </x:c>
      <x:c r="C4855" s="380" t="n">
        <x:v>4</x:v>
      </x:c>
      <x:c r="D4855" s="380" t="str">
        <x:v>Apr</x:v>
      </x:c>
      <x:c r="E4855" s="380" t="n">
        <x:v>11</x:v>
      </x:c>
      <x:c r="F4855" s="380" t="n">
        <x:v>7</x:v>
      </x:c>
      <x:c r="G4855" s="380" t="n">
        <x:f>--(F4855&lt;='Estimator'!$B$7)</x:f>
        <x:v>0</x:v>
      </x:c>
      <x:c r="H4855" s="381" t="n">
        <x:f>SUMIFS('Climate Data'!$G$7:$G$366,'Climate Data'!$A$7:$A$366,'Estimator'!$B$4,'Climate Data'!$B$7:$B$366,C4855)</x:f>
        <x:v>0.32023809523809527</x:v>
      </x:c>
      <x:c r="I4855" s="382" t="n">
        <x:f>SUMIFS('Climate Data'!$H$7:$H$366,'Climate Data'!$A$7:$A$366,'Estimator'!$B$4,'Climate Data'!$B$7:$B$366,C4855)</x:f>
        <x:v>9.066171003717471</x:v>
      </x:c>
      <x:c r="J4855" s="381" t="n">
        <x:f>SUMIFS('Wind Proxy'!$H$8:$H$19,'Wind Proxy'!$A$8:$A$19,'Estimator'!$B$4,'Wind Proxy'!$B$8:$B$19,C4855)</x:f>
        <x:v>0.11728395061728397</x:v>
      </x:c>
    </x:row>
    <x:row r="4856">
      <x:c r="A4856" s="379" t="n">
        <x:v>50507</x:v>
      </x:c>
      <x:c r="B4856" s="380" t="n">
        <x:v>2038</x:v>
      </x:c>
      <x:c r="C4856" s="380" t="n">
        <x:v>4</x:v>
      </x:c>
      <x:c r="D4856" s="380" t="str">
        <x:v>Apr</x:v>
      </x:c>
      <x:c r="E4856" s="380" t="n">
        <x:v>12</x:v>
      </x:c>
      <x:c r="F4856" s="380" t="n">
        <x:v>1</x:v>
      </x:c>
      <x:c r="G4856" s="380" t="n">
        <x:f>--(F4856&lt;='Estimator'!$B$7)</x:f>
        <x:v>1</x:v>
      </x:c>
      <x:c r="H4856" s="381" t="n">
        <x:f>SUMIFS('Climate Data'!$G$7:$G$366,'Climate Data'!$A$7:$A$366,'Estimator'!$B$4,'Climate Data'!$B$7:$B$366,C4856)</x:f>
        <x:v>0.32023809523809527</x:v>
      </x:c>
      <x:c r="I4856" s="382" t="n">
        <x:f>SUMIFS('Climate Data'!$H$7:$H$366,'Climate Data'!$A$7:$A$366,'Estimator'!$B$4,'Climate Data'!$B$7:$B$366,C4856)</x:f>
        <x:v>9.066171003717471</x:v>
      </x:c>
      <x:c r="J4856" s="381" t="n">
        <x:f>SUMIFS('Wind Proxy'!$H$8:$H$19,'Wind Proxy'!$A$8:$A$19,'Estimator'!$B$4,'Wind Proxy'!$B$8:$B$19,C4856)</x:f>
        <x:v>0.11728395061728397</x:v>
      </x:c>
    </x:row>
    <x:row r="4857">
      <x:c r="A4857" s="379" t="n">
        <x:v>50508</x:v>
      </x:c>
      <x:c r="B4857" s="380" t="n">
        <x:v>2038</x:v>
      </x:c>
      <x:c r="C4857" s="380" t="n">
        <x:v>4</x:v>
      </x:c>
      <x:c r="D4857" s="380" t="str">
        <x:v>Apr</x:v>
      </x:c>
      <x:c r="E4857" s="380" t="n">
        <x:v>13</x:v>
      </x:c>
      <x:c r="F4857" s="380" t="n">
        <x:v>2</x:v>
      </x:c>
      <x:c r="G4857" s="380" t="n">
        <x:f>--(F4857&lt;='Estimator'!$B$7)</x:f>
        <x:v>1</x:v>
      </x:c>
      <x:c r="H4857" s="381" t="n">
        <x:f>SUMIFS('Climate Data'!$G$7:$G$366,'Climate Data'!$A$7:$A$366,'Estimator'!$B$4,'Climate Data'!$B$7:$B$366,C4857)</x:f>
        <x:v>0.32023809523809527</x:v>
      </x:c>
      <x:c r="I4857" s="382" t="n">
        <x:f>SUMIFS('Climate Data'!$H$7:$H$366,'Climate Data'!$A$7:$A$366,'Estimator'!$B$4,'Climate Data'!$B$7:$B$366,C4857)</x:f>
        <x:v>9.066171003717471</x:v>
      </x:c>
      <x:c r="J4857" s="381" t="n">
        <x:f>SUMIFS('Wind Proxy'!$H$8:$H$19,'Wind Proxy'!$A$8:$A$19,'Estimator'!$B$4,'Wind Proxy'!$B$8:$B$19,C4857)</x:f>
        <x:v>0.11728395061728397</x:v>
      </x:c>
    </x:row>
    <x:row r="4858">
      <x:c r="A4858" s="379" t="n">
        <x:v>50509</x:v>
      </x:c>
      <x:c r="B4858" s="380" t="n">
        <x:v>2038</x:v>
      </x:c>
      <x:c r="C4858" s="380" t="n">
        <x:v>4</x:v>
      </x:c>
      <x:c r="D4858" s="380" t="str">
        <x:v>Apr</x:v>
      </x:c>
      <x:c r="E4858" s="380" t="n">
        <x:v>14</x:v>
      </x:c>
      <x:c r="F4858" s="380" t="n">
        <x:v>3</x:v>
      </x:c>
      <x:c r="G4858" s="380" t="n">
        <x:f>--(F4858&lt;='Estimator'!$B$7)</x:f>
        <x:v>1</x:v>
      </x:c>
      <x:c r="H4858" s="381" t="n">
        <x:f>SUMIFS('Climate Data'!$G$7:$G$366,'Climate Data'!$A$7:$A$366,'Estimator'!$B$4,'Climate Data'!$B$7:$B$366,C4858)</x:f>
        <x:v>0.32023809523809527</x:v>
      </x:c>
      <x:c r="I4858" s="382" t="n">
        <x:f>SUMIFS('Climate Data'!$H$7:$H$366,'Climate Data'!$A$7:$A$366,'Estimator'!$B$4,'Climate Data'!$B$7:$B$366,C4858)</x:f>
        <x:v>9.066171003717471</x:v>
      </x:c>
      <x:c r="J4858" s="381" t="n">
        <x:f>SUMIFS('Wind Proxy'!$H$8:$H$19,'Wind Proxy'!$A$8:$A$19,'Estimator'!$B$4,'Wind Proxy'!$B$8:$B$19,C4858)</x:f>
        <x:v>0.11728395061728397</x:v>
      </x:c>
    </x:row>
    <x:row r="4859">
      <x:c r="A4859" s="379" t="n">
        <x:v>50510</x:v>
      </x:c>
      <x:c r="B4859" s="380" t="n">
        <x:v>2038</x:v>
      </x:c>
      <x:c r="C4859" s="380" t="n">
        <x:v>4</x:v>
      </x:c>
      <x:c r="D4859" s="380" t="str">
        <x:v>Apr</x:v>
      </x:c>
      <x:c r="E4859" s="380" t="n">
        <x:v>15</x:v>
      </x:c>
      <x:c r="F4859" s="380" t="n">
        <x:v>4</x:v>
      </x:c>
      <x:c r="G4859" s="380" t="n">
        <x:f>--(F4859&lt;='Estimator'!$B$7)</x:f>
        <x:v>1</x:v>
      </x:c>
      <x:c r="H4859" s="381" t="n">
        <x:f>SUMIFS('Climate Data'!$G$7:$G$366,'Climate Data'!$A$7:$A$366,'Estimator'!$B$4,'Climate Data'!$B$7:$B$366,C4859)</x:f>
        <x:v>0.32023809523809527</x:v>
      </x:c>
      <x:c r="I4859" s="382" t="n">
        <x:f>SUMIFS('Climate Data'!$H$7:$H$366,'Climate Data'!$A$7:$A$366,'Estimator'!$B$4,'Climate Data'!$B$7:$B$366,C4859)</x:f>
        <x:v>9.066171003717471</x:v>
      </x:c>
      <x:c r="J4859" s="381" t="n">
        <x:f>SUMIFS('Wind Proxy'!$H$8:$H$19,'Wind Proxy'!$A$8:$A$19,'Estimator'!$B$4,'Wind Proxy'!$B$8:$B$19,C4859)</x:f>
        <x:v>0.11728395061728397</x:v>
      </x:c>
    </x:row>
    <x:row r="4860">
      <x:c r="A4860" s="379" t="n">
        <x:v>50511</x:v>
      </x:c>
      <x:c r="B4860" s="380" t="n">
        <x:v>2038</x:v>
      </x:c>
      <x:c r="C4860" s="380" t="n">
        <x:v>4</x:v>
      </x:c>
      <x:c r="D4860" s="380" t="str">
        <x:v>Apr</x:v>
      </x:c>
      <x:c r="E4860" s="380" t="n">
        <x:v>16</x:v>
      </x:c>
      <x:c r="F4860" s="380" t="n">
        <x:v>5</x:v>
      </x:c>
      <x:c r="G4860" s="380" t="n">
        <x:f>--(F4860&lt;='Estimator'!$B$7)</x:f>
        <x:v>1</x:v>
      </x:c>
      <x:c r="H4860" s="381" t="n">
        <x:f>SUMIFS('Climate Data'!$G$7:$G$366,'Climate Data'!$A$7:$A$366,'Estimator'!$B$4,'Climate Data'!$B$7:$B$366,C4860)</x:f>
        <x:v>0.32023809523809527</x:v>
      </x:c>
      <x:c r="I4860" s="382" t="n">
        <x:f>SUMIFS('Climate Data'!$H$7:$H$366,'Climate Data'!$A$7:$A$366,'Estimator'!$B$4,'Climate Data'!$B$7:$B$366,C4860)</x:f>
        <x:v>9.066171003717471</x:v>
      </x:c>
      <x:c r="J4860" s="381" t="n">
        <x:f>SUMIFS('Wind Proxy'!$H$8:$H$19,'Wind Proxy'!$A$8:$A$19,'Estimator'!$B$4,'Wind Proxy'!$B$8:$B$19,C4860)</x:f>
        <x:v>0.11728395061728397</x:v>
      </x:c>
    </x:row>
    <x:row r="4861">
      <x:c r="A4861" s="379" t="n">
        <x:v>50512</x:v>
      </x:c>
      <x:c r="B4861" s="380" t="n">
        <x:v>2038</x:v>
      </x:c>
      <x:c r="C4861" s="380" t="n">
        <x:v>4</x:v>
      </x:c>
      <x:c r="D4861" s="380" t="str">
        <x:v>Apr</x:v>
      </x:c>
      <x:c r="E4861" s="380" t="n">
        <x:v>17</x:v>
      </x:c>
      <x:c r="F4861" s="380" t="n">
        <x:v>6</x:v>
      </x:c>
      <x:c r="G4861" s="380" t="n">
        <x:f>--(F4861&lt;='Estimator'!$B$7)</x:f>
        <x:v>0</x:v>
      </x:c>
      <x:c r="H4861" s="381" t="n">
        <x:f>SUMIFS('Climate Data'!$G$7:$G$366,'Climate Data'!$A$7:$A$366,'Estimator'!$B$4,'Climate Data'!$B$7:$B$366,C4861)</x:f>
        <x:v>0.32023809523809527</x:v>
      </x:c>
      <x:c r="I4861" s="382" t="n">
        <x:f>SUMIFS('Climate Data'!$H$7:$H$366,'Climate Data'!$A$7:$A$366,'Estimator'!$B$4,'Climate Data'!$B$7:$B$366,C4861)</x:f>
        <x:v>9.066171003717471</x:v>
      </x:c>
      <x:c r="J4861" s="381" t="n">
        <x:f>SUMIFS('Wind Proxy'!$H$8:$H$19,'Wind Proxy'!$A$8:$A$19,'Estimator'!$B$4,'Wind Proxy'!$B$8:$B$19,C4861)</x:f>
        <x:v>0.11728395061728397</x:v>
      </x:c>
    </x:row>
    <x:row r="4862">
      <x:c r="A4862" s="379" t="n">
        <x:v>50513</x:v>
      </x:c>
      <x:c r="B4862" s="380" t="n">
        <x:v>2038</x:v>
      </x:c>
      <x:c r="C4862" s="380" t="n">
        <x:v>4</x:v>
      </x:c>
      <x:c r="D4862" s="380" t="str">
        <x:v>Apr</x:v>
      </x:c>
      <x:c r="E4862" s="380" t="n">
        <x:v>18</x:v>
      </x:c>
      <x:c r="F4862" s="380" t="n">
        <x:v>7</x:v>
      </x:c>
      <x:c r="G4862" s="380" t="n">
        <x:f>--(F4862&lt;='Estimator'!$B$7)</x:f>
        <x:v>0</x:v>
      </x:c>
      <x:c r="H4862" s="381" t="n">
        <x:f>SUMIFS('Climate Data'!$G$7:$G$366,'Climate Data'!$A$7:$A$366,'Estimator'!$B$4,'Climate Data'!$B$7:$B$366,C4862)</x:f>
        <x:v>0.32023809523809527</x:v>
      </x:c>
      <x:c r="I4862" s="382" t="n">
        <x:f>SUMIFS('Climate Data'!$H$7:$H$366,'Climate Data'!$A$7:$A$366,'Estimator'!$B$4,'Climate Data'!$B$7:$B$366,C4862)</x:f>
        <x:v>9.066171003717471</x:v>
      </x:c>
      <x:c r="J4862" s="381" t="n">
        <x:f>SUMIFS('Wind Proxy'!$H$8:$H$19,'Wind Proxy'!$A$8:$A$19,'Estimator'!$B$4,'Wind Proxy'!$B$8:$B$19,C4862)</x:f>
        <x:v>0.11728395061728397</x:v>
      </x:c>
    </x:row>
    <x:row r="4863">
      <x:c r="A4863" s="379" t="n">
        <x:v>50514</x:v>
      </x:c>
      <x:c r="B4863" s="380" t="n">
        <x:v>2038</x:v>
      </x:c>
      <x:c r="C4863" s="380" t="n">
        <x:v>4</x:v>
      </x:c>
      <x:c r="D4863" s="380" t="str">
        <x:v>Apr</x:v>
      </x:c>
      <x:c r="E4863" s="380" t="n">
        <x:v>19</x:v>
      </x:c>
      <x:c r="F4863" s="380" t="n">
        <x:v>1</x:v>
      </x:c>
      <x:c r="G4863" s="380" t="n">
        <x:f>--(F4863&lt;='Estimator'!$B$7)</x:f>
        <x:v>1</x:v>
      </x:c>
      <x:c r="H4863" s="381" t="n">
        <x:f>SUMIFS('Climate Data'!$G$7:$G$366,'Climate Data'!$A$7:$A$366,'Estimator'!$B$4,'Climate Data'!$B$7:$B$366,C4863)</x:f>
        <x:v>0.32023809523809527</x:v>
      </x:c>
      <x:c r="I4863" s="382" t="n">
        <x:f>SUMIFS('Climate Data'!$H$7:$H$366,'Climate Data'!$A$7:$A$366,'Estimator'!$B$4,'Climate Data'!$B$7:$B$366,C4863)</x:f>
        <x:v>9.066171003717471</x:v>
      </x:c>
      <x:c r="J4863" s="381" t="n">
        <x:f>SUMIFS('Wind Proxy'!$H$8:$H$19,'Wind Proxy'!$A$8:$A$19,'Estimator'!$B$4,'Wind Proxy'!$B$8:$B$19,C4863)</x:f>
        <x:v>0.11728395061728397</x:v>
      </x:c>
    </x:row>
    <x:row r="4864">
      <x:c r="A4864" s="379" t="n">
        <x:v>50515</x:v>
      </x:c>
      <x:c r="B4864" s="380" t="n">
        <x:v>2038</x:v>
      </x:c>
      <x:c r="C4864" s="380" t="n">
        <x:v>4</x:v>
      </x:c>
      <x:c r="D4864" s="380" t="str">
        <x:v>Apr</x:v>
      </x:c>
      <x:c r="E4864" s="380" t="n">
        <x:v>20</x:v>
      </x:c>
      <x:c r="F4864" s="380" t="n">
        <x:v>2</x:v>
      </x:c>
      <x:c r="G4864" s="380" t="n">
        <x:f>--(F4864&lt;='Estimator'!$B$7)</x:f>
        <x:v>1</x:v>
      </x:c>
      <x:c r="H4864" s="381" t="n">
        <x:f>SUMIFS('Climate Data'!$G$7:$G$366,'Climate Data'!$A$7:$A$366,'Estimator'!$B$4,'Climate Data'!$B$7:$B$366,C4864)</x:f>
        <x:v>0.32023809523809527</x:v>
      </x:c>
      <x:c r="I4864" s="382" t="n">
        <x:f>SUMIFS('Climate Data'!$H$7:$H$366,'Climate Data'!$A$7:$A$366,'Estimator'!$B$4,'Climate Data'!$B$7:$B$366,C4864)</x:f>
        <x:v>9.066171003717471</x:v>
      </x:c>
      <x:c r="J4864" s="381" t="n">
        <x:f>SUMIFS('Wind Proxy'!$H$8:$H$19,'Wind Proxy'!$A$8:$A$19,'Estimator'!$B$4,'Wind Proxy'!$B$8:$B$19,C4864)</x:f>
        <x:v>0.11728395061728397</x:v>
      </x:c>
    </x:row>
    <x:row r="4865">
      <x:c r="A4865" s="379" t="n">
        <x:v>50516</x:v>
      </x:c>
      <x:c r="B4865" s="380" t="n">
        <x:v>2038</x:v>
      </x:c>
      <x:c r="C4865" s="380" t="n">
        <x:v>4</x:v>
      </x:c>
      <x:c r="D4865" s="380" t="str">
        <x:v>Apr</x:v>
      </x:c>
      <x:c r="E4865" s="380" t="n">
        <x:v>21</x:v>
      </x:c>
      <x:c r="F4865" s="380" t="n">
        <x:v>3</x:v>
      </x:c>
      <x:c r="G4865" s="380" t="n">
        <x:f>--(F4865&lt;='Estimator'!$B$7)</x:f>
        <x:v>1</x:v>
      </x:c>
      <x:c r="H4865" s="381" t="n">
        <x:f>SUMIFS('Climate Data'!$G$7:$G$366,'Climate Data'!$A$7:$A$366,'Estimator'!$B$4,'Climate Data'!$B$7:$B$366,C4865)</x:f>
        <x:v>0.32023809523809527</x:v>
      </x:c>
      <x:c r="I4865" s="382" t="n">
        <x:f>SUMIFS('Climate Data'!$H$7:$H$366,'Climate Data'!$A$7:$A$366,'Estimator'!$B$4,'Climate Data'!$B$7:$B$366,C4865)</x:f>
        <x:v>9.066171003717471</x:v>
      </x:c>
      <x:c r="J4865" s="381" t="n">
        <x:f>SUMIFS('Wind Proxy'!$H$8:$H$19,'Wind Proxy'!$A$8:$A$19,'Estimator'!$B$4,'Wind Proxy'!$B$8:$B$19,C4865)</x:f>
        <x:v>0.11728395061728397</x:v>
      </x:c>
    </x:row>
    <x:row r="4866">
      <x:c r="A4866" s="379" t="n">
        <x:v>50517</x:v>
      </x:c>
      <x:c r="B4866" s="380" t="n">
        <x:v>2038</x:v>
      </x:c>
      <x:c r="C4866" s="380" t="n">
        <x:v>4</x:v>
      </x:c>
      <x:c r="D4866" s="380" t="str">
        <x:v>Apr</x:v>
      </x:c>
      <x:c r="E4866" s="380" t="n">
        <x:v>22</x:v>
      </x:c>
      <x:c r="F4866" s="380" t="n">
        <x:v>4</x:v>
      </x:c>
      <x:c r="G4866" s="380" t="n">
        <x:f>--(F4866&lt;='Estimator'!$B$7)</x:f>
        <x:v>1</x:v>
      </x:c>
      <x:c r="H4866" s="381" t="n">
        <x:f>SUMIFS('Climate Data'!$G$7:$G$366,'Climate Data'!$A$7:$A$366,'Estimator'!$B$4,'Climate Data'!$B$7:$B$366,C4866)</x:f>
        <x:v>0.32023809523809527</x:v>
      </x:c>
      <x:c r="I4866" s="382" t="n">
        <x:f>SUMIFS('Climate Data'!$H$7:$H$366,'Climate Data'!$A$7:$A$366,'Estimator'!$B$4,'Climate Data'!$B$7:$B$366,C4866)</x:f>
        <x:v>9.066171003717471</x:v>
      </x:c>
      <x:c r="J4866" s="381" t="n">
        <x:f>SUMIFS('Wind Proxy'!$H$8:$H$19,'Wind Proxy'!$A$8:$A$19,'Estimator'!$B$4,'Wind Proxy'!$B$8:$B$19,C4866)</x:f>
        <x:v>0.11728395061728397</x:v>
      </x:c>
    </x:row>
    <x:row r="4867">
      <x:c r="A4867" s="379" t="n">
        <x:v>50518</x:v>
      </x:c>
      <x:c r="B4867" s="380" t="n">
        <x:v>2038</x:v>
      </x:c>
      <x:c r="C4867" s="380" t="n">
        <x:v>4</x:v>
      </x:c>
      <x:c r="D4867" s="380" t="str">
        <x:v>Apr</x:v>
      </x:c>
      <x:c r="E4867" s="380" t="n">
        <x:v>23</x:v>
      </x:c>
      <x:c r="F4867" s="380" t="n">
        <x:v>5</x:v>
      </x:c>
      <x:c r="G4867" s="380" t="n">
        <x:f>--(F4867&lt;='Estimator'!$B$7)</x:f>
        <x:v>1</x:v>
      </x:c>
      <x:c r="H4867" s="381" t="n">
        <x:f>SUMIFS('Climate Data'!$G$7:$G$366,'Climate Data'!$A$7:$A$366,'Estimator'!$B$4,'Climate Data'!$B$7:$B$366,C4867)</x:f>
        <x:v>0.32023809523809527</x:v>
      </x:c>
      <x:c r="I4867" s="382" t="n">
        <x:f>SUMIFS('Climate Data'!$H$7:$H$366,'Climate Data'!$A$7:$A$366,'Estimator'!$B$4,'Climate Data'!$B$7:$B$366,C4867)</x:f>
        <x:v>9.066171003717471</x:v>
      </x:c>
      <x:c r="J4867" s="381" t="n">
        <x:f>SUMIFS('Wind Proxy'!$H$8:$H$19,'Wind Proxy'!$A$8:$A$19,'Estimator'!$B$4,'Wind Proxy'!$B$8:$B$19,C4867)</x:f>
        <x:v>0.11728395061728397</x:v>
      </x:c>
    </x:row>
    <x:row r="4868">
      <x:c r="A4868" s="379" t="n">
        <x:v>50519</x:v>
      </x:c>
      <x:c r="B4868" s="380" t="n">
        <x:v>2038</x:v>
      </x:c>
      <x:c r="C4868" s="380" t="n">
        <x:v>4</x:v>
      </x:c>
      <x:c r="D4868" s="380" t="str">
        <x:v>Apr</x:v>
      </x:c>
      <x:c r="E4868" s="380" t="n">
        <x:v>24</x:v>
      </x:c>
      <x:c r="F4868" s="380" t="n">
        <x:v>6</x:v>
      </x:c>
      <x:c r="G4868" s="380" t="n">
        <x:f>--(F4868&lt;='Estimator'!$B$7)</x:f>
        <x:v>0</x:v>
      </x:c>
      <x:c r="H4868" s="381" t="n">
        <x:f>SUMIFS('Climate Data'!$G$7:$G$366,'Climate Data'!$A$7:$A$366,'Estimator'!$B$4,'Climate Data'!$B$7:$B$366,C4868)</x:f>
        <x:v>0.32023809523809527</x:v>
      </x:c>
      <x:c r="I4868" s="382" t="n">
        <x:f>SUMIFS('Climate Data'!$H$7:$H$366,'Climate Data'!$A$7:$A$366,'Estimator'!$B$4,'Climate Data'!$B$7:$B$366,C4868)</x:f>
        <x:v>9.066171003717471</x:v>
      </x:c>
      <x:c r="J4868" s="381" t="n">
        <x:f>SUMIFS('Wind Proxy'!$H$8:$H$19,'Wind Proxy'!$A$8:$A$19,'Estimator'!$B$4,'Wind Proxy'!$B$8:$B$19,C4868)</x:f>
        <x:v>0.11728395061728397</x:v>
      </x:c>
    </x:row>
    <x:row r="4869">
      <x:c r="A4869" s="379" t="n">
        <x:v>50520</x:v>
      </x:c>
      <x:c r="B4869" s="380" t="n">
        <x:v>2038</x:v>
      </x:c>
      <x:c r="C4869" s="380" t="n">
        <x:v>4</x:v>
      </x:c>
      <x:c r="D4869" s="380" t="str">
        <x:v>Apr</x:v>
      </x:c>
      <x:c r="E4869" s="380" t="n">
        <x:v>25</x:v>
      </x:c>
      <x:c r="F4869" s="380" t="n">
        <x:v>7</x:v>
      </x:c>
      <x:c r="G4869" s="380" t="n">
        <x:f>--(F4869&lt;='Estimator'!$B$7)</x:f>
        <x:v>0</x:v>
      </x:c>
      <x:c r="H4869" s="381" t="n">
        <x:f>SUMIFS('Climate Data'!$G$7:$G$366,'Climate Data'!$A$7:$A$366,'Estimator'!$B$4,'Climate Data'!$B$7:$B$366,C4869)</x:f>
        <x:v>0.32023809523809527</x:v>
      </x:c>
      <x:c r="I4869" s="382" t="n">
        <x:f>SUMIFS('Climate Data'!$H$7:$H$366,'Climate Data'!$A$7:$A$366,'Estimator'!$B$4,'Climate Data'!$B$7:$B$366,C4869)</x:f>
        <x:v>9.066171003717471</x:v>
      </x:c>
      <x:c r="J4869" s="381" t="n">
        <x:f>SUMIFS('Wind Proxy'!$H$8:$H$19,'Wind Proxy'!$A$8:$A$19,'Estimator'!$B$4,'Wind Proxy'!$B$8:$B$19,C4869)</x:f>
        <x:v>0.11728395061728397</x:v>
      </x:c>
    </x:row>
    <x:row r="4870">
      <x:c r="A4870" s="379" t="n">
        <x:v>50521</x:v>
      </x:c>
      <x:c r="B4870" s="380" t="n">
        <x:v>2038</x:v>
      </x:c>
      <x:c r="C4870" s="380" t="n">
        <x:v>4</x:v>
      </x:c>
      <x:c r="D4870" s="380" t="str">
        <x:v>Apr</x:v>
      </x:c>
      <x:c r="E4870" s="380" t="n">
        <x:v>26</x:v>
      </x:c>
      <x:c r="F4870" s="380" t="n">
        <x:v>1</x:v>
      </x:c>
      <x:c r="G4870" s="380" t="n">
        <x:f>--(F4870&lt;='Estimator'!$B$7)</x:f>
        <x:v>1</x:v>
      </x:c>
      <x:c r="H4870" s="381" t="n">
        <x:f>SUMIFS('Climate Data'!$G$7:$G$366,'Climate Data'!$A$7:$A$366,'Estimator'!$B$4,'Climate Data'!$B$7:$B$366,C4870)</x:f>
        <x:v>0.32023809523809527</x:v>
      </x:c>
      <x:c r="I4870" s="382" t="n">
        <x:f>SUMIFS('Climate Data'!$H$7:$H$366,'Climate Data'!$A$7:$A$366,'Estimator'!$B$4,'Climate Data'!$B$7:$B$366,C4870)</x:f>
        <x:v>9.066171003717471</x:v>
      </x:c>
      <x:c r="J4870" s="381" t="n">
        <x:f>SUMIFS('Wind Proxy'!$H$8:$H$19,'Wind Proxy'!$A$8:$A$19,'Estimator'!$B$4,'Wind Proxy'!$B$8:$B$19,C4870)</x:f>
        <x:v>0.11728395061728397</x:v>
      </x:c>
    </x:row>
    <x:row r="4871">
      <x:c r="A4871" s="379" t="n">
        <x:v>50522</x:v>
      </x:c>
      <x:c r="B4871" s="380" t="n">
        <x:v>2038</x:v>
      </x:c>
      <x:c r="C4871" s="380" t="n">
        <x:v>4</x:v>
      </x:c>
      <x:c r="D4871" s="380" t="str">
        <x:v>Apr</x:v>
      </x:c>
      <x:c r="E4871" s="380" t="n">
        <x:v>27</x:v>
      </x:c>
      <x:c r="F4871" s="380" t="n">
        <x:v>2</x:v>
      </x:c>
      <x:c r="G4871" s="380" t="n">
        <x:f>--(F4871&lt;='Estimator'!$B$7)</x:f>
        <x:v>1</x:v>
      </x:c>
      <x:c r="H4871" s="381" t="n">
        <x:f>SUMIFS('Climate Data'!$G$7:$G$366,'Climate Data'!$A$7:$A$366,'Estimator'!$B$4,'Climate Data'!$B$7:$B$366,C4871)</x:f>
        <x:v>0.32023809523809527</x:v>
      </x:c>
      <x:c r="I4871" s="382" t="n">
        <x:f>SUMIFS('Climate Data'!$H$7:$H$366,'Climate Data'!$A$7:$A$366,'Estimator'!$B$4,'Climate Data'!$B$7:$B$366,C4871)</x:f>
        <x:v>9.066171003717471</x:v>
      </x:c>
      <x:c r="J4871" s="381" t="n">
        <x:f>SUMIFS('Wind Proxy'!$H$8:$H$19,'Wind Proxy'!$A$8:$A$19,'Estimator'!$B$4,'Wind Proxy'!$B$8:$B$19,C4871)</x:f>
        <x:v>0.11728395061728397</x:v>
      </x:c>
    </x:row>
    <x:row r="4872">
      <x:c r="A4872" s="379" t="n">
        <x:v>50523</x:v>
      </x:c>
      <x:c r="B4872" s="380" t="n">
        <x:v>2038</x:v>
      </x:c>
      <x:c r="C4872" s="380" t="n">
        <x:v>4</x:v>
      </x:c>
      <x:c r="D4872" s="380" t="str">
        <x:v>Apr</x:v>
      </x:c>
      <x:c r="E4872" s="380" t="n">
        <x:v>28</x:v>
      </x:c>
      <x:c r="F4872" s="380" t="n">
        <x:v>3</x:v>
      </x:c>
      <x:c r="G4872" s="380" t="n">
        <x:f>--(F4872&lt;='Estimator'!$B$7)</x:f>
        <x:v>1</x:v>
      </x:c>
      <x:c r="H4872" s="381" t="n">
        <x:f>SUMIFS('Climate Data'!$G$7:$G$366,'Climate Data'!$A$7:$A$366,'Estimator'!$B$4,'Climate Data'!$B$7:$B$366,C4872)</x:f>
        <x:v>0.32023809523809527</x:v>
      </x:c>
      <x:c r="I4872" s="382" t="n">
        <x:f>SUMIFS('Climate Data'!$H$7:$H$366,'Climate Data'!$A$7:$A$366,'Estimator'!$B$4,'Climate Data'!$B$7:$B$366,C4872)</x:f>
        <x:v>9.066171003717471</x:v>
      </x:c>
      <x:c r="J4872" s="381" t="n">
        <x:f>SUMIFS('Wind Proxy'!$H$8:$H$19,'Wind Proxy'!$A$8:$A$19,'Estimator'!$B$4,'Wind Proxy'!$B$8:$B$19,C4872)</x:f>
        <x:v>0.11728395061728397</x:v>
      </x:c>
    </x:row>
    <x:row r="4873">
      <x:c r="A4873" s="379" t="n">
        <x:v>50524</x:v>
      </x:c>
      <x:c r="B4873" s="380" t="n">
        <x:v>2038</x:v>
      </x:c>
      <x:c r="C4873" s="380" t="n">
        <x:v>4</x:v>
      </x:c>
      <x:c r="D4873" s="380" t="str">
        <x:v>Apr</x:v>
      </x:c>
      <x:c r="E4873" s="380" t="n">
        <x:v>29</x:v>
      </x:c>
      <x:c r="F4873" s="380" t="n">
        <x:v>4</x:v>
      </x:c>
      <x:c r="G4873" s="380" t="n">
        <x:f>--(F4873&lt;='Estimator'!$B$7)</x:f>
        <x:v>1</x:v>
      </x:c>
      <x:c r="H4873" s="381" t="n">
        <x:f>SUMIFS('Climate Data'!$G$7:$G$366,'Climate Data'!$A$7:$A$366,'Estimator'!$B$4,'Climate Data'!$B$7:$B$366,C4873)</x:f>
        <x:v>0.32023809523809527</x:v>
      </x:c>
      <x:c r="I4873" s="382" t="n">
        <x:f>SUMIFS('Climate Data'!$H$7:$H$366,'Climate Data'!$A$7:$A$366,'Estimator'!$B$4,'Climate Data'!$B$7:$B$366,C4873)</x:f>
        <x:v>9.066171003717471</x:v>
      </x:c>
      <x:c r="J4873" s="381" t="n">
        <x:f>SUMIFS('Wind Proxy'!$H$8:$H$19,'Wind Proxy'!$A$8:$A$19,'Estimator'!$B$4,'Wind Proxy'!$B$8:$B$19,C4873)</x:f>
        <x:v>0.11728395061728397</x:v>
      </x:c>
    </x:row>
    <x:row r="4874">
      <x:c r="A4874" s="379" t="n">
        <x:v>50525</x:v>
      </x:c>
      <x:c r="B4874" s="380" t="n">
        <x:v>2038</x:v>
      </x:c>
      <x:c r="C4874" s="380" t="n">
        <x:v>4</x:v>
      </x:c>
      <x:c r="D4874" s="380" t="str">
        <x:v>Apr</x:v>
      </x:c>
      <x:c r="E4874" s="380" t="n">
        <x:v>30</x:v>
      </x:c>
      <x:c r="F4874" s="380" t="n">
        <x:v>5</x:v>
      </x:c>
      <x:c r="G4874" s="380" t="n">
        <x:f>--(F4874&lt;='Estimator'!$B$7)</x:f>
        <x:v>1</x:v>
      </x:c>
      <x:c r="H4874" s="381" t="n">
        <x:f>SUMIFS('Climate Data'!$G$7:$G$366,'Climate Data'!$A$7:$A$366,'Estimator'!$B$4,'Climate Data'!$B$7:$B$366,C4874)</x:f>
        <x:v>0.32023809523809527</x:v>
      </x:c>
      <x:c r="I4874" s="382" t="n">
        <x:f>SUMIFS('Climate Data'!$H$7:$H$366,'Climate Data'!$A$7:$A$366,'Estimator'!$B$4,'Climate Data'!$B$7:$B$366,C4874)</x:f>
        <x:v>9.066171003717471</x:v>
      </x:c>
      <x:c r="J4874" s="381" t="n">
        <x:f>SUMIFS('Wind Proxy'!$H$8:$H$19,'Wind Proxy'!$A$8:$A$19,'Estimator'!$B$4,'Wind Proxy'!$B$8:$B$19,C4874)</x:f>
        <x:v>0.11728395061728397</x:v>
      </x:c>
    </x:row>
    <x:row r="4875">
      <x:c r="A4875" s="379" t="n">
        <x:v>50526</x:v>
      </x:c>
      <x:c r="B4875" s="380" t="n">
        <x:v>2038</x:v>
      </x:c>
      <x:c r="C4875" s="380" t="n">
        <x:v>5</x:v>
      </x:c>
      <x:c r="D4875" s="380" t="str">
        <x:v>May</x:v>
      </x:c>
      <x:c r="E4875" s="380" t="n">
        <x:v>1</x:v>
      </x:c>
      <x:c r="F4875" s="380" t="n">
        <x:v>6</x:v>
      </x:c>
      <x:c r="G4875" s="380" t="n">
        <x:f>--(F4875&lt;='Estimator'!$B$7)</x:f>
        <x:v>0</x:v>
      </x:c>
      <x:c r="H4875" s="381" t="n">
        <x:f>SUMIFS('Climate Data'!$G$7:$G$366,'Climate Data'!$A$7:$A$366,'Estimator'!$B$4,'Climate Data'!$B$7:$B$366,C4875)</x:f>
        <x:v>0.41935483870967744</x:v>
      </x:c>
      <x:c r="I4875" s="382" t="n">
        <x:f>SUMIFS('Climate Data'!$H$7:$H$366,'Climate Data'!$A$7:$A$366,'Estimator'!$B$4,'Climate Data'!$B$7:$B$366,C4875)</x:f>
        <x:v>9.215384615384615</x:v>
      </x:c>
      <x:c r="J4875" s="381" t="n">
        <x:f>SUMIFS('Wind Proxy'!$H$8:$H$19,'Wind Proxy'!$A$8:$A$19,'Estimator'!$B$4,'Wind Proxy'!$B$8:$B$19,C4875)</x:f>
        <x:v>0.11350059737156513</x:v>
      </x:c>
    </x:row>
    <x:row r="4876">
      <x:c r="A4876" s="379" t="n">
        <x:v>50527</x:v>
      </x:c>
      <x:c r="B4876" s="380" t="n">
        <x:v>2038</x:v>
      </x:c>
      <x:c r="C4876" s="380" t="n">
        <x:v>5</x:v>
      </x:c>
      <x:c r="D4876" s="380" t="str">
        <x:v>May</x:v>
      </x:c>
      <x:c r="E4876" s="380" t="n">
        <x:v>2</x:v>
      </x:c>
      <x:c r="F4876" s="380" t="n">
        <x:v>7</x:v>
      </x:c>
      <x:c r="G4876" s="380" t="n">
        <x:f>--(F4876&lt;='Estimator'!$B$7)</x:f>
        <x:v>0</x:v>
      </x:c>
      <x:c r="H4876" s="381" t="n">
        <x:f>SUMIFS('Climate Data'!$G$7:$G$366,'Climate Data'!$A$7:$A$366,'Estimator'!$B$4,'Climate Data'!$B$7:$B$366,C4876)</x:f>
        <x:v>0.41935483870967744</x:v>
      </x:c>
      <x:c r="I4876" s="382" t="n">
        <x:f>SUMIFS('Climate Data'!$H$7:$H$366,'Climate Data'!$A$7:$A$366,'Estimator'!$B$4,'Climate Data'!$B$7:$B$366,C4876)</x:f>
        <x:v>9.215384615384615</x:v>
      </x:c>
      <x:c r="J4876" s="381" t="n">
        <x:f>SUMIFS('Wind Proxy'!$H$8:$H$19,'Wind Proxy'!$A$8:$A$19,'Estimator'!$B$4,'Wind Proxy'!$B$8:$B$19,C4876)</x:f>
        <x:v>0.11350059737156513</x:v>
      </x:c>
    </x:row>
    <x:row r="4877">
      <x:c r="A4877" s="379" t="n">
        <x:v>50528</x:v>
      </x:c>
      <x:c r="B4877" s="380" t="n">
        <x:v>2038</x:v>
      </x:c>
      <x:c r="C4877" s="380" t="n">
        <x:v>5</x:v>
      </x:c>
      <x:c r="D4877" s="380" t="str">
        <x:v>May</x:v>
      </x:c>
      <x:c r="E4877" s="380" t="n">
        <x:v>3</x:v>
      </x:c>
      <x:c r="F4877" s="380" t="n">
        <x:v>1</x:v>
      </x:c>
      <x:c r="G4877" s="380" t="n">
        <x:f>--(F4877&lt;='Estimator'!$B$7)</x:f>
        <x:v>1</x:v>
      </x:c>
      <x:c r="H4877" s="381" t="n">
        <x:f>SUMIFS('Climate Data'!$G$7:$G$366,'Climate Data'!$A$7:$A$366,'Estimator'!$B$4,'Climate Data'!$B$7:$B$366,C4877)</x:f>
        <x:v>0.41935483870967744</x:v>
      </x:c>
      <x:c r="I4877" s="382" t="n">
        <x:f>SUMIFS('Climate Data'!$H$7:$H$366,'Climate Data'!$A$7:$A$366,'Estimator'!$B$4,'Climate Data'!$B$7:$B$366,C4877)</x:f>
        <x:v>9.215384615384615</x:v>
      </x:c>
      <x:c r="J4877" s="381" t="n">
        <x:f>SUMIFS('Wind Proxy'!$H$8:$H$19,'Wind Proxy'!$A$8:$A$19,'Estimator'!$B$4,'Wind Proxy'!$B$8:$B$19,C4877)</x:f>
        <x:v>0.11350059737156513</x:v>
      </x:c>
    </x:row>
    <x:row r="4878">
      <x:c r="A4878" s="379" t="n">
        <x:v>50529</x:v>
      </x:c>
      <x:c r="B4878" s="380" t="n">
        <x:v>2038</x:v>
      </x:c>
      <x:c r="C4878" s="380" t="n">
        <x:v>5</x:v>
      </x:c>
      <x:c r="D4878" s="380" t="str">
        <x:v>May</x:v>
      </x:c>
      <x:c r="E4878" s="380" t="n">
        <x:v>4</x:v>
      </x:c>
      <x:c r="F4878" s="380" t="n">
        <x:v>2</x:v>
      </x:c>
      <x:c r="G4878" s="380" t="n">
        <x:f>--(F4878&lt;='Estimator'!$B$7)</x:f>
        <x:v>1</x:v>
      </x:c>
      <x:c r="H4878" s="381" t="n">
        <x:f>SUMIFS('Climate Data'!$G$7:$G$366,'Climate Data'!$A$7:$A$366,'Estimator'!$B$4,'Climate Data'!$B$7:$B$366,C4878)</x:f>
        <x:v>0.41935483870967744</x:v>
      </x:c>
      <x:c r="I4878" s="382" t="n">
        <x:f>SUMIFS('Climate Data'!$H$7:$H$366,'Climate Data'!$A$7:$A$366,'Estimator'!$B$4,'Climate Data'!$B$7:$B$366,C4878)</x:f>
        <x:v>9.215384615384615</x:v>
      </x:c>
      <x:c r="J4878" s="381" t="n">
        <x:f>SUMIFS('Wind Proxy'!$H$8:$H$19,'Wind Proxy'!$A$8:$A$19,'Estimator'!$B$4,'Wind Proxy'!$B$8:$B$19,C4878)</x:f>
        <x:v>0.11350059737156513</x:v>
      </x:c>
    </x:row>
    <x:row r="4879">
      <x:c r="A4879" s="379" t="n">
        <x:v>50530</x:v>
      </x:c>
      <x:c r="B4879" s="380" t="n">
        <x:v>2038</x:v>
      </x:c>
      <x:c r="C4879" s="380" t="n">
        <x:v>5</x:v>
      </x:c>
      <x:c r="D4879" s="380" t="str">
        <x:v>May</x:v>
      </x:c>
      <x:c r="E4879" s="380" t="n">
        <x:v>5</x:v>
      </x:c>
      <x:c r="F4879" s="380" t="n">
        <x:v>3</x:v>
      </x:c>
      <x:c r="G4879" s="380" t="n">
        <x:f>--(F4879&lt;='Estimator'!$B$7)</x:f>
        <x:v>1</x:v>
      </x:c>
      <x:c r="H4879" s="381" t="n">
        <x:f>SUMIFS('Climate Data'!$G$7:$G$366,'Climate Data'!$A$7:$A$366,'Estimator'!$B$4,'Climate Data'!$B$7:$B$366,C4879)</x:f>
        <x:v>0.41935483870967744</x:v>
      </x:c>
      <x:c r="I4879" s="382" t="n">
        <x:f>SUMIFS('Climate Data'!$H$7:$H$366,'Climate Data'!$A$7:$A$366,'Estimator'!$B$4,'Climate Data'!$B$7:$B$366,C4879)</x:f>
        <x:v>9.215384615384615</x:v>
      </x:c>
      <x:c r="J4879" s="381" t="n">
        <x:f>SUMIFS('Wind Proxy'!$H$8:$H$19,'Wind Proxy'!$A$8:$A$19,'Estimator'!$B$4,'Wind Proxy'!$B$8:$B$19,C4879)</x:f>
        <x:v>0.11350059737156513</x:v>
      </x:c>
    </x:row>
    <x:row r="4880">
      <x:c r="A4880" s="379" t="n">
        <x:v>50531</x:v>
      </x:c>
      <x:c r="B4880" s="380" t="n">
        <x:v>2038</x:v>
      </x:c>
      <x:c r="C4880" s="380" t="n">
        <x:v>5</x:v>
      </x:c>
      <x:c r="D4880" s="380" t="str">
        <x:v>May</x:v>
      </x:c>
      <x:c r="E4880" s="380" t="n">
        <x:v>6</x:v>
      </x:c>
      <x:c r="F4880" s="380" t="n">
        <x:v>4</x:v>
      </x:c>
      <x:c r="G4880" s="380" t="n">
        <x:f>--(F4880&lt;='Estimator'!$B$7)</x:f>
        <x:v>1</x:v>
      </x:c>
      <x:c r="H4880" s="381" t="n">
        <x:f>SUMIFS('Climate Data'!$G$7:$G$366,'Climate Data'!$A$7:$A$366,'Estimator'!$B$4,'Climate Data'!$B$7:$B$366,C4880)</x:f>
        <x:v>0.41935483870967744</x:v>
      </x:c>
      <x:c r="I4880" s="382" t="n">
        <x:f>SUMIFS('Climate Data'!$H$7:$H$366,'Climate Data'!$A$7:$A$366,'Estimator'!$B$4,'Climate Data'!$B$7:$B$366,C4880)</x:f>
        <x:v>9.215384615384615</x:v>
      </x:c>
      <x:c r="J4880" s="381" t="n">
        <x:f>SUMIFS('Wind Proxy'!$H$8:$H$19,'Wind Proxy'!$A$8:$A$19,'Estimator'!$B$4,'Wind Proxy'!$B$8:$B$19,C4880)</x:f>
        <x:v>0.11350059737156513</x:v>
      </x:c>
    </x:row>
    <x:row r="4881">
      <x:c r="A4881" s="379" t="n">
        <x:v>50532</x:v>
      </x:c>
      <x:c r="B4881" s="380" t="n">
        <x:v>2038</x:v>
      </x:c>
      <x:c r="C4881" s="380" t="n">
        <x:v>5</x:v>
      </x:c>
      <x:c r="D4881" s="380" t="str">
        <x:v>May</x:v>
      </x:c>
      <x:c r="E4881" s="380" t="n">
        <x:v>7</x:v>
      </x:c>
      <x:c r="F4881" s="380" t="n">
        <x:v>5</x:v>
      </x:c>
      <x:c r="G4881" s="380" t="n">
        <x:f>--(F4881&lt;='Estimator'!$B$7)</x:f>
        <x:v>1</x:v>
      </x:c>
      <x:c r="H4881" s="381" t="n">
        <x:f>SUMIFS('Climate Data'!$G$7:$G$366,'Climate Data'!$A$7:$A$366,'Estimator'!$B$4,'Climate Data'!$B$7:$B$366,C4881)</x:f>
        <x:v>0.41935483870967744</x:v>
      </x:c>
      <x:c r="I4881" s="382" t="n">
        <x:f>SUMIFS('Climate Data'!$H$7:$H$366,'Climate Data'!$A$7:$A$366,'Estimator'!$B$4,'Climate Data'!$B$7:$B$366,C4881)</x:f>
        <x:v>9.215384615384615</x:v>
      </x:c>
      <x:c r="J4881" s="381" t="n">
        <x:f>SUMIFS('Wind Proxy'!$H$8:$H$19,'Wind Proxy'!$A$8:$A$19,'Estimator'!$B$4,'Wind Proxy'!$B$8:$B$19,C4881)</x:f>
        <x:v>0.11350059737156513</x:v>
      </x:c>
    </x:row>
    <x:row r="4882">
      <x:c r="A4882" s="379" t="n">
        <x:v>50533</x:v>
      </x:c>
      <x:c r="B4882" s="380" t="n">
        <x:v>2038</x:v>
      </x:c>
      <x:c r="C4882" s="380" t="n">
        <x:v>5</x:v>
      </x:c>
      <x:c r="D4882" s="380" t="str">
        <x:v>May</x:v>
      </x:c>
      <x:c r="E4882" s="380" t="n">
        <x:v>8</x:v>
      </x:c>
      <x:c r="F4882" s="380" t="n">
        <x:v>6</x:v>
      </x:c>
      <x:c r="G4882" s="380" t="n">
        <x:f>--(F4882&lt;='Estimator'!$B$7)</x:f>
        <x:v>0</x:v>
      </x:c>
      <x:c r="H4882" s="381" t="n">
        <x:f>SUMIFS('Climate Data'!$G$7:$G$366,'Climate Data'!$A$7:$A$366,'Estimator'!$B$4,'Climate Data'!$B$7:$B$366,C4882)</x:f>
        <x:v>0.41935483870967744</x:v>
      </x:c>
      <x:c r="I4882" s="382" t="n">
        <x:f>SUMIFS('Climate Data'!$H$7:$H$366,'Climate Data'!$A$7:$A$366,'Estimator'!$B$4,'Climate Data'!$B$7:$B$366,C4882)</x:f>
        <x:v>9.215384615384615</x:v>
      </x:c>
      <x:c r="J4882" s="381" t="n">
        <x:f>SUMIFS('Wind Proxy'!$H$8:$H$19,'Wind Proxy'!$A$8:$A$19,'Estimator'!$B$4,'Wind Proxy'!$B$8:$B$19,C4882)</x:f>
        <x:v>0.11350059737156513</x:v>
      </x:c>
    </x:row>
    <x:row r="4883">
      <x:c r="A4883" s="379" t="n">
        <x:v>50534</x:v>
      </x:c>
      <x:c r="B4883" s="380" t="n">
        <x:v>2038</x:v>
      </x:c>
      <x:c r="C4883" s="380" t="n">
        <x:v>5</x:v>
      </x:c>
      <x:c r="D4883" s="380" t="str">
        <x:v>May</x:v>
      </x:c>
      <x:c r="E4883" s="380" t="n">
        <x:v>9</x:v>
      </x:c>
      <x:c r="F4883" s="380" t="n">
        <x:v>7</x:v>
      </x:c>
      <x:c r="G4883" s="380" t="n">
        <x:f>--(F4883&lt;='Estimator'!$B$7)</x:f>
        <x:v>0</x:v>
      </x:c>
      <x:c r="H4883" s="381" t="n">
        <x:f>SUMIFS('Climate Data'!$G$7:$G$366,'Climate Data'!$A$7:$A$366,'Estimator'!$B$4,'Climate Data'!$B$7:$B$366,C4883)</x:f>
        <x:v>0.41935483870967744</x:v>
      </x:c>
      <x:c r="I4883" s="382" t="n">
        <x:f>SUMIFS('Climate Data'!$H$7:$H$366,'Climate Data'!$A$7:$A$366,'Estimator'!$B$4,'Climate Data'!$B$7:$B$366,C4883)</x:f>
        <x:v>9.215384615384615</x:v>
      </x:c>
      <x:c r="J4883" s="381" t="n">
        <x:f>SUMIFS('Wind Proxy'!$H$8:$H$19,'Wind Proxy'!$A$8:$A$19,'Estimator'!$B$4,'Wind Proxy'!$B$8:$B$19,C4883)</x:f>
        <x:v>0.11350059737156513</x:v>
      </x:c>
    </x:row>
    <x:row r="4884">
      <x:c r="A4884" s="379" t="n">
        <x:v>50535</x:v>
      </x:c>
      <x:c r="B4884" s="380" t="n">
        <x:v>2038</x:v>
      </x:c>
      <x:c r="C4884" s="380" t="n">
        <x:v>5</x:v>
      </x:c>
      <x:c r="D4884" s="380" t="str">
        <x:v>May</x:v>
      </x:c>
      <x:c r="E4884" s="380" t="n">
        <x:v>10</x:v>
      </x:c>
      <x:c r="F4884" s="380" t="n">
        <x:v>1</x:v>
      </x:c>
      <x:c r="G4884" s="380" t="n">
        <x:f>--(F4884&lt;='Estimator'!$B$7)</x:f>
        <x:v>1</x:v>
      </x:c>
      <x:c r="H4884" s="381" t="n">
        <x:f>SUMIFS('Climate Data'!$G$7:$G$366,'Climate Data'!$A$7:$A$366,'Estimator'!$B$4,'Climate Data'!$B$7:$B$366,C4884)</x:f>
        <x:v>0.41935483870967744</x:v>
      </x:c>
      <x:c r="I4884" s="382" t="n">
        <x:f>SUMIFS('Climate Data'!$H$7:$H$366,'Climate Data'!$A$7:$A$366,'Estimator'!$B$4,'Climate Data'!$B$7:$B$366,C4884)</x:f>
        <x:v>9.215384615384615</x:v>
      </x:c>
      <x:c r="J4884" s="381" t="n">
        <x:f>SUMIFS('Wind Proxy'!$H$8:$H$19,'Wind Proxy'!$A$8:$A$19,'Estimator'!$B$4,'Wind Proxy'!$B$8:$B$19,C4884)</x:f>
        <x:v>0.11350059737156513</x:v>
      </x:c>
    </x:row>
    <x:row r="4885">
      <x:c r="A4885" s="379" t="n">
        <x:v>50536</x:v>
      </x:c>
      <x:c r="B4885" s="380" t="n">
        <x:v>2038</x:v>
      </x:c>
      <x:c r="C4885" s="380" t="n">
        <x:v>5</x:v>
      </x:c>
      <x:c r="D4885" s="380" t="str">
        <x:v>May</x:v>
      </x:c>
      <x:c r="E4885" s="380" t="n">
        <x:v>11</x:v>
      </x:c>
      <x:c r="F4885" s="380" t="n">
        <x:v>2</x:v>
      </x:c>
      <x:c r="G4885" s="380" t="n">
        <x:f>--(F4885&lt;='Estimator'!$B$7)</x:f>
        <x:v>1</x:v>
      </x:c>
      <x:c r="H4885" s="381" t="n">
        <x:f>SUMIFS('Climate Data'!$G$7:$G$366,'Climate Data'!$A$7:$A$366,'Estimator'!$B$4,'Climate Data'!$B$7:$B$366,C4885)</x:f>
        <x:v>0.41935483870967744</x:v>
      </x:c>
      <x:c r="I4885" s="382" t="n">
        <x:f>SUMIFS('Climate Data'!$H$7:$H$366,'Climate Data'!$A$7:$A$366,'Estimator'!$B$4,'Climate Data'!$B$7:$B$366,C4885)</x:f>
        <x:v>9.215384615384615</x:v>
      </x:c>
      <x:c r="J4885" s="381" t="n">
        <x:f>SUMIFS('Wind Proxy'!$H$8:$H$19,'Wind Proxy'!$A$8:$A$19,'Estimator'!$B$4,'Wind Proxy'!$B$8:$B$19,C4885)</x:f>
        <x:v>0.11350059737156513</x:v>
      </x:c>
    </x:row>
    <x:row r="4886">
      <x:c r="A4886" s="379" t="n">
        <x:v>50537</x:v>
      </x:c>
      <x:c r="B4886" s="380" t="n">
        <x:v>2038</x:v>
      </x:c>
      <x:c r="C4886" s="380" t="n">
        <x:v>5</x:v>
      </x:c>
      <x:c r="D4886" s="380" t="str">
        <x:v>May</x:v>
      </x:c>
      <x:c r="E4886" s="380" t="n">
        <x:v>12</x:v>
      </x:c>
      <x:c r="F4886" s="380" t="n">
        <x:v>3</x:v>
      </x:c>
      <x:c r="G4886" s="380" t="n">
        <x:f>--(F4886&lt;='Estimator'!$B$7)</x:f>
        <x:v>1</x:v>
      </x:c>
      <x:c r="H4886" s="381" t="n">
        <x:f>SUMIFS('Climate Data'!$G$7:$G$366,'Climate Data'!$A$7:$A$366,'Estimator'!$B$4,'Climate Data'!$B$7:$B$366,C4886)</x:f>
        <x:v>0.41935483870967744</x:v>
      </x:c>
      <x:c r="I4886" s="382" t="n">
        <x:f>SUMIFS('Climate Data'!$H$7:$H$366,'Climate Data'!$A$7:$A$366,'Estimator'!$B$4,'Climate Data'!$B$7:$B$366,C4886)</x:f>
        <x:v>9.215384615384615</x:v>
      </x:c>
      <x:c r="J4886" s="381" t="n">
        <x:f>SUMIFS('Wind Proxy'!$H$8:$H$19,'Wind Proxy'!$A$8:$A$19,'Estimator'!$B$4,'Wind Proxy'!$B$8:$B$19,C4886)</x:f>
        <x:v>0.11350059737156513</x:v>
      </x:c>
    </x:row>
    <x:row r="4887">
      <x:c r="A4887" s="379" t="n">
        <x:v>50538</x:v>
      </x:c>
      <x:c r="B4887" s="380" t="n">
        <x:v>2038</x:v>
      </x:c>
      <x:c r="C4887" s="380" t="n">
        <x:v>5</x:v>
      </x:c>
      <x:c r="D4887" s="380" t="str">
        <x:v>May</x:v>
      </x:c>
      <x:c r="E4887" s="380" t="n">
        <x:v>13</x:v>
      </x:c>
      <x:c r="F4887" s="380" t="n">
        <x:v>4</x:v>
      </x:c>
      <x:c r="G4887" s="380" t="n">
        <x:f>--(F4887&lt;='Estimator'!$B$7)</x:f>
        <x:v>1</x:v>
      </x:c>
      <x:c r="H4887" s="381" t="n">
        <x:f>SUMIFS('Climate Data'!$G$7:$G$366,'Climate Data'!$A$7:$A$366,'Estimator'!$B$4,'Climate Data'!$B$7:$B$366,C4887)</x:f>
        <x:v>0.41935483870967744</x:v>
      </x:c>
      <x:c r="I4887" s="382" t="n">
        <x:f>SUMIFS('Climate Data'!$H$7:$H$366,'Climate Data'!$A$7:$A$366,'Estimator'!$B$4,'Climate Data'!$B$7:$B$366,C4887)</x:f>
        <x:v>9.215384615384615</x:v>
      </x:c>
      <x:c r="J4887" s="381" t="n">
        <x:f>SUMIFS('Wind Proxy'!$H$8:$H$19,'Wind Proxy'!$A$8:$A$19,'Estimator'!$B$4,'Wind Proxy'!$B$8:$B$19,C4887)</x:f>
        <x:v>0.11350059737156513</x:v>
      </x:c>
    </x:row>
    <x:row r="4888">
      <x:c r="A4888" s="379" t="n">
        <x:v>50539</x:v>
      </x:c>
      <x:c r="B4888" s="380" t="n">
        <x:v>2038</x:v>
      </x:c>
      <x:c r="C4888" s="380" t="n">
        <x:v>5</x:v>
      </x:c>
      <x:c r="D4888" s="380" t="str">
        <x:v>May</x:v>
      </x:c>
      <x:c r="E4888" s="380" t="n">
        <x:v>14</x:v>
      </x:c>
      <x:c r="F4888" s="380" t="n">
        <x:v>5</x:v>
      </x:c>
      <x:c r="G4888" s="380" t="n">
        <x:f>--(F4888&lt;='Estimator'!$B$7)</x:f>
        <x:v>1</x:v>
      </x:c>
      <x:c r="H4888" s="381" t="n">
        <x:f>SUMIFS('Climate Data'!$G$7:$G$366,'Climate Data'!$A$7:$A$366,'Estimator'!$B$4,'Climate Data'!$B$7:$B$366,C4888)</x:f>
        <x:v>0.41935483870967744</x:v>
      </x:c>
      <x:c r="I4888" s="382" t="n">
        <x:f>SUMIFS('Climate Data'!$H$7:$H$366,'Climate Data'!$A$7:$A$366,'Estimator'!$B$4,'Climate Data'!$B$7:$B$366,C4888)</x:f>
        <x:v>9.215384615384615</x:v>
      </x:c>
      <x:c r="J4888" s="381" t="n">
        <x:f>SUMIFS('Wind Proxy'!$H$8:$H$19,'Wind Proxy'!$A$8:$A$19,'Estimator'!$B$4,'Wind Proxy'!$B$8:$B$19,C4888)</x:f>
        <x:v>0.11350059737156513</x:v>
      </x:c>
    </x:row>
    <x:row r="4889">
      <x:c r="A4889" s="379" t="n">
        <x:v>50540</x:v>
      </x:c>
      <x:c r="B4889" s="380" t="n">
        <x:v>2038</x:v>
      </x:c>
      <x:c r="C4889" s="380" t="n">
        <x:v>5</x:v>
      </x:c>
      <x:c r="D4889" s="380" t="str">
        <x:v>May</x:v>
      </x:c>
      <x:c r="E4889" s="380" t="n">
        <x:v>15</x:v>
      </x:c>
      <x:c r="F4889" s="380" t="n">
        <x:v>6</x:v>
      </x:c>
      <x:c r="G4889" s="380" t="n">
        <x:f>--(F4889&lt;='Estimator'!$B$7)</x:f>
        <x:v>0</x:v>
      </x:c>
      <x:c r="H4889" s="381" t="n">
        <x:f>SUMIFS('Climate Data'!$G$7:$G$366,'Climate Data'!$A$7:$A$366,'Estimator'!$B$4,'Climate Data'!$B$7:$B$366,C4889)</x:f>
        <x:v>0.41935483870967744</x:v>
      </x:c>
      <x:c r="I4889" s="382" t="n">
        <x:f>SUMIFS('Climate Data'!$H$7:$H$366,'Climate Data'!$A$7:$A$366,'Estimator'!$B$4,'Climate Data'!$B$7:$B$366,C4889)</x:f>
        <x:v>9.215384615384615</x:v>
      </x:c>
      <x:c r="J4889" s="381" t="n">
        <x:f>SUMIFS('Wind Proxy'!$H$8:$H$19,'Wind Proxy'!$A$8:$A$19,'Estimator'!$B$4,'Wind Proxy'!$B$8:$B$19,C4889)</x:f>
        <x:v>0.11350059737156513</x:v>
      </x:c>
    </x:row>
    <x:row r="4890">
      <x:c r="A4890" s="379" t="n">
        <x:v>50541</x:v>
      </x:c>
      <x:c r="B4890" s="380" t="n">
        <x:v>2038</x:v>
      </x:c>
      <x:c r="C4890" s="380" t="n">
        <x:v>5</x:v>
      </x:c>
      <x:c r="D4890" s="380" t="str">
        <x:v>May</x:v>
      </x:c>
      <x:c r="E4890" s="380" t="n">
        <x:v>16</x:v>
      </x:c>
      <x:c r="F4890" s="380" t="n">
        <x:v>7</x:v>
      </x:c>
      <x:c r="G4890" s="380" t="n">
        <x:f>--(F4890&lt;='Estimator'!$B$7)</x:f>
        <x:v>0</x:v>
      </x:c>
      <x:c r="H4890" s="381" t="n">
        <x:f>SUMIFS('Climate Data'!$G$7:$G$366,'Climate Data'!$A$7:$A$366,'Estimator'!$B$4,'Climate Data'!$B$7:$B$366,C4890)</x:f>
        <x:v>0.41935483870967744</x:v>
      </x:c>
      <x:c r="I4890" s="382" t="n">
        <x:f>SUMIFS('Climate Data'!$H$7:$H$366,'Climate Data'!$A$7:$A$366,'Estimator'!$B$4,'Climate Data'!$B$7:$B$366,C4890)</x:f>
        <x:v>9.215384615384615</x:v>
      </x:c>
      <x:c r="J4890" s="381" t="n">
        <x:f>SUMIFS('Wind Proxy'!$H$8:$H$19,'Wind Proxy'!$A$8:$A$19,'Estimator'!$B$4,'Wind Proxy'!$B$8:$B$19,C4890)</x:f>
        <x:v>0.11350059737156513</x:v>
      </x:c>
    </x:row>
    <x:row r="4891">
      <x:c r="A4891" s="379" t="n">
        <x:v>50542</x:v>
      </x:c>
      <x:c r="B4891" s="380" t="n">
        <x:v>2038</x:v>
      </x:c>
      <x:c r="C4891" s="380" t="n">
        <x:v>5</x:v>
      </x:c>
      <x:c r="D4891" s="380" t="str">
        <x:v>May</x:v>
      </x:c>
      <x:c r="E4891" s="380" t="n">
        <x:v>17</x:v>
      </x:c>
      <x:c r="F4891" s="380" t="n">
        <x:v>1</x:v>
      </x:c>
      <x:c r="G4891" s="380" t="n">
        <x:f>--(F4891&lt;='Estimator'!$B$7)</x:f>
        <x:v>1</x:v>
      </x:c>
      <x:c r="H4891" s="381" t="n">
        <x:f>SUMIFS('Climate Data'!$G$7:$G$366,'Climate Data'!$A$7:$A$366,'Estimator'!$B$4,'Climate Data'!$B$7:$B$366,C4891)</x:f>
        <x:v>0.41935483870967744</x:v>
      </x:c>
      <x:c r="I4891" s="382" t="n">
        <x:f>SUMIFS('Climate Data'!$H$7:$H$366,'Climate Data'!$A$7:$A$366,'Estimator'!$B$4,'Climate Data'!$B$7:$B$366,C4891)</x:f>
        <x:v>9.215384615384615</x:v>
      </x:c>
      <x:c r="J4891" s="381" t="n">
        <x:f>SUMIFS('Wind Proxy'!$H$8:$H$19,'Wind Proxy'!$A$8:$A$19,'Estimator'!$B$4,'Wind Proxy'!$B$8:$B$19,C4891)</x:f>
        <x:v>0.11350059737156513</x:v>
      </x:c>
    </x:row>
    <x:row r="4892">
      <x:c r="A4892" s="379" t="n">
        <x:v>50543</x:v>
      </x:c>
      <x:c r="B4892" s="380" t="n">
        <x:v>2038</x:v>
      </x:c>
      <x:c r="C4892" s="380" t="n">
        <x:v>5</x:v>
      </x:c>
      <x:c r="D4892" s="380" t="str">
        <x:v>May</x:v>
      </x:c>
      <x:c r="E4892" s="380" t="n">
        <x:v>18</x:v>
      </x:c>
      <x:c r="F4892" s="380" t="n">
        <x:v>2</x:v>
      </x:c>
      <x:c r="G4892" s="380" t="n">
        <x:f>--(F4892&lt;='Estimator'!$B$7)</x:f>
        <x:v>1</x:v>
      </x:c>
      <x:c r="H4892" s="381" t="n">
        <x:f>SUMIFS('Climate Data'!$G$7:$G$366,'Climate Data'!$A$7:$A$366,'Estimator'!$B$4,'Climate Data'!$B$7:$B$366,C4892)</x:f>
        <x:v>0.41935483870967744</x:v>
      </x:c>
      <x:c r="I4892" s="382" t="n">
        <x:f>SUMIFS('Climate Data'!$H$7:$H$366,'Climate Data'!$A$7:$A$366,'Estimator'!$B$4,'Climate Data'!$B$7:$B$366,C4892)</x:f>
        <x:v>9.215384615384615</x:v>
      </x:c>
      <x:c r="J4892" s="381" t="n">
        <x:f>SUMIFS('Wind Proxy'!$H$8:$H$19,'Wind Proxy'!$A$8:$A$19,'Estimator'!$B$4,'Wind Proxy'!$B$8:$B$19,C4892)</x:f>
        <x:v>0.11350059737156513</x:v>
      </x:c>
    </x:row>
    <x:row r="4893">
      <x:c r="A4893" s="379" t="n">
        <x:v>50544</x:v>
      </x:c>
      <x:c r="B4893" s="380" t="n">
        <x:v>2038</x:v>
      </x:c>
      <x:c r="C4893" s="380" t="n">
        <x:v>5</x:v>
      </x:c>
      <x:c r="D4893" s="380" t="str">
        <x:v>May</x:v>
      </x:c>
      <x:c r="E4893" s="380" t="n">
        <x:v>19</x:v>
      </x:c>
      <x:c r="F4893" s="380" t="n">
        <x:v>3</x:v>
      </x:c>
      <x:c r="G4893" s="380" t="n">
        <x:f>--(F4893&lt;='Estimator'!$B$7)</x:f>
        <x:v>1</x:v>
      </x:c>
      <x:c r="H4893" s="381" t="n">
        <x:f>SUMIFS('Climate Data'!$G$7:$G$366,'Climate Data'!$A$7:$A$366,'Estimator'!$B$4,'Climate Data'!$B$7:$B$366,C4893)</x:f>
        <x:v>0.41935483870967744</x:v>
      </x:c>
      <x:c r="I4893" s="382" t="n">
        <x:f>SUMIFS('Climate Data'!$H$7:$H$366,'Climate Data'!$A$7:$A$366,'Estimator'!$B$4,'Climate Data'!$B$7:$B$366,C4893)</x:f>
        <x:v>9.215384615384615</x:v>
      </x:c>
      <x:c r="J4893" s="381" t="n">
        <x:f>SUMIFS('Wind Proxy'!$H$8:$H$19,'Wind Proxy'!$A$8:$A$19,'Estimator'!$B$4,'Wind Proxy'!$B$8:$B$19,C4893)</x:f>
        <x:v>0.11350059737156513</x:v>
      </x:c>
    </x:row>
    <x:row r="4894">
      <x:c r="A4894" s="379" t="n">
        <x:v>50545</x:v>
      </x:c>
      <x:c r="B4894" s="380" t="n">
        <x:v>2038</x:v>
      </x:c>
      <x:c r="C4894" s="380" t="n">
        <x:v>5</x:v>
      </x:c>
      <x:c r="D4894" s="380" t="str">
        <x:v>May</x:v>
      </x:c>
      <x:c r="E4894" s="380" t="n">
        <x:v>20</x:v>
      </x:c>
      <x:c r="F4894" s="380" t="n">
        <x:v>4</x:v>
      </x:c>
      <x:c r="G4894" s="380" t="n">
        <x:f>--(F4894&lt;='Estimator'!$B$7)</x:f>
        <x:v>1</x:v>
      </x:c>
      <x:c r="H4894" s="381" t="n">
        <x:f>SUMIFS('Climate Data'!$G$7:$G$366,'Climate Data'!$A$7:$A$366,'Estimator'!$B$4,'Climate Data'!$B$7:$B$366,C4894)</x:f>
        <x:v>0.41935483870967744</x:v>
      </x:c>
      <x:c r="I4894" s="382" t="n">
        <x:f>SUMIFS('Climate Data'!$H$7:$H$366,'Climate Data'!$A$7:$A$366,'Estimator'!$B$4,'Climate Data'!$B$7:$B$366,C4894)</x:f>
        <x:v>9.215384615384615</x:v>
      </x:c>
      <x:c r="J4894" s="381" t="n">
        <x:f>SUMIFS('Wind Proxy'!$H$8:$H$19,'Wind Proxy'!$A$8:$A$19,'Estimator'!$B$4,'Wind Proxy'!$B$8:$B$19,C4894)</x:f>
        <x:v>0.11350059737156513</x:v>
      </x:c>
    </x:row>
    <x:row r="4895">
      <x:c r="A4895" s="379" t="n">
        <x:v>50546</x:v>
      </x:c>
      <x:c r="B4895" s="380" t="n">
        <x:v>2038</x:v>
      </x:c>
      <x:c r="C4895" s="380" t="n">
        <x:v>5</x:v>
      </x:c>
      <x:c r="D4895" s="380" t="str">
        <x:v>May</x:v>
      </x:c>
      <x:c r="E4895" s="380" t="n">
        <x:v>21</x:v>
      </x:c>
      <x:c r="F4895" s="380" t="n">
        <x:v>5</x:v>
      </x:c>
      <x:c r="G4895" s="380" t="n">
        <x:f>--(F4895&lt;='Estimator'!$B$7)</x:f>
        <x:v>1</x:v>
      </x:c>
      <x:c r="H4895" s="381" t="n">
        <x:f>SUMIFS('Climate Data'!$G$7:$G$366,'Climate Data'!$A$7:$A$366,'Estimator'!$B$4,'Climate Data'!$B$7:$B$366,C4895)</x:f>
        <x:v>0.41935483870967744</x:v>
      </x:c>
      <x:c r="I4895" s="382" t="n">
        <x:f>SUMIFS('Climate Data'!$H$7:$H$366,'Climate Data'!$A$7:$A$366,'Estimator'!$B$4,'Climate Data'!$B$7:$B$366,C4895)</x:f>
        <x:v>9.215384615384615</x:v>
      </x:c>
      <x:c r="J4895" s="381" t="n">
        <x:f>SUMIFS('Wind Proxy'!$H$8:$H$19,'Wind Proxy'!$A$8:$A$19,'Estimator'!$B$4,'Wind Proxy'!$B$8:$B$19,C4895)</x:f>
        <x:v>0.11350059737156513</x:v>
      </x:c>
    </x:row>
    <x:row r="4896">
      <x:c r="A4896" s="379" t="n">
        <x:v>50547</x:v>
      </x:c>
      <x:c r="B4896" s="380" t="n">
        <x:v>2038</x:v>
      </x:c>
      <x:c r="C4896" s="380" t="n">
        <x:v>5</x:v>
      </x:c>
      <x:c r="D4896" s="380" t="str">
        <x:v>May</x:v>
      </x:c>
      <x:c r="E4896" s="380" t="n">
        <x:v>22</x:v>
      </x:c>
      <x:c r="F4896" s="380" t="n">
        <x:v>6</x:v>
      </x:c>
      <x:c r="G4896" s="380" t="n">
        <x:f>--(F4896&lt;='Estimator'!$B$7)</x:f>
        <x:v>0</x:v>
      </x:c>
      <x:c r="H4896" s="381" t="n">
        <x:f>SUMIFS('Climate Data'!$G$7:$G$366,'Climate Data'!$A$7:$A$366,'Estimator'!$B$4,'Climate Data'!$B$7:$B$366,C4896)</x:f>
        <x:v>0.41935483870967744</x:v>
      </x:c>
      <x:c r="I4896" s="382" t="n">
        <x:f>SUMIFS('Climate Data'!$H$7:$H$366,'Climate Data'!$A$7:$A$366,'Estimator'!$B$4,'Climate Data'!$B$7:$B$366,C4896)</x:f>
        <x:v>9.215384615384615</x:v>
      </x:c>
      <x:c r="J4896" s="381" t="n">
        <x:f>SUMIFS('Wind Proxy'!$H$8:$H$19,'Wind Proxy'!$A$8:$A$19,'Estimator'!$B$4,'Wind Proxy'!$B$8:$B$19,C4896)</x:f>
        <x:v>0.11350059737156513</x:v>
      </x:c>
    </x:row>
    <x:row r="4897">
      <x:c r="A4897" s="379" t="n">
        <x:v>50548</x:v>
      </x:c>
      <x:c r="B4897" s="380" t="n">
        <x:v>2038</x:v>
      </x:c>
      <x:c r="C4897" s="380" t="n">
        <x:v>5</x:v>
      </x:c>
      <x:c r="D4897" s="380" t="str">
        <x:v>May</x:v>
      </x:c>
      <x:c r="E4897" s="380" t="n">
        <x:v>23</x:v>
      </x:c>
      <x:c r="F4897" s="380" t="n">
        <x:v>7</x:v>
      </x:c>
      <x:c r="G4897" s="380" t="n">
        <x:f>--(F4897&lt;='Estimator'!$B$7)</x:f>
        <x:v>0</x:v>
      </x:c>
      <x:c r="H4897" s="381" t="n">
        <x:f>SUMIFS('Climate Data'!$G$7:$G$366,'Climate Data'!$A$7:$A$366,'Estimator'!$B$4,'Climate Data'!$B$7:$B$366,C4897)</x:f>
        <x:v>0.41935483870967744</x:v>
      </x:c>
      <x:c r="I4897" s="382" t="n">
        <x:f>SUMIFS('Climate Data'!$H$7:$H$366,'Climate Data'!$A$7:$A$366,'Estimator'!$B$4,'Climate Data'!$B$7:$B$366,C4897)</x:f>
        <x:v>9.215384615384615</x:v>
      </x:c>
      <x:c r="J4897" s="381" t="n">
        <x:f>SUMIFS('Wind Proxy'!$H$8:$H$19,'Wind Proxy'!$A$8:$A$19,'Estimator'!$B$4,'Wind Proxy'!$B$8:$B$19,C4897)</x:f>
        <x:v>0.11350059737156513</x:v>
      </x:c>
    </x:row>
    <x:row r="4898">
      <x:c r="A4898" s="379" t="n">
        <x:v>50549</x:v>
      </x:c>
      <x:c r="B4898" s="380" t="n">
        <x:v>2038</x:v>
      </x:c>
      <x:c r="C4898" s="380" t="n">
        <x:v>5</x:v>
      </x:c>
      <x:c r="D4898" s="380" t="str">
        <x:v>May</x:v>
      </x:c>
      <x:c r="E4898" s="380" t="n">
        <x:v>24</x:v>
      </x:c>
      <x:c r="F4898" s="380" t="n">
        <x:v>1</x:v>
      </x:c>
      <x:c r="G4898" s="380" t="n">
        <x:f>--(F4898&lt;='Estimator'!$B$7)</x:f>
        <x:v>1</x:v>
      </x:c>
      <x:c r="H4898" s="381" t="n">
        <x:f>SUMIFS('Climate Data'!$G$7:$G$366,'Climate Data'!$A$7:$A$366,'Estimator'!$B$4,'Climate Data'!$B$7:$B$366,C4898)</x:f>
        <x:v>0.41935483870967744</x:v>
      </x:c>
      <x:c r="I4898" s="382" t="n">
        <x:f>SUMIFS('Climate Data'!$H$7:$H$366,'Climate Data'!$A$7:$A$366,'Estimator'!$B$4,'Climate Data'!$B$7:$B$366,C4898)</x:f>
        <x:v>9.215384615384615</x:v>
      </x:c>
      <x:c r="J4898" s="381" t="n">
        <x:f>SUMIFS('Wind Proxy'!$H$8:$H$19,'Wind Proxy'!$A$8:$A$19,'Estimator'!$B$4,'Wind Proxy'!$B$8:$B$19,C4898)</x:f>
        <x:v>0.11350059737156513</x:v>
      </x:c>
    </x:row>
    <x:row r="4899">
      <x:c r="A4899" s="379" t="n">
        <x:v>50550</x:v>
      </x:c>
      <x:c r="B4899" s="380" t="n">
        <x:v>2038</x:v>
      </x:c>
      <x:c r="C4899" s="380" t="n">
        <x:v>5</x:v>
      </x:c>
      <x:c r="D4899" s="380" t="str">
        <x:v>May</x:v>
      </x:c>
      <x:c r="E4899" s="380" t="n">
        <x:v>25</x:v>
      </x:c>
      <x:c r="F4899" s="380" t="n">
        <x:v>2</x:v>
      </x:c>
      <x:c r="G4899" s="380" t="n">
        <x:f>--(F4899&lt;='Estimator'!$B$7)</x:f>
        <x:v>1</x:v>
      </x:c>
      <x:c r="H4899" s="381" t="n">
        <x:f>SUMIFS('Climate Data'!$G$7:$G$366,'Climate Data'!$A$7:$A$366,'Estimator'!$B$4,'Climate Data'!$B$7:$B$366,C4899)</x:f>
        <x:v>0.41935483870967744</x:v>
      </x:c>
      <x:c r="I4899" s="382" t="n">
        <x:f>SUMIFS('Climate Data'!$H$7:$H$366,'Climate Data'!$A$7:$A$366,'Estimator'!$B$4,'Climate Data'!$B$7:$B$366,C4899)</x:f>
        <x:v>9.215384615384615</x:v>
      </x:c>
      <x:c r="J4899" s="381" t="n">
        <x:f>SUMIFS('Wind Proxy'!$H$8:$H$19,'Wind Proxy'!$A$8:$A$19,'Estimator'!$B$4,'Wind Proxy'!$B$8:$B$19,C4899)</x:f>
        <x:v>0.11350059737156513</x:v>
      </x:c>
    </x:row>
    <x:row r="4900">
      <x:c r="A4900" s="379" t="n">
        <x:v>50551</x:v>
      </x:c>
      <x:c r="B4900" s="380" t="n">
        <x:v>2038</x:v>
      </x:c>
      <x:c r="C4900" s="380" t="n">
        <x:v>5</x:v>
      </x:c>
      <x:c r="D4900" s="380" t="str">
        <x:v>May</x:v>
      </x:c>
      <x:c r="E4900" s="380" t="n">
        <x:v>26</x:v>
      </x:c>
      <x:c r="F4900" s="380" t="n">
        <x:v>3</x:v>
      </x:c>
      <x:c r="G4900" s="380" t="n">
        <x:f>--(F4900&lt;='Estimator'!$B$7)</x:f>
        <x:v>1</x:v>
      </x:c>
      <x:c r="H4900" s="381" t="n">
        <x:f>SUMIFS('Climate Data'!$G$7:$G$366,'Climate Data'!$A$7:$A$366,'Estimator'!$B$4,'Climate Data'!$B$7:$B$366,C4900)</x:f>
        <x:v>0.41935483870967744</x:v>
      </x:c>
      <x:c r="I4900" s="382" t="n">
        <x:f>SUMIFS('Climate Data'!$H$7:$H$366,'Climate Data'!$A$7:$A$366,'Estimator'!$B$4,'Climate Data'!$B$7:$B$366,C4900)</x:f>
        <x:v>9.215384615384615</x:v>
      </x:c>
      <x:c r="J4900" s="381" t="n">
        <x:f>SUMIFS('Wind Proxy'!$H$8:$H$19,'Wind Proxy'!$A$8:$A$19,'Estimator'!$B$4,'Wind Proxy'!$B$8:$B$19,C4900)</x:f>
        <x:v>0.11350059737156513</x:v>
      </x:c>
    </x:row>
    <x:row r="4901">
      <x:c r="A4901" s="379" t="n">
        <x:v>50552</x:v>
      </x:c>
      <x:c r="B4901" s="380" t="n">
        <x:v>2038</x:v>
      </x:c>
      <x:c r="C4901" s="380" t="n">
        <x:v>5</x:v>
      </x:c>
      <x:c r="D4901" s="380" t="str">
        <x:v>May</x:v>
      </x:c>
      <x:c r="E4901" s="380" t="n">
        <x:v>27</x:v>
      </x:c>
      <x:c r="F4901" s="380" t="n">
        <x:v>4</x:v>
      </x:c>
      <x:c r="G4901" s="380" t="n">
        <x:f>--(F4901&lt;='Estimator'!$B$7)</x:f>
        <x:v>1</x:v>
      </x:c>
      <x:c r="H4901" s="381" t="n">
        <x:f>SUMIFS('Climate Data'!$G$7:$G$366,'Climate Data'!$A$7:$A$366,'Estimator'!$B$4,'Climate Data'!$B$7:$B$366,C4901)</x:f>
        <x:v>0.41935483870967744</x:v>
      </x:c>
      <x:c r="I4901" s="382" t="n">
        <x:f>SUMIFS('Climate Data'!$H$7:$H$366,'Climate Data'!$A$7:$A$366,'Estimator'!$B$4,'Climate Data'!$B$7:$B$366,C4901)</x:f>
        <x:v>9.215384615384615</x:v>
      </x:c>
      <x:c r="J4901" s="381" t="n">
        <x:f>SUMIFS('Wind Proxy'!$H$8:$H$19,'Wind Proxy'!$A$8:$A$19,'Estimator'!$B$4,'Wind Proxy'!$B$8:$B$19,C4901)</x:f>
        <x:v>0.11350059737156513</x:v>
      </x:c>
    </x:row>
    <x:row r="4902">
      <x:c r="A4902" s="379" t="n">
        <x:v>50553</x:v>
      </x:c>
      <x:c r="B4902" s="380" t="n">
        <x:v>2038</x:v>
      </x:c>
      <x:c r="C4902" s="380" t="n">
        <x:v>5</x:v>
      </x:c>
      <x:c r="D4902" s="380" t="str">
        <x:v>May</x:v>
      </x:c>
      <x:c r="E4902" s="380" t="n">
        <x:v>28</x:v>
      </x:c>
      <x:c r="F4902" s="380" t="n">
        <x:v>5</x:v>
      </x:c>
      <x:c r="G4902" s="380" t="n">
        <x:f>--(F4902&lt;='Estimator'!$B$7)</x:f>
        <x:v>1</x:v>
      </x:c>
      <x:c r="H4902" s="381" t="n">
        <x:f>SUMIFS('Climate Data'!$G$7:$G$366,'Climate Data'!$A$7:$A$366,'Estimator'!$B$4,'Climate Data'!$B$7:$B$366,C4902)</x:f>
        <x:v>0.41935483870967744</x:v>
      </x:c>
      <x:c r="I4902" s="382" t="n">
        <x:f>SUMIFS('Climate Data'!$H$7:$H$366,'Climate Data'!$A$7:$A$366,'Estimator'!$B$4,'Climate Data'!$B$7:$B$366,C4902)</x:f>
        <x:v>9.215384615384615</x:v>
      </x:c>
      <x:c r="J4902" s="381" t="n">
        <x:f>SUMIFS('Wind Proxy'!$H$8:$H$19,'Wind Proxy'!$A$8:$A$19,'Estimator'!$B$4,'Wind Proxy'!$B$8:$B$19,C4902)</x:f>
        <x:v>0.11350059737156513</x:v>
      </x:c>
    </x:row>
    <x:row r="4903">
      <x:c r="A4903" s="379" t="n">
        <x:v>50554</x:v>
      </x:c>
      <x:c r="B4903" s="380" t="n">
        <x:v>2038</x:v>
      </x:c>
      <x:c r="C4903" s="380" t="n">
        <x:v>5</x:v>
      </x:c>
      <x:c r="D4903" s="380" t="str">
        <x:v>May</x:v>
      </x:c>
      <x:c r="E4903" s="380" t="n">
        <x:v>29</x:v>
      </x:c>
      <x:c r="F4903" s="380" t="n">
        <x:v>6</x:v>
      </x:c>
      <x:c r="G4903" s="380" t="n">
        <x:f>--(F4903&lt;='Estimator'!$B$7)</x:f>
        <x:v>0</x:v>
      </x:c>
      <x:c r="H4903" s="381" t="n">
        <x:f>SUMIFS('Climate Data'!$G$7:$G$366,'Climate Data'!$A$7:$A$366,'Estimator'!$B$4,'Climate Data'!$B$7:$B$366,C4903)</x:f>
        <x:v>0.41935483870967744</x:v>
      </x:c>
      <x:c r="I4903" s="382" t="n">
        <x:f>SUMIFS('Climate Data'!$H$7:$H$366,'Climate Data'!$A$7:$A$366,'Estimator'!$B$4,'Climate Data'!$B$7:$B$366,C4903)</x:f>
        <x:v>9.215384615384615</x:v>
      </x:c>
      <x:c r="J4903" s="381" t="n">
        <x:f>SUMIFS('Wind Proxy'!$H$8:$H$19,'Wind Proxy'!$A$8:$A$19,'Estimator'!$B$4,'Wind Proxy'!$B$8:$B$19,C4903)</x:f>
        <x:v>0.11350059737156513</x:v>
      </x:c>
    </x:row>
    <x:row r="4904">
      <x:c r="A4904" s="379" t="n">
        <x:v>50555</x:v>
      </x:c>
      <x:c r="B4904" s="380" t="n">
        <x:v>2038</x:v>
      </x:c>
      <x:c r="C4904" s="380" t="n">
        <x:v>5</x:v>
      </x:c>
      <x:c r="D4904" s="380" t="str">
        <x:v>May</x:v>
      </x:c>
      <x:c r="E4904" s="380" t="n">
        <x:v>30</x:v>
      </x:c>
      <x:c r="F4904" s="380" t="n">
        <x:v>7</x:v>
      </x:c>
      <x:c r="G4904" s="380" t="n">
        <x:f>--(F4904&lt;='Estimator'!$B$7)</x:f>
        <x:v>0</x:v>
      </x:c>
      <x:c r="H4904" s="381" t="n">
        <x:f>SUMIFS('Climate Data'!$G$7:$G$366,'Climate Data'!$A$7:$A$366,'Estimator'!$B$4,'Climate Data'!$B$7:$B$366,C4904)</x:f>
        <x:v>0.41935483870967744</x:v>
      </x:c>
      <x:c r="I4904" s="382" t="n">
        <x:f>SUMIFS('Climate Data'!$H$7:$H$366,'Climate Data'!$A$7:$A$366,'Estimator'!$B$4,'Climate Data'!$B$7:$B$366,C4904)</x:f>
        <x:v>9.215384615384615</x:v>
      </x:c>
      <x:c r="J4904" s="381" t="n">
        <x:f>SUMIFS('Wind Proxy'!$H$8:$H$19,'Wind Proxy'!$A$8:$A$19,'Estimator'!$B$4,'Wind Proxy'!$B$8:$B$19,C4904)</x:f>
        <x:v>0.11350059737156513</x:v>
      </x:c>
    </x:row>
    <x:row r="4905">
      <x:c r="A4905" s="379" t="n">
        <x:v>50556</x:v>
      </x:c>
      <x:c r="B4905" s="380" t="n">
        <x:v>2038</x:v>
      </x:c>
      <x:c r="C4905" s="380" t="n">
        <x:v>5</x:v>
      </x:c>
      <x:c r="D4905" s="380" t="str">
        <x:v>May</x:v>
      </x:c>
      <x:c r="E4905" s="380" t="n">
        <x:v>31</x:v>
      </x:c>
      <x:c r="F4905" s="380" t="n">
        <x:v>1</x:v>
      </x:c>
      <x:c r="G4905" s="380" t="n">
        <x:f>--(F4905&lt;='Estimator'!$B$7)</x:f>
        <x:v>1</x:v>
      </x:c>
      <x:c r="H4905" s="381" t="n">
        <x:f>SUMIFS('Climate Data'!$G$7:$G$366,'Climate Data'!$A$7:$A$366,'Estimator'!$B$4,'Climate Data'!$B$7:$B$366,C4905)</x:f>
        <x:v>0.41935483870967744</x:v>
      </x:c>
      <x:c r="I4905" s="382" t="n">
        <x:f>SUMIFS('Climate Data'!$H$7:$H$366,'Climate Data'!$A$7:$A$366,'Estimator'!$B$4,'Climate Data'!$B$7:$B$366,C4905)</x:f>
        <x:v>9.215384615384615</x:v>
      </x:c>
      <x:c r="J4905" s="381" t="n">
        <x:f>SUMIFS('Wind Proxy'!$H$8:$H$19,'Wind Proxy'!$A$8:$A$19,'Estimator'!$B$4,'Wind Proxy'!$B$8:$B$19,C4905)</x:f>
        <x:v>0.11350059737156513</x:v>
      </x:c>
    </x:row>
    <x:row r="4906">
      <x:c r="A4906" s="379" t="n">
        <x:v>50557</x:v>
      </x:c>
      <x:c r="B4906" s="380" t="n">
        <x:v>2038</x:v>
      </x:c>
      <x:c r="C4906" s="380" t="n">
        <x:v>6</x:v>
      </x:c>
      <x:c r="D4906" s="380" t="str">
        <x:v>Jun</x:v>
      </x:c>
      <x:c r="E4906" s="380" t="n">
        <x:v>1</x:v>
      </x:c>
      <x:c r="F4906" s="380" t="n">
        <x:v>2</x:v>
      </x:c>
      <x:c r="G4906" s="380" t="n">
        <x:f>--(F4906&lt;='Estimator'!$B$7)</x:f>
        <x:v>1</x:v>
      </x:c>
      <x:c r="H4906" s="381" t="n">
        <x:f>SUMIFS('Climate Data'!$G$7:$G$366,'Climate Data'!$A$7:$A$366,'Estimator'!$B$4,'Climate Data'!$B$7:$B$366,C4906)</x:f>
        <x:v>0.475</x:v>
      </x:c>
      <x:c r="I4906" s="382" t="n">
        <x:f>SUMIFS('Climate Data'!$H$7:$H$366,'Climate Data'!$A$7:$A$366,'Estimator'!$B$4,'Climate Data'!$B$7:$B$366,C4906)</x:f>
        <x:v>8.378947368421054</x:v>
      </x:c>
      <x:c r="J4906" s="381" t="n">
        <x:f>SUMIFS('Wind Proxy'!$H$8:$H$19,'Wind Proxy'!$A$8:$A$19,'Estimator'!$B$4,'Wind Proxy'!$B$8:$B$19,C4906)</x:f>
        <x:v>0.14197530864197533</x:v>
      </x:c>
    </x:row>
    <x:row r="4907">
      <x:c r="A4907" s="379" t="n">
        <x:v>50558</x:v>
      </x:c>
      <x:c r="B4907" s="380" t="n">
        <x:v>2038</x:v>
      </x:c>
      <x:c r="C4907" s="380" t="n">
        <x:v>6</x:v>
      </x:c>
      <x:c r="D4907" s="380" t="str">
        <x:v>Jun</x:v>
      </x:c>
      <x:c r="E4907" s="380" t="n">
        <x:v>2</x:v>
      </x:c>
      <x:c r="F4907" s="380" t="n">
        <x:v>3</x:v>
      </x:c>
      <x:c r="G4907" s="380" t="n">
        <x:f>--(F4907&lt;='Estimator'!$B$7)</x:f>
        <x:v>1</x:v>
      </x:c>
      <x:c r="H4907" s="381" t="n">
        <x:f>SUMIFS('Climate Data'!$G$7:$G$366,'Climate Data'!$A$7:$A$366,'Estimator'!$B$4,'Climate Data'!$B$7:$B$366,C4907)</x:f>
        <x:v>0.475</x:v>
      </x:c>
      <x:c r="I4907" s="382" t="n">
        <x:f>SUMIFS('Climate Data'!$H$7:$H$366,'Climate Data'!$A$7:$A$366,'Estimator'!$B$4,'Climate Data'!$B$7:$B$366,C4907)</x:f>
        <x:v>8.378947368421054</x:v>
      </x:c>
      <x:c r="J4907" s="381" t="n">
        <x:f>SUMIFS('Wind Proxy'!$H$8:$H$19,'Wind Proxy'!$A$8:$A$19,'Estimator'!$B$4,'Wind Proxy'!$B$8:$B$19,C4907)</x:f>
        <x:v>0.14197530864197533</x:v>
      </x:c>
    </x:row>
    <x:row r="4908">
      <x:c r="A4908" s="379" t="n">
        <x:v>50559</x:v>
      </x:c>
      <x:c r="B4908" s="380" t="n">
        <x:v>2038</x:v>
      </x:c>
      <x:c r="C4908" s="380" t="n">
        <x:v>6</x:v>
      </x:c>
      <x:c r="D4908" s="380" t="str">
        <x:v>Jun</x:v>
      </x:c>
      <x:c r="E4908" s="380" t="n">
        <x:v>3</x:v>
      </x:c>
      <x:c r="F4908" s="380" t="n">
        <x:v>4</x:v>
      </x:c>
      <x:c r="G4908" s="380" t="n">
        <x:f>--(F4908&lt;='Estimator'!$B$7)</x:f>
        <x:v>1</x:v>
      </x:c>
      <x:c r="H4908" s="381" t="n">
        <x:f>SUMIFS('Climate Data'!$G$7:$G$366,'Climate Data'!$A$7:$A$366,'Estimator'!$B$4,'Climate Data'!$B$7:$B$366,C4908)</x:f>
        <x:v>0.475</x:v>
      </x:c>
      <x:c r="I4908" s="382" t="n">
        <x:f>SUMIFS('Climate Data'!$H$7:$H$366,'Climate Data'!$A$7:$A$366,'Estimator'!$B$4,'Climate Data'!$B$7:$B$366,C4908)</x:f>
        <x:v>8.378947368421054</x:v>
      </x:c>
      <x:c r="J4908" s="381" t="n">
        <x:f>SUMIFS('Wind Proxy'!$H$8:$H$19,'Wind Proxy'!$A$8:$A$19,'Estimator'!$B$4,'Wind Proxy'!$B$8:$B$19,C4908)</x:f>
        <x:v>0.14197530864197533</x:v>
      </x:c>
    </x:row>
    <x:row r="4909">
      <x:c r="A4909" s="379" t="n">
        <x:v>50560</x:v>
      </x:c>
      <x:c r="B4909" s="380" t="n">
        <x:v>2038</x:v>
      </x:c>
      <x:c r="C4909" s="380" t="n">
        <x:v>6</x:v>
      </x:c>
      <x:c r="D4909" s="380" t="str">
        <x:v>Jun</x:v>
      </x:c>
      <x:c r="E4909" s="380" t="n">
        <x:v>4</x:v>
      </x:c>
      <x:c r="F4909" s="380" t="n">
        <x:v>5</x:v>
      </x:c>
      <x:c r="G4909" s="380" t="n">
        <x:f>--(F4909&lt;='Estimator'!$B$7)</x:f>
        <x:v>1</x:v>
      </x:c>
      <x:c r="H4909" s="381" t="n">
        <x:f>SUMIFS('Climate Data'!$G$7:$G$366,'Climate Data'!$A$7:$A$366,'Estimator'!$B$4,'Climate Data'!$B$7:$B$366,C4909)</x:f>
        <x:v>0.475</x:v>
      </x:c>
      <x:c r="I4909" s="382" t="n">
        <x:f>SUMIFS('Climate Data'!$H$7:$H$366,'Climate Data'!$A$7:$A$366,'Estimator'!$B$4,'Climate Data'!$B$7:$B$366,C4909)</x:f>
        <x:v>8.378947368421054</x:v>
      </x:c>
      <x:c r="J4909" s="381" t="n">
        <x:f>SUMIFS('Wind Proxy'!$H$8:$H$19,'Wind Proxy'!$A$8:$A$19,'Estimator'!$B$4,'Wind Proxy'!$B$8:$B$19,C4909)</x:f>
        <x:v>0.14197530864197533</x:v>
      </x:c>
    </x:row>
    <x:row r="4910">
      <x:c r="A4910" s="379" t="n">
        <x:v>50561</x:v>
      </x:c>
      <x:c r="B4910" s="380" t="n">
        <x:v>2038</x:v>
      </x:c>
      <x:c r="C4910" s="380" t="n">
        <x:v>6</x:v>
      </x:c>
      <x:c r="D4910" s="380" t="str">
        <x:v>Jun</x:v>
      </x:c>
      <x:c r="E4910" s="380" t="n">
        <x:v>5</x:v>
      </x:c>
      <x:c r="F4910" s="380" t="n">
        <x:v>6</x:v>
      </x:c>
      <x:c r="G4910" s="380" t="n">
        <x:f>--(F4910&lt;='Estimator'!$B$7)</x:f>
        <x:v>0</x:v>
      </x:c>
      <x:c r="H4910" s="381" t="n">
        <x:f>SUMIFS('Climate Data'!$G$7:$G$366,'Climate Data'!$A$7:$A$366,'Estimator'!$B$4,'Climate Data'!$B$7:$B$366,C4910)</x:f>
        <x:v>0.475</x:v>
      </x:c>
      <x:c r="I4910" s="382" t="n">
        <x:f>SUMIFS('Climate Data'!$H$7:$H$366,'Climate Data'!$A$7:$A$366,'Estimator'!$B$4,'Climate Data'!$B$7:$B$366,C4910)</x:f>
        <x:v>8.378947368421054</x:v>
      </x:c>
      <x:c r="J4910" s="381" t="n">
        <x:f>SUMIFS('Wind Proxy'!$H$8:$H$19,'Wind Proxy'!$A$8:$A$19,'Estimator'!$B$4,'Wind Proxy'!$B$8:$B$19,C4910)</x:f>
        <x:v>0.14197530864197533</x:v>
      </x:c>
    </x:row>
    <x:row r="4911">
      <x:c r="A4911" s="379" t="n">
        <x:v>50562</x:v>
      </x:c>
      <x:c r="B4911" s="380" t="n">
        <x:v>2038</x:v>
      </x:c>
      <x:c r="C4911" s="380" t="n">
        <x:v>6</x:v>
      </x:c>
      <x:c r="D4911" s="380" t="str">
        <x:v>Jun</x:v>
      </x:c>
      <x:c r="E4911" s="380" t="n">
        <x:v>6</x:v>
      </x:c>
      <x:c r="F4911" s="380" t="n">
        <x:v>7</x:v>
      </x:c>
      <x:c r="G4911" s="380" t="n">
        <x:f>--(F4911&lt;='Estimator'!$B$7)</x:f>
        <x:v>0</x:v>
      </x:c>
      <x:c r="H4911" s="381" t="n">
        <x:f>SUMIFS('Climate Data'!$G$7:$G$366,'Climate Data'!$A$7:$A$366,'Estimator'!$B$4,'Climate Data'!$B$7:$B$366,C4911)</x:f>
        <x:v>0.475</x:v>
      </x:c>
      <x:c r="I4911" s="382" t="n">
        <x:f>SUMIFS('Climate Data'!$H$7:$H$366,'Climate Data'!$A$7:$A$366,'Estimator'!$B$4,'Climate Data'!$B$7:$B$366,C4911)</x:f>
        <x:v>8.378947368421054</x:v>
      </x:c>
      <x:c r="J4911" s="381" t="n">
        <x:f>SUMIFS('Wind Proxy'!$H$8:$H$19,'Wind Proxy'!$A$8:$A$19,'Estimator'!$B$4,'Wind Proxy'!$B$8:$B$19,C4911)</x:f>
        <x:v>0.14197530864197533</x:v>
      </x:c>
    </x:row>
    <x:row r="4912">
      <x:c r="A4912" s="379" t="n">
        <x:v>50563</x:v>
      </x:c>
      <x:c r="B4912" s="380" t="n">
        <x:v>2038</x:v>
      </x:c>
      <x:c r="C4912" s="380" t="n">
        <x:v>6</x:v>
      </x:c>
      <x:c r="D4912" s="380" t="str">
        <x:v>Jun</x:v>
      </x:c>
      <x:c r="E4912" s="380" t="n">
        <x:v>7</x:v>
      </x:c>
      <x:c r="F4912" s="380" t="n">
        <x:v>1</x:v>
      </x:c>
      <x:c r="G4912" s="380" t="n">
        <x:f>--(F4912&lt;='Estimator'!$B$7)</x:f>
        <x:v>1</x:v>
      </x:c>
      <x:c r="H4912" s="381" t="n">
        <x:f>SUMIFS('Climate Data'!$G$7:$G$366,'Climate Data'!$A$7:$A$366,'Estimator'!$B$4,'Climate Data'!$B$7:$B$366,C4912)</x:f>
        <x:v>0.475</x:v>
      </x:c>
      <x:c r="I4912" s="382" t="n">
        <x:f>SUMIFS('Climate Data'!$H$7:$H$366,'Climate Data'!$A$7:$A$366,'Estimator'!$B$4,'Climate Data'!$B$7:$B$366,C4912)</x:f>
        <x:v>8.378947368421054</x:v>
      </x:c>
      <x:c r="J4912" s="381" t="n">
        <x:f>SUMIFS('Wind Proxy'!$H$8:$H$19,'Wind Proxy'!$A$8:$A$19,'Estimator'!$B$4,'Wind Proxy'!$B$8:$B$19,C4912)</x:f>
        <x:v>0.14197530864197533</x:v>
      </x:c>
    </x:row>
    <x:row r="4913">
      <x:c r="A4913" s="379" t="n">
        <x:v>50564</x:v>
      </x:c>
      <x:c r="B4913" s="380" t="n">
        <x:v>2038</x:v>
      </x:c>
      <x:c r="C4913" s="380" t="n">
        <x:v>6</x:v>
      </x:c>
      <x:c r="D4913" s="380" t="str">
        <x:v>Jun</x:v>
      </x:c>
      <x:c r="E4913" s="380" t="n">
        <x:v>8</x:v>
      </x:c>
      <x:c r="F4913" s="380" t="n">
        <x:v>2</x:v>
      </x:c>
      <x:c r="G4913" s="380" t="n">
        <x:f>--(F4913&lt;='Estimator'!$B$7)</x:f>
        <x:v>1</x:v>
      </x:c>
      <x:c r="H4913" s="381" t="n">
        <x:f>SUMIFS('Climate Data'!$G$7:$G$366,'Climate Data'!$A$7:$A$366,'Estimator'!$B$4,'Climate Data'!$B$7:$B$366,C4913)</x:f>
        <x:v>0.475</x:v>
      </x:c>
      <x:c r="I4913" s="382" t="n">
        <x:f>SUMIFS('Climate Data'!$H$7:$H$366,'Climate Data'!$A$7:$A$366,'Estimator'!$B$4,'Climate Data'!$B$7:$B$366,C4913)</x:f>
        <x:v>8.378947368421054</x:v>
      </x:c>
      <x:c r="J4913" s="381" t="n">
        <x:f>SUMIFS('Wind Proxy'!$H$8:$H$19,'Wind Proxy'!$A$8:$A$19,'Estimator'!$B$4,'Wind Proxy'!$B$8:$B$19,C4913)</x:f>
        <x:v>0.14197530864197533</x:v>
      </x:c>
    </x:row>
    <x:row r="4914">
      <x:c r="A4914" s="379" t="n">
        <x:v>50565</x:v>
      </x:c>
      <x:c r="B4914" s="380" t="n">
        <x:v>2038</x:v>
      </x:c>
      <x:c r="C4914" s="380" t="n">
        <x:v>6</x:v>
      </x:c>
      <x:c r="D4914" s="380" t="str">
        <x:v>Jun</x:v>
      </x:c>
      <x:c r="E4914" s="380" t="n">
        <x:v>9</x:v>
      </x:c>
      <x:c r="F4914" s="380" t="n">
        <x:v>3</x:v>
      </x:c>
      <x:c r="G4914" s="380" t="n">
        <x:f>--(F4914&lt;='Estimator'!$B$7)</x:f>
        <x:v>1</x:v>
      </x:c>
      <x:c r="H4914" s="381" t="n">
        <x:f>SUMIFS('Climate Data'!$G$7:$G$366,'Climate Data'!$A$7:$A$366,'Estimator'!$B$4,'Climate Data'!$B$7:$B$366,C4914)</x:f>
        <x:v>0.475</x:v>
      </x:c>
      <x:c r="I4914" s="382" t="n">
        <x:f>SUMIFS('Climate Data'!$H$7:$H$366,'Climate Data'!$A$7:$A$366,'Estimator'!$B$4,'Climate Data'!$B$7:$B$366,C4914)</x:f>
        <x:v>8.378947368421054</x:v>
      </x:c>
      <x:c r="J4914" s="381" t="n">
        <x:f>SUMIFS('Wind Proxy'!$H$8:$H$19,'Wind Proxy'!$A$8:$A$19,'Estimator'!$B$4,'Wind Proxy'!$B$8:$B$19,C4914)</x:f>
        <x:v>0.14197530864197533</x:v>
      </x:c>
    </x:row>
    <x:row r="4915">
      <x:c r="A4915" s="379" t="n">
        <x:v>50566</x:v>
      </x:c>
      <x:c r="B4915" s="380" t="n">
        <x:v>2038</x:v>
      </x:c>
      <x:c r="C4915" s="380" t="n">
        <x:v>6</x:v>
      </x:c>
      <x:c r="D4915" s="380" t="str">
        <x:v>Jun</x:v>
      </x:c>
      <x:c r="E4915" s="380" t="n">
        <x:v>10</x:v>
      </x:c>
      <x:c r="F4915" s="380" t="n">
        <x:v>4</x:v>
      </x:c>
      <x:c r="G4915" s="380" t="n">
        <x:f>--(F4915&lt;='Estimator'!$B$7)</x:f>
        <x:v>1</x:v>
      </x:c>
      <x:c r="H4915" s="381" t="n">
        <x:f>SUMIFS('Climate Data'!$G$7:$G$366,'Climate Data'!$A$7:$A$366,'Estimator'!$B$4,'Climate Data'!$B$7:$B$366,C4915)</x:f>
        <x:v>0.475</x:v>
      </x:c>
      <x:c r="I4915" s="382" t="n">
        <x:f>SUMIFS('Climate Data'!$H$7:$H$366,'Climate Data'!$A$7:$A$366,'Estimator'!$B$4,'Climate Data'!$B$7:$B$366,C4915)</x:f>
        <x:v>8.378947368421054</x:v>
      </x:c>
      <x:c r="J4915" s="381" t="n">
        <x:f>SUMIFS('Wind Proxy'!$H$8:$H$19,'Wind Proxy'!$A$8:$A$19,'Estimator'!$B$4,'Wind Proxy'!$B$8:$B$19,C4915)</x:f>
        <x:v>0.14197530864197533</x:v>
      </x:c>
    </x:row>
    <x:row r="4916">
      <x:c r="A4916" s="379" t="n">
        <x:v>50567</x:v>
      </x:c>
      <x:c r="B4916" s="380" t="n">
        <x:v>2038</x:v>
      </x:c>
      <x:c r="C4916" s="380" t="n">
        <x:v>6</x:v>
      </x:c>
      <x:c r="D4916" s="380" t="str">
        <x:v>Jun</x:v>
      </x:c>
      <x:c r="E4916" s="380" t="n">
        <x:v>11</x:v>
      </x:c>
      <x:c r="F4916" s="380" t="n">
        <x:v>5</x:v>
      </x:c>
      <x:c r="G4916" s="380" t="n">
        <x:f>--(F4916&lt;='Estimator'!$B$7)</x:f>
        <x:v>1</x:v>
      </x:c>
      <x:c r="H4916" s="381" t="n">
        <x:f>SUMIFS('Climate Data'!$G$7:$G$366,'Climate Data'!$A$7:$A$366,'Estimator'!$B$4,'Climate Data'!$B$7:$B$366,C4916)</x:f>
        <x:v>0.475</x:v>
      </x:c>
      <x:c r="I4916" s="382" t="n">
        <x:f>SUMIFS('Climate Data'!$H$7:$H$366,'Climate Data'!$A$7:$A$366,'Estimator'!$B$4,'Climate Data'!$B$7:$B$366,C4916)</x:f>
        <x:v>8.378947368421054</x:v>
      </x:c>
      <x:c r="J4916" s="381" t="n">
        <x:f>SUMIFS('Wind Proxy'!$H$8:$H$19,'Wind Proxy'!$A$8:$A$19,'Estimator'!$B$4,'Wind Proxy'!$B$8:$B$19,C4916)</x:f>
        <x:v>0.14197530864197533</x:v>
      </x:c>
    </x:row>
    <x:row r="4917">
      <x:c r="A4917" s="379" t="n">
        <x:v>50568</x:v>
      </x:c>
      <x:c r="B4917" s="380" t="n">
        <x:v>2038</x:v>
      </x:c>
      <x:c r="C4917" s="380" t="n">
        <x:v>6</x:v>
      </x:c>
      <x:c r="D4917" s="380" t="str">
        <x:v>Jun</x:v>
      </x:c>
      <x:c r="E4917" s="380" t="n">
        <x:v>12</x:v>
      </x:c>
      <x:c r="F4917" s="380" t="n">
        <x:v>6</x:v>
      </x:c>
      <x:c r="G4917" s="380" t="n">
        <x:f>--(F4917&lt;='Estimator'!$B$7)</x:f>
        <x:v>0</x:v>
      </x:c>
      <x:c r="H4917" s="381" t="n">
        <x:f>SUMIFS('Climate Data'!$G$7:$G$366,'Climate Data'!$A$7:$A$366,'Estimator'!$B$4,'Climate Data'!$B$7:$B$366,C4917)</x:f>
        <x:v>0.475</x:v>
      </x:c>
      <x:c r="I4917" s="382" t="n">
        <x:f>SUMIFS('Climate Data'!$H$7:$H$366,'Climate Data'!$A$7:$A$366,'Estimator'!$B$4,'Climate Data'!$B$7:$B$366,C4917)</x:f>
        <x:v>8.378947368421054</x:v>
      </x:c>
      <x:c r="J4917" s="381" t="n">
        <x:f>SUMIFS('Wind Proxy'!$H$8:$H$19,'Wind Proxy'!$A$8:$A$19,'Estimator'!$B$4,'Wind Proxy'!$B$8:$B$19,C4917)</x:f>
        <x:v>0.14197530864197533</x:v>
      </x:c>
    </x:row>
    <x:row r="4918">
      <x:c r="A4918" s="379" t="n">
        <x:v>50569</x:v>
      </x:c>
      <x:c r="B4918" s="380" t="n">
        <x:v>2038</x:v>
      </x:c>
      <x:c r="C4918" s="380" t="n">
        <x:v>6</x:v>
      </x:c>
      <x:c r="D4918" s="380" t="str">
        <x:v>Jun</x:v>
      </x:c>
      <x:c r="E4918" s="380" t="n">
        <x:v>13</x:v>
      </x:c>
      <x:c r="F4918" s="380" t="n">
        <x:v>7</x:v>
      </x:c>
      <x:c r="G4918" s="380" t="n">
        <x:f>--(F4918&lt;='Estimator'!$B$7)</x:f>
        <x:v>0</x:v>
      </x:c>
      <x:c r="H4918" s="381" t="n">
        <x:f>SUMIFS('Climate Data'!$G$7:$G$366,'Climate Data'!$A$7:$A$366,'Estimator'!$B$4,'Climate Data'!$B$7:$B$366,C4918)</x:f>
        <x:v>0.475</x:v>
      </x:c>
      <x:c r="I4918" s="382" t="n">
        <x:f>SUMIFS('Climate Data'!$H$7:$H$366,'Climate Data'!$A$7:$A$366,'Estimator'!$B$4,'Climate Data'!$B$7:$B$366,C4918)</x:f>
        <x:v>8.378947368421054</x:v>
      </x:c>
      <x:c r="J4918" s="381" t="n">
        <x:f>SUMIFS('Wind Proxy'!$H$8:$H$19,'Wind Proxy'!$A$8:$A$19,'Estimator'!$B$4,'Wind Proxy'!$B$8:$B$19,C4918)</x:f>
        <x:v>0.14197530864197533</x:v>
      </x:c>
    </x:row>
    <x:row r="4919">
      <x:c r="A4919" s="379" t="n">
        <x:v>50570</x:v>
      </x:c>
      <x:c r="B4919" s="380" t="n">
        <x:v>2038</x:v>
      </x:c>
      <x:c r="C4919" s="380" t="n">
        <x:v>6</x:v>
      </x:c>
      <x:c r="D4919" s="380" t="str">
        <x:v>Jun</x:v>
      </x:c>
      <x:c r="E4919" s="380" t="n">
        <x:v>14</x:v>
      </x:c>
      <x:c r="F4919" s="380" t="n">
        <x:v>1</x:v>
      </x:c>
      <x:c r="G4919" s="380" t="n">
        <x:f>--(F4919&lt;='Estimator'!$B$7)</x:f>
        <x:v>1</x:v>
      </x:c>
      <x:c r="H4919" s="381" t="n">
        <x:f>SUMIFS('Climate Data'!$G$7:$G$366,'Climate Data'!$A$7:$A$366,'Estimator'!$B$4,'Climate Data'!$B$7:$B$366,C4919)</x:f>
        <x:v>0.475</x:v>
      </x:c>
      <x:c r="I4919" s="382" t="n">
        <x:f>SUMIFS('Climate Data'!$H$7:$H$366,'Climate Data'!$A$7:$A$366,'Estimator'!$B$4,'Climate Data'!$B$7:$B$366,C4919)</x:f>
        <x:v>8.378947368421054</x:v>
      </x:c>
      <x:c r="J4919" s="381" t="n">
        <x:f>SUMIFS('Wind Proxy'!$H$8:$H$19,'Wind Proxy'!$A$8:$A$19,'Estimator'!$B$4,'Wind Proxy'!$B$8:$B$19,C4919)</x:f>
        <x:v>0.14197530864197533</x:v>
      </x:c>
    </x:row>
    <x:row r="4920">
      <x:c r="A4920" s="379" t="n">
        <x:v>50571</x:v>
      </x:c>
      <x:c r="B4920" s="380" t="n">
        <x:v>2038</x:v>
      </x:c>
      <x:c r="C4920" s="380" t="n">
        <x:v>6</x:v>
      </x:c>
      <x:c r="D4920" s="380" t="str">
        <x:v>Jun</x:v>
      </x:c>
      <x:c r="E4920" s="380" t="n">
        <x:v>15</x:v>
      </x:c>
      <x:c r="F4920" s="380" t="n">
        <x:v>2</x:v>
      </x:c>
      <x:c r="G4920" s="380" t="n">
        <x:f>--(F4920&lt;='Estimator'!$B$7)</x:f>
        <x:v>1</x:v>
      </x:c>
      <x:c r="H4920" s="381" t="n">
        <x:f>SUMIFS('Climate Data'!$G$7:$G$366,'Climate Data'!$A$7:$A$366,'Estimator'!$B$4,'Climate Data'!$B$7:$B$366,C4920)</x:f>
        <x:v>0.475</x:v>
      </x:c>
      <x:c r="I4920" s="382" t="n">
        <x:f>SUMIFS('Climate Data'!$H$7:$H$366,'Climate Data'!$A$7:$A$366,'Estimator'!$B$4,'Climate Data'!$B$7:$B$366,C4920)</x:f>
        <x:v>8.378947368421054</x:v>
      </x:c>
      <x:c r="J4920" s="381" t="n">
        <x:f>SUMIFS('Wind Proxy'!$H$8:$H$19,'Wind Proxy'!$A$8:$A$19,'Estimator'!$B$4,'Wind Proxy'!$B$8:$B$19,C4920)</x:f>
        <x:v>0.14197530864197533</x:v>
      </x:c>
    </x:row>
    <x:row r="4921">
      <x:c r="A4921" s="379" t="n">
        <x:v>50572</x:v>
      </x:c>
      <x:c r="B4921" s="380" t="n">
        <x:v>2038</x:v>
      </x:c>
      <x:c r="C4921" s="380" t="n">
        <x:v>6</x:v>
      </x:c>
      <x:c r="D4921" s="380" t="str">
        <x:v>Jun</x:v>
      </x:c>
      <x:c r="E4921" s="380" t="n">
        <x:v>16</x:v>
      </x:c>
      <x:c r="F4921" s="380" t="n">
        <x:v>3</x:v>
      </x:c>
      <x:c r="G4921" s="380" t="n">
        <x:f>--(F4921&lt;='Estimator'!$B$7)</x:f>
        <x:v>1</x:v>
      </x:c>
      <x:c r="H4921" s="381" t="n">
        <x:f>SUMIFS('Climate Data'!$G$7:$G$366,'Climate Data'!$A$7:$A$366,'Estimator'!$B$4,'Climate Data'!$B$7:$B$366,C4921)</x:f>
        <x:v>0.475</x:v>
      </x:c>
      <x:c r="I4921" s="382" t="n">
        <x:f>SUMIFS('Climate Data'!$H$7:$H$366,'Climate Data'!$A$7:$A$366,'Estimator'!$B$4,'Climate Data'!$B$7:$B$366,C4921)</x:f>
        <x:v>8.378947368421054</x:v>
      </x:c>
      <x:c r="J4921" s="381" t="n">
        <x:f>SUMIFS('Wind Proxy'!$H$8:$H$19,'Wind Proxy'!$A$8:$A$19,'Estimator'!$B$4,'Wind Proxy'!$B$8:$B$19,C4921)</x:f>
        <x:v>0.14197530864197533</x:v>
      </x:c>
    </x:row>
    <x:row r="4922">
      <x:c r="A4922" s="379" t="n">
        <x:v>50573</x:v>
      </x:c>
      <x:c r="B4922" s="380" t="n">
        <x:v>2038</x:v>
      </x:c>
      <x:c r="C4922" s="380" t="n">
        <x:v>6</x:v>
      </x:c>
      <x:c r="D4922" s="380" t="str">
        <x:v>Jun</x:v>
      </x:c>
      <x:c r="E4922" s="380" t="n">
        <x:v>17</x:v>
      </x:c>
      <x:c r="F4922" s="380" t="n">
        <x:v>4</x:v>
      </x:c>
      <x:c r="G4922" s="380" t="n">
        <x:f>--(F4922&lt;='Estimator'!$B$7)</x:f>
        <x:v>1</x:v>
      </x:c>
      <x:c r="H4922" s="381" t="n">
        <x:f>SUMIFS('Climate Data'!$G$7:$G$366,'Climate Data'!$A$7:$A$366,'Estimator'!$B$4,'Climate Data'!$B$7:$B$366,C4922)</x:f>
        <x:v>0.475</x:v>
      </x:c>
      <x:c r="I4922" s="382" t="n">
        <x:f>SUMIFS('Climate Data'!$H$7:$H$366,'Climate Data'!$A$7:$A$366,'Estimator'!$B$4,'Climate Data'!$B$7:$B$366,C4922)</x:f>
        <x:v>8.378947368421054</x:v>
      </x:c>
      <x:c r="J4922" s="381" t="n">
        <x:f>SUMIFS('Wind Proxy'!$H$8:$H$19,'Wind Proxy'!$A$8:$A$19,'Estimator'!$B$4,'Wind Proxy'!$B$8:$B$19,C4922)</x:f>
        <x:v>0.14197530864197533</x:v>
      </x:c>
    </x:row>
    <x:row r="4923">
      <x:c r="A4923" s="379" t="n">
        <x:v>50574</x:v>
      </x:c>
      <x:c r="B4923" s="380" t="n">
        <x:v>2038</x:v>
      </x:c>
      <x:c r="C4923" s="380" t="n">
        <x:v>6</x:v>
      </x:c>
      <x:c r="D4923" s="380" t="str">
        <x:v>Jun</x:v>
      </x:c>
      <x:c r="E4923" s="380" t="n">
        <x:v>18</x:v>
      </x:c>
      <x:c r="F4923" s="380" t="n">
        <x:v>5</x:v>
      </x:c>
      <x:c r="G4923" s="380" t="n">
        <x:f>--(F4923&lt;='Estimator'!$B$7)</x:f>
        <x:v>1</x:v>
      </x:c>
      <x:c r="H4923" s="381" t="n">
        <x:f>SUMIFS('Climate Data'!$G$7:$G$366,'Climate Data'!$A$7:$A$366,'Estimator'!$B$4,'Climate Data'!$B$7:$B$366,C4923)</x:f>
        <x:v>0.475</x:v>
      </x:c>
      <x:c r="I4923" s="382" t="n">
        <x:f>SUMIFS('Climate Data'!$H$7:$H$366,'Climate Data'!$A$7:$A$366,'Estimator'!$B$4,'Climate Data'!$B$7:$B$366,C4923)</x:f>
        <x:v>8.378947368421054</x:v>
      </x:c>
      <x:c r="J4923" s="381" t="n">
        <x:f>SUMIFS('Wind Proxy'!$H$8:$H$19,'Wind Proxy'!$A$8:$A$19,'Estimator'!$B$4,'Wind Proxy'!$B$8:$B$19,C4923)</x:f>
        <x:v>0.14197530864197533</x:v>
      </x:c>
    </x:row>
    <x:row r="4924">
      <x:c r="A4924" s="379" t="n">
        <x:v>50575</x:v>
      </x:c>
      <x:c r="B4924" s="380" t="n">
        <x:v>2038</x:v>
      </x:c>
      <x:c r="C4924" s="380" t="n">
        <x:v>6</x:v>
      </x:c>
      <x:c r="D4924" s="380" t="str">
        <x:v>Jun</x:v>
      </x:c>
      <x:c r="E4924" s="380" t="n">
        <x:v>19</x:v>
      </x:c>
      <x:c r="F4924" s="380" t="n">
        <x:v>6</x:v>
      </x:c>
      <x:c r="G4924" s="380" t="n">
        <x:f>--(F4924&lt;='Estimator'!$B$7)</x:f>
        <x:v>0</x:v>
      </x:c>
      <x:c r="H4924" s="381" t="n">
        <x:f>SUMIFS('Climate Data'!$G$7:$G$366,'Climate Data'!$A$7:$A$366,'Estimator'!$B$4,'Climate Data'!$B$7:$B$366,C4924)</x:f>
        <x:v>0.475</x:v>
      </x:c>
      <x:c r="I4924" s="382" t="n">
        <x:f>SUMIFS('Climate Data'!$H$7:$H$366,'Climate Data'!$A$7:$A$366,'Estimator'!$B$4,'Climate Data'!$B$7:$B$366,C4924)</x:f>
        <x:v>8.378947368421054</x:v>
      </x:c>
      <x:c r="J4924" s="381" t="n">
        <x:f>SUMIFS('Wind Proxy'!$H$8:$H$19,'Wind Proxy'!$A$8:$A$19,'Estimator'!$B$4,'Wind Proxy'!$B$8:$B$19,C4924)</x:f>
        <x:v>0.14197530864197533</x:v>
      </x:c>
    </x:row>
    <x:row r="4925">
      <x:c r="A4925" s="379" t="n">
        <x:v>50576</x:v>
      </x:c>
      <x:c r="B4925" s="380" t="n">
        <x:v>2038</x:v>
      </x:c>
      <x:c r="C4925" s="380" t="n">
        <x:v>6</x:v>
      </x:c>
      <x:c r="D4925" s="380" t="str">
        <x:v>Jun</x:v>
      </x:c>
      <x:c r="E4925" s="380" t="n">
        <x:v>20</x:v>
      </x:c>
      <x:c r="F4925" s="380" t="n">
        <x:v>7</x:v>
      </x:c>
      <x:c r="G4925" s="380" t="n">
        <x:f>--(F4925&lt;='Estimator'!$B$7)</x:f>
        <x:v>0</x:v>
      </x:c>
      <x:c r="H4925" s="381" t="n">
        <x:f>SUMIFS('Climate Data'!$G$7:$G$366,'Climate Data'!$A$7:$A$366,'Estimator'!$B$4,'Climate Data'!$B$7:$B$366,C4925)</x:f>
        <x:v>0.475</x:v>
      </x:c>
      <x:c r="I4925" s="382" t="n">
        <x:f>SUMIFS('Climate Data'!$H$7:$H$366,'Climate Data'!$A$7:$A$366,'Estimator'!$B$4,'Climate Data'!$B$7:$B$366,C4925)</x:f>
        <x:v>8.378947368421054</x:v>
      </x:c>
      <x:c r="J4925" s="381" t="n">
        <x:f>SUMIFS('Wind Proxy'!$H$8:$H$19,'Wind Proxy'!$A$8:$A$19,'Estimator'!$B$4,'Wind Proxy'!$B$8:$B$19,C4925)</x:f>
        <x:v>0.14197530864197533</x:v>
      </x:c>
    </x:row>
    <x:row r="4926">
      <x:c r="A4926" s="379" t="n">
        <x:v>50577</x:v>
      </x:c>
      <x:c r="B4926" s="380" t="n">
        <x:v>2038</x:v>
      </x:c>
      <x:c r="C4926" s="380" t="n">
        <x:v>6</x:v>
      </x:c>
      <x:c r="D4926" s="380" t="str">
        <x:v>Jun</x:v>
      </x:c>
      <x:c r="E4926" s="380" t="n">
        <x:v>21</x:v>
      </x:c>
      <x:c r="F4926" s="380" t="n">
        <x:v>1</x:v>
      </x:c>
      <x:c r="G4926" s="380" t="n">
        <x:f>--(F4926&lt;='Estimator'!$B$7)</x:f>
        <x:v>1</x:v>
      </x:c>
      <x:c r="H4926" s="381" t="n">
        <x:f>SUMIFS('Climate Data'!$G$7:$G$366,'Climate Data'!$A$7:$A$366,'Estimator'!$B$4,'Climate Data'!$B$7:$B$366,C4926)</x:f>
        <x:v>0.475</x:v>
      </x:c>
      <x:c r="I4926" s="382" t="n">
        <x:f>SUMIFS('Climate Data'!$H$7:$H$366,'Climate Data'!$A$7:$A$366,'Estimator'!$B$4,'Climate Data'!$B$7:$B$366,C4926)</x:f>
        <x:v>8.378947368421054</x:v>
      </x:c>
      <x:c r="J4926" s="381" t="n">
        <x:f>SUMIFS('Wind Proxy'!$H$8:$H$19,'Wind Proxy'!$A$8:$A$19,'Estimator'!$B$4,'Wind Proxy'!$B$8:$B$19,C4926)</x:f>
        <x:v>0.14197530864197533</x:v>
      </x:c>
    </x:row>
    <x:row r="4927">
      <x:c r="A4927" s="379" t="n">
        <x:v>50578</x:v>
      </x:c>
      <x:c r="B4927" s="380" t="n">
        <x:v>2038</x:v>
      </x:c>
      <x:c r="C4927" s="380" t="n">
        <x:v>6</x:v>
      </x:c>
      <x:c r="D4927" s="380" t="str">
        <x:v>Jun</x:v>
      </x:c>
      <x:c r="E4927" s="380" t="n">
        <x:v>22</x:v>
      </x:c>
      <x:c r="F4927" s="380" t="n">
        <x:v>2</x:v>
      </x:c>
      <x:c r="G4927" s="380" t="n">
        <x:f>--(F4927&lt;='Estimator'!$B$7)</x:f>
        <x:v>1</x:v>
      </x:c>
      <x:c r="H4927" s="381" t="n">
        <x:f>SUMIFS('Climate Data'!$G$7:$G$366,'Climate Data'!$A$7:$A$366,'Estimator'!$B$4,'Climate Data'!$B$7:$B$366,C4927)</x:f>
        <x:v>0.475</x:v>
      </x:c>
      <x:c r="I4927" s="382" t="n">
        <x:f>SUMIFS('Climate Data'!$H$7:$H$366,'Climate Data'!$A$7:$A$366,'Estimator'!$B$4,'Climate Data'!$B$7:$B$366,C4927)</x:f>
        <x:v>8.378947368421054</x:v>
      </x:c>
      <x:c r="J4927" s="381" t="n">
        <x:f>SUMIFS('Wind Proxy'!$H$8:$H$19,'Wind Proxy'!$A$8:$A$19,'Estimator'!$B$4,'Wind Proxy'!$B$8:$B$19,C4927)</x:f>
        <x:v>0.14197530864197533</x:v>
      </x:c>
    </x:row>
    <x:row r="4928">
      <x:c r="A4928" s="379" t="n">
        <x:v>50579</x:v>
      </x:c>
      <x:c r="B4928" s="380" t="n">
        <x:v>2038</x:v>
      </x:c>
      <x:c r="C4928" s="380" t="n">
        <x:v>6</x:v>
      </x:c>
      <x:c r="D4928" s="380" t="str">
        <x:v>Jun</x:v>
      </x:c>
      <x:c r="E4928" s="380" t="n">
        <x:v>23</x:v>
      </x:c>
      <x:c r="F4928" s="380" t="n">
        <x:v>3</x:v>
      </x:c>
      <x:c r="G4928" s="380" t="n">
        <x:f>--(F4928&lt;='Estimator'!$B$7)</x:f>
        <x:v>1</x:v>
      </x:c>
      <x:c r="H4928" s="381" t="n">
        <x:f>SUMIFS('Climate Data'!$G$7:$G$366,'Climate Data'!$A$7:$A$366,'Estimator'!$B$4,'Climate Data'!$B$7:$B$366,C4928)</x:f>
        <x:v>0.475</x:v>
      </x:c>
      <x:c r="I4928" s="382" t="n">
        <x:f>SUMIFS('Climate Data'!$H$7:$H$366,'Climate Data'!$A$7:$A$366,'Estimator'!$B$4,'Climate Data'!$B$7:$B$366,C4928)</x:f>
        <x:v>8.378947368421054</x:v>
      </x:c>
      <x:c r="J4928" s="381" t="n">
        <x:f>SUMIFS('Wind Proxy'!$H$8:$H$19,'Wind Proxy'!$A$8:$A$19,'Estimator'!$B$4,'Wind Proxy'!$B$8:$B$19,C4928)</x:f>
        <x:v>0.14197530864197533</x:v>
      </x:c>
    </x:row>
    <x:row r="4929">
      <x:c r="A4929" s="379" t="n">
        <x:v>50580</x:v>
      </x:c>
      <x:c r="B4929" s="380" t="n">
        <x:v>2038</x:v>
      </x:c>
      <x:c r="C4929" s="380" t="n">
        <x:v>6</x:v>
      </x:c>
      <x:c r="D4929" s="380" t="str">
        <x:v>Jun</x:v>
      </x:c>
      <x:c r="E4929" s="380" t="n">
        <x:v>24</x:v>
      </x:c>
      <x:c r="F4929" s="380" t="n">
        <x:v>4</x:v>
      </x:c>
      <x:c r="G4929" s="380" t="n">
        <x:f>--(F4929&lt;='Estimator'!$B$7)</x:f>
        <x:v>1</x:v>
      </x:c>
      <x:c r="H4929" s="381" t="n">
        <x:f>SUMIFS('Climate Data'!$G$7:$G$366,'Climate Data'!$A$7:$A$366,'Estimator'!$B$4,'Climate Data'!$B$7:$B$366,C4929)</x:f>
        <x:v>0.475</x:v>
      </x:c>
      <x:c r="I4929" s="382" t="n">
        <x:f>SUMIFS('Climate Data'!$H$7:$H$366,'Climate Data'!$A$7:$A$366,'Estimator'!$B$4,'Climate Data'!$B$7:$B$366,C4929)</x:f>
        <x:v>8.378947368421054</x:v>
      </x:c>
      <x:c r="J4929" s="381" t="n">
        <x:f>SUMIFS('Wind Proxy'!$H$8:$H$19,'Wind Proxy'!$A$8:$A$19,'Estimator'!$B$4,'Wind Proxy'!$B$8:$B$19,C4929)</x:f>
        <x:v>0.14197530864197533</x:v>
      </x:c>
    </x:row>
    <x:row r="4930">
      <x:c r="A4930" s="379" t="n">
        <x:v>50581</x:v>
      </x:c>
      <x:c r="B4930" s="380" t="n">
        <x:v>2038</x:v>
      </x:c>
      <x:c r="C4930" s="380" t="n">
        <x:v>6</x:v>
      </x:c>
      <x:c r="D4930" s="380" t="str">
        <x:v>Jun</x:v>
      </x:c>
      <x:c r="E4930" s="380" t="n">
        <x:v>25</x:v>
      </x:c>
      <x:c r="F4930" s="380" t="n">
        <x:v>5</x:v>
      </x:c>
      <x:c r="G4930" s="380" t="n">
        <x:f>--(F4930&lt;='Estimator'!$B$7)</x:f>
        <x:v>1</x:v>
      </x:c>
      <x:c r="H4930" s="381" t="n">
        <x:f>SUMIFS('Climate Data'!$G$7:$G$366,'Climate Data'!$A$7:$A$366,'Estimator'!$B$4,'Climate Data'!$B$7:$B$366,C4930)</x:f>
        <x:v>0.475</x:v>
      </x:c>
      <x:c r="I4930" s="382" t="n">
        <x:f>SUMIFS('Climate Data'!$H$7:$H$366,'Climate Data'!$A$7:$A$366,'Estimator'!$B$4,'Climate Data'!$B$7:$B$366,C4930)</x:f>
        <x:v>8.378947368421054</x:v>
      </x:c>
      <x:c r="J4930" s="381" t="n">
        <x:f>SUMIFS('Wind Proxy'!$H$8:$H$19,'Wind Proxy'!$A$8:$A$19,'Estimator'!$B$4,'Wind Proxy'!$B$8:$B$19,C4930)</x:f>
        <x:v>0.14197530864197533</x:v>
      </x:c>
    </x:row>
    <x:row r="4931">
      <x:c r="A4931" s="379" t="n">
        <x:v>50582</x:v>
      </x:c>
      <x:c r="B4931" s="380" t="n">
        <x:v>2038</x:v>
      </x:c>
      <x:c r="C4931" s="380" t="n">
        <x:v>6</x:v>
      </x:c>
      <x:c r="D4931" s="380" t="str">
        <x:v>Jun</x:v>
      </x:c>
      <x:c r="E4931" s="380" t="n">
        <x:v>26</x:v>
      </x:c>
      <x:c r="F4931" s="380" t="n">
        <x:v>6</x:v>
      </x:c>
      <x:c r="G4931" s="380" t="n">
        <x:f>--(F4931&lt;='Estimator'!$B$7)</x:f>
        <x:v>0</x:v>
      </x:c>
      <x:c r="H4931" s="381" t="n">
        <x:f>SUMIFS('Climate Data'!$G$7:$G$366,'Climate Data'!$A$7:$A$366,'Estimator'!$B$4,'Climate Data'!$B$7:$B$366,C4931)</x:f>
        <x:v>0.475</x:v>
      </x:c>
      <x:c r="I4931" s="382" t="n">
        <x:f>SUMIFS('Climate Data'!$H$7:$H$366,'Climate Data'!$A$7:$A$366,'Estimator'!$B$4,'Climate Data'!$B$7:$B$366,C4931)</x:f>
        <x:v>8.378947368421054</x:v>
      </x:c>
      <x:c r="J4931" s="381" t="n">
        <x:f>SUMIFS('Wind Proxy'!$H$8:$H$19,'Wind Proxy'!$A$8:$A$19,'Estimator'!$B$4,'Wind Proxy'!$B$8:$B$19,C4931)</x:f>
        <x:v>0.14197530864197533</x:v>
      </x:c>
    </x:row>
    <x:row r="4932">
      <x:c r="A4932" s="379" t="n">
        <x:v>50583</x:v>
      </x:c>
      <x:c r="B4932" s="380" t="n">
        <x:v>2038</x:v>
      </x:c>
      <x:c r="C4932" s="380" t="n">
        <x:v>6</x:v>
      </x:c>
      <x:c r="D4932" s="380" t="str">
        <x:v>Jun</x:v>
      </x:c>
      <x:c r="E4932" s="380" t="n">
        <x:v>27</x:v>
      </x:c>
      <x:c r="F4932" s="380" t="n">
        <x:v>7</x:v>
      </x:c>
      <x:c r="G4932" s="380" t="n">
        <x:f>--(F4932&lt;='Estimator'!$B$7)</x:f>
        <x:v>0</x:v>
      </x:c>
      <x:c r="H4932" s="381" t="n">
        <x:f>SUMIFS('Climate Data'!$G$7:$G$366,'Climate Data'!$A$7:$A$366,'Estimator'!$B$4,'Climate Data'!$B$7:$B$366,C4932)</x:f>
        <x:v>0.475</x:v>
      </x:c>
      <x:c r="I4932" s="382" t="n">
        <x:f>SUMIFS('Climate Data'!$H$7:$H$366,'Climate Data'!$A$7:$A$366,'Estimator'!$B$4,'Climate Data'!$B$7:$B$366,C4932)</x:f>
        <x:v>8.378947368421054</x:v>
      </x:c>
      <x:c r="J4932" s="381" t="n">
        <x:f>SUMIFS('Wind Proxy'!$H$8:$H$19,'Wind Proxy'!$A$8:$A$19,'Estimator'!$B$4,'Wind Proxy'!$B$8:$B$19,C4932)</x:f>
        <x:v>0.14197530864197533</x:v>
      </x:c>
    </x:row>
    <x:row r="4933">
      <x:c r="A4933" s="379" t="n">
        <x:v>50584</x:v>
      </x:c>
      <x:c r="B4933" s="380" t="n">
        <x:v>2038</x:v>
      </x:c>
      <x:c r="C4933" s="380" t="n">
        <x:v>6</x:v>
      </x:c>
      <x:c r="D4933" s="380" t="str">
        <x:v>Jun</x:v>
      </x:c>
      <x:c r="E4933" s="380" t="n">
        <x:v>28</x:v>
      </x:c>
      <x:c r="F4933" s="380" t="n">
        <x:v>1</x:v>
      </x:c>
      <x:c r="G4933" s="380" t="n">
        <x:f>--(F4933&lt;='Estimator'!$B$7)</x:f>
        <x:v>1</x:v>
      </x:c>
      <x:c r="H4933" s="381" t="n">
        <x:f>SUMIFS('Climate Data'!$G$7:$G$366,'Climate Data'!$A$7:$A$366,'Estimator'!$B$4,'Climate Data'!$B$7:$B$366,C4933)</x:f>
        <x:v>0.475</x:v>
      </x:c>
      <x:c r="I4933" s="382" t="n">
        <x:f>SUMIFS('Climate Data'!$H$7:$H$366,'Climate Data'!$A$7:$A$366,'Estimator'!$B$4,'Climate Data'!$B$7:$B$366,C4933)</x:f>
        <x:v>8.378947368421054</x:v>
      </x:c>
      <x:c r="J4933" s="381" t="n">
        <x:f>SUMIFS('Wind Proxy'!$H$8:$H$19,'Wind Proxy'!$A$8:$A$19,'Estimator'!$B$4,'Wind Proxy'!$B$8:$B$19,C4933)</x:f>
        <x:v>0.14197530864197533</x:v>
      </x:c>
    </x:row>
    <x:row r="4934">
      <x:c r="A4934" s="379" t="n">
        <x:v>50585</x:v>
      </x:c>
      <x:c r="B4934" s="380" t="n">
        <x:v>2038</x:v>
      </x:c>
      <x:c r="C4934" s="380" t="n">
        <x:v>6</x:v>
      </x:c>
      <x:c r="D4934" s="380" t="str">
        <x:v>Jun</x:v>
      </x:c>
      <x:c r="E4934" s="380" t="n">
        <x:v>29</x:v>
      </x:c>
      <x:c r="F4934" s="380" t="n">
        <x:v>2</x:v>
      </x:c>
      <x:c r="G4934" s="380" t="n">
        <x:f>--(F4934&lt;='Estimator'!$B$7)</x:f>
        <x:v>1</x:v>
      </x:c>
      <x:c r="H4934" s="381" t="n">
        <x:f>SUMIFS('Climate Data'!$G$7:$G$366,'Climate Data'!$A$7:$A$366,'Estimator'!$B$4,'Climate Data'!$B$7:$B$366,C4934)</x:f>
        <x:v>0.475</x:v>
      </x:c>
      <x:c r="I4934" s="382" t="n">
        <x:f>SUMIFS('Climate Data'!$H$7:$H$366,'Climate Data'!$A$7:$A$366,'Estimator'!$B$4,'Climate Data'!$B$7:$B$366,C4934)</x:f>
        <x:v>8.378947368421054</x:v>
      </x:c>
      <x:c r="J4934" s="381" t="n">
        <x:f>SUMIFS('Wind Proxy'!$H$8:$H$19,'Wind Proxy'!$A$8:$A$19,'Estimator'!$B$4,'Wind Proxy'!$B$8:$B$19,C4934)</x:f>
        <x:v>0.14197530864197533</x:v>
      </x:c>
    </x:row>
    <x:row r="4935">
      <x:c r="A4935" s="379" t="n">
        <x:v>50586</x:v>
      </x:c>
      <x:c r="B4935" s="380" t="n">
        <x:v>2038</x:v>
      </x:c>
      <x:c r="C4935" s="380" t="n">
        <x:v>6</x:v>
      </x:c>
      <x:c r="D4935" s="380" t="str">
        <x:v>Jun</x:v>
      </x:c>
      <x:c r="E4935" s="380" t="n">
        <x:v>30</x:v>
      </x:c>
      <x:c r="F4935" s="380" t="n">
        <x:v>3</x:v>
      </x:c>
      <x:c r="G4935" s="380" t="n">
        <x:f>--(F4935&lt;='Estimator'!$B$7)</x:f>
        <x:v>1</x:v>
      </x:c>
      <x:c r="H4935" s="381" t="n">
        <x:f>SUMIFS('Climate Data'!$G$7:$G$366,'Climate Data'!$A$7:$A$366,'Estimator'!$B$4,'Climate Data'!$B$7:$B$366,C4935)</x:f>
        <x:v>0.475</x:v>
      </x:c>
      <x:c r="I4935" s="382" t="n">
        <x:f>SUMIFS('Climate Data'!$H$7:$H$366,'Climate Data'!$A$7:$A$366,'Estimator'!$B$4,'Climate Data'!$B$7:$B$366,C4935)</x:f>
        <x:v>8.378947368421054</x:v>
      </x:c>
      <x:c r="J4935" s="381" t="n">
        <x:f>SUMIFS('Wind Proxy'!$H$8:$H$19,'Wind Proxy'!$A$8:$A$19,'Estimator'!$B$4,'Wind Proxy'!$B$8:$B$19,C4935)</x:f>
        <x:v>0.14197530864197533</x:v>
      </x:c>
    </x:row>
    <x:row r="4936">
      <x:c r="A4936" s="379" t="n">
        <x:v>50587</x:v>
      </x:c>
      <x:c r="B4936" s="380" t="n">
        <x:v>2038</x:v>
      </x:c>
      <x:c r="C4936" s="380" t="n">
        <x:v>7</x:v>
      </x:c>
      <x:c r="D4936" s="380" t="str">
        <x:v>Jul</x:v>
      </x:c>
      <x:c r="E4936" s="380" t="n">
        <x:v>1</x:v>
      </x:c>
      <x:c r="F4936" s="380" t="n">
        <x:v>4</x:v>
      </x:c>
      <x:c r="G4936" s="380" t="n">
        <x:f>--(F4936&lt;='Estimator'!$B$7)</x:f>
        <x:v>1</x:v>
      </x:c>
      <x:c r="H4936" s="381" t="n">
        <x:f>SUMIFS('Climate Data'!$G$7:$G$366,'Climate Data'!$A$7:$A$366,'Estimator'!$B$4,'Climate Data'!$B$7:$B$366,C4936)</x:f>
        <x:v>0.49078341013824883</x:v>
      </x:c>
      <x:c r="I4936" s="382" t="n">
        <x:f>SUMIFS('Climate Data'!$H$7:$H$366,'Climate Data'!$A$7:$A$366,'Estimator'!$B$4,'Climate Data'!$B$7:$B$366,C4936)</x:f>
        <x:v>8.998122065727701</x:v>
      </x:c>
      <x:c r="J4936" s="381" t="n">
        <x:f>SUMIFS('Wind Proxy'!$H$8:$H$19,'Wind Proxy'!$A$8:$A$19,'Estimator'!$B$4,'Wind Proxy'!$B$8:$B$19,C4936)</x:f>
        <x:v>0.13739545997610514</x:v>
      </x:c>
    </x:row>
    <x:row r="4937">
      <x:c r="A4937" s="379" t="n">
        <x:v>50588</x:v>
      </x:c>
      <x:c r="B4937" s="380" t="n">
        <x:v>2038</x:v>
      </x:c>
      <x:c r="C4937" s="380" t="n">
        <x:v>7</x:v>
      </x:c>
      <x:c r="D4937" s="380" t="str">
        <x:v>Jul</x:v>
      </x:c>
      <x:c r="E4937" s="380" t="n">
        <x:v>2</x:v>
      </x:c>
      <x:c r="F4937" s="380" t="n">
        <x:v>5</x:v>
      </x:c>
      <x:c r="G4937" s="380" t="n">
        <x:f>--(F4937&lt;='Estimator'!$B$7)</x:f>
        <x:v>1</x:v>
      </x:c>
      <x:c r="H4937" s="381" t="n">
        <x:f>SUMIFS('Climate Data'!$G$7:$G$366,'Climate Data'!$A$7:$A$366,'Estimator'!$B$4,'Climate Data'!$B$7:$B$366,C4937)</x:f>
        <x:v>0.49078341013824883</x:v>
      </x:c>
      <x:c r="I4937" s="382" t="n">
        <x:f>SUMIFS('Climate Data'!$H$7:$H$366,'Climate Data'!$A$7:$A$366,'Estimator'!$B$4,'Climate Data'!$B$7:$B$366,C4937)</x:f>
        <x:v>8.998122065727701</x:v>
      </x:c>
      <x:c r="J4937" s="381" t="n">
        <x:f>SUMIFS('Wind Proxy'!$H$8:$H$19,'Wind Proxy'!$A$8:$A$19,'Estimator'!$B$4,'Wind Proxy'!$B$8:$B$19,C4937)</x:f>
        <x:v>0.13739545997610514</x:v>
      </x:c>
    </x:row>
    <x:row r="4938">
      <x:c r="A4938" s="379" t="n">
        <x:v>50589</x:v>
      </x:c>
      <x:c r="B4938" s="380" t="n">
        <x:v>2038</x:v>
      </x:c>
      <x:c r="C4938" s="380" t="n">
        <x:v>7</x:v>
      </x:c>
      <x:c r="D4938" s="380" t="str">
        <x:v>Jul</x:v>
      </x:c>
      <x:c r="E4938" s="380" t="n">
        <x:v>3</x:v>
      </x:c>
      <x:c r="F4938" s="380" t="n">
        <x:v>6</x:v>
      </x:c>
      <x:c r="G4938" s="380" t="n">
        <x:f>--(F4938&lt;='Estimator'!$B$7)</x:f>
        <x:v>0</x:v>
      </x:c>
      <x:c r="H4938" s="381" t="n">
        <x:f>SUMIFS('Climate Data'!$G$7:$G$366,'Climate Data'!$A$7:$A$366,'Estimator'!$B$4,'Climate Data'!$B$7:$B$366,C4938)</x:f>
        <x:v>0.49078341013824883</x:v>
      </x:c>
      <x:c r="I4938" s="382" t="n">
        <x:f>SUMIFS('Climate Data'!$H$7:$H$366,'Climate Data'!$A$7:$A$366,'Estimator'!$B$4,'Climate Data'!$B$7:$B$366,C4938)</x:f>
        <x:v>8.998122065727701</x:v>
      </x:c>
      <x:c r="J4938" s="381" t="n">
        <x:f>SUMIFS('Wind Proxy'!$H$8:$H$19,'Wind Proxy'!$A$8:$A$19,'Estimator'!$B$4,'Wind Proxy'!$B$8:$B$19,C4938)</x:f>
        <x:v>0.13739545997610514</x:v>
      </x:c>
    </x:row>
    <x:row r="4939">
      <x:c r="A4939" s="379" t="n">
        <x:v>50590</x:v>
      </x:c>
      <x:c r="B4939" s="380" t="n">
        <x:v>2038</x:v>
      </x:c>
      <x:c r="C4939" s="380" t="n">
        <x:v>7</x:v>
      </x:c>
      <x:c r="D4939" s="380" t="str">
        <x:v>Jul</x:v>
      </x:c>
      <x:c r="E4939" s="380" t="n">
        <x:v>4</x:v>
      </x:c>
      <x:c r="F4939" s="380" t="n">
        <x:v>7</x:v>
      </x:c>
      <x:c r="G4939" s="380" t="n">
        <x:f>--(F4939&lt;='Estimator'!$B$7)</x:f>
        <x:v>0</x:v>
      </x:c>
      <x:c r="H4939" s="381" t="n">
        <x:f>SUMIFS('Climate Data'!$G$7:$G$366,'Climate Data'!$A$7:$A$366,'Estimator'!$B$4,'Climate Data'!$B$7:$B$366,C4939)</x:f>
        <x:v>0.49078341013824883</x:v>
      </x:c>
      <x:c r="I4939" s="382" t="n">
        <x:f>SUMIFS('Climate Data'!$H$7:$H$366,'Climate Data'!$A$7:$A$366,'Estimator'!$B$4,'Climate Data'!$B$7:$B$366,C4939)</x:f>
        <x:v>8.998122065727701</x:v>
      </x:c>
      <x:c r="J4939" s="381" t="n">
        <x:f>SUMIFS('Wind Proxy'!$H$8:$H$19,'Wind Proxy'!$A$8:$A$19,'Estimator'!$B$4,'Wind Proxy'!$B$8:$B$19,C4939)</x:f>
        <x:v>0.13739545997610514</x:v>
      </x:c>
    </x:row>
    <x:row r="4940">
      <x:c r="A4940" s="379" t="n">
        <x:v>50591</x:v>
      </x:c>
      <x:c r="B4940" s="380" t="n">
        <x:v>2038</x:v>
      </x:c>
      <x:c r="C4940" s="380" t="n">
        <x:v>7</x:v>
      </x:c>
      <x:c r="D4940" s="380" t="str">
        <x:v>Jul</x:v>
      </x:c>
      <x:c r="E4940" s="380" t="n">
        <x:v>5</x:v>
      </x:c>
      <x:c r="F4940" s="380" t="n">
        <x:v>1</x:v>
      </x:c>
      <x:c r="G4940" s="380" t="n">
        <x:f>--(F4940&lt;='Estimator'!$B$7)</x:f>
        <x:v>1</x:v>
      </x:c>
      <x:c r="H4940" s="381" t="n">
        <x:f>SUMIFS('Climate Data'!$G$7:$G$366,'Climate Data'!$A$7:$A$366,'Estimator'!$B$4,'Climate Data'!$B$7:$B$366,C4940)</x:f>
        <x:v>0.49078341013824883</x:v>
      </x:c>
      <x:c r="I4940" s="382" t="n">
        <x:f>SUMIFS('Climate Data'!$H$7:$H$366,'Climate Data'!$A$7:$A$366,'Estimator'!$B$4,'Climate Data'!$B$7:$B$366,C4940)</x:f>
        <x:v>8.998122065727701</x:v>
      </x:c>
      <x:c r="J4940" s="381" t="n">
        <x:f>SUMIFS('Wind Proxy'!$H$8:$H$19,'Wind Proxy'!$A$8:$A$19,'Estimator'!$B$4,'Wind Proxy'!$B$8:$B$19,C4940)</x:f>
        <x:v>0.13739545997610514</x:v>
      </x:c>
    </x:row>
    <x:row r="4941">
      <x:c r="A4941" s="379" t="n">
        <x:v>50592</x:v>
      </x:c>
      <x:c r="B4941" s="380" t="n">
        <x:v>2038</x:v>
      </x:c>
      <x:c r="C4941" s="380" t="n">
        <x:v>7</x:v>
      </x:c>
      <x:c r="D4941" s="380" t="str">
        <x:v>Jul</x:v>
      </x:c>
      <x:c r="E4941" s="380" t="n">
        <x:v>6</x:v>
      </x:c>
      <x:c r="F4941" s="380" t="n">
        <x:v>2</x:v>
      </x:c>
      <x:c r="G4941" s="380" t="n">
        <x:f>--(F4941&lt;='Estimator'!$B$7)</x:f>
        <x:v>1</x:v>
      </x:c>
      <x:c r="H4941" s="381" t="n">
        <x:f>SUMIFS('Climate Data'!$G$7:$G$366,'Climate Data'!$A$7:$A$366,'Estimator'!$B$4,'Climate Data'!$B$7:$B$366,C4941)</x:f>
        <x:v>0.49078341013824883</x:v>
      </x:c>
      <x:c r="I4941" s="382" t="n">
        <x:f>SUMIFS('Climate Data'!$H$7:$H$366,'Climate Data'!$A$7:$A$366,'Estimator'!$B$4,'Climate Data'!$B$7:$B$366,C4941)</x:f>
        <x:v>8.998122065727701</x:v>
      </x:c>
      <x:c r="J4941" s="381" t="n">
        <x:f>SUMIFS('Wind Proxy'!$H$8:$H$19,'Wind Proxy'!$A$8:$A$19,'Estimator'!$B$4,'Wind Proxy'!$B$8:$B$19,C4941)</x:f>
        <x:v>0.13739545997610514</x:v>
      </x:c>
    </x:row>
    <x:row r="4942">
      <x:c r="A4942" s="379" t="n">
        <x:v>50593</x:v>
      </x:c>
      <x:c r="B4942" s="380" t="n">
        <x:v>2038</x:v>
      </x:c>
      <x:c r="C4942" s="380" t="n">
        <x:v>7</x:v>
      </x:c>
      <x:c r="D4942" s="380" t="str">
        <x:v>Jul</x:v>
      </x:c>
      <x:c r="E4942" s="380" t="n">
        <x:v>7</x:v>
      </x:c>
      <x:c r="F4942" s="380" t="n">
        <x:v>3</x:v>
      </x:c>
      <x:c r="G4942" s="380" t="n">
        <x:f>--(F4942&lt;='Estimator'!$B$7)</x:f>
        <x:v>1</x:v>
      </x:c>
      <x:c r="H4942" s="381" t="n">
        <x:f>SUMIFS('Climate Data'!$G$7:$G$366,'Climate Data'!$A$7:$A$366,'Estimator'!$B$4,'Climate Data'!$B$7:$B$366,C4942)</x:f>
        <x:v>0.49078341013824883</x:v>
      </x:c>
      <x:c r="I4942" s="382" t="n">
        <x:f>SUMIFS('Climate Data'!$H$7:$H$366,'Climate Data'!$A$7:$A$366,'Estimator'!$B$4,'Climate Data'!$B$7:$B$366,C4942)</x:f>
        <x:v>8.998122065727701</x:v>
      </x:c>
      <x:c r="J4942" s="381" t="n">
        <x:f>SUMIFS('Wind Proxy'!$H$8:$H$19,'Wind Proxy'!$A$8:$A$19,'Estimator'!$B$4,'Wind Proxy'!$B$8:$B$19,C4942)</x:f>
        <x:v>0.13739545997610514</x:v>
      </x:c>
    </x:row>
    <x:row r="4943">
      <x:c r="A4943" s="379" t="n">
        <x:v>50594</x:v>
      </x:c>
      <x:c r="B4943" s="380" t="n">
        <x:v>2038</x:v>
      </x:c>
      <x:c r="C4943" s="380" t="n">
        <x:v>7</x:v>
      </x:c>
      <x:c r="D4943" s="380" t="str">
        <x:v>Jul</x:v>
      </x:c>
      <x:c r="E4943" s="380" t="n">
        <x:v>8</x:v>
      </x:c>
      <x:c r="F4943" s="380" t="n">
        <x:v>4</x:v>
      </x:c>
      <x:c r="G4943" s="380" t="n">
        <x:f>--(F4943&lt;='Estimator'!$B$7)</x:f>
        <x:v>1</x:v>
      </x:c>
      <x:c r="H4943" s="381" t="n">
        <x:f>SUMIFS('Climate Data'!$G$7:$G$366,'Climate Data'!$A$7:$A$366,'Estimator'!$B$4,'Climate Data'!$B$7:$B$366,C4943)</x:f>
        <x:v>0.49078341013824883</x:v>
      </x:c>
      <x:c r="I4943" s="382" t="n">
        <x:f>SUMIFS('Climate Data'!$H$7:$H$366,'Climate Data'!$A$7:$A$366,'Estimator'!$B$4,'Climate Data'!$B$7:$B$366,C4943)</x:f>
        <x:v>8.998122065727701</x:v>
      </x:c>
      <x:c r="J4943" s="381" t="n">
        <x:f>SUMIFS('Wind Proxy'!$H$8:$H$19,'Wind Proxy'!$A$8:$A$19,'Estimator'!$B$4,'Wind Proxy'!$B$8:$B$19,C4943)</x:f>
        <x:v>0.13739545997610514</x:v>
      </x:c>
    </x:row>
    <x:row r="4944">
      <x:c r="A4944" s="379" t="n">
        <x:v>50595</x:v>
      </x:c>
      <x:c r="B4944" s="380" t="n">
        <x:v>2038</x:v>
      </x:c>
      <x:c r="C4944" s="380" t="n">
        <x:v>7</x:v>
      </x:c>
      <x:c r="D4944" s="380" t="str">
        <x:v>Jul</x:v>
      </x:c>
      <x:c r="E4944" s="380" t="n">
        <x:v>9</x:v>
      </x:c>
      <x:c r="F4944" s="380" t="n">
        <x:v>5</x:v>
      </x:c>
      <x:c r="G4944" s="380" t="n">
        <x:f>--(F4944&lt;='Estimator'!$B$7)</x:f>
        <x:v>1</x:v>
      </x:c>
      <x:c r="H4944" s="381" t="n">
        <x:f>SUMIFS('Climate Data'!$G$7:$G$366,'Climate Data'!$A$7:$A$366,'Estimator'!$B$4,'Climate Data'!$B$7:$B$366,C4944)</x:f>
        <x:v>0.49078341013824883</x:v>
      </x:c>
      <x:c r="I4944" s="382" t="n">
        <x:f>SUMIFS('Climate Data'!$H$7:$H$366,'Climate Data'!$A$7:$A$366,'Estimator'!$B$4,'Climate Data'!$B$7:$B$366,C4944)</x:f>
        <x:v>8.998122065727701</x:v>
      </x:c>
      <x:c r="J4944" s="381" t="n">
        <x:f>SUMIFS('Wind Proxy'!$H$8:$H$19,'Wind Proxy'!$A$8:$A$19,'Estimator'!$B$4,'Wind Proxy'!$B$8:$B$19,C4944)</x:f>
        <x:v>0.13739545997610514</x:v>
      </x:c>
    </x:row>
    <x:row r="4945">
      <x:c r="A4945" s="379" t="n">
        <x:v>50596</x:v>
      </x:c>
      <x:c r="B4945" s="380" t="n">
        <x:v>2038</x:v>
      </x:c>
      <x:c r="C4945" s="380" t="n">
        <x:v>7</x:v>
      </x:c>
      <x:c r="D4945" s="380" t="str">
        <x:v>Jul</x:v>
      </x:c>
      <x:c r="E4945" s="380" t="n">
        <x:v>10</x:v>
      </x:c>
      <x:c r="F4945" s="380" t="n">
        <x:v>6</x:v>
      </x:c>
      <x:c r="G4945" s="380" t="n">
        <x:f>--(F4945&lt;='Estimator'!$B$7)</x:f>
        <x:v>0</x:v>
      </x:c>
      <x:c r="H4945" s="381" t="n">
        <x:f>SUMIFS('Climate Data'!$G$7:$G$366,'Climate Data'!$A$7:$A$366,'Estimator'!$B$4,'Climate Data'!$B$7:$B$366,C4945)</x:f>
        <x:v>0.49078341013824883</x:v>
      </x:c>
      <x:c r="I4945" s="382" t="n">
        <x:f>SUMIFS('Climate Data'!$H$7:$H$366,'Climate Data'!$A$7:$A$366,'Estimator'!$B$4,'Climate Data'!$B$7:$B$366,C4945)</x:f>
        <x:v>8.998122065727701</x:v>
      </x:c>
      <x:c r="J4945" s="381" t="n">
        <x:f>SUMIFS('Wind Proxy'!$H$8:$H$19,'Wind Proxy'!$A$8:$A$19,'Estimator'!$B$4,'Wind Proxy'!$B$8:$B$19,C4945)</x:f>
        <x:v>0.13739545997610514</x:v>
      </x:c>
    </x:row>
    <x:row r="4946">
      <x:c r="A4946" s="379" t="n">
        <x:v>50597</x:v>
      </x:c>
      <x:c r="B4946" s="380" t="n">
        <x:v>2038</x:v>
      </x:c>
      <x:c r="C4946" s="380" t="n">
        <x:v>7</x:v>
      </x:c>
      <x:c r="D4946" s="380" t="str">
        <x:v>Jul</x:v>
      </x:c>
      <x:c r="E4946" s="380" t="n">
        <x:v>11</x:v>
      </x:c>
      <x:c r="F4946" s="380" t="n">
        <x:v>7</x:v>
      </x:c>
      <x:c r="G4946" s="380" t="n">
        <x:f>--(F4946&lt;='Estimator'!$B$7)</x:f>
        <x:v>0</x:v>
      </x:c>
      <x:c r="H4946" s="381" t="n">
        <x:f>SUMIFS('Climate Data'!$G$7:$G$366,'Climate Data'!$A$7:$A$366,'Estimator'!$B$4,'Climate Data'!$B$7:$B$366,C4946)</x:f>
        <x:v>0.49078341013824883</x:v>
      </x:c>
      <x:c r="I4946" s="382" t="n">
        <x:f>SUMIFS('Climate Data'!$H$7:$H$366,'Climate Data'!$A$7:$A$366,'Estimator'!$B$4,'Climate Data'!$B$7:$B$366,C4946)</x:f>
        <x:v>8.998122065727701</x:v>
      </x:c>
      <x:c r="J4946" s="381" t="n">
        <x:f>SUMIFS('Wind Proxy'!$H$8:$H$19,'Wind Proxy'!$A$8:$A$19,'Estimator'!$B$4,'Wind Proxy'!$B$8:$B$19,C4946)</x:f>
        <x:v>0.13739545997610514</x:v>
      </x:c>
    </x:row>
    <x:row r="4947">
      <x:c r="A4947" s="379" t="n">
        <x:v>50598</x:v>
      </x:c>
      <x:c r="B4947" s="380" t="n">
        <x:v>2038</x:v>
      </x:c>
      <x:c r="C4947" s="380" t="n">
        <x:v>7</x:v>
      </x:c>
      <x:c r="D4947" s="380" t="str">
        <x:v>Jul</x:v>
      </x:c>
      <x:c r="E4947" s="380" t="n">
        <x:v>12</x:v>
      </x:c>
      <x:c r="F4947" s="380" t="n">
        <x:v>1</x:v>
      </x:c>
      <x:c r="G4947" s="380" t="n">
        <x:f>--(F4947&lt;='Estimator'!$B$7)</x:f>
        <x:v>1</x:v>
      </x:c>
      <x:c r="H4947" s="381" t="n">
        <x:f>SUMIFS('Climate Data'!$G$7:$G$366,'Climate Data'!$A$7:$A$366,'Estimator'!$B$4,'Climate Data'!$B$7:$B$366,C4947)</x:f>
        <x:v>0.49078341013824883</x:v>
      </x:c>
      <x:c r="I4947" s="382" t="n">
        <x:f>SUMIFS('Climate Data'!$H$7:$H$366,'Climate Data'!$A$7:$A$366,'Estimator'!$B$4,'Climate Data'!$B$7:$B$366,C4947)</x:f>
        <x:v>8.998122065727701</x:v>
      </x:c>
      <x:c r="J4947" s="381" t="n">
        <x:f>SUMIFS('Wind Proxy'!$H$8:$H$19,'Wind Proxy'!$A$8:$A$19,'Estimator'!$B$4,'Wind Proxy'!$B$8:$B$19,C4947)</x:f>
        <x:v>0.13739545997610514</x:v>
      </x:c>
    </x:row>
    <x:row r="4948">
      <x:c r="A4948" s="379" t="n">
        <x:v>50599</x:v>
      </x:c>
      <x:c r="B4948" s="380" t="n">
        <x:v>2038</x:v>
      </x:c>
      <x:c r="C4948" s="380" t="n">
        <x:v>7</x:v>
      </x:c>
      <x:c r="D4948" s="380" t="str">
        <x:v>Jul</x:v>
      </x:c>
      <x:c r="E4948" s="380" t="n">
        <x:v>13</x:v>
      </x:c>
      <x:c r="F4948" s="380" t="n">
        <x:v>2</x:v>
      </x:c>
      <x:c r="G4948" s="380" t="n">
        <x:f>--(F4948&lt;='Estimator'!$B$7)</x:f>
        <x:v>1</x:v>
      </x:c>
      <x:c r="H4948" s="381" t="n">
        <x:f>SUMIFS('Climate Data'!$G$7:$G$366,'Climate Data'!$A$7:$A$366,'Estimator'!$B$4,'Climate Data'!$B$7:$B$366,C4948)</x:f>
        <x:v>0.49078341013824883</x:v>
      </x:c>
      <x:c r="I4948" s="382" t="n">
        <x:f>SUMIFS('Climate Data'!$H$7:$H$366,'Climate Data'!$A$7:$A$366,'Estimator'!$B$4,'Climate Data'!$B$7:$B$366,C4948)</x:f>
        <x:v>8.998122065727701</x:v>
      </x:c>
      <x:c r="J4948" s="381" t="n">
        <x:f>SUMIFS('Wind Proxy'!$H$8:$H$19,'Wind Proxy'!$A$8:$A$19,'Estimator'!$B$4,'Wind Proxy'!$B$8:$B$19,C4948)</x:f>
        <x:v>0.13739545997610514</x:v>
      </x:c>
    </x:row>
    <x:row r="4949">
      <x:c r="A4949" s="379" t="n">
        <x:v>50600</x:v>
      </x:c>
      <x:c r="B4949" s="380" t="n">
        <x:v>2038</x:v>
      </x:c>
      <x:c r="C4949" s="380" t="n">
        <x:v>7</x:v>
      </x:c>
      <x:c r="D4949" s="380" t="str">
        <x:v>Jul</x:v>
      </x:c>
      <x:c r="E4949" s="380" t="n">
        <x:v>14</x:v>
      </x:c>
      <x:c r="F4949" s="380" t="n">
        <x:v>3</x:v>
      </x:c>
      <x:c r="G4949" s="380" t="n">
        <x:f>--(F4949&lt;='Estimator'!$B$7)</x:f>
        <x:v>1</x:v>
      </x:c>
      <x:c r="H4949" s="381" t="n">
        <x:f>SUMIFS('Climate Data'!$G$7:$G$366,'Climate Data'!$A$7:$A$366,'Estimator'!$B$4,'Climate Data'!$B$7:$B$366,C4949)</x:f>
        <x:v>0.49078341013824883</x:v>
      </x:c>
      <x:c r="I4949" s="382" t="n">
        <x:f>SUMIFS('Climate Data'!$H$7:$H$366,'Climate Data'!$A$7:$A$366,'Estimator'!$B$4,'Climate Data'!$B$7:$B$366,C4949)</x:f>
        <x:v>8.998122065727701</x:v>
      </x:c>
      <x:c r="J4949" s="381" t="n">
        <x:f>SUMIFS('Wind Proxy'!$H$8:$H$19,'Wind Proxy'!$A$8:$A$19,'Estimator'!$B$4,'Wind Proxy'!$B$8:$B$19,C4949)</x:f>
        <x:v>0.13739545997610514</x:v>
      </x:c>
    </x:row>
    <x:row r="4950">
      <x:c r="A4950" s="379" t="n">
        <x:v>50601</x:v>
      </x:c>
      <x:c r="B4950" s="380" t="n">
        <x:v>2038</x:v>
      </x:c>
      <x:c r="C4950" s="380" t="n">
        <x:v>7</x:v>
      </x:c>
      <x:c r="D4950" s="380" t="str">
        <x:v>Jul</x:v>
      </x:c>
      <x:c r="E4950" s="380" t="n">
        <x:v>15</x:v>
      </x:c>
      <x:c r="F4950" s="380" t="n">
        <x:v>4</x:v>
      </x:c>
      <x:c r="G4950" s="380" t="n">
        <x:f>--(F4950&lt;='Estimator'!$B$7)</x:f>
        <x:v>1</x:v>
      </x:c>
      <x:c r="H4950" s="381" t="n">
        <x:f>SUMIFS('Climate Data'!$G$7:$G$366,'Climate Data'!$A$7:$A$366,'Estimator'!$B$4,'Climate Data'!$B$7:$B$366,C4950)</x:f>
        <x:v>0.49078341013824883</x:v>
      </x:c>
      <x:c r="I4950" s="382" t="n">
        <x:f>SUMIFS('Climate Data'!$H$7:$H$366,'Climate Data'!$A$7:$A$366,'Estimator'!$B$4,'Climate Data'!$B$7:$B$366,C4950)</x:f>
        <x:v>8.998122065727701</x:v>
      </x:c>
      <x:c r="J4950" s="381" t="n">
        <x:f>SUMIFS('Wind Proxy'!$H$8:$H$19,'Wind Proxy'!$A$8:$A$19,'Estimator'!$B$4,'Wind Proxy'!$B$8:$B$19,C4950)</x:f>
        <x:v>0.13739545997610514</x:v>
      </x:c>
    </x:row>
    <x:row r="4951">
      <x:c r="A4951" s="379" t="n">
        <x:v>50602</x:v>
      </x:c>
      <x:c r="B4951" s="380" t="n">
        <x:v>2038</x:v>
      </x:c>
      <x:c r="C4951" s="380" t="n">
        <x:v>7</x:v>
      </x:c>
      <x:c r="D4951" s="380" t="str">
        <x:v>Jul</x:v>
      </x:c>
      <x:c r="E4951" s="380" t="n">
        <x:v>16</x:v>
      </x:c>
      <x:c r="F4951" s="380" t="n">
        <x:v>5</x:v>
      </x:c>
      <x:c r="G4951" s="380" t="n">
        <x:f>--(F4951&lt;='Estimator'!$B$7)</x:f>
        <x:v>1</x:v>
      </x:c>
      <x:c r="H4951" s="381" t="n">
        <x:f>SUMIFS('Climate Data'!$G$7:$G$366,'Climate Data'!$A$7:$A$366,'Estimator'!$B$4,'Climate Data'!$B$7:$B$366,C4951)</x:f>
        <x:v>0.49078341013824883</x:v>
      </x:c>
      <x:c r="I4951" s="382" t="n">
        <x:f>SUMIFS('Climate Data'!$H$7:$H$366,'Climate Data'!$A$7:$A$366,'Estimator'!$B$4,'Climate Data'!$B$7:$B$366,C4951)</x:f>
        <x:v>8.998122065727701</x:v>
      </x:c>
      <x:c r="J4951" s="381" t="n">
        <x:f>SUMIFS('Wind Proxy'!$H$8:$H$19,'Wind Proxy'!$A$8:$A$19,'Estimator'!$B$4,'Wind Proxy'!$B$8:$B$19,C4951)</x:f>
        <x:v>0.13739545997610514</x:v>
      </x:c>
    </x:row>
    <x:row r="4952">
      <x:c r="A4952" s="379" t="n">
        <x:v>50603</x:v>
      </x:c>
      <x:c r="B4952" s="380" t="n">
        <x:v>2038</x:v>
      </x:c>
      <x:c r="C4952" s="380" t="n">
        <x:v>7</x:v>
      </x:c>
      <x:c r="D4952" s="380" t="str">
        <x:v>Jul</x:v>
      </x:c>
      <x:c r="E4952" s="380" t="n">
        <x:v>17</x:v>
      </x:c>
      <x:c r="F4952" s="380" t="n">
        <x:v>6</x:v>
      </x:c>
      <x:c r="G4952" s="380" t="n">
        <x:f>--(F4952&lt;='Estimator'!$B$7)</x:f>
        <x:v>0</x:v>
      </x:c>
      <x:c r="H4952" s="381" t="n">
        <x:f>SUMIFS('Climate Data'!$G$7:$G$366,'Climate Data'!$A$7:$A$366,'Estimator'!$B$4,'Climate Data'!$B$7:$B$366,C4952)</x:f>
        <x:v>0.49078341013824883</x:v>
      </x:c>
      <x:c r="I4952" s="382" t="n">
        <x:f>SUMIFS('Climate Data'!$H$7:$H$366,'Climate Data'!$A$7:$A$366,'Estimator'!$B$4,'Climate Data'!$B$7:$B$366,C4952)</x:f>
        <x:v>8.998122065727701</x:v>
      </x:c>
      <x:c r="J4952" s="381" t="n">
        <x:f>SUMIFS('Wind Proxy'!$H$8:$H$19,'Wind Proxy'!$A$8:$A$19,'Estimator'!$B$4,'Wind Proxy'!$B$8:$B$19,C4952)</x:f>
        <x:v>0.13739545997610514</x:v>
      </x:c>
    </x:row>
    <x:row r="4953">
      <x:c r="A4953" s="379" t="n">
        <x:v>50604</x:v>
      </x:c>
      <x:c r="B4953" s="380" t="n">
        <x:v>2038</x:v>
      </x:c>
      <x:c r="C4953" s="380" t="n">
        <x:v>7</x:v>
      </x:c>
      <x:c r="D4953" s="380" t="str">
        <x:v>Jul</x:v>
      </x:c>
      <x:c r="E4953" s="380" t="n">
        <x:v>18</x:v>
      </x:c>
      <x:c r="F4953" s="380" t="n">
        <x:v>7</x:v>
      </x:c>
      <x:c r="G4953" s="380" t="n">
        <x:f>--(F4953&lt;='Estimator'!$B$7)</x:f>
        <x:v>0</x:v>
      </x:c>
      <x:c r="H4953" s="381" t="n">
        <x:f>SUMIFS('Climate Data'!$G$7:$G$366,'Climate Data'!$A$7:$A$366,'Estimator'!$B$4,'Climate Data'!$B$7:$B$366,C4953)</x:f>
        <x:v>0.49078341013824883</x:v>
      </x:c>
      <x:c r="I4953" s="382" t="n">
        <x:f>SUMIFS('Climate Data'!$H$7:$H$366,'Climate Data'!$A$7:$A$366,'Estimator'!$B$4,'Climate Data'!$B$7:$B$366,C4953)</x:f>
        <x:v>8.998122065727701</x:v>
      </x:c>
      <x:c r="J4953" s="381" t="n">
        <x:f>SUMIFS('Wind Proxy'!$H$8:$H$19,'Wind Proxy'!$A$8:$A$19,'Estimator'!$B$4,'Wind Proxy'!$B$8:$B$19,C4953)</x:f>
        <x:v>0.13739545997610514</x:v>
      </x:c>
    </x:row>
    <x:row r="4954">
      <x:c r="A4954" s="379" t="n">
        <x:v>50605</x:v>
      </x:c>
      <x:c r="B4954" s="380" t="n">
        <x:v>2038</x:v>
      </x:c>
      <x:c r="C4954" s="380" t="n">
        <x:v>7</x:v>
      </x:c>
      <x:c r="D4954" s="380" t="str">
        <x:v>Jul</x:v>
      </x:c>
      <x:c r="E4954" s="380" t="n">
        <x:v>19</x:v>
      </x:c>
      <x:c r="F4954" s="380" t="n">
        <x:v>1</x:v>
      </x:c>
      <x:c r="G4954" s="380" t="n">
        <x:f>--(F4954&lt;='Estimator'!$B$7)</x:f>
        <x:v>1</x:v>
      </x:c>
      <x:c r="H4954" s="381" t="n">
        <x:f>SUMIFS('Climate Data'!$G$7:$G$366,'Climate Data'!$A$7:$A$366,'Estimator'!$B$4,'Climate Data'!$B$7:$B$366,C4954)</x:f>
        <x:v>0.49078341013824883</x:v>
      </x:c>
      <x:c r="I4954" s="382" t="n">
        <x:f>SUMIFS('Climate Data'!$H$7:$H$366,'Climate Data'!$A$7:$A$366,'Estimator'!$B$4,'Climate Data'!$B$7:$B$366,C4954)</x:f>
        <x:v>8.998122065727701</x:v>
      </x:c>
      <x:c r="J4954" s="381" t="n">
        <x:f>SUMIFS('Wind Proxy'!$H$8:$H$19,'Wind Proxy'!$A$8:$A$19,'Estimator'!$B$4,'Wind Proxy'!$B$8:$B$19,C4954)</x:f>
        <x:v>0.13739545997610514</x:v>
      </x:c>
    </x:row>
    <x:row r="4955">
      <x:c r="A4955" s="379" t="n">
        <x:v>50606</x:v>
      </x:c>
      <x:c r="B4955" s="380" t="n">
        <x:v>2038</x:v>
      </x:c>
      <x:c r="C4955" s="380" t="n">
        <x:v>7</x:v>
      </x:c>
      <x:c r="D4955" s="380" t="str">
        <x:v>Jul</x:v>
      </x:c>
      <x:c r="E4955" s="380" t="n">
        <x:v>20</x:v>
      </x:c>
      <x:c r="F4955" s="380" t="n">
        <x:v>2</x:v>
      </x:c>
      <x:c r="G4955" s="380" t="n">
        <x:f>--(F4955&lt;='Estimator'!$B$7)</x:f>
        <x:v>1</x:v>
      </x:c>
      <x:c r="H4955" s="381" t="n">
        <x:f>SUMIFS('Climate Data'!$G$7:$G$366,'Climate Data'!$A$7:$A$366,'Estimator'!$B$4,'Climate Data'!$B$7:$B$366,C4955)</x:f>
        <x:v>0.49078341013824883</x:v>
      </x:c>
      <x:c r="I4955" s="382" t="n">
        <x:f>SUMIFS('Climate Data'!$H$7:$H$366,'Climate Data'!$A$7:$A$366,'Estimator'!$B$4,'Climate Data'!$B$7:$B$366,C4955)</x:f>
        <x:v>8.998122065727701</x:v>
      </x:c>
      <x:c r="J4955" s="381" t="n">
        <x:f>SUMIFS('Wind Proxy'!$H$8:$H$19,'Wind Proxy'!$A$8:$A$19,'Estimator'!$B$4,'Wind Proxy'!$B$8:$B$19,C4955)</x:f>
        <x:v>0.13739545997610514</x:v>
      </x:c>
    </x:row>
    <x:row r="4956">
      <x:c r="A4956" s="379" t="n">
        <x:v>50607</x:v>
      </x:c>
      <x:c r="B4956" s="380" t="n">
        <x:v>2038</x:v>
      </x:c>
      <x:c r="C4956" s="380" t="n">
        <x:v>7</x:v>
      </x:c>
      <x:c r="D4956" s="380" t="str">
        <x:v>Jul</x:v>
      </x:c>
      <x:c r="E4956" s="380" t="n">
        <x:v>21</x:v>
      </x:c>
      <x:c r="F4956" s="380" t="n">
        <x:v>3</x:v>
      </x:c>
      <x:c r="G4956" s="380" t="n">
        <x:f>--(F4956&lt;='Estimator'!$B$7)</x:f>
        <x:v>1</x:v>
      </x:c>
      <x:c r="H4956" s="381" t="n">
        <x:f>SUMIFS('Climate Data'!$G$7:$G$366,'Climate Data'!$A$7:$A$366,'Estimator'!$B$4,'Climate Data'!$B$7:$B$366,C4956)</x:f>
        <x:v>0.49078341013824883</x:v>
      </x:c>
      <x:c r="I4956" s="382" t="n">
        <x:f>SUMIFS('Climate Data'!$H$7:$H$366,'Climate Data'!$A$7:$A$366,'Estimator'!$B$4,'Climate Data'!$B$7:$B$366,C4956)</x:f>
        <x:v>8.998122065727701</x:v>
      </x:c>
      <x:c r="J4956" s="381" t="n">
        <x:f>SUMIFS('Wind Proxy'!$H$8:$H$19,'Wind Proxy'!$A$8:$A$19,'Estimator'!$B$4,'Wind Proxy'!$B$8:$B$19,C4956)</x:f>
        <x:v>0.13739545997610514</x:v>
      </x:c>
    </x:row>
    <x:row r="4957">
      <x:c r="A4957" s="379" t="n">
        <x:v>50608</x:v>
      </x:c>
      <x:c r="B4957" s="380" t="n">
        <x:v>2038</x:v>
      </x:c>
      <x:c r="C4957" s="380" t="n">
        <x:v>7</x:v>
      </x:c>
      <x:c r="D4957" s="380" t="str">
        <x:v>Jul</x:v>
      </x:c>
      <x:c r="E4957" s="380" t="n">
        <x:v>22</x:v>
      </x:c>
      <x:c r="F4957" s="380" t="n">
        <x:v>4</x:v>
      </x:c>
      <x:c r="G4957" s="380" t="n">
        <x:f>--(F4957&lt;='Estimator'!$B$7)</x:f>
        <x:v>1</x:v>
      </x:c>
      <x:c r="H4957" s="381" t="n">
        <x:f>SUMIFS('Climate Data'!$G$7:$G$366,'Climate Data'!$A$7:$A$366,'Estimator'!$B$4,'Climate Data'!$B$7:$B$366,C4957)</x:f>
        <x:v>0.49078341013824883</x:v>
      </x:c>
      <x:c r="I4957" s="382" t="n">
        <x:f>SUMIFS('Climate Data'!$H$7:$H$366,'Climate Data'!$A$7:$A$366,'Estimator'!$B$4,'Climate Data'!$B$7:$B$366,C4957)</x:f>
        <x:v>8.998122065727701</x:v>
      </x:c>
      <x:c r="J4957" s="381" t="n">
        <x:f>SUMIFS('Wind Proxy'!$H$8:$H$19,'Wind Proxy'!$A$8:$A$19,'Estimator'!$B$4,'Wind Proxy'!$B$8:$B$19,C4957)</x:f>
        <x:v>0.13739545997610514</x:v>
      </x:c>
    </x:row>
    <x:row r="4958">
      <x:c r="A4958" s="379" t="n">
        <x:v>50609</x:v>
      </x:c>
      <x:c r="B4958" s="380" t="n">
        <x:v>2038</x:v>
      </x:c>
      <x:c r="C4958" s="380" t="n">
        <x:v>7</x:v>
      </x:c>
      <x:c r="D4958" s="380" t="str">
        <x:v>Jul</x:v>
      </x:c>
      <x:c r="E4958" s="380" t="n">
        <x:v>23</x:v>
      </x:c>
      <x:c r="F4958" s="380" t="n">
        <x:v>5</x:v>
      </x:c>
      <x:c r="G4958" s="380" t="n">
        <x:f>--(F4958&lt;='Estimator'!$B$7)</x:f>
        <x:v>1</x:v>
      </x:c>
      <x:c r="H4958" s="381" t="n">
        <x:f>SUMIFS('Climate Data'!$G$7:$G$366,'Climate Data'!$A$7:$A$366,'Estimator'!$B$4,'Climate Data'!$B$7:$B$366,C4958)</x:f>
        <x:v>0.49078341013824883</x:v>
      </x:c>
      <x:c r="I4958" s="382" t="n">
        <x:f>SUMIFS('Climate Data'!$H$7:$H$366,'Climate Data'!$A$7:$A$366,'Estimator'!$B$4,'Climate Data'!$B$7:$B$366,C4958)</x:f>
        <x:v>8.998122065727701</x:v>
      </x:c>
      <x:c r="J4958" s="381" t="n">
        <x:f>SUMIFS('Wind Proxy'!$H$8:$H$19,'Wind Proxy'!$A$8:$A$19,'Estimator'!$B$4,'Wind Proxy'!$B$8:$B$19,C4958)</x:f>
        <x:v>0.13739545997610514</x:v>
      </x:c>
    </x:row>
    <x:row r="4959">
      <x:c r="A4959" s="379" t="n">
        <x:v>50610</x:v>
      </x:c>
      <x:c r="B4959" s="380" t="n">
        <x:v>2038</x:v>
      </x:c>
      <x:c r="C4959" s="380" t="n">
        <x:v>7</x:v>
      </x:c>
      <x:c r="D4959" s="380" t="str">
        <x:v>Jul</x:v>
      </x:c>
      <x:c r="E4959" s="380" t="n">
        <x:v>24</x:v>
      </x:c>
      <x:c r="F4959" s="380" t="n">
        <x:v>6</x:v>
      </x:c>
      <x:c r="G4959" s="380" t="n">
        <x:f>--(F4959&lt;='Estimator'!$B$7)</x:f>
        <x:v>0</x:v>
      </x:c>
      <x:c r="H4959" s="381" t="n">
        <x:f>SUMIFS('Climate Data'!$G$7:$G$366,'Climate Data'!$A$7:$A$366,'Estimator'!$B$4,'Climate Data'!$B$7:$B$366,C4959)</x:f>
        <x:v>0.49078341013824883</x:v>
      </x:c>
      <x:c r="I4959" s="382" t="n">
        <x:f>SUMIFS('Climate Data'!$H$7:$H$366,'Climate Data'!$A$7:$A$366,'Estimator'!$B$4,'Climate Data'!$B$7:$B$366,C4959)</x:f>
        <x:v>8.998122065727701</x:v>
      </x:c>
      <x:c r="J4959" s="381" t="n">
        <x:f>SUMIFS('Wind Proxy'!$H$8:$H$19,'Wind Proxy'!$A$8:$A$19,'Estimator'!$B$4,'Wind Proxy'!$B$8:$B$19,C4959)</x:f>
        <x:v>0.13739545997610514</x:v>
      </x:c>
    </x:row>
    <x:row r="4960">
      <x:c r="A4960" s="379" t="n">
        <x:v>50611</x:v>
      </x:c>
      <x:c r="B4960" s="380" t="n">
        <x:v>2038</x:v>
      </x:c>
      <x:c r="C4960" s="380" t="n">
        <x:v>7</x:v>
      </x:c>
      <x:c r="D4960" s="380" t="str">
        <x:v>Jul</x:v>
      </x:c>
      <x:c r="E4960" s="380" t="n">
        <x:v>25</x:v>
      </x:c>
      <x:c r="F4960" s="380" t="n">
        <x:v>7</x:v>
      </x:c>
      <x:c r="G4960" s="380" t="n">
        <x:f>--(F4960&lt;='Estimator'!$B$7)</x:f>
        <x:v>0</x:v>
      </x:c>
      <x:c r="H4960" s="381" t="n">
        <x:f>SUMIFS('Climate Data'!$G$7:$G$366,'Climate Data'!$A$7:$A$366,'Estimator'!$B$4,'Climate Data'!$B$7:$B$366,C4960)</x:f>
        <x:v>0.49078341013824883</x:v>
      </x:c>
      <x:c r="I4960" s="382" t="n">
        <x:f>SUMIFS('Climate Data'!$H$7:$H$366,'Climate Data'!$A$7:$A$366,'Estimator'!$B$4,'Climate Data'!$B$7:$B$366,C4960)</x:f>
        <x:v>8.998122065727701</x:v>
      </x:c>
      <x:c r="J4960" s="381" t="n">
        <x:f>SUMIFS('Wind Proxy'!$H$8:$H$19,'Wind Proxy'!$A$8:$A$19,'Estimator'!$B$4,'Wind Proxy'!$B$8:$B$19,C4960)</x:f>
        <x:v>0.13739545997610514</x:v>
      </x:c>
    </x:row>
    <x:row r="4961">
      <x:c r="A4961" s="379" t="n">
        <x:v>50612</x:v>
      </x:c>
      <x:c r="B4961" s="380" t="n">
        <x:v>2038</x:v>
      </x:c>
      <x:c r="C4961" s="380" t="n">
        <x:v>7</x:v>
      </x:c>
      <x:c r="D4961" s="380" t="str">
        <x:v>Jul</x:v>
      </x:c>
      <x:c r="E4961" s="380" t="n">
        <x:v>26</x:v>
      </x:c>
      <x:c r="F4961" s="380" t="n">
        <x:v>1</x:v>
      </x:c>
      <x:c r="G4961" s="380" t="n">
        <x:f>--(F4961&lt;='Estimator'!$B$7)</x:f>
        <x:v>1</x:v>
      </x:c>
      <x:c r="H4961" s="381" t="n">
        <x:f>SUMIFS('Climate Data'!$G$7:$G$366,'Climate Data'!$A$7:$A$366,'Estimator'!$B$4,'Climate Data'!$B$7:$B$366,C4961)</x:f>
        <x:v>0.49078341013824883</x:v>
      </x:c>
      <x:c r="I4961" s="382" t="n">
        <x:f>SUMIFS('Climate Data'!$H$7:$H$366,'Climate Data'!$A$7:$A$366,'Estimator'!$B$4,'Climate Data'!$B$7:$B$366,C4961)</x:f>
        <x:v>8.998122065727701</x:v>
      </x:c>
      <x:c r="J4961" s="381" t="n">
        <x:f>SUMIFS('Wind Proxy'!$H$8:$H$19,'Wind Proxy'!$A$8:$A$19,'Estimator'!$B$4,'Wind Proxy'!$B$8:$B$19,C4961)</x:f>
        <x:v>0.13739545997610514</x:v>
      </x:c>
    </x:row>
    <x:row r="4962">
      <x:c r="A4962" s="379" t="n">
        <x:v>50613</x:v>
      </x:c>
      <x:c r="B4962" s="380" t="n">
        <x:v>2038</x:v>
      </x:c>
      <x:c r="C4962" s="380" t="n">
        <x:v>7</x:v>
      </x:c>
      <x:c r="D4962" s="380" t="str">
        <x:v>Jul</x:v>
      </x:c>
      <x:c r="E4962" s="380" t="n">
        <x:v>27</x:v>
      </x:c>
      <x:c r="F4962" s="380" t="n">
        <x:v>2</x:v>
      </x:c>
      <x:c r="G4962" s="380" t="n">
        <x:f>--(F4962&lt;='Estimator'!$B$7)</x:f>
        <x:v>1</x:v>
      </x:c>
      <x:c r="H4962" s="381" t="n">
        <x:f>SUMIFS('Climate Data'!$G$7:$G$366,'Climate Data'!$A$7:$A$366,'Estimator'!$B$4,'Climate Data'!$B$7:$B$366,C4962)</x:f>
        <x:v>0.49078341013824883</x:v>
      </x:c>
      <x:c r="I4962" s="382" t="n">
        <x:f>SUMIFS('Climate Data'!$H$7:$H$366,'Climate Data'!$A$7:$A$366,'Estimator'!$B$4,'Climate Data'!$B$7:$B$366,C4962)</x:f>
        <x:v>8.998122065727701</x:v>
      </x:c>
      <x:c r="J4962" s="381" t="n">
        <x:f>SUMIFS('Wind Proxy'!$H$8:$H$19,'Wind Proxy'!$A$8:$A$19,'Estimator'!$B$4,'Wind Proxy'!$B$8:$B$19,C4962)</x:f>
        <x:v>0.13739545997610514</x:v>
      </x:c>
    </x:row>
    <x:row r="4963">
      <x:c r="A4963" s="379" t="n">
        <x:v>50614</x:v>
      </x:c>
      <x:c r="B4963" s="380" t="n">
        <x:v>2038</x:v>
      </x:c>
      <x:c r="C4963" s="380" t="n">
        <x:v>7</x:v>
      </x:c>
      <x:c r="D4963" s="380" t="str">
        <x:v>Jul</x:v>
      </x:c>
      <x:c r="E4963" s="380" t="n">
        <x:v>28</x:v>
      </x:c>
      <x:c r="F4963" s="380" t="n">
        <x:v>3</x:v>
      </x:c>
      <x:c r="G4963" s="380" t="n">
        <x:f>--(F4963&lt;='Estimator'!$B$7)</x:f>
        <x:v>1</x:v>
      </x:c>
      <x:c r="H4963" s="381" t="n">
        <x:f>SUMIFS('Climate Data'!$G$7:$G$366,'Climate Data'!$A$7:$A$366,'Estimator'!$B$4,'Climate Data'!$B$7:$B$366,C4963)</x:f>
        <x:v>0.49078341013824883</x:v>
      </x:c>
      <x:c r="I4963" s="382" t="n">
        <x:f>SUMIFS('Climate Data'!$H$7:$H$366,'Climate Data'!$A$7:$A$366,'Estimator'!$B$4,'Climate Data'!$B$7:$B$366,C4963)</x:f>
        <x:v>8.998122065727701</x:v>
      </x:c>
      <x:c r="J4963" s="381" t="n">
        <x:f>SUMIFS('Wind Proxy'!$H$8:$H$19,'Wind Proxy'!$A$8:$A$19,'Estimator'!$B$4,'Wind Proxy'!$B$8:$B$19,C4963)</x:f>
        <x:v>0.13739545997610514</x:v>
      </x:c>
    </x:row>
    <x:row r="4964">
      <x:c r="A4964" s="379" t="n">
        <x:v>50615</x:v>
      </x:c>
      <x:c r="B4964" s="380" t="n">
        <x:v>2038</x:v>
      </x:c>
      <x:c r="C4964" s="380" t="n">
        <x:v>7</x:v>
      </x:c>
      <x:c r="D4964" s="380" t="str">
        <x:v>Jul</x:v>
      </x:c>
      <x:c r="E4964" s="380" t="n">
        <x:v>29</x:v>
      </x:c>
      <x:c r="F4964" s="380" t="n">
        <x:v>4</x:v>
      </x:c>
      <x:c r="G4964" s="380" t="n">
        <x:f>--(F4964&lt;='Estimator'!$B$7)</x:f>
        <x:v>1</x:v>
      </x:c>
      <x:c r="H4964" s="381" t="n">
        <x:f>SUMIFS('Climate Data'!$G$7:$G$366,'Climate Data'!$A$7:$A$366,'Estimator'!$B$4,'Climate Data'!$B$7:$B$366,C4964)</x:f>
        <x:v>0.49078341013824883</x:v>
      </x:c>
      <x:c r="I4964" s="382" t="n">
        <x:f>SUMIFS('Climate Data'!$H$7:$H$366,'Climate Data'!$A$7:$A$366,'Estimator'!$B$4,'Climate Data'!$B$7:$B$366,C4964)</x:f>
        <x:v>8.998122065727701</x:v>
      </x:c>
      <x:c r="J4964" s="381" t="n">
        <x:f>SUMIFS('Wind Proxy'!$H$8:$H$19,'Wind Proxy'!$A$8:$A$19,'Estimator'!$B$4,'Wind Proxy'!$B$8:$B$19,C4964)</x:f>
        <x:v>0.13739545997610514</x:v>
      </x:c>
    </x:row>
    <x:row r="4965">
      <x:c r="A4965" s="379" t="n">
        <x:v>50616</x:v>
      </x:c>
      <x:c r="B4965" s="380" t="n">
        <x:v>2038</x:v>
      </x:c>
      <x:c r="C4965" s="380" t="n">
        <x:v>7</x:v>
      </x:c>
      <x:c r="D4965" s="380" t="str">
        <x:v>Jul</x:v>
      </x:c>
      <x:c r="E4965" s="380" t="n">
        <x:v>30</x:v>
      </x:c>
      <x:c r="F4965" s="380" t="n">
        <x:v>5</x:v>
      </x:c>
      <x:c r="G4965" s="380" t="n">
        <x:f>--(F4965&lt;='Estimator'!$B$7)</x:f>
        <x:v>1</x:v>
      </x:c>
      <x:c r="H4965" s="381" t="n">
        <x:f>SUMIFS('Climate Data'!$G$7:$G$366,'Climate Data'!$A$7:$A$366,'Estimator'!$B$4,'Climate Data'!$B$7:$B$366,C4965)</x:f>
        <x:v>0.49078341013824883</x:v>
      </x:c>
      <x:c r="I4965" s="382" t="n">
        <x:f>SUMIFS('Climate Data'!$H$7:$H$366,'Climate Data'!$A$7:$A$366,'Estimator'!$B$4,'Climate Data'!$B$7:$B$366,C4965)</x:f>
        <x:v>8.998122065727701</x:v>
      </x:c>
      <x:c r="J4965" s="381" t="n">
        <x:f>SUMIFS('Wind Proxy'!$H$8:$H$19,'Wind Proxy'!$A$8:$A$19,'Estimator'!$B$4,'Wind Proxy'!$B$8:$B$19,C4965)</x:f>
        <x:v>0.13739545997610514</x:v>
      </x:c>
    </x:row>
    <x:row r="4966">
      <x:c r="A4966" s="379" t="n">
        <x:v>50617</x:v>
      </x:c>
      <x:c r="B4966" s="380" t="n">
        <x:v>2038</x:v>
      </x:c>
      <x:c r="C4966" s="380" t="n">
        <x:v>7</x:v>
      </x:c>
      <x:c r="D4966" s="380" t="str">
        <x:v>Jul</x:v>
      </x:c>
      <x:c r="E4966" s="380" t="n">
        <x:v>31</x:v>
      </x:c>
      <x:c r="F4966" s="380" t="n">
        <x:v>6</x:v>
      </x:c>
      <x:c r="G4966" s="380" t="n">
        <x:f>--(F4966&lt;='Estimator'!$B$7)</x:f>
        <x:v>0</x:v>
      </x:c>
      <x:c r="H4966" s="381" t="n">
        <x:f>SUMIFS('Climate Data'!$G$7:$G$366,'Climate Data'!$A$7:$A$366,'Estimator'!$B$4,'Climate Data'!$B$7:$B$366,C4966)</x:f>
        <x:v>0.49078341013824883</x:v>
      </x:c>
      <x:c r="I4966" s="382" t="n">
        <x:f>SUMIFS('Climate Data'!$H$7:$H$366,'Climate Data'!$A$7:$A$366,'Estimator'!$B$4,'Climate Data'!$B$7:$B$366,C4966)</x:f>
        <x:v>8.998122065727701</x:v>
      </x:c>
      <x:c r="J4966" s="381" t="n">
        <x:f>SUMIFS('Wind Proxy'!$H$8:$H$19,'Wind Proxy'!$A$8:$A$19,'Estimator'!$B$4,'Wind Proxy'!$B$8:$B$19,C4966)</x:f>
        <x:v>0.13739545997610514</x:v>
      </x:c>
    </x:row>
    <x:row r="4967">
      <x:c r="A4967" s="379" t="n">
        <x:v>50618</x:v>
      </x:c>
      <x:c r="B4967" s="380" t="n">
        <x:v>2038</x:v>
      </x:c>
      <x:c r="C4967" s="380" t="n">
        <x:v>8</x:v>
      </x:c>
      <x:c r="D4967" s="380" t="str">
        <x:v>Aug</x:v>
      </x:c>
      <x:c r="E4967" s="380" t="n">
        <x:v>1</x:v>
      </x:c>
      <x:c r="F4967" s="380" t="n">
        <x:v>7</x:v>
      </x:c>
      <x:c r="G4967" s="380" t="n">
        <x:f>--(F4967&lt;='Estimator'!$B$7)</x:f>
        <x:v>0</x:v>
      </x:c>
      <x:c r="H4967" s="381" t="n">
        <x:f>SUMIFS('Climate Data'!$G$7:$G$366,'Climate Data'!$A$7:$A$366,'Estimator'!$B$4,'Climate Data'!$B$7:$B$366,C4967)</x:f>
        <x:v>0.47274749721913234</x:v>
      </x:c>
      <x:c r="I4967" s="382" t="n">
        <x:f>SUMIFS('Climate Data'!$H$7:$H$366,'Climate Data'!$A$7:$A$366,'Estimator'!$B$4,'Climate Data'!$B$7:$B$366,C4967)</x:f>
        <x:v>7.9971764705882356</x:v>
      </x:c>
      <x:c r="J4967" s="381" t="n">
        <x:f>SUMIFS('Wind Proxy'!$H$8:$H$19,'Wind Proxy'!$A$8:$A$19,'Estimator'!$B$4,'Wind Proxy'!$B$8:$B$19,C4967)</x:f>
        <x:v>0.13739545997610514</x:v>
      </x:c>
    </x:row>
    <x:row r="4968">
      <x:c r="A4968" s="379" t="n">
        <x:v>50619</x:v>
      </x:c>
      <x:c r="B4968" s="380" t="n">
        <x:v>2038</x:v>
      </x:c>
      <x:c r="C4968" s="380" t="n">
        <x:v>8</x:v>
      </x:c>
      <x:c r="D4968" s="380" t="str">
        <x:v>Aug</x:v>
      </x:c>
      <x:c r="E4968" s="380" t="n">
        <x:v>2</x:v>
      </x:c>
      <x:c r="F4968" s="380" t="n">
        <x:v>1</x:v>
      </x:c>
      <x:c r="G4968" s="380" t="n">
        <x:f>--(F4968&lt;='Estimator'!$B$7)</x:f>
        <x:v>1</x:v>
      </x:c>
      <x:c r="H4968" s="381" t="n">
        <x:f>SUMIFS('Climate Data'!$G$7:$G$366,'Climate Data'!$A$7:$A$366,'Estimator'!$B$4,'Climate Data'!$B$7:$B$366,C4968)</x:f>
        <x:v>0.47274749721913234</x:v>
      </x:c>
      <x:c r="I4968" s="382" t="n">
        <x:f>SUMIFS('Climate Data'!$H$7:$H$366,'Climate Data'!$A$7:$A$366,'Estimator'!$B$4,'Climate Data'!$B$7:$B$366,C4968)</x:f>
        <x:v>7.9971764705882356</x:v>
      </x:c>
      <x:c r="J4968" s="381" t="n">
        <x:f>SUMIFS('Wind Proxy'!$H$8:$H$19,'Wind Proxy'!$A$8:$A$19,'Estimator'!$B$4,'Wind Proxy'!$B$8:$B$19,C4968)</x:f>
        <x:v>0.13739545997610514</x:v>
      </x:c>
    </x:row>
    <x:row r="4969">
      <x:c r="A4969" s="379" t="n">
        <x:v>50620</x:v>
      </x:c>
      <x:c r="B4969" s="380" t="n">
        <x:v>2038</x:v>
      </x:c>
      <x:c r="C4969" s="380" t="n">
        <x:v>8</x:v>
      </x:c>
      <x:c r="D4969" s="380" t="str">
        <x:v>Aug</x:v>
      </x:c>
      <x:c r="E4969" s="380" t="n">
        <x:v>3</x:v>
      </x:c>
      <x:c r="F4969" s="380" t="n">
        <x:v>2</x:v>
      </x:c>
      <x:c r="G4969" s="380" t="n">
        <x:f>--(F4969&lt;='Estimator'!$B$7)</x:f>
        <x:v>1</x:v>
      </x:c>
      <x:c r="H4969" s="381" t="n">
        <x:f>SUMIFS('Climate Data'!$G$7:$G$366,'Climate Data'!$A$7:$A$366,'Estimator'!$B$4,'Climate Data'!$B$7:$B$366,C4969)</x:f>
        <x:v>0.47274749721913234</x:v>
      </x:c>
      <x:c r="I4969" s="382" t="n">
        <x:f>SUMIFS('Climate Data'!$H$7:$H$366,'Climate Data'!$A$7:$A$366,'Estimator'!$B$4,'Climate Data'!$B$7:$B$366,C4969)</x:f>
        <x:v>7.9971764705882356</x:v>
      </x:c>
      <x:c r="J4969" s="381" t="n">
        <x:f>SUMIFS('Wind Proxy'!$H$8:$H$19,'Wind Proxy'!$A$8:$A$19,'Estimator'!$B$4,'Wind Proxy'!$B$8:$B$19,C4969)</x:f>
        <x:v>0.13739545997610514</x:v>
      </x:c>
    </x:row>
    <x:row r="4970">
      <x:c r="A4970" s="379" t="n">
        <x:v>50621</x:v>
      </x:c>
      <x:c r="B4970" s="380" t="n">
        <x:v>2038</x:v>
      </x:c>
      <x:c r="C4970" s="380" t="n">
        <x:v>8</x:v>
      </x:c>
      <x:c r="D4970" s="380" t="str">
        <x:v>Aug</x:v>
      </x:c>
      <x:c r="E4970" s="380" t="n">
        <x:v>4</x:v>
      </x:c>
      <x:c r="F4970" s="380" t="n">
        <x:v>3</x:v>
      </x:c>
      <x:c r="G4970" s="380" t="n">
        <x:f>--(F4970&lt;='Estimator'!$B$7)</x:f>
        <x:v>1</x:v>
      </x:c>
      <x:c r="H4970" s="381" t="n">
        <x:f>SUMIFS('Climate Data'!$G$7:$G$366,'Climate Data'!$A$7:$A$366,'Estimator'!$B$4,'Climate Data'!$B$7:$B$366,C4970)</x:f>
        <x:v>0.47274749721913234</x:v>
      </x:c>
      <x:c r="I4970" s="382" t="n">
        <x:f>SUMIFS('Climate Data'!$H$7:$H$366,'Climate Data'!$A$7:$A$366,'Estimator'!$B$4,'Climate Data'!$B$7:$B$366,C4970)</x:f>
        <x:v>7.9971764705882356</x:v>
      </x:c>
      <x:c r="J4970" s="381" t="n">
        <x:f>SUMIFS('Wind Proxy'!$H$8:$H$19,'Wind Proxy'!$A$8:$A$19,'Estimator'!$B$4,'Wind Proxy'!$B$8:$B$19,C4970)</x:f>
        <x:v>0.13739545997610514</x:v>
      </x:c>
    </x:row>
    <x:row r="4971">
      <x:c r="A4971" s="379" t="n">
        <x:v>50622</x:v>
      </x:c>
      <x:c r="B4971" s="380" t="n">
        <x:v>2038</x:v>
      </x:c>
      <x:c r="C4971" s="380" t="n">
        <x:v>8</x:v>
      </x:c>
      <x:c r="D4971" s="380" t="str">
        <x:v>Aug</x:v>
      </x:c>
      <x:c r="E4971" s="380" t="n">
        <x:v>5</x:v>
      </x:c>
      <x:c r="F4971" s="380" t="n">
        <x:v>4</x:v>
      </x:c>
      <x:c r="G4971" s="380" t="n">
        <x:f>--(F4971&lt;='Estimator'!$B$7)</x:f>
        <x:v>1</x:v>
      </x:c>
      <x:c r="H4971" s="381" t="n">
        <x:f>SUMIFS('Climate Data'!$G$7:$G$366,'Climate Data'!$A$7:$A$366,'Estimator'!$B$4,'Climate Data'!$B$7:$B$366,C4971)</x:f>
        <x:v>0.47274749721913234</x:v>
      </x:c>
      <x:c r="I4971" s="382" t="n">
        <x:f>SUMIFS('Climate Data'!$H$7:$H$366,'Climate Data'!$A$7:$A$366,'Estimator'!$B$4,'Climate Data'!$B$7:$B$366,C4971)</x:f>
        <x:v>7.9971764705882356</x:v>
      </x:c>
      <x:c r="J4971" s="381" t="n">
        <x:f>SUMIFS('Wind Proxy'!$H$8:$H$19,'Wind Proxy'!$A$8:$A$19,'Estimator'!$B$4,'Wind Proxy'!$B$8:$B$19,C4971)</x:f>
        <x:v>0.13739545997610514</x:v>
      </x:c>
    </x:row>
    <x:row r="4972">
      <x:c r="A4972" s="379" t="n">
        <x:v>50623</x:v>
      </x:c>
      <x:c r="B4972" s="380" t="n">
        <x:v>2038</x:v>
      </x:c>
      <x:c r="C4972" s="380" t="n">
        <x:v>8</x:v>
      </x:c>
      <x:c r="D4972" s="380" t="str">
        <x:v>Aug</x:v>
      </x:c>
      <x:c r="E4972" s="380" t="n">
        <x:v>6</x:v>
      </x:c>
      <x:c r="F4972" s="380" t="n">
        <x:v>5</x:v>
      </x:c>
      <x:c r="G4972" s="380" t="n">
        <x:f>--(F4972&lt;='Estimator'!$B$7)</x:f>
        <x:v>1</x:v>
      </x:c>
      <x:c r="H4972" s="381" t="n">
        <x:f>SUMIFS('Climate Data'!$G$7:$G$366,'Climate Data'!$A$7:$A$366,'Estimator'!$B$4,'Climate Data'!$B$7:$B$366,C4972)</x:f>
        <x:v>0.47274749721913234</x:v>
      </x:c>
      <x:c r="I4972" s="382" t="n">
        <x:f>SUMIFS('Climate Data'!$H$7:$H$366,'Climate Data'!$A$7:$A$366,'Estimator'!$B$4,'Climate Data'!$B$7:$B$366,C4972)</x:f>
        <x:v>7.9971764705882356</x:v>
      </x:c>
      <x:c r="J4972" s="381" t="n">
        <x:f>SUMIFS('Wind Proxy'!$H$8:$H$19,'Wind Proxy'!$A$8:$A$19,'Estimator'!$B$4,'Wind Proxy'!$B$8:$B$19,C4972)</x:f>
        <x:v>0.13739545997610514</x:v>
      </x:c>
    </x:row>
    <x:row r="4973">
      <x:c r="A4973" s="379" t="n">
        <x:v>50624</x:v>
      </x:c>
      <x:c r="B4973" s="380" t="n">
        <x:v>2038</x:v>
      </x:c>
      <x:c r="C4973" s="380" t="n">
        <x:v>8</x:v>
      </x:c>
      <x:c r="D4973" s="380" t="str">
        <x:v>Aug</x:v>
      </x:c>
      <x:c r="E4973" s="380" t="n">
        <x:v>7</x:v>
      </x:c>
      <x:c r="F4973" s="380" t="n">
        <x:v>6</x:v>
      </x:c>
      <x:c r="G4973" s="380" t="n">
        <x:f>--(F4973&lt;='Estimator'!$B$7)</x:f>
        <x:v>0</x:v>
      </x:c>
      <x:c r="H4973" s="381" t="n">
        <x:f>SUMIFS('Climate Data'!$G$7:$G$366,'Climate Data'!$A$7:$A$366,'Estimator'!$B$4,'Climate Data'!$B$7:$B$366,C4973)</x:f>
        <x:v>0.47274749721913234</x:v>
      </x:c>
      <x:c r="I4973" s="382" t="n">
        <x:f>SUMIFS('Climate Data'!$H$7:$H$366,'Climate Data'!$A$7:$A$366,'Estimator'!$B$4,'Climate Data'!$B$7:$B$366,C4973)</x:f>
        <x:v>7.9971764705882356</x:v>
      </x:c>
      <x:c r="J4973" s="381" t="n">
        <x:f>SUMIFS('Wind Proxy'!$H$8:$H$19,'Wind Proxy'!$A$8:$A$19,'Estimator'!$B$4,'Wind Proxy'!$B$8:$B$19,C4973)</x:f>
        <x:v>0.13739545997610514</x:v>
      </x:c>
    </x:row>
    <x:row r="4974">
      <x:c r="A4974" s="379" t="n">
        <x:v>50625</x:v>
      </x:c>
      <x:c r="B4974" s="380" t="n">
        <x:v>2038</x:v>
      </x:c>
      <x:c r="C4974" s="380" t="n">
        <x:v>8</x:v>
      </x:c>
      <x:c r="D4974" s="380" t="str">
        <x:v>Aug</x:v>
      </x:c>
      <x:c r="E4974" s="380" t="n">
        <x:v>8</x:v>
      </x:c>
      <x:c r="F4974" s="380" t="n">
        <x:v>7</x:v>
      </x:c>
      <x:c r="G4974" s="380" t="n">
        <x:f>--(F4974&lt;='Estimator'!$B$7)</x:f>
        <x:v>0</x:v>
      </x:c>
      <x:c r="H4974" s="381" t="n">
        <x:f>SUMIFS('Climate Data'!$G$7:$G$366,'Climate Data'!$A$7:$A$366,'Estimator'!$B$4,'Climate Data'!$B$7:$B$366,C4974)</x:f>
        <x:v>0.47274749721913234</x:v>
      </x:c>
      <x:c r="I4974" s="382" t="n">
        <x:f>SUMIFS('Climate Data'!$H$7:$H$366,'Climate Data'!$A$7:$A$366,'Estimator'!$B$4,'Climate Data'!$B$7:$B$366,C4974)</x:f>
        <x:v>7.9971764705882356</x:v>
      </x:c>
      <x:c r="J4974" s="381" t="n">
        <x:f>SUMIFS('Wind Proxy'!$H$8:$H$19,'Wind Proxy'!$A$8:$A$19,'Estimator'!$B$4,'Wind Proxy'!$B$8:$B$19,C4974)</x:f>
        <x:v>0.13739545997610514</x:v>
      </x:c>
    </x:row>
    <x:row r="4975">
      <x:c r="A4975" s="379" t="n">
        <x:v>50626</x:v>
      </x:c>
      <x:c r="B4975" s="380" t="n">
        <x:v>2038</x:v>
      </x:c>
      <x:c r="C4975" s="380" t="n">
        <x:v>8</x:v>
      </x:c>
      <x:c r="D4975" s="380" t="str">
        <x:v>Aug</x:v>
      </x:c>
      <x:c r="E4975" s="380" t="n">
        <x:v>9</x:v>
      </x:c>
      <x:c r="F4975" s="380" t="n">
        <x:v>1</x:v>
      </x:c>
      <x:c r="G4975" s="380" t="n">
        <x:f>--(F4975&lt;='Estimator'!$B$7)</x:f>
        <x:v>1</x:v>
      </x:c>
      <x:c r="H4975" s="381" t="n">
        <x:f>SUMIFS('Climate Data'!$G$7:$G$366,'Climate Data'!$A$7:$A$366,'Estimator'!$B$4,'Climate Data'!$B$7:$B$366,C4975)</x:f>
        <x:v>0.47274749721913234</x:v>
      </x:c>
      <x:c r="I4975" s="382" t="n">
        <x:f>SUMIFS('Climate Data'!$H$7:$H$366,'Climate Data'!$A$7:$A$366,'Estimator'!$B$4,'Climate Data'!$B$7:$B$366,C4975)</x:f>
        <x:v>7.9971764705882356</x:v>
      </x:c>
      <x:c r="J4975" s="381" t="n">
        <x:f>SUMIFS('Wind Proxy'!$H$8:$H$19,'Wind Proxy'!$A$8:$A$19,'Estimator'!$B$4,'Wind Proxy'!$B$8:$B$19,C4975)</x:f>
        <x:v>0.13739545997610514</x:v>
      </x:c>
    </x:row>
    <x:row r="4976">
      <x:c r="A4976" s="379" t="n">
        <x:v>50627</x:v>
      </x:c>
      <x:c r="B4976" s="380" t="n">
        <x:v>2038</x:v>
      </x:c>
      <x:c r="C4976" s="380" t="n">
        <x:v>8</x:v>
      </x:c>
      <x:c r="D4976" s="380" t="str">
        <x:v>Aug</x:v>
      </x:c>
      <x:c r="E4976" s="380" t="n">
        <x:v>10</x:v>
      </x:c>
      <x:c r="F4976" s="380" t="n">
        <x:v>2</x:v>
      </x:c>
      <x:c r="G4976" s="380" t="n">
        <x:f>--(F4976&lt;='Estimator'!$B$7)</x:f>
        <x:v>1</x:v>
      </x:c>
      <x:c r="H4976" s="381" t="n">
        <x:f>SUMIFS('Climate Data'!$G$7:$G$366,'Climate Data'!$A$7:$A$366,'Estimator'!$B$4,'Climate Data'!$B$7:$B$366,C4976)</x:f>
        <x:v>0.47274749721913234</x:v>
      </x:c>
      <x:c r="I4976" s="382" t="n">
        <x:f>SUMIFS('Climate Data'!$H$7:$H$366,'Climate Data'!$A$7:$A$366,'Estimator'!$B$4,'Climate Data'!$B$7:$B$366,C4976)</x:f>
        <x:v>7.9971764705882356</x:v>
      </x:c>
      <x:c r="J4976" s="381" t="n">
        <x:f>SUMIFS('Wind Proxy'!$H$8:$H$19,'Wind Proxy'!$A$8:$A$19,'Estimator'!$B$4,'Wind Proxy'!$B$8:$B$19,C4976)</x:f>
        <x:v>0.13739545997610514</x:v>
      </x:c>
    </x:row>
    <x:row r="4977">
      <x:c r="A4977" s="379" t="n">
        <x:v>50628</x:v>
      </x:c>
      <x:c r="B4977" s="380" t="n">
        <x:v>2038</x:v>
      </x:c>
      <x:c r="C4977" s="380" t="n">
        <x:v>8</x:v>
      </x:c>
      <x:c r="D4977" s="380" t="str">
        <x:v>Aug</x:v>
      </x:c>
      <x:c r="E4977" s="380" t="n">
        <x:v>11</x:v>
      </x:c>
      <x:c r="F4977" s="380" t="n">
        <x:v>3</x:v>
      </x:c>
      <x:c r="G4977" s="380" t="n">
        <x:f>--(F4977&lt;='Estimator'!$B$7)</x:f>
        <x:v>1</x:v>
      </x:c>
      <x:c r="H4977" s="381" t="n">
        <x:f>SUMIFS('Climate Data'!$G$7:$G$366,'Climate Data'!$A$7:$A$366,'Estimator'!$B$4,'Climate Data'!$B$7:$B$366,C4977)</x:f>
        <x:v>0.47274749721913234</x:v>
      </x:c>
      <x:c r="I4977" s="382" t="n">
        <x:f>SUMIFS('Climate Data'!$H$7:$H$366,'Climate Data'!$A$7:$A$366,'Estimator'!$B$4,'Climate Data'!$B$7:$B$366,C4977)</x:f>
        <x:v>7.9971764705882356</x:v>
      </x:c>
      <x:c r="J4977" s="381" t="n">
        <x:f>SUMIFS('Wind Proxy'!$H$8:$H$19,'Wind Proxy'!$A$8:$A$19,'Estimator'!$B$4,'Wind Proxy'!$B$8:$B$19,C4977)</x:f>
        <x:v>0.13739545997610514</x:v>
      </x:c>
    </x:row>
    <x:row r="4978">
      <x:c r="A4978" s="379" t="n">
        <x:v>50629</x:v>
      </x:c>
      <x:c r="B4978" s="380" t="n">
        <x:v>2038</x:v>
      </x:c>
      <x:c r="C4978" s="380" t="n">
        <x:v>8</x:v>
      </x:c>
      <x:c r="D4978" s="380" t="str">
        <x:v>Aug</x:v>
      </x:c>
      <x:c r="E4978" s="380" t="n">
        <x:v>12</x:v>
      </x:c>
      <x:c r="F4978" s="380" t="n">
        <x:v>4</x:v>
      </x:c>
      <x:c r="G4978" s="380" t="n">
        <x:f>--(F4978&lt;='Estimator'!$B$7)</x:f>
        <x:v>1</x:v>
      </x:c>
      <x:c r="H4978" s="381" t="n">
        <x:f>SUMIFS('Climate Data'!$G$7:$G$366,'Climate Data'!$A$7:$A$366,'Estimator'!$B$4,'Climate Data'!$B$7:$B$366,C4978)</x:f>
        <x:v>0.47274749721913234</x:v>
      </x:c>
      <x:c r="I4978" s="382" t="n">
        <x:f>SUMIFS('Climate Data'!$H$7:$H$366,'Climate Data'!$A$7:$A$366,'Estimator'!$B$4,'Climate Data'!$B$7:$B$366,C4978)</x:f>
        <x:v>7.9971764705882356</x:v>
      </x:c>
      <x:c r="J4978" s="381" t="n">
        <x:f>SUMIFS('Wind Proxy'!$H$8:$H$19,'Wind Proxy'!$A$8:$A$19,'Estimator'!$B$4,'Wind Proxy'!$B$8:$B$19,C4978)</x:f>
        <x:v>0.13739545997610514</x:v>
      </x:c>
    </x:row>
    <x:row r="4979">
      <x:c r="A4979" s="379" t="n">
        <x:v>50630</x:v>
      </x:c>
      <x:c r="B4979" s="380" t="n">
        <x:v>2038</x:v>
      </x:c>
      <x:c r="C4979" s="380" t="n">
        <x:v>8</x:v>
      </x:c>
      <x:c r="D4979" s="380" t="str">
        <x:v>Aug</x:v>
      </x:c>
      <x:c r="E4979" s="380" t="n">
        <x:v>13</x:v>
      </x:c>
      <x:c r="F4979" s="380" t="n">
        <x:v>5</x:v>
      </x:c>
      <x:c r="G4979" s="380" t="n">
        <x:f>--(F4979&lt;='Estimator'!$B$7)</x:f>
        <x:v>1</x:v>
      </x:c>
      <x:c r="H4979" s="381" t="n">
        <x:f>SUMIFS('Climate Data'!$G$7:$G$366,'Climate Data'!$A$7:$A$366,'Estimator'!$B$4,'Climate Data'!$B$7:$B$366,C4979)</x:f>
        <x:v>0.47274749721913234</x:v>
      </x:c>
      <x:c r="I4979" s="382" t="n">
        <x:f>SUMIFS('Climate Data'!$H$7:$H$366,'Climate Data'!$A$7:$A$366,'Estimator'!$B$4,'Climate Data'!$B$7:$B$366,C4979)</x:f>
        <x:v>7.9971764705882356</x:v>
      </x:c>
      <x:c r="J4979" s="381" t="n">
        <x:f>SUMIFS('Wind Proxy'!$H$8:$H$19,'Wind Proxy'!$A$8:$A$19,'Estimator'!$B$4,'Wind Proxy'!$B$8:$B$19,C4979)</x:f>
        <x:v>0.13739545997610514</x:v>
      </x:c>
    </x:row>
    <x:row r="4980">
      <x:c r="A4980" s="379" t="n">
        <x:v>50631</x:v>
      </x:c>
      <x:c r="B4980" s="380" t="n">
        <x:v>2038</x:v>
      </x:c>
      <x:c r="C4980" s="380" t="n">
        <x:v>8</x:v>
      </x:c>
      <x:c r="D4980" s="380" t="str">
        <x:v>Aug</x:v>
      </x:c>
      <x:c r="E4980" s="380" t="n">
        <x:v>14</x:v>
      </x:c>
      <x:c r="F4980" s="380" t="n">
        <x:v>6</x:v>
      </x:c>
      <x:c r="G4980" s="380" t="n">
        <x:f>--(F4980&lt;='Estimator'!$B$7)</x:f>
        <x:v>0</x:v>
      </x:c>
      <x:c r="H4980" s="381" t="n">
        <x:f>SUMIFS('Climate Data'!$G$7:$G$366,'Climate Data'!$A$7:$A$366,'Estimator'!$B$4,'Climate Data'!$B$7:$B$366,C4980)</x:f>
        <x:v>0.47274749721913234</x:v>
      </x:c>
      <x:c r="I4980" s="382" t="n">
        <x:f>SUMIFS('Climate Data'!$H$7:$H$366,'Climate Data'!$A$7:$A$366,'Estimator'!$B$4,'Climate Data'!$B$7:$B$366,C4980)</x:f>
        <x:v>7.9971764705882356</x:v>
      </x:c>
      <x:c r="J4980" s="381" t="n">
        <x:f>SUMIFS('Wind Proxy'!$H$8:$H$19,'Wind Proxy'!$A$8:$A$19,'Estimator'!$B$4,'Wind Proxy'!$B$8:$B$19,C4980)</x:f>
        <x:v>0.13739545997610514</x:v>
      </x:c>
    </x:row>
    <x:row r="4981">
      <x:c r="A4981" s="379" t="n">
        <x:v>50632</x:v>
      </x:c>
      <x:c r="B4981" s="380" t="n">
        <x:v>2038</x:v>
      </x:c>
      <x:c r="C4981" s="380" t="n">
        <x:v>8</x:v>
      </x:c>
      <x:c r="D4981" s="380" t="str">
        <x:v>Aug</x:v>
      </x:c>
      <x:c r="E4981" s="380" t="n">
        <x:v>15</x:v>
      </x:c>
      <x:c r="F4981" s="380" t="n">
        <x:v>7</x:v>
      </x:c>
      <x:c r="G4981" s="380" t="n">
        <x:f>--(F4981&lt;='Estimator'!$B$7)</x:f>
        <x:v>0</x:v>
      </x:c>
      <x:c r="H4981" s="381" t="n">
        <x:f>SUMIFS('Climate Data'!$G$7:$G$366,'Climate Data'!$A$7:$A$366,'Estimator'!$B$4,'Climate Data'!$B$7:$B$366,C4981)</x:f>
        <x:v>0.47274749721913234</x:v>
      </x:c>
      <x:c r="I4981" s="382" t="n">
        <x:f>SUMIFS('Climate Data'!$H$7:$H$366,'Climate Data'!$A$7:$A$366,'Estimator'!$B$4,'Climate Data'!$B$7:$B$366,C4981)</x:f>
        <x:v>7.9971764705882356</x:v>
      </x:c>
      <x:c r="J4981" s="381" t="n">
        <x:f>SUMIFS('Wind Proxy'!$H$8:$H$19,'Wind Proxy'!$A$8:$A$19,'Estimator'!$B$4,'Wind Proxy'!$B$8:$B$19,C4981)</x:f>
        <x:v>0.13739545997610514</x:v>
      </x:c>
    </x:row>
    <x:row r="4982">
      <x:c r="A4982" s="379" t="n">
        <x:v>50633</x:v>
      </x:c>
      <x:c r="B4982" s="380" t="n">
        <x:v>2038</x:v>
      </x:c>
      <x:c r="C4982" s="380" t="n">
        <x:v>8</x:v>
      </x:c>
      <x:c r="D4982" s="380" t="str">
        <x:v>Aug</x:v>
      </x:c>
      <x:c r="E4982" s="380" t="n">
        <x:v>16</x:v>
      </x:c>
      <x:c r="F4982" s="380" t="n">
        <x:v>1</x:v>
      </x:c>
      <x:c r="G4982" s="380" t="n">
        <x:f>--(F4982&lt;='Estimator'!$B$7)</x:f>
        <x:v>1</x:v>
      </x:c>
      <x:c r="H4982" s="381" t="n">
        <x:f>SUMIFS('Climate Data'!$G$7:$G$366,'Climate Data'!$A$7:$A$366,'Estimator'!$B$4,'Climate Data'!$B$7:$B$366,C4982)</x:f>
        <x:v>0.47274749721913234</x:v>
      </x:c>
      <x:c r="I4982" s="382" t="n">
        <x:f>SUMIFS('Climate Data'!$H$7:$H$366,'Climate Data'!$A$7:$A$366,'Estimator'!$B$4,'Climate Data'!$B$7:$B$366,C4982)</x:f>
        <x:v>7.9971764705882356</x:v>
      </x:c>
      <x:c r="J4982" s="381" t="n">
        <x:f>SUMIFS('Wind Proxy'!$H$8:$H$19,'Wind Proxy'!$A$8:$A$19,'Estimator'!$B$4,'Wind Proxy'!$B$8:$B$19,C4982)</x:f>
        <x:v>0.13739545997610514</x:v>
      </x:c>
    </x:row>
    <x:row r="4983">
      <x:c r="A4983" s="379" t="n">
        <x:v>50634</x:v>
      </x:c>
      <x:c r="B4983" s="380" t="n">
        <x:v>2038</x:v>
      </x:c>
      <x:c r="C4983" s="380" t="n">
        <x:v>8</x:v>
      </x:c>
      <x:c r="D4983" s="380" t="str">
        <x:v>Aug</x:v>
      </x:c>
      <x:c r="E4983" s="380" t="n">
        <x:v>17</x:v>
      </x:c>
      <x:c r="F4983" s="380" t="n">
        <x:v>2</x:v>
      </x:c>
      <x:c r="G4983" s="380" t="n">
        <x:f>--(F4983&lt;='Estimator'!$B$7)</x:f>
        <x:v>1</x:v>
      </x:c>
      <x:c r="H4983" s="381" t="n">
        <x:f>SUMIFS('Climate Data'!$G$7:$G$366,'Climate Data'!$A$7:$A$366,'Estimator'!$B$4,'Climate Data'!$B$7:$B$366,C4983)</x:f>
        <x:v>0.47274749721913234</x:v>
      </x:c>
      <x:c r="I4983" s="382" t="n">
        <x:f>SUMIFS('Climate Data'!$H$7:$H$366,'Climate Data'!$A$7:$A$366,'Estimator'!$B$4,'Climate Data'!$B$7:$B$366,C4983)</x:f>
        <x:v>7.9971764705882356</x:v>
      </x:c>
      <x:c r="J4983" s="381" t="n">
        <x:f>SUMIFS('Wind Proxy'!$H$8:$H$19,'Wind Proxy'!$A$8:$A$19,'Estimator'!$B$4,'Wind Proxy'!$B$8:$B$19,C4983)</x:f>
        <x:v>0.13739545997610514</x:v>
      </x:c>
    </x:row>
    <x:row r="4984">
      <x:c r="A4984" s="379" t="n">
        <x:v>50635</x:v>
      </x:c>
      <x:c r="B4984" s="380" t="n">
        <x:v>2038</x:v>
      </x:c>
      <x:c r="C4984" s="380" t="n">
        <x:v>8</x:v>
      </x:c>
      <x:c r="D4984" s="380" t="str">
        <x:v>Aug</x:v>
      </x:c>
      <x:c r="E4984" s="380" t="n">
        <x:v>18</x:v>
      </x:c>
      <x:c r="F4984" s="380" t="n">
        <x:v>3</x:v>
      </x:c>
      <x:c r="G4984" s="380" t="n">
        <x:f>--(F4984&lt;='Estimator'!$B$7)</x:f>
        <x:v>1</x:v>
      </x:c>
      <x:c r="H4984" s="381" t="n">
        <x:f>SUMIFS('Climate Data'!$G$7:$G$366,'Climate Data'!$A$7:$A$366,'Estimator'!$B$4,'Climate Data'!$B$7:$B$366,C4984)</x:f>
        <x:v>0.47274749721913234</x:v>
      </x:c>
      <x:c r="I4984" s="382" t="n">
        <x:f>SUMIFS('Climate Data'!$H$7:$H$366,'Climate Data'!$A$7:$A$366,'Estimator'!$B$4,'Climate Data'!$B$7:$B$366,C4984)</x:f>
        <x:v>7.9971764705882356</x:v>
      </x:c>
      <x:c r="J4984" s="381" t="n">
        <x:f>SUMIFS('Wind Proxy'!$H$8:$H$19,'Wind Proxy'!$A$8:$A$19,'Estimator'!$B$4,'Wind Proxy'!$B$8:$B$19,C4984)</x:f>
        <x:v>0.13739545997610514</x:v>
      </x:c>
    </x:row>
    <x:row r="4985">
      <x:c r="A4985" s="379" t="n">
        <x:v>50636</x:v>
      </x:c>
      <x:c r="B4985" s="380" t="n">
        <x:v>2038</x:v>
      </x:c>
      <x:c r="C4985" s="380" t="n">
        <x:v>8</x:v>
      </x:c>
      <x:c r="D4985" s="380" t="str">
        <x:v>Aug</x:v>
      </x:c>
      <x:c r="E4985" s="380" t="n">
        <x:v>19</x:v>
      </x:c>
      <x:c r="F4985" s="380" t="n">
        <x:v>4</x:v>
      </x:c>
      <x:c r="G4985" s="380" t="n">
        <x:f>--(F4985&lt;='Estimator'!$B$7)</x:f>
        <x:v>1</x:v>
      </x:c>
      <x:c r="H4985" s="381" t="n">
        <x:f>SUMIFS('Climate Data'!$G$7:$G$366,'Climate Data'!$A$7:$A$366,'Estimator'!$B$4,'Climate Data'!$B$7:$B$366,C4985)</x:f>
        <x:v>0.47274749721913234</x:v>
      </x:c>
      <x:c r="I4985" s="382" t="n">
        <x:f>SUMIFS('Climate Data'!$H$7:$H$366,'Climate Data'!$A$7:$A$366,'Estimator'!$B$4,'Climate Data'!$B$7:$B$366,C4985)</x:f>
        <x:v>7.9971764705882356</x:v>
      </x:c>
      <x:c r="J4985" s="381" t="n">
        <x:f>SUMIFS('Wind Proxy'!$H$8:$H$19,'Wind Proxy'!$A$8:$A$19,'Estimator'!$B$4,'Wind Proxy'!$B$8:$B$19,C4985)</x:f>
        <x:v>0.13739545997610514</x:v>
      </x:c>
    </x:row>
    <x:row r="4986">
      <x:c r="A4986" s="379" t="n">
        <x:v>50637</x:v>
      </x:c>
      <x:c r="B4986" s="380" t="n">
        <x:v>2038</x:v>
      </x:c>
      <x:c r="C4986" s="380" t="n">
        <x:v>8</x:v>
      </x:c>
      <x:c r="D4986" s="380" t="str">
        <x:v>Aug</x:v>
      </x:c>
      <x:c r="E4986" s="380" t="n">
        <x:v>20</x:v>
      </x:c>
      <x:c r="F4986" s="380" t="n">
        <x:v>5</x:v>
      </x:c>
      <x:c r="G4986" s="380" t="n">
        <x:f>--(F4986&lt;='Estimator'!$B$7)</x:f>
        <x:v>1</x:v>
      </x:c>
      <x:c r="H4986" s="381" t="n">
        <x:f>SUMIFS('Climate Data'!$G$7:$G$366,'Climate Data'!$A$7:$A$366,'Estimator'!$B$4,'Climate Data'!$B$7:$B$366,C4986)</x:f>
        <x:v>0.47274749721913234</x:v>
      </x:c>
      <x:c r="I4986" s="382" t="n">
        <x:f>SUMIFS('Climate Data'!$H$7:$H$366,'Climate Data'!$A$7:$A$366,'Estimator'!$B$4,'Climate Data'!$B$7:$B$366,C4986)</x:f>
        <x:v>7.9971764705882356</x:v>
      </x:c>
      <x:c r="J4986" s="381" t="n">
        <x:f>SUMIFS('Wind Proxy'!$H$8:$H$19,'Wind Proxy'!$A$8:$A$19,'Estimator'!$B$4,'Wind Proxy'!$B$8:$B$19,C4986)</x:f>
        <x:v>0.13739545997610514</x:v>
      </x:c>
    </x:row>
    <x:row r="4987">
      <x:c r="A4987" s="379" t="n">
        <x:v>50638</x:v>
      </x:c>
      <x:c r="B4987" s="380" t="n">
        <x:v>2038</x:v>
      </x:c>
      <x:c r="C4987" s="380" t="n">
        <x:v>8</x:v>
      </x:c>
      <x:c r="D4987" s="380" t="str">
        <x:v>Aug</x:v>
      </x:c>
      <x:c r="E4987" s="380" t="n">
        <x:v>21</x:v>
      </x:c>
      <x:c r="F4987" s="380" t="n">
        <x:v>6</x:v>
      </x:c>
      <x:c r="G4987" s="380" t="n">
        <x:f>--(F4987&lt;='Estimator'!$B$7)</x:f>
        <x:v>0</x:v>
      </x:c>
      <x:c r="H4987" s="381" t="n">
        <x:f>SUMIFS('Climate Data'!$G$7:$G$366,'Climate Data'!$A$7:$A$366,'Estimator'!$B$4,'Climate Data'!$B$7:$B$366,C4987)</x:f>
        <x:v>0.47274749721913234</x:v>
      </x:c>
      <x:c r="I4987" s="382" t="n">
        <x:f>SUMIFS('Climate Data'!$H$7:$H$366,'Climate Data'!$A$7:$A$366,'Estimator'!$B$4,'Climate Data'!$B$7:$B$366,C4987)</x:f>
        <x:v>7.9971764705882356</x:v>
      </x:c>
      <x:c r="J4987" s="381" t="n">
        <x:f>SUMIFS('Wind Proxy'!$H$8:$H$19,'Wind Proxy'!$A$8:$A$19,'Estimator'!$B$4,'Wind Proxy'!$B$8:$B$19,C4987)</x:f>
        <x:v>0.13739545997610514</x:v>
      </x:c>
    </x:row>
    <x:row r="4988">
      <x:c r="A4988" s="379" t="n">
        <x:v>50639</x:v>
      </x:c>
      <x:c r="B4988" s="380" t="n">
        <x:v>2038</x:v>
      </x:c>
      <x:c r="C4988" s="380" t="n">
        <x:v>8</x:v>
      </x:c>
      <x:c r="D4988" s="380" t="str">
        <x:v>Aug</x:v>
      </x:c>
      <x:c r="E4988" s="380" t="n">
        <x:v>22</x:v>
      </x:c>
      <x:c r="F4988" s="380" t="n">
        <x:v>7</x:v>
      </x:c>
      <x:c r="G4988" s="380" t="n">
        <x:f>--(F4988&lt;='Estimator'!$B$7)</x:f>
        <x:v>0</x:v>
      </x:c>
      <x:c r="H4988" s="381" t="n">
        <x:f>SUMIFS('Climate Data'!$G$7:$G$366,'Climate Data'!$A$7:$A$366,'Estimator'!$B$4,'Climate Data'!$B$7:$B$366,C4988)</x:f>
        <x:v>0.47274749721913234</x:v>
      </x:c>
      <x:c r="I4988" s="382" t="n">
        <x:f>SUMIFS('Climate Data'!$H$7:$H$366,'Climate Data'!$A$7:$A$366,'Estimator'!$B$4,'Climate Data'!$B$7:$B$366,C4988)</x:f>
        <x:v>7.9971764705882356</x:v>
      </x:c>
      <x:c r="J4988" s="381" t="n">
        <x:f>SUMIFS('Wind Proxy'!$H$8:$H$19,'Wind Proxy'!$A$8:$A$19,'Estimator'!$B$4,'Wind Proxy'!$B$8:$B$19,C4988)</x:f>
        <x:v>0.13739545997610514</x:v>
      </x:c>
    </x:row>
    <x:row r="4989">
      <x:c r="A4989" s="379" t="n">
        <x:v>50640</x:v>
      </x:c>
      <x:c r="B4989" s="380" t="n">
        <x:v>2038</x:v>
      </x:c>
      <x:c r="C4989" s="380" t="n">
        <x:v>8</x:v>
      </x:c>
      <x:c r="D4989" s="380" t="str">
        <x:v>Aug</x:v>
      </x:c>
      <x:c r="E4989" s="380" t="n">
        <x:v>23</x:v>
      </x:c>
      <x:c r="F4989" s="380" t="n">
        <x:v>1</x:v>
      </x:c>
      <x:c r="G4989" s="380" t="n">
        <x:f>--(F4989&lt;='Estimator'!$B$7)</x:f>
        <x:v>1</x:v>
      </x:c>
      <x:c r="H4989" s="381" t="n">
        <x:f>SUMIFS('Climate Data'!$G$7:$G$366,'Climate Data'!$A$7:$A$366,'Estimator'!$B$4,'Climate Data'!$B$7:$B$366,C4989)</x:f>
        <x:v>0.47274749721913234</x:v>
      </x:c>
      <x:c r="I4989" s="382" t="n">
        <x:f>SUMIFS('Climate Data'!$H$7:$H$366,'Climate Data'!$A$7:$A$366,'Estimator'!$B$4,'Climate Data'!$B$7:$B$366,C4989)</x:f>
        <x:v>7.9971764705882356</x:v>
      </x:c>
      <x:c r="J4989" s="381" t="n">
        <x:f>SUMIFS('Wind Proxy'!$H$8:$H$19,'Wind Proxy'!$A$8:$A$19,'Estimator'!$B$4,'Wind Proxy'!$B$8:$B$19,C4989)</x:f>
        <x:v>0.13739545997610514</x:v>
      </x:c>
    </x:row>
    <x:row r="4990">
      <x:c r="A4990" s="379" t="n">
        <x:v>50641</x:v>
      </x:c>
      <x:c r="B4990" s="380" t="n">
        <x:v>2038</x:v>
      </x:c>
      <x:c r="C4990" s="380" t="n">
        <x:v>8</x:v>
      </x:c>
      <x:c r="D4990" s="380" t="str">
        <x:v>Aug</x:v>
      </x:c>
      <x:c r="E4990" s="380" t="n">
        <x:v>24</x:v>
      </x:c>
      <x:c r="F4990" s="380" t="n">
        <x:v>2</x:v>
      </x:c>
      <x:c r="G4990" s="380" t="n">
        <x:f>--(F4990&lt;='Estimator'!$B$7)</x:f>
        <x:v>1</x:v>
      </x:c>
      <x:c r="H4990" s="381" t="n">
        <x:f>SUMIFS('Climate Data'!$G$7:$G$366,'Climate Data'!$A$7:$A$366,'Estimator'!$B$4,'Climate Data'!$B$7:$B$366,C4990)</x:f>
        <x:v>0.47274749721913234</x:v>
      </x:c>
      <x:c r="I4990" s="382" t="n">
        <x:f>SUMIFS('Climate Data'!$H$7:$H$366,'Climate Data'!$A$7:$A$366,'Estimator'!$B$4,'Climate Data'!$B$7:$B$366,C4990)</x:f>
        <x:v>7.9971764705882356</x:v>
      </x:c>
      <x:c r="J4990" s="381" t="n">
        <x:f>SUMIFS('Wind Proxy'!$H$8:$H$19,'Wind Proxy'!$A$8:$A$19,'Estimator'!$B$4,'Wind Proxy'!$B$8:$B$19,C4990)</x:f>
        <x:v>0.13739545997610514</x:v>
      </x:c>
    </x:row>
    <x:row r="4991">
      <x:c r="A4991" s="379" t="n">
        <x:v>50642</x:v>
      </x:c>
      <x:c r="B4991" s="380" t="n">
        <x:v>2038</x:v>
      </x:c>
      <x:c r="C4991" s="380" t="n">
        <x:v>8</x:v>
      </x:c>
      <x:c r="D4991" s="380" t="str">
        <x:v>Aug</x:v>
      </x:c>
      <x:c r="E4991" s="380" t="n">
        <x:v>25</x:v>
      </x:c>
      <x:c r="F4991" s="380" t="n">
        <x:v>3</x:v>
      </x:c>
      <x:c r="G4991" s="380" t="n">
        <x:f>--(F4991&lt;='Estimator'!$B$7)</x:f>
        <x:v>1</x:v>
      </x:c>
      <x:c r="H4991" s="381" t="n">
        <x:f>SUMIFS('Climate Data'!$G$7:$G$366,'Climate Data'!$A$7:$A$366,'Estimator'!$B$4,'Climate Data'!$B$7:$B$366,C4991)</x:f>
        <x:v>0.47274749721913234</x:v>
      </x:c>
      <x:c r="I4991" s="382" t="n">
        <x:f>SUMIFS('Climate Data'!$H$7:$H$366,'Climate Data'!$A$7:$A$366,'Estimator'!$B$4,'Climate Data'!$B$7:$B$366,C4991)</x:f>
        <x:v>7.9971764705882356</x:v>
      </x:c>
      <x:c r="J4991" s="381" t="n">
        <x:f>SUMIFS('Wind Proxy'!$H$8:$H$19,'Wind Proxy'!$A$8:$A$19,'Estimator'!$B$4,'Wind Proxy'!$B$8:$B$19,C4991)</x:f>
        <x:v>0.13739545997610514</x:v>
      </x:c>
    </x:row>
    <x:row r="4992">
      <x:c r="A4992" s="379" t="n">
        <x:v>50643</x:v>
      </x:c>
      <x:c r="B4992" s="380" t="n">
        <x:v>2038</x:v>
      </x:c>
      <x:c r="C4992" s="380" t="n">
        <x:v>8</x:v>
      </x:c>
      <x:c r="D4992" s="380" t="str">
        <x:v>Aug</x:v>
      </x:c>
      <x:c r="E4992" s="380" t="n">
        <x:v>26</x:v>
      </x:c>
      <x:c r="F4992" s="380" t="n">
        <x:v>4</x:v>
      </x:c>
      <x:c r="G4992" s="380" t="n">
        <x:f>--(F4992&lt;='Estimator'!$B$7)</x:f>
        <x:v>1</x:v>
      </x:c>
      <x:c r="H4992" s="381" t="n">
        <x:f>SUMIFS('Climate Data'!$G$7:$G$366,'Climate Data'!$A$7:$A$366,'Estimator'!$B$4,'Climate Data'!$B$7:$B$366,C4992)</x:f>
        <x:v>0.47274749721913234</x:v>
      </x:c>
      <x:c r="I4992" s="382" t="n">
        <x:f>SUMIFS('Climate Data'!$H$7:$H$366,'Climate Data'!$A$7:$A$366,'Estimator'!$B$4,'Climate Data'!$B$7:$B$366,C4992)</x:f>
        <x:v>7.9971764705882356</x:v>
      </x:c>
      <x:c r="J4992" s="381" t="n">
        <x:f>SUMIFS('Wind Proxy'!$H$8:$H$19,'Wind Proxy'!$A$8:$A$19,'Estimator'!$B$4,'Wind Proxy'!$B$8:$B$19,C4992)</x:f>
        <x:v>0.13739545997610514</x:v>
      </x:c>
    </x:row>
    <x:row r="4993">
      <x:c r="A4993" s="379" t="n">
        <x:v>50644</x:v>
      </x:c>
      <x:c r="B4993" s="380" t="n">
        <x:v>2038</x:v>
      </x:c>
      <x:c r="C4993" s="380" t="n">
        <x:v>8</x:v>
      </x:c>
      <x:c r="D4993" s="380" t="str">
        <x:v>Aug</x:v>
      </x:c>
      <x:c r="E4993" s="380" t="n">
        <x:v>27</x:v>
      </x:c>
      <x:c r="F4993" s="380" t="n">
        <x:v>5</x:v>
      </x:c>
      <x:c r="G4993" s="380" t="n">
        <x:f>--(F4993&lt;='Estimator'!$B$7)</x:f>
        <x:v>1</x:v>
      </x:c>
      <x:c r="H4993" s="381" t="n">
        <x:f>SUMIFS('Climate Data'!$G$7:$G$366,'Climate Data'!$A$7:$A$366,'Estimator'!$B$4,'Climate Data'!$B$7:$B$366,C4993)</x:f>
        <x:v>0.47274749721913234</x:v>
      </x:c>
      <x:c r="I4993" s="382" t="n">
        <x:f>SUMIFS('Climate Data'!$H$7:$H$366,'Climate Data'!$A$7:$A$366,'Estimator'!$B$4,'Climate Data'!$B$7:$B$366,C4993)</x:f>
        <x:v>7.9971764705882356</x:v>
      </x:c>
      <x:c r="J4993" s="381" t="n">
        <x:f>SUMIFS('Wind Proxy'!$H$8:$H$19,'Wind Proxy'!$A$8:$A$19,'Estimator'!$B$4,'Wind Proxy'!$B$8:$B$19,C4993)</x:f>
        <x:v>0.13739545997610514</x:v>
      </x:c>
    </x:row>
    <x:row r="4994">
      <x:c r="A4994" s="379" t="n">
        <x:v>50645</x:v>
      </x:c>
      <x:c r="B4994" s="380" t="n">
        <x:v>2038</x:v>
      </x:c>
      <x:c r="C4994" s="380" t="n">
        <x:v>8</x:v>
      </x:c>
      <x:c r="D4994" s="380" t="str">
        <x:v>Aug</x:v>
      </x:c>
      <x:c r="E4994" s="380" t="n">
        <x:v>28</x:v>
      </x:c>
      <x:c r="F4994" s="380" t="n">
        <x:v>6</x:v>
      </x:c>
      <x:c r="G4994" s="380" t="n">
        <x:f>--(F4994&lt;='Estimator'!$B$7)</x:f>
        <x:v>0</x:v>
      </x:c>
      <x:c r="H4994" s="381" t="n">
        <x:f>SUMIFS('Climate Data'!$G$7:$G$366,'Climate Data'!$A$7:$A$366,'Estimator'!$B$4,'Climate Data'!$B$7:$B$366,C4994)</x:f>
        <x:v>0.47274749721913234</x:v>
      </x:c>
      <x:c r="I4994" s="382" t="n">
        <x:f>SUMIFS('Climate Data'!$H$7:$H$366,'Climate Data'!$A$7:$A$366,'Estimator'!$B$4,'Climate Data'!$B$7:$B$366,C4994)</x:f>
        <x:v>7.9971764705882356</x:v>
      </x:c>
      <x:c r="J4994" s="381" t="n">
        <x:f>SUMIFS('Wind Proxy'!$H$8:$H$19,'Wind Proxy'!$A$8:$A$19,'Estimator'!$B$4,'Wind Proxy'!$B$8:$B$19,C4994)</x:f>
        <x:v>0.13739545997610514</x:v>
      </x:c>
    </x:row>
    <x:row r="4995">
      <x:c r="A4995" s="379" t="n">
        <x:v>50646</x:v>
      </x:c>
      <x:c r="B4995" s="380" t="n">
        <x:v>2038</x:v>
      </x:c>
      <x:c r="C4995" s="380" t="n">
        <x:v>8</x:v>
      </x:c>
      <x:c r="D4995" s="380" t="str">
        <x:v>Aug</x:v>
      </x:c>
      <x:c r="E4995" s="380" t="n">
        <x:v>29</x:v>
      </x:c>
      <x:c r="F4995" s="380" t="n">
        <x:v>7</x:v>
      </x:c>
      <x:c r="G4995" s="380" t="n">
        <x:f>--(F4995&lt;='Estimator'!$B$7)</x:f>
        <x:v>0</x:v>
      </x:c>
      <x:c r="H4995" s="381" t="n">
        <x:f>SUMIFS('Climate Data'!$G$7:$G$366,'Climate Data'!$A$7:$A$366,'Estimator'!$B$4,'Climate Data'!$B$7:$B$366,C4995)</x:f>
        <x:v>0.47274749721913234</x:v>
      </x:c>
      <x:c r="I4995" s="382" t="n">
        <x:f>SUMIFS('Climate Data'!$H$7:$H$366,'Climate Data'!$A$7:$A$366,'Estimator'!$B$4,'Climate Data'!$B$7:$B$366,C4995)</x:f>
        <x:v>7.9971764705882356</x:v>
      </x:c>
      <x:c r="J4995" s="381" t="n">
        <x:f>SUMIFS('Wind Proxy'!$H$8:$H$19,'Wind Proxy'!$A$8:$A$19,'Estimator'!$B$4,'Wind Proxy'!$B$8:$B$19,C4995)</x:f>
        <x:v>0.13739545997610514</x:v>
      </x:c>
    </x:row>
    <x:row r="4996">
      <x:c r="A4996" s="379" t="n">
        <x:v>50647</x:v>
      </x:c>
      <x:c r="B4996" s="380" t="n">
        <x:v>2038</x:v>
      </x:c>
      <x:c r="C4996" s="380" t="n">
        <x:v>8</x:v>
      </x:c>
      <x:c r="D4996" s="380" t="str">
        <x:v>Aug</x:v>
      </x:c>
      <x:c r="E4996" s="380" t="n">
        <x:v>30</x:v>
      </x:c>
      <x:c r="F4996" s="380" t="n">
        <x:v>1</x:v>
      </x:c>
      <x:c r="G4996" s="380" t="n">
        <x:f>--(F4996&lt;='Estimator'!$B$7)</x:f>
        <x:v>1</x:v>
      </x:c>
      <x:c r="H4996" s="381" t="n">
        <x:f>SUMIFS('Climate Data'!$G$7:$G$366,'Climate Data'!$A$7:$A$366,'Estimator'!$B$4,'Climate Data'!$B$7:$B$366,C4996)</x:f>
        <x:v>0.47274749721913234</x:v>
      </x:c>
      <x:c r="I4996" s="382" t="n">
        <x:f>SUMIFS('Climate Data'!$H$7:$H$366,'Climate Data'!$A$7:$A$366,'Estimator'!$B$4,'Climate Data'!$B$7:$B$366,C4996)</x:f>
        <x:v>7.9971764705882356</x:v>
      </x:c>
      <x:c r="J4996" s="381" t="n">
        <x:f>SUMIFS('Wind Proxy'!$H$8:$H$19,'Wind Proxy'!$A$8:$A$19,'Estimator'!$B$4,'Wind Proxy'!$B$8:$B$19,C4996)</x:f>
        <x:v>0.13739545997610514</x:v>
      </x:c>
    </x:row>
    <x:row r="4997">
      <x:c r="A4997" s="379" t="n">
        <x:v>50648</x:v>
      </x:c>
      <x:c r="B4997" s="380" t="n">
        <x:v>2038</x:v>
      </x:c>
      <x:c r="C4997" s="380" t="n">
        <x:v>8</x:v>
      </x:c>
      <x:c r="D4997" s="380" t="str">
        <x:v>Aug</x:v>
      </x:c>
      <x:c r="E4997" s="380" t="n">
        <x:v>31</x:v>
      </x:c>
      <x:c r="F4997" s="380" t="n">
        <x:v>2</x:v>
      </x:c>
      <x:c r="G4997" s="380" t="n">
        <x:f>--(F4997&lt;='Estimator'!$B$7)</x:f>
        <x:v>1</x:v>
      </x:c>
      <x:c r="H4997" s="381" t="n">
        <x:f>SUMIFS('Climate Data'!$G$7:$G$366,'Climate Data'!$A$7:$A$366,'Estimator'!$B$4,'Climate Data'!$B$7:$B$366,C4997)</x:f>
        <x:v>0.47274749721913234</x:v>
      </x:c>
      <x:c r="I4997" s="382" t="n">
        <x:f>SUMIFS('Climate Data'!$H$7:$H$366,'Climate Data'!$A$7:$A$366,'Estimator'!$B$4,'Climate Data'!$B$7:$B$366,C4997)</x:f>
        <x:v>7.9971764705882356</x:v>
      </x:c>
      <x:c r="J4997" s="381" t="n">
        <x:f>SUMIFS('Wind Proxy'!$H$8:$H$19,'Wind Proxy'!$A$8:$A$19,'Estimator'!$B$4,'Wind Proxy'!$B$8:$B$19,C4997)</x:f>
        <x:v>0.13739545997610514</x:v>
      </x:c>
    </x:row>
    <x:row r="4998">
      <x:c r="A4998" s="379" t="n">
        <x:v>50649</x:v>
      </x:c>
      <x:c r="B4998" s="380" t="n">
        <x:v>2038</x:v>
      </x:c>
      <x:c r="C4998" s="380" t="n">
        <x:v>9</x:v>
      </x:c>
      <x:c r="D4998" s="380" t="str">
        <x:v>Sep</x:v>
      </x:c>
      <x:c r="E4998" s="380" t="n">
        <x:v>1</x:v>
      </x:c>
      <x:c r="F4998" s="380" t="n">
        <x:v>3</x:v>
      </x:c>
      <x:c r="G4998" s="380" t="n">
        <x:f>--(F4998&lt;='Estimator'!$B$7)</x:f>
        <x:v>1</x:v>
      </x:c>
      <x:c r="H4998" s="381" t="n">
        <x:f>SUMIFS('Climate Data'!$G$7:$G$366,'Climate Data'!$A$7:$A$366,'Estimator'!$B$4,'Climate Data'!$B$7:$B$366,C4998)</x:f>
        <x:v>0.4160919540229885</x:v>
      </x:c>
      <x:c r="I4998" s="382" t="n">
        <x:f>SUMIFS('Climate Data'!$H$7:$H$366,'Climate Data'!$A$7:$A$366,'Estimator'!$B$4,'Climate Data'!$B$7:$B$366,C4998)</x:f>
        <x:v>8.019060773480662</x:v>
      </x:c>
      <x:c r="J4998" s="381" t="n">
        <x:f>SUMIFS('Wind Proxy'!$H$8:$H$19,'Wind Proxy'!$A$8:$A$19,'Estimator'!$B$4,'Wind Proxy'!$B$8:$B$19,C4998)</x:f>
        <x:v>0.22222222222222224</x:v>
      </x:c>
    </x:row>
    <x:row r="4999">
      <x:c r="A4999" s="379" t="n">
        <x:v>50650</x:v>
      </x:c>
      <x:c r="B4999" s="380" t="n">
        <x:v>2038</x:v>
      </x:c>
      <x:c r="C4999" s="380" t="n">
        <x:v>9</x:v>
      </x:c>
      <x:c r="D4999" s="380" t="str">
        <x:v>Sep</x:v>
      </x:c>
      <x:c r="E4999" s="380" t="n">
        <x:v>2</x:v>
      </x:c>
      <x:c r="F4999" s="380" t="n">
        <x:v>4</x:v>
      </x:c>
      <x:c r="G4999" s="380" t="n">
        <x:f>--(F4999&lt;='Estimator'!$B$7)</x:f>
        <x:v>1</x:v>
      </x:c>
      <x:c r="H4999" s="381" t="n">
        <x:f>SUMIFS('Climate Data'!$G$7:$G$366,'Climate Data'!$A$7:$A$366,'Estimator'!$B$4,'Climate Data'!$B$7:$B$366,C4999)</x:f>
        <x:v>0.4160919540229885</x:v>
      </x:c>
      <x:c r="I4999" s="382" t="n">
        <x:f>SUMIFS('Climate Data'!$H$7:$H$366,'Climate Data'!$A$7:$A$366,'Estimator'!$B$4,'Climate Data'!$B$7:$B$366,C4999)</x:f>
        <x:v>8.019060773480662</x:v>
      </x:c>
      <x:c r="J4999" s="381" t="n">
        <x:f>SUMIFS('Wind Proxy'!$H$8:$H$19,'Wind Proxy'!$A$8:$A$19,'Estimator'!$B$4,'Wind Proxy'!$B$8:$B$19,C4999)</x:f>
        <x:v>0.22222222222222224</x:v>
      </x:c>
    </x:row>
    <x:row r="5000">
      <x:c r="A5000" s="379" t="n">
        <x:v>50651</x:v>
      </x:c>
      <x:c r="B5000" s="380" t="n">
        <x:v>2038</x:v>
      </x:c>
      <x:c r="C5000" s="380" t="n">
        <x:v>9</x:v>
      </x:c>
      <x:c r="D5000" s="380" t="str">
        <x:v>Sep</x:v>
      </x:c>
      <x:c r="E5000" s="380" t="n">
        <x:v>3</x:v>
      </x:c>
      <x:c r="F5000" s="380" t="n">
        <x:v>5</x:v>
      </x:c>
      <x:c r="G5000" s="380" t="n">
        <x:f>--(F5000&lt;='Estimator'!$B$7)</x:f>
        <x:v>1</x:v>
      </x:c>
      <x:c r="H5000" s="381" t="n">
        <x:f>SUMIFS('Climate Data'!$G$7:$G$366,'Climate Data'!$A$7:$A$366,'Estimator'!$B$4,'Climate Data'!$B$7:$B$366,C5000)</x:f>
        <x:v>0.4160919540229885</x:v>
      </x:c>
      <x:c r="I5000" s="382" t="n">
        <x:f>SUMIFS('Climate Data'!$H$7:$H$366,'Climate Data'!$A$7:$A$366,'Estimator'!$B$4,'Climate Data'!$B$7:$B$366,C5000)</x:f>
        <x:v>8.019060773480662</x:v>
      </x:c>
      <x:c r="J5000" s="381" t="n">
        <x:f>SUMIFS('Wind Proxy'!$H$8:$H$19,'Wind Proxy'!$A$8:$A$19,'Estimator'!$B$4,'Wind Proxy'!$B$8:$B$19,C5000)</x:f>
        <x:v>0.22222222222222224</x:v>
      </x:c>
    </x:row>
    <x:row r="5001">
      <x:c r="A5001" s="379" t="n">
        <x:v>50652</x:v>
      </x:c>
      <x:c r="B5001" s="380" t="n">
        <x:v>2038</x:v>
      </x:c>
      <x:c r="C5001" s="380" t="n">
        <x:v>9</x:v>
      </x:c>
      <x:c r="D5001" s="380" t="str">
        <x:v>Sep</x:v>
      </x:c>
      <x:c r="E5001" s="380" t="n">
        <x:v>4</x:v>
      </x:c>
      <x:c r="F5001" s="380" t="n">
        <x:v>6</x:v>
      </x:c>
      <x:c r="G5001" s="380" t="n">
        <x:f>--(F5001&lt;='Estimator'!$B$7)</x:f>
        <x:v>0</x:v>
      </x:c>
      <x:c r="H5001" s="381" t="n">
        <x:f>SUMIFS('Climate Data'!$G$7:$G$366,'Climate Data'!$A$7:$A$366,'Estimator'!$B$4,'Climate Data'!$B$7:$B$366,C5001)</x:f>
        <x:v>0.4160919540229885</x:v>
      </x:c>
      <x:c r="I5001" s="382" t="n">
        <x:f>SUMIFS('Climate Data'!$H$7:$H$366,'Climate Data'!$A$7:$A$366,'Estimator'!$B$4,'Climate Data'!$B$7:$B$366,C5001)</x:f>
        <x:v>8.019060773480662</x:v>
      </x:c>
      <x:c r="J5001" s="381" t="n">
        <x:f>SUMIFS('Wind Proxy'!$H$8:$H$19,'Wind Proxy'!$A$8:$A$19,'Estimator'!$B$4,'Wind Proxy'!$B$8:$B$19,C5001)</x:f>
        <x:v>0.22222222222222224</x:v>
      </x:c>
    </x:row>
    <x:row r="5002">
      <x:c r="A5002" s="379" t="n">
        <x:v>50653</x:v>
      </x:c>
      <x:c r="B5002" s="380" t="n">
        <x:v>2038</x:v>
      </x:c>
      <x:c r="C5002" s="380" t="n">
        <x:v>9</x:v>
      </x:c>
      <x:c r="D5002" s="380" t="str">
        <x:v>Sep</x:v>
      </x:c>
      <x:c r="E5002" s="380" t="n">
        <x:v>5</x:v>
      </x:c>
      <x:c r="F5002" s="380" t="n">
        <x:v>7</x:v>
      </x:c>
      <x:c r="G5002" s="380" t="n">
        <x:f>--(F5002&lt;='Estimator'!$B$7)</x:f>
        <x:v>0</x:v>
      </x:c>
      <x:c r="H5002" s="381" t="n">
        <x:f>SUMIFS('Climate Data'!$G$7:$G$366,'Climate Data'!$A$7:$A$366,'Estimator'!$B$4,'Climate Data'!$B$7:$B$366,C5002)</x:f>
        <x:v>0.4160919540229885</x:v>
      </x:c>
      <x:c r="I5002" s="382" t="n">
        <x:f>SUMIFS('Climate Data'!$H$7:$H$366,'Climate Data'!$A$7:$A$366,'Estimator'!$B$4,'Climate Data'!$B$7:$B$366,C5002)</x:f>
        <x:v>8.019060773480662</x:v>
      </x:c>
      <x:c r="J5002" s="381" t="n">
        <x:f>SUMIFS('Wind Proxy'!$H$8:$H$19,'Wind Proxy'!$A$8:$A$19,'Estimator'!$B$4,'Wind Proxy'!$B$8:$B$19,C5002)</x:f>
        <x:v>0.22222222222222224</x:v>
      </x:c>
    </x:row>
    <x:row r="5003">
      <x:c r="A5003" s="379" t="n">
        <x:v>50654</x:v>
      </x:c>
      <x:c r="B5003" s="380" t="n">
        <x:v>2038</x:v>
      </x:c>
      <x:c r="C5003" s="380" t="n">
        <x:v>9</x:v>
      </x:c>
      <x:c r="D5003" s="380" t="str">
        <x:v>Sep</x:v>
      </x:c>
      <x:c r="E5003" s="380" t="n">
        <x:v>6</x:v>
      </x:c>
      <x:c r="F5003" s="380" t="n">
        <x:v>1</x:v>
      </x:c>
      <x:c r="G5003" s="380" t="n">
        <x:f>--(F5003&lt;='Estimator'!$B$7)</x:f>
        <x:v>1</x:v>
      </x:c>
      <x:c r="H5003" s="381" t="n">
        <x:f>SUMIFS('Climate Data'!$G$7:$G$366,'Climate Data'!$A$7:$A$366,'Estimator'!$B$4,'Climate Data'!$B$7:$B$366,C5003)</x:f>
        <x:v>0.4160919540229885</x:v>
      </x:c>
      <x:c r="I5003" s="382" t="n">
        <x:f>SUMIFS('Climate Data'!$H$7:$H$366,'Climate Data'!$A$7:$A$366,'Estimator'!$B$4,'Climate Data'!$B$7:$B$366,C5003)</x:f>
        <x:v>8.019060773480662</x:v>
      </x:c>
      <x:c r="J5003" s="381" t="n">
        <x:f>SUMIFS('Wind Proxy'!$H$8:$H$19,'Wind Proxy'!$A$8:$A$19,'Estimator'!$B$4,'Wind Proxy'!$B$8:$B$19,C5003)</x:f>
        <x:v>0.22222222222222224</x:v>
      </x:c>
    </x:row>
    <x:row r="5004">
      <x:c r="A5004" s="379" t="n">
        <x:v>50655</x:v>
      </x:c>
      <x:c r="B5004" s="380" t="n">
        <x:v>2038</x:v>
      </x:c>
      <x:c r="C5004" s="380" t="n">
        <x:v>9</x:v>
      </x:c>
      <x:c r="D5004" s="380" t="str">
        <x:v>Sep</x:v>
      </x:c>
      <x:c r="E5004" s="380" t="n">
        <x:v>7</x:v>
      </x:c>
      <x:c r="F5004" s="380" t="n">
        <x:v>2</x:v>
      </x:c>
      <x:c r="G5004" s="380" t="n">
        <x:f>--(F5004&lt;='Estimator'!$B$7)</x:f>
        <x:v>1</x:v>
      </x:c>
      <x:c r="H5004" s="381" t="n">
        <x:f>SUMIFS('Climate Data'!$G$7:$G$366,'Climate Data'!$A$7:$A$366,'Estimator'!$B$4,'Climate Data'!$B$7:$B$366,C5004)</x:f>
        <x:v>0.4160919540229885</x:v>
      </x:c>
      <x:c r="I5004" s="382" t="n">
        <x:f>SUMIFS('Climate Data'!$H$7:$H$366,'Climate Data'!$A$7:$A$366,'Estimator'!$B$4,'Climate Data'!$B$7:$B$366,C5004)</x:f>
        <x:v>8.019060773480662</x:v>
      </x:c>
      <x:c r="J5004" s="381" t="n">
        <x:f>SUMIFS('Wind Proxy'!$H$8:$H$19,'Wind Proxy'!$A$8:$A$19,'Estimator'!$B$4,'Wind Proxy'!$B$8:$B$19,C5004)</x:f>
        <x:v>0.22222222222222224</x:v>
      </x:c>
    </x:row>
    <x:row r="5005">
      <x:c r="A5005" s="379" t="n">
        <x:v>50656</x:v>
      </x:c>
      <x:c r="B5005" s="380" t="n">
        <x:v>2038</x:v>
      </x:c>
      <x:c r="C5005" s="380" t="n">
        <x:v>9</x:v>
      </x:c>
      <x:c r="D5005" s="380" t="str">
        <x:v>Sep</x:v>
      </x:c>
      <x:c r="E5005" s="380" t="n">
        <x:v>8</x:v>
      </x:c>
      <x:c r="F5005" s="380" t="n">
        <x:v>3</x:v>
      </x:c>
      <x:c r="G5005" s="380" t="n">
        <x:f>--(F5005&lt;='Estimator'!$B$7)</x:f>
        <x:v>1</x:v>
      </x:c>
      <x:c r="H5005" s="381" t="n">
        <x:f>SUMIFS('Climate Data'!$G$7:$G$366,'Climate Data'!$A$7:$A$366,'Estimator'!$B$4,'Climate Data'!$B$7:$B$366,C5005)</x:f>
        <x:v>0.4160919540229885</x:v>
      </x:c>
      <x:c r="I5005" s="382" t="n">
        <x:f>SUMIFS('Climate Data'!$H$7:$H$366,'Climate Data'!$A$7:$A$366,'Estimator'!$B$4,'Climate Data'!$B$7:$B$366,C5005)</x:f>
        <x:v>8.019060773480662</x:v>
      </x:c>
      <x:c r="J5005" s="381" t="n">
        <x:f>SUMIFS('Wind Proxy'!$H$8:$H$19,'Wind Proxy'!$A$8:$A$19,'Estimator'!$B$4,'Wind Proxy'!$B$8:$B$19,C5005)</x:f>
        <x:v>0.22222222222222224</x:v>
      </x:c>
    </x:row>
    <x:row r="5006">
      <x:c r="A5006" s="379" t="n">
        <x:v>50657</x:v>
      </x:c>
      <x:c r="B5006" s="380" t="n">
        <x:v>2038</x:v>
      </x:c>
      <x:c r="C5006" s="380" t="n">
        <x:v>9</x:v>
      </x:c>
      <x:c r="D5006" s="380" t="str">
        <x:v>Sep</x:v>
      </x:c>
      <x:c r="E5006" s="380" t="n">
        <x:v>9</x:v>
      </x:c>
      <x:c r="F5006" s="380" t="n">
        <x:v>4</x:v>
      </x:c>
      <x:c r="G5006" s="380" t="n">
        <x:f>--(F5006&lt;='Estimator'!$B$7)</x:f>
        <x:v>1</x:v>
      </x:c>
      <x:c r="H5006" s="381" t="n">
        <x:f>SUMIFS('Climate Data'!$G$7:$G$366,'Climate Data'!$A$7:$A$366,'Estimator'!$B$4,'Climate Data'!$B$7:$B$366,C5006)</x:f>
        <x:v>0.4160919540229885</x:v>
      </x:c>
      <x:c r="I5006" s="382" t="n">
        <x:f>SUMIFS('Climate Data'!$H$7:$H$366,'Climate Data'!$A$7:$A$366,'Estimator'!$B$4,'Climate Data'!$B$7:$B$366,C5006)</x:f>
        <x:v>8.019060773480662</x:v>
      </x:c>
      <x:c r="J5006" s="381" t="n">
        <x:f>SUMIFS('Wind Proxy'!$H$8:$H$19,'Wind Proxy'!$A$8:$A$19,'Estimator'!$B$4,'Wind Proxy'!$B$8:$B$19,C5006)</x:f>
        <x:v>0.22222222222222224</x:v>
      </x:c>
    </x:row>
    <x:row r="5007">
      <x:c r="A5007" s="379" t="n">
        <x:v>50658</x:v>
      </x:c>
      <x:c r="B5007" s="380" t="n">
        <x:v>2038</x:v>
      </x:c>
      <x:c r="C5007" s="380" t="n">
        <x:v>9</x:v>
      </x:c>
      <x:c r="D5007" s="380" t="str">
        <x:v>Sep</x:v>
      </x:c>
      <x:c r="E5007" s="380" t="n">
        <x:v>10</x:v>
      </x:c>
      <x:c r="F5007" s="380" t="n">
        <x:v>5</x:v>
      </x:c>
      <x:c r="G5007" s="380" t="n">
        <x:f>--(F5007&lt;='Estimator'!$B$7)</x:f>
        <x:v>1</x:v>
      </x:c>
      <x:c r="H5007" s="381" t="n">
        <x:f>SUMIFS('Climate Data'!$G$7:$G$366,'Climate Data'!$A$7:$A$366,'Estimator'!$B$4,'Climate Data'!$B$7:$B$366,C5007)</x:f>
        <x:v>0.4160919540229885</x:v>
      </x:c>
      <x:c r="I5007" s="382" t="n">
        <x:f>SUMIFS('Climate Data'!$H$7:$H$366,'Climate Data'!$A$7:$A$366,'Estimator'!$B$4,'Climate Data'!$B$7:$B$366,C5007)</x:f>
        <x:v>8.019060773480662</x:v>
      </x:c>
      <x:c r="J5007" s="381" t="n">
        <x:f>SUMIFS('Wind Proxy'!$H$8:$H$19,'Wind Proxy'!$A$8:$A$19,'Estimator'!$B$4,'Wind Proxy'!$B$8:$B$19,C5007)</x:f>
        <x:v>0.22222222222222224</x:v>
      </x:c>
    </x:row>
    <x:row r="5008">
      <x:c r="A5008" s="379" t="n">
        <x:v>50659</x:v>
      </x:c>
      <x:c r="B5008" s="380" t="n">
        <x:v>2038</x:v>
      </x:c>
      <x:c r="C5008" s="380" t="n">
        <x:v>9</x:v>
      </x:c>
      <x:c r="D5008" s="380" t="str">
        <x:v>Sep</x:v>
      </x:c>
      <x:c r="E5008" s="380" t="n">
        <x:v>11</x:v>
      </x:c>
      <x:c r="F5008" s="380" t="n">
        <x:v>6</x:v>
      </x:c>
      <x:c r="G5008" s="380" t="n">
        <x:f>--(F5008&lt;='Estimator'!$B$7)</x:f>
        <x:v>0</x:v>
      </x:c>
      <x:c r="H5008" s="381" t="n">
        <x:f>SUMIFS('Climate Data'!$G$7:$G$366,'Climate Data'!$A$7:$A$366,'Estimator'!$B$4,'Climate Data'!$B$7:$B$366,C5008)</x:f>
        <x:v>0.4160919540229885</x:v>
      </x:c>
      <x:c r="I5008" s="382" t="n">
        <x:f>SUMIFS('Climate Data'!$H$7:$H$366,'Climate Data'!$A$7:$A$366,'Estimator'!$B$4,'Climate Data'!$B$7:$B$366,C5008)</x:f>
        <x:v>8.019060773480662</x:v>
      </x:c>
      <x:c r="J5008" s="381" t="n">
        <x:f>SUMIFS('Wind Proxy'!$H$8:$H$19,'Wind Proxy'!$A$8:$A$19,'Estimator'!$B$4,'Wind Proxy'!$B$8:$B$19,C5008)</x:f>
        <x:v>0.22222222222222224</x:v>
      </x:c>
    </x:row>
    <x:row r="5009">
      <x:c r="A5009" s="379" t="n">
        <x:v>50660</x:v>
      </x:c>
      <x:c r="B5009" s="380" t="n">
        <x:v>2038</x:v>
      </x:c>
      <x:c r="C5009" s="380" t="n">
        <x:v>9</x:v>
      </x:c>
      <x:c r="D5009" s="380" t="str">
        <x:v>Sep</x:v>
      </x:c>
      <x:c r="E5009" s="380" t="n">
        <x:v>12</x:v>
      </x:c>
      <x:c r="F5009" s="380" t="n">
        <x:v>7</x:v>
      </x:c>
      <x:c r="G5009" s="380" t="n">
        <x:f>--(F5009&lt;='Estimator'!$B$7)</x:f>
        <x:v>0</x:v>
      </x:c>
      <x:c r="H5009" s="381" t="n">
        <x:f>SUMIFS('Climate Data'!$G$7:$G$366,'Climate Data'!$A$7:$A$366,'Estimator'!$B$4,'Climate Data'!$B$7:$B$366,C5009)</x:f>
        <x:v>0.4160919540229885</x:v>
      </x:c>
      <x:c r="I5009" s="382" t="n">
        <x:f>SUMIFS('Climate Data'!$H$7:$H$366,'Climate Data'!$A$7:$A$366,'Estimator'!$B$4,'Climate Data'!$B$7:$B$366,C5009)</x:f>
        <x:v>8.019060773480662</x:v>
      </x:c>
      <x:c r="J5009" s="381" t="n">
        <x:f>SUMIFS('Wind Proxy'!$H$8:$H$19,'Wind Proxy'!$A$8:$A$19,'Estimator'!$B$4,'Wind Proxy'!$B$8:$B$19,C5009)</x:f>
        <x:v>0.22222222222222224</x:v>
      </x:c>
    </x:row>
    <x:row r="5010">
      <x:c r="A5010" s="379" t="n">
        <x:v>50661</x:v>
      </x:c>
      <x:c r="B5010" s="380" t="n">
        <x:v>2038</x:v>
      </x:c>
      <x:c r="C5010" s="380" t="n">
        <x:v>9</x:v>
      </x:c>
      <x:c r="D5010" s="380" t="str">
        <x:v>Sep</x:v>
      </x:c>
      <x:c r="E5010" s="380" t="n">
        <x:v>13</x:v>
      </x:c>
      <x:c r="F5010" s="380" t="n">
        <x:v>1</x:v>
      </x:c>
      <x:c r="G5010" s="380" t="n">
        <x:f>--(F5010&lt;='Estimator'!$B$7)</x:f>
        <x:v>1</x:v>
      </x:c>
      <x:c r="H5010" s="381" t="n">
        <x:f>SUMIFS('Climate Data'!$G$7:$G$366,'Climate Data'!$A$7:$A$366,'Estimator'!$B$4,'Climate Data'!$B$7:$B$366,C5010)</x:f>
        <x:v>0.4160919540229885</x:v>
      </x:c>
      <x:c r="I5010" s="382" t="n">
        <x:f>SUMIFS('Climate Data'!$H$7:$H$366,'Climate Data'!$A$7:$A$366,'Estimator'!$B$4,'Climate Data'!$B$7:$B$366,C5010)</x:f>
        <x:v>8.019060773480662</x:v>
      </x:c>
      <x:c r="J5010" s="381" t="n">
        <x:f>SUMIFS('Wind Proxy'!$H$8:$H$19,'Wind Proxy'!$A$8:$A$19,'Estimator'!$B$4,'Wind Proxy'!$B$8:$B$19,C5010)</x:f>
        <x:v>0.22222222222222224</x:v>
      </x:c>
    </x:row>
    <x:row r="5011">
      <x:c r="A5011" s="379" t="n">
        <x:v>50662</x:v>
      </x:c>
      <x:c r="B5011" s="380" t="n">
        <x:v>2038</x:v>
      </x:c>
      <x:c r="C5011" s="380" t="n">
        <x:v>9</x:v>
      </x:c>
      <x:c r="D5011" s="380" t="str">
        <x:v>Sep</x:v>
      </x:c>
      <x:c r="E5011" s="380" t="n">
        <x:v>14</x:v>
      </x:c>
      <x:c r="F5011" s="380" t="n">
        <x:v>2</x:v>
      </x:c>
      <x:c r="G5011" s="380" t="n">
        <x:f>--(F5011&lt;='Estimator'!$B$7)</x:f>
        <x:v>1</x:v>
      </x:c>
      <x:c r="H5011" s="381" t="n">
        <x:f>SUMIFS('Climate Data'!$G$7:$G$366,'Climate Data'!$A$7:$A$366,'Estimator'!$B$4,'Climate Data'!$B$7:$B$366,C5011)</x:f>
        <x:v>0.4160919540229885</x:v>
      </x:c>
      <x:c r="I5011" s="382" t="n">
        <x:f>SUMIFS('Climate Data'!$H$7:$H$366,'Climate Data'!$A$7:$A$366,'Estimator'!$B$4,'Climate Data'!$B$7:$B$366,C5011)</x:f>
        <x:v>8.019060773480662</x:v>
      </x:c>
      <x:c r="J5011" s="381" t="n">
        <x:f>SUMIFS('Wind Proxy'!$H$8:$H$19,'Wind Proxy'!$A$8:$A$19,'Estimator'!$B$4,'Wind Proxy'!$B$8:$B$19,C5011)</x:f>
        <x:v>0.22222222222222224</x:v>
      </x:c>
    </x:row>
    <x:row r="5012">
      <x:c r="A5012" s="379" t="n">
        <x:v>50663</x:v>
      </x:c>
      <x:c r="B5012" s="380" t="n">
        <x:v>2038</x:v>
      </x:c>
      <x:c r="C5012" s="380" t="n">
        <x:v>9</x:v>
      </x:c>
      <x:c r="D5012" s="380" t="str">
        <x:v>Sep</x:v>
      </x:c>
      <x:c r="E5012" s="380" t="n">
        <x:v>15</x:v>
      </x:c>
      <x:c r="F5012" s="380" t="n">
        <x:v>3</x:v>
      </x:c>
      <x:c r="G5012" s="380" t="n">
        <x:f>--(F5012&lt;='Estimator'!$B$7)</x:f>
        <x:v>1</x:v>
      </x:c>
      <x:c r="H5012" s="381" t="n">
        <x:f>SUMIFS('Climate Data'!$G$7:$G$366,'Climate Data'!$A$7:$A$366,'Estimator'!$B$4,'Climate Data'!$B$7:$B$366,C5012)</x:f>
        <x:v>0.4160919540229885</x:v>
      </x:c>
      <x:c r="I5012" s="382" t="n">
        <x:f>SUMIFS('Climate Data'!$H$7:$H$366,'Climate Data'!$A$7:$A$366,'Estimator'!$B$4,'Climate Data'!$B$7:$B$366,C5012)</x:f>
        <x:v>8.019060773480662</x:v>
      </x:c>
      <x:c r="J5012" s="381" t="n">
        <x:f>SUMIFS('Wind Proxy'!$H$8:$H$19,'Wind Proxy'!$A$8:$A$19,'Estimator'!$B$4,'Wind Proxy'!$B$8:$B$19,C5012)</x:f>
        <x:v>0.22222222222222224</x:v>
      </x:c>
    </x:row>
    <x:row r="5013">
      <x:c r="A5013" s="379" t="n">
        <x:v>50664</x:v>
      </x:c>
      <x:c r="B5013" s="380" t="n">
        <x:v>2038</x:v>
      </x:c>
      <x:c r="C5013" s="380" t="n">
        <x:v>9</x:v>
      </x:c>
      <x:c r="D5013" s="380" t="str">
        <x:v>Sep</x:v>
      </x:c>
      <x:c r="E5013" s="380" t="n">
        <x:v>16</x:v>
      </x:c>
      <x:c r="F5013" s="380" t="n">
        <x:v>4</x:v>
      </x:c>
      <x:c r="G5013" s="380" t="n">
        <x:f>--(F5013&lt;='Estimator'!$B$7)</x:f>
        <x:v>1</x:v>
      </x:c>
      <x:c r="H5013" s="381" t="n">
        <x:f>SUMIFS('Climate Data'!$G$7:$G$366,'Climate Data'!$A$7:$A$366,'Estimator'!$B$4,'Climate Data'!$B$7:$B$366,C5013)</x:f>
        <x:v>0.4160919540229885</x:v>
      </x:c>
      <x:c r="I5013" s="382" t="n">
        <x:f>SUMIFS('Climate Data'!$H$7:$H$366,'Climate Data'!$A$7:$A$366,'Estimator'!$B$4,'Climate Data'!$B$7:$B$366,C5013)</x:f>
        <x:v>8.019060773480662</x:v>
      </x:c>
      <x:c r="J5013" s="381" t="n">
        <x:f>SUMIFS('Wind Proxy'!$H$8:$H$19,'Wind Proxy'!$A$8:$A$19,'Estimator'!$B$4,'Wind Proxy'!$B$8:$B$19,C5013)</x:f>
        <x:v>0.22222222222222224</x:v>
      </x:c>
    </x:row>
    <x:row r="5014">
      <x:c r="A5014" s="379" t="n">
        <x:v>50665</x:v>
      </x:c>
      <x:c r="B5014" s="380" t="n">
        <x:v>2038</x:v>
      </x:c>
      <x:c r="C5014" s="380" t="n">
        <x:v>9</x:v>
      </x:c>
      <x:c r="D5014" s="380" t="str">
        <x:v>Sep</x:v>
      </x:c>
      <x:c r="E5014" s="380" t="n">
        <x:v>17</x:v>
      </x:c>
      <x:c r="F5014" s="380" t="n">
        <x:v>5</x:v>
      </x:c>
      <x:c r="G5014" s="380" t="n">
        <x:f>--(F5014&lt;='Estimator'!$B$7)</x:f>
        <x:v>1</x:v>
      </x:c>
      <x:c r="H5014" s="381" t="n">
        <x:f>SUMIFS('Climate Data'!$G$7:$G$366,'Climate Data'!$A$7:$A$366,'Estimator'!$B$4,'Climate Data'!$B$7:$B$366,C5014)</x:f>
        <x:v>0.4160919540229885</x:v>
      </x:c>
      <x:c r="I5014" s="382" t="n">
        <x:f>SUMIFS('Climate Data'!$H$7:$H$366,'Climate Data'!$A$7:$A$366,'Estimator'!$B$4,'Climate Data'!$B$7:$B$366,C5014)</x:f>
        <x:v>8.019060773480662</x:v>
      </x:c>
      <x:c r="J5014" s="381" t="n">
        <x:f>SUMIFS('Wind Proxy'!$H$8:$H$19,'Wind Proxy'!$A$8:$A$19,'Estimator'!$B$4,'Wind Proxy'!$B$8:$B$19,C5014)</x:f>
        <x:v>0.22222222222222224</x:v>
      </x:c>
    </x:row>
    <x:row r="5015">
      <x:c r="A5015" s="379" t="n">
        <x:v>50666</x:v>
      </x:c>
      <x:c r="B5015" s="380" t="n">
        <x:v>2038</x:v>
      </x:c>
      <x:c r="C5015" s="380" t="n">
        <x:v>9</x:v>
      </x:c>
      <x:c r="D5015" s="380" t="str">
        <x:v>Sep</x:v>
      </x:c>
      <x:c r="E5015" s="380" t="n">
        <x:v>18</x:v>
      </x:c>
      <x:c r="F5015" s="380" t="n">
        <x:v>6</x:v>
      </x:c>
      <x:c r="G5015" s="380" t="n">
        <x:f>--(F5015&lt;='Estimator'!$B$7)</x:f>
        <x:v>0</x:v>
      </x:c>
      <x:c r="H5015" s="381" t="n">
        <x:f>SUMIFS('Climate Data'!$G$7:$G$366,'Climate Data'!$A$7:$A$366,'Estimator'!$B$4,'Climate Data'!$B$7:$B$366,C5015)</x:f>
        <x:v>0.4160919540229885</x:v>
      </x:c>
      <x:c r="I5015" s="382" t="n">
        <x:f>SUMIFS('Climate Data'!$H$7:$H$366,'Climate Data'!$A$7:$A$366,'Estimator'!$B$4,'Climate Data'!$B$7:$B$366,C5015)</x:f>
        <x:v>8.019060773480662</x:v>
      </x:c>
      <x:c r="J5015" s="381" t="n">
        <x:f>SUMIFS('Wind Proxy'!$H$8:$H$19,'Wind Proxy'!$A$8:$A$19,'Estimator'!$B$4,'Wind Proxy'!$B$8:$B$19,C5015)</x:f>
        <x:v>0.22222222222222224</x:v>
      </x:c>
    </x:row>
    <x:row r="5016">
      <x:c r="A5016" s="379" t="n">
        <x:v>50667</x:v>
      </x:c>
      <x:c r="B5016" s="380" t="n">
        <x:v>2038</x:v>
      </x:c>
      <x:c r="C5016" s="380" t="n">
        <x:v>9</x:v>
      </x:c>
      <x:c r="D5016" s="380" t="str">
        <x:v>Sep</x:v>
      </x:c>
      <x:c r="E5016" s="380" t="n">
        <x:v>19</x:v>
      </x:c>
      <x:c r="F5016" s="380" t="n">
        <x:v>7</x:v>
      </x:c>
      <x:c r="G5016" s="380" t="n">
        <x:f>--(F5016&lt;='Estimator'!$B$7)</x:f>
        <x:v>0</x:v>
      </x:c>
      <x:c r="H5016" s="381" t="n">
        <x:f>SUMIFS('Climate Data'!$G$7:$G$366,'Climate Data'!$A$7:$A$366,'Estimator'!$B$4,'Climate Data'!$B$7:$B$366,C5016)</x:f>
        <x:v>0.4160919540229885</x:v>
      </x:c>
      <x:c r="I5016" s="382" t="n">
        <x:f>SUMIFS('Climate Data'!$H$7:$H$366,'Climate Data'!$A$7:$A$366,'Estimator'!$B$4,'Climate Data'!$B$7:$B$366,C5016)</x:f>
        <x:v>8.019060773480662</x:v>
      </x:c>
      <x:c r="J5016" s="381" t="n">
        <x:f>SUMIFS('Wind Proxy'!$H$8:$H$19,'Wind Proxy'!$A$8:$A$19,'Estimator'!$B$4,'Wind Proxy'!$B$8:$B$19,C5016)</x:f>
        <x:v>0.22222222222222224</x:v>
      </x:c>
    </x:row>
    <x:row r="5017">
      <x:c r="A5017" s="379" t="n">
        <x:v>50668</x:v>
      </x:c>
      <x:c r="B5017" s="380" t="n">
        <x:v>2038</x:v>
      </x:c>
      <x:c r="C5017" s="380" t="n">
        <x:v>9</x:v>
      </x:c>
      <x:c r="D5017" s="380" t="str">
        <x:v>Sep</x:v>
      </x:c>
      <x:c r="E5017" s="380" t="n">
        <x:v>20</x:v>
      </x:c>
      <x:c r="F5017" s="380" t="n">
        <x:v>1</x:v>
      </x:c>
      <x:c r="G5017" s="380" t="n">
        <x:f>--(F5017&lt;='Estimator'!$B$7)</x:f>
        <x:v>1</x:v>
      </x:c>
      <x:c r="H5017" s="381" t="n">
        <x:f>SUMIFS('Climate Data'!$G$7:$G$366,'Climate Data'!$A$7:$A$366,'Estimator'!$B$4,'Climate Data'!$B$7:$B$366,C5017)</x:f>
        <x:v>0.4160919540229885</x:v>
      </x:c>
      <x:c r="I5017" s="382" t="n">
        <x:f>SUMIFS('Climate Data'!$H$7:$H$366,'Climate Data'!$A$7:$A$366,'Estimator'!$B$4,'Climate Data'!$B$7:$B$366,C5017)</x:f>
        <x:v>8.019060773480662</x:v>
      </x:c>
      <x:c r="J5017" s="381" t="n">
        <x:f>SUMIFS('Wind Proxy'!$H$8:$H$19,'Wind Proxy'!$A$8:$A$19,'Estimator'!$B$4,'Wind Proxy'!$B$8:$B$19,C5017)</x:f>
        <x:v>0.22222222222222224</x:v>
      </x:c>
    </x:row>
    <x:row r="5018">
      <x:c r="A5018" s="379" t="n">
        <x:v>50669</x:v>
      </x:c>
      <x:c r="B5018" s="380" t="n">
        <x:v>2038</x:v>
      </x:c>
      <x:c r="C5018" s="380" t="n">
        <x:v>9</x:v>
      </x:c>
      <x:c r="D5018" s="380" t="str">
        <x:v>Sep</x:v>
      </x:c>
      <x:c r="E5018" s="380" t="n">
        <x:v>21</x:v>
      </x:c>
      <x:c r="F5018" s="380" t="n">
        <x:v>2</x:v>
      </x:c>
      <x:c r="G5018" s="380" t="n">
        <x:f>--(F5018&lt;='Estimator'!$B$7)</x:f>
        <x:v>1</x:v>
      </x:c>
      <x:c r="H5018" s="381" t="n">
        <x:f>SUMIFS('Climate Data'!$G$7:$G$366,'Climate Data'!$A$7:$A$366,'Estimator'!$B$4,'Climate Data'!$B$7:$B$366,C5018)</x:f>
        <x:v>0.4160919540229885</x:v>
      </x:c>
      <x:c r="I5018" s="382" t="n">
        <x:f>SUMIFS('Climate Data'!$H$7:$H$366,'Climate Data'!$A$7:$A$366,'Estimator'!$B$4,'Climate Data'!$B$7:$B$366,C5018)</x:f>
        <x:v>8.019060773480662</x:v>
      </x:c>
      <x:c r="J5018" s="381" t="n">
        <x:f>SUMIFS('Wind Proxy'!$H$8:$H$19,'Wind Proxy'!$A$8:$A$19,'Estimator'!$B$4,'Wind Proxy'!$B$8:$B$19,C5018)</x:f>
        <x:v>0.22222222222222224</x:v>
      </x:c>
    </x:row>
    <x:row r="5019">
      <x:c r="A5019" s="379" t="n">
        <x:v>50670</x:v>
      </x:c>
      <x:c r="B5019" s="380" t="n">
        <x:v>2038</x:v>
      </x:c>
      <x:c r="C5019" s="380" t="n">
        <x:v>9</x:v>
      </x:c>
      <x:c r="D5019" s="380" t="str">
        <x:v>Sep</x:v>
      </x:c>
      <x:c r="E5019" s="380" t="n">
        <x:v>22</x:v>
      </x:c>
      <x:c r="F5019" s="380" t="n">
        <x:v>3</x:v>
      </x:c>
      <x:c r="G5019" s="380" t="n">
        <x:f>--(F5019&lt;='Estimator'!$B$7)</x:f>
        <x:v>1</x:v>
      </x:c>
      <x:c r="H5019" s="381" t="n">
        <x:f>SUMIFS('Climate Data'!$G$7:$G$366,'Climate Data'!$A$7:$A$366,'Estimator'!$B$4,'Climate Data'!$B$7:$B$366,C5019)</x:f>
        <x:v>0.4160919540229885</x:v>
      </x:c>
      <x:c r="I5019" s="382" t="n">
        <x:f>SUMIFS('Climate Data'!$H$7:$H$366,'Climate Data'!$A$7:$A$366,'Estimator'!$B$4,'Climate Data'!$B$7:$B$366,C5019)</x:f>
        <x:v>8.019060773480662</x:v>
      </x:c>
      <x:c r="J5019" s="381" t="n">
        <x:f>SUMIFS('Wind Proxy'!$H$8:$H$19,'Wind Proxy'!$A$8:$A$19,'Estimator'!$B$4,'Wind Proxy'!$B$8:$B$19,C5019)</x:f>
        <x:v>0.22222222222222224</x:v>
      </x:c>
    </x:row>
    <x:row r="5020">
      <x:c r="A5020" s="379" t="n">
        <x:v>50671</x:v>
      </x:c>
      <x:c r="B5020" s="380" t="n">
        <x:v>2038</x:v>
      </x:c>
      <x:c r="C5020" s="380" t="n">
        <x:v>9</x:v>
      </x:c>
      <x:c r="D5020" s="380" t="str">
        <x:v>Sep</x:v>
      </x:c>
      <x:c r="E5020" s="380" t="n">
        <x:v>23</x:v>
      </x:c>
      <x:c r="F5020" s="380" t="n">
        <x:v>4</x:v>
      </x:c>
      <x:c r="G5020" s="380" t="n">
        <x:f>--(F5020&lt;='Estimator'!$B$7)</x:f>
        <x:v>1</x:v>
      </x:c>
      <x:c r="H5020" s="381" t="n">
        <x:f>SUMIFS('Climate Data'!$G$7:$G$366,'Climate Data'!$A$7:$A$366,'Estimator'!$B$4,'Climate Data'!$B$7:$B$366,C5020)</x:f>
        <x:v>0.4160919540229885</x:v>
      </x:c>
      <x:c r="I5020" s="382" t="n">
        <x:f>SUMIFS('Climate Data'!$H$7:$H$366,'Climate Data'!$A$7:$A$366,'Estimator'!$B$4,'Climate Data'!$B$7:$B$366,C5020)</x:f>
        <x:v>8.019060773480662</x:v>
      </x:c>
      <x:c r="J5020" s="381" t="n">
        <x:f>SUMIFS('Wind Proxy'!$H$8:$H$19,'Wind Proxy'!$A$8:$A$19,'Estimator'!$B$4,'Wind Proxy'!$B$8:$B$19,C5020)</x:f>
        <x:v>0.22222222222222224</x:v>
      </x:c>
    </x:row>
    <x:row r="5021">
      <x:c r="A5021" s="379" t="n">
        <x:v>50672</x:v>
      </x:c>
      <x:c r="B5021" s="380" t="n">
        <x:v>2038</x:v>
      </x:c>
      <x:c r="C5021" s="380" t="n">
        <x:v>9</x:v>
      </x:c>
      <x:c r="D5021" s="380" t="str">
        <x:v>Sep</x:v>
      </x:c>
      <x:c r="E5021" s="380" t="n">
        <x:v>24</x:v>
      </x:c>
      <x:c r="F5021" s="380" t="n">
        <x:v>5</x:v>
      </x:c>
      <x:c r="G5021" s="380" t="n">
        <x:f>--(F5021&lt;='Estimator'!$B$7)</x:f>
        <x:v>1</x:v>
      </x:c>
      <x:c r="H5021" s="381" t="n">
        <x:f>SUMIFS('Climate Data'!$G$7:$G$366,'Climate Data'!$A$7:$A$366,'Estimator'!$B$4,'Climate Data'!$B$7:$B$366,C5021)</x:f>
        <x:v>0.4160919540229885</x:v>
      </x:c>
      <x:c r="I5021" s="382" t="n">
        <x:f>SUMIFS('Climate Data'!$H$7:$H$366,'Climate Data'!$A$7:$A$366,'Estimator'!$B$4,'Climate Data'!$B$7:$B$366,C5021)</x:f>
        <x:v>8.019060773480662</x:v>
      </x:c>
      <x:c r="J5021" s="381" t="n">
        <x:f>SUMIFS('Wind Proxy'!$H$8:$H$19,'Wind Proxy'!$A$8:$A$19,'Estimator'!$B$4,'Wind Proxy'!$B$8:$B$19,C5021)</x:f>
        <x:v>0.22222222222222224</x:v>
      </x:c>
    </x:row>
    <x:row r="5022">
      <x:c r="A5022" s="379" t="n">
        <x:v>50673</x:v>
      </x:c>
      <x:c r="B5022" s="380" t="n">
        <x:v>2038</x:v>
      </x:c>
      <x:c r="C5022" s="380" t="n">
        <x:v>9</x:v>
      </x:c>
      <x:c r="D5022" s="380" t="str">
        <x:v>Sep</x:v>
      </x:c>
      <x:c r="E5022" s="380" t="n">
        <x:v>25</x:v>
      </x:c>
      <x:c r="F5022" s="380" t="n">
        <x:v>6</x:v>
      </x:c>
      <x:c r="G5022" s="380" t="n">
        <x:f>--(F5022&lt;='Estimator'!$B$7)</x:f>
        <x:v>0</x:v>
      </x:c>
      <x:c r="H5022" s="381" t="n">
        <x:f>SUMIFS('Climate Data'!$G$7:$G$366,'Climate Data'!$A$7:$A$366,'Estimator'!$B$4,'Climate Data'!$B$7:$B$366,C5022)</x:f>
        <x:v>0.4160919540229885</x:v>
      </x:c>
      <x:c r="I5022" s="382" t="n">
        <x:f>SUMIFS('Climate Data'!$H$7:$H$366,'Climate Data'!$A$7:$A$366,'Estimator'!$B$4,'Climate Data'!$B$7:$B$366,C5022)</x:f>
        <x:v>8.019060773480662</x:v>
      </x:c>
      <x:c r="J5022" s="381" t="n">
        <x:f>SUMIFS('Wind Proxy'!$H$8:$H$19,'Wind Proxy'!$A$8:$A$19,'Estimator'!$B$4,'Wind Proxy'!$B$8:$B$19,C5022)</x:f>
        <x:v>0.22222222222222224</x:v>
      </x:c>
    </x:row>
    <x:row r="5023">
      <x:c r="A5023" s="379" t="n">
        <x:v>50674</x:v>
      </x:c>
      <x:c r="B5023" s="380" t="n">
        <x:v>2038</x:v>
      </x:c>
      <x:c r="C5023" s="380" t="n">
        <x:v>9</x:v>
      </x:c>
      <x:c r="D5023" s="380" t="str">
        <x:v>Sep</x:v>
      </x:c>
      <x:c r="E5023" s="380" t="n">
        <x:v>26</x:v>
      </x:c>
      <x:c r="F5023" s="380" t="n">
        <x:v>7</x:v>
      </x:c>
      <x:c r="G5023" s="380" t="n">
        <x:f>--(F5023&lt;='Estimator'!$B$7)</x:f>
        <x:v>0</x:v>
      </x:c>
      <x:c r="H5023" s="381" t="n">
        <x:f>SUMIFS('Climate Data'!$G$7:$G$366,'Climate Data'!$A$7:$A$366,'Estimator'!$B$4,'Climate Data'!$B$7:$B$366,C5023)</x:f>
        <x:v>0.4160919540229885</x:v>
      </x:c>
      <x:c r="I5023" s="382" t="n">
        <x:f>SUMIFS('Climate Data'!$H$7:$H$366,'Climate Data'!$A$7:$A$366,'Estimator'!$B$4,'Climate Data'!$B$7:$B$366,C5023)</x:f>
        <x:v>8.019060773480662</x:v>
      </x:c>
      <x:c r="J5023" s="381" t="n">
        <x:f>SUMIFS('Wind Proxy'!$H$8:$H$19,'Wind Proxy'!$A$8:$A$19,'Estimator'!$B$4,'Wind Proxy'!$B$8:$B$19,C5023)</x:f>
        <x:v>0.22222222222222224</x:v>
      </x:c>
    </x:row>
    <x:row r="5024">
      <x:c r="A5024" s="379" t="n">
        <x:v>50675</x:v>
      </x:c>
      <x:c r="B5024" s="380" t="n">
        <x:v>2038</x:v>
      </x:c>
      <x:c r="C5024" s="380" t="n">
        <x:v>9</x:v>
      </x:c>
      <x:c r="D5024" s="380" t="str">
        <x:v>Sep</x:v>
      </x:c>
      <x:c r="E5024" s="380" t="n">
        <x:v>27</x:v>
      </x:c>
      <x:c r="F5024" s="380" t="n">
        <x:v>1</x:v>
      </x:c>
      <x:c r="G5024" s="380" t="n">
        <x:f>--(F5024&lt;='Estimator'!$B$7)</x:f>
        <x:v>1</x:v>
      </x:c>
      <x:c r="H5024" s="381" t="n">
        <x:f>SUMIFS('Climate Data'!$G$7:$G$366,'Climate Data'!$A$7:$A$366,'Estimator'!$B$4,'Climate Data'!$B$7:$B$366,C5024)</x:f>
        <x:v>0.4160919540229885</x:v>
      </x:c>
      <x:c r="I5024" s="382" t="n">
        <x:f>SUMIFS('Climate Data'!$H$7:$H$366,'Climate Data'!$A$7:$A$366,'Estimator'!$B$4,'Climate Data'!$B$7:$B$366,C5024)</x:f>
        <x:v>8.019060773480662</x:v>
      </x:c>
      <x:c r="J5024" s="381" t="n">
        <x:f>SUMIFS('Wind Proxy'!$H$8:$H$19,'Wind Proxy'!$A$8:$A$19,'Estimator'!$B$4,'Wind Proxy'!$B$8:$B$19,C5024)</x:f>
        <x:v>0.22222222222222224</x:v>
      </x:c>
    </x:row>
    <x:row r="5025">
      <x:c r="A5025" s="379" t="n">
        <x:v>50676</x:v>
      </x:c>
      <x:c r="B5025" s="380" t="n">
        <x:v>2038</x:v>
      </x:c>
      <x:c r="C5025" s="380" t="n">
        <x:v>9</x:v>
      </x:c>
      <x:c r="D5025" s="380" t="str">
        <x:v>Sep</x:v>
      </x:c>
      <x:c r="E5025" s="380" t="n">
        <x:v>28</x:v>
      </x:c>
      <x:c r="F5025" s="380" t="n">
        <x:v>2</x:v>
      </x:c>
      <x:c r="G5025" s="380" t="n">
        <x:f>--(F5025&lt;='Estimator'!$B$7)</x:f>
        <x:v>1</x:v>
      </x:c>
      <x:c r="H5025" s="381" t="n">
        <x:f>SUMIFS('Climate Data'!$G$7:$G$366,'Climate Data'!$A$7:$A$366,'Estimator'!$B$4,'Climate Data'!$B$7:$B$366,C5025)</x:f>
        <x:v>0.4160919540229885</x:v>
      </x:c>
      <x:c r="I5025" s="382" t="n">
        <x:f>SUMIFS('Climate Data'!$H$7:$H$366,'Climate Data'!$A$7:$A$366,'Estimator'!$B$4,'Climate Data'!$B$7:$B$366,C5025)</x:f>
        <x:v>8.019060773480662</x:v>
      </x:c>
      <x:c r="J5025" s="381" t="n">
        <x:f>SUMIFS('Wind Proxy'!$H$8:$H$19,'Wind Proxy'!$A$8:$A$19,'Estimator'!$B$4,'Wind Proxy'!$B$8:$B$19,C5025)</x:f>
        <x:v>0.22222222222222224</x:v>
      </x:c>
    </x:row>
    <x:row r="5026">
      <x:c r="A5026" s="379" t="n">
        <x:v>50677</x:v>
      </x:c>
      <x:c r="B5026" s="380" t="n">
        <x:v>2038</x:v>
      </x:c>
      <x:c r="C5026" s="380" t="n">
        <x:v>9</x:v>
      </x:c>
      <x:c r="D5026" s="380" t="str">
        <x:v>Sep</x:v>
      </x:c>
      <x:c r="E5026" s="380" t="n">
        <x:v>29</x:v>
      </x:c>
      <x:c r="F5026" s="380" t="n">
        <x:v>3</x:v>
      </x:c>
      <x:c r="G5026" s="380" t="n">
        <x:f>--(F5026&lt;='Estimator'!$B$7)</x:f>
        <x:v>1</x:v>
      </x:c>
      <x:c r="H5026" s="381" t="n">
        <x:f>SUMIFS('Climate Data'!$G$7:$G$366,'Climate Data'!$A$7:$A$366,'Estimator'!$B$4,'Climate Data'!$B$7:$B$366,C5026)</x:f>
        <x:v>0.4160919540229885</x:v>
      </x:c>
      <x:c r="I5026" s="382" t="n">
        <x:f>SUMIFS('Climate Data'!$H$7:$H$366,'Climate Data'!$A$7:$A$366,'Estimator'!$B$4,'Climate Data'!$B$7:$B$366,C5026)</x:f>
        <x:v>8.019060773480662</x:v>
      </x:c>
      <x:c r="J5026" s="381" t="n">
        <x:f>SUMIFS('Wind Proxy'!$H$8:$H$19,'Wind Proxy'!$A$8:$A$19,'Estimator'!$B$4,'Wind Proxy'!$B$8:$B$19,C5026)</x:f>
        <x:v>0.22222222222222224</x:v>
      </x:c>
    </x:row>
    <x:row r="5027">
      <x:c r="A5027" s="379" t="n">
        <x:v>50678</x:v>
      </x:c>
      <x:c r="B5027" s="380" t="n">
        <x:v>2038</x:v>
      </x:c>
      <x:c r="C5027" s="380" t="n">
        <x:v>9</x:v>
      </x:c>
      <x:c r="D5027" s="380" t="str">
        <x:v>Sep</x:v>
      </x:c>
      <x:c r="E5027" s="380" t="n">
        <x:v>30</x:v>
      </x:c>
      <x:c r="F5027" s="380" t="n">
        <x:v>4</x:v>
      </x:c>
      <x:c r="G5027" s="380" t="n">
        <x:f>--(F5027&lt;='Estimator'!$B$7)</x:f>
        <x:v>1</x:v>
      </x:c>
      <x:c r="H5027" s="381" t="n">
        <x:f>SUMIFS('Climate Data'!$G$7:$G$366,'Climate Data'!$A$7:$A$366,'Estimator'!$B$4,'Climate Data'!$B$7:$B$366,C5027)</x:f>
        <x:v>0.4160919540229885</x:v>
      </x:c>
      <x:c r="I5027" s="382" t="n">
        <x:f>SUMIFS('Climate Data'!$H$7:$H$366,'Climate Data'!$A$7:$A$366,'Estimator'!$B$4,'Climate Data'!$B$7:$B$366,C5027)</x:f>
        <x:v>8.019060773480662</x:v>
      </x:c>
      <x:c r="J5027" s="381" t="n">
        <x:f>SUMIFS('Wind Proxy'!$H$8:$H$19,'Wind Proxy'!$A$8:$A$19,'Estimator'!$B$4,'Wind Proxy'!$B$8:$B$19,C5027)</x:f>
        <x:v>0.22222222222222224</x:v>
      </x:c>
    </x:row>
    <x:row r="5028">
      <x:c r="A5028" s="379" t="n">
        <x:v>50679</x:v>
      </x:c>
      <x:c r="B5028" s="380" t="n">
        <x:v>2038</x:v>
      </x:c>
      <x:c r="C5028" s="380" t="n">
        <x:v>10</x:v>
      </x:c>
      <x:c r="D5028" s="380" t="str">
        <x:v>Oct</x:v>
      </x:c>
      <x:c r="E5028" s="380" t="n">
        <x:v>1</x:v>
      </x:c>
      <x:c r="F5028" s="380" t="n">
        <x:v>5</x:v>
      </x:c>
      <x:c r="G5028" s="380" t="n">
        <x:f>--(F5028&lt;='Estimator'!$B$7)</x:f>
        <x:v>1</x:v>
      </x:c>
      <x:c r="H5028" s="381" t="n">
        <x:f>SUMIFS('Climate Data'!$G$7:$G$366,'Climate Data'!$A$7:$A$366,'Estimator'!$B$4,'Climate Data'!$B$7:$B$366,C5028)</x:f>
        <x:v>0.3721198156682028</x:v>
      </x:c>
      <x:c r="I5028" s="382" t="n">
        <x:f>SUMIFS('Climate Data'!$H$7:$H$366,'Climate Data'!$A$7:$A$366,'Estimator'!$B$4,'Climate Data'!$B$7:$B$366,C5028)</x:f>
        <x:v>7.940557275541795</x:v>
      </x:c>
      <x:c r="J5028" s="381" t="n">
        <x:f>SUMIFS('Wind Proxy'!$H$8:$H$19,'Wind Proxy'!$A$8:$A$19,'Estimator'!$B$4,'Wind Proxy'!$B$8:$B$19,C5028)</x:f>
        <x:v>0.21505376344086022</x:v>
      </x:c>
    </x:row>
    <x:row r="5029">
      <x:c r="A5029" s="379" t="n">
        <x:v>50680</x:v>
      </x:c>
      <x:c r="B5029" s="380" t="n">
        <x:v>2038</x:v>
      </x:c>
      <x:c r="C5029" s="380" t="n">
        <x:v>10</x:v>
      </x:c>
      <x:c r="D5029" s="380" t="str">
        <x:v>Oct</x:v>
      </x:c>
      <x:c r="E5029" s="380" t="n">
        <x:v>2</x:v>
      </x:c>
      <x:c r="F5029" s="380" t="n">
        <x:v>6</x:v>
      </x:c>
      <x:c r="G5029" s="380" t="n">
        <x:f>--(F5029&lt;='Estimator'!$B$7)</x:f>
        <x:v>0</x:v>
      </x:c>
      <x:c r="H5029" s="381" t="n">
        <x:f>SUMIFS('Climate Data'!$G$7:$G$366,'Climate Data'!$A$7:$A$366,'Estimator'!$B$4,'Climate Data'!$B$7:$B$366,C5029)</x:f>
        <x:v>0.3721198156682028</x:v>
      </x:c>
      <x:c r="I5029" s="382" t="n">
        <x:f>SUMIFS('Climate Data'!$H$7:$H$366,'Climate Data'!$A$7:$A$366,'Estimator'!$B$4,'Climate Data'!$B$7:$B$366,C5029)</x:f>
        <x:v>7.940557275541795</x:v>
      </x:c>
      <x:c r="J5029" s="381" t="n">
        <x:f>SUMIFS('Wind Proxy'!$H$8:$H$19,'Wind Proxy'!$A$8:$A$19,'Estimator'!$B$4,'Wind Proxy'!$B$8:$B$19,C5029)</x:f>
        <x:v>0.21505376344086022</x:v>
      </x:c>
    </x:row>
    <x:row r="5030">
      <x:c r="A5030" s="379" t="n">
        <x:v>50681</x:v>
      </x:c>
      <x:c r="B5030" s="380" t="n">
        <x:v>2038</x:v>
      </x:c>
      <x:c r="C5030" s="380" t="n">
        <x:v>10</x:v>
      </x:c>
      <x:c r="D5030" s="380" t="str">
        <x:v>Oct</x:v>
      </x:c>
      <x:c r="E5030" s="380" t="n">
        <x:v>3</x:v>
      </x:c>
      <x:c r="F5030" s="380" t="n">
        <x:v>7</x:v>
      </x:c>
      <x:c r="G5030" s="380" t="n">
        <x:f>--(F5030&lt;='Estimator'!$B$7)</x:f>
        <x:v>0</x:v>
      </x:c>
      <x:c r="H5030" s="381" t="n">
        <x:f>SUMIFS('Climate Data'!$G$7:$G$366,'Climate Data'!$A$7:$A$366,'Estimator'!$B$4,'Climate Data'!$B$7:$B$366,C5030)</x:f>
        <x:v>0.3721198156682028</x:v>
      </x:c>
      <x:c r="I5030" s="382" t="n">
        <x:f>SUMIFS('Climate Data'!$H$7:$H$366,'Climate Data'!$A$7:$A$366,'Estimator'!$B$4,'Climate Data'!$B$7:$B$366,C5030)</x:f>
        <x:v>7.940557275541795</x:v>
      </x:c>
      <x:c r="J5030" s="381" t="n">
        <x:f>SUMIFS('Wind Proxy'!$H$8:$H$19,'Wind Proxy'!$A$8:$A$19,'Estimator'!$B$4,'Wind Proxy'!$B$8:$B$19,C5030)</x:f>
        <x:v>0.21505376344086022</x:v>
      </x:c>
    </x:row>
    <x:row r="5031">
      <x:c r="A5031" s="379" t="n">
        <x:v>50682</x:v>
      </x:c>
      <x:c r="B5031" s="380" t="n">
        <x:v>2038</x:v>
      </x:c>
      <x:c r="C5031" s="380" t="n">
        <x:v>10</x:v>
      </x:c>
      <x:c r="D5031" s="380" t="str">
        <x:v>Oct</x:v>
      </x:c>
      <x:c r="E5031" s="380" t="n">
        <x:v>4</x:v>
      </x:c>
      <x:c r="F5031" s="380" t="n">
        <x:v>1</x:v>
      </x:c>
      <x:c r="G5031" s="380" t="n">
        <x:f>--(F5031&lt;='Estimator'!$B$7)</x:f>
        <x:v>1</x:v>
      </x:c>
      <x:c r="H5031" s="381" t="n">
        <x:f>SUMIFS('Climate Data'!$G$7:$G$366,'Climate Data'!$A$7:$A$366,'Estimator'!$B$4,'Climate Data'!$B$7:$B$366,C5031)</x:f>
        <x:v>0.3721198156682028</x:v>
      </x:c>
      <x:c r="I5031" s="382" t="n">
        <x:f>SUMIFS('Climate Data'!$H$7:$H$366,'Climate Data'!$A$7:$A$366,'Estimator'!$B$4,'Climate Data'!$B$7:$B$366,C5031)</x:f>
        <x:v>7.940557275541795</x:v>
      </x:c>
      <x:c r="J5031" s="381" t="n">
        <x:f>SUMIFS('Wind Proxy'!$H$8:$H$19,'Wind Proxy'!$A$8:$A$19,'Estimator'!$B$4,'Wind Proxy'!$B$8:$B$19,C5031)</x:f>
        <x:v>0.21505376344086022</x:v>
      </x:c>
    </x:row>
    <x:row r="5032">
      <x:c r="A5032" s="379" t="n">
        <x:v>50683</x:v>
      </x:c>
      <x:c r="B5032" s="380" t="n">
        <x:v>2038</x:v>
      </x:c>
      <x:c r="C5032" s="380" t="n">
        <x:v>10</x:v>
      </x:c>
      <x:c r="D5032" s="380" t="str">
        <x:v>Oct</x:v>
      </x:c>
      <x:c r="E5032" s="380" t="n">
        <x:v>5</x:v>
      </x:c>
      <x:c r="F5032" s="380" t="n">
        <x:v>2</x:v>
      </x:c>
      <x:c r="G5032" s="380" t="n">
        <x:f>--(F5032&lt;='Estimator'!$B$7)</x:f>
        <x:v>1</x:v>
      </x:c>
      <x:c r="H5032" s="381" t="n">
        <x:f>SUMIFS('Climate Data'!$G$7:$G$366,'Climate Data'!$A$7:$A$366,'Estimator'!$B$4,'Climate Data'!$B$7:$B$366,C5032)</x:f>
        <x:v>0.3721198156682028</x:v>
      </x:c>
      <x:c r="I5032" s="382" t="n">
        <x:f>SUMIFS('Climate Data'!$H$7:$H$366,'Climate Data'!$A$7:$A$366,'Estimator'!$B$4,'Climate Data'!$B$7:$B$366,C5032)</x:f>
        <x:v>7.940557275541795</x:v>
      </x:c>
      <x:c r="J5032" s="381" t="n">
        <x:f>SUMIFS('Wind Proxy'!$H$8:$H$19,'Wind Proxy'!$A$8:$A$19,'Estimator'!$B$4,'Wind Proxy'!$B$8:$B$19,C5032)</x:f>
        <x:v>0.21505376344086022</x:v>
      </x:c>
    </x:row>
    <x:row r="5033">
      <x:c r="A5033" s="379" t="n">
        <x:v>50684</x:v>
      </x:c>
      <x:c r="B5033" s="380" t="n">
        <x:v>2038</x:v>
      </x:c>
      <x:c r="C5033" s="380" t="n">
        <x:v>10</x:v>
      </x:c>
      <x:c r="D5033" s="380" t="str">
        <x:v>Oct</x:v>
      </x:c>
      <x:c r="E5033" s="380" t="n">
        <x:v>6</x:v>
      </x:c>
      <x:c r="F5033" s="380" t="n">
        <x:v>3</x:v>
      </x:c>
      <x:c r="G5033" s="380" t="n">
        <x:f>--(F5033&lt;='Estimator'!$B$7)</x:f>
        <x:v>1</x:v>
      </x:c>
      <x:c r="H5033" s="381" t="n">
        <x:f>SUMIFS('Climate Data'!$G$7:$G$366,'Climate Data'!$A$7:$A$366,'Estimator'!$B$4,'Climate Data'!$B$7:$B$366,C5033)</x:f>
        <x:v>0.3721198156682028</x:v>
      </x:c>
      <x:c r="I5033" s="382" t="n">
        <x:f>SUMIFS('Climate Data'!$H$7:$H$366,'Climate Data'!$A$7:$A$366,'Estimator'!$B$4,'Climate Data'!$B$7:$B$366,C5033)</x:f>
        <x:v>7.940557275541795</x:v>
      </x:c>
      <x:c r="J5033" s="381" t="n">
        <x:f>SUMIFS('Wind Proxy'!$H$8:$H$19,'Wind Proxy'!$A$8:$A$19,'Estimator'!$B$4,'Wind Proxy'!$B$8:$B$19,C5033)</x:f>
        <x:v>0.21505376344086022</x:v>
      </x:c>
    </x:row>
    <x:row r="5034">
      <x:c r="A5034" s="379" t="n">
        <x:v>50685</x:v>
      </x:c>
      <x:c r="B5034" s="380" t="n">
        <x:v>2038</x:v>
      </x:c>
      <x:c r="C5034" s="380" t="n">
        <x:v>10</x:v>
      </x:c>
      <x:c r="D5034" s="380" t="str">
        <x:v>Oct</x:v>
      </x:c>
      <x:c r="E5034" s="380" t="n">
        <x:v>7</x:v>
      </x:c>
      <x:c r="F5034" s="380" t="n">
        <x:v>4</x:v>
      </x:c>
      <x:c r="G5034" s="380" t="n">
        <x:f>--(F5034&lt;='Estimator'!$B$7)</x:f>
        <x:v>1</x:v>
      </x:c>
      <x:c r="H5034" s="381" t="n">
        <x:f>SUMIFS('Climate Data'!$G$7:$G$366,'Climate Data'!$A$7:$A$366,'Estimator'!$B$4,'Climate Data'!$B$7:$B$366,C5034)</x:f>
        <x:v>0.3721198156682028</x:v>
      </x:c>
      <x:c r="I5034" s="382" t="n">
        <x:f>SUMIFS('Climate Data'!$H$7:$H$366,'Climate Data'!$A$7:$A$366,'Estimator'!$B$4,'Climate Data'!$B$7:$B$366,C5034)</x:f>
        <x:v>7.940557275541795</x:v>
      </x:c>
      <x:c r="J5034" s="381" t="n">
        <x:f>SUMIFS('Wind Proxy'!$H$8:$H$19,'Wind Proxy'!$A$8:$A$19,'Estimator'!$B$4,'Wind Proxy'!$B$8:$B$19,C5034)</x:f>
        <x:v>0.21505376344086022</x:v>
      </x:c>
    </x:row>
    <x:row r="5035">
      <x:c r="A5035" s="379" t="n">
        <x:v>50686</x:v>
      </x:c>
      <x:c r="B5035" s="380" t="n">
        <x:v>2038</x:v>
      </x:c>
      <x:c r="C5035" s="380" t="n">
        <x:v>10</x:v>
      </x:c>
      <x:c r="D5035" s="380" t="str">
        <x:v>Oct</x:v>
      </x:c>
      <x:c r="E5035" s="380" t="n">
        <x:v>8</x:v>
      </x:c>
      <x:c r="F5035" s="380" t="n">
        <x:v>5</x:v>
      </x:c>
      <x:c r="G5035" s="380" t="n">
        <x:f>--(F5035&lt;='Estimator'!$B$7)</x:f>
        <x:v>1</x:v>
      </x:c>
      <x:c r="H5035" s="381" t="n">
        <x:f>SUMIFS('Climate Data'!$G$7:$G$366,'Climate Data'!$A$7:$A$366,'Estimator'!$B$4,'Climate Data'!$B$7:$B$366,C5035)</x:f>
        <x:v>0.3721198156682028</x:v>
      </x:c>
      <x:c r="I5035" s="382" t="n">
        <x:f>SUMIFS('Climate Data'!$H$7:$H$366,'Climate Data'!$A$7:$A$366,'Estimator'!$B$4,'Climate Data'!$B$7:$B$366,C5035)</x:f>
        <x:v>7.940557275541795</x:v>
      </x:c>
      <x:c r="J5035" s="381" t="n">
        <x:f>SUMIFS('Wind Proxy'!$H$8:$H$19,'Wind Proxy'!$A$8:$A$19,'Estimator'!$B$4,'Wind Proxy'!$B$8:$B$19,C5035)</x:f>
        <x:v>0.21505376344086022</x:v>
      </x:c>
    </x:row>
    <x:row r="5036">
      <x:c r="A5036" s="379" t="n">
        <x:v>50687</x:v>
      </x:c>
      <x:c r="B5036" s="380" t="n">
        <x:v>2038</x:v>
      </x:c>
      <x:c r="C5036" s="380" t="n">
        <x:v>10</x:v>
      </x:c>
      <x:c r="D5036" s="380" t="str">
        <x:v>Oct</x:v>
      </x:c>
      <x:c r="E5036" s="380" t="n">
        <x:v>9</x:v>
      </x:c>
      <x:c r="F5036" s="380" t="n">
        <x:v>6</x:v>
      </x:c>
      <x:c r="G5036" s="380" t="n">
        <x:f>--(F5036&lt;='Estimator'!$B$7)</x:f>
        <x:v>0</x:v>
      </x:c>
      <x:c r="H5036" s="381" t="n">
        <x:f>SUMIFS('Climate Data'!$G$7:$G$366,'Climate Data'!$A$7:$A$366,'Estimator'!$B$4,'Climate Data'!$B$7:$B$366,C5036)</x:f>
        <x:v>0.3721198156682028</x:v>
      </x:c>
      <x:c r="I5036" s="382" t="n">
        <x:f>SUMIFS('Climate Data'!$H$7:$H$366,'Climate Data'!$A$7:$A$366,'Estimator'!$B$4,'Climate Data'!$B$7:$B$366,C5036)</x:f>
        <x:v>7.940557275541795</x:v>
      </x:c>
      <x:c r="J5036" s="381" t="n">
        <x:f>SUMIFS('Wind Proxy'!$H$8:$H$19,'Wind Proxy'!$A$8:$A$19,'Estimator'!$B$4,'Wind Proxy'!$B$8:$B$19,C5036)</x:f>
        <x:v>0.21505376344086022</x:v>
      </x:c>
    </x:row>
    <x:row r="5037">
      <x:c r="A5037" s="379" t="n">
        <x:v>50688</x:v>
      </x:c>
      <x:c r="B5037" s="380" t="n">
        <x:v>2038</x:v>
      </x:c>
      <x:c r="C5037" s="380" t="n">
        <x:v>10</x:v>
      </x:c>
      <x:c r="D5037" s="380" t="str">
        <x:v>Oct</x:v>
      </x:c>
      <x:c r="E5037" s="380" t="n">
        <x:v>10</x:v>
      </x:c>
      <x:c r="F5037" s="380" t="n">
        <x:v>7</x:v>
      </x:c>
      <x:c r="G5037" s="380" t="n">
        <x:f>--(F5037&lt;='Estimator'!$B$7)</x:f>
        <x:v>0</x:v>
      </x:c>
      <x:c r="H5037" s="381" t="n">
        <x:f>SUMIFS('Climate Data'!$G$7:$G$366,'Climate Data'!$A$7:$A$366,'Estimator'!$B$4,'Climate Data'!$B$7:$B$366,C5037)</x:f>
        <x:v>0.3721198156682028</x:v>
      </x:c>
      <x:c r="I5037" s="382" t="n">
        <x:f>SUMIFS('Climate Data'!$H$7:$H$366,'Climate Data'!$A$7:$A$366,'Estimator'!$B$4,'Climate Data'!$B$7:$B$366,C5037)</x:f>
        <x:v>7.940557275541795</x:v>
      </x:c>
      <x:c r="J5037" s="381" t="n">
        <x:f>SUMIFS('Wind Proxy'!$H$8:$H$19,'Wind Proxy'!$A$8:$A$19,'Estimator'!$B$4,'Wind Proxy'!$B$8:$B$19,C5037)</x:f>
        <x:v>0.21505376344086022</x:v>
      </x:c>
    </x:row>
    <x:row r="5038">
      <x:c r="A5038" s="379" t="n">
        <x:v>50689</x:v>
      </x:c>
      <x:c r="B5038" s="380" t="n">
        <x:v>2038</x:v>
      </x:c>
      <x:c r="C5038" s="380" t="n">
        <x:v>10</x:v>
      </x:c>
      <x:c r="D5038" s="380" t="str">
        <x:v>Oct</x:v>
      </x:c>
      <x:c r="E5038" s="380" t="n">
        <x:v>11</x:v>
      </x:c>
      <x:c r="F5038" s="380" t="n">
        <x:v>1</x:v>
      </x:c>
      <x:c r="G5038" s="380" t="n">
        <x:f>--(F5038&lt;='Estimator'!$B$7)</x:f>
        <x:v>1</x:v>
      </x:c>
      <x:c r="H5038" s="381" t="n">
        <x:f>SUMIFS('Climate Data'!$G$7:$G$366,'Climate Data'!$A$7:$A$366,'Estimator'!$B$4,'Climate Data'!$B$7:$B$366,C5038)</x:f>
        <x:v>0.3721198156682028</x:v>
      </x:c>
      <x:c r="I5038" s="382" t="n">
        <x:f>SUMIFS('Climate Data'!$H$7:$H$366,'Climate Data'!$A$7:$A$366,'Estimator'!$B$4,'Climate Data'!$B$7:$B$366,C5038)</x:f>
        <x:v>7.940557275541795</x:v>
      </x:c>
      <x:c r="J5038" s="381" t="n">
        <x:f>SUMIFS('Wind Proxy'!$H$8:$H$19,'Wind Proxy'!$A$8:$A$19,'Estimator'!$B$4,'Wind Proxy'!$B$8:$B$19,C5038)</x:f>
        <x:v>0.21505376344086022</x:v>
      </x:c>
    </x:row>
    <x:row r="5039">
      <x:c r="A5039" s="379" t="n">
        <x:v>50690</x:v>
      </x:c>
      <x:c r="B5039" s="380" t="n">
        <x:v>2038</x:v>
      </x:c>
      <x:c r="C5039" s="380" t="n">
        <x:v>10</x:v>
      </x:c>
      <x:c r="D5039" s="380" t="str">
        <x:v>Oct</x:v>
      </x:c>
      <x:c r="E5039" s="380" t="n">
        <x:v>12</x:v>
      </x:c>
      <x:c r="F5039" s="380" t="n">
        <x:v>2</x:v>
      </x:c>
      <x:c r="G5039" s="380" t="n">
        <x:f>--(F5039&lt;='Estimator'!$B$7)</x:f>
        <x:v>1</x:v>
      </x:c>
      <x:c r="H5039" s="381" t="n">
        <x:f>SUMIFS('Climate Data'!$G$7:$G$366,'Climate Data'!$A$7:$A$366,'Estimator'!$B$4,'Climate Data'!$B$7:$B$366,C5039)</x:f>
        <x:v>0.3721198156682028</x:v>
      </x:c>
      <x:c r="I5039" s="382" t="n">
        <x:f>SUMIFS('Climate Data'!$H$7:$H$366,'Climate Data'!$A$7:$A$366,'Estimator'!$B$4,'Climate Data'!$B$7:$B$366,C5039)</x:f>
        <x:v>7.940557275541795</x:v>
      </x:c>
      <x:c r="J5039" s="381" t="n">
        <x:f>SUMIFS('Wind Proxy'!$H$8:$H$19,'Wind Proxy'!$A$8:$A$19,'Estimator'!$B$4,'Wind Proxy'!$B$8:$B$19,C5039)</x:f>
        <x:v>0.21505376344086022</x:v>
      </x:c>
    </x:row>
    <x:row r="5040">
      <x:c r="A5040" s="379" t="n">
        <x:v>50691</x:v>
      </x:c>
      <x:c r="B5040" s="380" t="n">
        <x:v>2038</x:v>
      </x:c>
      <x:c r="C5040" s="380" t="n">
        <x:v>10</x:v>
      </x:c>
      <x:c r="D5040" s="380" t="str">
        <x:v>Oct</x:v>
      </x:c>
      <x:c r="E5040" s="380" t="n">
        <x:v>13</x:v>
      </x:c>
      <x:c r="F5040" s="380" t="n">
        <x:v>3</x:v>
      </x:c>
      <x:c r="G5040" s="380" t="n">
        <x:f>--(F5040&lt;='Estimator'!$B$7)</x:f>
        <x:v>1</x:v>
      </x:c>
      <x:c r="H5040" s="381" t="n">
        <x:f>SUMIFS('Climate Data'!$G$7:$G$366,'Climate Data'!$A$7:$A$366,'Estimator'!$B$4,'Climate Data'!$B$7:$B$366,C5040)</x:f>
        <x:v>0.3721198156682028</x:v>
      </x:c>
      <x:c r="I5040" s="382" t="n">
        <x:f>SUMIFS('Climate Data'!$H$7:$H$366,'Climate Data'!$A$7:$A$366,'Estimator'!$B$4,'Climate Data'!$B$7:$B$366,C5040)</x:f>
        <x:v>7.940557275541795</x:v>
      </x:c>
      <x:c r="J5040" s="381" t="n">
        <x:f>SUMIFS('Wind Proxy'!$H$8:$H$19,'Wind Proxy'!$A$8:$A$19,'Estimator'!$B$4,'Wind Proxy'!$B$8:$B$19,C5040)</x:f>
        <x:v>0.21505376344086022</x:v>
      </x:c>
    </x:row>
    <x:row r="5041">
      <x:c r="A5041" s="379" t="n">
        <x:v>50692</x:v>
      </x:c>
      <x:c r="B5041" s="380" t="n">
        <x:v>2038</x:v>
      </x:c>
      <x:c r="C5041" s="380" t="n">
        <x:v>10</x:v>
      </x:c>
      <x:c r="D5041" s="380" t="str">
        <x:v>Oct</x:v>
      </x:c>
      <x:c r="E5041" s="380" t="n">
        <x:v>14</x:v>
      </x:c>
      <x:c r="F5041" s="380" t="n">
        <x:v>4</x:v>
      </x:c>
      <x:c r="G5041" s="380" t="n">
        <x:f>--(F5041&lt;='Estimator'!$B$7)</x:f>
        <x:v>1</x:v>
      </x:c>
      <x:c r="H5041" s="381" t="n">
        <x:f>SUMIFS('Climate Data'!$G$7:$G$366,'Climate Data'!$A$7:$A$366,'Estimator'!$B$4,'Climate Data'!$B$7:$B$366,C5041)</x:f>
        <x:v>0.3721198156682028</x:v>
      </x:c>
      <x:c r="I5041" s="382" t="n">
        <x:f>SUMIFS('Climate Data'!$H$7:$H$366,'Climate Data'!$A$7:$A$366,'Estimator'!$B$4,'Climate Data'!$B$7:$B$366,C5041)</x:f>
        <x:v>7.940557275541795</x:v>
      </x:c>
      <x:c r="J5041" s="381" t="n">
        <x:f>SUMIFS('Wind Proxy'!$H$8:$H$19,'Wind Proxy'!$A$8:$A$19,'Estimator'!$B$4,'Wind Proxy'!$B$8:$B$19,C5041)</x:f>
        <x:v>0.21505376344086022</x:v>
      </x:c>
    </x:row>
    <x:row r="5042">
      <x:c r="A5042" s="379" t="n">
        <x:v>50693</x:v>
      </x:c>
      <x:c r="B5042" s="380" t="n">
        <x:v>2038</x:v>
      </x:c>
      <x:c r="C5042" s="380" t="n">
        <x:v>10</x:v>
      </x:c>
      <x:c r="D5042" s="380" t="str">
        <x:v>Oct</x:v>
      </x:c>
      <x:c r="E5042" s="380" t="n">
        <x:v>15</x:v>
      </x:c>
      <x:c r="F5042" s="380" t="n">
        <x:v>5</x:v>
      </x:c>
      <x:c r="G5042" s="380" t="n">
        <x:f>--(F5042&lt;='Estimator'!$B$7)</x:f>
        <x:v>1</x:v>
      </x:c>
      <x:c r="H5042" s="381" t="n">
        <x:f>SUMIFS('Climate Data'!$G$7:$G$366,'Climate Data'!$A$7:$A$366,'Estimator'!$B$4,'Climate Data'!$B$7:$B$366,C5042)</x:f>
        <x:v>0.3721198156682028</x:v>
      </x:c>
      <x:c r="I5042" s="382" t="n">
        <x:f>SUMIFS('Climate Data'!$H$7:$H$366,'Climate Data'!$A$7:$A$366,'Estimator'!$B$4,'Climate Data'!$B$7:$B$366,C5042)</x:f>
        <x:v>7.940557275541795</x:v>
      </x:c>
      <x:c r="J5042" s="381" t="n">
        <x:f>SUMIFS('Wind Proxy'!$H$8:$H$19,'Wind Proxy'!$A$8:$A$19,'Estimator'!$B$4,'Wind Proxy'!$B$8:$B$19,C5042)</x:f>
        <x:v>0.21505376344086022</x:v>
      </x:c>
    </x:row>
    <x:row r="5043">
      <x:c r="A5043" s="379" t="n">
        <x:v>50694</x:v>
      </x:c>
      <x:c r="B5043" s="380" t="n">
        <x:v>2038</x:v>
      </x:c>
      <x:c r="C5043" s="380" t="n">
        <x:v>10</x:v>
      </x:c>
      <x:c r="D5043" s="380" t="str">
        <x:v>Oct</x:v>
      </x:c>
      <x:c r="E5043" s="380" t="n">
        <x:v>16</x:v>
      </x:c>
      <x:c r="F5043" s="380" t="n">
        <x:v>6</x:v>
      </x:c>
      <x:c r="G5043" s="380" t="n">
        <x:f>--(F5043&lt;='Estimator'!$B$7)</x:f>
        <x:v>0</x:v>
      </x:c>
      <x:c r="H5043" s="381" t="n">
        <x:f>SUMIFS('Climate Data'!$G$7:$G$366,'Climate Data'!$A$7:$A$366,'Estimator'!$B$4,'Climate Data'!$B$7:$B$366,C5043)</x:f>
        <x:v>0.3721198156682028</x:v>
      </x:c>
      <x:c r="I5043" s="382" t="n">
        <x:f>SUMIFS('Climate Data'!$H$7:$H$366,'Climate Data'!$A$7:$A$366,'Estimator'!$B$4,'Climate Data'!$B$7:$B$366,C5043)</x:f>
        <x:v>7.940557275541795</x:v>
      </x:c>
      <x:c r="J5043" s="381" t="n">
        <x:f>SUMIFS('Wind Proxy'!$H$8:$H$19,'Wind Proxy'!$A$8:$A$19,'Estimator'!$B$4,'Wind Proxy'!$B$8:$B$19,C5043)</x:f>
        <x:v>0.21505376344086022</x:v>
      </x:c>
    </x:row>
    <x:row r="5044">
      <x:c r="A5044" s="379" t="n">
        <x:v>50695</x:v>
      </x:c>
      <x:c r="B5044" s="380" t="n">
        <x:v>2038</x:v>
      </x:c>
      <x:c r="C5044" s="380" t="n">
        <x:v>10</x:v>
      </x:c>
      <x:c r="D5044" s="380" t="str">
        <x:v>Oct</x:v>
      </x:c>
      <x:c r="E5044" s="380" t="n">
        <x:v>17</x:v>
      </x:c>
      <x:c r="F5044" s="380" t="n">
        <x:v>7</x:v>
      </x:c>
      <x:c r="G5044" s="380" t="n">
        <x:f>--(F5044&lt;='Estimator'!$B$7)</x:f>
        <x:v>0</x:v>
      </x:c>
      <x:c r="H5044" s="381" t="n">
        <x:f>SUMIFS('Climate Data'!$G$7:$G$366,'Climate Data'!$A$7:$A$366,'Estimator'!$B$4,'Climate Data'!$B$7:$B$366,C5044)</x:f>
        <x:v>0.3721198156682028</x:v>
      </x:c>
      <x:c r="I5044" s="382" t="n">
        <x:f>SUMIFS('Climate Data'!$H$7:$H$366,'Climate Data'!$A$7:$A$366,'Estimator'!$B$4,'Climate Data'!$B$7:$B$366,C5044)</x:f>
        <x:v>7.940557275541795</x:v>
      </x:c>
      <x:c r="J5044" s="381" t="n">
        <x:f>SUMIFS('Wind Proxy'!$H$8:$H$19,'Wind Proxy'!$A$8:$A$19,'Estimator'!$B$4,'Wind Proxy'!$B$8:$B$19,C5044)</x:f>
        <x:v>0.21505376344086022</x:v>
      </x:c>
    </x:row>
    <x:row r="5045">
      <x:c r="A5045" s="379" t="n">
        <x:v>50696</x:v>
      </x:c>
      <x:c r="B5045" s="380" t="n">
        <x:v>2038</x:v>
      </x:c>
      <x:c r="C5045" s="380" t="n">
        <x:v>10</x:v>
      </x:c>
      <x:c r="D5045" s="380" t="str">
        <x:v>Oct</x:v>
      </x:c>
      <x:c r="E5045" s="380" t="n">
        <x:v>18</x:v>
      </x:c>
      <x:c r="F5045" s="380" t="n">
        <x:v>1</x:v>
      </x:c>
      <x:c r="G5045" s="380" t="n">
        <x:f>--(F5045&lt;='Estimator'!$B$7)</x:f>
        <x:v>1</x:v>
      </x:c>
      <x:c r="H5045" s="381" t="n">
        <x:f>SUMIFS('Climate Data'!$G$7:$G$366,'Climate Data'!$A$7:$A$366,'Estimator'!$B$4,'Climate Data'!$B$7:$B$366,C5045)</x:f>
        <x:v>0.3721198156682028</x:v>
      </x:c>
      <x:c r="I5045" s="382" t="n">
        <x:f>SUMIFS('Climate Data'!$H$7:$H$366,'Climate Data'!$A$7:$A$366,'Estimator'!$B$4,'Climate Data'!$B$7:$B$366,C5045)</x:f>
        <x:v>7.940557275541795</x:v>
      </x:c>
      <x:c r="J5045" s="381" t="n">
        <x:f>SUMIFS('Wind Proxy'!$H$8:$H$19,'Wind Proxy'!$A$8:$A$19,'Estimator'!$B$4,'Wind Proxy'!$B$8:$B$19,C5045)</x:f>
        <x:v>0.21505376344086022</x:v>
      </x:c>
    </x:row>
    <x:row r="5046">
      <x:c r="A5046" s="379" t="n">
        <x:v>50697</x:v>
      </x:c>
      <x:c r="B5046" s="380" t="n">
        <x:v>2038</x:v>
      </x:c>
      <x:c r="C5046" s="380" t="n">
        <x:v>10</x:v>
      </x:c>
      <x:c r="D5046" s="380" t="str">
        <x:v>Oct</x:v>
      </x:c>
      <x:c r="E5046" s="380" t="n">
        <x:v>19</x:v>
      </x:c>
      <x:c r="F5046" s="380" t="n">
        <x:v>2</x:v>
      </x:c>
      <x:c r="G5046" s="380" t="n">
        <x:f>--(F5046&lt;='Estimator'!$B$7)</x:f>
        <x:v>1</x:v>
      </x:c>
      <x:c r="H5046" s="381" t="n">
        <x:f>SUMIFS('Climate Data'!$G$7:$G$366,'Climate Data'!$A$7:$A$366,'Estimator'!$B$4,'Climate Data'!$B$7:$B$366,C5046)</x:f>
        <x:v>0.3721198156682028</x:v>
      </x:c>
      <x:c r="I5046" s="382" t="n">
        <x:f>SUMIFS('Climate Data'!$H$7:$H$366,'Climate Data'!$A$7:$A$366,'Estimator'!$B$4,'Climate Data'!$B$7:$B$366,C5046)</x:f>
        <x:v>7.940557275541795</x:v>
      </x:c>
      <x:c r="J5046" s="381" t="n">
        <x:f>SUMIFS('Wind Proxy'!$H$8:$H$19,'Wind Proxy'!$A$8:$A$19,'Estimator'!$B$4,'Wind Proxy'!$B$8:$B$19,C5046)</x:f>
        <x:v>0.21505376344086022</x:v>
      </x:c>
    </x:row>
    <x:row r="5047">
      <x:c r="A5047" s="379" t="n">
        <x:v>50698</x:v>
      </x:c>
      <x:c r="B5047" s="380" t="n">
        <x:v>2038</x:v>
      </x:c>
      <x:c r="C5047" s="380" t="n">
        <x:v>10</x:v>
      </x:c>
      <x:c r="D5047" s="380" t="str">
        <x:v>Oct</x:v>
      </x:c>
      <x:c r="E5047" s="380" t="n">
        <x:v>20</x:v>
      </x:c>
      <x:c r="F5047" s="380" t="n">
        <x:v>3</x:v>
      </x:c>
      <x:c r="G5047" s="380" t="n">
        <x:f>--(F5047&lt;='Estimator'!$B$7)</x:f>
        <x:v>1</x:v>
      </x:c>
      <x:c r="H5047" s="381" t="n">
        <x:f>SUMIFS('Climate Data'!$G$7:$G$366,'Climate Data'!$A$7:$A$366,'Estimator'!$B$4,'Climate Data'!$B$7:$B$366,C5047)</x:f>
        <x:v>0.3721198156682028</x:v>
      </x:c>
      <x:c r="I5047" s="382" t="n">
        <x:f>SUMIFS('Climate Data'!$H$7:$H$366,'Climate Data'!$A$7:$A$366,'Estimator'!$B$4,'Climate Data'!$B$7:$B$366,C5047)</x:f>
        <x:v>7.940557275541795</x:v>
      </x:c>
      <x:c r="J5047" s="381" t="n">
        <x:f>SUMIFS('Wind Proxy'!$H$8:$H$19,'Wind Proxy'!$A$8:$A$19,'Estimator'!$B$4,'Wind Proxy'!$B$8:$B$19,C5047)</x:f>
        <x:v>0.21505376344086022</x:v>
      </x:c>
    </x:row>
    <x:row r="5048">
      <x:c r="A5048" s="379" t="n">
        <x:v>50699</x:v>
      </x:c>
      <x:c r="B5048" s="380" t="n">
        <x:v>2038</x:v>
      </x:c>
      <x:c r="C5048" s="380" t="n">
        <x:v>10</x:v>
      </x:c>
      <x:c r="D5048" s="380" t="str">
        <x:v>Oct</x:v>
      </x:c>
      <x:c r="E5048" s="380" t="n">
        <x:v>21</x:v>
      </x:c>
      <x:c r="F5048" s="380" t="n">
        <x:v>4</x:v>
      </x:c>
      <x:c r="G5048" s="380" t="n">
        <x:f>--(F5048&lt;='Estimator'!$B$7)</x:f>
        <x:v>1</x:v>
      </x:c>
      <x:c r="H5048" s="381" t="n">
        <x:f>SUMIFS('Climate Data'!$G$7:$G$366,'Climate Data'!$A$7:$A$366,'Estimator'!$B$4,'Climate Data'!$B$7:$B$366,C5048)</x:f>
        <x:v>0.3721198156682028</x:v>
      </x:c>
      <x:c r="I5048" s="382" t="n">
        <x:f>SUMIFS('Climate Data'!$H$7:$H$366,'Climate Data'!$A$7:$A$366,'Estimator'!$B$4,'Climate Data'!$B$7:$B$366,C5048)</x:f>
        <x:v>7.940557275541795</x:v>
      </x:c>
      <x:c r="J5048" s="381" t="n">
        <x:f>SUMIFS('Wind Proxy'!$H$8:$H$19,'Wind Proxy'!$A$8:$A$19,'Estimator'!$B$4,'Wind Proxy'!$B$8:$B$19,C5048)</x:f>
        <x:v>0.21505376344086022</x:v>
      </x:c>
    </x:row>
    <x:row r="5049">
      <x:c r="A5049" s="379" t="n">
        <x:v>50700</x:v>
      </x:c>
      <x:c r="B5049" s="380" t="n">
        <x:v>2038</x:v>
      </x:c>
      <x:c r="C5049" s="380" t="n">
        <x:v>10</x:v>
      </x:c>
      <x:c r="D5049" s="380" t="str">
        <x:v>Oct</x:v>
      </x:c>
      <x:c r="E5049" s="380" t="n">
        <x:v>22</x:v>
      </x:c>
      <x:c r="F5049" s="380" t="n">
        <x:v>5</x:v>
      </x:c>
      <x:c r="G5049" s="380" t="n">
        <x:f>--(F5049&lt;='Estimator'!$B$7)</x:f>
        <x:v>1</x:v>
      </x:c>
      <x:c r="H5049" s="381" t="n">
        <x:f>SUMIFS('Climate Data'!$G$7:$G$366,'Climate Data'!$A$7:$A$366,'Estimator'!$B$4,'Climate Data'!$B$7:$B$366,C5049)</x:f>
        <x:v>0.3721198156682028</x:v>
      </x:c>
      <x:c r="I5049" s="382" t="n">
        <x:f>SUMIFS('Climate Data'!$H$7:$H$366,'Climate Data'!$A$7:$A$366,'Estimator'!$B$4,'Climate Data'!$B$7:$B$366,C5049)</x:f>
        <x:v>7.940557275541795</x:v>
      </x:c>
      <x:c r="J5049" s="381" t="n">
        <x:f>SUMIFS('Wind Proxy'!$H$8:$H$19,'Wind Proxy'!$A$8:$A$19,'Estimator'!$B$4,'Wind Proxy'!$B$8:$B$19,C5049)</x:f>
        <x:v>0.21505376344086022</x:v>
      </x:c>
    </x:row>
    <x:row r="5050">
      <x:c r="A5050" s="379" t="n">
        <x:v>50701</x:v>
      </x:c>
      <x:c r="B5050" s="380" t="n">
        <x:v>2038</x:v>
      </x:c>
      <x:c r="C5050" s="380" t="n">
        <x:v>10</x:v>
      </x:c>
      <x:c r="D5050" s="380" t="str">
        <x:v>Oct</x:v>
      </x:c>
      <x:c r="E5050" s="380" t="n">
        <x:v>23</x:v>
      </x:c>
      <x:c r="F5050" s="380" t="n">
        <x:v>6</x:v>
      </x:c>
      <x:c r="G5050" s="380" t="n">
        <x:f>--(F5050&lt;='Estimator'!$B$7)</x:f>
        <x:v>0</x:v>
      </x:c>
      <x:c r="H5050" s="381" t="n">
        <x:f>SUMIFS('Climate Data'!$G$7:$G$366,'Climate Data'!$A$7:$A$366,'Estimator'!$B$4,'Climate Data'!$B$7:$B$366,C5050)</x:f>
        <x:v>0.3721198156682028</x:v>
      </x:c>
      <x:c r="I5050" s="382" t="n">
        <x:f>SUMIFS('Climate Data'!$H$7:$H$366,'Climate Data'!$A$7:$A$366,'Estimator'!$B$4,'Climate Data'!$B$7:$B$366,C5050)</x:f>
        <x:v>7.940557275541795</x:v>
      </x:c>
      <x:c r="J5050" s="381" t="n">
        <x:f>SUMIFS('Wind Proxy'!$H$8:$H$19,'Wind Proxy'!$A$8:$A$19,'Estimator'!$B$4,'Wind Proxy'!$B$8:$B$19,C5050)</x:f>
        <x:v>0.21505376344086022</x:v>
      </x:c>
    </x:row>
    <x:row r="5051">
      <x:c r="A5051" s="379" t="n">
        <x:v>50702</x:v>
      </x:c>
      <x:c r="B5051" s="380" t="n">
        <x:v>2038</x:v>
      </x:c>
      <x:c r="C5051" s="380" t="n">
        <x:v>10</x:v>
      </x:c>
      <x:c r="D5051" s="380" t="str">
        <x:v>Oct</x:v>
      </x:c>
      <x:c r="E5051" s="380" t="n">
        <x:v>24</x:v>
      </x:c>
      <x:c r="F5051" s="380" t="n">
        <x:v>7</x:v>
      </x:c>
      <x:c r="G5051" s="380" t="n">
        <x:f>--(F5051&lt;='Estimator'!$B$7)</x:f>
        <x:v>0</x:v>
      </x:c>
      <x:c r="H5051" s="381" t="n">
        <x:f>SUMIFS('Climate Data'!$G$7:$G$366,'Climate Data'!$A$7:$A$366,'Estimator'!$B$4,'Climate Data'!$B$7:$B$366,C5051)</x:f>
        <x:v>0.3721198156682028</x:v>
      </x:c>
      <x:c r="I5051" s="382" t="n">
        <x:f>SUMIFS('Climate Data'!$H$7:$H$366,'Climate Data'!$A$7:$A$366,'Estimator'!$B$4,'Climate Data'!$B$7:$B$366,C5051)</x:f>
        <x:v>7.940557275541795</x:v>
      </x:c>
      <x:c r="J5051" s="381" t="n">
        <x:f>SUMIFS('Wind Proxy'!$H$8:$H$19,'Wind Proxy'!$A$8:$A$19,'Estimator'!$B$4,'Wind Proxy'!$B$8:$B$19,C5051)</x:f>
        <x:v>0.21505376344086022</x:v>
      </x:c>
    </x:row>
    <x:row r="5052">
      <x:c r="A5052" s="379" t="n">
        <x:v>50703</x:v>
      </x:c>
      <x:c r="B5052" s="380" t="n">
        <x:v>2038</x:v>
      </x:c>
      <x:c r="C5052" s="380" t="n">
        <x:v>10</x:v>
      </x:c>
      <x:c r="D5052" s="380" t="str">
        <x:v>Oct</x:v>
      </x:c>
      <x:c r="E5052" s="380" t="n">
        <x:v>25</x:v>
      </x:c>
      <x:c r="F5052" s="380" t="n">
        <x:v>1</x:v>
      </x:c>
      <x:c r="G5052" s="380" t="n">
        <x:f>--(F5052&lt;='Estimator'!$B$7)</x:f>
        <x:v>1</x:v>
      </x:c>
      <x:c r="H5052" s="381" t="n">
        <x:f>SUMIFS('Climate Data'!$G$7:$G$366,'Climate Data'!$A$7:$A$366,'Estimator'!$B$4,'Climate Data'!$B$7:$B$366,C5052)</x:f>
        <x:v>0.3721198156682028</x:v>
      </x:c>
      <x:c r="I5052" s="382" t="n">
        <x:f>SUMIFS('Climate Data'!$H$7:$H$366,'Climate Data'!$A$7:$A$366,'Estimator'!$B$4,'Climate Data'!$B$7:$B$366,C5052)</x:f>
        <x:v>7.940557275541795</x:v>
      </x:c>
      <x:c r="J5052" s="381" t="n">
        <x:f>SUMIFS('Wind Proxy'!$H$8:$H$19,'Wind Proxy'!$A$8:$A$19,'Estimator'!$B$4,'Wind Proxy'!$B$8:$B$19,C5052)</x:f>
        <x:v>0.21505376344086022</x:v>
      </x:c>
    </x:row>
    <x:row r="5053">
      <x:c r="A5053" s="379" t="n">
        <x:v>50704</x:v>
      </x:c>
      <x:c r="B5053" s="380" t="n">
        <x:v>2038</x:v>
      </x:c>
      <x:c r="C5053" s="380" t="n">
        <x:v>10</x:v>
      </x:c>
      <x:c r="D5053" s="380" t="str">
        <x:v>Oct</x:v>
      </x:c>
      <x:c r="E5053" s="380" t="n">
        <x:v>26</x:v>
      </x:c>
      <x:c r="F5053" s="380" t="n">
        <x:v>2</x:v>
      </x:c>
      <x:c r="G5053" s="380" t="n">
        <x:f>--(F5053&lt;='Estimator'!$B$7)</x:f>
        <x:v>1</x:v>
      </x:c>
      <x:c r="H5053" s="381" t="n">
        <x:f>SUMIFS('Climate Data'!$G$7:$G$366,'Climate Data'!$A$7:$A$366,'Estimator'!$B$4,'Climate Data'!$B$7:$B$366,C5053)</x:f>
        <x:v>0.3721198156682028</x:v>
      </x:c>
      <x:c r="I5053" s="382" t="n">
        <x:f>SUMIFS('Climate Data'!$H$7:$H$366,'Climate Data'!$A$7:$A$366,'Estimator'!$B$4,'Climate Data'!$B$7:$B$366,C5053)</x:f>
        <x:v>7.940557275541795</x:v>
      </x:c>
      <x:c r="J5053" s="381" t="n">
        <x:f>SUMIFS('Wind Proxy'!$H$8:$H$19,'Wind Proxy'!$A$8:$A$19,'Estimator'!$B$4,'Wind Proxy'!$B$8:$B$19,C5053)</x:f>
        <x:v>0.21505376344086022</x:v>
      </x:c>
    </x:row>
    <x:row r="5054">
      <x:c r="A5054" s="379" t="n">
        <x:v>50705</x:v>
      </x:c>
      <x:c r="B5054" s="380" t="n">
        <x:v>2038</x:v>
      </x:c>
      <x:c r="C5054" s="380" t="n">
        <x:v>10</x:v>
      </x:c>
      <x:c r="D5054" s="380" t="str">
        <x:v>Oct</x:v>
      </x:c>
      <x:c r="E5054" s="380" t="n">
        <x:v>27</x:v>
      </x:c>
      <x:c r="F5054" s="380" t="n">
        <x:v>3</x:v>
      </x:c>
      <x:c r="G5054" s="380" t="n">
        <x:f>--(F5054&lt;='Estimator'!$B$7)</x:f>
        <x:v>1</x:v>
      </x:c>
      <x:c r="H5054" s="381" t="n">
        <x:f>SUMIFS('Climate Data'!$G$7:$G$366,'Climate Data'!$A$7:$A$366,'Estimator'!$B$4,'Climate Data'!$B$7:$B$366,C5054)</x:f>
        <x:v>0.3721198156682028</x:v>
      </x:c>
      <x:c r="I5054" s="382" t="n">
        <x:f>SUMIFS('Climate Data'!$H$7:$H$366,'Climate Data'!$A$7:$A$366,'Estimator'!$B$4,'Climate Data'!$B$7:$B$366,C5054)</x:f>
        <x:v>7.940557275541795</x:v>
      </x:c>
      <x:c r="J5054" s="381" t="n">
        <x:f>SUMIFS('Wind Proxy'!$H$8:$H$19,'Wind Proxy'!$A$8:$A$19,'Estimator'!$B$4,'Wind Proxy'!$B$8:$B$19,C5054)</x:f>
        <x:v>0.21505376344086022</x:v>
      </x:c>
    </x:row>
    <x:row r="5055">
      <x:c r="A5055" s="379" t="n">
        <x:v>50706</x:v>
      </x:c>
      <x:c r="B5055" s="380" t="n">
        <x:v>2038</x:v>
      </x:c>
      <x:c r="C5055" s="380" t="n">
        <x:v>10</x:v>
      </x:c>
      <x:c r="D5055" s="380" t="str">
        <x:v>Oct</x:v>
      </x:c>
      <x:c r="E5055" s="380" t="n">
        <x:v>28</x:v>
      </x:c>
      <x:c r="F5055" s="380" t="n">
        <x:v>4</x:v>
      </x:c>
      <x:c r="G5055" s="380" t="n">
        <x:f>--(F5055&lt;='Estimator'!$B$7)</x:f>
        <x:v>1</x:v>
      </x:c>
      <x:c r="H5055" s="381" t="n">
        <x:f>SUMIFS('Climate Data'!$G$7:$G$366,'Climate Data'!$A$7:$A$366,'Estimator'!$B$4,'Climate Data'!$B$7:$B$366,C5055)</x:f>
        <x:v>0.3721198156682028</x:v>
      </x:c>
      <x:c r="I5055" s="382" t="n">
        <x:f>SUMIFS('Climate Data'!$H$7:$H$366,'Climate Data'!$A$7:$A$366,'Estimator'!$B$4,'Climate Data'!$B$7:$B$366,C5055)</x:f>
        <x:v>7.940557275541795</x:v>
      </x:c>
      <x:c r="J5055" s="381" t="n">
        <x:f>SUMIFS('Wind Proxy'!$H$8:$H$19,'Wind Proxy'!$A$8:$A$19,'Estimator'!$B$4,'Wind Proxy'!$B$8:$B$19,C5055)</x:f>
        <x:v>0.21505376344086022</x:v>
      </x:c>
    </x:row>
    <x:row r="5056">
      <x:c r="A5056" s="379" t="n">
        <x:v>50707</x:v>
      </x:c>
      <x:c r="B5056" s="380" t="n">
        <x:v>2038</x:v>
      </x:c>
      <x:c r="C5056" s="380" t="n">
        <x:v>10</x:v>
      </x:c>
      <x:c r="D5056" s="380" t="str">
        <x:v>Oct</x:v>
      </x:c>
      <x:c r="E5056" s="380" t="n">
        <x:v>29</x:v>
      </x:c>
      <x:c r="F5056" s="380" t="n">
        <x:v>5</x:v>
      </x:c>
      <x:c r="G5056" s="380" t="n">
        <x:f>--(F5056&lt;='Estimator'!$B$7)</x:f>
        <x:v>1</x:v>
      </x:c>
      <x:c r="H5056" s="381" t="n">
        <x:f>SUMIFS('Climate Data'!$G$7:$G$366,'Climate Data'!$A$7:$A$366,'Estimator'!$B$4,'Climate Data'!$B$7:$B$366,C5056)</x:f>
        <x:v>0.3721198156682028</x:v>
      </x:c>
      <x:c r="I5056" s="382" t="n">
        <x:f>SUMIFS('Climate Data'!$H$7:$H$366,'Climate Data'!$A$7:$A$366,'Estimator'!$B$4,'Climate Data'!$B$7:$B$366,C5056)</x:f>
        <x:v>7.940557275541795</x:v>
      </x:c>
      <x:c r="J5056" s="381" t="n">
        <x:f>SUMIFS('Wind Proxy'!$H$8:$H$19,'Wind Proxy'!$A$8:$A$19,'Estimator'!$B$4,'Wind Proxy'!$B$8:$B$19,C5056)</x:f>
        <x:v>0.21505376344086022</x:v>
      </x:c>
    </x:row>
    <x:row r="5057">
      <x:c r="A5057" s="379" t="n">
        <x:v>50708</x:v>
      </x:c>
      <x:c r="B5057" s="380" t="n">
        <x:v>2038</x:v>
      </x:c>
      <x:c r="C5057" s="380" t="n">
        <x:v>10</x:v>
      </x:c>
      <x:c r="D5057" s="380" t="str">
        <x:v>Oct</x:v>
      </x:c>
      <x:c r="E5057" s="380" t="n">
        <x:v>30</x:v>
      </x:c>
      <x:c r="F5057" s="380" t="n">
        <x:v>6</x:v>
      </x:c>
      <x:c r="G5057" s="380" t="n">
        <x:f>--(F5057&lt;='Estimator'!$B$7)</x:f>
        <x:v>0</x:v>
      </x:c>
      <x:c r="H5057" s="381" t="n">
        <x:f>SUMIFS('Climate Data'!$G$7:$G$366,'Climate Data'!$A$7:$A$366,'Estimator'!$B$4,'Climate Data'!$B$7:$B$366,C5057)</x:f>
        <x:v>0.3721198156682028</x:v>
      </x:c>
      <x:c r="I5057" s="382" t="n">
        <x:f>SUMIFS('Climate Data'!$H$7:$H$366,'Climate Data'!$A$7:$A$366,'Estimator'!$B$4,'Climate Data'!$B$7:$B$366,C5057)</x:f>
        <x:v>7.940557275541795</x:v>
      </x:c>
      <x:c r="J5057" s="381" t="n">
        <x:f>SUMIFS('Wind Proxy'!$H$8:$H$19,'Wind Proxy'!$A$8:$A$19,'Estimator'!$B$4,'Wind Proxy'!$B$8:$B$19,C5057)</x:f>
        <x:v>0.21505376344086022</x:v>
      </x:c>
    </x:row>
    <x:row r="5058">
      <x:c r="A5058" s="379" t="n">
        <x:v>50709</x:v>
      </x:c>
      <x:c r="B5058" s="380" t="n">
        <x:v>2038</x:v>
      </x:c>
      <x:c r="C5058" s="380" t="n">
        <x:v>10</x:v>
      </x:c>
      <x:c r="D5058" s="380" t="str">
        <x:v>Oct</x:v>
      </x:c>
      <x:c r="E5058" s="380" t="n">
        <x:v>31</x:v>
      </x:c>
      <x:c r="F5058" s="380" t="n">
        <x:v>7</x:v>
      </x:c>
      <x:c r="G5058" s="380" t="n">
        <x:f>--(F5058&lt;='Estimator'!$B$7)</x:f>
        <x:v>0</x:v>
      </x:c>
      <x:c r="H5058" s="381" t="n">
        <x:f>SUMIFS('Climate Data'!$G$7:$G$366,'Climate Data'!$A$7:$A$366,'Estimator'!$B$4,'Climate Data'!$B$7:$B$366,C5058)</x:f>
        <x:v>0.3721198156682028</x:v>
      </x:c>
      <x:c r="I5058" s="382" t="n">
        <x:f>SUMIFS('Climate Data'!$H$7:$H$366,'Climate Data'!$A$7:$A$366,'Estimator'!$B$4,'Climate Data'!$B$7:$B$366,C5058)</x:f>
        <x:v>7.940557275541795</x:v>
      </x:c>
      <x:c r="J5058" s="381" t="n">
        <x:f>SUMIFS('Wind Proxy'!$H$8:$H$19,'Wind Proxy'!$A$8:$A$19,'Estimator'!$B$4,'Wind Proxy'!$B$8:$B$19,C5058)</x:f>
        <x:v>0.21505376344086022</x:v>
      </x:c>
    </x:row>
    <x:row r="5059">
      <x:c r="A5059" s="379" t="n">
        <x:v>50710</x:v>
      </x:c>
      <x:c r="B5059" s="380" t="n">
        <x:v>2038</x:v>
      </x:c>
      <x:c r="C5059" s="380" t="n">
        <x:v>11</x:v>
      </x:c>
      <x:c r="D5059" s="380" t="str">
        <x:v>Nov</x:v>
      </x:c>
      <x:c r="E5059" s="380" t="n">
        <x:v>1</x:v>
      </x:c>
      <x:c r="F5059" s="380" t="n">
        <x:v>1</x:v>
      </x:c>
      <x:c r="G5059" s="380" t="n">
        <x:f>--(F5059&lt;='Estimator'!$B$7)</x:f>
        <x:v>1</x:v>
      </x:c>
      <x:c r="H5059" s="381" t="n">
        <x:f>SUMIFS('Climate Data'!$G$7:$G$366,'Climate Data'!$A$7:$A$366,'Estimator'!$B$4,'Climate Data'!$B$7:$B$366,C5059)</x:f>
        <x:v>0.3111111111111111</x:v>
      </x:c>
      <x:c r="I5059" s="382" t="n">
        <x:f>SUMIFS('Climate Data'!$H$7:$H$366,'Climate Data'!$A$7:$A$366,'Estimator'!$B$4,'Climate Data'!$B$7:$B$366,C5059)</x:f>
        <x:v>7.382142857142857</x:v>
      </x:c>
      <x:c r="J5059" s="381" t="n">
        <x:f>SUMIFS('Wind Proxy'!$H$8:$H$19,'Wind Proxy'!$A$8:$A$19,'Estimator'!$B$4,'Wind Proxy'!$B$8:$B$19,C5059)</x:f>
        <x:v>0.22222222222222224</x:v>
      </x:c>
    </x:row>
    <x:row r="5060">
      <x:c r="A5060" s="379" t="n">
        <x:v>50711</x:v>
      </x:c>
      <x:c r="B5060" s="380" t="n">
        <x:v>2038</x:v>
      </x:c>
      <x:c r="C5060" s="380" t="n">
        <x:v>11</x:v>
      </x:c>
      <x:c r="D5060" s="380" t="str">
        <x:v>Nov</x:v>
      </x:c>
      <x:c r="E5060" s="380" t="n">
        <x:v>2</x:v>
      </x:c>
      <x:c r="F5060" s="380" t="n">
        <x:v>2</x:v>
      </x:c>
      <x:c r="G5060" s="380" t="n">
        <x:f>--(F5060&lt;='Estimator'!$B$7)</x:f>
        <x:v>1</x:v>
      </x:c>
      <x:c r="H5060" s="381" t="n">
        <x:f>SUMIFS('Climate Data'!$G$7:$G$366,'Climate Data'!$A$7:$A$366,'Estimator'!$B$4,'Climate Data'!$B$7:$B$366,C5060)</x:f>
        <x:v>0.3111111111111111</x:v>
      </x:c>
      <x:c r="I5060" s="382" t="n">
        <x:f>SUMIFS('Climate Data'!$H$7:$H$366,'Climate Data'!$A$7:$A$366,'Estimator'!$B$4,'Climate Data'!$B$7:$B$366,C5060)</x:f>
        <x:v>7.382142857142857</x:v>
      </x:c>
      <x:c r="J5060" s="381" t="n">
        <x:f>SUMIFS('Wind Proxy'!$H$8:$H$19,'Wind Proxy'!$A$8:$A$19,'Estimator'!$B$4,'Wind Proxy'!$B$8:$B$19,C5060)</x:f>
        <x:v>0.22222222222222224</x:v>
      </x:c>
    </x:row>
    <x:row r="5061">
      <x:c r="A5061" s="379" t="n">
        <x:v>50712</x:v>
      </x:c>
      <x:c r="B5061" s="380" t="n">
        <x:v>2038</x:v>
      </x:c>
      <x:c r="C5061" s="380" t="n">
        <x:v>11</x:v>
      </x:c>
      <x:c r="D5061" s="380" t="str">
        <x:v>Nov</x:v>
      </x:c>
      <x:c r="E5061" s="380" t="n">
        <x:v>3</x:v>
      </x:c>
      <x:c r="F5061" s="380" t="n">
        <x:v>3</x:v>
      </x:c>
      <x:c r="G5061" s="380" t="n">
        <x:f>--(F5061&lt;='Estimator'!$B$7)</x:f>
        <x:v>1</x:v>
      </x:c>
      <x:c r="H5061" s="381" t="n">
        <x:f>SUMIFS('Climate Data'!$G$7:$G$366,'Climate Data'!$A$7:$A$366,'Estimator'!$B$4,'Climate Data'!$B$7:$B$366,C5061)</x:f>
        <x:v>0.3111111111111111</x:v>
      </x:c>
      <x:c r="I5061" s="382" t="n">
        <x:f>SUMIFS('Climate Data'!$H$7:$H$366,'Climate Data'!$A$7:$A$366,'Estimator'!$B$4,'Climate Data'!$B$7:$B$366,C5061)</x:f>
        <x:v>7.382142857142857</x:v>
      </x:c>
      <x:c r="J5061" s="381" t="n">
        <x:f>SUMIFS('Wind Proxy'!$H$8:$H$19,'Wind Proxy'!$A$8:$A$19,'Estimator'!$B$4,'Wind Proxy'!$B$8:$B$19,C5061)</x:f>
        <x:v>0.22222222222222224</x:v>
      </x:c>
    </x:row>
    <x:row r="5062">
      <x:c r="A5062" s="379" t="n">
        <x:v>50713</x:v>
      </x:c>
      <x:c r="B5062" s="380" t="n">
        <x:v>2038</x:v>
      </x:c>
      <x:c r="C5062" s="380" t="n">
        <x:v>11</x:v>
      </x:c>
      <x:c r="D5062" s="380" t="str">
        <x:v>Nov</x:v>
      </x:c>
      <x:c r="E5062" s="380" t="n">
        <x:v>4</x:v>
      </x:c>
      <x:c r="F5062" s="380" t="n">
        <x:v>4</x:v>
      </x:c>
      <x:c r="G5062" s="380" t="n">
        <x:f>--(F5062&lt;='Estimator'!$B$7)</x:f>
        <x:v>1</x:v>
      </x:c>
      <x:c r="H5062" s="381" t="n">
        <x:f>SUMIFS('Climate Data'!$G$7:$G$366,'Climate Data'!$A$7:$A$366,'Estimator'!$B$4,'Climate Data'!$B$7:$B$366,C5062)</x:f>
        <x:v>0.3111111111111111</x:v>
      </x:c>
      <x:c r="I5062" s="382" t="n">
        <x:f>SUMIFS('Climate Data'!$H$7:$H$366,'Climate Data'!$A$7:$A$366,'Estimator'!$B$4,'Climate Data'!$B$7:$B$366,C5062)</x:f>
        <x:v>7.382142857142857</x:v>
      </x:c>
      <x:c r="J5062" s="381" t="n">
        <x:f>SUMIFS('Wind Proxy'!$H$8:$H$19,'Wind Proxy'!$A$8:$A$19,'Estimator'!$B$4,'Wind Proxy'!$B$8:$B$19,C5062)</x:f>
        <x:v>0.22222222222222224</x:v>
      </x:c>
    </x:row>
    <x:row r="5063">
      <x:c r="A5063" s="379" t="n">
        <x:v>50714</x:v>
      </x:c>
      <x:c r="B5063" s="380" t="n">
        <x:v>2038</x:v>
      </x:c>
      <x:c r="C5063" s="380" t="n">
        <x:v>11</x:v>
      </x:c>
      <x:c r="D5063" s="380" t="str">
        <x:v>Nov</x:v>
      </x:c>
      <x:c r="E5063" s="380" t="n">
        <x:v>5</x:v>
      </x:c>
      <x:c r="F5063" s="380" t="n">
        <x:v>5</x:v>
      </x:c>
      <x:c r="G5063" s="380" t="n">
        <x:f>--(F5063&lt;='Estimator'!$B$7)</x:f>
        <x:v>1</x:v>
      </x:c>
      <x:c r="H5063" s="381" t="n">
        <x:f>SUMIFS('Climate Data'!$G$7:$G$366,'Climate Data'!$A$7:$A$366,'Estimator'!$B$4,'Climate Data'!$B$7:$B$366,C5063)</x:f>
        <x:v>0.3111111111111111</x:v>
      </x:c>
      <x:c r="I5063" s="382" t="n">
        <x:f>SUMIFS('Climate Data'!$H$7:$H$366,'Climate Data'!$A$7:$A$366,'Estimator'!$B$4,'Climate Data'!$B$7:$B$366,C5063)</x:f>
        <x:v>7.382142857142857</x:v>
      </x:c>
      <x:c r="J5063" s="381" t="n">
        <x:f>SUMIFS('Wind Proxy'!$H$8:$H$19,'Wind Proxy'!$A$8:$A$19,'Estimator'!$B$4,'Wind Proxy'!$B$8:$B$19,C5063)</x:f>
        <x:v>0.22222222222222224</x:v>
      </x:c>
    </x:row>
    <x:row r="5064">
      <x:c r="A5064" s="379" t="n">
        <x:v>50715</x:v>
      </x:c>
      <x:c r="B5064" s="380" t="n">
        <x:v>2038</x:v>
      </x:c>
      <x:c r="C5064" s="380" t="n">
        <x:v>11</x:v>
      </x:c>
      <x:c r="D5064" s="380" t="str">
        <x:v>Nov</x:v>
      </x:c>
      <x:c r="E5064" s="380" t="n">
        <x:v>6</x:v>
      </x:c>
      <x:c r="F5064" s="380" t="n">
        <x:v>6</x:v>
      </x:c>
      <x:c r="G5064" s="380" t="n">
        <x:f>--(F5064&lt;='Estimator'!$B$7)</x:f>
        <x:v>0</x:v>
      </x:c>
      <x:c r="H5064" s="381" t="n">
        <x:f>SUMIFS('Climate Data'!$G$7:$G$366,'Climate Data'!$A$7:$A$366,'Estimator'!$B$4,'Climate Data'!$B$7:$B$366,C5064)</x:f>
        <x:v>0.3111111111111111</x:v>
      </x:c>
      <x:c r="I5064" s="382" t="n">
        <x:f>SUMIFS('Climate Data'!$H$7:$H$366,'Climate Data'!$A$7:$A$366,'Estimator'!$B$4,'Climate Data'!$B$7:$B$366,C5064)</x:f>
        <x:v>7.382142857142857</x:v>
      </x:c>
      <x:c r="J5064" s="381" t="n">
        <x:f>SUMIFS('Wind Proxy'!$H$8:$H$19,'Wind Proxy'!$A$8:$A$19,'Estimator'!$B$4,'Wind Proxy'!$B$8:$B$19,C5064)</x:f>
        <x:v>0.22222222222222224</x:v>
      </x:c>
    </x:row>
    <x:row r="5065">
      <x:c r="A5065" s="379" t="n">
        <x:v>50716</x:v>
      </x:c>
      <x:c r="B5065" s="380" t="n">
        <x:v>2038</x:v>
      </x:c>
      <x:c r="C5065" s="380" t="n">
        <x:v>11</x:v>
      </x:c>
      <x:c r="D5065" s="380" t="str">
        <x:v>Nov</x:v>
      </x:c>
      <x:c r="E5065" s="380" t="n">
        <x:v>7</x:v>
      </x:c>
      <x:c r="F5065" s="380" t="n">
        <x:v>7</x:v>
      </x:c>
      <x:c r="G5065" s="380" t="n">
        <x:f>--(F5065&lt;='Estimator'!$B$7)</x:f>
        <x:v>0</x:v>
      </x:c>
      <x:c r="H5065" s="381" t="n">
        <x:f>SUMIFS('Climate Data'!$G$7:$G$366,'Climate Data'!$A$7:$A$366,'Estimator'!$B$4,'Climate Data'!$B$7:$B$366,C5065)</x:f>
        <x:v>0.3111111111111111</x:v>
      </x:c>
      <x:c r="I5065" s="382" t="n">
        <x:f>SUMIFS('Climate Data'!$H$7:$H$366,'Climate Data'!$A$7:$A$366,'Estimator'!$B$4,'Climate Data'!$B$7:$B$366,C5065)</x:f>
        <x:v>7.382142857142857</x:v>
      </x:c>
      <x:c r="J5065" s="381" t="n">
        <x:f>SUMIFS('Wind Proxy'!$H$8:$H$19,'Wind Proxy'!$A$8:$A$19,'Estimator'!$B$4,'Wind Proxy'!$B$8:$B$19,C5065)</x:f>
        <x:v>0.22222222222222224</x:v>
      </x:c>
    </x:row>
    <x:row r="5066">
      <x:c r="A5066" s="379" t="n">
        <x:v>50717</x:v>
      </x:c>
      <x:c r="B5066" s="380" t="n">
        <x:v>2038</x:v>
      </x:c>
      <x:c r="C5066" s="380" t="n">
        <x:v>11</x:v>
      </x:c>
      <x:c r="D5066" s="380" t="str">
        <x:v>Nov</x:v>
      </x:c>
      <x:c r="E5066" s="380" t="n">
        <x:v>8</x:v>
      </x:c>
      <x:c r="F5066" s="380" t="n">
        <x:v>1</x:v>
      </x:c>
      <x:c r="G5066" s="380" t="n">
        <x:f>--(F5066&lt;='Estimator'!$B$7)</x:f>
        <x:v>1</x:v>
      </x:c>
      <x:c r="H5066" s="381" t="n">
        <x:f>SUMIFS('Climate Data'!$G$7:$G$366,'Climate Data'!$A$7:$A$366,'Estimator'!$B$4,'Climate Data'!$B$7:$B$366,C5066)</x:f>
        <x:v>0.3111111111111111</x:v>
      </x:c>
      <x:c r="I5066" s="382" t="n">
        <x:f>SUMIFS('Climate Data'!$H$7:$H$366,'Climate Data'!$A$7:$A$366,'Estimator'!$B$4,'Climate Data'!$B$7:$B$366,C5066)</x:f>
        <x:v>7.382142857142857</x:v>
      </x:c>
      <x:c r="J5066" s="381" t="n">
        <x:f>SUMIFS('Wind Proxy'!$H$8:$H$19,'Wind Proxy'!$A$8:$A$19,'Estimator'!$B$4,'Wind Proxy'!$B$8:$B$19,C5066)</x:f>
        <x:v>0.22222222222222224</x:v>
      </x:c>
    </x:row>
    <x:row r="5067">
      <x:c r="A5067" s="379" t="n">
        <x:v>50718</x:v>
      </x:c>
      <x:c r="B5067" s="380" t="n">
        <x:v>2038</x:v>
      </x:c>
      <x:c r="C5067" s="380" t="n">
        <x:v>11</x:v>
      </x:c>
      <x:c r="D5067" s="380" t="str">
        <x:v>Nov</x:v>
      </x:c>
      <x:c r="E5067" s="380" t="n">
        <x:v>9</x:v>
      </x:c>
      <x:c r="F5067" s="380" t="n">
        <x:v>2</x:v>
      </x:c>
      <x:c r="G5067" s="380" t="n">
        <x:f>--(F5067&lt;='Estimator'!$B$7)</x:f>
        <x:v>1</x:v>
      </x:c>
      <x:c r="H5067" s="381" t="n">
        <x:f>SUMIFS('Climate Data'!$G$7:$G$366,'Climate Data'!$A$7:$A$366,'Estimator'!$B$4,'Climate Data'!$B$7:$B$366,C5067)</x:f>
        <x:v>0.3111111111111111</x:v>
      </x:c>
      <x:c r="I5067" s="382" t="n">
        <x:f>SUMIFS('Climate Data'!$H$7:$H$366,'Climate Data'!$A$7:$A$366,'Estimator'!$B$4,'Climate Data'!$B$7:$B$366,C5067)</x:f>
        <x:v>7.382142857142857</x:v>
      </x:c>
      <x:c r="J5067" s="381" t="n">
        <x:f>SUMIFS('Wind Proxy'!$H$8:$H$19,'Wind Proxy'!$A$8:$A$19,'Estimator'!$B$4,'Wind Proxy'!$B$8:$B$19,C5067)</x:f>
        <x:v>0.22222222222222224</x:v>
      </x:c>
    </x:row>
    <x:row r="5068">
      <x:c r="A5068" s="379" t="n">
        <x:v>50719</x:v>
      </x:c>
      <x:c r="B5068" s="380" t="n">
        <x:v>2038</x:v>
      </x:c>
      <x:c r="C5068" s="380" t="n">
        <x:v>11</x:v>
      </x:c>
      <x:c r="D5068" s="380" t="str">
        <x:v>Nov</x:v>
      </x:c>
      <x:c r="E5068" s="380" t="n">
        <x:v>10</x:v>
      </x:c>
      <x:c r="F5068" s="380" t="n">
        <x:v>3</x:v>
      </x:c>
      <x:c r="G5068" s="380" t="n">
        <x:f>--(F5068&lt;='Estimator'!$B$7)</x:f>
        <x:v>1</x:v>
      </x:c>
      <x:c r="H5068" s="381" t="n">
        <x:f>SUMIFS('Climate Data'!$G$7:$G$366,'Climate Data'!$A$7:$A$366,'Estimator'!$B$4,'Climate Data'!$B$7:$B$366,C5068)</x:f>
        <x:v>0.3111111111111111</x:v>
      </x:c>
      <x:c r="I5068" s="382" t="n">
        <x:f>SUMIFS('Climate Data'!$H$7:$H$366,'Climate Data'!$A$7:$A$366,'Estimator'!$B$4,'Climate Data'!$B$7:$B$366,C5068)</x:f>
        <x:v>7.382142857142857</x:v>
      </x:c>
      <x:c r="J5068" s="381" t="n">
        <x:f>SUMIFS('Wind Proxy'!$H$8:$H$19,'Wind Proxy'!$A$8:$A$19,'Estimator'!$B$4,'Wind Proxy'!$B$8:$B$19,C5068)</x:f>
        <x:v>0.22222222222222224</x:v>
      </x:c>
    </x:row>
    <x:row r="5069">
      <x:c r="A5069" s="379" t="n">
        <x:v>50720</x:v>
      </x:c>
      <x:c r="B5069" s="380" t="n">
        <x:v>2038</x:v>
      </x:c>
      <x:c r="C5069" s="380" t="n">
        <x:v>11</x:v>
      </x:c>
      <x:c r="D5069" s="380" t="str">
        <x:v>Nov</x:v>
      </x:c>
      <x:c r="E5069" s="380" t="n">
        <x:v>11</x:v>
      </x:c>
      <x:c r="F5069" s="380" t="n">
        <x:v>4</x:v>
      </x:c>
      <x:c r="G5069" s="380" t="n">
        <x:f>--(F5069&lt;='Estimator'!$B$7)</x:f>
        <x:v>1</x:v>
      </x:c>
      <x:c r="H5069" s="381" t="n">
        <x:f>SUMIFS('Climate Data'!$G$7:$G$366,'Climate Data'!$A$7:$A$366,'Estimator'!$B$4,'Climate Data'!$B$7:$B$366,C5069)</x:f>
        <x:v>0.3111111111111111</x:v>
      </x:c>
      <x:c r="I5069" s="382" t="n">
        <x:f>SUMIFS('Climate Data'!$H$7:$H$366,'Climate Data'!$A$7:$A$366,'Estimator'!$B$4,'Climate Data'!$B$7:$B$366,C5069)</x:f>
        <x:v>7.382142857142857</x:v>
      </x:c>
      <x:c r="J5069" s="381" t="n">
        <x:f>SUMIFS('Wind Proxy'!$H$8:$H$19,'Wind Proxy'!$A$8:$A$19,'Estimator'!$B$4,'Wind Proxy'!$B$8:$B$19,C5069)</x:f>
        <x:v>0.22222222222222224</x:v>
      </x:c>
    </x:row>
    <x:row r="5070">
      <x:c r="A5070" s="379" t="n">
        <x:v>50721</x:v>
      </x:c>
      <x:c r="B5070" s="380" t="n">
        <x:v>2038</x:v>
      </x:c>
      <x:c r="C5070" s="380" t="n">
        <x:v>11</x:v>
      </x:c>
      <x:c r="D5070" s="380" t="str">
        <x:v>Nov</x:v>
      </x:c>
      <x:c r="E5070" s="380" t="n">
        <x:v>12</x:v>
      </x:c>
      <x:c r="F5070" s="380" t="n">
        <x:v>5</x:v>
      </x:c>
      <x:c r="G5070" s="380" t="n">
        <x:f>--(F5070&lt;='Estimator'!$B$7)</x:f>
        <x:v>1</x:v>
      </x:c>
      <x:c r="H5070" s="381" t="n">
        <x:f>SUMIFS('Climate Data'!$G$7:$G$366,'Climate Data'!$A$7:$A$366,'Estimator'!$B$4,'Climate Data'!$B$7:$B$366,C5070)</x:f>
        <x:v>0.3111111111111111</x:v>
      </x:c>
      <x:c r="I5070" s="382" t="n">
        <x:f>SUMIFS('Climate Data'!$H$7:$H$366,'Climate Data'!$A$7:$A$366,'Estimator'!$B$4,'Climate Data'!$B$7:$B$366,C5070)</x:f>
        <x:v>7.382142857142857</x:v>
      </x:c>
      <x:c r="J5070" s="381" t="n">
        <x:f>SUMIFS('Wind Proxy'!$H$8:$H$19,'Wind Proxy'!$A$8:$A$19,'Estimator'!$B$4,'Wind Proxy'!$B$8:$B$19,C5070)</x:f>
        <x:v>0.22222222222222224</x:v>
      </x:c>
    </x:row>
    <x:row r="5071">
      <x:c r="A5071" s="379" t="n">
        <x:v>50722</x:v>
      </x:c>
      <x:c r="B5071" s="380" t="n">
        <x:v>2038</x:v>
      </x:c>
      <x:c r="C5071" s="380" t="n">
        <x:v>11</x:v>
      </x:c>
      <x:c r="D5071" s="380" t="str">
        <x:v>Nov</x:v>
      </x:c>
      <x:c r="E5071" s="380" t="n">
        <x:v>13</x:v>
      </x:c>
      <x:c r="F5071" s="380" t="n">
        <x:v>6</x:v>
      </x:c>
      <x:c r="G5071" s="380" t="n">
        <x:f>--(F5071&lt;='Estimator'!$B$7)</x:f>
        <x:v>0</x:v>
      </x:c>
      <x:c r="H5071" s="381" t="n">
        <x:f>SUMIFS('Climate Data'!$G$7:$G$366,'Climate Data'!$A$7:$A$366,'Estimator'!$B$4,'Climate Data'!$B$7:$B$366,C5071)</x:f>
        <x:v>0.3111111111111111</x:v>
      </x:c>
      <x:c r="I5071" s="382" t="n">
        <x:f>SUMIFS('Climate Data'!$H$7:$H$366,'Climate Data'!$A$7:$A$366,'Estimator'!$B$4,'Climate Data'!$B$7:$B$366,C5071)</x:f>
        <x:v>7.382142857142857</x:v>
      </x:c>
      <x:c r="J5071" s="381" t="n">
        <x:f>SUMIFS('Wind Proxy'!$H$8:$H$19,'Wind Proxy'!$A$8:$A$19,'Estimator'!$B$4,'Wind Proxy'!$B$8:$B$19,C5071)</x:f>
        <x:v>0.22222222222222224</x:v>
      </x:c>
    </x:row>
    <x:row r="5072">
      <x:c r="A5072" s="379" t="n">
        <x:v>50723</x:v>
      </x:c>
      <x:c r="B5072" s="380" t="n">
        <x:v>2038</x:v>
      </x:c>
      <x:c r="C5072" s="380" t="n">
        <x:v>11</x:v>
      </x:c>
      <x:c r="D5072" s="380" t="str">
        <x:v>Nov</x:v>
      </x:c>
      <x:c r="E5072" s="380" t="n">
        <x:v>14</x:v>
      </x:c>
      <x:c r="F5072" s="380" t="n">
        <x:v>7</x:v>
      </x:c>
      <x:c r="G5072" s="380" t="n">
        <x:f>--(F5072&lt;='Estimator'!$B$7)</x:f>
        <x:v>0</x:v>
      </x:c>
      <x:c r="H5072" s="381" t="n">
        <x:f>SUMIFS('Climate Data'!$G$7:$G$366,'Climate Data'!$A$7:$A$366,'Estimator'!$B$4,'Climate Data'!$B$7:$B$366,C5072)</x:f>
        <x:v>0.3111111111111111</x:v>
      </x:c>
      <x:c r="I5072" s="382" t="n">
        <x:f>SUMIFS('Climate Data'!$H$7:$H$366,'Climate Data'!$A$7:$A$366,'Estimator'!$B$4,'Climate Data'!$B$7:$B$366,C5072)</x:f>
        <x:v>7.382142857142857</x:v>
      </x:c>
      <x:c r="J5072" s="381" t="n">
        <x:f>SUMIFS('Wind Proxy'!$H$8:$H$19,'Wind Proxy'!$A$8:$A$19,'Estimator'!$B$4,'Wind Proxy'!$B$8:$B$19,C5072)</x:f>
        <x:v>0.22222222222222224</x:v>
      </x:c>
    </x:row>
    <x:row r="5073">
      <x:c r="A5073" s="379" t="n">
        <x:v>50724</x:v>
      </x:c>
      <x:c r="B5073" s="380" t="n">
        <x:v>2038</x:v>
      </x:c>
      <x:c r="C5073" s="380" t="n">
        <x:v>11</x:v>
      </x:c>
      <x:c r="D5073" s="380" t="str">
        <x:v>Nov</x:v>
      </x:c>
      <x:c r="E5073" s="380" t="n">
        <x:v>15</x:v>
      </x:c>
      <x:c r="F5073" s="380" t="n">
        <x:v>1</x:v>
      </x:c>
      <x:c r="G5073" s="380" t="n">
        <x:f>--(F5073&lt;='Estimator'!$B$7)</x:f>
        <x:v>1</x:v>
      </x:c>
      <x:c r="H5073" s="381" t="n">
        <x:f>SUMIFS('Climate Data'!$G$7:$G$366,'Climate Data'!$A$7:$A$366,'Estimator'!$B$4,'Climate Data'!$B$7:$B$366,C5073)</x:f>
        <x:v>0.3111111111111111</x:v>
      </x:c>
      <x:c r="I5073" s="382" t="n">
        <x:f>SUMIFS('Climate Data'!$H$7:$H$366,'Climate Data'!$A$7:$A$366,'Estimator'!$B$4,'Climate Data'!$B$7:$B$366,C5073)</x:f>
        <x:v>7.382142857142857</x:v>
      </x:c>
      <x:c r="J5073" s="381" t="n">
        <x:f>SUMIFS('Wind Proxy'!$H$8:$H$19,'Wind Proxy'!$A$8:$A$19,'Estimator'!$B$4,'Wind Proxy'!$B$8:$B$19,C5073)</x:f>
        <x:v>0.22222222222222224</x:v>
      </x:c>
    </x:row>
    <x:row r="5074">
      <x:c r="A5074" s="379" t="n">
        <x:v>50725</x:v>
      </x:c>
      <x:c r="B5074" s="380" t="n">
        <x:v>2038</x:v>
      </x:c>
      <x:c r="C5074" s="380" t="n">
        <x:v>11</x:v>
      </x:c>
      <x:c r="D5074" s="380" t="str">
        <x:v>Nov</x:v>
      </x:c>
      <x:c r="E5074" s="380" t="n">
        <x:v>16</x:v>
      </x:c>
      <x:c r="F5074" s="380" t="n">
        <x:v>2</x:v>
      </x:c>
      <x:c r="G5074" s="380" t="n">
        <x:f>--(F5074&lt;='Estimator'!$B$7)</x:f>
        <x:v>1</x:v>
      </x:c>
      <x:c r="H5074" s="381" t="n">
        <x:f>SUMIFS('Climate Data'!$G$7:$G$366,'Climate Data'!$A$7:$A$366,'Estimator'!$B$4,'Climate Data'!$B$7:$B$366,C5074)</x:f>
        <x:v>0.3111111111111111</x:v>
      </x:c>
      <x:c r="I5074" s="382" t="n">
        <x:f>SUMIFS('Climate Data'!$H$7:$H$366,'Climate Data'!$A$7:$A$366,'Estimator'!$B$4,'Climate Data'!$B$7:$B$366,C5074)</x:f>
        <x:v>7.382142857142857</x:v>
      </x:c>
      <x:c r="J5074" s="381" t="n">
        <x:f>SUMIFS('Wind Proxy'!$H$8:$H$19,'Wind Proxy'!$A$8:$A$19,'Estimator'!$B$4,'Wind Proxy'!$B$8:$B$19,C5074)</x:f>
        <x:v>0.22222222222222224</x:v>
      </x:c>
    </x:row>
    <x:row r="5075">
      <x:c r="A5075" s="379" t="n">
        <x:v>50726</x:v>
      </x:c>
      <x:c r="B5075" s="380" t="n">
        <x:v>2038</x:v>
      </x:c>
      <x:c r="C5075" s="380" t="n">
        <x:v>11</x:v>
      </x:c>
      <x:c r="D5075" s="380" t="str">
        <x:v>Nov</x:v>
      </x:c>
      <x:c r="E5075" s="380" t="n">
        <x:v>17</x:v>
      </x:c>
      <x:c r="F5075" s="380" t="n">
        <x:v>3</x:v>
      </x:c>
      <x:c r="G5075" s="380" t="n">
        <x:f>--(F5075&lt;='Estimator'!$B$7)</x:f>
        <x:v>1</x:v>
      </x:c>
      <x:c r="H5075" s="381" t="n">
        <x:f>SUMIFS('Climate Data'!$G$7:$G$366,'Climate Data'!$A$7:$A$366,'Estimator'!$B$4,'Climate Data'!$B$7:$B$366,C5075)</x:f>
        <x:v>0.3111111111111111</x:v>
      </x:c>
      <x:c r="I5075" s="382" t="n">
        <x:f>SUMIFS('Climate Data'!$H$7:$H$366,'Climate Data'!$A$7:$A$366,'Estimator'!$B$4,'Climate Data'!$B$7:$B$366,C5075)</x:f>
        <x:v>7.382142857142857</x:v>
      </x:c>
      <x:c r="J5075" s="381" t="n">
        <x:f>SUMIFS('Wind Proxy'!$H$8:$H$19,'Wind Proxy'!$A$8:$A$19,'Estimator'!$B$4,'Wind Proxy'!$B$8:$B$19,C5075)</x:f>
        <x:v>0.22222222222222224</x:v>
      </x:c>
    </x:row>
    <x:row r="5076">
      <x:c r="A5076" s="379" t="n">
        <x:v>50727</x:v>
      </x:c>
      <x:c r="B5076" s="380" t="n">
        <x:v>2038</x:v>
      </x:c>
      <x:c r="C5076" s="380" t="n">
        <x:v>11</x:v>
      </x:c>
      <x:c r="D5076" s="380" t="str">
        <x:v>Nov</x:v>
      </x:c>
      <x:c r="E5076" s="380" t="n">
        <x:v>18</x:v>
      </x:c>
      <x:c r="F5076" s="380" t="n">
        <x:v>4</x:v>
      </x:c>
      <x:c r="G5076" s="380" t="n">
        <x:f>--(F5076&lt;='Estimator'!$B$7)</x:f>
        <x:v>1</x:v>
      </x:c>
      <x:c r="H5076" s="381" t="n">
        <x:f>SUMIFS('Climate Data'!$G$7:$G$366,'Climate Data'!$A$7:$A$366,'Estimator'!$B$4,'Climate Data'!$B$7:$B$366,C5076)</x:f>
        <x:v>0.3111111111111111</x:v>
      </x:c>
      <x:c r="I5076" s="382" t="n">
        <x:f>SUMIFS('Climate Data'!$H$7:$H$366,'Climate Data'!$A$7:$A$366,'Estimator'!$B$4,'Climate Data'!$B$7:$B$366,C5076)</x:f>
        <x:v>7.382142857142857</x:v>
      </x:c>
      <x:c r="J5076" s="381" t="n">
        <x:f>SUMIFS('Wind Proxy'!$H$8:$H$19,'Wind Proxy'!$A$8:$A$19,'Estimator'!$B$4,'Wind Proxy'!$B$8:$B$19,C5076)</x:f>
        <x:v>0.22222222222222224</x:v>
      </x:c>
    </x:row>
    <x:row r="5077">
      <x:c r="A5077" s="379" t="n">
        <x:v>50728</x:v>
      </x:c>
      <x:c r="B5077" s="380" t="n">
        <x:v>2038</x:v>
      </x:c>
      <x:c r="C5077" s="380" t="n">
        <x:v>11</x:v>
      </x:c>
      <x:c r="D5077" s="380" t="str">
        <x:v>Nov</x:v>
      </x:c>
      <x:c r="E5077" s="380" t="n">
        <x:v>19</x:v>
      </x:c>
      <x:c r="F5077" s="380" t="n">
        <x:v>5</x:v>
      </x:c>
      <x:c r="G5077" s="380" t="n">
        <x:f>--(F5077&lt;='Estimator'!$B$7)</x:f>
        <x:v>1</x:v>
      </x:c>
      <x:c r="H5077" s="381" t="n">
        <x:f>SUMIFS('Climate Data'!$G$7:$G$366,'Climate Data'!$A$7:$A$366,'Estimator'!$B$4,'Climate Data'!$B$7:$B$366,C5077)</x:f>
        <x:v>0.3111111111111111</x:v>
      </x:c>
      <x:c r="I5077" s="382" t="n">
        <x:f>SUMIFS('Climate Data'!$H$7:$H$366,'Climate Data'!$A$7:$A$366,'Estimator'!$B$4,'Climate Data'!$B$7:$B$366,C5077)</x:f>
        <x:v>7.382142857142857</x:v>
      </x:c>
      <x:c r="J5077" s="381" t="n">
        <x:f>SUMIFS('Wind Proxy'!$H$8:$H$19,'Wind Proxy'!$A$8:$A$19,'Estimator'!$B$4,'Wind Proxy'!$B$8:$B$19,C5077)</x:f>
        <x:v>0.22222222222222224</x:v>
      </x:c>
    </x:row>
    <x:row r="5078">
      <x:c r="A5078" s="379" t="n">
        <x:v>50729</x:v>
      </x:c>
      <x:c r="B5078" s="380" t="n">
        <x:v>2038</x:v>
      </x:c>
      <x:c r="C5078" s="380" t="n">
        <x:v>11</x:v>
      </x:c>
      <x:c r="D5078" s="380" t="str">
        <x:v>Nov</x:v>
      </x:c>
      <x:c r="E5078" s="380" t="n">
        <x:v>20</x:v>
      </x:c>
      <x:c r="F5078" s="380" t="n">
        <x:v>6</x:v>
      </x:c>
      <x:c r="G5078" s="380" t="n">
        <x:f>--(F5078&lt;='Estimator'!$B$7)</x:f>
        <x:v>0</x:v>
      </x:c>
      <x:c r="H5078" s="381" t="n">
        <x:f>SUMIFS('Climate Data'!$G$7:$G$366,'Climate Data'!$A$7:$A$366,'Estimator'!$B$4,'Climate Data'!$B$7:$B$366,C5078)</x:f>
        <x:v>0.3111111111111111</x:v>
      </x:c>
      <x:c r="I5078" s="382" t="n">
        <x:f>SUMIFS('Climate Data'!$H$7:$H$366,'Climate Data'!$A$7:$A$366,'Estimator'!$B$4,'Climate Data'!$B$7:$B$366,C5078)</x:f>
        <x:v>7.382142857142857</x:v>
      </x:c>
      <x:c r="J5078" s="381" t="n">
        <x:f>SUMIFS('Wind Proxy'!$H$8:$H$19,'Wind Proxy'!$A$8:$A$19,'Estimator'!$B$4,'Wind Proxy'!$B$8:$B$19,C5078)</x:f>
        <x:v>0.22222222222222224</x:v>
      </x:c>
    </x:row>
    <x:row r="5079">
      <x:c r="A5079" s="379" t="n">
        <x:v>50730</x:v>
      </x:c>
      <x:c r="B5079" s="380" t="n">
        <x:v>2038</x:v>
      </x:c>
      <x:c r="C5079" s="380" t="n">
        <x:v>11</x:v>
      </x:c>
      <x:c r="D5079" s="380" t="str">
        <x:v>Nov</x:v>
      </x:c>
      <x:c r="E5079" s="380" t="n">
        <x:v>21</x:v>
      </x:c>
      <x:c r="F5079" s="380" t="n">
        <x:v>7</x:v>
      </x:c>
      <x:c r="G5079" s="380" t="n">
        <x:f>--(F5079&lt;='Estimator'!$B$7)</x:f>
        <x:v>0</x:v>
      </x:c>
      <x:c r="H5079" s="381" t="n">
        <x:f>SUMIFS('Climate Data'!$G$7:$G$366,'Climate Data'!$A$7:$A$366,'Estimator'!$B$4,'Climate Data'!$B$7:$B$366,C5079)</x:f>
        <x:v>0.3111111111111111</x:v>
      </x:c>
      <x:c r="I5079" s="382" t="n">
        <x:f>SUMIFS('Climate Data'!$H$7:$H$366,'Climate Data'!$A$7:$A$366,'Estimator'!$B$4,'Climate Data'!$B$7:$B$366,C5079)</x:f>
        <x:v>7.382142857142857</x:v>
      </x:c>
      <x:c r="J5079" s="381" t="n">
        <x:f>SUMIFS('Wind Proxy'!$H$8:$H$19,'Wind Proxy'!$A$8:$A$19,'Estimator'!$B$4,'Wind Proxy'!$B$8:$B$19,C5079)</x:f>
        <x:v>0.22222222222222224</x:v>
      </x:c>
    </x:row>
    <x:row r="5080">
      <x:c r="A5080" s="379" t="n">
        <x:v>50731</x:v>
      </x:c>
      <x:c r="B5080" s="380" t="n">
        <x:v>2038</x:v>
      </x:c>
      <x:c r="C5080" s="380" t="n">
        <x:v>11</x:v>
      </x:c>
      <x:c r="D5080" s="380" t="str">
        <x:v>Nov</x:v>
      </x:c>
      <x:c r="E5080" s="380" t="n">
        <x:v>22</x:v>
      </x:c>
      <x:c r="F5080" s="380" t="n">
        <x:v>1</x:v>
      </x:c>
      <x:c r="G5080" s="380" t="n">
        <x:f>--(F5080&lt;='Estimator'!$B$7)</x:f>
        <x:v>1</x:v>
      </x:c>
      <x:c r="H5080" s="381" t="n">
        <x:f>SUMIFS('Climate Data'!$G$7:$G$366,'Climate Data'!$A$7:$A$366,'Estimator'!$B$4,'Climate Data'!$B$7:$B$366,C5080)</x:f>
        <x:v>0.3111111111111111</x:v>
      </x:c>
      <x:c r="I5080" s="382" t="n">
        <x:f>SUMIFS('Climate Data'!$H$7:$H$366,'Climate Data'!$A$7:$A$366,'Estimator'!$B$4,'Climate Data'!$B$7:$B$366,C5080)</x:f>
        <x:v>7.382142857142857</x:v>
      </x:c>
      <x:c r="J5080" s="381" t="n">
        <x:f>SUMIFS('Wind Proxy'!$H$8:$H$19,'Wind Proxy'!$A$8:$A$19,'Estimator'!$B$4,'Wind Proxy'!$B$8:$B$19,C5080)</x:f>
        <x:v>0.22222222222222224</x:v>
      </x:c>
    </x:row>
    <x:row r="5081">
      <x:c r="A5081" s="379" t="n">
        <x:v>50732</x:v>
      </x:c>
      <x:c r="B5081" s="380" t="n">
        <x:v>2038</x:v>
      </x:c>
      <x:c r="C5081" s="380" t="n">
        <x:v>11</x:v>
      </x:c>
      <x:c r="D5081" s="380" t="str">
        <x:v>Nov</x:v>
      </x:c>
      <x:c r="E5081" s="380" t="n">
        <x:v>23</x:v>
      </x:c>
      <x:c r="F5081" s="380" t="n">
        <x:v>2</x:v>
      </x:c>
      <x:c r="G5081" s="380" t="n">
        <x:f>--(F5081&lt;='Estimator'!$B$7)</x:f>
        <x:v>1</x:v>
      </x:c>
      <x:c r="H5081" s="381" t="n">
        <x:f>SUMIFS('Climate Data'!$G$7:$G$366,'Climate Data'!$A$7:$A$366,'Estimator'!$B$4,'Climate Data'!$B$7:$B$366,C5081)</x:f>
        <x:v>0.3111111111111111</x:v>
      </x:c>
      <x:c r="I5081" s="382" t="n">
        <x:f>SUMIFS('Climate Data'!$H$7:$H$366,'Climate Data'!$A$7:$A$366,'Estimator'!$B$4,'Climate Data'!$B$7:$B$366,C5081)</x:f>
        <x:v>7.382142857142857</x:v>
      </x:c>
      <x:c r="J5081" s="381" t="n">
        <x:f>SUMIFS('Wind Proxy'!$H$8:$H$19,'Wind Proxy'!$A$8:$A$19,'Estimator'!$B$4,'Wind Proxy'!$B$8:$B$19,C5081)</x:f>
        <x:v>0.22222222222222224</x:v>
      </x:c>
    </x:row>
    <x:row r="5082">
      <x:c r="A5082" s="379" t="n">
        <x:v>50733</x:v>
      </x:c>
      <x:c r="B5082" s="380" t="n">
        <x:v>2038</x:v>
      </x:c>
      <x:c r="C5082" s="380" t="n">
        <x:v>11</x:v>
      </x:c>
      <x:c r="D5082" s="380" t="str">
        <x:v>Nov</x:v>
      </x:c>
      <x:c r="E5082" s="380" t="n">
        <x:v>24</x:v>
      </x:c>
      <x:c r="F5082" s="380" t="n">
        <x:v>3</x:v>
      </x:c>
      <x:c r="G5082" s="380" t="n">
        <x:f>--(F5082&lt;='Estimator'!$B$7)</x:f>
        <x:v>1</x:v>
      </x:c>
      <x:c r="H5082" s="381" t="n">
        <x:f>SUMIFS('Climate Data'!$G$7:$G$366,'Climate Data'!$A$7:$A$366,'Estimator'!$B$4,'Climate Data'!$B$7:$B$366,C5082)</x:f>
        <x:v>0.3111111111111111</x:v>
      </x:c>
      <x:c r="I5082" s="382" t="n">
        <x:f>SUMIFS('Climate Data'!$H$7:$H$366,'Climate Data'!$A$7:$A$366,'Estimator'!$B$4,'Climate Data'!$B$7:$B$366,C5082)</x:f>
        <x:v>7.382142857142857</x:v>
      </x:c>
      <x:c r="J5082" s="381" t="n">
        <x:f>SUMIFS('Wind Proxy'!$H$8:$H$19,'Wind Proxy'!$A$8:$A$19,'Estimator'!$B$4,'Wind Proxy'!$B$8:$B$19,C5082)</x:f>
        <x:v>0.22222222222222224</x:v>
      </x:c>
    </x:row>
    <x:row r="5083">
      <x:c r="A5083" s="379" t="n">
        <x:v>50734</x:v>
      </x:c>
      <x:c r="B5083" s="380" t="n">
        <x:v>2038</x:v>
      </x:c>
      <x:c r="C5083" s="380" t="n">
        <x:v>11</x:v>
      </x:c>
      <x:c r="D5083" s="380" t="str">
        <x:v>Nov</x:v>
      </x:c>
      <x:c r="E5083" s="380" t="n">
        <x:v>25</x:v>
      </x:c>
      <x:c r="F5083" s="380" t="n">
        <x:v>4</x:v>
      </x:c>
      <x:c r="G5083" s="380" t="n">
        <x:f>--(F5083&lt;='Estimator'!$B$7)</x:f>
        <x:v>1</x:v>
      </x:c>
      <x:c r="H5083" s="381" t="n">
        <x:f>SUMIFS('Climate Data'!$G$7:$G$366,'Climate Data'!$A$7:$A$366,'Estimator'!$B$4,'Climate Data'!$B$7:$B$366,C5083)</x:f>
        <x:v>0.3111111111111111</x:v>
      </x:c>
      <x:c r="I5083" s="382" t="n">
        <x:f>SUMIFS('Climate Data'!$H$7:$H$366,'Climate Data'!$A$7:$A$366,'Estimator'!$B$4,'Climate Data'!$B$7:$B$366,C5083)</x:f>
        <x:v>7.382142857142857</x:v>
      </x:c>
      <x:c r="J5083" s="381" t="n">
        <x:f>SUMIFS('Wind Proxy'!$H$8:$H$19,'Wind Proxy'!$A$8:$A$19,'Estimator'!$B$4,'Wind Proxy'!$B$8:$B$19,C5083)</x:f>
        <x:v>0.22222222222222224</x:v>
      </x:c>
    </x:row>
    <x:row r="5084">
      <x:c r="A5084" s="379" t="n">
        <x:v>50735</x:v>
      </x:c>
      <x:c r="B5084" s="380" t="n">
        <x:v>2038</x:v>
      </x:c>
      <x:c r="C5084" s="380" t="n">
        <x:v>11</x:v>
      </x:c>
      <x:c r="D5084" s="380" t="str">
        <x:v>Nov</x:v>
      </x:c>
      <x:c r="E5084" s="380" t="n">
        <x:v>26</x:v>
      </x:c>
      <x:c r="F5084" s="380" t="n">
        <x:v>5</x:v>
      </x:c>
      <x:c r="G5084" s="380" t="n">
        <x:f>--(F5084&lt;='Estimator'!$B$7)</x:f>
        <x:v>1</x:v>
      </x:c>
      <x:c r="H5084" s="381" t="n">
        <x:f>SUMIFS('Climate Data'!$G$7:$G$366,'Climate Data'!$A$7:$A$366,'Estimator'!$B$4,'Climate Data'!$B$7:$B$366,C5084)</x:f>
        <x:v>0.3111111111111111</x:v>
      </x:c>
      <x:c r="I5084" s="382" t="n">
        <x:f>SUMIFS('Climate Data'!$H$7:$H$366,'Climate Data'!$A$7:$A$366,'Estimator'!$B$4,'Climate Data'!$B$7:$B$366,C5084)</x:f>
        <x:v>7.382142857142857</x:v>
      </x:c>
      <x:c r="J5084" s="381" t="n">
        <x:f>SUMIFS('Wind Proxy'!$H$8:$H$19,'Wind Proxy'!$A$8:$A$19,'Estimator'!$B$4,'Wind Proxy'!$B$8:$B$19,C5084)</x:f>
        <x:v>0.22222222222222224</x:v>
      </x:c>
    </x:row>
    <x:row r="5085">
      <x:c r="A5085" s="379" t="n">
        <x:v>50736</x:v>
      </x:c>
      <x:c r="B5085" s="380" t="n">
        <x:v>2038</x:v>
      </x:c>
      <x:c r="C5085" s="380" t="n">
        <x:v>11</x:v>
      </x:c>
      <x:c r="D5085" s="380" t="str">
        <x:v>Nov</x:v>
      </x:c>
      <x:c r="E5085" s="380" t="n">
        <x:v>27</x:v>
      </x:c>
      <x:c r="F5085" s="380" t="n">
        <x:v>6</x:v>
      </x:c>
      <x:c r="G5085" s="380" t="n">
        <x:f>--(F5085&lt;='Estimator'!$B$7)</x:f>
        <x:v>0</x:v>
      </x:c>
      <x:c r="H5085" s="381" t="n">
        <x:f>SUMIFS('Climate Data'!$G$7:$G$366,'Climate Data'!$A$7:$A$366,'Estimator'!$B$4,'Climate Data'!$B$7:$B$366,C5085)</x:f>
        <x:v>0.3111111111111111</x:v>
      </x:c>
      <x:c r="I5085" s="382" t="n">
        <x:f>SUMIFS('Climate Data'!$H$7:$H$366,'Climate Data'!$A$7:$A$366,'Estimator'!$B$4,'Climate Data'!$B$7:$B$366,C5085)</x:f>
        <x:v>7.382142857142857</x:v>
      </x:c>
      <x:c r="J5085" s="381" t="n">
        <x:f>SUMIFS('Wind Proxy'!$H$8:$H$19,'Wind Proxy'!$A$8:$A$19,'Estimator'!$B$4,'Wind Proxy'!$B$8:$B$19,C5085)</x:f>
        <x:v>0.22222222222222224</x:v>
      </x:c>
    </x:row>
    <x:row r="5086">
      <x:c r="A5086" s="379" t="n">
        <x:v>50737</x:v>
      </x:c>
      <x:c r="B5086" s="380" t="n">
        <x:v>2038</x:v>
      </x:c>
      <x:c r="C5086" s="380" t="n">
        <x:v>11</x:v>
      </x:c>
      <x:c r="D5086" s="380" t="str">
        <x:v>Nov</x:v>
      </x:c>
      <x:c r="E5086" s="380" t="n">
        <x:v>28</x:v>
      </x:c>
      <x:c r="F5086" s="380" t="n">
        <x:v>7</x:v>
      </x:c>
      <x:c r="G5086" s="380" t="n">
        <x:f>--(F5086&lt;='Estimator'!$B$7)</x:f>
        <x:v>0</x:v>
      </x:c>
      <x:c r="H5086" s="381" t="n">
        <x:f>SUMIFS('Climate Data'!$G$7:$G$366,'Climate Data'!$A$7:$A$366,'Estimator'!$B$4,'Climate Data'!$B$7:$B$366,C5086)</x:f>
        <x:v>0.3111111111111111</x:v>
      </x:c>
      <x:c r="I5086" s="382" t="n">
        <x:f>SUMIFS('Climate Data'!$H$7:$H$366,'Climate Data'!$A$7:$A$366,'Estimator'!$B$4,'Climate Data'!$B$7:$B$366,C5086)</x:f>
        <x:v>7.382142857142857</x:v>
      </x:c>
      <x:c r="J5086" s="381" t="n">
        <x:f>SUMIFS('Wind Proxy'!$H$8:$H$19,'Wind Proxy'!$A$8:$A$19,'Estimator'!$B$4,'Wind Proxy'!$B$8:$B$19,C5086)</x:f>
        <x:v>0.22222222222222224</x:v>
      </x:c>
    </x:row>
    <x:row r="5087">
      <x:c r="A5087" s="379" t="n">
        <x:v>50738</x:v>
      </x:c>
      <x:c r="B5087" s="380" t="n">
        <x:v>2038</x:v>
      </x:c>
      <x:c r="C5087" s="380" t="n">
        <x:v>11</x:v>
      </x:c>
      <x:c r="D5087" s="380" t="str">
        <x:v>Nov</x:v>
      </x:c>
      <x:c r="E5087" s="380" t="n">
        <x:v>29</x:v>
      </x:c>
      <x:c r="F5087" s="380" t="n">
        <x:v>1</x:v>
      </x:c>
      <x:c r="G5087" s="380" t="n">
        <x:f>--(F5087&lt;='Estimator'!$B$7)</x:f>
        <x:v>1</x:v>
      </x:c>
      <x:c r="H5087" s="381" t="n">
        <x:f>SUMIFS('Climate Data'!$G$7:$G$366,'Climate Data'!$A$7:$A$366,'Estimator'!$B$4,'Climate Data'!$B$7:$B$366,C5087)</x:f>
        <x:v>0.3111111111111111</x:v>
      </x:c>
      <x:c r="I5087" s="382" t="n">
        <x:f>SUMIFS('Climate Data'!$H$7:$H$366,'Climate Data'!$A$7:$A$366,'Estimator'!$B$4,'Climate Data'!$B$7:$B$366,C5087)</x:f>
        <x:v>7.382142857142857</x:v>
      </x:c>
      <x:c r="J5087" s="381" t="n">
        <x:f>SUMIFS('Wind Proxy'!$H$8:$H$19,'Wind Proxy'!$A$8:$A$19,'Estimator'!$B$4,'Wind Proxy'!$B$8:$B$19,C5087)</x:f>
        <x:v>0.22222222222222224</x:v>
      </x:c>
    </x:row>
    <x:row r="5088">
      <x:c r="A5088" s="379" t="n">
        <x:v>50739</x:v>
      </x:c>
      <x:c r="B5088" s="380" t="n">
        <x:v>2038</x:v>
      </x:c>
      <x:c r="C5088" s="380" t="n">
        <x:v>11</x:v>
      </x:c>
      <x:c r="D5088" s="380" t="str">
        <x:v>Nov</x:v>
      </x:c>
      <x:c r="E5088" s="380" t="n">
        <x:v>30</x:v>
      </x:c>
      <x:c r="F5088" s="380" t="n">
        <x:v>2</x:v>
      </x:c>
      <x:c r="G5088" s="380" t="n">
        <x:f>--(F5088&lt;='Estimator'!$B$7)</x:f>
        <x:v>1</x:v>
      </x:c>
      <x:c r="H5088" s="381" t="n">
        <x:f>SUMIFS('Climate Data'!$G$7:$G$366,'Climate Data'!$A$7:$A$366,'Estimator'!$B$4,'Climate Data'!$B$7:$B$366,C5088)</x:f>
        <x:v>0.3111111111111111</x:v>
      </x:c>
      <x:c r="I5088" s="382" t="n">
        <x:f>SUMIFS('Climate Data'!$H$7:$H$366,'Climate Data'!$A$7:$A$366,'Estimator'!$B$4,'Climate Data'!$B$7:$B$366,C5088)</x:f>
        <x:v>7.382142857142857</x:v>
      </x:c>
      <x:c r="J5088" s="381" t="n">
        <x:f>SUMIFS('Wind Proxy'!$H$8:$H$19,'Wind Proxy'!$A$8:$A$19,'Estimator'!$B$4,'Wind Proxy'!$B$8:$B$19,C5088)</x:f>
        <x:v>0.22222222222222224</x:v>
      </x:c>
    </x:row>
    <x:row r="5089">
      <x:c r="A5089" s="379" t="n">
        <x:v>50740</x:v>
      </x:c>
      <x:c r="B5089" s="380" t="n">
        <x:v>2038</x:v>
      </x:c>
      <x:c r="C5089" s="380" t="n">
        <x:v>12</x:v>
      </x:c>
      <x:c r="D5089" s="380" t="str">
        <x:v>Dec</x:v>
      </x:c>
      <x:c r="E5089" s="380" t="n">
        <x:v>1</x:v>
      </x:c>
      <x:c r="F5089" s="380" t="n">
        <x:v>3</x:v>
      </x:c>
      <x:c r="G5089" s="380" t="n">
        <x:f>--(F5089&lt;='Estimator'!$B$7)</x:f>
        <x:v>1</x:v>
      </x:c>
      <x:c r="H5089" s="381" t="n">
        <x:f>SUMIFS('Climate Data'!$G$7:$G$366,'Climate Data'!$A$7:$A$366,'Estimator'!$B$4,'Climate Data'!$B$7:$B$366,C5089)</x:f>
        <x:v>0.2914349276974416</x:v>
      </x:c>
      <x:c r="I5089" s="382" t="n">
        <x:f>SUMIFS('Climate Data'!$H$7:$H$366,'Climate Data'!$A$7:$A$366,'Estimator'!$B$4,'Climate Data'!$B$7:$B$366,C5089)</x:f>
        <x:v>9.043129770992365</x:v>
      </x:c>
      <x:c r="J5089" s="381" t="n">
        <x:f>SUMIFS('Wind Proxy'!$H$8:$H$19,'Wind Proxy'!$A$8:$A$19,'Estimator'!$B$4,'Wind Proxy'!$B$8:$B$19,C5089)</x:f>
        <x:v>0.12544802867383514</x:v>
      </x:c>
    </x:row>
    <x:row r="5090">
      <x:c r="A5090" s="379" t="n">
        <x:v>50741</x:v>
      </x:c>
      <x:c r="B5090" s="380" t="n">
        <x:v>2038</x:v>
      </x:c>
      <x:c r="C5090" s="380" t="n">
        <x:v>12</x:v>
      </x:c>
      <x:c r="D5090" s="380" t="str">
        <x:v>Dec</x:v>
      </x:c>
      <x:c r="E5090" s="380" t="n">
        <x:v>2</x:v>
      </x:c>
      <x:c r="F5090" s="380" t="n">
        <x:v>4</x:v>
      </x:c>
      <x:c r="G5090" s="380" t="n">
        <x:f>--(F5090&lt;='Estimator'!$B$7)</x:f>
        <x:v>1</x:v>
      </x:c>
      <x:c r="H5090" s="381" t="n">
        <x:f>SUMIFS('Climate Data'!$G$7:$G$366,'Climate Data'!$A$7:$A$366,'Estimator'!$B$4,'Climate Data'!$B$7:$B$366,C5090)</x:f>
        <x:v>0.2914349276974416</x:v>
      </x:c>
      <x:c r="I5090" s="382" t="n">
        <x:f>SUMIFS('Climate Data'!$H$7:$H$366,'Climate Data'!$A$7:$A$366,'Estimator'!$B$4,'Climate Data'!$B$7:$B$366,C5090)</x:f>
        <x:v>9.043129770992365</x:v>
      </x:c>
      <x:c r="J5090" s="381" t="n">
        <x:f>SUMIFS('Wind Proxy'!$H$8:$H$19,'Wind Proxy'!$A$8:$A$19,'Estimator'!$B$4,'Wind Proxy'!$B$8:$B$19,C5090)</x:f>
        <x:v>0.12544802867383514</x:v>
      </x:c>
    </x:row>
    <x:row r="5091">
      <x:c r="A5091" s="379" t="n">
        <x:v>50742</x:v>
      </x:c>
      <x:c r="B5091" s="380" t="n">
        <x:v>2038</x:v>
      </x:c>
      <x:c r="C5091" s="380" t="n">
        <x:v>12</x:v>
      </x:c>
      <x:c r="D5091" s="380" t="str">
        <x:v>Dec</x:v>
      </x:c>
      <x:c r="E5091" s="380" t="n">
        <x:v>3</x:v>
      </x:c>
      <x:c r="F5091" s="380" t="n">
        <x:v>5</x:v>
      </x:c>
      <x:c r="G5091" s="380" t="n">
        <x:f>--(F5091&lt;='Estimator'!$B$7)</x:f>
        <x:v>1</x:v>
      </x:c>
      <x:c r="H5091" s="381" t="n">
        <x:f>SUMIFS('Climate Data'!$G$7:$G$366,'Climate Data'!$A$7:$A$366,'Estimator'!$B$4,'Climate Data'!$B$7:$B$366,C5091)</x:f>
        <x:v>0.2914349276974416</x:v>
      </x:c>
      <x:c r="I5091" s="382" t="n">
        <x:f>SUMIFS('Climate Data'!$H$7:$H$366,'Climate Data'!$A$7:$A$366,'Estimator'!$B$4,'Climate Data'!$B$7:$B$366,C5091)</x:f>
        <x:v>9.043129770992365</x:v>
      </x:c>
      <x:c r="J5091" s="381" t="n">
        <x:f>SUMIFS('Wind Proxy'!$H$8:$H$19,'Wind Proxy'!$A$8:$A$19,'Estimator'!$B$4,'Wind Proxy'!$B$8:$B$19,C5091)</x:f>
        <x:v>0.12544802867383514</x:v>
      </x:c>
    </x:row>
    <x:row r="5092">
      <x:c r="A5092" s="379" t="n">
        <x:v>50743</x:v>
      </x:c>
      <x:c r="B5092" s="380" t="n">
        <x:v>2038</x:v>
      </x:c>
      <x:c r="C5092" s="380" t="n">
        <x:v>12</x:v>
      </x:c>
      <x:c r="D5092" s="380" t="str">
        <x:v>Dec</x:v>
      </x:c>
      <x:c r="E5092" s="380" t="n">
        <x:v>4</x:v>
      </x:c>
      <x:c r="F5092" s="380" t="n">
        <x:v>6</x:v>
      </x:c>
      <x:c r="G5092" s="380" t="n">
        <x:f>--(F5092&lt;='Estimator'!$B$7)</x:f>
        <x:v>0</x:v>
      </x:c>
      <x:c r="H5092" s="381" t="n">
        <x:f>SUMIFS('Climate Data'!$G$7:$G$366,'Climate Data'!$A$7:$A$366,'Estimator'!$B$4,'Climate Data'!$B$7:$B$366,C5092)</x:f>
        <x:v>0.2914349276974416</x:v>
      </x:c>
      <x:c r="I5092" s="382" t="n">
        <x:f>SUMIFS('Climate Data'!$H$7:$H$366,'Climate Data'!$A$7:$A$366,'Estimator'!$B$4,'Climate Data'!$B$7:$B$366,C5092)</x:f>
        <x:v>9.043129770992365</x:v>
      </x:c>
      <x:c r="J5092" s="381" t="n">
        <x:f>SUMIFS('Wind Proxy'!$H$8:$H$19,'Wind Proxy'!$A$8:$A$19,'Estimator'!$B$4,'Wind Proxy'!$B$8:$B$19,C5092)</x:f>
        <x:v>0.12544802867383514</x:v>
      </x:c>
    </x:row>
    <x:row r="5093">
      <x:c r="A5093" s="379" t="n">
        <x:v>50744</x:v>
      </x:c>
      <x:c r="B5093" s="380" t="n">
        <x:v>2038</x:v>
      </x:c>
      <x:c r="C5093" s="380" t="n">
        <x:v>12</x:v>
      </x:c>
      <x:c r="D5093" s="380" t="str">
        <x:v>Dec</x:v>
      </x:c>
      <x:c r="E5093" s="380" t="n">
        <x:v>5</x:v>
      </x:c>
      <x:c r="F5093" s="380" t="n">
        <x:v>7</x:v>
      </x:c>
      <x:c r="G5093" s="380" t="n">
        <x:f>--(F5093&lt;='Estimator'!$B$7)</x:f>
        <x:v>0</x:v>
      </x:c>
      <x:c r="H5093" s="381" t="n">
        <x:f>SUMIFS('Climate Data'!$G$7:$G$366,'Climate Data'!$A$7:$A$366,'Estimator'!$B$4,'Climate Data'!$B$7:$B$366,C5093)</x:f>
        <x:v>0.2914349276974416</x:v>
      </x:c>
      <x:c r="I5093" s="382" t="n">
        <x:f>SUMIFS('Climate Data'!$H$7:$H$366,'Climate Data'!$A$7:$A$366,'Estimator'!$B$4,'Climate Data'!$B$7:$B$366,C5093)</x:f>
        <x:v>9.043129770992365</x:v>
      </x:c>
      <x:c r="J5093" s="381" t="n">
        <x:f>SUMIFS('Wind Proxy'!$H$8:$H$19,'Wind Proxy'!$A$8:$A$19,'Estimator'!$B$4,'Wind Proxy'!$B$8:$B$19,C5093)</x:f>
        <x:v>0.12544802867383514</x:v>
      </x:c>
    </x:row>
    <x:row r="5094">
      <x:c r="A5094" s="379" t="n">
        <x:v>50745</x:v>
      </x:c>
      <x:c r="B5094" s="380" t="n">
        <x:v>2038</x:v>
      </x:c>
      <x:c r="C5094" s="380" t="n">
        <x:v>12</x:v>
      </x:c>
      <x:c r="D5094" s="380" t="str">
        <x:v>Dec</x:v>
      </x:c>
      <x:c r="E5094" s="380" t="n">
        <x:v>6</x:v>
      </x:c>
      <x:c r="F5094" s="380" t="n">
        <x:v>1</x:v>
      </x:c>
      <x:c r="G5094" s="380" t="n">
        <x:f>--(F5094&lt;='Estimator'!$B$7)</x:f>
        <x:v>1</x:v>
      </x:c>
      <x:c r="H5094" s="381" t="n">
        <x:f>SUMIFS('Climate Data'!$G$7:$G$366,'Climate Data'!$A$7:$A$366,'Estimator'!$B$4,'Climate Data'!$B$7:$B$366,C5094)</x:f>
        <x:v>0.2914349276974416</x:v>
      </x:c>
      <x:c r="I5094" s="382" t="n">
        <x:f>SUMIFS('Climate Data'!$H$7:$H$366,'Climate Data'!$A$7:$A$366,'Estimator'!$B$4,'Climate Data'!$B$7:$B$366,C5094)</x:f>
        <x:v>9.043129770992365</x:v>
      </x:c>
      <x:c r="J5094" s="381" t="n">
        <x:f>SUMIFS('Wind Proxy'!$H$8:$H$19,'Wind Proxy'!$A$8:$A$19,'Estimator'!$B$4,'Wind Proxy'!$B$8:$B$19,C5094)</x:f>
        <x:v>0.12544802867383514</x:v>
      </x:c>
    </x:row>
    <x:row r="5095">
      <x:c r="A5095" s="379" t="n">
        <x:v>50746</x:v>
      </x:c>
      <x:c r="B5095" s="380" t="n">
        <x:v>2038</x:v>
      </x:c>
      <x:c r="C5095" s="380" t="n">
        <x:v>12</x:v>
      </x:c>
      <x:c r="D5095" s="380" t="str">
        <x:v>Dec</x:v>
      </x:c>
      <x:c r="E5095" s="380" t="n">
        <x:v>7</x:v>
      </x:c>
      <x:c r="F5095" s="380" t="n">
        <x:v>2</x:v>
      </x:c>
      <x:c r="G5095" s="380" t="n">
        <x:f>--(F5095&lt;='Estimator'!$B$7)</x:f>
        <x:v>1</x:v>
      </x:c>
      <x:c r="H5095" s="381" t="n">
        <x:f>SUMIFS('Climate Data'!$G$7:$G$366,'Climate Data'!$A$7:$A$366,'Estimator'!$B$4,'Climate Data'!$B$7:$B$366,C5095)</x:f>
        <x:v>0.2914349276974416</x:v>
      </x:c>
      <x:c r="I5095" s="382" t="n">
        <x:f>SUMIFS('Climate Data'!$H$7:$H$366,'Climate Data'!$A$7:$A$366,'Estimator'!$B$4,'Climate Data'!$B$7:$B$366,C5095)</x:f>
        <x:v>9.043129770992365</x:v>
      </x:c>
      <x:c r="J5095" s="381" t="n">
        <x:f>SUMIFS('Wind Proxy'!$H$8:$H$19,'Wind Proxy'!$A$8:$A$19,'Estimator'!$B$4,'Wind Proxy'!$B$8:$B$19,C5095)</x:f>
        <x:v>0.12544802867383514</x:v>
      </x:c>
    </x:row>
    <x:row r="5096">
      <x:c r="A5096" s="379" t="n">
        <x:v>50747</x:v>
      </x:c>
      <x:c r="B5096" s="380" t="n">
        <x:v>2038</x:v>
      </x:c>
      <x:c r="C5096" s="380" t="n">
        <x:v>12</x:v>
      </x:c>
      <x:c r="D5096" s="380" t="str">
        <x:v>Dec</x:v>
      </x:c>
      <x:c r="E5096" s="380" t="n">
        <x:v>8</x:v>
      </x:c>
      <x:c r="F5096" s="380" t="n">
        <x:v>3</x:v>
      </x:c>
      <x:c r="G5096" s="380" t="n">
        <x:f>--(F5096&lt;='Estimator'!$B$7)</x:f>
        <x:v>1</x:v>
      </x:c>
      <x:c r="H5096" s="381" t="n">
        <x:f>SUMIFS('Climate Data'!$G$7:$G$366,'Climate Data'!$A$7:$A$366,'Estimator'!$B$4,'Climate Data'!$B$7:$B$366,C5096)</x:f>
        <x:v>0.2914349276974416</x:v>
      </x:c>
      <x:c r="I5096" s="382" t="n">
        <x:f>SUMIFS('Climate Data'!$H$7:$H$366,'Climate Data'!$A$7:$A$366,'Estimator'!$B$4,'Climate Data'!$B$7:$B$366,C5096)</x:f>
        <x:v>9.043129770992365</x:v>
      </x:c>
      <x:c r="J5096" s="381" t="n">
        <x:f>SUMIFS('Wind Proxy'!$H$8:$H$19,'Wind Proxy'!$A$8:$A$19,'Estimator'!$B$4,'Wind Proxy'!$B$8:$B$19,C5096)</x:f>
        <x:v>0.12544802867383514</x:v>
      </x:c>
    </x:row>
    <x:row r="5097">
      <x:c r="A5097" s="379" t="n">
        <x:v>50748</x:v>
      </x:c>
      <x:c r="B5097" s="380" t="n">
        <x:v>2038</x:v>
      </x:c>
      <x:c r="C5097" s="380" t="n">
        <x:v>12</x:v>
      </x:c>
      <x:c r="D5097" s="380" t="str">
        <x:v>Dec</x:v>
      </x:c>
      <x:c r="E5097" s="380" t="n">
        <x:v>9</x:v>
      </x:c>
      <x:c r="F5097" s="380" t="n">
        <x:v>4</x:v>
      </x:c>
      <x:c r="G5097" s="380" t="n">
        <x:f>--(F5097&lt;='Estimator'!$B$7)</x:f>
        <x:v>1</x:v>
      </x:c>
      <x:c r="H5097" s="381" t="n">
        <x:f>SUMIFS('Climate Data'!$G$7:$G$366,'Climate Data'!$A$7:$A$366,'Estimator'!$B$4,'Climate Data'!$B$7:$B$366,C5097)</x:f>
        <x:v>0.2914349276974416</x:v>
      </x:c>
      <x:c r="I5097" s="382" t="n">
        <x:f>SUMIFS('Climate Data'!$H$7:$H$366,'Climate Data'!$A$7:$A$366,'Estimator'!$B$4,'Climate Data'!$B$7:$B$366,C5097)</x:f>
        <x:v>9.043129770992365</x:v>
      </x:c>
      <x:c r="J5097" s="381" t="n">
        <x:f>SUMIFS('Wind Proxy'!$H$8:$H$19,'Wind Proxy'!$A$8:$A$19,'Estimator'!$B$4,'Wind Proxy'!$B$8:$B$19,C5097)</x:f>
        <x:v>0.12544802867383514</x:v>
      </x:c>
    </x:row>
    <x:row r="5098">
      <x:c r="A5098" s="379" t="n">
        <x:v>50749</x:v>
      </x:c>
      <x:c r="B5098" s="380" t="n">
        <x:v>2038</x:v>
      </x:c>
      <x:c r="C5098" s="380" t="n">
        <x:v>12</x:v>
      </x:c>
      <x:c r="D5098" s="380" t="str">
        <x:v>Dec</x:v>
      </x:c>
      <x:c r="E5098" s="380" t="n">
        <x:v>10</x:v>
      </x:c>
      <x:c r="F5098" s="380" t="n">
        <x:v>5</x:v>
      </x:c>
      <x:c r="G5098" s="380" t="n">
        <x:f>--(F5098&lt;='Estimator'!$B$7)</x:f>
        <x:v>1</x:v>
      </x:c>
      <x:c r="H5098" s="381" t="n">
        <x:f>SUMIFS('Climate Data'!$G$7:$G$366,'Climate Data'!$A$7:$A$366,'Estimator'!$B$4,'Climate Data'!$B$7:$B$366,C5098)</x:f>
        <x:v>0.2914349276974416</x:v>
      </x:c>
      <x:c r="I5098" s="382" t="n">
        <x:f>SUMIFS('Climate Data'!$H$7:$H$366,'Climate Data'!$A$7:$A$366,'Estimator'!$B$4,'Climate Data'!$B$7:$B$366,C5098)</x:f>
        <x:v>9.043129770992365</x:v>
      </x:c>
      <x:c r="J5098" s="381" t="n">
        <x:f>SUMIFS('Wind Proxy'!$H$8:$H$19,'Wind Proxy'!$A$8:$A$19,'Estimator'!$B$4,'Wind Proxy'!$B$8:$B$19,C5098)</x:f>
        <x:v>0.12544802867383514</x:v>
      </x:c>
    </x:row>
    <x:row r="5099">
      <x:c r="A5099" s="379" t="n">
        <x:v>50750</x:v>
      </x:c>
      <x:c r="B5099" s="380" t="n">
        <x:v>2038</x:v>
      </x:c>
      <x:c r="C5099" s="380" t="n">
        <x:v>12</x:v>
      </x:c>
      <x:c r="D5099" s="380" t="str">
        <x:v>Dec</x:v>
      </x:c>
      <x:c r="E5099" s="380" t="n">
        <x:v>11</x:v>
      </x:c>
      <x:c r="F5099" s="380" t="n">
        <x:v>6</x:v>
      </x:c>
      <x:c r="G5099" s="380" t="n">
        <x:f>--(F5099&lt;='Estimator'!$B$7)</x:f>
        <x:v>0</x:v>
      </x:c>
      <x:c r="H5099" s="381" t="n">
        <x:f>SUMIFS('Climate Data'!$G$7:$G$366,'Climate Data'!$A$7:$A$366,'Estimator'!$B$4,'Climate Data'!$B$7:$B$366,C5099)</x:f>
        <x:v>0.2914349276974416</x:v>
      </x:c>
      <x:c r="I5099" s="382" t="n">
        <x:f>SUMIFS('Climate Data'!$H$7:$H$366,'Climate Data'!$A$7:$A$366,'Estimator'!$B$4,'Climate Data'!$B$7:$B$366,C5099)</x:f>
        <x:v>9.043129770992365</x:v>
      </x:c>
      <x:c r="J5099" s="381" t="n">
        <x:f>SUMIFS('Wind Proxy'!$H$8:$H$19,'Wind Proxy'!$A$8:$A$19,'Estimator'!$B$4,'Wind Proxy'!$B$8:$B$19,C5099)</x:f>
        <x:v>0.12544802867383514</x:v>
      </x:c>
    </x:row>
    <x:row r="5100">
      <x:c r="A5100" s="379" t="n">
        <x:v>50751</x:v>
      </x:c>
      <x:c r="B5100" s="380" t="n">
        <x:v>2038</x:v>
      </x:c>
      <x:c r="C5100" s="380" t="n">
        <x:v>12</x:v>
      </x:c>
      <x:c r="D5100" s="380" t="str">
        <x:v>Dec</x:v>
      </x:c>
      <x:c r="E5100" s="380" t="n">
        <x:v>12</x:v>
      </x:c>
      <x:c r="F5100" s="380" t="n">
        <x:v>7</x:v>
      </x:c>
      <x:c r="G5100" s="380" t="n">
        <x:f>--(F5100&lt;='Estimator'!$B$7)</x:f>
        <x:v>0</x:v>
      </x:c>
      <x:c r="H5100" s="381" t="n">
        <x:f>SUMIFS('Climate Data'!$G$7:$G$366,'Climate Data'!$A$7:$A$366,'Estimator'!$B$4,'Climate Data'!$B$7:$B$366,C5100)</x:f>
        <x:v>0.2914349276974416</x:v>
      </x:c>
      <x:c r="I5100" s="382" t="n">
        <x:f>SUMIFS('Climate Data'!$H$7:$H$366,'Climate Data'!$A$7:$A$366,'Estimator'!$B$4,'Climate Data'!$B$7:$B$366,C5100)</x:f>
        <x:v>9.043129770992365</x:v>
      </x:c>
      <x:c r="J5100" s="381" t="n">
        <x:f>SUMIFS('Wind Proxy'!$H$8:$H$19,'Wind Proxy'!$A$8:$A$19,'Estimator'!$B$4,'Wind Proxy'!$B$8:$B$19,C5100)</x:f>
        <x:v>0.12544802867383514</x:v>
      </x:c>
    </x:row>
    <x:row r="5101">
      <x:c r="A5101" s="379" t="n">
        <x:v>50752</x:v>
      </x:c>
      <x:c r="B5101" s="380" t="n">
        <x:v>2038</x:v>
      </x:c>
      <x:c r="C5101" s="380" t="n">
        <x:v>12</x:v>
      </x:c>
      <x:c r="D5101" s="380" t="str">
        <x:v>Dec</x:v>
      </x:c>
      <x:c r="E5101" s="380" t="n">
        <x:v>13</x:v>
      </x:c>
      <x:c r="F5101" s="380" t="n">
        <x:v>1</x:v>
      </x:c>
      <x:c r="G5101" s="380" t="n">
        <x:f>--(F5101&lt;='Estimator'!$B$7)</x:f>
        <x:v>1</x:v>
      </x:c>
      <x:c r="H5101" s="381" t="n">
        <x:f>SUMIFS('Climate Data'!$G$7:$G$366,'Climate Data'!$A$7:$A$366,'Estimator'!$B$4,'Climate Data'!$B$7:$B$366,C5101)</x:f>
        <x:v>0.2914349276974416</x:v>
      </x:c>
      <x:c r="I5101" s="382" t="n">
        <x:f>SUMIFS('Climate Data'!$H$7:$H$366,'Climate Data'!$A$7:$A$366,'Estimator'!$B$4,'Climate Data'!$B$7:$B$366,C5101)</x:f>
        <x:v>9.043129770992365</x:v>
      </x:c>
      <x:c r="J5101" s="381" t="n">
        <x:f>SUMIFS('Wind Proxy'!$H$8:$H$19,'Wind Proxy'!$A$8:$A$19,'Estimator'!$B$4,'Wind Proxy'!$B$8:$B$19,C5101)</x:f>
        <x:v>0.12544802867383514</x:v>
      </x:c>
    </x:row>
    <x:row r="5102">
      <x:c r="A5102" s="379" t="n">
        <x:v>50753</x:v>
      </x:c>
      <x:c r="B5102" s="380" t="n">
        <x:v>2038</x:v>
      </x:c>
      <x:c r="C5102" s="380" t="n">
        <x:v>12</x:v>
      </x:c>
      <x:c r="D5102" s="380" t="str">
        <x:v>Dec</x:v>
      </x:c>
      <x:c r="E5102" s="380" t="n">
        <x:v>14</x:v>
      </x:c>
      <x:c r="F5102" s="380" t="n">
        <x:v>2</x:v>
      </x:c>
      <x:c r="G5102" s="380" t="n">
        <x:f>--(F5102&lt;='Estimator'!$B$7)</x:f>
        <x:v>1</x:v>
      </x:c>
      <x:c r="H5102" s="381" t="n">
        <x:f>SUMIFS('Climate Data'!$G$7:$G$366,'Climate Data'!$A$7:$A$366,'Estimator'!$B$4,'Climate Data'!$B$7:$B$366,C5102)</x:f>
        <x:v>0.2914349276974416</x:v>
      </x:c>
      <x:c r="I5102" s="382" t="n">
        <x:f>SUMIFS('Climate Data'!$H$7:$H$366,'Climate Data'!$A$7:$A$366,'Estimator'!$B$4,'Climate Data'!$B$7:$B$366,C5102)</x:f>
        <x:v>9.043129770992365</x:v>
      </x:c>
      <x:c r="J5102" s="381" t="n">
        <x:f>SUMIFS('Wind Proxy'!$H$8:$H$19,'Wind Proxy'!$A$8:$A$19,'Estimator'!$B$4,'Wind Proxy'!$B$8:$B$19,C5102)</x:f>
        <x:v>0.12544802867383514</x:v>
      </x:c>
    </x:row>
    <x:row r="5103">
      <x:c r="A5103" s="379" t="n">
        <x:v>50754</x:v>
      </x:c>
      <x:c r="B5103" s="380" t="n">
        <x:v>2038</x:v>
      </x:c>
      <x:c r="C5103" s="380" t="n">
        <x:v>12</x:v>
      </x:c>
      <x:c r="D5103" s="380" t="str">
        <x:v>Dec</x:v>
      </x:c>
      <x:c r="E5103" s="380" t="n">
        <x:v>15</x:v>
      </x:c>
      <x:c r="F5103" s="380" t="n">
        <x:v>3</x:v>
      </x:c>
      <x:c r="G5103" s="380" t="n">
        <x:f>--(F5103&lt;='Estimator'!$B$7)</x:f>
        <x:v>1</x:v>
      </x:c>
      <x:c r="H5103" s="381" t="n">
        <x:f>SUMIFS('Climate Data'!$G$7:$G$366,'Climate Data'!$A$7:$A$366,'Estimator'!$B$4,'Climate Data'!$B$7:$B$366,C5103)</x:f>
        <x:v>0.2914349276974416</x:v>
      </x:c>
      <x:c r="I5103" s="382" t="n">
        <x:f>SUMIFS('Climate Data'!$H$7:$H$366,'Climate Data'!$A$7:$A$366,'Estimator'!$B$4,'Climate Data'!$B$7:$B$366,C5103)</x:f>
        <x:v>9.043129770992365</x:v>
      </x:c>
      <x:c r="J5103" s="381" t="n">
        <x:f>SUMIFS('Wind Proxy'!$H$8:$H$19,'Wind Proxy'!$A$8:$A$19,'Estimator'!$B$4,'Wind Proxy'!$B$8:$B$19,C5103)</x:f>
        <x:v>0.12544802867383514</x:v>
      </x:c>
    </x:row>
    <x:row r="5104">
      <x:c r="A5104" s="379" t="n">
        <x:v>50755</x:v>
      </x:c>
      <x:c r="B5104" s="380" t="n">
        <x:v>2038</x:v>
      </x:c>
      <x:c r="C5104" s="380" t="n">
        <x:v>12</x:v>
      </x:c>
      <x:c r="D5104" s="380" t="str">
        <x:v>Dec</x:v>
      </x:c>
      <x:c r="E5104" s="380" t="n">
        <x:v>16</x:v>
      </x:c>
      <x:c r="F5104" s="380" t="n">
        <x:v>4</x:v>
      </x:c>
      <x:c r="G5104" s="380" t="n">
        <x:f>--(F5104&lt;='Estimator'!$B$7)</x:f>
        <x:v>1</x:v>
      </x:c>
      <x:c r="H5104" s="381" t="n">
        <x:f>SUMIFS('Climate Data'!$G$7:$G$366,'Climate Data'!$A$7:$A$366,'Estimator'!$B$4,'Climate Data'!$B$7:$B$366,C5104)</x:f>
        <x:v>0.2914349276974416</x:v>
      </x:c>
      <x:c r="I5104" s="382" t="n">
        <x:f>SUMIFS('Climate Data'!$H$7:$H$366,'Climate Data'!$A$7:$A$366,'Estimator'!$B$4,'Climate Data'!$B$7:$B$366,C5104)</x:f>
        <x:v>9.043129770992365</x:v>
      </x:c>
      <x:c r="J5104" s="381" t="n">
        <x:f>SUMIFS('Wind Proxy'!$H$8:$H$19,'Wind Proxy'!$A$8:$A$19,'Estimator'!$B$4,'Wind Proxy'!$B$8:$B$19,C5104)</x:f>
        <x:v>0.12544802867383514</x:v>
      </x:c>
    </x:row>
    <x:row r="5105">
      <x:c r="A5105" s="379" t="n">
        <x:v>50756</x:v>
      </x:c>
      <x:c r="B5105" s="380" t="n">
        <x:v>2038</x:v>
      </x:c>
      <x:c r="C5105" s="380" t="n">
        <x:v>12</x:v>
      </x:c>
      <x:c r="D5105" s="380" t="str">
        <x:v>Dec</x:v>
      </x:c>
      <x:c r="E5105" s="380" t="n">
        <x:v>17</x:v>
      </x:c>
      <x:c r="F5105" s="380" t="n">
        <x:v>5</x:v>
      </x:c>
      <x:c r="G5105" s="380" t="n">
        <x:f>--(F5105&lt;='Estimator'!$B$7)</x:f>
        <x:v>1</x:v>
      </x:c>
      <x:c r="H5105" s="381" t="n">
        <x:f>SUMIFS('Climate Data'!$G$7:$G$366,'Climate Data'!$A$7:$A$366,'Estimator'!$B$4,'Climate Data'!$B$7:$B$366,C5105)</x:f>
        <x:v>0.2914349276974416</x:v>
      </x:c>
      <x:c r="I5105" s="382" t="n">
        <x:f>SUMIFS('Climate Data'!$H$7:$H$366,'Climate Data'!$A$7:$A$366,'Estimator'!$B$4,'Climate Data'!$B$7:$B$366,C5105)</x:f>
        <x:v>9.043129770992365</x:v>
      </x:c>
      <x:c r="J5105" s="381" t="n">
        <x:f>SUMIFS('Wind Proxy'!$H$8:$H$19,'Wind Proxy'!$A$8:$A$19,'Estimator'!$B$4,'Wind Proxy'!$B$8:$B$19,C5105)</x:f>
        <x:v>0.12544802867383514</x:v>
      </x:c>
    </x:row>
    <x:row r="5106">
      <x:c r="A5106" s="379" t="n">
        <x:v>50757</x:v>
      </x:c>
      <x:c r="B5106" s="380" t="n">
        <x:v>2038</x:v>
      </x:c>
      <x:c r="C5106" s="380" t="n">
        <x:v>12</x:v>
      </x:c>
      <x:c r="D5106" s="380" t="str">
        <x:v>Dec</x:v>
      </x:c>
      <x:c r="E5106" s="380" t="n">
        <x:v>18</x:v>
      </x:c>
      <x:c r="F5106" s="380" t="n">
        <x:v>6</x:v>
      </x:c>
      <x:c r="G5106" s="380" t="n">
        <x:f>--(F5106&lt;='Estimator'!$B$7)</x:f>
        <x:v>0</x:v>
      </x:c>
      <x:c r="H5106" s="381" t="n">
        <x:f>SUMIFS('Climate Data'!$G$7:$G$366,'Climate Data'!$A$7:$A$366,'Estimator'!$B$4,'Climate Data'!$B$7:$B$366,C5106)</x:f>
        <x:v>0.2914349276974416</x:v>
      </x:c>
      <x:c r="I5106" s="382" t="n">
        <x:f>SUMIFS('Climate Data'!$H$7:$H$366,'Climate Data'!$A$7:$A$366,'Estimator'!$B$4,'Climate Data'!$B$7:$B$366,C5106)</x:f>
        <x:v>9.043129770992365</x:v>
      </x:c>
      <x:c r="J5106" s="381" t="n">
        <x:f>SUMIFS('Wind Proxy'!$H$8:$H$19,'Wind Proxy'!$A$8:$A$19,'Estimator'!$B$4,'Wind Proxy'!$B$8:$B$19,C5106)</x:f>
        <x:v>0.12544802867383514</x:v>
      </x:c>
    </x:row>
    <x:row r="5107">
      <x:c r="A5107" s="379" t="n">
        <x:v>50758</x:v>
      </x:c>
      <x:c r="B5107" s="380" t="n">
        <x:v>2038</x:v>
      </x:c>
      <x:c r="C5107" s="380" t="n">
        <x:v>12</x:v>
      </x:c>
      <x:c r="D5107" s="380" t="str">
        <x:v>Dec</x:v>
      </x:c>
      <x:c r="E5107" s="380" t="n">
        <x:v>19</x:v>
      </x:c>
      <x:c r="F5107" s="380" t="n">
        <x:v>7</x:v>
      </x:c>
      <x:c r="G5107" s="380" t="n">
        <x:f>--(F5107&lt;='Estimator'!$B$7)</x:f>
        <x:v>0</x:v>
      </x:c>
      <x:c r="H5107" s="381" t="n">
        <x:f>SUMIFS('Climate Data'!$G$7:$G$366,'Climate Data'!$A$7:$A$366,'Estimator'!$B$4,'Climate Data'!$B$7:$B$366,C5107)</x:f>
        <x:v>0.2914349276974416</x:v>
      </x:c>
      <x:c r="I5107" s="382" t="n">
        <x:f>SUMIFS('Climate Data'!$H$7:$H$366,'Climate Data'!$A$7:$A$366,'Estimator'!$B$4,'Climate Data'!$B$7:$B$366,C5107)</x:f>
        <x:v>9.043129770992365</x:v>
      </x:c>
      <x:c r="J5107" s="381" t="n">
        <x:f>SUMIFS('Wind Proxy'!$H$8:$H$19,'Wind Proxy'!$A$8:$A$19,'Estimator'!$B$4,'Wind Proxy'!$B$8:$B$19,C5107)</x:f>
        <x:v>0.12544802867383514</x:v>
      </x:c>
    </x:row>
    <x:row r="5108">
      <x:c r="A5108" s="379" t="n">
        <x:v>50759</x:v>
      </x:c>
      <x:c r="B5108" s="380" t="n">
        <x:v>2038</x:v>
      </x:c>
      <x:c r="C5108" s="380" t="n">
        <x:v>12</x:v>
      </x:c>
      <x:c r="D5108" s="380" t="str">
        <x:v>Dec</x:v>
      </x:c>
      <x:c r="E5108" s="380" t="n">
        <x:v>20</x:v>
      </x:c>
      <x:c r="F5108" s="380" t="n">
        <x:v>1</x:v>
      </x:c>
      <x:c r="G5108" s="380" t="n">
        <x:f>--(F5108&lt;='Estimator'!$B$7)</x:f>
        <x:v>1</x:v>
      </x:c>
      <x:c r="H5108" s="381" t="n">
        <x:f>SUMIFS('Climate Data'!$G$7:$G$366,'Climate Data'!$A$7:$A$366,'Estimator'!$B$4,'Climate Data'!$B$7:$B$366,C5108)</x:f>
        <x:v>0.2914349276974416</x:v>
      </x:c>
      <x:c r="I5108" s="382" t="n">
        <x:f>SUMIFS('Climate Data'!$H$7:$H$366,'Climate Data'!$A$7:$A$366,'Estimator'!$B$4,'Climate Data'!$B$7:$B$366,C5108)</x:f>
        <x:v>9.043129770992365</x:v>
      </x:c>
      <x:c r="J5108" s="381" t="n">
        <x:f>SUMIFS('Wind Proxy'!$H$8:$H$19,'Wind Proxy'!$A$8:$A$19,'Estimator'!$B$4,'Wind Proxy'!$B$8:$B$19,C5108)</x:f>
        <x:v>0.12544802867383514</x:v>
      </x:c>
    </x:row>
    <x:row r="5109">
      <x:c r="A5109" s="379" t="n">
        <x:v>50760</x:v>
      </x:c>
      <x:c r="B5109" s="380" t="n">
        <x:v>2038</x:v>
      </x:c>
      <x:c r="C5109" s="380" t="n">
        <x:v>12</x:v>
      </x:c>
      <x:c r="D5109" s="380" t="str">
        <x:v>Dec</x:v>
      </x:c>
      <x:c r="E5109" s="380" t="n">
        <x:v>21</x:v>
      </x:c>
      <x:c r="F5109" s="380" t="n">
        <x:v>2</x:v>
      </x:c>
      <x:c r="G5109" s="380" t="n">
        <x:f>--(F5109&lt;='Estimator'!$B$7)</x:f>
        <x:v>1</x:v>
      </x:c>
      <x:c r="H5109" s="381" t="n">
        <x:f>SUMIFS('Climate Data'!$G$7:$G$366,'Climate Data'!$A$7:$A$366,'Estimator'!$B$4,'Climate Data'!$B$7:$B$366,C5109)</x:f>
        <x:v>0.2914349276974416</x:v>
      </x:c>
      <x:c r="I5109" s="382" t="n">
        <x:f>SUMIFS('Climate Data'!$H$7:$H$366,'Climate Data'!$A$7:$A$366,'Estimator'!$B$4,'Climate Data'!$B$7:$B$366,C5109)</x:f>
        <x:v>9.043129770992365</x:v>
      </x:c>
      <x:c r="J5109" s="381" t="n">
        <x:f>SUMIFS('Wind Proxy'!$H$8:$H$19,'Wind Proxy'!$A$8:$A$19,'Estimator'!$B$4,'Wind Proxy'!$B$8:$B$19,C5109)</x:f>
        <x:v>0.12544802867383514</x:v>
      </x:c>
    </x:row>
    <x:row r="5110">
      <x:c r="A5110" s="379" t="n">
        <x:v>50761</x:v>
      </x:c>
      <x:c r="B5110" s="380" t="n">
        <x:v>2038</x:v>
      </x:c>
      <x:c r="C5110" s="380" t="n">
        <x:v>12</x:v>
      </x:c>
      <x:c r="D5110" s="380" t="str">
        <x:v>Dec</x:v>
      </x:c>
      <x:c r="E5110" s="380" t="n">
        <x:v>22</x:v>
      </x:c>
      <x:c r="F5110" s="380" t="n">
        <x:v>3</x:v>
      </x:c>
      <x:c r="G5110" s="380" t="n">
        <x:f>--(F5110&lt;='Estimator'!$B$7)</x:f>
        <x:v>1</x:v>
      </x:c>
      <x:c r="H5110" s="381" t="n">
        <x:f>SUMIFS('Climate Data'!$G$7:$G$366,'Climate Data'!$A$7:$A$366,'Estimator'!$B$4,'Climate Data'!$B$7:$B$366,C5110)</x:f>
        <x:v>0.2914349276974416</x:v>
      </x:c>
      <x:c r="I5110" s="382" t="n">
        <x:f>SUMIFS('Climate Data'!$H$7:$H$366,'Climate Data'!$A$7:$A$366,'Estimator'!$B$4,'Climate Data'!$B$7:$B$366,C5110)</x:f>
        <x:v>9.043129770992365</x:v>
      </x:c>
      <x:c r="J5110" s="381" t="n">
        <x:f>SUMIFS('Wind Proxy'!$H$8:$H$19,'Wind Proxy'!$A$8:$A$19,'Estimator'!$B$4,'Wind Proxy'!$B$8:$B$19,C5110)</x:f>
        <x:v>0.12544802867383514</x:v>
      </x:c>
    </x:row>
    <x:row r="5111">
      <x:c r="A5111" s="379" t="n">
        <x:v>50762</x:v>
      </x:c>
      <x:c r="B5111" s="380" t="n">
        <x:v>2038</x:v>
      </x:c>
      <x:c r="C5111" s="380" t="n">
        <x:v>12</x:v>
      </x:c>
      <x:c r="D5111" s="380" t="str">
        <x:v>Dec</x:v>
      </x:c>
      <x:c r="E5111" s="380" t="n">
        <x:v>23</x:v>
      </x:c>
      <x:c r="F5111" s="380" t="n">
        <x:v>4</x:v>
      </x:c>
      <x:c r="G5111" s="380" t="n">
        <x:f>--(F5111&lt;='Estimator'!$B$7)</x:f>
        <x:v>1</x:v>
      </x:c>
      <x:c r="H5111" s="381" t="n">
        <x:f>SUMIFS('Climate Data'!$G$7:$G$366,'Climate Data'!$A$7:$A$366,'Estimator'!$B$4,'Climate Data'!$B$7:$B$366,C5111)</x:f>
        <x:v>0.2914349276974416</x:v>
      </x:c>
      <x:c r="I5111" s="382" t="n">
        <x:f>SUMIFS('Climate Data'!$H$7:$H$366,'Climate Data'!$A$7:$A$366,'Estimator'!$B$4,'Climate Data'!$B$7:$B$366,C5111)</x:f>
        <x:v>9.043129770992365</x:v>
      </x:c>
      <x:c r="J5111" s="381" t="n">
        <x:f>SUMIFS('Wind Proxy'!$H$8:$H$19,'Wind Proxy'!$A$8:$A$19,'Estimator'!$B$4,'Wind Proxy'!$B$8:$B$19,C5111)</x:f>
        <x:v>0.12544802867383514</x:v>
      </x:c>
    </x:row>
    <x:row r="5112">
      <x:c r="A5112" s="379" t="n">
        <x:v>50763</x:v>
      </x:c>
      <x:c r="B5112" s="380" t="n">
        <x:v>2038</x:v>
      </x:c>
      <x:c r="C5112" s="380" t="n">
        <x:v>12</x:v>
      </x:c>
      <x:c r="D5112" s="380" t="str">
        <x:v>Dec</x:v>
      </x:c>
      <x:c r="E5112" s="380" t="n">
        <x:v>24</x:v>
      </x:c>
      <x:c r="F5112" s="380" t="n">
        <x:v>5</x:v>
      </x:c>
      <x:c r="G5112" s="380" t="n">
        <x:f>--(F5112&lt;='Estimator'!$B$7)</x:f>
        <x:v>1</x:v>
      </x:c>
      <x:c r="H5112" s="381" t="n">
        <x:f>SUMIFS('Climate Data'!$G$7:$G$366,'Climate Data'!$A$7:$A$366,'Estimator'!$B$4,'Climate Data'!$B$7:$B$366,C5112)</x:f>
        <x:v>0.2914349276974416</x:v>
      </x:c>
      <x:c r="I5112" s="382" t="n">
        <x:f>SUMIFS('Climate Data'!$H$7:$H$366,'Climate Data'!$A$7:$A$366,'Estimator'!$B$4,'Climate Data'!$B$7:$B$366,C5112)</x:f>
        <x:v>9.043129770992365</x:v>
      </x:c>
      <x:c r="J5112" s="381" t="n">
        <x:f>SUMIFS('Wind Proxy'!$H$8:$H$19,'Wind Proxy'!$A$8:$A$19,'Estimator'!$B$4,'Wind Proxy'!$B$8:$B$19,C5112)</x:f>
        <x:v>0.12544802867383514</x:v>
      </x:c>
    </x:row>
    <x:row r="5113">
      <x:c r="A5113" s="379" t="n">
        <x:v>50764</x:v>
      </x:c>
      <x:c r="B5113" s="380" t="n">
        <x:v>2038</x:v>
      </x:c>
      <x:c r="C5113" s="380" t="n">
        <x:v>12</x:v>
      </x:c>
      <x:c r="D5113" s="380" t="str">
        <x:v>Dec</x:v>
      </x:c>
      <x:c r="E5113" s="380" t="n">
        <x:v>25</x:v>
      </x:c>
      <x:c r="F5113" s="380" t="n">
        <x:v>6</x:v>
      </x:c>
      <x:c r="G5113" s="380" t="n">
        <x:f>--(F5113&lt;='Estimator'!$B$7)</x:f>
        <x:v>0</x:v>
      </x:c>
      <x:c r="H5113" s="381" t="n">
        <x:f>SUMIFS('Climate Data'!$G$7:$G$366,'Climate Data'!$A$7:$A$366,'Estimator'!$B$4,'Climate Data'!$B$7:$B$366,C5113)</x:f>
        <x:v>0.2914349276974416</x:v>
      </x:c>
      <x:c r="I5113" s="382" t="n">
        <x:f>SUMIFS('Climate Data'!$H$7:$H$366,'Climate Data'!$A$7:$A$366,'Estimator'!$B$4,'Climate Data'!$B$7:$B$366,C5113)</x:f>
        <x:v>9.043129770992365</x:v>
      </x:c>
      <x:c r="J5113" s="381" t="n">
        <x:f>SUMIFS('Wind Proxy'!$H$8:$H$19,'Wind Proxy'!$A$8:$A$19,'Estimator'!$B$4,'Wind Proxy'!$B$8:$B$19,C5113)</x:f>
        <x:v>0.12544802867383514</x:v>
      </x:c>
    </x:row>
    <x:row r="5114">
      <x:c r="A5114" s="379" t="n">
        <x:v>50765</x:v>
      </x:c>
      <x:c r="B5114" s="380" t="n">
        <x:v>2038</x:v>
      </x:c>
      <x:c r="C5114" s="380" t="n">
        <x:v>12</x:v>
      </x:c>
      <x:c r="D5114" s="380" t="str">
        <x:v>Dec</x:v>
      </x:c>
      <x:c r="E5114" s="380" t="n">
        <x:v>26</x:v>
      </x:c>
      <x:c r="F5114" s="380" t="n">
        <x:v>7</x:v>
      </x:c>
      <x:c r="G5114" s="380" t="n">
        <x:f>--(F5114&lt;='Estimator'!$B$7)</x:f>
        <x:v>0</x:v>
      </x:c>
      <x:c r="H5114" s="381" t="n">
        <x:f>SUMIFS('Climate Data'!$G$7:$G$366,'Climate Data'!$A$7:$A$366,'Estimator'!$B$4,'Climate Data'!$B$7:$B$366,C5114)</x:f>
        <x:v>0.2914349276974416</x:v>
      </x:c>
      <x:c r="I5114" s="382" t="n">
        <x:f>SUMIFS('Climate Data'!$H$7:$H$366,'Climate Data'!$A$7:$A$366,'Estimator'!$B$4,'Climate Data'!$B$7:$B$366,C5114)</x:f>
        <x:v>9.043129770992365</x:v>
      </x:c>
      <x:c r="J5114" s="381" t="n">
        <x:f>SUMIFS('Wind Proxy'!$H$8:$H$19,'Wind Proxy'!$A$8:$A$19,'Estimator'!$B$4,'Wind Proxy'!$B$8:$B$19,C5114)</x:f>
        <x:v>0.12544802867383514</x:v>
      </x:c>
    </x:row>
    <x:row r="5115">
      <x:c r="A5115" s="379" t="n">
        <x:v>50766</x:v>
      </x:c>
      <x:c r="B5115" s="380" t="n">
        <x:v>2038</x:v>
      </x:c>
      <x:c r="C5115" s="380" t="n">
        <x:v>12</x:v>
      </x:c>
      <x:c r="D5115" s="380" t="str">
        <x:v>Dec</x:v>
      </x:c>
      <x:c r="E5115" s="380" t="n">
        <x:v>27</x:v>
      </x:c>
      <x:c r="F5115" s="380" t="n">
        <x:v>1</x:v>
      </x:c>
      <x:c r="G5115" s="380" t="n">
        <x:f>--(F5115&lt;='Estimator'!$B$7)</x:f>
        <x:v>1</x:v>
      </x:c>
      <x:c r="H5115" s="381" t="n">
        <x:f>SUMIFS('Climate Data'!$G$7:$G$366,'Climate Data'!$A$7:$A$366,'Estimator'!$B$4,'Climate Data'!$B$7:$B$366,C5115)</x:f>
        <x:v>0.2914349276974416</x:v>
      </x:c>
      <x:c r="I5115" s="382" t="n">
        <x:f>SUMIFS('Climate Data'!$H$7:$H$366,'Climate Data'!$A$7:$A$366,'Estimator'!$B$4,'Climate Data'!$B$7:$B$366,C5115)</x:f>
        <x:v>9.043129770992365</x:v>
      </x:c>
      <x:c r="J5115" s="381" t="n">
        <x:f>SUMIFS('Wind Proxy'!$H$8:$H$19,'Wind Proxy'!$A$8:$A$19,'Estimator'!$B$4,'Wind Proxy'!$B$8:$B$19,C5115)</x:f>
        <x:v>0.12544802867383514</x:v>
      </x:c>
    </x:row>
    <x:row r="5116">
      <x:c r="A5116" s="379" t="n">
        <x:v>50767</x:v>
      </x:c>
      <x:c r="B5116" s="380" t="n">
        <x:v>2038</x:v>
      </x:c>
      <x:c r="C5116" s="380" t="n">
        <x:v>12</x:v>
      </x:c>
      <x:c r="D5116" s="380" t="str">
        <x:v>Dec</x:v>
      </x:c>
      <x:c r="E5116" s="380" t="n">
        <x:v>28</x:v>
      </x:c>
      <x:c r="F5116" s="380" t="n">
        <x:v>2</x:v>
      </x:c>
      <x:c r="G5116" s="380" t="n">
        <x:f>--(F5116&lt;='Estimator'!$B$7)</x:f>
        <x:v>1</x:v>
      </x:c>
      <x:c r="H5116" s="381" t="n">
        <x:f>SUMIFS('Climate Data'!$G$7:$G$366,'Climate Data'!$A$7:$A$366,'Estimator'!$B$4,'Climate Data'!$B$7:$B$366,C5116)</x:f>
        <x:v>0.2914349276974416</x:v>
      </x:c>
      <x:c r="I5116" s="382" t="n">
        <x:f>SUMIFS('Climate Data'!$H$7:$H$366,'Climate Data'!$A$7:$A$366,'Estimator'!$B$4,'Climate Data'!$B$7:$B$366,C5116)</x:f>
        <x:v>9.043129770992365</x:v>
      </x:c>
      <x:c r="J5116" s="381" t="n">
        <x:f>SUMIFS('Wind Proxy'!$H$8:$H$19,'Wind Proxy'!$A$8:$A$19,'Estimator'!$B$4,'Wind Proxy'!$B$8:$B$19,C5116)</x:f>
        <x:v>0.12544802867383514</x:v>
      </x:c>
    </x:row>
    <x:row r="5117">
      <x:c r="A5117" s="379" t="n">
        <x:v>50768</x:v>
      </x:c>
      <x:c r="B5117" s="380" t="n">
        <x:v>2038</x:v>
      </x:c>
      <x:c r="C5117" s="380" t="n">
        <x:v>12</x:v>
      </x:c>
      <x:c r="D5117" s="380" t="str">
        <x:v>Dec</x:v>
      </x:c>
      <x:c r="E5117" s="380" t="n">
        <x:v>29</x:v>
      </x:c>
      <x:c r="F5117" s="380" t="n">
        <x:v>3</x:v>
      </x:c>
      <x:c r="G5117" s="380" t="n">
        <x:f>--(F5117&lt;='Estimator'!$B$7)</x:f>
        <x:v>1</x:v>
      </x:c>
      <x:c r="H5117" s="381" t="n">
        <x:f>SUMIFS('Climate Data'!$G$7:$G$366,'Climate Data'!$A$7:$A$366,'Estimator'!$B$4,'Climate Data'!$B$7:$B$366,C5117)</x:f>
        <x:v>0.2914349276974416</x:v>
      </x:c>
      <x:c r="I5117" s="382" t="n">
        <x:f>SUMIFS('Climate Data'!$H$7:$H$366,'Climate Data'!$A$7:$A$366,'Estimator'!$B$4,'Climate Data'!$B$7:$B$366,C5117)</x:f>
        <x:v>9.043129770992365</x:v>
      </x:c>
      <x:c r="J5117" s="381" t="n">
        <x:f>SUMIFS('Wind Proxy'!$H$8:$H$19,'Wind Proxy'!$A$8:$A$19,'Estimator'!$B$4,'Wind Proxy'!$B$8:$B$19,C5117)</x:f>
        <x:v>0.12544802867383514</x:v>
      </x:c>
    </x:row>
    <x:row r="5118">
      <x:c r="A5118" s="379" t="n">
        <x:v>50769</x:v>
      </x:c>
      <x:c r="B5118" s="380" t="n">
        <x:v>2038</x:v>
      </x:c>
      <x:c r="C5118" s="380" t="n">
        <x:v>12</x:v>
      </x:c>
      <x:c r="D5118" s="380" t="str">
        <x:v>Dec</x:v>
      </x:c>
      <x:c r="E5118" s="380" t="n">
        <x:v>30</x:v>
      </x:c>
      <x:c r="F5118" s="380" t="n">
        <x:v>4</x:v>
      </x:c>
      <x:c r="G5118" s="380" t="n">
        <x:f>--(F5118&lt;='Estimator'!$B$7)</x:f>
        <x:v>1</x:v>
      </x:c>
      <x:c r="H5118" s="381" t="n">
        <x:f>SUMIFS('Climate Data'!$G$7:$G$366,'Climate Data'!$A$7:$A$366,'Estimator'!$B$4,'Climate Data'!$B$7:$B$366,C5118)</x:f>
        <x:v>0.2914349276974416</x:v>
      </x:c>
      <x:c r="I5118" s="382" t="n">
        <x:f>SUMIFS('Climate Data'!$H$7:$H$366,'Climate Data'!$A$7:$A$366,'Estimator'!$B$4,'Climate Data'!$B$7:$B$366,C5118)</x:f>
        <x:v>9.043129770992365</x:v>
      </x:c>
      <x:c r="J5118" s="381" t="n">
        <x:f>SUMIFS('Wind Proxy'!$H$8:$H$19,'Wind Proxy'!$A$8:$A$19,'Estimator'!$B$4,'Wind Proxy'!$B$8:$B$19,C5118)</x:f>
        <x:v>0.12544802867383514</x:v>
      </x:c>
    </x:row>
    <x:row r="5119">
      <x:c r="A5119" s="379" t="n">
        <x:v>50770</x:v>
      </x:c>
      <x:c r="B5119" s="380" t="n">
        <x:v>2038</x:v>
      </x:c>
      <x:c r="C5119" s="380" t="n">
        <x:v>12</x:v>
      </x:c>
      <x:c r="D5119" s="380" t="str">
        <x:v>Dec</x:v>
      </x:c>
      <x:c r="E5119" s="380" t="n">
        <x:v>31</x:v>
      </x:c>
      <x:c r="F5119" s="380" t="n">
        <x:v>5</x:v>
      </x:c>
      <x:c r="G5119" s="380" t="n">
        <x:f>--(F5119&lt;='Estimator'!$B$7)</x:f>
        <x:v>1</x:v>
      </x:c>
      <x:c r="H5119" s="381" t="n">
        <x:f>SUMIFS('Climate Data'!$G$7:$G$366,'Climate Data'!$A$7:$A$366,'Estimator'!$B$4,'Climate Data'!$B$7:$B$366,C5119)</x:f>
        <x:v>0.2914349276974416</x:v>
      </x:c>
      <x:c r="I5119" s="382" t="n">
        <x:f>SUMIFS('Climate Data'!$H$7:$H$366,'Climate Data'!$A$7:$A$366,'Estimator'!$B$4,'Climate Data'!$B$7:$B$366,C5119)</x:f>
        <x:v>9.043129770992365</x:v>
      </x:c>
      <x:c r="J5119" s="381" t="n">
        <x:f>SUMIFS('Wind Proxy'!$H$8:$H$19,'Wind Proxy'!$A$8:$A$19,'Estimator'!$B$4,'Wind Proxy'!$B$8:$B$19,C5119)</x:f>
        <x:v>0.12544802867383514</x:v>
      </x:c>
    </x:row>
    <x:row r="5120">
      <x:c r="A5120" s="379" t="n">
        <x:v>50771</x:v>
      </x:c>
      <x:c r="B5120" s="380" t="n">
        <x:v>2039</x:v>
      </x:c>
      <x:c r="C5120" s="380" t="n">
        <x:v>1</x:v>
      </x:c>
      <x:c r="D5120" s="380" t="str">
        <x:v>Jan</x:v>
      </x:c>
      <x:c r="E5120" s="380" t="n">
        <x:v>1</x:v>
      </x:c>
      <x:c r="F5120" s="380" t="n">
        <x:v>6</x:v>
      </x:c>
      <x:c r="G5120" s="380" t="n">
        <x:f>--(F5120&lt;='Estimator'!$B$7)</x:f>
        <x:v>0</x:v>
      </x:c>
      <x:c r="H5120" s="381" t="n">
        <x:f>SUMIFS('Climate Data'!$G$7:$G$366,'Climate Data'!$A$7:$A$366,'Estimator'!$B$4,'Climate Data'!$B$7:$B$366,C5120)</x:f>
        <x:v>0.21802002224694106</x:v>
      </x:c>
      <x:c r="I5120" s="382" t="n">
        <x:f>SUMIFS('Climate Data'!$H$7:$H$366,'Climate Data'!$A$7:$A$366,'Estimator'!$B$4,'Climate Data'!$B$7:$B$366,C5120)</x:f>
        <x:v>8.596428571428572</x:v>
      </x:c>
      <x:c r="J5120" s="381" t="n">
        <x:f>SUMIFS('Wind Proxy'!$H$8:$H$19,'Wind Proxy'!$A$8:$A$19,'Estimator'!$B$4,'Wind Proxy'!$B$8:$B$19,C5120)</x:f>
        <x:v>0.12544802867383514</x:v>
      </x:c>
    </x:row>
    <x:row r="5121">
      <x:c r="A5121" s="379" t="n">
        <x:v>50772</x:v>
      </x:c>
      <x:c r="B5121" s="380" t="n">
        <x:v>2039</x:v>
      </x:c>
      <x:c r="C5121" s="380" t="n">
        <x:v>1</x:v>
      </x:c>
      <x:c r="D5121" s="380" t="str">
        <x:v>Jan</x:v>
      </x:c>
      <x:c r="E5121" s="380" t="n">
        <x:v>2</x:v>
      </x:c>
      <x:c r="F5121" s="380" t="n">
        <x:v>7</x:v>
      </x:c>
      <x:c r="G5121" s="380" t="n">
        <x:f>--(F5121&lt;='Estimator'!$B$7)</x:f>
        <x:v>0</x:v>
      </x:c>
      <x:c r="H5121" s="381" t="n">
        <x:f>SUMIFS('Climate Data'!$G$7:$G$366,'Climate Data'!$A$7:$A$366,'Estimator'!$B$4,'Climate Data'!$B$7:$B$366,C5121)</x:f>
        <x:v>0.21802002224694106</x:v>
      </x:c>
      <x:c r="I5121" s="382" t="n">
        <x:f>SUMIFS('Climate Data'!$H$7:$H$366,'Climate Data'!$A$7:$A$366,'Estimator'!$B$4,'Climate Data'!$B$7:$B$366,C5121)</x:f>
        <x:v>8.596428571428572</x:v>
      </x:c>
      <x:c r="J5121" s="381" t="n">
        <x:f>SUMIFS('Wind Proxy'!$H$8:$H$19,'Wind Proxy'!$A$8:$A$19,'Estimator'!$B$4,'Wind Proxy'!$B$8:$B$19,C5121)</x:f>
        <x:v>0.12544802867383514</x:v>
      </x:c>
    </x:row>
    <x:row r="5122">
      <x:c r="A5122" s="379" t="n">
        <x:v>50773</x:v>
      </x:c>
      <x:c r="B5122" s="380" t="n">
        <x:v>2039</x:v>
      </x:c>
      <x:c r="C5122" s="380" t="n">
        <x:v>1</x:v>
      </x:c>
      <x:c r="D5122" s="380" t="str">
        <x:v>Jan</x:v>
      </x:c>
      <x:c r="E5122" s="380" t="n">
        <x:v>3</x:v>
      </x:c>
      <x:c r="F5122" s="380" t="n">
        <x:v>1</x:v>
      </x:c>
      <x:c r="G5122" s="380" t="n">
        <x:f>--(F5122&lt;='Estimator'!$B$7)</x:f>
        <x:v>1</x:v>
      </x:c>
      <x:c r="H5122" s="381" t="n">
        <x:f>SUMIFS('Climate Data'!$G$7:$G$366,'Climate Data'!$A$7:$A$366,'Estimator'!$B$4,'Climate Data'!$B$7:$B$366,C5122)</x:f>
        <x:v>0.21802002224694106</x:v>
      </x:c>
      <x:c r="I5122" s="382" t="n">
        <x:f>SUMIFS('Climate Data'!$H$7:$H$366,'Climate Data'!$A$7:$A$366,'Estimator'!$B$4,'Climate Data'!$B$7:$B$366,C5122)</x:f>
        <x:v>8.596428571428572</x:v>
      </x:c>
      <x:c r="J5122" s="381" t="n">
        <x:f>SUMIFS('Wind Proxy'!$H$8:$H$19,'Wind Proxy'!$A$8:$A$19,'Estimator'!$B$4,'Wind Proxy'!$B$8:$B$19,C5122)</x:f>
        <x:v>0.12544802867383514</x:v>
      </x:c>
    </x:row>
    <x:row r="5123">
      <x:c r="A5123" s="379" t="n">
        <x:v>50774</x:v>
      </x:c>
      <x:c r="B5123" s="380" t="n">
        <x:v>2039</x:v>
      </x:c>
      <x:c r="C5123" s="380" t="n">
        <x:v>1</x:v>
      </x:c>
      <x:c r="D5123" s="380" t="str">
        <x:v>Jan</x:v>
      </x:c>
      <x:c r="E5123" s="380" t="n">
        <x:v>4</x:v>
      </x:c>
      <x:c r="F5123" s="380" t="n">
        <x:v>2</x:v>
      </x:c>
      <x:c r="G5123" s="380" t="n">
        <x:f>--(F5123&lt;='Estimator'!$B$7)</x:f>
        <x:v>1</x:v>
      </x:c>
      <x:c r="H5123" s="381" t="n">
        <x:f>SUMIFS('Climate Data'!$G$7:$G$366,'Climate Data'!$A$7:$A$366,'Estimator'!$B$4,'Climate Data'!$B$7:$B$366,C5123)</x:f>
        <x:v>0.21802002224694106</x:v>
      </x:c>
      <x:c r="I5123" s="382" t="n">
        <x:f>SUMIFS('Climate Data'!$H$7:$H$366,'Climate Data'!$A$7:$A$366,'Estimator'!$B$4,'Climate Data'!$B$7:$B$366,C5123)</x:f>
        <x:v>8.596428571428572</x:v>
      </x:c>
      <x:c r="J5123" s="381" t="n">
        <x:f>SUMIFS('Wind Proxy'!$H$8:$H$19,'Wind Proxy'!$A$8:$A$19,'Estimator'!$B$4,'Wind Proxy'!$B$8:$B$19,C5123)</x:f>
        <x:v>0.12544802867383514</x:v>
      </x:c>
    </x:row>
    <x:row r="5124">
      <x:c r="A5124" s="379" t="n">
        <x:v>50775</x:v>
      </x:c>
      <x:c r="B5124" s="380" t="n">
        <x:v>2039</x:v>
      </x:c>
      <x:c r="C5124" s="380" t="n">
        <x:v>1</x:v>
      </x:c>
      <x:c r="D5124" s="380" t="str">
        <x:v>Jan</x:v>
      </x:c>
      <x:c r="E5124" s="380" t="n">
        <x:v>5</x:v>
      </x:c>
      <x:c r="F5124" s="380" t="n">
        <x:v>3</x:v>
      </x:c>
      <x:c r="G5124" s="380" t="n">
        <x:f>--(F5124&lt;='Estimator'!$B$7)</x:f>
        <x:v>1</x:v>
      </x:c>
      <x:c r="H5124" s="381" t="n">
        <x:f>SUMIFS('Climate Data'!$G$7:$G$366,'Climate Data'!$A$7:$A$366,'Estimator'!$B$4,'Climate Data'!$B$7:$B$366,C5124)</x:f>
        <x:v>0.21802002224694106</x:v>
      </x:c>
      <x:c r="I5124" s="382" t="n">
        <x:f>SUMIFS('Climate Data'!$H$7:$H$366,'Climate Data'!$A$7:$A$366,'Estimator'!$B$4,'Climate Data'!$B$7:$B$366,C5124)</x:f>
        <x:v>8.596428571428572</x:v>
      </x:c>
      <x:c r="J5124" s="381" t="n">
        <x:f>SUMIFS('Wind Proxy'!$H$8:$H$19,'Wind Proxy'!$A$8:$A$19,'Estimator'!$B$4,'Wind Proxy'!$B$8:$B$19,C5124)</x:f>
        <x:v>0.12544802867383514</x:v>
      </x:c>
    </x:row>
    <x:row r="5125">
      <x:c r="A5125" s="379" t="n">
        <x:v>50776</x:v>
      </x:c>
      <x:c r="B5125" s="380" t="n">
        <x:v>2039</x:v>
      </x:c>
      <x:c r="C5125" s="380" t="n">
        <x:v>1</x:v>
      </x:c>
      <x:c r="D5125" s="380" t="str">
        <x:v>Jan</x:v>
      </x:c>
      <x:c r="E5125" s="380" t="n">
        <x:v>6</x:v>
      </x:c>
      <x:c r="F5125" s="380" t="n">
        <x:v>4</x:v>
      </x:c>
      <x:c r="G5125" s="380" t="n">
        <x:f>--(F5125&lt;='Estimator'!$B$7)</x:f>
        <x:v>1</x:v>
      </x:c>
      <x:c r="H5125" s="381" t="n">
        <x:f>SUMIFS('Climate Data'!$G$7:$G$366,'Climate Data'!$A$7:$A$366,'Estimator'!$B$4,'Climate Data'!$B$7:$B$366,C5125)</x:f>
        <x:v>0.21802002224694106</x:v>
      </x:c>
      <x:c r="I5125" s="382" t="n">
        <x:f>SUMIFS('Climate Data'!$H$7:$H$366,'Climate Data'!$A$7:$A$366,'Estimator'!$B$4,'Climate Data'!$B$7:$B$366,C5125)</x:f>
        <x:v>8.596428571428572</x:v>
      </x:c>
      <x:c r="J5125" s="381" t="n">
        <x:f>SUMIFS('Wind Proxy'!$H$8:$H$19,'Wind Proxy'!$A$8:$A$19,'Estimator'!$B$4,'Wind Proxy'!$B$8:$B$19,C5125)</x:f>
        <x:v>0.12544802867383514</x:v>
      </x:c>
    </x:row>
    <x:row r="5126">
      <x:c r="A5126" s="379" t="n">
        <x:v>50777</x:v>
      </x:c>
      <x:c r="B5126" s="380" t="n">
        <x:v>2039</x:v>
      </x:c>
      <x:c r="C5126" s="380" t="n">
        <x:v>1</x:v>
      </x:c>
      <x:c r="D5126" s="380" t="str">
        <x:v>Jan</x:v>
      </x:c>
      <x:c r="E5126" s="380" t="n">
        <x:v>7</x:v>
      </x:c>
      <x:c r="F5126" s="380" t="n">
        <x:v>5</x:v>
      </x:c>
      <x:c r="G5126" s="380" t="n">
        <x:f>--(F5126&lt;='Estimator'!$B$7)</x:f>
        <x:v>1</x:v>
      </x:c>
      <x:c r="H5126" s="381" t="n">
        <x:f>SUMIFS('Climate Data'!$G$7:$G$366,'Climate Data'!$A$7:$A$366,'Estimator'!$B$4,'Climate Data'!$B$7:$B$366,C5126)</x:f>
        <x:v>0.21802002224694106</x:v>
      </x:c>
      <x:c r="I5126" s="382" t="n">
        <x:f>SUMIFS('Climate Data'!$H$7:$H$366,'Climate Data'!$A$7:$A$366,'Estimator'!$B$4,'Climate Data'!$B$7:$B$366,C5126)</x:f>
        <x:v>8.596428571428572</x:v>
      </x:c>
      <x:c r="J5126" s="381" t="n">
        <x:f>SUMIFS('Wind Proxy'!$H$8:$H$19,'Wind Proxy'!$A$8:$A$19,'Estimator'!$B$4,'Wind Proxy'!$B$8:$B$19,C5126)</x:f>
        <x:v>0.12544802867383514</x:v>
      </x:c>
    </x:row>
    <x:row r="5127">
      <x:c r="A5127" s="379" t="n">
        <x:v>50778</x:v>
      </x:c>
      <x:c r="B5127" s="380" t="n">
        <x:v>2039</x:v>
      </x:c>
      <x:c r="C5127" s="380" t="n">
        <x:v>1</x:v>
      </x:c>
      <x:c r="D5127" s="380" t="str">
        <x:v>Jan</x:v>
      </x:c>
      <x:c r="E5127" s="380" t="n">
        <x:v>8</x:v>
      </x:c>
      <x:c r="F5127" s="380" t="n">
        <x:v>6</x:v>
      </x:c>
      <x:c r="G5127" s="380" t="n">
        <x:f>--(F5127&lt;='Estimator'!$B$7)</x:f>
        <x:v>0</x:v>
      </x:c>
      <x:c r="H5127" s="381" t="n">
        <x:f>SUMIFS('Climate Data'!$G$7:$G$366,'Climate Data'!$A$7:$A$366,'Estimator'!$B$4,'Climate Data'!$B$7:$B$366,C5127)</x:f>
        <x:v>0.21802002224694106</x:v>
      </x:c>
      <x:c r="I5127" s="382" t="n">
        <x:f>SUMIFS('Climate Data'!$H$7:$H$366,'Climate Data'!$A$7:$A$366,'Estimator'!$B$4,'Climate Data'!$B$7:$B$366,C5127)</x:f>
        <x:v>8.596428571428572</x:v>
      </x:c>
      <x:c r="J5127" s="381" t="n">
        <x:f>SUMIFS('Wind Proxy'!$H$8:$H$19,'Wind Proxy'!$A$8:$A$19,'Estimator'!$B$4,'Wind Proxy'!$B$8:$B$19,C5127)</x:f>
        <x:v>0.12544802867383514</x:v>
      </x:c>
    </x:row>
    <x:row r="5128">
      <x:c r="A5128" s="379" t="n">
        <x:v>50779</x:v>
      </x:c>
      <x:c r="B5128" s="380" t="n">
        <x:v>2039</x:v>
      </x:c>
      <x:c r="C5128" s="380" t="n">
        <x:v>1</x:v>
      </x:c>
      <x:c r="D5128" s="380" t="str">
        <x:v>Jan</x:v>
      </x:c>
      <x:c r="E5128" s="380" t="n">
        <x:v>9</x:v>
      </x:c>
      <x:c r="F5128" s="380" t="n">
        <x:v>7</x:v>
      </x:c>
      <x:c r="G5128" s="380" t="n">
        <x:f>--(F5128&lt;='Estimator'!$B$7)</x:f>
        <x:v>0</x:v>
      </x:c>
      <x:c r="H5128" s="381" t="n">
        <x:f>SUMIFS('Climate Data'!$G$7:$G$366,'Climate Data'!$A$7:$A$366,'Estimator'!$B$4,'Climate Data'!$B$7:$B$366,C5128)</x:f>
        <x:v>0.21802002224694106</x:v>
      </x:c>
      <x:c r="I5128" s="382" t="n">
        <x:f>SUMIFS('Climate Data'!$H$7:$H$366,'Climate Data'!$A$7:$A$366,'Estimator'!$B$4,'Climate Data'!$B$7:$B$366,C5128)</x:f>
        <x:v>8.596428571428572</x:v>
      </x:c>
      <x:c r="J5128" s="381" t="n">
        <x:f>SUMIFS('Wind Proxy'!$H$8:$H$19,'Wind Proxy'!$A$8:$A$19,'Estimator'!$B$4,'Wind Proxy'!$B$8:$B$19,C5128)</x:f>
        <x:v>0.12544802867383514</x:v>
      </x:c>
    </x:row>
    <x:row r="5129">
      <x:c r="A5129" s="379" t="n">
        <x:v>50780</x:v>
      </x:c>
      <x:c r="B5129" s="380" t="n">
        <x:v>2039</x:v>
      </x:c>
      <x:c r="C5129" s="380" t="n">
        <x:v>1</x:v>
      </x:c>
      <x:c r="D5129" s="380" t="str">
        <x:v>Jan</x:v>
      </x:c>
      <x:c r="E5129" s="380" t="n">
        <x:v>10</x:v>
      </x:c>
      <x:c r="F5129" s="380" t="n">
        <x:v>1</x:v>
      </x:c>
      <x:c r="G5129" s="380" t="n">
        <x:f>--(F5129&lt;='Estimator'!$B$7)</x:f>
        <x:v>1</x:v>
      </x:c>
      <x:c r="H5129" s="381" t="n">
        <x:f>SUMIFS('Climate Data'!$G$7:$G$366,'Climate Data'!$A$7:$A$366,'Estimator'!$B$4,'Climate Data'!$B$7:$B$366,C5129)</x:f>
        <x:v>0.21802002224694106</x:v>
      </x:c>
      <x:c r="I5129" s="382" t="n">
        <x:f>SUMIFS('Climate Data'!$H$7:$H$366,'Climate Data'!$A$7:$A$366,'Estimator'!$B$4,'Climate Data'!$B$7:$B$366,C5129)</x:f>
        <x:v>8.596428571428572</x:v>
      </x:c>
      <x:c r="J5129" s="381" t="n">
        <x:f>SUMIFS('Wind Proxy'!$H$8:$H$19,'Wind Proxy'!$A$8:$A$19,'Estimator'!$B$4,'Wind Proxy'!$B$8:$B$19,C5129)</x:f>
        <x:v>0.12544802867383514</x:v>
      </x:c>
    </x:row>
    <x:row r="5130">
      <x:c r="A5130" s="379" t="n">
        <x:v>50781</x:v>
      </x:c>
      <x:c r="B5130" s="380" t="n">
        <x:v>2039</x:v>
      </x:c>
      <x:c r="C5130" s="380" t="n">
        <x:v>1</x:v>
      </x:c>
      <x:c r="D5130" s="380" t="str">
        <x:v>Jan</x:v>
      </x:c>
      <x:c r="E5130" s="380" t="n">
        <x:v>11</x:v>
      </x:c>
      <x:c r="F5130" s="380" t="n">
        <x:v>2</x:v>
      </x:c>
      <x:c r="G5130" s="380" t="n">
        <x:f>--(F5130&lt;='Estimator'!$B$7)</x:f>
        <x:v>1</x:v>
      </x:c>
      <x:c r="H5130" s="381" t="n">
        <x:f>SUMIFS('Climate Data'!$G$7:$G$366,'Climate Data'!$A$7:$A$366,'Estimator'!$B$4,'Climate Data'!$B$7:$B$366,C5130)</x:f>
        <x:v>0.21802002224694106</x:v>
      </x:c>
      <x:c r="I5130" s="382" t="n">
        <x:f>SUMIFS('Climate Data'!$H$7:$H$366,'Climate Data'!$A$7:$A$366,'Estimator'!$B$4,'Climate Data'!$B$7:$B$366,C5130)</x:f>
        <x:v>8.596428571428572</x:v>
      </x:c>
      <x:c r="J5130" s="381" t="n">
        <x:f>SUMIFS('Wind Proxy'!$H$8:$H$19,'Wind Proxy'!$A$8:$A$19,'Estimator'!$B$4,'Wind Proxy'!$B$8:$B$19,C5130)</x:f>
        <x:v>0.12544802867383514</x:v>
      </x:c>
    </x:row>
    <x:row r="5131">
      <x:c r="A5131" s="379" t="n">
        <x:v>50782</x:v>
      </x:c>
      <x:c r="B5131" s="380" t="n">
        <x:v>2039</x:v>
      </x:c>
      <x:c r="C5131" s="380" t="n">
        <x:v>1</x:v>
      </x:c>
      <x:c r="D5131" s="380" t="str">
        <x:v>Jan</x:v>
      </x:c>
      <x:c r="E5131" s="380" t="n">
        <x:v>12</x:v>
      </x:c>
      <x:c r="F5131" s="380" t="n">
        <x:v>3</x:v>
      </x:c>
      <x:c r="G5131" s="380" t="n">
        <x:f>--(F5131&lt;='Estimator'!$B$7)</x:f>
        <x:v>1</x:v>
      </x:c>
      <x:c r="H5131" s="381" t="n">
        <x:f>SUMIFS('Climate Data'!$G$7:$G$366,'Climate Data'!$A$7:$A$366,'Estimator'!$B$4,'Climate Data'!$B$7:$B$366,C5131)</x:f>
        <x:v>0.21802002224694106</x:v>
      </x:c>
      <x:c r="I5131" s="382" t="n">
        <x:f>SUMIFS('Climate Data'!$H$7:$H$366,'Climate Data'!$A$7:$A$366,'Estimator'!$B$4,'Climate Data'!$B$7:$B$366,C5131)</x:f>
        <x:v>8.596428571428572</x:v>
      </x:c>
      <x:c r="J5131" s="381" t="n">
        <x:f>SUMIFS('Wind Proxy'!$H$8:$H$19,'Wind Proxy'!$A$8:$A$19,'Estimator'!$B$4,'Wind Proxy'!$B$8:$B$19,C5131)</x:f>
        <x:v>0.12544802867383514</x:v>
      </x:c>
    </x:row>
    <x:row r="5132">
      <x:c r="A5132" s="379" t="n">
        <x:v>50783</x:v>
      </x:c>
      <x:c r="B5132" s="380" t="n">
        <x:v>2039</x:v>
      </x:c>
      <x:c r="C5132" s="380" t="n">
        <x:v>1</x:v>
      </x:c>
      <x:c r="D5132" s="380" t="str">
        <x:v>Jan</x:v>
      </x:c>
      <x:c r="E5132" s="380" t="n">
        <x:v>13</x:v>
      </x:c>
      <x:c r="F5132" s="380" t="n">
        <x:v>4</x:v>
      </x:c>
      <x:c r="G5132" s="380" t="n">
        <x:f>--(F5132&lt;='Estimator'!$B$7)</x:f>
        <x:v>1</x:v>
      </x:c>
      <x:c r="H5132" s="381" t="n">
        <x:f>SUMIFS('Climate Data'!$G$7:$G$366,'Climate Data'!$A$7:$A$366,'Estimator'!$B$4,'Climate Data'!$B$7:$B$366,C5132)</x:f>
        <x:v>0.21802002224694106</x:v>
      </x:c>
      <x:c r="I5132" s="382" t="n">
        <x:f>SUMIFS('Climate Data'!$H$7:$H$366,'Climate Data'!$A$7:$A$366,'Estimator'!$B$4,'Climate Data'!$B$7:$B$366,C5132)</x:f>
        <x:v>8.596428571428572</x:v>
      </x:c>
      <x:c r="J5132" s="381" t="n">
        <x:f>SUMIFS('Wind Proxy'!$H$8:$H$19,'Wind Proxy'!$A$8:$A$19,'Estimator'!$B$4,'Wind Proxy'!$B$8:$B$19,C5132)</x:f>
        <x:v>0.12544802867383514</x:v>
      </x:c>
    </x:row>
    <x:row r="5133">
      <x:c r="A5133" s="379" t="n">
        <x:v>50784</x:v>
      </x:c>
      <x:c r="B5133" s="380" t="n">
        <x:v>2039</x:v>
      </x:c>
      <x:c r="C5133" s="380" t="n">
        <x:v>1</x:v>
      </x:c>
      <x:c r="D5133" s="380" t="str">
        <x:v>Jan</x:v>
      </x:c>
      <x:c r="E5133" s="380" t="n">
        <x:v>14</x:v>
      </x:c>
      <x:c r="F5133" s="380" t="n">
        <x:v>5</x:v>
      </x:c>
      <x:c r="G5133" s="380" t="n">
        <x:f>--(F5133&lt;='Estimator'!$B$7)</x:f>
        <x:v>1</x:v>
      </x:c>
      <x:c r="H5133" s="381" t="n">
        <x:f>SUMIFS('Climate Data'!$G$7:$G$366,'Climate Data'!$A$7:$A$366,'Estimator'!$B$4,'Climate Data'!$B$7:$B$366,C5133)</x:f>
        <x:v>0.21802002224694106</x:v>
      </x:c>
      <x:c r="I5133" s="382" t="n">
        <x:f>SUMIFS('Climate Data'!$H$7:$H$366,'Climate Data'!$A$7:$A$366,'Estimator'!$B$4,'Climate Data'!$B$7:$B$366,C5133)</x:f>
        <x:v>8.596428571428572</x:v>
      </x:c>
      <x:c r="J5133" s="381" t="n">
        <x:f>SUMIFS('Wind Proxy'!$H$8:$H$19,'Wind Proxy'!$A$8:$A$19,'Estimator'!$B$4,'Wind Proxy'!$B$8:$B$19,C5133)</x:f>
        <x:v>0.12544802867383514</x:v>
      </x:c>
    </x:row>
    <x:row r="5134">
      <x:c r="A5134" s="379" t="n">
        <x:v>50785</x:v>
      </x:c>
      <x:c r="B5134" s="380" t="n">
        <x:v>2039</x:v>
      </x:c>
      <x:c r="C5134" s="380" t="n">
        <x:v>1</x:v>
      </x:c>
      <x:c r="D5134" s="380" t="str">
        <x:v>Jan</x:v>
      </x:c>
      <x:c r="E5134" s="380" t="n">
        <x:v>15</x:v>
      </x:c>
      <x:c r="F5134" s="380" t="n">
        <x:v>6</x:v>
      </x:c>
      <x:c r="G5134" s="380" t="n">
        <x:f>--(F5134&lt;='Estimator'!$B$7)</x:f>
        <x:v>0</x:v>
      </x:c>
      <x:c r="H5134" s="381" t="n">
        <x:f>SUMIFS('Climate Data'!$G$7:$G$366,'Climate Data'!$A$7:$A$366,'Estimator'!$B$4,'Climate Data'!$B$7:$B$366,C5134)</x:f>
        <x:v>0.21802002224694106</x:v>
      </x:c>
      <x:c r="I5134" s="382" t="n">
        <x:f>SUMIFS('Climate Data'!$H$7:$H$366,'Climate Data'!$A$7:$A$366,'Estimator'!$B$4,'Climate Data'!$B$7:$B$366,C5134)</x:f>
        <x:v>8.596428571428572</x:v>
      </x:c>
      <x:c r="J5134" s="381" t="n">
        <x:f>SUMIFS('Wind Proxy'!$H$8:$H$19,'Wind Proxy'!$A$8:$A$19,'Estimator'!$B$4,'Wind Proxy'!$B$8:$B$19,C5134)</x:f>
        <x:v>0.12544802867383514</x:v>
      </x:c>
    </x:row>
    <x:row r="5135">
      <x:c r="A5135" s="379" t="n">
        <x:v>50786</x:v>
      </x:c>
      <x:c r="B5135" s="380" t="n">
        <x:v>2039</x:v>
      </x:c>
      <x:c r="C5135" s="380" t="n">
        <x:v>1</x:v>
      </x:c>
      <x:c r="D5135" s="380" t="str">
        <x:v>Jan</x:v>
      </x:c>
      <x:c r="E5135" s="380" t="n">
        <x:v>16</x:v>
      </x:c>
      <x:c r="F5135" s="380" t="n">
        <x:v>7</x:v>
      </x:c>
      <x:c r="G5135" s="380" t="n">
        <x:f>--(F5135&lt;='Estimator'!$B$7)</x:f>
        <x:v>0</x:v>
      </x:c>
      <x:c r="H5135" s="381" t="n">
        <x:f>SUMIFS('Climate Data'!$G$7:$G$366,'Climate Data'!$A$7:$A$366,'Estimator'!$B$4,'Climate Data'!$B$7:$B$366,C5135)</x:f>
        <x:v>0.21802002224694106</x:v>
      </x:c>
      <x:c r="I5135" s="382" t="n">
        <x:f>SUMIFS('Climate Data'!$H$7:$H$366,'Climate Data'!$A$7:$A$366,'Estimator'!$B$4,'Climate Data'!$B$7:$B$366,C5135)</x:f>
        <x:v>8.596428571428572</x:v>
      </x:c>
      <x:c r="J5135" s="381" t="n">
        <x:f>SUMIFS('Wind Proxy'!$H$8:$H$19,'Wind Proxy'!$A$8:$A$19,'Estimator'!$B$4,'Wind Proxy'!$B$8:$B$19,C5135)</x:f>
        <x:v>0.12544802867383514</x:v>
      </x:c>
    </x:row>
    <x:row r="5136">
      <x:c r="A5136" s="379" t="n">
        <x:v>50787</x:v>
      </x:c>
      <x:c r="B5136" s="380" t="n">
        <x:v>2039</x:v>
      </x:c>
      <x:c r="C5136" s="380" t="n">
        <x:v>1</x:v>
      </x:c>
      <x:c r="D5136" s="380" t="str">
        <x:v>Jan</x:v>
      </x:c>
      <x:c r="E5136" s="380" t="n">
        <x:v>17</x:v>
      </x:c>
      <x:c r="F5136" s="380" t="n">
        <x:v>1</x:v>
      </x:c>
      <x:c r="G5136" s="380" t="n">
        <x:f>--(F5136&lt;='Estimator'!$B$7)</x:f>
        <x:v>1</x:v>
      </x:c>
      <x:c r="H5136" s="381" t="n">
        <x:f>SUMIFS('Climate Data'!$G$7:$G$366,'Climate Data'!$A$7:$A$366,'Estimator'!$B$4,'Climate Data'!$B$7:$B$366,C5136)</x:f>
        <x:v>0.21802002224694106</x:v>
      </x:c>
      <x:c r="I5136" s="382" t="n">
        <x:f>SUMIFS('Climate Data'!$H$7:$H$366,'Climate Data'!$A$7:$A$366,'Estimator'!$B$4,'Climate Data'!$B$7:$B$366,C5136)</x:f>
        <x:v>8.596428571428572</x:v>
      </x:c>
      <x:c r="J5136" s="381" t="n">
        <x:f>SUMIFS('Wind Proxy'!$H$8:$H$19,'Wind Proxy'!$A$8:$A$19,'Estimator'!$B$4,'Wind Proxy'!$B$8:$B$19,C5136)</x:f>
        <x:v>0.12544802867383514</x:v>
      </x:c>
    </x:row>
    <x:row r="5137">
      <x:c r="A5137" s="379" t="n">
        <x:v>50788</x:v>
      </x:c>
      <x:c r="B5137" s="380" t="n">
        <x:v>2039</x:v>
      </x:c>
      <x:c r="C5137" s="380" t="n">
        <x:v>1</x:v>
      </x:c>
      <x:c r="D5137" s="380" t="str">
        <x:v>Jan</x:v>
      </x:c>
      <x:c r="E5137" s="380" t="n">
        <x:v>18</x:v>
      </x:c>
      <x:c r="F5137" s="380" t="n">
        <x:v>2</x:v>
      </x:c>
      <x:c r="G5137" s="380" t="n">
        <x:f>--(F5137&lt;='Estimator'!$B$7)</x:f>
        <x:v>1</x:v>
      </x:c>
      <x:c r="H5137" s="381" t="n">
        <x:f>SUMIFS('Climate Data'!$G$7:$G$366,'Climate Data'!$A$7:$A$366,'Estimator'!$B$4,'Climate Data'!$B$7:$B$366,C5137)</x:f>
        <x:v>0.21802002224694106</x:v>
      </x:c>
      <x:c r="I5137" s="382" t="n">
        <x:f>SUMIFS('Climate Data'!$H$7:$H$366,'Climate Data'!$A$7:$A$366,'Estimator'!$B$4,'Climate Data'!$B$7:$B$366,C5137)</x:f>
        <x:v>8.596428571428572</x:v>
      </x:c>
      <x:c r="J5137" s="381" t="n">
        <x:f>SUMIFS('Wind Proxy'!$H$8:$H$19,'Wind Proxy'!$A$8:$A$19,'Estimator'!$B$4,'Wind Proxy'!$B$8:$B$19,C5137)</x:f>
        <x:v>0.12544802867383514</x:v>
      </x:c>
    </x:row>
    <x:row r="5138">
      <x:c r="A5138" s="379" t="n">
        <x:v>50789</x:v>
      </x:c>
      <x:c r="B5138" s="380" t="n">
        <x:v>2039</x:v>
      </x:c>
      <x:c r="C5138" s="380" t="n">
        <x:v>1</x:v>
      </x:c>
      <x:c r="D5138" s="380" t="str">
        <x:v>Jan</x:v>
      </x:c>
      <x:c r="E5138" s="380" t="n">
        <x:v>19</x:v>
      </x:c>
      <x:c r="F5138" s="380" t="n">
        <x:v>3</x:v>
      </x:c>
      <x:c r="G5138" s="380" t="n">
        <x:f>--(F5138&lt;='Estimator'!$B$7)</x:f>
        <x:v>1</x:v>
      </x:c>
      <x:c r="H5138" s="381" t="n">
        <x:f>SUMIFS('Climate Data'!$G$7:$G$366,'Climate Data'!$A$7:$A$366,'Estimator'!$B$4,'Climate Data'!$B$7:$B$366,C5138)</x:f>
        <x:v>0.21802002224694106</x:v>
      </x:c>
      <x:c r="I5138" s="382" t="n">
        <x:f>SUMIFS('Climate Data'!$H$7:$H$366,'Climate Data'!$A$7:$A$366,'Estimator'!$B$4,'Climate Data'!$B$7:$B$366,C5138)</x:f>
        <x:v>8.596428571428572</x:v>
      </x:c>
      <x:c r="J5138" s="381" t="n">
        <x:f>SUMIFS('Wind Proxy'!$H$8:$H$19,'Wind Proxy'!$A$8:$A$19,'Estimator'!$B$4,'Wind Proxy'!$B$8:$B$19,C5138)</x:f>
        <x:v>0.12544802867383514</x:v>
      </x:c>
    </x:row>
    <x:row r="5139">
      <x:c r="A5139" s="379" t="n">
        <x:v>50790</x:v>
      </x:c>
      <x:c r="B5139" s="380" t="n">
        <x:v>2039</x:v>
      </x:c>
      <x:c r="C5139" s="380" t="n">
        <x:v>1</x:v>
      </x:c>
      <x:c r="D5139" s="380" t="str">
        <x:v>Jan</x:v>
      </x:c>
      <x:c r="E5139" s="380" t="n">
        <x:v>20</x:v>
      </x:c>
      <x:c r="F5139" s="380" t="n">
        <x:v>4</x:v>
      </x:c>
      <x:c r="G5139" s="380" t="n">
        <x:f>--(F5139&lt;='Estimator'!$B$7)</x:f>
        <x:v>1</x:v>
      </x:c>
      <x:c r="H5139" s="381" t="n">
        <x:f>SUMIFS('Climate Data'!$G$7:$G$366,'Climate Data'!$A$7:$A$366,'Estimator'!$B$4,'Climate Data'!$B$7:$B$366,C5139)</x:f>
        <x:v>0.21802002224694106</x:v>
      </x:c>
      <x:c r="I5139" s="382" t="n">
        <x:f>SUMIFS('Climate Data'!$H$7:$H$366,'Climate Data'!$A$7:$A$366,'Estimator'!$B$4,'Climate Data'!$B$7:$B$366,C5139)</x:f>
        <x:v>8.596428571428572</x:v>
      </x:c>
      <x:c r="J5139" s="381" t="n">
        <x:f>SUMIFS('Wind Proxy'!$H$8:$H$19,'Wind Proxy'!$A$8:$A$19,'Estimator'!$B$4,'Wind Proxy'!$B$8:$B$19,C5139)</x:f>
        <x:v>0.12544802867383514</x:v>
      </x:c>
    </x:row>
    <x:row r="5140">
      <x:c r="A5140" s="379" t="n">
        <x:v>50791</x:v>
      </x:c>
      <x:c r="B5140" s="380" t="n">
        <x:v>2039</x:v>
      </x:c>
      <x:c r="C5140" s="380" t="n">
        <x:v>1</x:v>
      </x:c>
      <x:c r="D5140" s="380" t="str">
        <x:v>Jan</x:v>
      </x:c>
      <x:c r="E5140" s="380" t="n">
        <x:v>21</x:v>
      </x:c>
      <x:c r="F5140" s="380" t="n">
        <x:v>5</x:v>
      </x:c>
      <x:c r="G5140" s="380" t="n">
        <x:f>--(F5140&lt;='Estimator'!$B$7)</x:f>
        <x:v>1</x:v>
      </x:c>
      <x:c r="H5140" s="381" t="n">
        <x:f>SUMIFS('Climate Data'!$G$7:$G$366,'Climate Data'!$A$7:$A$366,'Estimator'!$B$4,'Climate Data'!$B$7:$B$366,C5140)</x:f>
        <x:v>0.21802002224694106</x:v>
      </x:c>
      <x:c r="I5140" s="382" t="n">
        <x:f>SUMIFS('Climate Data'!$H$7:$H$366,'Climate Data'!$A$7:$A$366,'Estimator'!$B$4,'Climate Data'!$B$7:$B$366,C5140)</x:f>
        <x:v>8.596428571428572</x:v>
      </x:c>
      <x:c r="J5140" s="381" t="n">
        <x:f>SUMIFS('Wind Proxy'!$H$8:$H$19,'Wind Proxy'!$A$8:$A$19,'Estimator'!$B$4,'Wind Proxy'!$B$8:$B$19,C5140)</x:f>
        <x:v>0.12544802867383514</x:v>
      </x:c>
    </x:row>
    <x:row r="5141">
      <x:c r="A5141" s="379" t="n">
        <x:v>50792</x:v>
      </x:c>
      <x:c r="B5141" s="380" t="n">
        <x:v>2039</x:v>
      </x:c>
      <x:c r="C5141" s="380" t="n">
        <x:v>1</x:v>
      </x:c>
      <x:c r="D5141" s="380" t="str">
        <x:v>Jan</x:v>
      </x:c>
      <x:c r="E5141" s="380" t="n">
        <x:v>22</x:v>
      </x:c>
      <x:c r="F5141" s="380" t="n">
        <x:v>6</x:v>
      </x:c>
      <x:c r="G5141" s="380" t="n">
        <x:f>--(F5141&lt;='Estimator'!$B$7)</x:f>
        <x:v>0</x:v>
      </x:c>
      <x:c r="H5141" s="381" t="n">
        <x:f>SUMIFS('Climate Data'!$G$7:$G$366,'Climate Data'!$A$7:$A$366,'Estimator'!$B$4,'Climate Data'!$B$7:$B$366,C5141)</x:f>
        <x:v>0.21802002224694106</x:v>
      </x:c>
      <x:c r="I5141" s="382" t="n">
        <x:f>SUMIFS('Climate Data'!$H$7:$H$366,'Climate Data'!$A$7:$A$366,'Estimator'!$B$4,'Climate Data'!$B$7:$B$366,C5141)</x:f>
        <x:v>8.596428571428572</x:v>
      </x:c>
      <x:c r="J5141" s="381" t="n">
        <x:f>SUMIFS('Wind Proxy'!$H$8:$H$19,'Wind Proxy'!$A$8:$A$19,'Estimator'!$B$4,'Wind Proxy'!$B$8:$B$19,C5141)</x:f>
        <x:v>0.12544802867383514</x:v>
      </x:c>
    </x:row>
    <x:row r="5142">
      <x:c r="A5142" s="379" t="n">
        <x:v>50793</x:v>
      </x:c>
      <x:c r="B5142" s="380" t="n">
        <x:v>2039</x:v>
      </x:c>
      <x:c r="C5142" s="380" t="n">
        <x:v>1</x:v>
      </x:c>
      <x:c r="D5142" s="380" t="str">
        <x:v>Jan</x:v>
      </x:c>
      <x:c r="E5142" s="380" t="n">
        <x:v>23</x:v>
      </x:c>
      <x:c r="F5142" s="380" t="n">
        <x:v>7</x:v>
      </x:c>
      <x:c r="G5142" s="380" t="n">
        <x:f>--(F5142&lt;='Estimator'!$B$7)</x:f>
        <x:v>0</x:v>
      </x:c>
      <x:c r="H5142" s="381" t="n">
        <x:f>SUMIFS('Climate Data'!$G$7:$G$366,'Climate Data'!$A$7:$A$366,'Estimator'!$B$4,'Climate Data'!$B$7:$B$366,C5142)</x:f>
        <x:v>0.21802002224694106</x:v>
      </x:c>
      <x:c r="I5142" s="382" t="n">
        <x:f>SUMIFS('Climate Data'!$H$7:$H$366,'Climate Data'!$A$7:$A$366,'Estimator'!$B$4,'Climate Data'!$B$7:$B$366,C5142)</x:f>
        <x:v>8.596428571428572</x:v>
      </x:c>
      <x:c r="J5142" s="381" t="n">
        <x:f>SUMIFS('Wind Proxy'!$H$8:$H$19,'Wind Proxy'!$A$8:$A$19,'Estimator'!$B$4,'Wind Proxy'!$B$8:$B$19,C5142)</x:f>
        <x:v>0.12544802867383514</x:v>
      </x:c>
    </x:row>
    <x:row r="5143">
      <x:c r="A5143" s="379" t="n">
        <x:v>50794</x:v>
      </x:c>
      <x:c r="B5143" s="380" t="n">
        <x:v>2039</x:v>
      </x:c>
      <x:c r="C5143" s="380" t="n">
        <x:v>1</x:v>
      </x:c>
      <x:c r="D5143" s="380" t="str">
        <x:v>Jan</x:v>
      </x:c>
      <x:c r="E5143" s="380" t="n">
        <x:v>24</x:v>
      </x:c>
      <x:c r="F5143" s="380" t="n">
        <x:v>1</x:v>
      </x:c>
      <x:c r="G5143" s="380" t="n">
        <x:f>--(F5143&lt;='Estimator'!$B$7)</x:f>
        <x:v>1</x:v>
      </x:c>
      <x:c r="H5143" s="381" t="n">
        <x:f>SUMIFS('Climate Data'!$G$7:$G$366,'Climate Data'!$A$7:$A$366,'Estimator'!$B$4,'Climate Data'!$B$7:$B$366,C5143)</x:f>
        <x:v>0.21802002224694106</x:v>
      </x:c>
      <x:c r="I5143" s="382" t="n">
        <x:f>SUMIFS('Climate Data'!$H$7:$H$366,'Climate Data'!$A$7:$A$366,'Estimator'!$B$4,'Climate Data'!$B$7:$B$366,C5143)</x:f>
        <x:v>8.596428571428572</x:v>
      </x:c>
      <x:c r="J5143" s="381" t="n">
        <x:f>SUMIFS('Wind Proxy'!$H$8:$H$19,'Wind Proxy'!$A$8:$A$19,'Estimator'!$B$4,'Wind Proxy'!$B$8:$B$19,C5143)</x:f>
        <x:v>0.12544802867383514</x:v>
      </x:c>
    </x:row>
    <x:row r="5144">
      <x:c r="A5144" s="379" t="n">
        <x:v>50795</x:v>
      </x:c>
      <x:c r="B5144" s="380" t="n">
        <x:v>2039</x:v>
      </x:c>
      <x:c r="C5144" s="380" t="n">
        <x:v>1</x:v>
      </x:c>
      <x:c r="D5144" s="380" t="str">
        <x:v>Jan</x:v>
      </x:c>
      <x:c r="E5144" s="380" t="n">
        <x:v>25</x:v>
      </x:c>
      <x:c r="F5144" s="380" t="n">
        <x:v>2</x:v>
      </x:c>
      <x:c r="G5144" s="380" t="n">
        <x:f>--(F5144&lt;='Estimator'!$B$7)</x:f>
        <x:v>1</x:v>
      </x:c>
      <x:c r="H5144" s="381" t="n">
        <x:f>SUMIFS('Climate Data'!$G$7:$G$366,'Climate Data'!$A$7:$A$366,'Estimator'!$B$4,'Climate Data'!$B$7:$B$366,C5144)</x:f>
        <x:v>0.21802002224694106</x:v>
      </x:c>
      <x:c r="I5144" s="382" t="n">
        <x:f>SUMIFS('Climate Data'!$H$7:$H$366,'Climate Data'!$A$7:$A$366,'Estimator'!$B$4,'Climate Data'!$B$7:$B$366,C5144)</x:f>
        <x:v>8.596428571428572</x:v>
      </x:c>
      <x:c r="J5144" s="381" t="n">
        <x:f>SUMIFS('Wind Proxy'!$H$8:$H$19,'Wind Proxy'!$A$8:$A$19,'Estimator'!$B$4,'Wind Proxy'!$B$8:$B$19,C5144)</x:f>
        <x:v>0.12544802867383514</x:v>
      </x:c>
    </x:row>
    <x:row r="5145">
      <x:c r="A5145" s="379" t="n">
        <x:v>50796</x:v>
      </x:c>
      <x:c r="B5145" s="380" t="n">
        <x:v>2039</x:v>
      </x:c>
      <x:c r="C5145" s="380" t="n">
        <x:v>1</x:v>
      </x:c>
      <x:c r="D5145" s="380" t="str">
        <x:v>Jan</x:v>
      </x:c>
      <x:c r="E5145" s="380" t="n">
        <x:v>26</x:v>
      </x:c>
      <x:c r="F5145" s="380" t="n">
        <x:v>3</x:v>
      </x:c>
      <x:c r="G5145" s="380" t="n">
        <x:f>--(F5145&lt;='Estimator'!$B$7)</x:f>
        <x:v>1</x:v>
      </x:c>
      <x:c r="H5145" s="381" t="n">
        <x:f>SUMIFS('Climate Data'!$G$7:$G$366,'Climate Data'!$A$7:$A$366,'Estimator'!$B$4,'Climate Data'!$B$7:$B$366,C5145)</x:f>
        <x:v>0.21802002224694106</x:v>
      </x:c>
      <x:c r="I5145" s="382" t="n">
        <x:f>SUMIFS('Climate Data'!$H$7:$H$366,'Climate Data'!$A$7:$A$366,'Estimator'!$B$4,'Climate Data'!$B$7:$B$366,C5145)</x:f>
        <x:v>8.596428571428572</x:v>
      </x:c>
      <x:c r="J5145" s="381" t="n">
        <x:f>SUMIFS('Wind Proxy'!$H$8:$H$19,'Wind Proxy'!$A$8:$A$19,'Estimator'!$B$4,'Wind Proxy'!$B$8:$B$19,C5145)</x:f>
        <x:v>0.12544802867383514</x:v>
      </x:c>
    </x:row>
    <x:row r="5146">
      <x:c r="A5146" s="379" t="n">
        <x:v>50797</x:v>
      </x:c>
      <x:c r="B5146" s="380" t="n">
        <x:v>2039</x:v>
      </x:c>
      <x:c r="C5146" s="380" t="n">
        <x:v>1</x:v>
      </x:c>
      <x:c r="D5146" s="380" t="str">
        <x:v>Jan</x:v>
      </x:c>
      <x:c r="E5146" s="380" t="n">
        <x:v>27</x:v>
      </x:c>
      <x:c r="F5146" s="380" t="n">
        <x:v>4</x:v>
      </x:c>
      <x:c r="G5146" s="380" t="n">
        <x:f>--(F5146&lt;='Estimator'!$B$7)</x:f>
        <x:v>1</x:v>
      </x:c>
      <x:c r="H5146" s="381" t="n">
        <x:f>SUMIFS('Climate Data'!$G$7:$G$366,'Climate Data'!$A$7:$A$366,'Estimator'!$B$4,'Climate Data'!$B$7:$B$366,C5146)</x:f>
        <x:v>0.21802002224694106</x:v>
      </x:c>
      <x:c r="I5146" s="382" t="n">
        <x:f>SUMIFS('Climate Data'!$H$7:$H$366,'Climate Data'!$A$7:$A$366,'Estimator'!$B$4,'Climate Data'!$B$7:$B$366,C5146)</x:f>
        <x:v>8.596428571428572</x:v>
      </x:c>
      <x:c r="J5146" s="381" t="n">
        <x:f>SUMIFS('Wind Proxy'!$H$8:$H$19,'Wind Proxy'!$A$8:$A$19,'Estimator'!$B$4,'Wind Proxy'!$B$8:$B$19,C5146)</x:f>
        <x:v>0.12544802867383514</x:v>
      </x:c>
    </x:row>
    <x:row r="5147">
      <x:c r="A5147" s="379" t="n">
        <x:v>50798</x:v>
      </x:c>
      <x:c r="B5147" s="380" t="n">
        <x:v>2039</x:v>
      </x:c>
      <x:c r="C5147" s="380" t="n">
        <x:v>1</x:v>
      </x:c>
      <x:c r="D5147" s="380" t="str">
        <x:v>Jan</x:v>
      </x:c>
      <x:c r="E5147" s="380" t="n">
        <x:v>28</x:v>
      </x:c>
      <x:c r="F5147" s="380" t="n">
        <x:v>5</x:v>
      </x:c>
      <x:c r="G5147" s="380" t="n">
        <x:f>--(F5147&lt;='Estimator'!$B$7)</x:f>
        <x:v>1</x:v>
      </x:c>
      <x:c r="H5147" s="381" t="n">
        <x:f>SUMIFS('Climate Data'!$G$7:$G$366,'Climate Data'!$A$7:$A$366,'Estimator'!$B$4,'Climate Data'!$B$7:$B$366,C5147)</x:f>
        <x:v>0.21802002224694106</x:v>
      </x:c>
      <x:c r="I5147" s="382" t="n">
        <x:f>SUMIFS('Climate Data'!$H$7:$H$366,'Climate Data'!$A$7:$A$366,'Estimator'!$B$4,'Climate Data'!$B$7:$B$366,C5147)</x:f>
        <x:v>8.596428571428572</x:v>
      </x:c>
      <x:c r="J5147" s="381" t="n">
        <x:f>SUMIFS('Wind Proxy'!$H$8:$H$19,'Wind Proxy'!$A$8:$A$19,'Estimator'!$B$4,'Wind Proxy'!$B$8:$B$19,C5147)</x:f>
        <x:v>0.12544802867383514</x:v>
      </x:c>
    </x:row>
    <x:row r="5148">
      <x:c r="A5148" s="379" t="n">
        <x:v>50799</x:v>
      </x:c>
      <x:c r="B5148" s="380" t="n">
        <x:v>2039</x:v>
      </x:c>
      <x:c r="C5148" s="380" t="n">
        <x:v>1</x:v>
      </x:c>
      <x:c r="D5148" s="380" t="str">
        <x:v>Jan</x:v>
      </x:c>
      <x:c r="E5148" s="380" t="n">
        <x:v>29</x:v>
      </x:c>
      <x:c r="F5148" s="380" t="n">
        <x:v>6</x:v>
      </x:c>
      <x:c r="G5148" s="380" t="n">
        <x:f>--(F5148&lt;='Estimator'!$B$7)</x:f>
        <x:v>0</x:v>
      </x:c>
      <x:c r="H5148" s="381" t="n">
        <x:f>SUMIFS('Climate Data'!$G$7:$G$366,'Climate Data'!$A$7:$A$366,'Estimator'!$B$4,'Climate Data'!$B$7:$B$366,C5148)</x:f>
        <x:v>0.21802002224694106</x:v>
      </x:c>
      <x:c r="I5148" s="382" t="n">
        <x:f>SUMIFS('Climate Data'!$H$7:$H$366,'Climate Data'!$A$7:$A$366,'Estimator'!$B$4,'Climate Data'!$B$7:$B$366,C5148)</x:f>
        <x:v>8.596428571428572</x:v>
      </x:c>
      <x:c r="J5148" s="381" t="n">
        <x:f>SUMIFS('Wind Proxy'!$H$8:$H$19,'Wind Proxy'!$A$8:$A$19,'Estimator'!$B$4,'Wind Proxy'!$B$8:$B$19,C5148)</x:f>
        <x:v>0.12544802867383514</x:v>
      </x:c>
    </x:row>
    <x:row r="5149">
      <x:c r="A5149" s="379" t="n">
        <x:v>50800</x:v>
      </x:c>
      <x:c r="B5149" s="380" t="n">
        <x:v>2039</x:v>
      </x:c>
      <x:c r="C5149" s="380" t="n">
        <x:v>1</x:v>
      </x:c>
      <x:c r="D5149" s="380" t="str">
        <x:v>Jan</x:v>
      </x:c>
      <x:c r="E5149" s="380" t="n">
        <x:v>30</x:v>
      </x:c>
      <x:c r="F5149" s="380" t="n">
        <x:v>7</x:v>
      </x:c>
      <x:c r="G5149" s="380" t="n">
        <x:f>--(F5149&lt;='Estimator'!$B$7)</x:f>
        <x:v>0</x:v>
      </x:c>
      <x:c r="H5149" s="381" t="n">
        <x:f>SUMIFS('Climate Data'!$G$7:$G$366,'Climate Data'!$A$7:$A$366,'Estimator'!$B$4,'Climate Data'!$B$7:$B$366,C5149)</x:f>
        <x:v>0.21802002224694106</x:v>
      </x:c>
      <x:c r="I5149" s="382" t="n">
        <x:f>SUMIFS('Climate Data'!$H$7:$H$366,'Climate Data'!$A$7:$A$366,'Estimator'!$B$4,'Climate Data'!$B$7:$B$366,C5149)</x:f>
        <x:v>8.596428571428572</x:v>
      </x:c>
      <x:c r="J5149" s="381" t="n">
        <x:f>SUMIFS('Wind Proxy'!$H$8:$H$19,'Wind Proxy'!$A$8:$A$19,'Estimator'!$B$4,'Wind Proxy'!$B$8:$B$19,C5149)</x:f>
        <x:v>0.12544802867383514</x:v>
      </x:c>
    </x:row>
    <x:row r="5150">
      <x:c r="A5150" s="379" t="n">
        <x:v>50801</x:v>
      </x:c>
      <x:c r="B5150" s="380" t="n">
        <x:v>2039</x:v>
      </x:c>
      <x:c r="C5150" s="380" t="n">
        <x:v>1</x:v>
      </x:c>
      <x:c r="D5150" s="380" t="str">
        <x:v>Jan</x:v>
      </x:c>
      <x:c r="E5150" s="380" t="n">
        <x:v>31</x:v>
      </x:c>
      <x:c r="F5150" s="380" t="n">
        <x:v>1</x:v>
      </x:c>
      <x:c r="G5150" s="380" t="n">
        <x:f>--(F5150&lt;='Estimator'!$B$7)</x:f>
        <x:v>1</x:v>
      </x:c>
      <x:c r="H5150" s="381" t="n">
        <x:f>SUMIFS('Climate Data'!$G$7:$G$366,'Climate Data'!$A$7:$A$366,'Estimator'!$B$4,'Climate Data'!$B$7:$B$366,C5150)</x:f>
        <x:v>0.21802002224694106</x:v>
      </x:c>
      <x:c r="I5150" s="382" t="n">
        <x:f>SUMIFS('Climate Data'!$H$7:$H$366,'Climate Data'!$A$7:$A$366,'Estimator'!$B$4,'Climate Data'!$B$7:$B$366,C5150)</x:f>
        <x:v>8.596428571428572</x:v>
      </x:c>
      <x:c r="J5150" s="381" t="n">
        <x:f>SUMIFS('Wind Proxy'!$H$8:$H$19,'Wind Proxy'!$A$8:$A$19,'Estimator'!$B$4,'Wind Proxy'!$B$8:$B$19,C5150)</x:f>
        <x:v>0.12544802867383514</x:v>
      </x:c>
    </x:row>
    <x:row r="5151">
      <x:c r="A5151" s="379" t="n">
        <x:v>50802</x:v>
      </x:c>
      <x:c r="B5151" s="380" t="n">
        <x:v>2039</x:v>
      </x:c>
      <x:c r="C5151" s="380" t="n">
        <x:v>2</x:v>
      </x:c>
      <x:c r="D5151" s="380" t="str">
        <x:v>Feb</x:v>
      </x:c>
      <x:c r="E5151" s="380" t="n">
        <x:v>1</x:v>
      </x:c>
      <x:c r="F5151" s="380" t="n">
        <x:v>2</x:v>
      </x:c>
      <x:c r="G5151" s="380" t="n">
        <x:f>--(F5151&lt;='Estimator'!$B$7)</x:f>
        <x:v>1</x:v>
      </x:c>
      <x:c r="H5151" s="381" t="n">
        <x:f>SUMIFS('Climate Data'!$G$7:$G$366,'Climate Data'!$A$7:$A$366,'Estimator'!$B$4,'Climate Data'!$B$7:$B$366,C5151)</x:f>
        <x:v>0.23056278464541316</x:v>
      </x:c>
      <x:c r="I5151" s="382" t="n">
        <x:f>SUMIFS('Climate Data'!$H$7:$H$366,'Climate Data'!$A$7:$A$366,'Estimator'!$B$4,'Climate Data'!$B$7:$B$366,C5151)</x:f>
        <x:v>9.682010582010582</x:v>
      </x:c>
      <x:c r="J5151" s="381" t="n">
        <x:f>SUMIFS('Wind Proxy'!$H$8:$H$19,'Wind Proxy'!$A$8:$A$19,'Estimator'!$B$4,'Wind Proxy'!$B$8:$B$19,C5151)</x:f>
        <x:v>0.13757861635220128</x:v>
      </x:c>
    </x:row>
    <x:row r="5152">
      <x:c r="A5152" s="379" t="n">
        <x:v>50803</x:v>
      </x:c>
      <x:c r="B5152" s="380" t="n">
        <x:v>2039</x:v>
      </x:c>
      <x:c r="C5152" s="380" t="n">
        <x:v>2</x:v>
      </x:c>
      <x:c r="D5152" s="380" t="str">
        <x:v>Feb</x:v>
      </x:c>
      <x:c r="E5152" s="380" t="n">
        <x:v>2</x:v>
      </x:c>
      <x:c r="F5152" s="380" t="n">
        <x:v>3</x:v>
      </x:c>
      <x:c r="G5152" s="380" t="n">
        <x:f>--(F5152&lt;='Estimator'!$B$7)</x:f>
        <x:v>1</x:v>
      </x:c>
      <x:c r="H5152" s="381" t="n">
        <x:f>SUMIFS('Climate Data'!$G$7:$G$366,'Climate Data'!$A$7:$A$366,'Estimator'!$B$4,'Climate Data'!$B$7:$B$366,C5152)</x:f>
        <x:v>0.23056278464541316</x:v>
      </x:c>
      <x:c r="I5152" s="382" t="n">
        <x:f>SUMIFS('Climate Data'!$H$7:$H$366,'Climate Data'!$A$7:$A$366,'Estimator'!$B$4,'Climate Data'!$B$7:$B$366,C5152)</x:f>
        <x:v>9.682010582010582</x:v>
      </x:c>
      <x:c r="J5152" s="381" t="n">
        <x:f>SUMIFS('Wind Proxy'!$H$8:$H$19,'Wind Proxy'!$A$8:$A$19,'Estimator'!$B$4,'Wind Proxy'!$B$8:$B$19,C5152)</x:f>
        <x:v>0.13757861635220128</x:v>
      </x:c>
    </x:row>
    <x:row r="5153">
      <x:c r="A5153" s="379" t="n">
        <x:v>50804</x:v>
      </x:c>
      <x:c r="B5153" s="380" t="n">
        <x:v>2039</x:v>
      </x:c>
      <x:c r="C5153" s="380" t="n">
        <x:v>2</x:v>
      </x:c>
      <x:c r="D5153" s="380" t="str">
        <x:v>Feb</x:v>
      </x:c>
      <x:c r="E5153" s="380" t="n">
        <x:v>3</x:v>
      </x:c>
      <x:c r="F5153" s="380" t="n">
        <x:v>4</x:v>
      </x:c>
      <x:c r="G5153" s="380" t="n">
        <x:f>--(F5153&lt;='Estimator'!$B$7)</x:f>
        <x:v>1</x:v>
      </x:c>
      <x:c r="H5153" s="381" t="n">
        <x:f>SUMIFS('Climate Data'!$G$7:$G$366,'Climate Data'!$A$7:$A$366,'Estimator'!$B$4,'Climate Data'!$B$7:$B$366,C5153)</x:f>
        <x:v>0.23056278464541316</x:v>
      </x:c>
      <x:c r="I5153" s="382" t="n">
        <x:f>SUMIFS('Climate Data'!$H$7:$H$366,'Climate Data'!$A$7:$A$366,'Estimator'!$B$4,'Climate Data'!$B$7:$B$366,C5153)</x:f>
        <x:v>9.682010582010582</x:v>
      </x:c>
      <x:c r="J5153" s="381" t="n">
        <x:f>SUMIFS('Wind Proxy'!$H$8:$H$19,'Wind Proxy'!$A$8:$A$19,'Estimator'!$B$4,'Wind Proxy'!$B$8:$B$19,C5153)</x:f>
        <x:v>0.13757861635220128</x:v>
      </x:c>
    </x:row>
    <x:row r="5154">
      <x:c r="A5154" s="379" t="n">
        <x:v>50805</x:v>
      </x:c>
      <x:c r="B5154" s="380" t="n">
        <x:v>2039</x:v>
      </x:c>
      <x:c r="C5154" s="380" t="n">
        <x:v>2</x:v>
      </x:c>
      <x:c r="D5154" s="380" t="str">
        <x:v>Feb</x:v>
      </x:c>
      <x:c r="E5154" s="380" t="n">
        <x:v>4</x:v>
      </x:c>
      <x:c r="F5154" s="380" t="n">
        <x:v>5</x:v>
      </x:c>
      <x:c r="G5154" s="380" t="n">
        <x:f>--(F5154&lt;='Estimator'!$B$7)</x:f>
        <x:v>1</x:v>
      </x:c>
      <x:c r="H5154" s="381" t="n">
        <x:f>SUMIFS('Climate Data'!$G$7:$G$366,'Climate Data'!$A$7:$A$366,'Estimator'!$B$4,'Climate Data'!$B$7:$B$366,C5154)</x:f>
        <x:v>0.23056278464541316</x:v>
      </x:c>
      <x:c r="I5154" s="382" t="n">
        <x:f>SUMIFS('Climate Data'!$H$7:$H$366,'Climate Data'!$A$7:$A$366,'Estimator'!$B$4,'Climate Data'!$B$7:$B$366,C5154)</x:f>
        <x:v>9.682010582010582</x:v>
      </x:c>
      <x:c r="J5154" s="381" t="n">
        <x:f>SUMIFS('Wind Proxy'!$H$8:$H$19,'Wind Proxy'!$A$8:$A$19,'Estimator'!$B$4,'Wind Proxy'!$B$8:$B$19,C5154)</x:f>
        <x:v>0.13757861635220128</x:v>
      </x:c>
    </x:row>
    <x:row r="5155">
      <x:c r="A5155" s="379" t="n">
        <x:v>50806</x:v>
      </x:c>
      <x:c r="B5155" s="380" t="n">
        <x:v>2039</x:v>
      </x:c>
      <x:c r="C5155" s="380" t="n">
        <x:v>2</x:v>
      </x:c>
      <x:c r="D5155" s="380" t="str">
        <x:v>Feb</x:v>
      </x:c>
      <x:c r="E5155" s="380" t="n">
        <x:v>5</x:v>
      </x:c>
      <x:c r="F5155" s="380" t="n">
        <x:v>6</x:v>
      </x:c>
      <x:c r="G5155" s="380" t="n">
        <x:f>--(F5155&lt;='Estimator'!$B$7)</x:f>
        <x:v>0</x:v>
      </x:c>
      <x:c r="H5155" s="381" t="n">
        <x:f>SUMIFS('Climate Data'!$G$7:$G$366,'Climate Data'!$A$7:$A$366,'Estimator'!$B$4,'Climate Data'!$B$7:$B$366,C5155)</x:f>
        <x:v>0.23056278464541316</x:v>
      </x:c>
      <x:c r="I5155" s="382" t="n">
        <x:f>SUMIFS('Climate Data'!$H$7:$H$366,'Climate Data'!$A$7:$A$366,'Estimator'!$B$4,'Climate Data'!$B$7:$B$366,C5155)</x:f>
        <x:v>9.682010582010582</x:v>
      </x:c>
      <x:c r="J5155" s="381" t="n">
        <x:f>SUMIFS('Wind Proxy'!$H$8:$H$19,'Wind Proxy'!$A$8:$A$19,'Estimator'!$B$4,'Wind Proxy'!$B$8:$B$19,C5155)</x:f>
        <x:v>0.13757861635220128</x:v>
      </x:c>
    </x:row>
    <x:row r="5156">
      <x:c r="A5156" s="379" t="n">
        <x:v>50807</x:v>
      </x:c>
      <x:c r="B5156" s="380" t="n">
        <x:v>2039</x:v>
      </x:c>
      <x:c r="C5156" s="380" t="n">
        <x:v>2</x:v>
      </x:c>
      <x:c r="D5156" s="380" t="str">
        <x:v>Feb</x:v>
      </x:c>
      <x:c r="E5156" s="380" t="n">
        <x:v>6</x:v>
      </x:c>
      <x:c r="F5156" s="380" t="n">
        <x:v>7</x:v>
      </x:c>
      <x:c r="G5156" s="380" t="n">
        <x:f>--(F5156&lt;='Estimator'!$B$7)</x:f>
        <x:v>0</x:v>
      </x:c>
      <x:c r="H5156" s="381" t="n">
        <x:f>SUMIFS('Climate Data'!$G$7:$G$366,'Climate Data'!$A$7:$A$366,'Estimator'!$B$4,'Climate Data'!$B$7:$B$366,C5156)</x:f>
        <x:v>0.23056278464541316</x:v>
      </x:c>
      <x:c r="I5156" s="382" t="n">
        <x:f>SUMIFS('Climate Data'!$H$7:$H$366,'Climate Data'!$A$7:$A$366,'Estimator'!$B$4,'Climate Data'!$B$7:$B$366,C5156)</x:f>
        <x:v>9.682010582010582</x:v>
      </x:c>
      <x:c r="J5156" s="381" t="n">
        <x:f>SUMIFS('Wind Proxy'!$H$8:$H$19,'Wind Proxy'!$A$8:$A$19,'Estimator'!$B$4,'Wind Proxy'!$B$8:$B$19,C5156)</x:f>
        <x:v>0.13757861635220128</x:v>
      </x:c>
    </x:row>
    <x:row r="5157">
      <x:c r="A5157" s="379" t="n">
        <x:v>50808</x:v>
      </x:c>
      <x:c r="B5157" s="380" t="n">
        <x:v>2039</x:v>
      </x:c>
      <x:c r="C5157" s="380" t="n">
        <x:v>2</x:v>
      </x:c>
      <x:c r="D5157" s="380" t="str">
        <x:v>Feb</x:v>
      </x:c>
      <x:c r="E5157" s="380" t="n">
        <x:v>7</x:v>
      </x:c>
      <x:c r="F5157" s="380" t="n">
        <x:v>1</x:v>
      </x:c>
      <x:c r="G5157" s="380" t="n">
        <x:f>--(F5157&lt;='Estimator'!$B$7)</x:f>
        <x:v>1</x:v>
      </x:c>
      <x:c r="H5157" s="381" t="n">
        <x:f>SUMIFS('Climate Data'!$G$7:$G$366,'Climate Data'!$A$7:$A$366,'Estimator'!$B$4,'Climate Data'!$B$7:$B$366,C5157)</x:f>
        <x:v>0.23056278464541316</x:v>
      </x:c>
      <x:c r="I5157" s="382" t="n">
        <x:f>SUMIFS('Climate Data'!$H$7:$H$366,'Climate Data'!$A$7:$A$366,'Estimator'!$B$4,'Climate Data'!$B$7:$B$366,C5157)</x:f>
        <x:v>9.682010582010582</x:v>
      </x:c>
      <x:c r="J5157" s="381" t="n">
        <x:f>SUMIFS('Wind Proxy'!$H$8:$H$19,'Wind Proxy'!$A$8:$A$19,'Estimator'!$B$4,'Wind Proxy'!$B$8:$B$19,C5157)</x:f>
        <x:v>0.13757861635220128</x:v>
      </x:c>
    </x:row>
    <x:row r="5158">
      <x:c r="A5158" s="379" t="n">
        <x:v>50809</x:v>
      </x:c>
      <x:c r="B5158" s="380" t="n">
        <x:v>2039</x:v>
      </x:c>
      <x:c r="C5158" s="380" t="n">
        <x:v>2</x:v>
      </x:c>
      <x:c r="D5158" s="380" t="str">
        <x:v>Feb</x:v>
      </x:c>
      <x:c r="E5158" s="380" t="n">
        <x:v>8</x:v>
      </x:c>
      <x:c r="F5158" s="380" t="n">
        <x:v>2</x:v>
      </x:c>
      <x:c r="G5158" s="380" t="n">
        <x:f>--(F5158&lt;='Estimator'!$B$7)</x:f>
        <x:v>1</x:v>
      </x:c>
      <x:c r="H5158" s="381" t="n">
        <x:f>SUMIFS('Climate Data'!$G$7:$G$366,'Climate Data'!$A$7:$A$366,'Estimator'!$B$4,'Climate Data'!$B$7:$B$366,C5158)</x:f>
        <x:v>0.23056278464541316</x:v>
      </x:c>
      <x:c r="I5158" s="382" t="n">
        <x:f>SUMIFS('Climate Data'!$H$7:$H$366,'Climate Data'!$A$7:$A$366,'Estimator'!$B$4,'Climate Data'!$B$7:$B$366,C5158)</x:f>
        <x:v>9.682010582010582</x:v>
      </x:c>
      <x:c r="J5158" s="381" t="n">
        <x:f>SUMIFS('Wind Proxy'!$H$8:$H$19,'Wind Proxy'!$A$8:$A$19,'Estimator'!$B$4,'Wind Proxy'!$B$8:$B$19,C5158)</x:f>
        <x:v>0.13757861635220128</x:v>
      </x:c>
    </x:row>
    <x:row r="5159">
      <x:c r="A5159" s="379" t="n">
        <x:v>50810</x:v>
      </x:c>
      <x:c r="B5159" s="380" t="n">
        <x:v>2039</x:v>
      </x:c>
      <x:c r="C5159" s="380" t="n">
        <x:v>2</x:v>
      </x:c>
      <x:c r="D5159" s="380" t="str">
        <x:v>Feb</x:v>
      </x:c>
      <x:c r="E5159" s="380" t="n">
        <x:v>9</x:v>
      </x:c>
      <x:c r="F5159" s="380" t="n">
        <x:v>3</x:v>
      </x:c>
      <x:c r="G5159" s="380" t="n">
        <x:f>--(F5159&lt;='Estimator'!$B$7)</x:f>
        <x:v>1</x:v>
      </x:c>
      <x:c r="H5159" s="381" t="n">
        <x:f>SUMIFS('Climate Data'!$G$7:$G$366,'Climate Data'!$A$7:$A$366,'Estimator'!$B$4,'Climate Data'!$B$7:$B$366,C5159)</x:f>
        <x:v>0.23056278464541316</x:v>
      </x:c>
      <x:c r="I5159" s="382" t="n">
        <x:f>SUMIFS('Climate Data'!$H$7:$H$366,'Climate Data'!$A$7:$A$366,'Estimator'!$B$4,'Climate Data'!$B$7:$B$366,C5159)</x:f>
        <x:v>9.682010582010582</x:v>
      </x:c>
      <x:c r="J5159" s="381" t="n">
        <x:f>SUMIFS('Wind Proxy'!$H$8:$H$19,'Wind Proxy'!$A$8:$A$19,'Estimator'!$B$4,'Wind Proxy'!$B$8:$B$19,C5159)</x:f>
        <x:v>0.13757861635220128</x:v>
      </x:c>
    </x:row>
    <x:row r="5160">
      <x:c r="A5160" s="379" t="n">
        <x:v>50811</x:v>
      </x:c>
      <x:c r="B5160" s="380" t="n">
        <x:v>2039</x:v>
      </x:c>
      <x:c r="C5160" s="380" t="n">
        <x:v>2</x:v>
      </x:c>
      <x:c r="D5160" s="380" t="str">
        <x:v>Feb</x:v>
      </x:c>
      <x:c r="E5160" s="380" t="n">
        <x:v>10</x:v>
      </x:c>
      <x:c r="F5160" s="380" t="n">
        <x:v>4</x:v>
      </x:c>
      <x:c r="G5160" s="380" t="n">
        <x:f>--(F5160&lt;='Estimator'!$B$7)</x:f>
        <x:v>1</x:v>
      </x:c>
      <x:c r="H5160" s="381" t="n">
        <x:f>SUMIFS('Climate Data'!$G$7:$G$366,'Climate Data'!$A$7:$A$366,'Estimator'!$B$4,'Climate Data'!$B$7:$B$366,C5160)</x:f>
        <x:v>0.23056278464541316</x:v>
      </x:c>
      <x:c r="I5160" s="382" t="n">
        <x:f>SUMIFS('Climate Data'!$H$7:$H$366,'Climate Data'!$A$7:$A$366,'Estimator'!$B$4,'Climate Data'!$B$7:$B$366,C5160)</x:f>
        <x:v>9.682010582010582</x:v>
      </x:c>
      <x:c r="J5160" s="381" t="n">
        <x:f>SUMIFS('Wind Proxy'!$H$8:$H$19,'Wind Proxy'!$A$8:$A$19,'Estimator'!$B$4,'Wind Proxy'!$B$8:$B$19,C5160)</x:f>
        <x:v>0.13757861635220128</x:v>
      </x:c>
    </x:row>
    <x:row r="5161">
      <x:c r="A5161" s="379" t="n">
        <x:v>50812</x:v>
      </x:c>
      <x:c r="B5161" s="380" t="n">
        <x:v>2039</x:v>
      </x:c>
      <x:c r="C5161" s="380" t="n">
        <x:v>2</x:v>
      </x:c>
      <x:c r="D5161" s="380" t="str">
        <x:v>Feb</x:v>
      </x:c>
      <x:c r="E5161" s="380" t="n">
        <x:v>11</x:v>
      </x:c>
      <x:c r="F5161" s="380" t="n">
        <x:v>5</x:v>
      </x:c>
      <x:c r="G5161" s="380" t="n">
        <x:f>--(F5161&lt;='Estimator'!$B$7)</x:f>
        <x:v>1</x:v>
      </x:c>
      <x:c r="H5161" s="381" t="n">
        <x:f>SUMIFS('Climate Data'!$G$7:$G$366,'Climate Data'!$A$7:$A$366,'Estimator'!$B$4,'Climate Data'!$B$7:$B$366,C5161)</x:f>
        <x:v>0.23056278464541316</x:v>
      </x:c>
      <x:c r="I5161" s="382" t="n">
        <x:f>SUMIFS('Climate Data'!$H$7:$H$366,'Climate Data'!$A$7:$A$366,'Estimator'!$B$4,'Climate Data'!$B$7:$B$366,C5161)</x:f>
        <x:v>9.682010582010582</x:v>
      </x:c>
      <x:c r="J5161" s="381" t="n">
        <x:f>SUMIFS('Wind Proxy'!$H$8:$H$19,'Wind Proxy'!$A$8:$A$19,'Estimator'!$B$4,'Wind Proxy'!$B$8:$B$19,C5161)</x:f>
        <x:v>0.13757861635220128</x:v>
      </x:c>
    </x:row>
    <x:row r="5162">
      <x:c r="A5162" s="379" t="n">
        <x:v>50813</x:v>
      </x:c>
      <x:c r="B5162" s="380" t="n">
        <x:v>2039</x:v>
      </x:c>
      <x:c r="C5162" s="380" t="n">
        <x:v>2</x:v>
      </x:c>
      <x:c r="D5162" s="380" t="str">
        <x:v>Feb</x:v>
      </x:c>
      <x:c r="E5162" s="380" t="n">
        <x:v>12</x:v>
      </x:c>
      <x:c r="F5162" s="380" t="n">
        <x:v>6</x:v>
      </x:c>
      <x:c r="G5162" s="380" t="n">
        <x:f>--(F5162&lt;='Estimator'!$B$7)</x:f>
        <x:v>0</x:v>
      </x:c>
      <x:c r="H5162" s="381" t="n">
        <x:f>SUMIFS('Climate Data'!$G$7:$G$366,'Climate Data'!$A$7:$A$366,'Estimator'!$B$4,'Climate Data'!$B$7:$B$366,C5162)</x:f>
        <x:v>0.23056278464541316</x:v>
      </x:c>
      <x:c r="I5162" s="382" t="n">
        <x:f>SUMIFS('Climate Data'!$H$7:$H$366,'Climate Data'!$A$7:$A$366,'Estimator'!$B$4,'Climate Data'!$B$7:$B$366,C5162)</x:f>
        <x:v>9.682010582010582</x:v>
      </x:c>
      <x:c r="J5162" s="381" t="n">
        <x:f>SUMIFS('Wind Proxy'!$H$8:$H$19,'Wind Proxy'!$A$8:$A$19,'Estimator'!$B$4,'Wind Proxy'!$B$8:$B$19,C5162)</x:f>
        <x:v>0.13757861635220128</x:v>
      </x:c>
    </x:row>
    <x:row r="5163">
      <x:c r="A5163" s="379" t="n">
        <x:v>50814</x:v>
      </x:c>
      <x:c r="B5163" s="380" t="n">
        <x:v>2039</x:v>
      </x:c>
      <x:c r="C5163" s="380" t="n">
        <x:v>2</x:v>
      </x:c>
      <x:c r="D5163" s="380" t="str">
        <x:v>Feb</x:v>
      </x:c>
      <x:c r="E5163" s="380" t="n">
        <x:v>13</x:v>
      </x:c>
      <x:c r="F5163" s="380" t="n">
        <x:v>7</x:v>
      </x:c>
      <x:c r="G5163" s="380" t="n">
        <x:f>--(F5163&lt;='Estimator'!$B$7)</x:f>
        <x:v>0</x:v>
      </x:c>
      <x:c r="H5163" s="381" t="n">
        <x:f>SUMIFS('Climate Data'!$G$7:$G$366,'Climate Data'!$A$7:$A$366,'Estimator'!$B$4,'Climate Data'!$B$7:$B$366,C5163)</x:f>
        <x:v>0.23056278464541316</x:v>
      </x:c>
      <x:c r="I5163" s="382" t="n">
        <x:f>SUMIFS('Climate Data'!$H$7:$H$366,'Climate Data'!$A$7:$A$366,'Estimator'!$B$4,'Climate Data'!$B$7:$B$366,C5163)</x:f>
        <x:v>9.682010582010582</x:v>
      </x:c>
      <x:c r="J5163" s="381" t="n">
        <x:f>SUMIFS('Wind Proxy'!$H$8:$H$19,'Wind Proxy'!$A$8:$A$19,'Estimator'!$B$4,'Wind Proxy'!$B$8:$B$19,C5163)</x:f>
        <x:v>0.13757861635220128</x:v>
      </x:c>
    </x:row>
    <x:row r="5164">
      <x:c r="A5164" s="379" t="n">
        <x:v>50815</x:v>
      </x:c>
      <x:c r="B5164" s="380" t="n">
        <x:v>2039</x:v>
      </x:c>
      <x:c r="C5164" s="380" t="n">
        <x:v>2</x:v>
      </x:c>
      <x:c r="D5164" s="380" t="str">
        <x:v>Feb</x:v>
      </x:c>
      <x:c r="E5164" s="380" t="n">
        <x:v>14</x:v>
      </x:c>
      <x:c r="F5164" s="380" t="n">
        <x:v>1</x:v>
      </x:c>
      <x:c r="G5164" s="380" t="n">
        <x:f>--(F5164&lt;='Estimator'!$B$7)</x:f>
        <x:v>1</x:v>
      </x:c>
      <x:c r="H5164" s="381" t="n">
        <x:f>SUMIFS('Climate Data'!$G$7:$G$366,'Climate Data'!$A$7:$A$366,'Estimator'!$B$4,'Climate Data'!$B$7:$B$366,C5164)</x:f>
        <x:v>0.23056278464541316</x:v>
      </x:c>
      <x:c r="I5164" s="382" t="n">
        <x:f>SUMIFS('Climate Data'!$H$7:$H$366,'Climate Data'!$A$7:$A$366,'Estimator'!$B$4,'Climate Data'!$B$7:$B$366,C5164)</x:f>
        <x:v>9.682010582010582</x:v>
      </x:c>
      <x:c r="J5164" s="381" t="n">
        <x:f>SUMIFS('Wind Proxy'!$H$8:$H$19,'Wind Proxy'!$A$8:$A$19,'Estimator'!$B$4,'Wind Proxy'!$B$8:$B$19,C5164)</x:f>
        <x:v>0.13757861635220128</x:v>
      </x:c>
    </x:row>
    <x:row r="5165">
      <x:c r="A5165" s="379" t="n">
        <x:v>50816</x:v>
      </x:c>
      <x:c r="B5165" s="380" t="n">
        <x:v>2039</x:v>
      </x:c>
      <x:c r="C5165" s="380" t="n">
        <x:v>2</x:v>
      </x:c>
      <x:c r="D5165" s="380" t="str">
        <x:v>Feb</x:v>
      </x:c>
      <x:c r="E5165" s="380" t="n">
        <x:v>15</x:v>
      </x:c>
      <x:c r="F5165" s="380" t="n">
        <x:v>2</x:v>
      </x:c>
      <x:c r="G5165" s="380" t="n">
        <x:f>--(F5165&lt;='Estimator'!$B$7)</x:f>
        <x:v>1</x:v>
      </x:c>
      <x:c r="H5165" s="381" t="n">
        <x:f>SUMIFS('Climate Data'!$G$7:$G$366,'Climate Data'!$A$7:$A$366,'Estimator'!$B$4,'Climate Data'!$B$7:$B$366,C5165)</x:f>
        <x:v>0.23056278464541316</x:v>
      </x:c>
      <x:c r="I5165" s="382" t="n">
        <x:f>SUMIFS('Climate Data'!$H$7:$H$366,'Climate Data'!$A$7:$A$366,'Estimator'!$B$4,'Climate Data'!$B$7:$B$366,C5165)</x:f>
        <x:v>9.682010582010582</x:v>
      </x:c>
      <x:c r="J5165" s="381" t="n">
        <x:f>SUMIFS('Wind Proxy'!$H$8:$H$19,'Wind Proxy'!$A$8:$A$19,'Estimator'!$B$4,'Wind Proxy'!$B$8:$B$19,C5165)</x:f>
        <x:v>0.13757861635220128</x:v>
      </x:c>
    </x:row>
    <x:row r="5166">
      <x:c r="A5166" s="379" t="n">
        <x:v>50817</x:v>
      </x:c>
      <x:c r="B5166" s="380" t="n">
        <x:v>2039</x:v>
      </x:c>
      <x:c r="C5166" s="380" t="n">
        <x:v>2</x:v>
      </x:c>
      <x:c r="D5166" s="380" t="str">
        <x:v>Feb</x:v>
      </x:c>
      <x:c r="E5166" s="380" t="n">
        <x:v>16</x:v>
      </x:c>
      <x:c r="F5166" s="380" t="n">
        <x:v>3</x:v>
      </x:c>
      <x:c r="G5166" s="380" t="n">
        <x:f>--(F5166&lt;='Estimator'!$B$7)</x:f>
        <x:v>1</x:v>
      </x:c>
      <x:c r="H5166" s="381" t="n">
        <x:f>SUMIFS('Climate Data'!$G$7:$G$366,'Climate Data'!$A$7:$A$366,'Estimator'!$B$4,'Climate Data'!$B$7:$B$366,C5166)</x:f>
        <x:v>0.23056278464541316</x:v>
      </x:c>
      <x:c r="I5166" s="382" t="n">
        <x:f>SUMIFS('Climate Data'!$H$7:$H$366,'Climate Data'!$A$7:$A$366,'Estimator'!$B$4,'Climate Data'!$B$7:$B$366,C5166)</x:f>
        <x:v>9.682010582010582</x:v>
      </x:c>
      <x:c r="J5166" s="381" t="n">
        <x:f>SUMIFS('Wind Proxy'!$H$8:$H$19,'Wind Proxy'!$A$8:$A$19,'Estimator'!$B$4,'Wind Proxy'!$B$8:$B$19,C5166)</x:f>
        <x:v>0.13757861635220128</x:v>
      </x:c>
    </x:row>
    <x:row r="5167">
      <x:c r="A5167" s="379" t="n">
        <x:v>50818</x:v>
      </x:c>
      <x:c r="B5167" s="380" t="n">
        <x:v>2039</x:v>
      </x:c>
      <x:c r="C5167" s="380" t="n">
        <x:v>2</x:v>
      </x:c>
      <x:c r="D5167" s="380" t="str">
        <x:v>Feb</x:v>
      </x:c>
      <x:c r="E5167" s="380" t="n">
        <x:v>17</x:v>
      </x:c>
      <x:c r="F5167" s="380" t="n">
        <x:v>4</x:v>
      </x:c>
      <x:c r="G5167" s="380" t="n">
        <x:f>--(F5167&lt;='Estimator'!$B$7)</x:f>
        <x:v>1</x:v>
      </x:c>
      <x:c r="H5167" s="381" t="n">
        <x:f>SUMIFS('Climate Data'!$G$7:$G$366,'Climate Data'!$A$7:$A$366,'Estimator'!$B$4,'Climate Data'!$B$7:$B$366,C5167)</x:f>
        <x:v>0.23056278464541316</x:v>
      </x:c>
      <x:c r="I5167" s="382" t="n">
        <x:f>SUMIFS('Climate Data'!$H$7:$H$366,'Climate Data'!$A$7:$A$366,'Estimator'!$B$4,'Climate Data'!$B$7:$B$366,C5167)</x:f>
        <x:v>9.682010582010582</x:v>
      </x:c>
      <x:c r="J5167" s="381" t="n">
        <x:f>SUMIFS('Wind Proxy'!$H$8:$H$19,'Wind Proxy'!$A$8:$A$19,'Estimator'!$B$4,'Wind Proxy'!$B$8:$B$19,C5167)</x:f>
        <x:v>0.13757861635220128</x:v>
      </x:c>
    </x:row>
    <x:row r="5168">
      <x:c r="A5168" s="379" t="n">
        <x:v>50819</x:v>
      </x:c>
      <x:c r="B5168" s="380" t="n">
        <x:v>2039</x:v>
      </x:c>
      <x:c r="C5168" s="380" t="n">
        <x:v>2</x:v>
      </x:c>
      <x:c r="D5168" s="380" t="str">
        <x:v>Feb</x:v>
      </x:c>
      <x:c r="E5168" s="380" t="n">
        <x:v>18</x:v>
      </x:c>
      <x:c r="F5168" s="380" t="n">
        <x:v>5</x:v>
      </x:c>
      <x:c r="G5168" s="380" t="n">
        <x:f>--(F5168&lt;='Estimator'!$B$7)</x:f>
        <x:v>1</x:v>
      </x:c>
      <x:c r="H5168" s="381" t="n">
        <x:f>SUMIFS('Climate Data'!$G$7:$G$366,'Climate Data'!$A$7:$A$366,'Estimator'!$B$4,'Climate Data'!$B$7:$B$366,C5168)</x:f>
        <x:v>0.23056278464541316</x:v>
      </x:c>
      <x:c r="I5168" s="382" t="n">
        <x:f>SUMIFS('Climate Data'!$H$7:$H$366,'Climate Data'!$A$7:$A$366,'Estimator'!$B$4,'Climate Data'!$B$7:$B$366,C5168)</x:f>
        <x:v>9.682010582010582</x:v>
      </x:c>
      <x:c r="J5168" s="381" t="n">
        <x:f>SUMIFS('Wind Proxy'!$H$8:$H$19,'Wind Proxy'!$A$8:$A$19,'Estimator'!$B$4,'Wind Proxy'!$B$8:$B$19,C5168)</x:f>
        <x:v>0.13757861635220128</x:v>
      </x:c>
    </x:row>
    <x:row r="5169">
      <x:c r="A5169" s="379" t="n">
        <x:v>50820</x:v>
      </x:c>
      <x:c r="B5169" s="380" t="n">
        <x:v>2039</x:v>
      </x:c>
      <x:c r="C5169" s="380" t="n">
        <x:v>2</x:v>
      </x:c>
      <x:c r="D5169" s="380" t="str">
        <x:v>Feb</x:v>
      </x:c>
      <x:c r="E5169" s="380" t="n">
        <x:v>19</x:v>
      </x:c>
      <x:c r="F5169" s="380" t="n">
        <x:v>6</x:v>
      </x:c>
      <x:c r="G5169" s="380" t="n">
        <x:f>--(F5169&lt;='Estimator'!$B$7)</x:f>
        <x:v>0</x:v>
      </x:c>
      <x:c r="H5169" s="381" t="n">
        <x:f>SUMIFS('Climate Data'!$G$7:$G$366,'Climate Data'!$A$7:$A$366,'Estimator'!$B$4,'Climate Data'!$B$7:$B$366,C5169)</x:f>
        <x:v>0.23056278464541316</x:v>
      </x:c>
      <x:c r="I5169" s="382" t="n">
        <x:f>SUMIFS('Climate Data'!$H$7:$H$366,'Climate Data'!$A$7:$A$366,'Estimator'!$B$4,'Climate Data'!$B$7:$B$366,C5169)</x:f>
        <x:v>9.682010582010582</x:v>
      </x:c>
      <x:c r="J5169" s="381" t="n">
        <x:f>SUMIFS('Wind Proxy'!$H$8:$H$19,'Wind Proxy'!$A$8:$A$19,'Estimator'!$B$4,'Wind Proxy'!$B$8:$B$19,C5169)</x:f>
        <x:v>0.13757861635220128</x:v>
      </x:c>
    </x:row>
    <x:row r="5170">
      <x:c r="A5170" s="379" t="n">
        <x:v>50821</x:v>
      </x:c>
      <x:c r="B5170" s="380" t="n">
        <x:v>2039</x:v>
      </x:c>
      <x:c r="C5170" s="380" t="n">
        <x:v>2</x:v>
      </x:c>
      <x:c r="D5170" s="380" t="str">
        <x:v>Feb</x:v>
      </x:c>
      <x:c r="E5170" s="380" t="n">
        <x:v>20</x:v>
      </x:c>
      <x:c r="F5170" s="380" t="n">
        <x:v>7</x:v>
      </x:c>
      <x:c r="G5170" s="380" t="n">
        <x:f>--(F5170&lt;='Estimator'!$B$7)</x:f>
        <x:v>0</x:v>
      </x:c>
      <x:c r="H5170" s="381" t="n">
        <x:f>SUMIFS('Climate Data'!$G$7:$G$366,'Climate Data'!$A$7:$A$366,'Estimator'!$B$4,'Climate Data'!$B$7:$B$366,C5170)</x:f>
        <x:v>0.23056278464541316</x:v>
      </x:c>
      <x:c r="I5170" s="382" t="n">
        <x:f>SUMIFS('Climate Data'!$H$7:$H$366,'Climate Data'!$A$7:$A$366,'Estimator'!$B$4,'Climate Data'!$B$7:$B$366,C5170)</x:f>
        <x:v>9.682010582010582</x:v>
      </x:c>
      <x:c r="J5170" s="381" t="n">
        <x:f>SUMIFS('Wind Proxy'!$H$8:$H$19,'Wind Proxy'!$A$8:$A$19,'Estimator'!$B$4,'Wind Proxy'!$B$8:$B$19,C5170)</x:f>
        <x:v>0.13757861635220128</x:v>
      </x:c>
    </x:row>
    <x:row r="5171">
      <x:c r="A5171" s="379" t="n">
        <x:v>50822</x:v>
      </x:c>
      <x:c r="B5171" s="380" t="n">
        <x:v>2039</x:v>
      </x:c>
      <x:c r="C5171" s="380" t="n">
        <x:v>2</x:v>
      </x:c>
      <x:c r="D5171" s="380" t="str">
        <x:v>Feb</x:v>
      </x:c>
      <x:c r="E5171" s="380" t="n">
        <x:v>21</x:v>
      </x:c>
      <x:c r="F5171" s="380" t="n">
        <x:v>1</x:v>
      </x:c>
      <x:c r="G5171" s="380" t="n">
        <x:f>--(F5171&lt;='Estimator'!$B$7)</x:f>
        <x:v>1</x:v>
      </x:c>
      <x:c r="H5171" s="381" t="n">
        <x:f>SUMIFS('Climate Data'!$G$7:$G$366,'Climate Data'!$A$7:$A$366,'Estimator'!$B$4,'Climate Data'!$B$7:$B$366,C5171)</x:f>
        <x:v>0.23056278464541316</x:v>
      </x:c>
      <x:c r="I5171" s="382" t="n">
        <x:f>SUMIFS('Climate Data'!$H$7:$H$366,'Climate Data'!$A$7:$A$366,'Estimator'!$B$4,'Climate Data'!$B$7:$B$366,C5171)</x:f>
        <x:v>9.682010582010582</x:v>
      </x:c>
      <x:c r="J5171" s="381" t="n">
        <x:f>SUMIFS('Wind Proxy'!$H$8:$H$19,'Wind Proxy'!$A$8:$A$19,'Estimator'!$B$4,'Wind Proxy'!$B$8:$B$19,C5171)</x:f>
        <x:v>0.13757861635220128</x:v>
      </x:c>
    </x:row>
    <x:row r="5172">
      <x:c r="A5172" s="379" t="n">
        <x:v>50823</x:v>
      </x:c>
      <x:c r="B5172" s="380" t="n">
        <x:v>2039</x:v>
      </x:c>
      <x:c r="C5172" s="380" t="n">
        <x:v>2</x:v>
      </x:c>
      <x:c r="D5172" s="380" t="str">
        <x:v>Feb</x:v>
      </x:c>
      <x:c r="E5172" s="380" t="n">
        <x:v>22</x:v>
      </x:c>
      <x:c r="F5172" s="380" t="n">
        <x:v>2</x:v>
      </x:c>
      <x:c r="G5172" s="380" t="n">
        <x:f>--(F5172&lt;='Estimator'!$B$7)</x:f>
        <x:v>1</x:v>
      </x:c>
      <x:c r="H5172" s="381" t="n">
        <x:f>SUMIFS('Climate Data'!$G$7:$G$366,'Climate Data'!$A$7:$A$366,'Estimator'!$B$4,'Climate Data'!$B$7:$B$366,C5172)</x:f>
        <x:v>0.23056278464541316</x:v>
      </x:c>
      <x:c r="I5172" s="382" t="n">
        <x:f>SUMIFS('Climate Data'!$H$7:$H$366,'Climate Data'!$A$7:$A$366,'Estimator'!$B$4,'Climate Data'!$B$7:$B$366,C5172)</x:f>
        <x:v>9.682010582010582</x:v>
      </x:c>
      <x:c r="J5172" s="381" t="n">
        <x:f>SUMIFS('Wind Proxy'!$H$8:$H$19,'Wind Proxy'!$A$8:$A$19,'Estimator'!$B$4,'Wind Proxy'!$B$8:$B$19,C5172)</x:f>
        <x:v>0.13757861635220128</x:v>
      </x:c>
    </x:row>
    <x:row r="5173">
      <x:c r="A5173" s="379" t="n">
        <x:v>50824</x:v>
      </x:c>
      <x:c r="B5173" s="380" t="n">
        <x:v>2039</x:v>
      </x:c>
      <x:c r="C5173" s="380" t="n">
        <x:v>2</x:v>
      </x:c>
      <x:c r="D5173" s="380" t="str">
        <x:v>Feb</x:v>
      </x:c>
      <x:c r="E5173" s="380" t="n">
        <x:v>23</x:v>
      </x:c>
      <x:c r="F5173" s="380" t="n">
        <x:v>3</x:v>
      </x:c>
      <x:c r="G5173" s="380" t="n">
        <x:f>--(F5173&lt;='Estimator'!$B$7)</x:f>
        <x:v>1</x:v>
      </x:c>
      <x:c r="H5173" s="381" t="n">
        <x:f>SUMIFS('Climate Data'!$G$7:$G$366,'Climate Data'!$A$7:$A$366,'Estimator'!$B$4,'Climate Data'!$B$7:$B$366,C5173)</x:f>
        <x:v>0.23056278464541316</x:v>
      </x:c>
      <x:c r="I5173" s="382" t="n">
        <x:f>SUMIFS('Climate Data'!$H$7:$H$366,'Climate Data'!$A$7:$A$366,'Estimator'!$B$4,'Climate Data'!$B$7:$B$366,C5173)</x:f>
        <x:v>9.682010582010582</x:v>
      </x:c>
      <x:c r="J5173" s="381" t="n">
        <x:f>SUMIFS('Wind Proxy'!$H$8:$H$19,'Wind Proxy'!$A$8:$A$19,'Estimator'!$B$4,'Wind Proxy'!$B$8:$B$19,C5173)</x:f>
        <x:v>0.13757861635220128</x:v>
      </x:c>
    </x:row>
    <x:row r="5174">
      <x:c r="A5174" s="379" t="n">
        <x:v>50825</x:v>
      </x:c>
      <x:c r="B5174" s="380" t="n">
        <x:v>2039</x:v>
      </x:c>
      <x:c r="C5174" s="380" t="n">
        <x:v>2</x:v>
      </x:c>
      <x:c r="D5174" s="380" t="str">
        <x:v>Feb</x:v>
      </x:c>
      <x:c r="E5174" s="380" t="n">
        <x:v>24</x:v>
      </x:c>
      <x:c r="F5174" s="380" t="n">
        <x:v>4</x:v>
      </x:c>
      <x:c r="G5174" s="380" t="n">
        <x:f>--(F5174&lt;='Estimator'!$B$7)</x:f>
        <x:v>1</x:v>
      </x:c>
      <x:c r="H5174" s="381" t="n">
        <x:f>SUMIFS('Climate Data'!$G$7:$G$366,'Climate Data'!$A$7:$A$366,'Estimator'!$B$4,'Climate Data'!$B$7:$B$366,C5174)</x:f>
        <x:v>0.23056278464541316</x:v>
      </x:c>
      <x:c r="I5174" s="382" t="n">
        <x:f>SUMIFS('Climate Data'!$H$7:$H$366,'Climate Data'!$A$7:$A$366,'Estimator'!$B$4,'Climate Data'!$B$7:$B$366,C5174)</x:f>
        <x:v>9.682010582010582</x:v>
      </x:c>
      <x:c r="J5174" s="381" t="n">
        <x:f>SUMIFS('Wind Proxy'!$H$8:$H$19,'Wind Proxy'!$A$8:$A$19,'Estimator'!$B$4,'Wind Proxy'!$B$8:$B$19,C5174)</x:f>
        <x:v>0.13757861635220128</x:v>
      </x:c>
    </x:row>
    <x:row r="5175">
      <x:c r="A5175" s="379" t="n">
        <x:v>50826</x:v>
      </x:c>
      <x:c r="B5175" s="380" t="n">
        <x:v>2039</x:v>
      </x:c>
      <x:c r="C5175" s="380" t="n">
        <x:v>2</x:v>
      </x:c>
      <x:c r="D5175" s="380" t="str">
        <x:v>Feb</x:v>
      </x:c>
      <x:c r="E5175" s="380" t="n">
        <x:v>25</x:v>
      </x:c>
      <x:c r="F5175" s="380" t="n">
        <x:v>5</x:v>
      </x:c>
      <x:c r="G5175" s="380" t="n">
        <x:f>--(F5175&lt;='Estimator'!$B$7)</x:f>
        <x:v>1</x:v>
      </x:c>
      <x:c r="H5175" s="381" t="n">
        <x:f>SUMIFS('Climate Data'!$G$7:$G$366,'Climate Data'!$A$7:$A$366,'Estimator'!$B$4,'Climate Data'!$B$7:$B$366,C5175)</x:f>
        <x:v>0.23056278464541316</x:v>
      </x:c>
      <x:c r="I5175" s="382" t="n">
        <x:f>SUMIFS('Climate Data'!$H$7:$H$366,'Climate Data'!$A$7:$A$366,'Estimator'!$B$4,'Climate Data'!$B$7:$B$366,C5175)</x:f>
        <x:v>9.682010582010582</x:v>
      </x:c>
      <x:c r="J5175" s="381" t="n">
        <x:f>SUMIFS('Wind Proxy'!$H$8:$H$19,'Wind Proxy'!$A$8:$A$19,'Estimator'!$B$4,'Wind Proxy'!$B$8:$B$19,C5175)</x:f>
        <x:v>0.13757861635220128</x:v>
      </x:c>
    </x:row>
    <x:row r="5176">
      <x:c r="A5176" s="379" t="n">
        <x:v>50827</x:v>
      </x:c>
      <x:c r="B5176" s="380" t="n">
        <x:v>2039</x:v>
      </x:c>
      <x:c r="C5176" s="380" t="n">
        <x:v>2</x:v>
      </x:c>
      <x:c r="D5176" s="380" t="str">
        <x:v>Feb</x:v>
      </x:c>
      <x:c r="E5176" s="380" t="n">
        <x:v>26</x:v>
      </x:c>
      <x:c r="F5176" s="380" t="n">
        <x:v>6</x:v>
      </x:c>
      <x:c r="G5176" s="380" t="n">
        <x:f>--(F5176&lt;='Estimator'!$B$7)</x:f>
        <x:v>0</x:v>
      </x:c>
      <x:c r="H5176" s="381" t="n">
        <x:f>SUMIFS('Climate Data'!$G$7:$G$366,'Climate Data'!$A$7:$A$366,'Estimator'!$B$4,'Climate Data'!$B$7:$B$366,C5176)</x:f>
        <x:v>0.23056278464541316</x:v>
      </x:c>
      <x:c r="I5176" s="382" t="n">
        <x:f>SUMIFS('Climate Data'!$H$7:$H$366,'Climate Data'!$A$7:$A$366,'Estimator'!$B$4,'Climate Data'!$B$7:$B$366,C5176)</x:f>
        <x:v>9.682010582010582</x:v>
      </x:c>
      <x:c r="J5176" s="381" t="n">
        <x:f>SUMIFS('Wind Proxy'!$H$8:$H$19,'Wind Proxy'!$A$8:$A$19,'Estimator'!$B$4,'Wind Proxy'!$B$8:$B$19,C5176)</x:f>
        <x:v>0.13757861635220128</x:v>
      </x:c>
    </x:row>
    <x:row r="5177">
      <x:c r="A5177" s="379" t="n">
        <x:v>50828</x:v>
      </x:c>
      <x:c r="B5177" s="380" t="n">
        <x:v>2039</x:v>
      </x:c>
      <x:c r="C5177" s="380" t="n">
        <x:v>2</x:v>
      </x:c>
      <x:c r="D5177" s="380" t="str">
        <x:v>Feb</x:v>
      </x:c>
      <x:c r="E5177" s="380" t="n">
        <x:v>27</x:v>
      </x:c>
      <x:c r="F5177" s="380" t="n">
        <x:v>7</x:v>
      </x:c>
      <x:c r="G5177" s="380" t="n">
        <x:f>--(F5177&lt;='Estimator'!$B$7)</x:f>
        <x:v>0</x:v>
      </x:c>
      <x:c r="H5177" s="381" t="n">
        <x:f>SUMIFS('Climate Data'!$G$7:$G$366,'Climate Data'!$A$7:$A$366,'Estimator'!$B$4,'Climate Data'!$B$7:$B$366,C5177)</x:f>
        <x:v>0.23056278464541316</x:v>
      </x:c>
      <x:c r="I5177" s="382" t="n">
        <x:f>SUMIFS('Climate Data'!$H$7:$H$366,'Climate Data'!$A$7:$A$366,'Estimator'!$B$4,'Climate Data'!$B$7:$B$366,C5177)</x:f>
        <x:v>9.682010582010582</x:v>
      </x:c>
      <x:c r="J5177" s="381" t="n">
        <x:f>SUMIFS('Wind Proxy'!$H$8:$H$19,'Wind Proxy'!$A$8:$A$19,'Estimator'!$B$4,'Wind Proxy'!$B$8:$B$19,C5177)</x:f>
        <x:v>0.13757861635220128</x:v>
      </x:c>
    </x:row>
    <x:row r="5178">
      <x:c r="A5178" s="379" t="n">
        <x:v>50829</x:v>
      </x:c>
      <x:c r="B5178" s="380" t="n">
        <x:v>2039</x:v>
      </x:c>
      <x:c r="C5178" s="380" t="n">
        <x:v>2</x:v>
      </x:c>
      <x:c r="D5178" s="380" t="str">
        <x:v>Feb</x:v>
      </x:c>
      <x:c r="E5178" s="380" t="n">
        <x:v>28</x:v>
      </x:c>
      <x:c r="F5178" s="380" t="n">
        <x:v>1</x:v>
      </x:c>
      <x:c r="G5178" s="380" t="n">
        <x:f>--(F5178&lt;='Estimator'!$B$7)</x:f>
        <x:v>1</x:v>
      </x:c>
      <x:c r="H5178" s="381" t="n">
        <x:f>SUMIFS('Climate Data'!$G$7:$G$366,'Climate Data'!$A$7:$A$366,'Estimator'!$B$4,'Climate Data'!$B$7:$B$366,C5178)</x:f>
        <x:v>0.23056278464541316</x:v>
      </x:c>
      <x:c r="I5178" s="382" t="n">
        <x:f>SUMIFS('Climate Data'!$H$7:$H$366,'Climate Data'!$A$7:$A$366,'Estimator'!$B$4,'Climate Data'!$B$7:$B$366,C5178)</x:f>
        <x:v>9.682010582010582</x:v>
      </x:c>
      <x:c r="J5178" s="381" t="n">
        <x:f>SUMIFS('Wind Proxy'!$H$8:$H$19,'Wind Proxy'!$A$8:$A$19,'Estimator'!$B$4,'Wind Proxy'!$B$8:$B$19,C5178)</x:f>
        <x:v>0.13757861635220128</x:v>
      </x:c>
    </x:row>
    <x:row r="5179">
      <x:c r="A5179" s="379" t="n">
        <x:v>50830</x:v>
      </x:c>
      <x:c r="B5179" s="380" t="n">
        <x:v>2039</x:v>
      </x:c>
      <x:c r="C5179" s="380" t="n">
        <x:v>3</x:v>
      </x:c>
      <x:c r="D5179" s="380" t="str">
        <x:v>Mar</x:v>
      </x:c>
      <x:c r="E5179" s="380" t="n">
        <x:v>1</x:v>
      </x:c>
      <x:c r="F5179" s="380" t="n">
        <x:v>2</x:v>
      </x:c>
      <x:c r="G5179" s="380" t="n">
        <x:f>--(F5179&lt;='Estimator'!$B$7)</x:f>
        <x:v>1</x:v>
      </x:c>
      <x:c r="H5179" s="381" t="n">
        <x:f>SUMIFS('Climate Data'!$G$7:$G$366,'Climate Data'!$A$7:$A$366,'Estimator'!$B$4,'Climate Data'!$B$7:$B$366,C5179)</x:f>
        <x:v>0.24916573971078979</x:v>
      </x:c>
      <x:c r="I5179" s="382" t="n">
        <x:f>SUMIFS('Climate Data'!$H$7:$H$366,'Climate Data'!$A$7:$A$366,'Estimator'!$B$4,'Climate Data'!$B$7:$B$366,C5179)</x:f>
        <x:v>9.709821428571429</x:v>
      </x:c>
      <x:c r="J5179" s="381" t="n">
        <x:f>SUMIFS('Wind Proxy'!$H$8:$H$19,'Wind Proxy'!$A$8:$A$19,'Estimator'!$B$4,'Wind Proxy'!$B$8:$B$19,C5179)</x:f>
        <x:v>0.11350059737156513</x:v>
      </x:c>
    </x:row>
    <x:row r="5180">
      <x:c r="A5180" s="379" t="n">
        <x:v>50831</x:v>
      </x:c>
      <x:c r="B5180" s="380" t="n">
        <x:v>2039</x:v>
      </x:c>
      <x:c r="C5180" s="380" t="n">
        <x:v>3</x:v>
      </x:c>
      <x:c r="D5180" s="380" t="str">
        <x:v>Mar</x:v>
      </x:c>
      <x:c r="E5180" s="380" t="n">
        <x:v>2</x:v>
      </x:c>
      <x:c r="F5180" s="380" t="n">
        <x:v>3</x:v>
      </x:c>
      <x:c r="G5180" s="380" t="n">
        <x:f>--(F5180&lt;='Estimator'!$B$7)</x:f>
        <x:v>1</x:v>
      </x:c>
      <x:c r="H5180" s="381" t="n">
        <x:f>SUMIFS('Climate Data'!$G$7:$G$366,'Climate Data'!$A$7:$A$366,'Estimator'!$B$4,'Climate Data'!$B$7:$B$366,C5180)</x:f>
        <x:v>0.24916573971078979</x:v>
      </x:c>
      <x:c r="I5180" s="382" t="n">
        <x:f>SUMIFS('Climate Data'!$H$7:$H$366,'Climate Data'!$A$7:$A$366,'Estimator'!$B$4,'Climate Data'!$B$7:$B$366,C5180)</x:f>
        <x:v>9.709821428571429</x:v>
      </x:c>
      <x:c r="J5180" s="381" t="n">
        <x:f>SUMIFS('Wind Proxy'!$H$8:$H$19,'Wind Proxy'!$A$8:$A$19,'Estimator'!$B$4,'Wind Proxy'!$B$8:$B$19,C5180)</x:f>
        <x:v>0.11350059737156513</x:v>
      </x:c>
    </x:row>
    <x:row r="5181">
      <x:c r="A5181" s="379" t="n">
        <x:v>50832</x:v>
      </x:c>
      <x:c r="B5181" s="380" t="n">
        <x:v>2039</x:v>
      </x:c>
      <x:c r="C5181" s="380" t="n">
        <x:v>3</x:v>
      </x:c>
      <x:c r="D5181" s="380" t="str">
        <x:v>Mar</x:v>
      </x:c>
      <x:c r="E5181" s="380" t="n">
        <x:v>3</x:v>
      </x:c>
      <x:c r="F5181" s="380" t="n">
        <x:v>4</x:v>
      </x:c>
      <x:c r="G5181" s="380" t="n">
        <x:f>--(F5181&lt;='Estimator'!$B$7)</x:f>
        <x:v>1</x:v>
      </x:c>
      <x:c r="H5181" s="381" t="n">
        <x:f>SUMIFS('Climate Data'!$G$7:$G$366,'Climate Data'!$A$7:$A$366,'Estimator'!$B$4,'Climate Data'!$B$7:$B$366,C5181)</x:f>
        <x:v>0.24916573971078979</x:v>
      </x:c>
      <x:c r="I5181" s="382" t="n">
        <x:f>SUMIFS('Climate Data'!$H$7:$H$366,'Climate Data'!$A$7:$A$366,'Estimator'!$B$4,'Climate Data'!$B$7:$B$366,C5181)</x:f>
        <x:v>9.709821428571429</x:v>
      </x:c>
      <x:c r="J5181" s="381" t="n">
        <x:f>SUMIFS('Wind Proxy'!$H$8:$H$19,'Wind Proxy'!$A$8:$A$19,'Estimator'!$B$4,'Wind Proxy'!$B$8:$B$19,C5181)</x:f>
        <x:v>0.11350059737156513</x:v>
      </x:c>
    </x:row>
    <x:row r="5182">
      <x:c r="A5182" s="379" t="n">
        <x:v>50833</x:v>
      </x:c>
      <x:c r="B5182" s="380" t="n">
        <x:v>2039</x:v>
      </x:c>
      <x:c r="C5182" s="380" t="n">
        <x:v>3</x:v>
      </x:c>
      <x:c r="D5182" s="380" t="str">
        <x:v>Mar</x:v>
      </x:c>
      <x:c r="E5182" s="380" t="n">
        <x:v>4</x:v>
      </x:c>
      <x:c r="F5182" s="380" t="n">
        <x:v>5</x:v>
      </x:c>
      <x:c r="G5182" s="380" t="n">
        <x:f>--(F5182&lt;='Estimator'!$B$7)</x:f>
        <x:v>1</x:v>
      </x:c>
      <x:c r="H5182" s="381" t="n">
        <x:f>SUMIFS('Climate Data'!$G$7:$G$366,'Climate Data'!$A$7:$A$366,'Estimator'!$B$4,'Climate Data'!$B$7:$B$366,C5182)</x:f>
        <x:v>0.24916573971078979</x:v>
      </x:c>
      <x:c r="I5182" s="382" t="n">
        <x:f>SUMIFS('Climate Data'!$H$7:$H$366,'Climate Data'!$A$7:$A$366,'Estimator'!$B$4,'Climate Data'!$B$7:$B$366,C5182)</x:f>
        <x:v>9.709821428571429</x:v>
      </x:c>
      <x:c r="J5182" s="381" t="n">
        <x:f>SUMIFS('Wind Proxy'!$H$8:$H$19,'Wind Proxy'!$A$8:$A$19,'Estimator'!$B$4,'Wind Proxy'!$B$8:$B$19,C5182)</x:f>
        <x:v>0.11350059737156513</x:v>
      </x:c>
    </x:row>
    <x:row r="5183">
      <x:c r="A5183" s="379" t="n">
        <x:v>50834</x:v>
      </x:c>
      <x:c r="B5183" s="380" t="n">
        <x:v>2039</x:v>
      </x:c>
      <x:c r="C5183" s="380" t="n">
        <x:v>3</x:v>
      </x:c>
      <x:c r="D5183" s="380" t="str">
        <x:v>Mar</x:v>
      </x:c>
      <x:c r="E5183" s="380" t="n">
        <x:v>5</x:v>
      </x:c>
      <x:c r="F5183" s="380" t="n">
        <x:v>6</x:v>
      </x:c>
      <x:c r="G5183" s="380" t="n">
        <x:f>--(F5183&lt;='Estimator'!$B$7)</x:f>
        <x:v>0</x:v>
      </x:c>
      <x:c r="H5183" s="381" t="n">
        <x:f>SUMIFS('Climate Data'!$G$7:$G$366,'Climate Data'!$A$7:$A$366,'Estimator'!$B$4,'Climate Data'!$B$7:$B$366,C5183)</x:f>
        <x:v>0.24916573971078979</x:v>
      </x:c>
      <x:c r="I5183" s="382" t="n">
        <x:f>SUMIFS('Climate Data'!$H$7:$H$366,'Climate Data'!$A$7:$A$366,'Estimator'!$B$4,'Climate Data'!$B$7:$B$366,C5183)</x:f>
        <x:v>9.709821428571429</x:v>
      </x:c>
      <x:c r="J5183" s="381" t="n">
        <x:f>SUMIFS('Wind Proxy'!$H$8:$H$19,'Wind Proxy'!$A$8:$A$19,'Estimator'!$B$4,'Wind Proxy'!$B$8:$B$19,C5183)</x:f>
        <x:v>0.11350059737156513</x:v>
      </x:c>
    </x:row>
    <x:row r="5184">
      <x:c r="A5184" s="379" t="n">
        <x:v>50835</x:v>
      </x:c>
      <x:c r="B5184" s="380" t="n">
        <x:v>2039</x:v>
      </x:c>
      <x:c r="C5184" s="380" t="n">
        <x:v>3</x:v>
      </x:c>
      <x:c r="D5184" s="380" t="str">
        <x:v>Mar</x:v>
      </x:c>
      <x:c r="E5184" s="380" t="n">
        <x:v>6</x:v>
      </x:c>
      <x:c r="F5184" s="380" t="n">
        <x:v>7</x:v>
      </x:c>
      <x:c r="G5184" s="380" t="n">
        <x:f>--(F5184&lt;='Estimator'!$B$7)</x:f>
        <x:v>0</x:v>
      </x:c>
      <x:c r="H5184" s="381" t="n">
        <x:f>SUMIFS('Climate Data'!$G$7:$G$366,'Climate Data'!$A$7:$A$366,'Estimator'!$B$4,'Climate Data'!$B$7:$B$366,C5184)</x:f>
        <x:v>0.24916573971078979</x:v>
      </x:c>
      <x:c r="I5184" s="382" t="n">
        <x:f>SUMIFS('Climate Data'!$H$7:$H$366,'Climate Data'!$A$7:$A$366,'Estimator'!$B$4,'Climate Data'!$B$7:$B$366,C5184)</x:f>
        <x:v>9.709821428571429</x:v>
      </x:c>
      <x:c r="J5184" s="381" t="n">
        <x:f>SUMIFS('Wind Proxy'!$H$8:$H$19,'Wind Proxy'!$A$8:$A$19,'Estimator'!$B$4,'Wind Proxy'!$B$8:$B$19,C5184)</x:f>
        <x:v>0.11350059737156513</x:v>
      </x:c>
    </x:row>
    <x:row r="5185">
      <x:c r="A5185" s="379" t="n">
        <x:v>50836</x:v>
      </x:c>
      <x:c r="B5185" s="380" t="n">
        <x:v>2039</x:v>
      </x:c>
      <x:c r="C5185" s="380" t="n">
        <x:v>3</x:v>
      </x:c>
      <x:c r="D5185" s="380" t="str">
        <x:v>Mar</x:v>
      </x:c>
      <x:c r="E5185" s="380" t="n">
        <x:v>7</x:v>
      </x:c>
      <x:c r="F5185" s="380" t="n">
        <x:v>1</x:v>
      </x:c>
      <x:c r="G5185" s="380" t="n">
        <x:f>--(F5185&lt;='Estimator'!$B$7)</x:f>
        <x:v>1</x:v>
      </x:c>
      <x:c r="H5185" s="381" t="n">
        <x:f>SUMIFS('Climate Data'!$G$7:$G$366,'Climate Data'!$A$7:$A$366,'Estimator'!$B$4,'Climate Data'!$B$7:$B$366,C5185)</x:f>
        <x:v>0.24916573971078979</x:v>
      </x:c>
      <x:c r="I5185" s="382" t="n">
        <x:f>SUMIFS('Climate Data'!$H$7:$H$366,'Climate Data'!$A$7:$A$366,'Estimator'!$B$4,'Climate Data'!$B$7:$B$366,C5185)</x:f>
        <x:v>9.709821428571429</x:v>
      </x:c>
      <x:c r="J5185" s="381" t="n">
        <x:f>SUMIFS('Wind Proxy'!$H$8:$H$19,'Wind Proxy'!$A$8:$A$19,'Estimator'!$B$4,'Wind Proxy'!$B$8:$B$19,C5185)</x:f>
        <x:v>0.11350059737156513</x:v>
      </x:c>
    </x:row>
    <x:row r="5186">
      <x:c r="A5186" s="379" t="n">
        <x:v>50837</x:v>
      </x:c>
      <x:c r="B5186" s="380" t="n">
        <x:v>2039</x:v>
      </x:c>
      <x:c r="C5186" s="380" t="n">
        <x:v>3</x:v>
      </x:c>
      <x:c r="D5186" s="380" t="str">
        <x:v>Mar</x:v>
      </x:c>
      <x:c r="E5186" s="380" t="n">
        <x:v>8</x:v>
      </x:c>
      <x:c r="F5186" s="380" t="n">
        <x:v>2</x:v>
      </x:c>
      <x:c r="G5186" s="380" t="n">
        <x:f>--(F5186&lt;='Estimator'!$B$7)</x:f>
        <x:v>1</x:v>
      </x:c>
      <x:c r="H5186" s="381" t="n">
        <x:f>SUMIFS('Climate Data'!$G$7:$G$366,'Climate Data'!$A$7:$A$366,'Estimator'!$B$4,'Climate Data'!$B$7:$B$366,C5186)</x:f>
        <x:v>0.24916573971078979</x:v>
      </x:c>
      <x:c r="I5186" s="382" t="n">
        <x:f>SUMIFS('Climate Data'!$H$7:$H$366,'Climate Data'!$A$7:$A$366,'Estimator'!$B$4,'Climate Data'!$B$7:$B$366,C5186)</x:f>
        <x:v>9.709821428571429</x:v>
      </x:c>
      <x:c r="J5186" s="381" t="n">
        <x:f>SUMIFS('Wind Proxy'!$H$8:$H$19,'Wind Proxy'!$A$8:$A$19,'Estimator'!$B$4,'Wind Proxy'!$B$8:$B$19,C5186)</x:f>
        <x:v>0.11350059737156513</x:v>
      </x:c>
    </x:row>
    <x:row r="5187">
      <x:c r="A5187" s="379" t="n">
        <x:v>50838</x:v>
      </x:c>
      <x:c r="B5187" s="380" t="n">
        <x:v>2039</x:v>
      </x:c>
      <x:c r="C5187" s="380" t="n">
        <x:v>3</x:v>
      </x:c>
      <x:c r="D5187" s="380" t="str">
        <x:v>Mar</x:v>
      </x:c>
      <x:c r="E5187" s="380" t="n">
        <x:v>9</x:v>
      </x:c>
      <x:c r="F5187" s="380" t="n">
        <x:v>3</x:v>
      </x:c>
      <x:c r="G5187" s="380" t="n">
        <x:f>--(F5187&lt;='Estimator'!$B$7)</x:f>
        <x:v>1</x:v>
      </x:c>
      <x:c r="H5187" s="381" t="n">
        <x:f>SUMIFS('Climate Data'!$G$7:$G$366,'Climate Data'!$A$7:$A$366,'Estimator'!$B$4,'Climate Data'!$B$7:$B$366,C5187)</x:f>
        <x:v>0.24916573971078979</x:v>
      </x:c>
      <x:c r="I5187" s="382" t="n">
        <x:f>SUMIFS('Climate Data'!$H$7:$H$366,'Climate Data'!$A$7:$A$366,'Estimator'!$B$4,'Climate Data'!$B$7:$B$366,C5187)</x:f>
        <x:v>9.709821428571429</x:v>
      </x:c>
      <x:c r="J5187" s="381" t="n">
        <x:f>SUMIFS('Wind Proxy'!$H$8:$H$19,'Wind Proxy'!$A$8:$A$19,'Estimator'!$B$4,'Wind Proxy'!$B$8:$B$19,C5187)</x:f>
        <x:v>0.11350059737156513</x:v>
      </x:c>
    </x:row>
    <x:row r="5188">
      <x:c r="A5188" s="379" t="n">
        <x:v>50839</x:v>
      </x:c>
      <x:c r="B5188" s="380" t="n">
        <x:v>2039</x:v>
      </x:c>
      <x:c r="C5188" s="380" t="n">
        <x:v>3</x:v>
      </x:c>
      <x:c r="D5188" s="380" t="str">
        <x:v>Mar</x:v>
      </x:c>
      <x:c r="E5188" s="380" t="n">
        <x:v>10</x:v>
      </x:c>
      <x:c r="F5188" s="380" t="n">
        <x:v>4</x:v>
      </x:c>
      <x:c r="G5188" s="380" t="n">
        <x:f>--(F5188&lt;='Estimator'!$B$7)</x:f>
        <x:v>1</x:v>
      </x:c>
      <x:c r="H5188" s="381" t="n">
        <x:f>SUMIFS('Climate Data'!$G$7:$G$366,'Climate Data'!$A$7:$A$366,'Estimator'!$B$4,'Climate Data'!$B$7:$B$366,C5188)</x:f>
        <x:v>0.24916573971078979</x:v>
      </x:c>
      <x:c r="I5188" s="382" t="n">
        <x:f>SUMIFS('Climate Data'!$H$7:$H$366,'Climate Data'!$A$7:$A$366,'Estimator'!$B$4,'Climate Data'!$B$7:$B$366,C5188)</x:f>
        <x:v>9.709821428571429</x:v>
      </x:c>
      <x:c r="J5188" s="381" t="n">
        <x:f>SUMIFS('Wind Proxy'!$H$8:$H$19,'Wind Proxy'!$A$8:$A$19,'Estimator'!$B$4,'Wind Proxy'!$B$8:$B$19,C5188)</x:f>
        <x:v>0.11350059737156513</x:v>
      </x:c>
    </x:row>
    <x:row r="5189">
      <x:c r="A5189" s="379" t="n">
        <x:v>50840</x:v>
      </x:c>
      <x:c r="B5189" s="380" t="n">
        <x:v>2039</x:v>
      </x:c>
      <x:c r="C5189" s="380" t="n">
        <x:v>3</x:v>
      </x:c>
      <x:c r="D5189" s="380" t="str">
        <x:v>Mar</x:v>
      </x:c>
      <x:c r="E5189" s="380" t="n">
        <x:v>11</x:v>
      </x:c>
      <x:c r="F5189" s="380" t="n">
        <x:v>5</x:v>
      </x:c>
      <x:c r="G5189" s="380" t="n">
        <x:f>--(F5189&lt;='Estimator'!$B$7)</x:f>
        <x:v>1</x:v>
      </x:c>
      <x:c r="H5189" s="381" t="n">
        <x:f>SUMIFS('Climate Data'!$G$7:$G$366,'Climate Data'!$A$7:$A$366,'Estimator'!$B$4,'Climate Data'!$B$7:$B$366,C5189)</x:f>
        <x:v>0.24916573971078979</x:v>
      </x:c>
      <x:c r="I5189" s="382" t="n">
        <x:f>SUMIFS('Climate Data'!$H$7:$H$366,'Climate Data'!$A$7:$A$366,'Estimator'!$B$4,'Climate Data'!$B$7:$B$366,C5189)</x:f>
        <x:v>9.709821428571429</x:v>
      </x:c>
      <x:c r="J5189" s="381" t="n">
        <x:f>SUMIFS('Wind Proxy'!$H$8:$H$19,'Wind Proxy'!$A$8:$A$19,'Estimator'!$B$4,'Wind Proxy'!$B$8:$B$19,C5189)</x:f>
        <x:v>0.11350059737156513</x:v>
      </x:c>
    </x:row>
    <x:row r="5190">
      <x:c r="A5190" s="379" t="n">
        <x:v>50841</x:v>
      </x:c>
      <x:c r="B5190" s="380" t="n">
        <x:v>2039</x:v>
      </x:c>
      <x:c r="C5190" s="380" t="n">
        <x:v>3</x:v>
      </x:c>
      <x:c r="D5190" s="380" t="str">
        <x:v>Mar</x:v>
      </x:c>
      <x:c r="E5190" s="380" t="n">
        <x:v>12</x:v>
      </x:c>
      <x:c r="F5190" s="380" t="n">
        <x:v>6</x:v>
      </x:c>
      <x:c r="G5190" s="380" t="n">
        <x:f>--(F5190&lt;='Estimator'!$B$7)</x:f>
        <x:v>0</x:v>
      </x:c>
      <x:c r="H5190" s="381" t="n">
        <x:f>SUMIFS('Climate Data'!$G$7:$G$366,'Climate Data'!$A$7:$A$366,'Estimator'!$B$4,'Climate Data'!$B$7:$B$366,C5190)</x:f>
        <x:v>0.24916573971078979</x:v>
      </x:c>
      <x:c r="I5190" s="382" t="n">
        <x:f>SUMIFS('Climate Data'!$H$7:$H$366,'Climate Data'!$A$7:$A$366,'Estimator'!$B$4,'Climate Data'!$B$7:$B$366,C5190)</x:f>
        <x:v>9.709821428571429</x:v>
      </x:c>
      <x:c r="J5190" s="381" t="n">
        <x:f>SUMIFS('Wind Proxy'!$H$8:$H$19,'Wind Proxy'!$A$8:$A$19,'Estimator'!$B$4,'Wind Proxy'!$B$8:$B$19,C5190)</x:f>
        <x:v>0.11350059737156513</x:v>
      </x:c>
    </x:row>
    <x:row r="5191">
      <x:c r="A5191" s="379" t="n">
        <x:v>50842</x:v>
      </x:c>
      <x:c r="B5191" s="380" t="n">
        <x:v>2039</x:v>
      </x:c>
      <x:c r="C5191" s="380" t="n">
        <x:v>3</x:v>
      </x:c>
      <x:c r="D5191" s="380" t="str">
        <x:v>Mar</x:v>
      </x:c>
      <x:c r="E5191" s="380" t="n">
        <x:v>13</x:v>
      </x:c>
      <x:c r="F5191" s="380" t="n">
        <x:v>7</x:v>
      </x:c>
      <x:c r="G5191" s="380" t="n">
        <x:f>--(F5191&lt;='Estimator'!$B$7)</x:f>
        <x:v>0</x:v>
      </x:c>
      <x:c r="H5191" s="381" t="n">
        <x:f>SUMIFS('Climate Data'!$G$7:$G$366,'Climate Data'!$A$7:$A$366,'Estimator'!$B$4,'Climate Data'!$B$7:$B$366,C5191)</x:f>
        <x:v>0.24916573971078979</x:v>
      </x:c>
      <x:c r="I5191" s="382" t="n">
        <x:f>SUMIFS('Climate Data'!$H$7:$H$366,'Climate Data'!$A$7:$A$366,'Estimator'!$B$4,'Climate Data'!$B$7:$B$366,C5191)</x:f>
        <x:v>9.709821428571429</x:v>
      </x:c>
      <x:c r="J5191" s="381" t="n">
        <x:f>SUMIFS('Wind Proxy'!$H$8:$H$19,'Wind Proxy'!$A$8:$A$19,'Estimator'!$B$4,'Wind Proxy'!$B$8:$B$19,C5191)</x:f>
        <x:v>0.11350059737156513</x:v>
      </x:c>
    </x:row>
    <x:row r="5192">
      <x:c r="A5192" s="379" t="n">
        <x:v>50843</x:v>
      </x:c>
      <x:c r="B5192" s="380" t="n">
        <x:v>2039</x:v>
      </x:c>
      <x:c r="C5192" s="380" t="n">
        <x:v>3</x:v>
      </x:c>
      <x:c r="D5192" s="380" t="str">
        <x:v>Mar</x:v>
      </x:c>
      <x:c r="E5192" s="380" t="n">
        <x:v>14</x:v>
      </x:c>
      <x:c r="F5192" s="380" t="n">
        <x:v>1</x:v>
      </x:c>
      <x:c r="G5192" s="380" t="n">
        <x:f>--(F5192&lt;='Estimator'!$B$7)</x:f>
        <x:v>1</x:v>
      </x:c>
      <x:c r="H5192" s="381" t="n">
        <x:f>SUMIFS('Climate Data'!$G$7:$G$366,'Climate Data'!$A$7:$A$366,'Estimator'!$B$4,'Climate Data'!$B$7:$B$366,C5192)</x:f>
        <x:v>0.24916573971078979</x:v>
      </x:c>
      <x:c r="I5192" s="382" t="n">
        <x:f>SUMIFS('Climate Data'!$H$7:$H$366,'Climate Data'!$A$7:$A$366,'Estimator'!$B$4,'Climate Data'!$B$7:$B$366,C5192)</x:f>
        <x:v>9.709821428571429</x:v>
      </x:c>
      <x:c r="J5192" s="381" t="n">
        <x:f>SUMIFS('Wind Proxy'!$H$8:$H$19,'Wind Proxy'!$A$8:$A$19,'Estimator'!$B$4,'Wind Proxy'!$B$8:$B$19,C5192)</x:f>
        <x:v>0.11350059737156513</x:v>
      </x:c>
    </x:row>
    <x:row r="5193">
      <x:c r="A5193" s="379" t="n">
        <x:v>50844</x:v>
      </x:c>
      <x:c r="B5193" s="380" t="n">
        <x:v>2039</x:v>
      </x:c>
      <x:c r="C5193" s="380" t="n">
        <x:v>3</x:v>
      </x:c>
      <x:c r="D5193" s="380" t="str">
        <x:v>Mar</x:v>
      </x:c>
      <x:c r="E5193" s="380" t="n">
        <x:v>15</x:v>
      </x:c>
      <x:c r="F5193" s="380" t="n">
        <x:v>2</x:v>
      </x:c>
      <x:c r="G5193" s="380" t="n">
        <x:f>--(F5193&lt;='Estimator'!$B$7)</x:f>
        <x:v>1</x:v>
      </x:c>
      <x:c r="H5193" s="381" t="n">
        <x:f>SUMIFS('Climate Data'!$G$7:$G$366,'Climate Data'!$A$7:$A$366,'Estimator'!$B$4,'Climate Data'!$B$7:$B$366,C5193)</x:f>
        <x:v>0.24916573971078979</x:v>
      </x:c>
      <x:c r="I5193" s="382" t="n">
        <x:f>SUMIFS('Climate Data'!$H$7:$H$366,'Climate Data'!$A$7:$A$366,'Estimator'!$B$4,'Climate Data'!$B$7:$B$366,C5193)</x:f>
        <x:v>9.709821428571429</x:v>
      </x:c>
      <x:c r="J5193" s="381" t="n">
        <x:f>SUMIFS('Wind Proxy'!$H$8:$H$19,'Wind Proxy'!$A$8:$A$19,'Estimator'!$B$4,'Wind Proxy'!$B$8:$B$19,C5193)</x:f>
        <x:v>0.11350059737156513</x:v>
      </x:c>
    </x:row>
    <x:row r="5194">
      <x:c r="A5194" s="379" t="n">
        <x:v>50845</x:v>
      </x:c>
      <x:c r="B5194" s="380" t="n">
        <x:v>2039</x:v>
      </x:c>
      <x:c r="C5194" s="380" t="n">
        <x:v>3</x:v>
      </x:c>
      <x:c r="D5194" s="380" t="str">
        <x:v>Mar</x:v>
      </x:c>
      <x:c r="E5194" s="380" t="n">
        <x:v>16</x:v>
      </x:c>
      <x:c r="F5194" s="380" t="n">
        <x:v>3</x:v>
      </x:c>
      <x:c r="G5194" s="380" t="n">
        <x:f>--(F5194&lt;='Estimator'!$B$7)</x:f>
        <x:v>1</x:v>
      </x:c>
      <x:c r="H5194" s="381" t="n">
        <x:f>SUMIFS('Climate Data'!$G$7:$G$366,'Climate Data'!$A$7:$A$366,'Estimator'!$B$4,'Climate Data'!$B$7:$B$366,C5194)</x:f>
        <x:v>0.24916573971078979</x:v>
      </x:c>
      <x:c r="I5194" s="382" t="n">
        <x:f>SUMIFS('Climate Data'!$H$7:$H$366,'Climate Data'!$A$7:$A$366,'Estimator'!$B$4,'Climate Data'!$B$7:$B$366,C5194)</x:f>
        <x:v>9.709821428571429</x:v>
      </x:c>
      <x:c r="J5194" s="381" t="n">
        <x:f>SUMIFS('Wind Proxy'!$H$8:$H$19,'Wind Proxy'!$A$8:$A$19,'Estimator'!$B$4,'Wind Proxy'!$B$8:$B$19,C5194)</x:f>
        <x:v>0.11350059737156513</x:v>
      </x:c>
    </x:row>
    <x:row r="5195">
      <x:c r="A5195" s="379" t="n">
        <x:v>50846</x:v>
      </x:c>
      <x:c r="B5195" s="380" t="n">
        <x:v>2039</x:v>
      </x:c>
      <x:c r="C5195" s="380" t="n">
        <x:v>3</x:v>
      </x:c>
      <x:c r="D5195" s="380" t="str">
        <x:v>Mar</x:v>
      </x:c>
      <x:c r="E5195" s="380" t="n">
        <x:v>17</x:v>
      </x:c>
      <x:c r="F5195" s="380" t="n">
        <x:v>4</x:v>
      </x:c>
      <x:c r="G5195" s="380" t="n">
        <x:f>--(F5195&lt;='Estimator'!$B$7)</x:f>
        <x:v>1</x:v>
      </x:c>
      <x:c r="H5195" s="381" t="n">
        <x:f>SUMIFS('Climate Data'!$G$7:$G$366,'Climate Data'!$A$7:$A$366,'Estimator'!$B$4,'Climate Data'!$B$7:$B$366,C5195)</x:f>
        <x:v>0.24916573971078979</x:v>
      </x:c>
      <x:c r="I5195" s="382" t="n">
        <x:f>SUMIFS('Climate Data'!$H$7:$H$366,'Climate Data'!$A$7:$A$366,'Estimator'!$B$4,'Climate Data'!$B$7:$B$366,C5195)</x:f>
        <x:v>9.709821428571429</x:v>
      </x:c>
      <x:c r="J5195" s="381" t="n">
        <x:f>SUMIFS('Wind Proxy'!$H$8:$H$19,'Wind Proxy'!$A$8:$A$19,'Estimator'!$B$4,'Wind Proxy'!$B$8:$B$19,C5195)</x:f>
        <x:v>0.11350059737156513</x:v>
      </x:c>
    </x:row>
    <x:row r="5196">
      <x:c r="A5196" s="379" t="n">
        <x:v>50847</x:v>
      </x:c>
      <x:c r="B5196" s="380" t="n">
        <x:v>2039</x:v>
      </x:c>
      <x:c r="C5196" s="380" t="n">
        <x:v>3</x:v>
      </x:c>
      <x:c r="D5196" s="380" t="str">
        <x:v>Mar</x:v>
      </x:c>
      <x:c r="E5196" s="380" t="n">
        <x:v>18</x:v>
      </x:c>
      <x:c r="F5196" s="380" t="n">
        <x:v>5</x:v>
      </x:c>
      <x:c r="G5196" s="380" t="n">
        <x:f>--(F5196&lt;='Estimator'!$B$7)</x:f>
        <x:v>1</x:v>
      </x:c>
      <x:c r="H5196" s="381" t="n">
        <x:f>SUMIFS('Climate Data'!$G$7:$G$366,'Climate Data'!$A$7:$A$366,'Estimator'!$B$4,'Climate Data'!$B$7:$B$366,C5196)</x:f>
        <x:v>0.24916573971078979</x:v>
      </x:c>
      <x:c r="I5196" s="382" t="n">
        <x:f>SUMIFS('Climate Data'!$H$7:$H$366,'Climate Data'!$A$7:$A$366,'Estimator'!$B$4,'Climate Data'!$B$7:$B$366,C5196)</x:f>
        <x:v>9.709821428571429</x:v>
      </x:c>
      <x:c r="J5196" s="381" t="n">
        <x:f>SUMIFS('Wind Proxy'!$H$8:$H$19,'Wind Proxy'!$A$8:$A$19,'Estimator'!$B$4,'Wind Proxy'!$B$8:$B$19,C5196)</x:f>
        <x:v>0.11350059737156513</x:v>
      </x:c>
    </x:row>
    <x:row r="5197">
      <x:c r="A5197" s="379" t="n">
        <x:v>50848</x:v>
      </x:c>
      <x:c r="B5197" s="380" t="n">
        <x:v>2039</x:v>
      </x:c>
      <x:c r="C5197" s="380" t="n">
        <x:v>3</x:v>
      </x:c>
      <x:c r="D5197" s="380" t="str">
        <x:v>Mar</x:v>
      </x:c>
      <x:c r="E5197" s="380" t="n">
        <x:v>19</x:v>
      </x:c>
      <x:c r="F5197" s="380" t="n">
        <x:v>6</x:v>
      </x:c>
      <x:c r="G5197" s="380" t="n">
        <x:f>--(F5197&lt;='Estimator'!$B$7)</x:f>
        <x:v>0</x:v>
      </x:c>
      <x:c r="H5197" s="381" t="n">
        <x:f>SUMIFS('Climate Data'!$G$7:$G$366,'Climate Data'!$A$7:$A$366,'Estimator'!$B$4,'Climate Data'!$B$7:$B$366,C5197)</x:f>
        <x:v>0.24916573971078979</x:v>
      </x:c>
      <x:c r="I5197" s="382" t="n">
        <x:f>SUMIFS('Climate Data'!$H$7:$H$366,'Climate Data'!$A$7:$A$366,'Estimator'!$B$4,'Climate Data'!$B$7:$B$366,C5197)</x:f>
        <x:v>9.709821428571429</x:v>
      </x:c>
      <x:c r="J5197" s="381" t="n">
        <x:f>SUMIFS('Wind Proxy'!$H$8:$H$19,'Wind Proxy'!$A$8:$A$19,'Estimator'!$B$4,'Wind Proxy'!$B$8:$B$19,C5197)</x:f>
        <x:v>0.11350059737156513</x:v>
      </x:c>
    </x:row>
    <x:row r="5198">
      <x:c r="A5198" s="379" t="n">
        <x:v>50849</x:v>
      </x:c>
      <x:c r="B5198" s="380" t="n">
        <x:v>2039</x:v>
      </x:c>
      <x:c r="C5198" s="380" t="n">
        <x:v>3</x:v>
      </x:c>
      <x:c r="D5198" s="380" t="str">
        <x:v>Mar</x:v>
      </x:c>
      <x:c r="E5198" s="380" t="n">
        <x:v>20</x:v>
      </x:c>
      <x:c r="F5198" s="380" t="n">
        <x:v>7</x:v>
      </x:c>
      <x:c r="G5198" s="380" t="n">
        <x:f>--(F5198&lt;='Estimator'!$B$7)</x:f>
        <x:v>0</x:v>
      </x:c>
      <x:c r="H5198" s="381" t="n">
        <x:f>SUMIFS('Climate Data'!$G$7:$G$366,'Climate Data'!$A$7:$A$366,'Estimator'!$B$4,'Climate Data'!$B$7:$B$366,C5198)</x:f>
        <x:v>0.24916573971078979</x:v>
      </x:c>
      <x:c r="I5198" s="382" t="n">
        <x:f>SUMIFS('Climate Data'!$H$7:$H$366,'Climate Data'!$A$7:$A$366,'Estimator'!$B$4,'Climate Data'!$B$7:$B$366,C5198)</x:f>
        <x:v>9.709821428571429</x:v>
      </x:c>
      <x:c r="J5198" s="381" t="n">
        <x:f>SUMIFS('Wind Proxy'!$H$8:$H$19,'Wind Proxy'!$A$8:$A$19,'Estimator'!$B$4,'Wind Proxy'!$B$8:$B$19,C5198)</x:f>
        <x:v>0.11350059737156513</x:v>
      </x:c>
    </x:row>
    <x:row r="5199">
      <x:c r="A5199" s="379" t="n">
        <x:v>50850</x:v>
      </x:c>
      <x:c r="B5199" s="380" t="n">
        <x:v>2039</x:v>
      </x:c>
      <x:c r="C5199" s="380" t="n">
        <x:v>3</x:v>
      </x:c>
      <x:c r="D5199" s="380" t="str">
        <x:v>Mar</x:v>
      </x:c>
      <x:c r="E5199" s="380" t="n">
        <x:v>21</x:v>
      </x:c>
      <x:c r="F5199" s="380" t="n">
        <x:v>1</x:v>
      </x:c>
      <x:c r="G5199" s="380" t="n">
        <x:f>--(F5199&lt;='Estimator'!$B$7)</x:f>
        <x:v>1</x:v>
      </x:c>
      <x:c r="H5199" s="381" t="n">
        <x:f>SUMIFS('Climate Data'!$G$7:$G$366,'Climate Data'!$A$7:$A$366,'Estimator'!$B$4,'Climate Data'!$B$7:$B$366,C5199)</x:f>
        <x:v>0.24916573971078979</x:v>
      </x:c>
      <x:c r="I5199" s="382" t="n">
        <x:f>SUMIFS('Climate Data'!$H$7:$H$366,'Climate Data'!$A$7:$A$366,'Estimator'!$B$4,'Climate Data'!$B$7:$B$366,C5199)</x:f>
        <x:v>9.709821428571429</x:v>
      </x:c>
      <x:c r="J5199" s="381" t="n">
        <x:f>SUMIFS('Wind Proxy'!$H$8:$H$19,'Wind Proxy'!$A$8:$A$19,'Estimator'!$B$4,'Wind Proxy'!$B$8:$B$19,C5199)</x:f>
        <x:v>0.11350059737156513</x:v>
      </x:c>
    </x:row>
    <x:row r="5200">
      <x:c r="A5200" s="379" t="n">
        <x:v>50851</x:v>
      </x:c>
      <x:c r="B5200" s="380" t="n">
        <x:v>2039</x:v>
      </x:c>
      <x:c r="C5200" s="380" t="n">
        <x:v>3</x:v>
      </x:c>
      <x:c r="D5200" s="380" t="str">
        <x:v>Mar</x:v>
      </x:c>
      <x:c r="E5200" s="380" t="n">
        <x:v>22</x:v>
      </x:c>
      <x:c r="F5200" s="380" t="n">
        <x:v>2</x:v>
      </x:c>
      <x:c r="G5200" s="380" t="n">
        <x:f>--(F5200&lt;='Estimator'!$B$7)</x:f>
        <x:v>1</x:v>
      </x:c>
      <x:c r="H5200" s="381" t="n">
        <x:f>SUMIFS('Climate Data'!$G$7:$G$366,'Climate Data'!$A$7:$A$366,'Estimator'!$B$4,'Climate Data'!$B$7:$B$366,C5200)</x:f>
        <x:v>0.24916573971078979</x:v>
      </x:c>
      <x:c r="I5200" s="382" t="n">
        <x:f>SUMIFS('Climate Data'!$H$7:$H$366,'Climate Data'!$A$7:$A$366,'Estimator'!$B$4,'Climate Data'!$B$7:$B$366,C5200)</x:f>
        <x:v>9.709821428571429</x:v>
      </x:c>
      <x:c r="J5200" s="381" t="n">
        <x:f>SUMIFS('Wind Proxy'!$H$8:$H$19,'Wind Proxy'!$A$8:$A$19,'Estimator'!$B$4,'Wind Proxy'!$B$8:$B$19,C5200)</x:f>
        <x:v>0.11350059737156513</x:v>
      </x:c>
    </x:row>
    <x:row r="5201">
      <x:c r="A5201" s="379" t="n">
        <x:v>50852</x:v>
      </x:c>
      <x:c r="B5201" s="380" t="n">
        <x:v>2039</x:v>
      </x:c>
      <x:c r="C5201" s="380" t="n">
        <x:v>3</x:v>
      </x:c>
      <x:c r="D5201" s="380" t="str">
        <x:v>Mar</x:v>
      </x:c>
      <x:c r="E5201" s="380" t="n">
        <x:v>23</x:v>
      </x:c>
      <x:c r="F5201" s="380" t="n">
        <x:v>3</x:v>
      </x:c>
      <x:c r="G5201" s="380" t="n">
        <x:f>--(F5201&lt;='Estimator'!$B$7)</x:f>
        <x:v>1</x:v>
      </x:c>
      <x:c r="H5201" s="381" t="n">
        <x:f>SUMIFS('Climate Data'!$G$7:$G$366,'Climate Data'!$A$7:$A$366,'Estimator'!$B$4,'Climate Data'!$B$7:$B$366,C5201)</x:f>
        <x:v>0.24916573971078979</x:v>
      </x:c>
      <x:c r="I5201" s="382" t="n">
        <x:f>SUMIFS('Climate Data'!$H$7:$H$366,'Climate Data'!$A$7:$A$366,'Estimator'!$B$4,'Climate Data'!$B$7:$B$366,C5201)</x:f>
        <x:v>9.709821428571429</x:v>
      </x:c>
      <x:c r="J5201" s="381" t="n">
        <x:f>SUMIFS('Wind Proxy'!$H$8:$H$19,'Wind Proxy'!$A$8:$A$19,'Estimator'!$B$4,'Wind Proxy'!$B$8:$B$19,C5201)</x:f>
        <x:v>0.11350059737156513</x:v>
      </x:c>
    </x:row>
    <x:row r="5202">
      <x:c r="A5202" s="379" t="n">
        <x:v>50853</x:v>
      </x:c>
      <x:c r="B5202" s="380" t="n">
        <x:v>2039</x:v>
      </x:c>
      <x:c r="C5202" s="380" t="n">
        <x:v>3</x:v>
      </x:c>
      <x:c r="D5202" s="380" t="str">
        <x:v>Mar</x:v>
      </x:c>
      <x:c r="E5202" s="380" t="n">
        <x:v>24</x:v>
      </x:c>
      <x:c r="F5202" s="380" t="n">
        <x:v>4</x:v>
      </x:c>
      <x:c r="G5202" s="380" t="n">
        <x:f>--(F5202&lt;='Estimator'!$B$7)</x:f>
        <x:v>1</x:v>
      </x:c>
      <x:c r="H5202" s="381" t="n">
        <x:f>SUMIFS('Climate Data'!$G$7:$G$366,'Climate Data'!$A$7:$A$366,'Estimator'!$B$4,'Climate Data'!$B$7:$B$366,C5202)</x:f>
        <x:v>0.24916573971078979</x:v>
      </x:c>
      <x:c r="I5202" s="382" t="n">
        <x:f>SUMIFS('Climate Data'!$H$7:$H$366,'Climate Data'!$A$7:$A$366,'Estimator'!$B$4,'Climate Data'!$B$7:$B$366,C5202)</x:f>
        <x:v>9.709821428571429</x:v>
      </x:c>
      <x:c r="J5202" s="381" t="n">
        <x:f>SUMIFS('Wind Proxy'!$H$8:$H$19,'Wind Proxy'!$A$8:$A$19,'Estimator'!$B$4,'Wind Proxy'!$B$8:$B$19,C5202)</x:f>
        <x:v>0.11350059737156513</x:v>
      </x:c>
    </x:row>
    <x:row r="5203">
      <x:c r="A5203" s="379" t="n">
        <x:v>50854</x:v>
      </x:c>
      <x:c r="B5203" s="380" t="n">
        <x:v>2039</x:v>
      </x:c>
      <x:c r="C5203" s="380" t="n">
        <x:v>3</x:v>
      </x:c>
      <x:c r="D5203" s="380" t="str">
        <x:v>Mar</x:v>
      </x:c>
      <x:c r="E5203" s="380" t="n">
        <x:v>25</x:v>
      </x:c>
      <x:c r="F5203" s="380" t="n">
        <x:v>5</x:v>
      </x:c>
      <x:c r="G5203" s="380" t="n">
        <x:f>--(F5203&lt;='Estimator'!$B$7)</x:f>
        <x:v>1</x:v>
      </x:c>
      <x:c r="H5203" s="381" t="n">
        <x:f>SUMIFS('Climate Data'!$G$7:$G$366,'Climate Data'!$A$7:$A$366,'Estimator'!$B$4,'Climate Data'!$B$7:$B$366,C5203)</x:f>
        <x:v>0.24916573971078979</x:v>
      </x:c>
      <x:c r="I5203" s="382" t="n">
        <x:f>SUMIFS('Climate Data'!$H$7:$H$366,'Climate Data'!$A$7:$A$366,'Estimator'!$B$4,'Climate Data'!$B$7:$B$366,C5203)</x:f>
        <x:v>9.709821428571429</x:v>
      </x:c>
      <x:c r="J5203" s="381" t="n">
        <x:f>SUMIFS('Wind Proxy'!$H$8:$H$19,'Wind Proxy'!$A$8:$A$19,'Estimator'!$B$4,'Wind Proxy'!$B$8:$B$19,C5203)</x:f>
        <x:v>0.11350059737156513</x:v>
      </x:c>
    </x:row>
    <x:row r="5204">
      <x:c r="A5204" s="379" t="n">
        <x:v>50855</x:v>
      </x:c>
      <x:c r="B5204" s="380" t="n">
        <x:v>2039</x:v>
      </x:c>
      <x:c r="C5204" s="380" t="n">
        <x:v>3</x:v>
      </x:c>
      <x:c r="D5204" s="380" t="str">
        <x:v>Mar</x:v>
      </x:c>
      <x:c r="E5204" s="380" t="n">
        <x:v>26</x:v>
      </x:c>
      <x:c r="F5204" s="380" t="n">
        <x:v>6</x:v>
      </x:c>
      <x:c r="G5204" s="380" t="n">
        <x:f>--(F5204&lt;='Estimator'!$B$7)</x:f>
        <x:v>0</x:v>
      </x:c>
      <x:c r="H5204" s="381" t="n">
        <x:f>SUMIFS('Climate Data'!$G$7:$G$366,'Climate Data'!$A$7:$A$366,'Estimator'!$B$4,'Climate Data'!$B$7:$B$366,C5204)</x:f>
        <x:v>0.24916573971078979</x:v>
      </x:c>
      <x:c r="I5204" s="382" t="n">
        <x:f>SUMIFS('Climate Data'!$H$7:$H$366,'Climate Data'!$A$7:$A$366,'Estimator'!$B$4,'Climate Data'!$B$7:$B$366,C5204)</x:f>
        <x:v>9.709821428571429</x:v>
      </x:c>
      <x:c r="J5204" s="381" t="n">
        <x:f>SUMIFS('Wind Proxy'!$H$8:$H$19,'Wind Proxy'!$A$8:$A$19,'Estimator'!$B$4,'Wind Proxy'!$B$8:$B$19,C5204)</x:f>
        <x:v>0.11350059737156513</x:v>
      </x:c>
    </x:row>
    <x:row r="5205">
      <x:c r="A5205" s="379" t="n">
        <x:v>50856</x:v>
      </x:c>
      <x:c r="B5205" s="380" t="n">
        <x:v>2039</x:v>
      </x:c>
      <x:c r="C5205" s="380" t="n">
        <x:v>3</x:v>
      </x:c>
      <x:c r="D5205" s="380" t="str">
        <x:v>Mar</x:v>
      </x:c>
      <x:c r="E5205" s="380" t="n">
        <x:v>27</x:v>
      </x:c>
      <x:c r="F5205" s="380" t="n">
        <x:v>7</x:v>
      </x:c>
      <x:c r="G5205" s="380" t="n">
        <x:f>--(F5205&lt;='Estimator'!$B$7)</x:f>
        <x:v>0</x:v>
      </x:c>
      <x:c r="H5205" s="381" t="n">
        <x:f>SUMIFS('Climate Data'!$G$7:$G$366,'Climate Data'!$A$7:$A$366,'Estimator'!$B$4,'Climate Data'!$B$7:$B$366,C5205)</x:f>
        <x:v>0.24916573971078979</x:v>
      </x:c>
      <x:c r="I5205" s="382" t="n">
        <x:f>SUMIFS('Climate Data'!$H$7:$H$366,'Climate Data'!$A$7:$A$366,'Estimator'!$B$4,'Climate Data'!$B$7:$B$366,C5205)</x:f>
        <x:v>9.709821428571429</x:v>
      </x:c>
      <x:c r="J5205" s="381" t="n">
        <x:f>SUMIFS('Wind Proxy'!$H$8:$H$19,'Wind Proxy'!$A$8:$A$19,'Estimator'!$B$4,'Wind Proxy'!$B$8:$B$19,C5205)</x:f>
        <x:v>0.11350059737156513</x:v>
      </x:c>
    </x:row>
    <x:row r="5206">
      <x:c r="A5206" s="379" t="n">
        <x:v>50857</x:v>
      </x:c>
      <x:c r="B5206" s="380" t="n">
        <x:v>2039</x:v>
      </x:c>
      <x:c r="C5206" s="380" t="n">
        <x:v>3</x:v>
      </x:c>
      <x:c r="D5206" s="380" t="str">
        <x:v>Mar</x:v>
      </x:c>
      <x:c r="E5206" s="380" t="n">
        <x:v>28</x:v>
      </x:c>
      <x:c r="F5206" s="380" t="n">
        <x:v>1</x:v>
      </x:c>
      <x:c r="G5206" s="380" t="n">
        <x:f>--(F5206&lt;='Estimator'!$B$7)</x:f>
        <x:v>1</x:v>
      </x:c>
      <x:c r="H5206" s="381" t="n">
        <x:f>SUMIFS('Climate Data'!$G$7:$G$366,'Climate Data'!$A$7:$A$366,'Estimator'!$B$4,'Climate Data'!$B$7:$B$366,C5206)</x:f>
        <x:v>0.24916573971078979</x:v>
      </x:c>
      <x:c r="I5206" s="382" t="n">
        <x:f>SUMIFS('Climate Data'!$H$7:$H$366,'Climate Data'!$A$7:$A$366,'Estimator'!$B$4,'Climate Data'!$B$7:$B$366,C5206)</x:f>
        <x:v>9.709821428571429</x:v>
      </x:c>
      <x:c r="J5206" s="381" t="n">
        <x:f>SUMIFS('Wind Proxy'!$H$8:$H$19,'Wind Proxy'!$A$8:$A$19,'Estimator'!$B$4,'Wind Proxy'!$B$8:$B$19,C5206)</x:f>
        <x:v>0.11350059737156513</x:v>
      </x:c>
    </x:row>
    <x:row r="5207">
      <x:c r="A5207" s="379" t="n">
        <x:v>50858</x:v>
      </x:c>
      <x:c r="B5207" s="380" t="n">
        <x:v>2039</x:v>
      </x:c>
      <x:c r="C5207" s="380" t="n">
        <x:v>3</x:v>
      </x:c>
      <x:c r="D5207" s="380" t="str">
        <x:v>Mar</x:v>
      </x:c>
      <x:c r="E5207" s="380" t="n">
        <x:v>29</x:v>
      </x:c>
      <x:c r="F5207" s="380" t="n">
        <x:v>2</x:v>
      </x:c>
      <x:c r="G5207" s="380" t="n">
        <x:f>--(F5207&lt;='Estimator'!$B$7)</x:f>
        <x:v>1</x:v>
      </x:c>
      <x:c r="H5207" s="381" t="n">
        <x:f>SUMIFS('Climate Data'!$G$7:$G$366,'Climate Data'!$A$7:$A$366,'Estimator'!$B$4,'Climate Data'!$B$7:$B$366,C5207)</x:f>
        <x:v>0.24916573971078979</x:v>
      </x:c>
      <x:c r="I5207" s="382" t="n">
        <x:f>SUMIFS('Climate Data'!$H$7:$H$366,'Climate Data'!$A$7:$A$366,'Estimator'!$B$4,'Climate Data'!$B$7:$B$366,C5207)</x:f>
        <x:v>9.709821428571429</x:v>
      </x:c>
      <x:c r="J5207" s="381" t="n">
        <x:f>SUMIFS('Wind Proxy'!$H$8:$H$19,'Wind Proxy'!$A$8:$A$19,'Estimator'!$B$4,'Wind Proxy'!$B$8:$B$19,C5207)</x:f>
        <x:v>0.11350059737156513</x:v>
      </x:c>
    </x:row>
    <x:row r="5208">
      <x:c r="A5208" s="379" t="n">
        <x:v>50859</x:v>
      </x:c>
      <x:c r="B5208" s="380" t="n">
        <x:v>2039</x:v>
      </x:c>
      <x:c r="C5208" s="380" t="n">
        <x:v>3</x:v>
      </x:c>
      <x:c r="D5208" s="380" t="str">
        <x:v>Mar</x:v>
      </x:c>
      <x:c r="E5208" s="380" t="n">
        <x:v>30</x:v>
      </x:c>
      <x:c r="F5208" s="380" t="n">
        <x:v>3</x:v>
      </x:c>
      <x:c r="G5208" s="380" t="n">
        <x:f>--(F5208&lt;='Estimator'!$B$7)</x:f>
        <x:v>1</x:v>
      </x:c>
      <x:c r="H5208" s="381" t="n">
        <x:f>SUMIFS('Climate Data'!$G$7:$G$366,'Climate Data'!$A$7:$A$366,'Estimator'!$B$4,'Climate Data'!$B$7:$B$366,C5208)</x:f>
        <x:v>0.24916573971078979</x:v>
      </x:c>
      <x:c r="I5208" s="382" t="n">
        <x:f>SUMIFS('Climate Data'!$H$7:$H$366,'Climate Data'!$A$7:$A$366,'Estimator'!$B$4,'Climate Data'!$B$7:$B$366,C5208)</x:f>
        <x:v>9.709821428571429</x:v>
      </x:c>
      <x:c r="J5208" s="381" t="n">
        <x:f>SUMIFS('Wind Proxy'!$H$8:$H$19,'Wind Proxy'!$A$8:$A$19,'Estimator'!$B$4,'Wind Proxy'!$B$8:$B$19,C5208)</x:f>
        <x:v>0.11350059737156513</x:v>
      </x:c>
    </x:row>
    <x:row r="5209">
      <x:c r="A5209" s="379" t="n">
        <x:v>50860</x:v>
      </x:c>
      <x:c r="B5209" s="380" t="n">
        <x:v>2039</x:v>
      </x:c>
      <x:c r="C5209" s="380" t="n">
        <x:v>3</x:v>
      </x:c>
      <x:c r="D5209" s="380" t="str">
        <x:v>Mar</x:v>
      </x:c>
      <x:c r="E5209" s="380" t="n">
        <x:v>31</x:v>
      </x:c>
      <x:c r="F5209" s="380" t="n">
        <x:v>4</x:v>
      </x:c>
      <x:c r="G5209" s="380" t="n">
        <x:f>--(F5209&lt;='Estimator'!$B$7)</x:f>
        <x:v>1</x:v>
      </x:c>
      <x:c r="H5209" s="381" t="n">
        <x:f>SUMIFS('Climate Data'!$G$7:$G$366,'Climate Data'!$A$7:$A$366,'Estimator'!$B$4,'Climate Data'!$B$7:$B$366,C5209)</x:f>
        <x:v>0.24916573971078979</x:v>
      </x:c>
      <x:c r="I5209" s="382" t="n">
        <x:f>SUMIFS('Climate Data'!$H$7:$H$366,'Climate Data'!$A$7:$A$366,'Estimator'!$B$4,'Climate Data'!$B$7:$B$366,C5209)</x:f>
        <x:v>9.709821428571429</x:v>
      </x:c>
      <x:c r="J5209" s="381" t="n">
        <x:f>SUMIFS('Wind Proxy'!$H$8:$H$19,'Wind Proxy'!$A$8:$A$19,'Estimator'!$B$4,'Wind Proxy'!$B$8:$B$19,C5209)</x:f>
        <x:v>0.11350059737156513</x:v>
      </x:c>
    </x:row>
    <x:row r="5210">
      <x:c r="A5210" s="379" t="n">
        <x:v>50861</x:v>
      </x:c>
      <x:c r="B5210" s="380" t="n">
        <x:v>2039</x:v>
      </x:c>
      <x:c r="C5210" s="380" t="n">
        <x:v>4</x:v>
      </x:c>
      <x:c r="D5210" s="380" t="str">
        <x:v>Apr</x:v>
      </x:c>
      <x:c r="E5210" s="380" t="n">
        <x:v>1</x:v>
      </x:c>
      <x:c r="F5210" s="380" t="n">
        <x:v>5</x:v>
      </x:c>
      <x:c r="G5210" s="380" t="n">
        <x:f>--(F5210&lt;='Estimator'!$B$7)</x:f>
        <x:v>1</x:v>
      </x:c>
      <x:c r="H5210" s="381" t="n">
        <x:f>SUMIFS('Climate Data'!$G$7:$G$366,'Climate Data'!$A$7:$A$366,'Estimator'!$B$4,'Climate Data'!$B$7:$B$366,C5210)</x:f>
        <x:v>0.32023809523809527</x:v>
      </x:c>
      <x:c r="I5210" s="382" t="n">
        <x:f>SUMIFS('Climate Data'!$H$7:$H$366,'Climate Data'!$A$7:$A$366,'Estimator'!$B$4,'Climate Data'!$B$7:$B$366,C5210)</x:f>
        <x:v>9.066171003717471</x:v>
      </x:c>
      <x:c r="J5210" s="381" t="n">
        <x:f>SUMIFS('Wind Proxy'!$H$8:$H$19,'Wind Proxy'!$A$8:$A$19,'Estimator'!$B$4,'Wind Proxy'!$B$8:$B$19,C5210)</x:f>
        <x:v>0.11728395061728397</x:v>
      </x:c>
    </x:row>
    <x:row r="5211">
      <x:c r="A5211" s="379" t="n">
        <x:v>50862</x:v>
      </x:c>
      <x:c r="B5211" s="380" t="n">
        <x:v>2039</x:v>
      </x:c>
      <x:c r="C5211" s="380" t="n">
        <x:v>4</x:v>
      </x:c>
      <x:c r="D5211" s="380" t="str">
        <x:v>Apr</x:v>
      </x:c>
      <x:c r="E5211" s="380" t="n">
        <x:v>2</x:v>
      </x:c>
      <x:c r="F5211" s="380" t="n">
        <x:v>6</x:v>
      </x:c>
      <x:c r="G5211" s="380" t="n">
        <x:f>--(F5211&lt;='Estimator'!$B$7)</x:f>
        <x:v>0</x:v>
      </x:c>
      <x:c r="H5211" s="381" t="n">
        <x:f>SUMIFS('Climate Data'!$G$7:$G$366,'Climate Data'!$A$7:$A$366,'Estimator'!$B$4,'Climate Data'!$B$7:$B$366,C5211)</x:f>
        <x:v>0.32023809523809527</x:v>
      </x:c>
      <x:c r="I5211" s="382" t="n">
        <x:f>SUMIFS('Climate Data'!$H$7:$H$366,'Climate Data'!$A$7:$A$366,'Estimator'!$B$4,'Climate Data'!$B$7:$B$366,C5211)</x:f>
        <x:v>9.066171003717471</x:v>
      </x:c>
      <x:c r="J5211" s="381" t="n">
        <x:f>SUMIFS('Wind Proxy'!$H$8:$H$19,'Wind Proxy'!$A$8:$A$19,'Estimator'!$B$4,'Wind Proxy'!$B$8:$B$19,C5211)</x:f>
        <x:v>0.11728395061728397</x:v>
      </x:c>
    </x:row>
    <x:row r="5212">
      <x:c r="A5212" s="379" t="n">
        <x:v>50863</x:v>
      </x:c>
      <x:c r="B5212" s="380" t="n">
        <x:v>2039</x:v>
      </x:c>
      <x:c r="C5212" s="380" t="n">
        <x:v>4</x:v>
      </x:c>
      <x:c r="D5212" s="380" t="str">
        <x:v>Apr</x:v>
      </x:c>
      <x:c r="E5212" s="380" t="n">
        <x:v>3</x:v>
      </x:c>
      <x:c r="F5212" s="380" t="n">
        <x:v>7</x:v>
      </x:c>
      <x:c r="G5212" s="380" t="n">
        <x:f>--(F5212&lt;='Estimator'!$B$7)</x:f>
        <x:v>0</x:v>
      </x:c>
      <x:c r="H5212" s="381" t="n">
        <x:f>SUMIFS('Climate Data'!$G$7:$G$366,'Climate Data'!$A$7:$A$366,'Estimator'!$B$4,'Climate Data'!$B$7:$B$366,C5212)</x:f>
        <x:v>0.32023809523809527</x:v>
      </x:c>
      <x:c r="I5212" s="382" t="n">
        <x:f>SUMIFS('Climate Data'!$H$7:$H$366,'Climate Data'!$A$7:$A$366,'Estimator'!$B$4,'Climate Data'!$B$7:$B$366,C5212)</x:f>
        <x:v>9.066171003717471</x:v>
      </x:c>
      <x:c r="J5212" s="381" t="n">
        <x:f>SUMIFS('Wind Proxy'!$H$8:$H$19,'Wind Proxy'!$A$8:$A$19,'Estimator'!$B$4,'Wind Proxy'!$B$8:$B$19,C5212)</x:f>
        <x:v>0.11728395061728397</x:v>
      </x:c>
    </x:row>
    <x:row r="5213">
      <x:c r="A5213" s="379" t="n">
        <x:v>50864</x:v>
      </x:c>
      <x:c r="B5213" s="380" t="n">
        <x:v>2039</x:v>
      </x:c>
      <x:c r="C5213" s="380" t="n">
        <x:v>4</x:v>
      </x:c>
      <x:c r="D5213" s="380" t="str">
        <x:v>Apr</x:v>
      </x:c>
      <x:c r="E5213" s="380" t="n">
        <x:v>4</x:v>
      </x:c>
      <x:c r="F5213" s="380" t="n">
        <x:v>1</x:v>
      </x:c>
      <x:c r="G5213" s="380" t="n">
        <x:f>--(F5213&lt;='Estimator'!$B$7)</x:f>
        <x:v>1</x:v>
      </x:c>
      <x:c r="H5213" s="381" t="n">
        <x:f>SUMIFS('Climate Data'!$G$7:$G$366,'Climate Data'!$A$7:$A$366,'Estimator'!$B$4,'Climate Data'!$B$7:$B$366,C5213)</x:f>
        <x:v>0.32023809523809527</x:v>
      </x:c>
      <x:c r="I5213" s="382" t="n">
        <x:f>SUMIFS('Climate Data'!$H$7:$H$366,'Climate Data'!$A$7:$A$366,'Estimator'!$B$4,'Climate Data'!$B$7:$B$366,C5213)</x:f>
        <x:v>9.066171003717471</x:v>
      </x:c>
      <x:c r="J5213" s="381" t="n">
        <x:f>SUMIFS('Wind Proxy'!$H$8:$H$19,'Wind Proxy'!$A$8:$A$19,'Estimator'!$B$4,'Wind Proxy'!$B$8:$B$19,C5213)</x:f>
        <x:v>0.11728395061728397</x:v>
      </x:c>
    </x:row>
    <x:row r="5214">
      <x:c r="A5214" s="379" t="n">
        <x:v>50865</x:v>
      </x:c>
      <x:c r="B5214" s="380" t="n">
        <x:v>2039</x:v>
      </x:c>
      <x:c r="C5214" s="380" t="n">
        <x:v>4</x:v>
      </x:c>
      <x:c r="D5214" s="380" t="str">
        <x:v>Apr</x:v>
      </x:c>
      <x:c r="E5214" s="380" t="n">
        <x:v>5</x:v>
      </x:c>
      <x:c r="F5214" s="380" t="n">
        <x:v>2</x:v>
      </x:c>
      <x:c r="G5214" s="380" t="n">
        <x:f>--(F5214&lt;='Estimator'!$B$7)</x:f>
        <x:v>1</x:v>
      </x:c>
      <x:c r="H5214" s="381" t="n">
        <x:f>SUMIFS('Climate Data'!$G$7:$G$366,'Climate Data'!$A$7:$A$366,'Estimator'!$B$4,'Climate Data'!$B$7:$B$366,C5214)</x:f>
        <x:v>0.32023809523809527</x:v>
      </x:c>
      <x:c r="I5214" s="382" t="n">
        <x:f>SUMIFS('Climate Data'!$H$7:$H$366,'Climate Data'!$A$7:$A$366,'Estimator'!$B$4,'Climate Data'!$B$7:$B$366,C5214)</x:f>
        <x:v>9.066171003717471</x:v>
      </x:c>
      <x:c r="J5214" s="381" t="n">
        <x:f>SUMIFS('Wind Proxy'!$H$8:$H$19,'Wind Proxy'!$A$8:$A$19,'Estimator'!$B$4,'Wind Proxy'!$B$8:$B$19,C5214)</x:f>
        <x:v>0.11728395061728397</x:v>
      </x:c>
    </x:row>
    <x:row r="5215">
      <x:c r="A5215" s="379" t="n">
        <x:v>50866</x:v>
      </x:c>
      <x:c r="B5215" s="380" t="n">
        <x:v>2039</x:v>
      </x:c>
      <x:c r="C5215" s="380" t="n">
        <x:v>4</x:v>
      </x:c>
      <x:c r="D5215" s="380" t="str">
        <x:v>Apr</x:v>
      </x:c>
      <x:c r="E5215" s="380" t="n">
        <x:v>6</x:v>
      </x:c>
      <x:c r="F5215" s="380" t="n">
        <x:v>3</x:v>
      </x:c>
      <x:c r="G5215" s="380" t="n">
        <x:f>--(F5215&lt;='Estimator'!$B$7)</x:f>
        <x:v>1</x:v>
      </x:c>
      <x:c r="H5215" s="381" t="n">
        <x:f>SUMIFS('Climate Data'!$G$7:$G$366,'Climate Data'!$A$7:$A$366,'Estimator'!$B$4,'Climate Data'!$B$7:$B$366,C5215)</x:f>
        <x:v>0.32023809523809527</x:v>
      </x:c>
      <x:c r="I5215" s="382" t="n">
        <x:f>SUMIFS('Climate Data'!$H$7:$H$366,'Climate Data'!$A$7:$A$366,'Estimator'!$B$4,'Climate Data'!$B$7:$B$366,C5215)</x:f>
        <x:v>9.066171003717471</x:v>
      </x:c>
      <x:c r="J5215" s="381" t="n">
        <x:f>SUMIFS('Wind Proxy'!$H$8:$H$19,'Wind Proxy'!$A$8:$A$19,'Estimator'!$B$4,'Wind Proxy'!$B$8:$B$19,C5215)</x:f>
        <x:v>0.11728395061728397</x:v>
      </x:c>
    </x:row>
    <x:row r="5216">
      <x:c r="A5216" s="379" t="n">
        <x:v>50867</x:v>
      </x:c>
      <x:c r="B5216" s="380" t="n">
        <x:v>2039</x:v>
      </x:c>
      <x:c r="C5216" s="380" t="n">
        <x:v>4</x:v>
      </x:c>
      <x:c r="D5216" s="380" t="str">
        <x:v>Apr</x:v>
      </x:c>
      <x:c r="E5216" s="380" t="n">
        <x:v>7</x:v>
      </x:c>
      <x:c r="F5216" s="380" t="n">
        <x:v>4</x:v>
      </x:c>
      <x:c r="G5216" s="380" t="n">
        <x:f>--(F5216&lt;='Estimator'!$B$7)</x:f>
        <x:v>1</x:v>
      </x:c>
      <x:c r="H5216" s="381" t="n">
        <x:f>SUMIFS('Climate Data'!$G$7:$G$366,'Climate Data'!$A$7:$A$366,'Estimator'!$B$4,'Climate Data'!$B$7:$B$366,C5216)</x:f>
        <x:v>0.32023809523809527</x:v>
      </x:c>
      <x:c r="I5216" s="382" t="n">
        <x:f>SUMIFS('Climate Data'!$H$7:$H$366,'Climate Data'!$A$7:$A$366,'Estimator'!$B$4,'Climate Data'!$B$7:$B$366,C5216)</x:f>
        <x:v>9.066171003717471</x:v>
      </x:c>
      <x:c r="J5216" s="381" t="n">
        <x:f>SUMIFS('Wind Proxy'!$H$8:$H$19,'Wind Proxy'!$A$8:$A$19,'Estimator'!$B$4,'Wind Proxy'!$B$8:$B$19,C5216)</x:f>
        <x:v>0.11728395061728397</x:v>
      </x:c>
    </x:row>
    <x:row r="5217">
      <x:c r="A5217" s="379" t="n">
        <x:v>50868</x:v>
      </x:c>
      <x:c r="B5217" s="380" t="n">
        <x:v>2039</x:v>
      </x:c>
      <x:c r="C5217" s="380" t="n">
        <x:v>4</x:v>
      </x:c>
      <x:c r="D5217" s="380" t="str">
        <x:v>Apr</x:v>
      </x:c>
      <x:c r="E5217" s="380" t="n">
        <x:v>8</x:v>
      </x:c>
      <x:c r="F5217" s="380" t="n">
        <x:v>5</x:v>
      </x:c>
      <x:c r="G5217" s="380" t="n">
        <x:f>--(F5217&lt;='Estimator'!$B$7)</x:f>
        <x:v>1</x:v>
      </x:c>
      <x:c r="H5217" s="381" t="n">
        <x:f>SUMIFS('Climate Data'!$G$7:$G$366,'Climate Data'!$A$7:$A$366,'Estimator'!$B$4,'Climate Data'!$B$7:$B$366,C5217)</x:f>
        <x:v>0.32023809523809527</x:v>
      </x:c>
      <x:c r="I5217" s="382" t="n">
        <x:f>SUMIFS('Climate Data'!$H$7:$H$366,'Climate Data'!$A$7:$A$366,'Estimator'!$B$4,'Climate Data'!$B$7:$B$366,C5217)</x:f>
        <x:v>9.066171003717471</x:v>
      </x:c>
      <x:c r="J5217" s="381" t="n">
        <x:f>SUMIFS('Wind Proxy'!$H$8:$H$19,'Wind Proxy'!$A$8:$A$19,'Estimator'!$B$4,'Wind Proxy'!$B$8:$B$19,C5217)</x:f>
        <x:v>0.11728395061728397</x:v>
      </x:c>
    </x:row>
    <x:row r="5218">
      <x:c r="A5218" s="379" t="n">
        <x:v>50869</x:v>
      </x:c>
      <x:c r="B5218" s="380" t="n">
        <x:v>2039</x:v>
      </x:c>
      <x:c r="C5218" s="380" t="n">
        <x:v>4</x:v>
      </x:c>
      <x:c r="D5218" s="380" t="str">
        <x:v>Apr</x:v>
      </x:c>
      <x:c r="E5218" s="380" t="n">
        <x:v>9</x:v>
      </x:c>
      <x:c r="F5218" s="380" t="n">
        <x:v>6</x:v>
      </x:c>
      <x:c r="G5218" s="380" t="n">
        <x:f>--(F5218&lt;='Estimator'!$B$7)</x:f>
        <x:v>0</x:v>
      </x:c>
      <x:c r="H5218" s="381" t="n">
        <x:f>SUMIFS('Climate Data'!$G$7:$G$366,'Climate Data'!$A$7:$A$366,'Estimator'!$B$4,'Climate Data'!$B$7:$B$366,C5218)</x:f>
        <x:v>0.32023809523809527</x:v>
      </x:c>
      <x:c r="I5218" s="382" t="n">
        <x:f>SUMIFS('Climate Data'!$H$7:$H$366,'Climate Data'!$A$7:$A$366,'Estimator'!$B$4,'Climate Data'!$B$7:$B$366,C5218)</x:f>
        <x:v>9.066171003717471</x:v>
      </x:c>
      <x:c r="J5218" s="381" t="n">
        <x:f>SUMIFS('Wind Proxy'!$H$8:$H$19,'Wind Proxy'!$A$8:$A$19,'Estimator'!$B$4,'Wind Proxy'!$B$8:$B$19,C5218)</x:f>
        <x:v>0.11728395061728397</x:v>
      </x:c>
    </x:row>
    <x:row r="5219">
      <x:c r="A5219" s="379" t="n">
        <x:v>50870</x:v>
      </x:c>
      <x:c r="B5219" s="380" t="n">
        <x:v>2039</x:v>
      </x:c>
      <x:c r="C5219" s="380" t="n">
        <x:v>4</x:v>
      </x:c>
      <x:c r="D5219" s="380" t="str">
        <x:v>Apr</x:v>
      </x:c>
      <x:c r="E5219" s="380" t="n">
        <x:v>10</x:v>
      </x:c>
      <x:c r="F5219" s="380" t="n">
        <x:v>7</x:v>
      </x:c>
      <x:c r="G5219" s="380" t="n">
        <x:f>--(F5219&lt;='Estimator'!$B$7)</x:f>
        <x:v>0</x:v>
      </x:c>
      <x:c r="H5219" s="381" t="n">
        <x:f>SUMIFS('Climate Data'!$G$7:$G$366,'Climate Data'!$A$7:$A$366,'Estimator'!$B$4,'Climate Data'!$B$7:$B$366,C5219)</x:f>
        <x:v>0.32023809523809527</x:v>
      </x:c>
      <x:c r="I5219" s="382" t="n">
        <x:f>SUMIFS('Climate Data'!$H$7:$H$366,'Climate Data'!$A$7:$A$366,'Estimator'!$B$4,'Climate Data'!$B$7:$B$366,C5219)</x:f>
        <x:v>9.066171003717471</x:v>
      </x:c>
      <x:c r="J5219" s="381" t="n">
        <x:f>SUMIFS('Wind Proxy'!$H$8:$H$19,'Wind Proxy'!$A$8:$A$19,'Estimator'!$B$4,'Wind Proxy'!$B$8:$B$19,C5219)</x:f>
        <x:v>0.11728395061728397</x:v>
      </x:c>
    </x:row>
    <x:row r="5220">
      <x:c r="A5220" s="379" t="n">
        <x:v>50871</x:v>
      </x:c>
      <x:c r="B5220" s="380" t="n">
        <x:v>2039</x:v>
      </x:c>
      <x:c r="C5220" s="380" t="n">
        <x:v>4</x:v>
      </x:c>
      <x:c r="D5220" s="380" t="str">
        <x:v>Apr</x:v>
      </x:c>
      <x:c r="E5220" s="380" t="n">
        <x:v>11</x:v>
      </x:c>
      <x:c r="F5220" s="380" t="n">
        <x:v>1</x:v>
      </x:c>
      <x:c r="G5220" s="380" t="n">
        <x:f>--(F5220&lt;='Estimator'!$B$7)</x:f>
        <x:v>1</x:v>
      </x:c>
      <x:c r="H5220" s="381" t="n">
        <x:f>SUMIFS('Climate Data'!$G$7:$G$366,'Climate Data'!$A$7:$A$366,'Estimator'!$B$4,'Climate Data'!$B$7:$B$366,C5220)</x:f>
        <x:v>0.32023809523809527</x:v>
      </x:c>
      <x:c r="I5220" s="382" t="n">
        <x:f>SUMIFS('Climate Data'!$H$7:$H$366,'Climate Data'!$A$7:$A$366,'Estimator'!$B$4,'Climate Data'!$B$7:$B$366,C5220)</x:f>
        <x:v>9.066171003717471</x:v>
      </x:c>
      <x:c r="J5220" s="381" t="n">
        <x:f>SUMIFS('Wind Proxy'!$H$8:$H$19,'Wind Proxy'!$A$8:$A$19,'Estimator'!$B$4,'Wind Proxy'!$B$8:$B$19,C5220)</x:f>
        <x:v>0.11728395061728397</x:v>
      </x:c>
    </x:row>
    <x:row r="5221">
      <x:c r="A5221" s="379" t="n">
        <x:v>50872</x:v>
      </x:c>
      <x:c r="B5221" s="380" t="n">
        <x:v>2039</x:v>
      </x:c>
      <x:c r="C5221" s="380" t="n">
        <x:v>4</x:v>
      </x:c>
      <x:c r="D5221" s="380" t="str">
        <x:v>Apr</x:v>
      </x:c>
      <x:c r="E5221" s="380" t="n">
        <x:v>12</x:v>
      </x:c>
      <x:c r="F5221" s="380" t="n">
        <x:v>2</x:v>
      </x:c>
      <x:c r="G5221" s="380" t="n">
        <x:f>--(F5221&lt;='Estimator'!$B$7)</x:f>
        <x:v>1</x:v>
      </x:c>
      <x:c r="H5221" s="381" t="n">
        <x:f>SUMIFS('Climate Data'!$G$7:$G$366,'Climate Data'!$A$7:$A$366,'Estimator'!$B$4,'Climate Data'!$B$7:$B$366,C5221)</x:f>
        <x:v>0.32023809523809527</x:v>
      </x:c>
      <x:c r="I5221" s="382" t="n">
        <x:f>SUMIFS('Climate Data'!$H$7:$H$366,'Climate Data'!$A$7:$A$366,'Estimator'!$B$4,'Climate Data'!$B$7:$B$366,C5221)</x:f>
        <x:v>9.066171003717471</x:v>
      </x:c>
      <x:c r="J5221" s="381" t="n">
        <x:f>SUMIFS('Wind Proxy'!$H$8:$H$19,'Wind Proxy'!$A$8:$A$19,'Estimator'!$B$4,'Wind Proxy'!$B$8:$B$19,C5221)</x:f>
        <x:v>0.11728395061728397</x:v>
      </x:c>
    </x:row>
    <x:row r="5222">
      <x:c r="A5222" s="379" t="n">
        <x:v>50873</x:v>
      </x:c>
      <x:c r="B5222" s="380" t="n">
        <x:v>2039</x:v>
      </x:c>
      <x:c r="C5222" s="380" t="n">
        <x:v>4</x:v>
      </x:c>
      <x:c r="D5222" s="380" t="str">
        <x:v>Apr</x:v>
      </x:c>
      <x:c r="E5222" s="380" t="n">
        <x:v>13</x:v>
      </x:c>
      <x:c r="F5222" s="380" t="n">
        <x:v>3</x:v>
      </x:c>
      <x:c r="G5222" s="380" t="n">
        <x:f>--(F5222&lt;='Estimator'!$B$7)</x:f>
        <x:v>1</x:v>
      </x:c>
      <x:c r="H5222" s="381" t="n">
        <x:f>SUMIFS('Climate Data'!$G$7:$G$366,'Climate Data'!$A$7:$A$366,'Estimator'!$B$4,'Climate Data'!$B$7:$B$366,C5222)</x:f>
        <x:v>0.32023809523809527</x:v>
      </x:c>
      <x:c r="I5222" s="382" t="n">
        <x:f>SUMIFS('Climate Data'!$H$7:$H$366,'Climate Data'!$A$7:$A$366,'Estimator'!$B$4,'Climate Data'!$B$7:$B$366,C5222)</x:f>
        <x:v>9.066171003717471</x:v>
      </x:c>
      <x:c r="J5222" s="381" t="n">
        <x:f>SUMIFS('Wind Proxy'!$H$8:$H$19,'Wind Proxy'!$A$8:$A$19,'Estimator'!$B$4,'Wind Proxy'!$B$8:$B$19,C5222)</x:f>
        <x:v>0.11728395061728397</x:v>
      </x:c>
    </x:row>
    <x:row r="5223">
      <x:c r="A5223" s="379" t="n">
        <x:v>50874</x:v>
      </x:c>
      <x:c r="B5223" s="380" t="n">
        <x:v>2039</x:v>
      </x:c>
      <x:c r="C5223" s="380" t="n">
        <x:v>4</x:v>
      </x:c>
      <x:c r="D5223" s="380" t="str">
        <x:v>Apr</x:v>
      </x:c>
      <x:c r="E5223" s="380" t="n">
        <x:v>14</x:v>
      </x:c>
      <x:c r="F5223" s="380" t="n">
        <x:v>4</x:v>
      </x:c>
      <x:c r="G5223" s="380" t="n">
        <x:f>--(F5223&lt;='Estimator'!$B$7)</x:f>
        <x:v>1</x:v>
      </x:c>
      <x:c r="H5223" s="381" t="n">
        <x:f>SUMIFS('Climate Data'!$G$7:$G$366,'Climate Data'!$A$7:$A$366,'Estimator'!$B$4,'Climate Data'!$B$7:$B$366,C5223)</x:f>
        <x:v>0.32023809523809527</x:v>
      </x:c>
      <x:c r="I5223" s="382" t="n">
        <x:f>SUMIFS('Climate Data'!$H$7:$H$366,'Climate Data'!$A$7:$A$366,'Estimator'!$B$4,'Climate Data'!$B$7:$B$366,C5223)</x:f>
        <x:v>9.066171003717471</x:v>
      </x:c>
      <x:c r="J5223" s="381" t="n">
        <x:f>SUMIFS('Wind Proxy'!$H$8:$H$19,'Wind Proxy'!$A$8:$A$19,'Estimator'!$B$4,'Wind Proxy'!$B$8:$B$19,C5223)</x:f>
        <x:v>0.11728395061728397</x:v>
      </x:c>
    </x:row>
    <x:row r="5224">
      <x:c r="A5224" s="379" t="n">
        <x:v>50875</x:v>
      </x:c>
      <x:c r="B5224" s="380" t="n">
        <x:v>2039</x:v>
      </x:c>
      <x:c r="C5224" s="380" t="n">
        <x:v>4</x:v>
      </x:c>
      <x:c r="D5224" s="380" t="str">
        <x:v>Apr</x:v>
      </x:c>
      <x:c r="E5224" s="380" t="n">
        <x:v>15</x:v>
      </x:c>
      <x:c r="F5224" s="380" t="n">
        <x:v>5</x:v>
      </x:c>
      <x:c r="G5224" s="380" t="n">
        <x:f>--(F5224&lt;='Estimator'!$B$7)</x:f>
        <x:v>1</x:v>
      </x:c>
      <x:c r="H5224" s="381" t="n">
        <x:f>SUMIFS('Climate Data'!$G$7:$G$366,'Climate Data'!$A$7:$A$366,'Estimator'!$B$4,'Climate Data'!$B$7:$B$366,C5224)</x:f>
        <x:v>0.32023809523809527</x:v>
      </x:c>
      <x:c r="I5224" s="382" t="n">
        <x:f>SUMIFS('Climate Data'!$H$7:$H$366,'Climate Data'!$A$7:$A$366,'Estimator'!$B$4,'Climate Data'!$B$7:$B$366,C5224)</x:f>
        <x:v>9.066171003717471</x:v>
      </x:c>
      <x:c r="J5224" s="381" t="n">
        <x:f>SUMIFS('Wind Proxy'!$H$8:$H$19,'Wind Proxy'!$A$8:$A$19,'Estimator'!$B$4,'Wind Proxy'!$B$8:$B$19,C5224)</x:f>
        <x:v>0.11728395061728397</x:v>
      </x:c>
    </x:row>
    <x:row r="5225">
      <x:c r="A5225" s="379" t="n">
        <x:v>50876</x:v>
      </x:c>
      <x:c r="B5225" s="380" t="n">
        <x:v>2039</x:v>
      </x:c>
      <x:c r="C5225" s="380" t="n">
        <x:v>4</x:v>
      </x:c>
      <x:c r="D5225" s="380" t="str">
        <x:v>Apr</x:v>
      </x:c>
      <x:c r="E5225" s="380" t="n">
        <x:v>16</x:v>
      </x:c>
      <x:c r="F5225" s="380" t="n">
        <x:v>6</x:v>
      </x:c>
      <x:c r="G5225" s="380" t="n">
        <x:f>--(F5225&lt;='Estimator'!$B$7)</x:f>
        <x:v>0</x:v>
      </x:c>
      <x:c r="H5225" s="381" t="n">
        <x:f>SUMIFS('Climate Data'!$G$7:$G$366,'Climate Data'!$A$7:$A$366,'Estimator'!$B$4,'Climate Data'!$B$7:$B$366,C5225)</x:f>
        <x:v>0.32023809523809527</x:v>
      </x:c>
      <x:c r="I5225" s="382" t="n">
        <x:f>SUMIFS('Climate Data'!$H$7:$H$366,'Climate Data'!$A$7:$A$366,'Estimator'!$B$4,'Climate Data'!$B$7:$B$366,C5225)</x:f>
        <x:v>9.066171003717471</x:v>
      </x:c>
      <x:c r="J5225" s="381" t="n">
        <x:f>SUMIFS('Wind Proxy'!$H$8:$H$19,'Wind Proxy'!$A$8:$A$19,'Estimator'!$B$4,'Wind Proxy'!$B$8:$B$19,C5225)</x:f>
        <x:v>0.11728395061728397</x:v>
      </x:c>
    </x:row>
    <x:row r="5226">
      <x:c r="A5226" s="379" t="n">
        <x:v>50877</x:v>
      </x:c>
      <x:c r="B5226" s="380" t="n">
        <x:v>2039</x:v>
      </x:c>
      <x:c r="C5226" s="380" t="n">
        <x:v>4</x:v>
      </x:c>
      <x:c r="D5226" s="380" t="str">
        <x:v>Apr</x:v>
      </x:c>
      <x:c r="E5226" s="380" t="n">
        <x:v>17</x:v>
      </x:c>
      <x:c r="F5226" s="380" t="n">
        <x:v>7</x:v>
      </x:c>
      <x:c r="G5226" s="380" t="n">
        <x:f>--(F5226&lt;='Estimator'!$B$7)</x:f>
        <x:v>0</x:v>
      </x:c>
      <x:c r="H5226" s="381" t="n">
        <x:f>SUMIFS('Climate Data'!$G$7:$G$366,'Climate Data'!$A$7:$A$366,'Estimator'!$B$4,'Climate Data'!$B$7:$B$366,C5226)</x:f>
        <x:v>0.32023809523809527</x:v>
      </x:c>
      <x:c r="I5226" s="382" t="n">
        <x:f>SUMIFS('Climate Data'!$H$7:$H$366,'Climate Data'!$A$7:$A$366,'Estimator'!$B$4,'Climate Data'!$B$7:$B$366,C5226)</x:f>
        <x:v>9.066171003717471</x:v>
      </x:c>
      <x:c r="J5226" s="381" t="n">
        <x:f>SUMIFS('Wind Proxy'!$H$8:$H$19,'Wind Proxy'!$A$8:$A$19,'Estimator'!$B$4,'Wind Proxy'!$B$8:$B$19,C5226)</x:f>
        <x:v>0.11728395061728397</x:v>
      </x:c>
    </x:row>
    <x:row r="5227">
      <x:c r="A5227" s="379" t="n">
        <x:v>50878</x:v>
      </x:c>
      <x:c r="B5227" s="380" t="n">
        <x:v>2039</x:v>
      </x:c>
      <x:c r="C5227" s="380" t="n">
        <x:v>4</x:v>
      </x:c>
      <x:c r="D5227" s="380" t="str">
        <x:v>Apr</x:v>
      </x:c>
      <x:c r="E5227" s="380" t="n">
        <x:v>18</x:v>
      </x:c>
      <x:c r="F5227" s="380" t="n">
        <x:v>1</x:v>
      </x:c>
      <x:c r="G5227" s="380" t="n">
        <x:f>--(F5227&lt;='Estimator'!$B$7)</x:f>
        <x:v>1</x:v>
      </x:c>
      <x:c r="H5227" s="381" t="n">
        <x:f>SUMIFS('Climate Data'!$G$7:$G$366,'Climate Data'!$A$7:$A$366,'Estimator'!$B$4,'Climate Data'!$B$7:$B$366,C5227)</x:f>
        <x:v>0.32023809523809527</x:v>
      </x:c>
      <x:c r="I5227" s="382" t="n">
        <x:f>SUMIFS('Climate Data'!$H$7:$H$366,'Climate Data'!$A$7:$A$366,'Estimator'!$B$4,'Climate Data'!$B$7:$B$366,C5227)</x:f>
        <x:v>9.066171003717471</x:v>
      </x:c>
      <x:c r="J5227" s="381" t="n">
        <x:f>SUMIFS('Wind Proxy'!$H$8:$H$19,'Wind Proxy'!$A$8:$A$19,'Estimator'!$B$4,'Wind Proxy'!$B$8:$B$19,C5227)</x:f>
        <x:v>0.11728395061728397</x:v>
      </x:c>
    </x:row>
    <x:row r="5228">
      <x:c r="A5228" s="379" t="n">
        <x:v>50879</x:v>
      </x:c>
      <x:c r="B5228" s="380" t="n">
        <x:v>2039</x:v>
      </x:c>
      <x:c r="C5228" s="380" t="n">
        <x:v>4</x:v>
      </x:c>
      <x:c r="D5228" s="380" t="str">
        <x:v>Apr</x:v>
      </x:c>
      <x:c r="E5228" s="380" t="n">
        <x:v>19</x:v>
      </x:c>
      <x:c r="F5228" s="380" t="n">
        <x:v>2</x:v>
      </x:c>
      <x:c r="G5228" s="380" t="n">
        <x:f>--(F5228&lt;='Estimator'!$B$7)</x:f>
        <x:v>1</x:v>
      </x:c>
      <x:c r="H5228" s="381" t="n">
        <x:f>SUMIFS('Climate Data'!$G$7:$G$366,'Climate Data'!$A$7:$A$366,'Estimator'!$B$4,'Climate Data'!$B$7:$B$366,C5228)</x:f>
        <x:v>0.32023809523809527</x:v>
      </x:c>
      <x:c r="I5228" s="382" t="n">
        <x:f>SUMIFS('Climate Data'!$H$7:$H$366,'Climate Data'!$A$7:$A$366,'Estimator'!$B$4,'Climate Data'!$B$7:$B$366,C5228)</x:f>
        <x:v>9.066171003717471</x:v>
      </x:c>
      <x:c r="J5228" s="381" t="n">
        <x:f>SUMIFS('Wind Proxy'!$H$8:$H$19,'Wind Proxy'!$A$8:$A$19,'Estimator'!$B$4,'Wind Proxy'!$B$8:$B$19,C5228)</x:f>
        <x:v>0.11728395061728397</x:v>
      </x:c>
    </x:row>
    <x:row r="5229">
      <x:c r="A5229" s="379" t="n">
        <x:v>50880</x:v>
      </x:c>
      <x:c r="B5229" s="380" t="n">
        <x:v>2039</x:v>
      </x:c>
      <x:c r="C5229" s="380" t="n">
        <x:v>4</x:v>
      </x:c>
      <x:c r="D5229" s="380" t="str">
        <x:v>Apr</x:v>
      </x:c>
      <x:c r="E5229" s="380" t="n">
        <x:v>20</x:v>
      </x:c>
      <x:c r="F5229" s="380" t="n">
        <x:v>3</x:v>
      </x:c>
      <x:c r="G5229" s="380" t="n">
        <x:f>--(F5229&lt;='Estimator'!$B$7)</x:f>
        <x:v>1</x:v>
      </x:c>
      <x:c r="H5229" s="381" t="n">
        <x:f>SUMIFS('Climate Data'!$G$7:$G$366,'Climate Data'!$A$7:$A$366,'Estimator'!$B$4,'Climate Data'!$B$7:$B$366,C5229)</x:f>
        <x:v>0.32023809523809527</x:v>
      </x:c>
      <x:c r="I5229" s="382" t="n">
        <x:f>SUMIFS('Climate Data'!$H$7:$H$366,'Climate Data'!$A$7:$A$366,'Estimator'!$B$4,'Climate Data'!$B$7:$B$366,C5229)</x:f>
        <x:v>9.066171003717471</x:v>
      </x:c>
      <x:c r="J5229" s="381" t="n">
        <x:f>SUMIFS('Wind Proxy'!$H$8:$H$19,'Wind Proxy'!$A$8:$A$19,'Estimator'!$B$4,'Wind Proxy'!$B$8:$B$19,C5229)</x:f>
        <x:v>0.11728395061728397</x:v>
      </x:c>
    </x:row>
    <x:row r="5230">
      <x:c r="A5230" s="379" t="n">
        <x:v>50881</x:v>
      </x:c>
      <x:c r="B5230" s="380" t="n">
        <x:v>2039</x:v>
      </x:c>
      <x:c r="C5230" s="380" t="n">
        <x:v>4</x:v>
      </x:c>
      <x:c r="D5230" s="380" t="str">
        <x:v>Apr</x:v>
      </x:c>
      <x:c r="E5230" s="380" t="n">
        <x:v>21</x:v>
      </x:c>
      <x:c r="F5230" s="380" t="n">
        <x:v>4</x:v>
      </x:c>
      <x:c r="G5230" s="380" t="n">
        <x:f>--(F5230&lt;='Estimator'!$B$7)</x:f>
        <x:v>1</x:v>
      </x:c>
      <x:c r="H5230" s="381" t="n">
        <x:f>SUMIFS('Climate Data'!$G$7:$G$366,'Climate Data'!$A$7:$A$366,'Estimator'!$B$4,'Climate Data'!$B$7:$B$366,C5230)</x:f>
        <x:v>0.32023809523809527</x:v>
      </x:c>
      <x:c r="I5230" s="382" t="n">
        <x:f>SUMIFS('Climate Data'!$H$7:$H$366,'Climate Data'!$A$7:$A$366,'Estimator'!$B$4,'Climate Data'!$B$7:$B$366,C5230)</x:f>
        <x:v>9.066171003717471</x:v>
      </x:c>
      <x:c r="J5230" s="381" t="n">
        <x:f>SUMIFS('Wind Proxy'!$H$8:$H$19,'Wind Proxy'!$A$8:$A$19,'Estimator'!$B$4,'Wind Proxy'!$B$8:$B$19,C5230)</x:f>
        <x:v>0.11728395061728397</x:v>
      </x:c>
    </x:row>
    <x:row r="5231">
      <x:c r="A5231" s="379" t="n">
        <x:v>50882</x:v>
      </x:c>
      <x:c r="B5231" s="380" t="n">
        <x:v>2039</x:v>
      </x:c>
      <x:c r="C5231" s="380" t="n">
        <x:v>4</x:v>
      </x:c>
      <x:c r="D5231" s="380" t="str">
        <x:v>Apr</x:v>
      </x:c>
      <x:c r="E5231" s="380" t="n">
        <x:v>22</x:v>
      </x:c>
      <x:c r="F5231" s="380" t="n">
        <x:v>5</x:v>
      </x:c>
      <x:c r="G5231" s="380" t="n">
        <x:f>--(F5231&lt;='Estimator'!$B$7)</x:f>
        <x:v>1</x:v>
      </x:c>
      <x:c r="H5231" s="381" t="n">
        <x:f>SUMIFS('Climate Data'!$G$7:$G$366,'Climate Data'!$A$7:$A$366,'Estimator'!$B$4,'Climate Data'!$B$7:$B$366,C5231)</x:f>
        <x:v>0.32023809523809527</x:v>
      </x:c>
      <x:c r="I5231" s="382" t="n">
        <x:f>SUMIFS('Climate Data'!$H$7:$H$366,'Climate Data'!$A$7:$A$366,'Estimator'!$B$4,'Climate Data'!$B$7:$B$366,C5231)</x:f>
        <x:v>9.066171003717471</x:v>
      </x:c>
      <x:c r="J5231" s="381" t="n">
        <x:f>SUMIFS('Wind Proxy'!$H$8:$H$19,'Wind Proxy'!$A$8:$A$19,'Estimator'!$B$4,'Wind Proxy'!$B$8:$B$19,C5231)</x:f>
        <x:v>0.11728395061728397</x:v>
      </x:c>
    </x:row>
    <x:row r="5232">
      <x:c r="A5232" s="379" t="n">
        <x:v>50883</x:v>
      </x:c>
      <x:c r="B5232" s="380" t="n">
        <x:v>2039</x:v>
      </x:c>
      <x:c r="C5232" s="380" t="n">
        <x:v>4</x:v>
      </x:c>
      <x:c r="D5232" s="380" t="str">
        <x:v>Apr</x:v>
      </x:c>
      <x:c r="E5232" s="380" t="n">
        <x:v>23</x:v>
      </x:c>
      <x:c r="F5232" s="380" t="n">
        <x:v>6</x:v>
      </x:c>
      <x:c r="G5232" s="380" t="n">
        <x:f>--(F5232&lt;='Estimator'!$B$7)</x:f>
        <x:v>0</x:v>
      </x:c>
      <x:c r="H5232" s="381" t="n">
        <x:f>SUMIFS('Climate Data'!$G$7:$G$366,'Climate Data'!$A$7:$A$366,'Estimator'!$B$4,'Climate Data'!$B$7:$B$366,C5232)</x:f>
        <x:v>0.32023809523809527</x:v>
      </x:c>
      <x:c r="I5232" s="382" t="n">
        <x:f>SUMIFS('Climate Data'!$H$7:$H$366,'Climate Data'!$A$7:$A$366,'Estimator'!$B$4,'Climate Data'!$B$7:$B$366,C5232)</x:f>
        <x:v>9.066171003717471</x:v>
      </x:c>
      <x:c r="J5232" s="381" t="n">
        <x:f>SUMIFS('Wind Proxy'!$H$8:$H$19,'Wind Proxy'!$A$8:$A$19,'Estimator'!$B$4,'Wind Proxy'!$B$8:$B$19,C5232)</x:f>
        <x:v>0.11728395061728397</x:v>
      </x:c>
    </x:row>
    <x:row r="5233">
      <x:c r="A5233" s="379" t="n">
        <x:v>50884</x:v>
      </x:c>
      <x:c r="B5233" s="380" t="n">
        <x:v>2039</x:v>
      </x:c>
      <x:c r="C5233" s="380" t="n">
        <x:v>4</x:v>
      </x:c>
      <x:c r="D5233" s="380" t="str">
        <x:v>Apr</x:v>
      </x:c>
      <x:c r="E5233" s="380" t="n">
        <x:v>24</x:v>
      </x:c>
      <x:c r="F5233" s="380" t="n">
        <x:v>7</x:v>
      </x:c>
      <x:c r="G5233" s="380" t="n">
        <x:f>--(F5233&lt;='Estimator'!$B$7)</x:f>
        <x:v>0</x:v>
      </x:c>
      <x:c r="H5233" s="381" t="n">
        <x:f>SUMIFS('Climate Data'!$G$7:$G$366,'Climate Data'!$A$7:$A$366,'Estimator'!$B$4,'Climate Data'!$B$7:$B$366,C5233)</x:f>
        <x:v>0.32023809523809527</x:v>
      </x:c>
      <x:c r="I5233" s="382" t="n">
        <x:f>SUMIFS('Climate Data'!$H$7:$H$366,'Climate Data'!$A$7:$A$366,'Estimator'!$B$4,'Climate Data'!$B$7:$B$366,C5233)</x:f>
        <x:v>9.066171003717471</x:v>
      </x:c>
      <x:c r="J5233" s="381" t="n">
        <x:f>SUMIFS('Wind Proxy'!$H$8:$H$19,'Wind Proxy'!$A$8:$A$19,'Estimator'!$B$4,'Wind Proxy'!$B$8:$B$19,C5233)</x:f>
        <x:v>0.11728395061728397</x:v>
      </x:c>
    </x:row>
    <x:row r="5234">
      <x:c r="A5234" s="379" t="n">
        <x:v>50885</x:v>
      </x:c>
      <x:c r="B5234" s="380" t="n">
        <x:v>2039</x:v>
      </x:c>
      <x:c r="C5234" s="380" t="n">
        <x:v>4</x:v>
      </x:c>
      <x:c r="D5234" s="380" t="str">
        <x:v>Apr</x:v>
      </x:c>
      <x:c r="E5234" s="380" t="n">
        <x:v>25</x:v>
      </x:c>
      <x:c r="F5234" s="380" t="n">
        <x:v>1</x:v>
      </x:c>
      <x:c r="G5234" s="380" t="n">
        <x:f>--(F5234&lt;='Estimator'!$B$7)</x:f>
        <x:v>1</x:v>
      </x:c>
      <x:c r="H5234" s="381" t="n">
        <x:f>SUMIFS('Climate Data'!$G$7:$G$366,'Climate Data'!$A$7:$A$366,'Estimator'!$B$4,'Climate Data'!$B$7:$B$366,C5234)</x:f>
        <x:v>0.32023809523809527</x:v>
      </x:c>
      <x:c r="I5234" s="382" t="n">
        <x:f>SUMIFS('Climate Data'!$H$7:$H$366,'Climate Data'!$A$7:$A$366,'Estimator'!$B$4,'Climate Data'!$B$7:$B$366,C5234)</x:f>
        <x:v>9.066171003717471</x:v>
      </x:c>
      <x:c r="J5234" s="381" t="n">
        <x:f>SUMIFS('Wind Proxy'!$H$8:$H$19,'Wind Proxy'!$A$8:$A$19,'Estimator'!$B$4,'Wind Proxy'!$B$8:$B$19,C5234)</x:f>
        <x:v>0.11728395061728397</x:v>
      </x:c>
    </x:row>
    <x:row r="5235">
      <x:c r="A5235" s="379" t="n">
        <x:v>50886</x:v>
      </x:c>
      <x:c r="B5235" s="380" t="n">
        <x:v>2039</x:v>
      </x:c>
      <x:c r="C5235" s="380" t="n">
        <x:v>4</x:v>
      </x:c>
      <x:c r="D5235" s="380" t="str">
        <x:v>Apr</x:v>
      </x:c>
      <x:c r="E5235" s="380" t="n">
        <x:v>26</x:v>
      </x:c>
      <x:c r="F5235" s="380" t="n">
        <x:v>2</x:v>
      </x:c>
      <x:c r="G5235" s="380" t="n">
        <x:f>--(F5235&lt;='Estimator'!$B$7)</x:f>
        <x:v>1</x:v>
      </x:c>
      <x:c r="H5235" s="381" t="n">
        <x:f>SUMIFS('Climate Data'!$G$7:$G$366,'Climate Data'!$A$7:$A$366,'Estimator'!$B$4,'Climate Data'!$B$7:$B$366,C5235)</x:f>
        <x:v>0.32023809523809527</x:v>
      </x:c>
      <x:c r="I5235" s="382" t="n">
        <x:f>SUMIFS('Climate Data'!$H$7:$H$366,'Climate Data'!$A$7:$A$366,'Estimator'!$B$4,'Climate Data'!$B$7:$B$366,C5235)</x:f>
        <x:v>9.066171003717471</x:v>
      </x:c>
      <x:c r="J5235" s="381" t="n">
        <x:f>SUMIFS('Wind Proxy'!$H$8:$H$19,'Wind Proxy'!$A$8:$A$19,'Estimator'!$B$4,'Wind Proxy'!$B$8:$B$19,C5235)</x:f>
        <x:v>0.11728395061728397</x:v>
      </x:c>
    </x:row>
    <x:row r="5236">
      <x:c r="A5236" s="379" t="n">
        <x:v>50887</x:v>
      </x:c>
      <x:c r="B5236" s="380" t="n">
        <x:v>2039</x:v>
      </x:c>
      <x:c r="C5236" s="380" t="n">
        <x:v>4</x:v>
      </x:c>
      <x:c r="D5236" s="380" t="str">
        <x:v>Apr</x:v>
      </x:c>
      <x:c r="E5236" s="380" t="n">
        <x:v>27</x:v>
      </x:c>
      <x:c r="F5236" s="380" t="n">
        <x:v>3</x:v>
      </x:c>
      <x:c r="G5236" s="380" t="n">
        <x:f>--(F5236&lt;='Estimator'!$B$7)</x:f>
        <x:v>1</x:v>
      </x:c>
      <x:c r="H5236" s="381" t="n">
        <x:f>SUMIFS('Climate Data'!$G$7:$G$366,'Climate Data'!$A$7:$A$366,'Estimator'!$B$4,'Climate Data'!$B$7:$B$366,C5236)</x:f>
        <x:v>0.32023809523809527</x:v>
      </x:c>
      <x:c r="I5236" s="382" t="n">
        <x:f>SUMIFS('Climate Data'!$H$7:$H$366,'Climate Data'!$A$7:$A$366,'Estimator'!$B$4,'Climate Data'!$B$7:$B$366,C5236)</x:f>
        <x:v>9.066171003717471</x:v>
      </x:c>
      <x:c r="J5236" s="381" t="n">
        <x:f>SUMIFS('Wind Proxy'!$H$8:$H$19,'Wind Proxy'!$A$8:$A$19,'Estimator'!$B$4,'Wind Proxy'!$B$8:$B$19,C5236)</x:f>
        <x:v>0.11728395061728397</x:v>
      </x:c>
    </x:row>
    <x:row r="5237">
      <x:c r="A5237" s="379" t="n">
        <x:v>50888</x:v>
      </x:c>
      <x:c r="B5237" s="380" t="n">
        <x:v>2039</x:v>
      </x:c>
      <x:c r="C5237" s="380" t="n">
        <x:v>4</x:v>
      </x:c>
      <x:c r="D5237" s="380" t="str">
        <x:v>Apr</x:v>
      </x:c>
      <x:c r="E5237" s="380" t="n">
        <x:v>28</x:v>
      </x:c>
      <x:c r="F5237" s="380" t="n">
        <x:v>4</x:v>
      </x:c>
      <x:c r="G5237" s="380" t="n">
        <x:f>--(F5237&lt;='Estimator'!$B$7)</x:f>
        <x:v>1</x:v>
      </x:c>
      <x:c r="H5237" s="381" t="n">
        <x:f>SUMIFS('Climate Data'!$G$7:$G$366,'Climate Data'!$A$7:$A$366,'Estimator'!$B$4,'Climate Data'!$B$7:$B$366,C5237)</x:f>
        <x:v>0.32023809523809527</x:v>
      </x:c>
      <x:c r="I5237" s="382" t="n">
        <x:f>SUMIFS('Climate Data'!$H$7:$H$366,'Climate Data'!$A$7:$A$366,'Estimator'!$B$4,'Climate Data'!$B$7:$B$366,C5237)</x:f>
        <x:v>9.066171003717471</x:v>
      </x:c>
      <x:c r="J5237" s="381" t="n">
        <x:f>SUMIFS('Wind Proxy'!$H$8:$H$19,'Wind Proxy'!$A$8:$A$19,'Estimator'!$B$4,'Wind Proxy'!$B$8:$B$19,C5237)</x:f>
        <x:v>0.11728395061728397</x:v>
      </x:c>
    </x:row>
    <x:row r="5238">
      <x:c r="A5238" s="379" t="n">
        <x:v>50889</x:v>
      </x:c>
      <x:c r="B5238" s="380" t="n">
        <x:v>2039</x:v>
      </x:c>
      <x:c r="C5238" s="380" t="n">
        <x:v>4</x:v>
      </x:c>
      <x:c r="D5238" s="380" t="str">
        <x:v>Apr</x:v>
      </x:c>
      <x:c r="E5238" s="380" t="n">
        <x:v>29</x:v>
      </x:c>
      <x:c r="F5238" s="380" t="n">
        <x:v>5</x:v>
      </x:c>
      <x:c r="G5238" s="380" t="n">
        <x:f>--(F5238&lt;='Estimator'!$B$7)</x:f>
        <x:v>1</x:v>
      </x:c>
      <x:c r="H5238" s="381" t="n">
        <x:f>SUMIFS('Climate Data'!$G$7:$G$366,'Climate Data'!$A$7:$A$366,'Estimator'!$B$4,'Climate Data'!$B$7:$B$366,C5238)</x:f>
        <x:v>0.32023809523809527</x:v>
      </x:c>
      <x:c r="I5238" s="382" t="n">
        <x:f>SUMIFS('Climate Data'!$H$7:$H$366,'Climate Data'!$A$7:$A$366,'Estimator'!$B$4,'Climate Data'!$B$7:$B$366,C5238)</x:f>
        <x:v>9.066171003717471</x:v>
      </x:c>
      <x:c r="J5238" s="381" t="n">
        <x:f>SUMIFS('Wind Proxy'!$H$8:$H$19,'Wind Proxy'!$A$8:$A$19,'Estimator'!$B$4,'Wind Proxy'!$B$8:$B$19,C5238)</x:f>
        <x:v>0.11728395061728397</x:v>
      </x:c>
    </x:row>
    <x:row r="5239">
      <x:c r="A5239" s="379" t="n">
        <x:v>50890</x:v>
      </x:c>
      <x:c r="B5239" s="380" t="n">
        <x:v>2039</x:v>
      </x:c>
      <x:c r="C5239" s="380" t="n">
        <x:v>4</x:v>
      </x:c>
      <x:c r="D5239" s="380" t="str">
        <x:v>Apr</x:v>
      </x:c>
      <x:c r="E5239" s="380" t="n">
        <x:v>30</x:v>
      </x:c>
      <x:c r="F5239" s="380" t="n">
        <x:v>6</x:v>
      </x:c>
      <x:c r="G5239" s="380" t="n">
        <x:f>--(F5239&lt;='Estimator'!$B$7)</x:f>
        <x:v>0</x:v>
      </x:c>
      <x:c r="H5239" s="381" t="n">
        <x:f>SUMIFS('Climate Data'!$G$7:$G$366,'Climate Data'!$A$7:$A$366,'Estimator'!$B$4,'Climate Data'!$B$7:$B$366,C5239)</x:f>
        <x:v>0.32023809523809527</x:v>
      </x:c>
      <x:c r="I5239" s="382" t="n">
        <x:f>SUMIFS('Climate Data'!$H$7:$H$366,'Climate Data'!$A$7:$A$366,'Estimator'!$B$4,'Climate Data'!$B$7:$B$366,C5239)</x:f>
        <x:v>9.066171003717471</x:v>
      </x:c>
      <x:c r="J5239" s="381" t="n">
        <x:f>SUMIFS('Wind Proxy'!$H$8:$H$19,'Wind Proxy'!$A$8:$A$19,'Estimator'!$B$4,'Wind Proxy'!$B$8:$B$19,C5239)</x:f>
        <x:v>0.11728395061728397</x:v>
      </x:c>
    </x:row>
    <x:row r="5240">
      <x:c r="A5240" s="379" t="n">
        <x:v>50891</x:v>
      </x:c>
      <x:c r="B5240" s="380" t="n">
        <x:v>2039</x:v>
      </x:c>
      <x:c r="C5240" s="380" t="n">
        <x:v>5</x:v>
      </x:c>
      <x:c r="D5240" s="380" t="str">
        <x:v>May</x:v>
      </x:c>
      <x:c r="E5240" s="380" t="n">
        <x:v>1</x:v>
      </x:c>
      <x:c r="F5240" s="380" t="n">
        <x:v>7</x:v>
      </x:c>
      <x:c r="G5240" s="380" t="n">
        <x:f>--(F5240&lt;='Estimator'!$B$7)</x:f>
        <x:v>0</x:v>
      </x:c>
      <x:c r="H5240" s="381" t="n">
        <x:f>SUMIFS('Climate Data'!$G$7:$G$366,'Climate Data'!$A$7:$A$366,'Estimator'!$B$4,'Climate Data'!$B$7:$B$366,C5240)</x:f>
        <x:v>0.41935483870967744</x:v>
      </x:c>
      <x:c r="I5240" s="382" t="n">
        <x:f>SUMIFS('Climate Data'!$H$7:$H$366,'Climate Data'!$A$7:$A$366,'Estimator'!$B$4,'Climate Data'!$B$7:$B$366,C5240)</x:f>
        <x:v>9.215384615384615</x:v>
      </x:c>
      <x:c r="J5240" s="381" t="n">
        <x:f>SUMIFS('Wind Proxy'!$H$8:$H$19,'Wind Proxy'!$A$8:$A$19,'Estimator'!$B$4,'Wind Proxy'!$B$8:$B$19,C5240)</x:f>
        <x:v>0.11350059737156513</x:v>
      </x:c>
    </x:row>
    <x:row r="5241">
      <x:c r="A5241" s="379" t="n">
        <x:v>50892</x:v>
      </x:c>
      <x:c r="B5241" s="380" t="n">
        <x:v>2039</x:v>
      </x:c>
      <x:c r="C5241" s="380" t="n">
        <x:v>5</x:v>
      </x:c>
      <x:c r="D5241" s="380" t="str">
        <x:v>May</x:v>
      </x:c>
      <x:c r="E5241" s="380" t="n">
        <x:v>2</x:v>
      </x:c>
      <x:c r="F5241" s="380" t="n">
        <x:v>1</x:v>
      </x:c>
      <x:c r="G5241" s="380" t="n">
        <x:f>--(F5241&lt;='Estimator'!$B$7)</x:f>
        <x:v>1</x:v>
      </x:c>
      <x:c r="H5241" s="381" t="n">
        <x:f>SUMIFS('Climate Data'!$G$7:$G$366,'Climate Data'!$A$7:$A$366,'Estimator'!$B$4,'Climate Data'!$B$7:$B$366,C5241)</x:f>
        <x:v>0.41935483870967744</x:v>
      </x:c>
      <x:c r="I5241" s="382" t="n">
        <x:f>SUMIFS('Climate Data'!$H$7:$H$366,'Climate Data'!$A$7:$A$366,'Estimator'!$B$4,'Climate Data'!$B$7:$B$366,C5241)</x:f>
        <x:v>9.215384615384615</x:v>
      </x:c>
      <x:c r="J5241" s="381" t="n">
        <x:f>SUMIFS('Wind Proxy'!$H$8:$H$19,'Wind Proxy'!$A$8:$A$19,'Estimator'!$B$4,'Wind Proxy'!$B$8:$B$19,C5241)</x:f>
        <x:v>0.11350059737156513</x:v>
      </x:c>
    </x:row>
    <x:row r="5242">
      <x:c r="A5242" s="379" t="n">
        <x:v>50893</x:v>
      </x:c>
      <x:c r="B5242" s="380" t="n">
        <x:v>2039</x:v>
      </x:c>
      <x:c r="C5242" s="380" t="n">
        <x:v>5</x:v>
      </x:c>
      <x:c r="D5242" s="380" t="str">
        <x:v>May</x:v>
      </x:c>
      <x:c r="E5242" s="380" t="n">
        <x:v>3</x:v>
      </x:c>
      <x:c r="F5242" s="380" t="n">
        <x:v>2</x:v>
      </x:c>
      <x:c r="G5242" s="380" t="n">
        <x:f>--(F5242&lt;='Estimator'!$B$7)</x:f>
        <x:v>1</x:v>
      </x:c>
      <x:c r="H5242" s="381" t="n">
        <x:f>SUMIFS('Climate Data'!$G$7:$G$366,'Climate Data'!$A$7:$A$366,'Estimator'!$B$4,'Climate Data'!$B$7:$B$366,C5242)</x:f>
        <x:v>0.41935483870967744</x:v>
      </x:c>
      <x:c r="I5242" s="382" t="n">
        <x:f>SUMIFS('Climate Data'!$H$7:$H$366,'Climate Data'!$A$7:$A$366,'Estimator'!$B$4,'Climate Data'!$B$7:$B$366,C5242)</x:f>
        <x:v>9.215384615384615</x:v>
      </x:c>
      <x:c r="J5242" s="381" t="n">
        <x:f>SUMIFS('Wind Proxy'!$H$8:$H$19,'Wind Proxy'!$A$8:$A$19,'Estimator'!$B$4,'Wind Proxy'!$B$8:$B$19,C5242)</x:f>
        <x:v>0.11350059737156513</x:v>
      </x:c>
    </x:row>
    <x:row r="5243">
      <x:c r="A5243" s="379" t="n">
        <x:v>50894</x:v>
      </x:c>
      <x:c r="B5243" s="380" t="n">
        <x:v>2039</x:v>
      </x:c>
      <x:c r="C5243" s="380" t="n">
        <x:v>5</x:v>
      </x:c>
      <x:c r="D5243" s="380" t="str">
        <x:v>May</x:v>
      </x:c>
      <x:c r="E5243" s="380" t="n">
        <x:v>4</x:v>
      </x:c>
      <x:c r="F5243" s="380" t="n">
        <x:v>3</x:v>
      </x:c>
      <x:c r="G5243" s="380" t="n">
        <x:f>--(F5243&lt;='Estimator'!$B$7)</x:f>
        <x:v>1</x:v>
      </x:c>
      <x:c r="H5243" s="381" t="n">
        <x:f>SUMIFS('Climate Data'!$G$7:$G$366,'Climate Data'!$A$7:$A$366,'Estimator'!$B$4,'Climate Data'!$B$7:$B$366,C5243)</x:f>
        <x:v>0.41935483870967744</x:v>
      </x:c>
      <x:c r="I5243" s="382" t="n">
        <x:f>SUMIFS('Climate Data'!$H$7:$H$366,'Climate Data'!$A$7:$A$366,'Estimator'!$B$4,'Climate Data'!$B$7:$B$366,C5243)</x:f>
        <x:v>9.215384615384615</x:v>
      </x:c>
      <x:c r="J5243" s="381" t="n">
        <x:f>SUMIFS('Wind Proxy'!$H$8:$H$19,'Wind Proxy'!$A$8:$A$19,'Estimator'!$B$4,'Wind Proxy'!$B$8:$B$19,C5243)</x:f>
        <x:v>0.11350059737156513</x:v>
      </x:c>
    </x:row>
    <x:row r="5244">
      <x:c r="A5244" s="379" t="n">
        <x:v>50895</x:v>
      </x:c>
      <x:c r="B5244" s="380" t="n">
        <x:v>2039</x:v>
      </x:c>
      <x:c r="C5244" s="380" t="n">
        <x:v>5</x:v>
      </x:c>
      <x:c r="D5244" s="380" t="str">
        <x:v>May</x:v>
      </x:c>
      <x:c r="E5244" s="380" t="n">
        <x:v>5</x:v>
      </x:c>
      <x:c r="F5244" s="380" t="n">
        <x:v>4</x:v>
      </x:c>
      <x:c r="G5244" s="380" t="n">
        <x:f>--(F5244&lt;='Estimator'!$B$7)</x:f>
        <x:v>1</x:v>
      </x:c>
      <x:c r="H5244" s="381" t="n">
        <x:f>SUMIFS('Climate Data'!$G$7:$G$366,'Climate Data'!$A$7:$A$366,'Estimator'!$B$4,'Climate Data'!$B$7:$B$366,C5244)</x:f>
        <x:v>0.41935483870967744</x:v>
      </x:c>
      <x:c r="I5244" s="382" t="n">
        <x:f>SUMIFS('Climate Data'!$H$7:$H$366,'Climate Data'!$A$7:$A$366,'Estimator'!$B$4,'Climate Data'!$B$7:$B$366,C5244)</x:f>
        <x:v>9.215384615384615</x:v>
      </x:c>
      <x:c r="J5244" s="381" t="n">
        <x:f>SUMIFS('Wind Proxy'!$H$8:$H$19,'Wind Proxy'!$A$8:$A$19,'Estimator'!$B$4,'Wind Proxy'!$B$8:$B$19,C5244)</x:f>
        <x:v>0.11350059737156513</x:v>
      </x:c>
    </x:row>
    <x:row r="5245">
      <x:c r="A5245" s="379" t="n">
        <x:v>50896</x:v>
      </x:c>
      <x:c r="B5245" s="380" t="n">
        <x:v>2039</x:v>
      </x:c>
      <x:c r="C5245" s="380" t="n">
        <x:v>5</x:v>
      </x:c>
      <x:c r="D5245" s="380" t="str">
        <x:v>May</x:v>
      </x:c>
      <x:c r="E5245" s="380" t="n">
        <x:v>6</x:v>
      </x:c>
      <x:c r="F5245" s="380" t="n">
        <x:v>5</x:v>
      </x:c>
      <x:c r="G5245" s="380" t="n">
        <x:f>--(F5245&lt;='Estimator'!$B$7)</x:f>
        <x:v>1</x:v>
      </x:c>
      <x:c r="H5245" s="381" t="n">
        <x:f>SUMIFS('Climate Data'!$G$7:$G$366,'Climate Data'!$A$7:$A$366,'Estimator'!$B$4,'Climate Data'!$B$7:$B$366,C5245)</x:f>
        <x:v>0.41935483870967744</x:v>
      </x:c>
      <x:c r="I5245" s="382" t="n">
        <x:f>SUMIFS('Climate Data'!$H$7:$H$366,'Climate Data'!$A$7:$A$366,'Estimator'!$B$4,'Climate Data'!$B$7:$B$366,C5245)</x:f>
        <x:v>9.215384615384615</x:v>
      </x:c>
      <x:c r="J5245" s="381" t="n">
        <x:f>SUMIFS('Wind Proxy'!$H$8:$H$19,'Wind Proxy'!$A$8:$A$19,'Estimator'!$B$4,'Wind Proxy'!$B$8:$B$19,C5245)</x:f>
        <x:v>0.11350059737156513</x:v>
      </x:c>
    </x:row>
    <x:row r="5246">
      <x:c r="A5246" s="379" t="n">
        <x:v>50897</x:v>
      </x:c>
      <x:c r="B5246" s="380" t="n">
        <x:v>2039</x:v>
      </x:c>
      <x:c r="C5246" s="380" t="n">
        <x:v>5</x:v>
      </x:c>
      <x:c r="D5246" s="380" t="str">
        <x:v>May</x:v>
      </x:c>
      <x:c r="E5246" s="380" t="n">
        <x:v>7</x:v>
      </x:c>
      <x:c r="F5246" s="380" t="n">
        <x:v>6</x:v>
      </x:c>
      <x:c r="G5246" s="380" t="n">
        <x:f>--(F5246&lt;='Estimator'!$B$7)</x:f>
        <x:v>0</x:v>
      </x:c>
      <x:c r="H5246" s="381" t="n">
        <x:f>SUMIFS('Climate Data'!$G$7:$G$366,'Climate Data'!$A$7:$A$366,'Estimator'!$B$4,'Climate Data'!$B$7:$B$366,C5246)</x:f>
        <x:v>0.41935483870967744</x:v>
      </x:c>
      <x:c r="I5246" s="382" t="n">
        <x:f>SUMIFS('Climate Data'!$H$7:$H$366,'Climate Data'!$A$7:$A$366,'Estimator'!$B$4,'Climate Data'!$B$7:$B$366,C5246)</x:f>
        <x:v>9.215384615384615</x:v>
      </x:c>
      <x:c r="J5246" s="381" t="n">
        <x:f>SUMIFS('Wind Proxy'!$H$8:$H$19,'Wind Proxy'!$A$8:$A$19,'Estimator'!$B$4,'Wind Proxy'!$B$8:$B$19,C5246)</x:f>
        <x:v>0.11350059737156513</x:v>
      </x:c>
    </x:row>
    <x:row r="5247">
      <x:c r="A5247" s="379" t="n">
        <x:v>50898</x:v>
      </x:c>
      <x:c r="B5247" s="380" t="n">
        <x:v>2039</x:v>
      </x:c>
      <x:c r="C5247" s="380" t="n">
        <x:v>5</x:v>
      </x:c>
      <x:c r="D5247" s="380" t="str">
        <x:v>May</x:v>
      </x:c>
      <x:c r="E5247" s="380" t="n">
        <x:v>8</x:v>
      </x:c>
      <x:c r="F5247" s="380" t="n">
        <x:v>7</x:v>
      </x:c>
      <x:c r="G5247" s="380" t="n">
        <x:f>--(F5247&lt;='Estimator'!$B$7)</x:f>
        <x:v>0</x:v>
      </x:c>
      <x:c r="H5247" s="381" t="n">
        <x:f>SUMIFS('Climate Data'!$G$7:$G$366,'Climate Data'!$A$7:$A$366,'Estimator'!$B$4,'Climate Data'!$B$7:$B$366,C5247)</x:f>
        <x:v>0.41935483870967744</x:v>
      </x:c>
      <x:c r="I5247" s="382" t="n">
        <x:f>SUMIFS('Climate Data'!$H$7:$H$366,'Climate Data'!$A$7:$A$366,'Estimator'!$B$4,'Climate Data'!$B$7:$B$366,C5247)</x:f>
        <x:v>9.215384615384615</x:v>
      </x:c>
      <x:c r="J5247" s="381" t="n">
        <x:f>SUMIFS('Wind Proxy'!$H$8:$H$19,'Wind Proxy'!$A$8:$A$19,'Estimator'!$B$4,'Wind Proxy'!$B$8:$B$19,C5247)</x:f>
        <x:v>0.11350059737156513</x:v>
      </x:c>
    </x:row>
    <x:row r="5248">
      <x:c r="A5248" s="379" t="n">
        <x:v>50899</x:v>
      </x:c>
      <x:c r="B5248" s="380" t="n">
        <x:v>2039</x:v>
      </x:c>
      <x:c r="C5248" s="380" t="n">
        <x:v>5</x:v>
      </x:c>
      <x:c r="D5248" s="380" t="str">
        <x:v>May</x:v>
      </x:c>
      <x:c r="E5248" s="380" t="n">
        <x:v>9</x:v>
      </x:c>
      <x:c r="F5248" s="380" t="n">
        <x:v>1</x:v>
      </x:c>
      <x:c r="G5248" s="380" t="n">
        <x:f>--(F5248&lt;='Estimator'!$B$7)</x:f>
        <x:v>1</x:v>
      </x:c>
      <x:c r="H5248" s="381" t="n">
        <x:f>SUMIFS('Climate Data'!$G$7:$G$366,'Climate Data'!$A$7:$A$366,'Estimator'!$B$4,'Climate Data'!$B$7:$B$366,C5248)</x:f>
        <x:v>0.41935483870967744</x:v>
      </x:c>
      <x:c r="I5248" s="382" t="n">
        <x:f>SUMIFS('Climate Data'!$H$7:$H$366,'Climate Data'!$A$7:$A$366,'Estimator'!$B$4,'Climate Data'!$B$7:$B$366,C5248)</x:f>
        <x:v>9.215384615384615</x:v>
      </x:c>
      <x:c r="J5248" s="381" t="n">
        <x:f>SUMIFS('Wind Proxy'!$H$8:$H$19,'Wind Proxy'!$A$8:$A$19,'Estimator'!$B$4,'Wind Proxy'!$B$8:$B$19,C5248)</x:f>
        <x:v>0.11350059737156513</x:v>
      </x:c>
    </x:row>
    <x:row r="5249">
      <x:c r="A5249" s="379" t="n">
        <x:v>50900</x:v>
      </x:c>
      <x:c r="B5249" s="380" t="n">
        <x:v>2039</x:v>
      </x:c>
      <x:c r="C5249" s="380" t="n">
        <x:v>5</x:v>
      </x:c>
      <x:c r="D5249" s="380" t="str">
        <x:v>May</x:v>
      </x:c>
      <x:c r="E5249" s="380" t="n">
        <x:v>10</x:v>
      </x:c>
      <x:c r="F5249" s="380" t="n">
        <x:v>2</x:v>
      </x:c>
      <x:c r="G5249" s="380" t="n">
        <x:f>--(F5249&lt;='Estimator'!$B$7)</x:f>
        <x:v>1</x:v>
      </x:c>
      <x:c r="H5249" s="381" t="n">
        <x:f>SUMIFS('Climate Data'!$G$7:$G$366,'Climate Data'!$A$7:$A$366,'Estimator'!$B$4,'Climate Data'!$B$7:$B$366,C5249)</x:f>
        <x:v>0.41935483870967744</x:v>
      </x:c>
      <x:c r="I5249" s="382" t="n">
        <x:f>SUMIFS('Climate Data'!$H$7:$H$366,'Climate Data'!$A$7:$A$366,'Estimator'!$B$4,'Climate Data'!$B$7:$B$366,C5249)</x:f>
        <x:v>9.215384615384615</x:v>
      </x:c>
      <x:c r="J5249" s="381" t="n">
        <x:f>SUMIFS('Wind Proxy'!$H$8:$H$19,'Wind Proxy'!$A$8:$A$19,'Estimator'!$B$4,'Wind Proxy'!$B$8:$B$19,C5249)</x:f>
        <x:v>0.11350059737156513</x:v>
      </x:c>
    </x:row>
    <x:row r="5250">
      <x:c r="A5250" s="379" t="n">
        <x:v>50901</x:v>
      </x:c>
      <x:c r="B5250" s="380" t="n">
        <x:v>2039</x:v>
      </x:c>
      <x:c r="C5250" s="380" t="n">
        <x:v>5</x:v>
      </x:c>
      <x:c r="D5250" s="380" t="str">
        <x:v>May</x:v>
      </x:c>
      <x:c r="E5250" s="380" t="n">
        <x:v>11</x:v>
      </x:c>
      <x:c r="F5250" s="380" t="n">
        <x:v>3</x:v>
      </x:c>
      <x:c r="G5250" s="380" t="n">
        <x:f>--(F5250&lt;='Estimator'!$B$7)</x:f>
        <x:v>1</x:v>
      </x:c>
      <x:c r="H5250" s="381" t="n">
        <x:f>SUMIFS('Climate Data'!$G$7:$G$366,'Climate Data'!$A$7:$A$366,'Estimator'!$B$4,'Climate Data'!$B$7:$B$366,C5250)</x:f>
        <x:v>0.41935483870967744</x:v>
      </x:c>
      <x:c r="I5250" s="382" t="n">
        <x:f>SUMIFS('Climate Data'!$H$7:$H$366,'Climate Data'!$A$7:$A$366,'Estimator'!$B$4,'Climate Data'!$B$7:$B$366,C5250)</x:f>
        <x:v>9.215384615384615</x:v>
      </x:c>
      <x:c r="J5250" s="381" t="n">
        <x:f>SUMIFS('Wind Proxy'!$H$8:$H$19,'Wind Proxy'!$A$8:$A$19,'Estimator'!$B$4,'Wind Proxy'!$B$8:$B$19,C5250)</x:f>
        <x:v>0.11350059737156513</x:v>
      </x:c>
    </x:row>
    <x:row r="5251">
      <x:c r="A5251" s="379" t="n">
        <x:v>50902</x:v>
      </x:c>
      <x:c r="B5251" s="380" t="n">
        <x:v>2039</x:v>
      </x:c>
      <x:c r="C5251" s="380" t="n">
        <x:v>5</x:v>
      </x:c>
      <x:c r="D5251" s="380" t="str">
        <x:v>May</x:v>
      </x:c>
      <x:c r="E5251" s="380" t="n">
        <x:v>12</x:v>
      </x:c>
      <x:c r="F5251" s="380" t="n">
        <x:v>4</x:v>
      </x:c>
      <x:c r="G5251" s="380" t="n">
        <x:f>--(F5251&lt;='Estimator'!$B$7)</x:f>
        <x:v>1</x:v>
      </x:c>
      <x:c r="H5251" s="381" t="n">
        <x:f>SUMIFS('Climate Data'!$G$7:$G$366,'Climate Data'!$A$7:$A$366,'Estimator'!$B$4,'Climate Data'!$B$7:$B$366,C5251)</x:f>
        <x:v>0.41935483870967744</x:v>
      </x:c>
      <x:c r="I5251" s="382" t="n">
        <x:f>SUMIFS('Climate Data'!$H$7:$H$366,'Climate Data'!$A$7:$A$366,'Estimator'!$B$4,'Climate Data'!$B$7:$B$366,C5251)</x:f>
        <x:v>9.215384615384615</x:v>
      </x:c>
      <x:c r="J5251" s="381" t="n">
        <x:f>SUMIFS('Wind Proxy'!$H$8:$H$19,'Wind Proxy'!$A$8:$A$19,'Estimator'!$B$4,'Wind Proxy'!$B$8:$B$19,C5251)</x:f>
        <x:v>0.11350059737156513</x:v>
      </x:c>
    </x:row>
    <x:row r="5252">
      <x:c r="A5252" s="379" t="n">
        <x:v>50903</x:v>
      </x:c>
      <x:c r="B5252" s="380" t="n">
        <x:v>2039</x:v>
      </x:c>
      <x:c r="C5252" s="380" t="n">
        <x:v>5</x:v>
      </x:c>
      <x:c r="D5252" s="380" t="str">
        <x:v>May</x:v>
      </x:c>
      <x:c r="E5252" s="380" t="n">
        <x:v>13</x:v>
      </x:c>
      <x:c r="F5252" s="380" t="n">
        <x:v>5</x:v>
      </x:c>
      <x:c r="G5252" s="380" t="n">
        <x:f>--(F5252&lt;='Estimator'!$B$7)</x:f>
        <x:v>1</x:v>
      </x:c>
      <x:c r="H5252" s="381" t="n">
        <x:f>SUMIFS('Climate Data'!$G$7:$G$366,'Climate Data'!$A$7:$A$366,'Estimator'!$B$4,'Climate Data'!$B$7:$B$366,C5252)</x:f>
        <x:v>0.41935483870967744</x:v>
      </x:c>
      <x:c r="I5252" s="382" t="n">
        <x:f>SUMIFS('Climate Data'!$H$7:$H$366,'Climate Data'!$A$7:$A$366,'Estimator'!$B$4,'Climate Data'!$B$7:$B$366,C5252)</x:f>
        <x:v>9.215384615384615</x:v>
      </x:c>
      <x:c r="J5252" s="381" t="n">
        <x:f>SUMIFS('Wind Proxy'!$H$8:$H$19,'Wind Proxy'!$A$8:$A$19,'Estimator'!$B$4,'Wind Proxy'!$B$8:$B$19,C5252)</x:f>
        <x:v>0.11350059737156513</x:v>
      </x:c>
    </x:row>
    <x:row r="5253">
      <x:c r="A5253" s="379" t="n">
        <x:v>50904</x:v>
      </x:c>
      <x:c r="B5253" s="380" t="n">
        <x:v>2039</x:v>
      </x:c>
      <x:c r="C5253" s="380" t="n">
        <x:v>5</x:v>
      </x:c>
      <x:c r="D5253" s="380" t="str">
        <x:v>May</x:v>
      </x:c>
      <x:c r="E5253" s="380" t="n">
        <x:v>14</x:v>
      </x:c>
      <x:c r="F5253" s="380" t="n">
        <x:v>6</x:v>
      </x:c>
      <x:c r="G5253" s="380" t="n">
        <x:f>--(F5253&lt;='Estimator'!$B$7)</x:f>
        <x:v>0</x:v>
      </x:c>
      <x:c r="H5253" s="381" t="n">
        <x:f>SUMIFS('Climate Data'!$G$7:$G$366,'Climate Data'!$A$7:$A$366,'Estimator'!$B$4,'Climate Data'!$B$7:$B$366,C5253)</x:f>
        <x:v>0.41935483870967744</x:v>
      </x:c>
      <x:c r="I5253" s="382" t="n">
        <x:f>SUMIFS('Climate Data'!$H$7:$H$366,'Climate Data'!$A$7:$A$366,'Estimator'!$B$4,'Climate Data'!$B$7:$B$366,C5253)</x:f>
        <x:v>9.215384615384615</x:v>
      </x:c>
      <x:c r="J5253" s="381" t="n">
        <x:f>SUMIFS('Wind Proxy'!$H$8:$H$19,'Wind Proxy'!$A$8:$A$19,'Estimator'!$B$4,'Wind Proxy'!$B$8:$B$19,C5253)</x:f>
        <x:v>0.11350059737156513</x:v>
      </x:c>
    </x:row>
    <x:row r="5254">
      <x:c r="A5254" s="379" t="n">
        <x:v>50905</x:v>
      </x:c>
      <x:c r="B5254" s="380" t="n">
        <x:v>2039</x:v>
      </x:c>
      <x:c r="C5254" s="380" t="n">
        <x:v>5</x:v>
      </x:c>
      <x:c r="D5254" s="380" t="str">
        <x:v>May</x:v>
      </x:c>
      <x:c r="E5254" s="380" t="n">
        <x:v>15</x:v>
      </x:c>
      <x:c r="F5254" s="380" t="n">
        <x:v>7</x:v>
      </x:c>
      <x:c r="G5254" s="380" t="n">
        <x:f>--(F5254&lt;='Estimator'!$B$7)</x:f>
        <x:v>0</x:v>
      </x:c>
      <x:c r="H5254" s="381" t="n">
        <x:f>SUMIFS('Climate Data'!$G$7:$G$366,'Climate Data'!$A$7:$A$366,'Estimator'!$B$4,'Climate Data'!$B$7:$B$366,C5254)</x:f>
        <x:v>0.41935483870967744</x:v>
      </x:c>
      <x:c r="I5254" s="382" t="n">
        <x:f>SUMIFS('Climate Data'!$H$7:$H$366,'Climate Data'!$A$7:$A$366,'Estimator'!$B$4,'Climate Data'!$B$7:$B$366,C5254)</x:f>
        <x:v>9.215384615384615</x:v>
      </x:c>
      <x:c r="J5254" s="381" t="n">
        <x:f>SUMIFS('Wind Proxy'!$H$8:$H$19,'Wind Proxy'!$A$8:$A$19,'Estimator'!$B$4,'Wind Proxy'!$B$8:$B$19,C5254)</x:f>
        <x:v>0.11350059737156513</x:v>
      </x:c>
    </x:row>
    <x:row r="5255">
      <x:c r="A5255" s="379" t="n">
        <x:v>50906</x:v>
      </x:c>
      <x:c r="B5255" s="380" t="n">
        <x:v>2039</x:v>
      </x:c>
      <x:c r="C5255" s="380" t="n">
        <x:v>5</x:v>
      </x:c>
      <x:c r="D5255" s="380" t="str">
        <x:v>May</x:v>
      </x:c>
      <x:c r="E5255" s="380" t="n">
        <x:v>16</x:v>
      </x:c>
      <x:c r="F5255" s="380" t="n">
        <x:v>1</x:v>
      </x:c>
      <x:c r="G5255" s="380" t="n">
        <x:f>--(F5255&lt;='Estimator'!$B$7)</x:f>
        <x:v>1</x:v>
      </x:c>
      <x:c r="H5255" s="381" t="n">
        <x:f>SUMIFS('Climate Data'!$G$7:$G$366,'Climate Data'!$A$7:$A$366,'Estimator'!$B$4,'Climate Data'!$B$7:$B$366,C5255)</x:f>
        <x:v>0.41935483870967744</x:v>
      </x:c>
      <x:c r="I5255" s="382" t="n">
        <x:f>SUMIFS('Climate Data'!$H$7:$H$366,'Climate Data'!$A$7:$A$366,'Estimator'!$B$4,'Climate Data'!$B$7:$B$366,C5255)</x:f>
        <x:v>9.215384615384615</x:v>
      </x:c>
      <x:c r="J5255" s="381" t="n">
        <x:f>SUMIFS('Wind Proxy'!$H$8:$H$19,'Wind Proxy'!$A$8:$A$19,'Estimator'!$B$4,'Wind Proxy'!$B$8:$B$19,C5255)</x:f>
        <x:v>0.11350059737156513</x:v>
      </x:c>
    </x:row>
    <x:row r="5256">
      <x:c r="A5256" s="379" t="n">
        <x:v>50907</x:v>
      </x:c>
      <x:c r="B5256" s="380" t="n">
        <x:v>2039</x:v>
      </x:c>
      <x:c r="C5256" s="380" t="n">
        <x:v>5</x:v>
      </x:c>
      <x:c r="D5256" s="380" t="str">
        <x:v>May</x:v>
      </x:c>
      <x:c r="E5256" s="380" t="n">
        <x:v>17</x:v>
      </x:c>
      <x:c r="F5256" s="380" t="n">
        <x:v>2</x:v>
      </x:c>
      <x:c r="G5256" s="380" t="n">
        <x:f>--(F5256&lt;='Estimator'!$B$7)</x:f>
        <x:v>1</x:v>
      </x:c>
      <x:c r="H5256" s="381" t="n">
        <x:f>SUMIFS('Climate Data'!$G$7:$G$366,'Climate Data'!$A$7:$A$366,'Estimator'!$B$4,'Climate Data'!$B$7:$B$366,C5256)</x:f>
        <x:v>0.41935483870967744</x:v>
      </x:c>
      <x:c r="I5256" s="382" t="n">
        <x:f>SUMIFS('Climate Data'!$H$7:$H$366,'Climate Data'!$A$7:$A$366,'Estimator'!$B$4,'Climate Data'!$B$7:$B$366,C5256)</x:f>
        <x:v>9.215384615384615</x:v>
      </x:c>
      <x:c r="J5256" s="381" t="n">
        <x:f>SUMIFS('Wind Proxy'!$H$8:$H$19,'Wind Proxy'!$A$8:$A$19,'Estimator'!$B$4,'Wind Proxy'!$B$8:$B$19,C5256)</x:f>
        <x:v>0.11350059737156513</x:v>
      </x:c>
    </x:row>
    <x:row r="5257">
      <x:c r="A5257" s="379" t="n">
        <x:v>50908</x:v>
      </x:c>
      <x:c r="B5257" s="380" t="n">
        <x:v>2039</x:v>
      </x:c>
      <x:c r="C5257" s="380" t="n">
        <x:v>5</x:v>
      </x:c>
      <x:c r="D5257" s="380" t="str">
        <x:v>May</x:v>
      </x:c>
      <x:c r="E5257" s="380" t="n">
        <x:v>18</x:v>
      </x:c>
      <x:c r="F5257" s="380" t="n">
        <x:v>3</x:v>
      </x:c>
      <x:c r="G5257" s="380" t="n">
        <x:f>--(F5257&lt;='Estimator'!$B$7)</x:f>
        <x:v>1</x:v>
      </x:c>
      <x:c r="H5257" s="381" t="n">
        <x:f>SUMIFS('Climate Data'!$G$7:$G$366,'Climate Data'!$A$7:$A$366,'Estimator'!$B$4,'Climate Data'!$B$7:$B$366,C5257)</x:f>
        <x:v>0.41935483870967744</x:v>
      </x:c>
      <x:c r="I5257" s="382" t="n">
        <x:f>SUMIFS('Climate Data'!$H$7:$H$366,'Climate Data'!$A$7:$A$366,'Estimator'!$B$4,'Climate Data'!$B$7:$B$366,C5257)</x:f>
        <x:v>9.215384615384615</x:v>
      </x:c>
      <x:c r="J5257" s="381" t="n">
        <x:f>SUMIFS('Wind Proxy'!$H$8:$H$19,'Wind Proxy'!$A$8:$A$19,'Estimator'!$B$4,'Wind Proxy'!$B$8:$B$19,C5257)</x:f>
        <x:v>0.11350059737156513</x:v>
      </x:c>
    </x:row>
    <x:row r="5258">
      <x:c r="A5258" s="379" t="n">
        <x:v>50909</x:v>
      </x:c>
      <x:c r="B5258" s="380" t="n">
        <x:v>2039</x:v>
      </x:c>
      <x:c r="C5258" s="380" t="n">
        <x:v>5</x:v>
      </x:c>
      <x:c r="D5258" s="380" t="str">
        <x:v>May</x:v>
      </x:c>
      <x:c r="E5258" s="380" t="n">
        <x:v>19</x:v>
      </x:c>
      <x:c r="F5258" s="380" t="n">
        <x:v>4</x:v>
      </x:c>
      <x:c r="G5258" s="380" t="n">
        <x:f>--(F5258&lt;='Estimator'!$B$7)</x:f>
        <x:v>1</x:v>
      </x:c>
      <x:c r="H5258" s="381" t="n">
        <x:f>SUMIFS('Climate Data'!$G$7:$G$366,'Climate Data'!$A$7:$A$366,'Estimator'!$B$4,'Climate Data'!$B$7:$B$366,C5258)</x:f>
        <x:v>0.41935483870967744</x:v>
      </x:c>
      <x:c r="I5258" s="382" t="n">
        <x:f>SUMIFS('Climate Data'!$H$7:$H$366,'Climate Data'!$A$7:$A$366,'Estimator'!$B$4,'Climate Data'!$B$7:$B$366,C5258)</x:f>
        <x:v>9.215384615384615</x:v>
      </x:c>
      <x:c r="J5258" s="381" t="n">
        <x:f>SUMIFS('Wind Proxy'!$H$8:$H$19,'Wind Proxy'!$A$8:$A$19,'Estimator'!$B$4,'Wind Proxy'!$B$8:$B$19,C5258)</x:f>
        <x:v>0.11350059737156513</x:v>
      </x:c>
    </x:row>
    <x:row r="5259">
      <x:c r="A5259" s="379" t="n">
        <x:v>50910</x:v>
      </x:c>
      <x:c r="B5259" s="380" t="n">
        <x:v>2039</x:v>
      </x:c>
      <x:c r="C5259" s="380" t="n">
        <x:v>5</x:v>
      </x:c>
      <x:c r="D5259" s="380" t="str">
        <x:v>May</x:v>
      </x:c>
      <x:c r="E5259" s="380" t="n">
        <x:v>20</x:v>
      </x:c>
      <x:c r="F5259" s="380" t="n">
        <x:v>5</x:v>
      </x:c>
      <x:c r="G5259" s="380" t="n">
        <x:f>--(F5259&lt;='Estimator'!$B$7)</x:f>
        <x:v>1</x:v>
      </x:c>
      <x:c r="H5259" s="381" t="n">
        <x:f>SUMIFS('Climate Data'!$G$7:$G$366,'Climate Data'!$A$7:$A$366,'Estimator'!$B$4,'Climate Data'!$B$7:$B$366,C5259)</x:f>
        <x:v>0.41935483870967744</x:v>
      </x:c>
      <x:c r="I5259" s="382" t="n">
        <x:f>SUMIFS('Climate Data'!$H$7:$H$366,'Climate Data'!$A$7:$A$366,'Estimator'!$B$4,'Climate Data'!$B$7:$B$366,C5259)</x:f>
        <x:v>9.215384615384615</x:v>
      </x:c>
      <x:c r="J5259" s="381" t="n">
        <x:f>SUMIFS('Wind Proxy'!$H$8:$H$19,'Wind Proxy'!$A$8:$A$19,'Estimator'!$B$4,'Wind Proxy'!$B$8:$B$19,C5259)</x:f>
        <x:v>0.11350059737156513</x:v>
      </x:c>
    </x:row>
    <x:row r="5260">
      <x:c r="A5260" s="379" t="n">
        <x:v>50911</x:v>
      </x:c>
      <x:c r="B5260" s="380" t="n">
        <x:v>2039</x:v>
      </x:c>
      <x:c r="C5260" s="380" t="n">
        <x:v>5</x:v>
      </x:c>
      <x:c r="D5260" s="380" t="str">
        <x:v>May</x:v>
      </x:c>
      <x:c r="E5260" s="380" t="n">
        <x:v>21</x:v>
      </x:c>
      <x:c r="F5260" s="380" t="n">
        <x:v>6</x:v>
      </x:c>
      <x:c r="G5260" s="380" t="n">
        <x:f>--(F5260&lt;='Estimator'!$B$7)</x:f>
        <x:v>0</x:v>
      </x:c>
      <x:c r="H5260" s="381" t="n">
        <x:f>SUMIFS('Climate Data'!$G$7:$G$366,'Climate Data'!$A$7:$A$366,'Estimator'!$B$4,'Climate Data'!$B$7:$B$366,C5260)</x:f>
        <x:v>0.41935483870967744</x:v>
      </x:c>
      <x:c r="I5260" s="382" t="n">
        <x:f>SUMIFS('Climate Data'!$H$7:$H$366,'Climate Data'!$A$7:$A$366,'Estimator'!$B$4,'Climate Data'!$B$7:$B$366,C5260)</x:f>
        <x:v>9.215384615384615</x:v>
      </x:c>
      <x:c r="J5260" s="381" t="n">
        <x:f>SUMIFS('Wind Proxy'!$H$8:$H$19,'Wind Proxy'!$A$8:$A$19,'Estimator'!$B$4,'Wind Proxy'!$B$8:$B$19,C5260)</x:f>
        <x:v>0.11350059737156513</x:v>
      </x:c>
    </x:row>
    <x:row r="5261">
      <x:c r="A5261" s="379" t="n">
        <x:v>50912</x:v>
      </x:c>
      <x:c r="B5261" s="380" t="n">
        <x:v>2039</x:v>
      </x:c>
      <x:c r="C5261" s="380" t="n">
        <x:v>5</x:v>
      </x:c>
      <x:c r="D5261" s="380" t="str">
        <x:v>May</x:v>
      </x:c>
      <x:c r="E5261" s="380" t="n">
        <x:v>22</x:v>
      </x:c>
      <x:c r="F5261" s="380" t="n">
        <x:v>7</x:v>
      </x:c>
      <x:c r="G5261" s="380" t="n">
        <x:f>--(F5261&lt;='Estimator'!$B$7)</x:f>
        <x:v>0</x:v>
      </x:c>
      <x:c r="H5261" s="381" t="n">
        <x:f>SUMIFS('Climate Data'!$G$7:$G$366,'Climate Data'!$A$7:$A$366,'Estimator'!$B$4,'Climate Data'!$B$7:$B$366,C5261)</x:f>
        <x:v>0.41935483870967744</x:v>
      </x:c>
      <x:c r="I5261" s="382" t="n">
        <x:f>SUMIFS('Climate Data'!$H$7:$H$366,'Climate Data'!$A$7:$A$366,'Estimator'!$B$4,'Climate Data'!$B$7:$B$366,C5261)</x:f>
        <x:v>9.215384615384615</x:v>
      </x:c>
      <x:c r="J5261" s="381" t="n">
        <x:f>SUMIFS('Wind Proxy'!$H$8:$H$19,'Wind Proxy'!$A$8:$A$19,'Estimator'!$B$4,'Wind Proxy'!$B$8:$B$19,C5261)</x:f>
        <x:v>0.11350059737156513</x:v>
      </x:c>
    </x:row>
    <x:row r="5262">
      <x:c r="A5262" s="379" t="n">
        <x:v>50913</x:v>
      </x:c>
      <x:c r="B5262" s="380" t="n">
        <x:v>2039</x:v>
      </x:c>
      <x:c r="C5262" s="380" t="n">
        <x:v>5</x:v>
      </x:c>
      <x:c r="D5262" s="380" t="str">
        <x:v>May</x:v>
      </x:c>
      <x:c r="E5262" s="380" t="n">
        <x:v>23</x:v>
      </x:c>
      <x:c r="F5262" s="380" t="n">
        <x:v>1</x:v>
      </x:c>
      <x:c r="G5262" s="380" t="n">
        <x:f>--(F5262&lt;='Estimator'!$B$7)</x:f>
        <x:v>1</x:v>
      </x:c>
      <x:c r="H5262" s="381" t="n">
        <x:f>SUMIFS('Climate Data'!$G$7:$G$366,'Climate Data'!$A$7:$A$366,'Estimator'!$B$4,'Climate Data'!$B$7:$B$366,C5262)</x:f>
        <x:v>0.41935483870967744</x:v>
      </x:c>
      <x:c r="I5262" s="382" t="n">
        <x:f>SUMIFS('Climate Data'!$H$7:$H$366,'Climate Data'!$A$7:$A$366,'Estimator'!$B$4,'Climate Data'!$B$7:$B$366,C5262)</x:f>
        <x:v>9.215384615384615</x:v>
      </x:c>
      <x:c r="J5262" s="381" t="n">
        <x:f>SUMIFS('Wind Proxy'!$H$8:$H$19,'Wind Proxy'!$A$8:$A$19,'Estimator'!$B$4,'Wind Proxy'!$B$8:$B$19,C5262)</x:f>
        <x:v>0.11350059737156513</x:v>
      </x:c>
    </x:row>
    <x:row r="5263">
      <x:c r="A5263" s="379" t="n">
        <x:v>50914</x:v>
      </x:c>
      <x:c r="B5263" s="380" t="n">
        <x:v>2039</x:v>
      </x:c>
      <x:c r="C5263" s="380" t="n">
        <x:v>5</x:v>
      </x:c>
      <x:c r="D5263" s="380" t="str">
        <x:v>May</x:v>
      </x:c>
      <x:c r="E5263" s="380" t="n">
        <x:v>24</x:v>
      </x:c>
      <x:c r="F5263" s="380" t="n">
        <x:v>2</x:v>
      </x:c>
      <x:c r="G5263" s="380" t="n">
        <x:f>--(F5263&lt;='Estimator'!$B$7)</x:f>
        <x:v>1</x:v>
      </x:c>
      <x:c r="H5263" s="381" t="n">
        <x:f>SUMIFS('Climate Data'!$G$7:$G$366,'Climate Data'!$A$7:$A$366,'Estimator'!$B$4,'Climate Data'!$B$7:$B$366,C5263)</x:f>
        <x:v>0.41935483870967744</x:v>
      </x:c>
      <x:c r="I5263" s="382" t="n">
        <x:f>SUMIFS('Climate Data'!$H$7:$H$366,'Climate Data'!$A$7:$A$366,'Estimator'!$B$4,'Climate Data'!$B$7:$B$366,C5263)</x:f>
        <x:v>9.215384615384615</x:v>
      </x:c>
      <x:c r="J5263" s="381" t="n">
        <x:f>SUMIFS('Wind Proxy'!$H$8:$H$19,'Wind Proxy'!$A$8:$A$19,'Estimator'!$B$4,'Wind Proxy'!$B$8:$B$19,C5263)</x:f>
        <x:v>0.11350059737156513</x:v>
      </x:c>
    </x:row>
    <x:row r="5264">
      <x:c r="A5264" s="379" t="n">
        <x:v>50915</x:v>
      </x:c>
      <x:c r="B5264" s="380" t="n">
        <x:v>2039</x:v>
      </x:c>
      <x:c r="C5264" s="380" t="n">
        <x:v>5</x:v>
      </x:c>
      <x:c r="D5264" s="380" t="str">
        <x:v>May</x:v>
      </x:c>
      <x:c r="E5264" s="380" t="n">
        <x:v>25</x:v>
      </x:c>
      <x:c r="F5264" s="380" t="n">
        <x:v>3</x:v>
      </x:c>
      <x:c r="G5264" s="380" t="n">
        <x:f>--(F5264&lt;='Estimator'!$B$7)</x:f>
        <x:v>1</x:v>
      </x:c>
      <x:c r="H5264" s="381" t="n">
        <x:f>SUMIFS('Climate Data'!$G$7:$G$366,'Climate Data'!$A$7:$A$366,'Estimator'!$B$4,'Climate Data'!$B$7:$B$366,C5264)</x:f>
        <x:v>0.41935483870967744</x:v>
      </x:c>
      <x:c r="I5264" s="382" t="n">
        <x:f>SUMIFS('Climate Data'!$H$7:$H$366,'Climate Data'!$A$7:$A$366,'Estimator'!$B$4,'Climate Data'!$B$7:$B$366,C5264)</x:f>
        <x:v>9.215384615384615</x:v>
      </x:c>
      <x:c r="J5264" s="381" t="n">
        <x:f>SUMIFS('Wind Proxy'!$H$8:$H$19,'Wind Proxy'!$A$8:$A$19,'Estimator'!$B$4,'Wind Proxy'!$B$8:$B$19,C5264)</x:f>
        <x:v>0.11350059737156513</x:v>
      </x:c>
    </x:row>
    <x:row r="5265">
      <x:c r="A5265" s="379" t="n">
        <x:v>50916</x:v>
      </x:c>
      <x:c r="B5265" s="380" t="n">
        <x:v>2039</x:v>
      </x:c>
      <x:c r="C5265" s="380" t="n">
        <x:v>5</x:v>
      </x:c>
      <x:c r="D5265" s="380" t="str">
        <x:v>May</x:v>
      </x:c>
      <x:c r="E5265" s="380" t="n">
        <x:v>26</x:v>
      </x:c>
      <x:c r="F5265" s="380" t="n">
        <x:v>4</x:v>
      </x:c>
      <x:c r="G5265" s="380" t="n">
        <x:f>--(F5265&lt;='Estimator'!$B$7)</x:f>
        <x:v>1</x:v>
      </x:c>
      <x:c r="H5265" s="381" t="n">
        <x:f>SUMIFS('Climate Data'!$G$7:$G$366,'Climate Data'!$A$7:$A$366,'Estimator'!$B$4,'Climate Data'!$B$7:$B$366,C5265)</x:f>
        <x:v>0.41935483870967744</x:v>
      </x:c>
      <x:c r="I5265" s="382" t="n">
        <x:f>SUMIFS('Climate Data'!$H$7:$H$366,'Climate Data'!$A$7:$A$366,'Estimator'!$B$4,'Climate Data'!$B$7:$B$366,C5265)</x:f>
        <x:v>9.215384615384615</x:v>
      </x:c>
      <x:c r="J5265" s="381" t="n">
        <x:f>SUMIFS('Wind Proxy'!$H$8:$H$19,'Wind Proxy'!$A$8:$A$19,'Estimator'!$B$4,'Wind Proxy'!$B$8:$B$19,C5265)</x:f>
        <x:v>0.11350059737156513</x:v>
      </x:c>
    </x:row>
    <x:row r="5266">
      <x:c r="A5266" s="379" t="n">
        <x:v>50917</x:v>
      </x:c>
      <x:c r="B5266" s="380" t="n">
        <x:v>2039</x:v>
      </x:c>
      <x:c r="C5266" s="380" t="n">
        <x:v>5</x:v>
      </x:c>
      <x:c r="D5266" s="380" t="str">
        <x:v>May</x:v>
      </x:c>
      <x:c r="E5266" s="380" t="n">
        <x:v>27</x:v>
      </x:c>
      <x:c r="F5266" s="380" t="n">
        <x:v>5</x:v>
      </x:c>
      <x:c r="G5266" s="380" t="n">
        <x:f>--(F5266&lt;='Estimator'!$B$7)</x:f>
        <x:v>1</x:v>
      </x:c>
      <x:c r="H5266" s="381" t="n">
        <x:f>SUMIFS('Climate Data'!$G$7:$G$366,'Climate Data'!$A$7:$A$366,'Estimator'!$B$4,'Climate Data'!$B$7:$B$366,C5266)</x:f>
        <x:v>0.41935483870967744</x:v>
      </x:c>
      <x:c r="I5266" s="382" t="n">
        <x:f>SUMIFS('Climate Data'!$H$7:$H$366,'Climate Data'!$A$7:$A$366,'Estimator'!$B$4,'Climate Data'!$B$7:$B$366,C5266)</x:f>
        <x:v>9.215384615384615</x:v>
      </x:c>
      <x:c r="J5266" s="381" t="n">
        <x:f>SUMIFS('Wind Proxy'!$H$8:$H$19,'Wind Proxy'!$A$8:$A$19,'Estimator'!$B$4,'Wind Proxy'!$B$8:$B$19,C5266)</x:f>
        <x:v>0.11350059737156513</x:v>
      </x:c>
    </x:row>
    <x:row r="5267">
      <x:c r="A5267" s="379" t="n">
        <x:v>50918</x:v>
      </x:c>
      <x:c r="B5267" s="380" t="n">
        <x:v>2039</x:v>
      </x:c>
      <x:c r="C5267" s="380" t="n">
        <x:v>5</x:v>
      </x:c>
      <x:c r="D5267" s="380" t="str">
        <x:v>May</x:v>
      </x:c>
      <x:c r="E5267" s="380" t="n">
        <x:v>28</x:v>
      </x:c>
      <x:c r="F5267" s="380" t="n">
        <x:v>6</x:v>
      </x:c>
      <x:c r="G5267" s="380" t="n">
        <x:f>--(F5267&lt;='Estimator'!$B$7)</x:f>
        <x:v>0</x:v>
      </x:c>
      <x:c r="H5267" s="381" t="n">
        <x:f>SUMIFS('Climate Data'!$G$7:$G$366,'Climate Data'!$A$7:$A$366,'Estimator'!$B$4,'Climate Data'!$B$7:$B$366,C5267)</x:f>
        <x:v>0.41935483870967744</x:v>
      </x:c>
      <x:c r="I5267" s="382" t="n">
        <x:f>SUMIFS('Climate Data'!$H$7:$H$366,'Climate Data'!$A$7:$A$366,'Estimator'!$B$4,'Climate Data'!$B$7:$B$366,C5267)</x:f>
        <x:v>9.215384615384615</x:v>
      </x:c>
      <x:c r="J5267" s="381" t="n">
        <x:f>SUMIFS('Wind Proxy'!$H$8:$H$19,'Wind Proxy'!$A$8:$A$19,'Estimator'!$B$4,'Wind Proxy'!$B$8:$B$19,C5267)</x:f>
        <x:v>0.11350059737156513</x:v>
      </x:c>
    </x:row>
    <x:row r="5268">
      <x:c r="A5268" s="379" t="n">
        <x:v>50919</x:v>
      </x:c>
      <x:c r="B5268" s="380" t="n">
        <x:v>2039</x:v>
      </x:c>
      <x:c r="C5268" s="380" t="n">
        <x:v>5</x:v>
      </x:c>
      <x:c r="D5268" s="380" t="str">
        <x:v>May</x:v>
      </x:c>
      <x:c r="E5268" s="380" t="n">
        <x:v>29</x:v>
      </x:c>
      <x:c r="F5268" s="380" t="n">
        <x:v>7</x:v>
      </x:c>
      <x:c r="G5268" s="380" t="n">
        <x:f>--(F5268&lt;='Estimator'!$B$7)</x:f>
        <x:v>0</x:v>
      </x:c>
      <x:c r="H5268" s="381" t="n">
        <x:f>SUMIFS('Climate Data'!$G$7:$G$366,'Climate Data'!$A$7:$A$366,'Estimator'!$B$4,'Climate Data'!$B$7:$B$366,C5268)</x:f>
        <x:v>0.41935483870967744</x:v>
      </x:c>
      <x:c r="I5268" s="382" t="n">
        <x:f>SUMIFS('Climate Data'!$H$7:$H$366,'Climate Data'!$A$7:$A$366,'Estimator'!$B$4,'Climate Data'!$B$7:$B$366,C5268)</x:f>
        <x:v>9.215384615384615</x:v>
      </x:c>
      <x:c r="J5268" s="381" t="n">
        <x:f>SUMIFS('Wind Proxy'!$H$8:$H$19,'Wind Proxy'!$A$8:$A$19,'Estimator'!$B$4,'Wind Proxy'!$B$8:$B$19,C5268)</x:f>
        <x:v>0.11350059737156513</x:v>
      </x:c>
    </x:row>
    <x:row r="5269">
      <x:c r="A5269" s="379" t="n">
        <x:v>50920</x:v>
      </x:c>
      <x:c r="B5269" s="380" t="n">
        <x:v>2039</x:v>
      </x:c>
      <x:c r="C5269" s="380" t="n">
        <x:v>5</x:v>
      </x:c>
      <x:c r="D5269" s="380" t="str">
        <x:v>May</x:v>
      </x:c>
      <x:c r="E5269" s="380" t="n">
        <x:v>30</x:v>
      </x:c>
      <x:c r="F5269" s="380" t="n">
        <x:v>1</x:v>
      </x:c>
      <x:c r="G5269" s="380" t="n">
        <x:f>--(F5269&lt;='Estimator'!$B$7)</x:f>
        <x:v>1</x:v>
      </x:c>
      <x:c r="H5269" s="381" t="n">
        <x:f>SUMIFS('Climate Data'!$G$7:$G$366,'Climate Data'!$A$7:$A$366,'Estimator'!$B$4,'Climate Data'!$B$7:$B$366,C5269)</x:f>
        <x:v>0.41935483870967744</x:v>
      </x:c>
      <x:c r="I5269" s="382" t="n">
        <x:f>SUMIFS('Climate Data'!$H$7:$H$366,'Climate Data'!$A$7:$A$366,'Estimator'!$B$4,'Climate Data'!$B$7:$B$366,C5269)</x:f>
        <x:v>9.215384615384615</x:v>
      </x:c>
      <x:c r="J5269" s="381" t="n">
        <x:f>SUMIFS('Wind Proxy'!$H$8:$H$19,'Wind Proxy'!$A$8:$A$19,'Estimator'!$B$4,'Wind Proxy'!$B$8:$B$19,C5269)</x:f>
        <x:v>0.11350059737156513</x:v>
      </x:c>
    </x:row>
    <x:row r="5270">
      <x:c r="A5270" s="379" t="n">
        <x:v>50921</x:v>
      </x:c>
      <x:c r="B5270" s="380" t="n">
        <x:v>2039</x:v>
      </x:c>
      <x:c r="C5270" s="380" t="n">
        <x:v>5</x:v>
      </x:c>
      <x:c r="D5270" s="380" t="str">
        <x:v>May</x:v>
      </x:c>
      <x:c r="E5270" s="380" t="n">
        <x:v>31</x:v>
      </x:c>
      <x:c r="F5270" s="380" t="n">
        <x:v>2</x:v>
      </x:c>
      <x:c r="G5270" s="380" t="n">
        <x:f>--(F5270&lt;='Estimator'!$B$7)</x:f>
        <x:v>1</x:v>
      </x:c>
      <x:c r="H5270" s="381" t="n">
        <x:f>SUMIFS('Climate Data'!$G$7:$G$366,'Climate Data'!$A$7:$A$366,'Estimator'!$B$4,'Climate Data'!$B$7:$B$366,C5270)</x:f>
        <x:v>0.41935483870967744</x:v>
      </x:c>
      <x:c r="I5270" s="382" t="n">
        <x:f>SUMIFS('Climate Data'!$H$7:$H$366,'Climate Data'!$A$7:$A$366,'Estimator'!$B$4,'Climate Data'!$B$7:$B$366,C5270)</x:f>
        <x:v>9.215384615384615</x:v>
      </x:c>
      <x:c r="J5270" s="381" t="n">
        <x:f>SUMIFS('Wind Proxy'!$H$8:$H$19,'Wind Proxy'!$A$8:$A$19,'Estimator'!$B$4,'Wind Proxy'!$B$8:$B$19,C5270)</x:f>
        <x:v>0.11350059737156513</x:v>
      </x:c>
    </x:row>
    <x:row r="5271">
      <x:c r="A5271" s="379" t="n">
        <x:v>50922</x:v>
      </x:c>
      <x:c r="B5271" s="380" t="n">
        <x:v>2039</x:v>
      </x:c>
      <x:c r="C5271" s="380" t="n">
        <x:v>6</x:v>
      </x:c>
      <x:c r="D5271" s="380" t="str">
        <x:v>Jun</x:v>
      </x:c>
      <x:c r="E5271" s="380" t="n">
        <x:v>1</x:v>
      </x:c>
      <x:c r="F5271" s="380" t="n">
        <x:v>3</x:v>
      </x:c>
      <x:c r="G5271" s="380" t="n">
        <x:f>--(F5271&lt;='Estimator'!$B$7)</x:f>
        <x:v>1</x:v>
      </x:c>
      <x:c r="H5271" s="381" t="n">
        <x:f>SUMIFS('Climate Data'!$G$7:$G$366,'Climate Data'!$A$7:$A$366,'Estimator'!$B$4,'Climate Data'!$B$7:$B$366,C5271)</x:f>
        <x:v>0.475</x:v>
      </x:c>
      <x:c r="I5271" s="382" t="n">
        <x:f>SUMIFS('Climate Data'!$H$7:$H$366,'Climate Data'!$A$7:$A$366,'Estimator'!$B$4,'Climate Data'!$B$7:$B$366,C5271)</x:f>
        <x:v>8.378947368421054</x:v>
      </x:c>
      <x:c r="J5271" s="381" t="n">
        <x:f>SUMIFS('Wind Proxy'!$H$8:$H$19,'Wind Proxy'!$A$8:$A$19,'Estimator'!$B$4,'Wind Proxy'!$B$8:$B$19,C5271)</x:f>
        <x:v>0.14197530864197533</x:v>
      </x:c>
    </x:row>
    <x:row r="5272">
      <x:c r="A5272" s="379" t="n">
        <x:v>50923</x:v>
      </x:c>
      <x:c r="B5272" s="380" t="n">
        <x:v>2039</x:v>
      </x:c>
      <x:c r="C5272" s="380" t="n">
        <x:v>6</x:v>
      </x:c>
      <x:c r="D5272" s="380" t="str">
        <x:v>Jun</x:v>
      </x:c>
      <x:c r="E5272" s="380" t="n">
        <x:v>2</x:v>
      </x:c>
      <x:c r="F5272" s="380" t="n">
        <x:v>4</x:v>
      </x:c>
      <x:c r="G5272" s="380" t="n">
        <x:f>--(F5272&lt;='Estimator'!$B$7)</x:f>
        <x:v>1</x:v>
      </x:c>
      <x:c r="H5272" s="381" t="n">
        <x:f>SUMIFS('Climate Data'!$G$7:$G$366,'Climate Data'!$A$7:$A$366,'Estimator'!$B$4,'Climate Data'!$B$7:$B$366,C5272)</x:f>
        <x:v>0.475</x:v>
      </x:c>
      <x:c r="I5272" s="382" t="n">
        <x:f>SUMIFS('Climate Data'!$H$7:$H$366,'Climate Data'!$A$7:$A$366,'Estimator'!$B$4,'Climate Data'!$B$7:$B$366,C5272)</x:f>
        <x:v>8.378947368421054</x:v>
      </x:c>
      <x:c r="J5272" s="381" t="n">
        <x:f>SUMIFS('Wind Proxy'!$H$8:$H$19,'Wind Proxy'!$A$8:$A$19,'Estimator'!$B$4,'Wind Proxy'!$B$8:$B$19,C5272)</x:f>
        <x:v>0.14197530864197533</x:v>
      </x:c>
    </x:row>
    <x:row r="5273">
      <x:c r="A5273" s="379" t="n">
        <x:v>50924</x:v>
      </x:c>
      <x:c r="B5273" s="380" t="n">
        <x:v>2039</x:v>
      </x:c>
      <x:c r="C5273" s="380" t="n">
        <x:v>6</x:v>
      </x:c>
      <x:c r="D5273" s="380" t="str">
        <x:v>Jun</x:v>
      </x:c>
      <x:c r="E5273" s="380" t="n">
        <x:v>3</x:v>
      </x:c>
      <x:c r="F5273" s="380" t="n">
        <x:v>5</x:v>
      </x:c>
      <x:c r="G5273" s="380" t="n">
        <x:f>--(F5273&lt;='Estimator'!$B$7)</x:f>
        <x:v>1</x:v>
      </x:c>
      <x:c r="H5273" s="381" t="n">
        <x:f>SUMIFS('Climate Data'!$G$7:$G$366,'Climate Data'!$A$7:$A$366,'Estimator'!$B$4,'Climate Data'!$B$7:$B$366,C5273)</x:f>
        <x:v>0.475</x:v>
      </x:c>
      <x:c r="I5273" s="382" t="n">
        <x:f>SUMIFS('Climate Data'!$H$7:$H$366,'Climate Data'!$A$7:$A$366,'Estimator'!$B$4,'Climate Data'!$B$7:$B$366,C5273)</x:f>
        <x:v>8.378947368421054</x:v>
      </x:c>
      <x:c r="J5273" s="381" t="n">
        <x:f>SUMIFS('Wind Proxy'!$H$8:$H$19,'Wind Proxy'!$A$8:$A$19,'Estimator'!$B$4,'Wind Proxy'!$B$8:$B$19,C5273)</x:f>
        <x:v>0.14197530864197533</x:v>
      </x:c>
    </x:row>
    <x:row r="5274">
      <x:c r="A5274" s="379" t="n">
        <x:v>50925</x:v>
      </x:c>
      <x:c r="B5274" s="380" t="n">
        <x:v>2039</x:v>
      </x:c>
      <x:c r="C5274" s="380" t="n">
        <x:v>6</x:v>
      </x:c>
      <x:c r="D5274" s="380" t="str">
        <x:v>Jun</x:v>
      </x:c>
      <x:c r="E5274" s="380" t="n">
        <x:v>4</x:v>
      </x:c>
      <x:c r="F5274" s="380" t="n">
        <x:v>6</x:v>
      </x:c>
      <x:c r="G5274" s="380" t="n">
        <x:f>--(F5274&lt;='Estimator'!$B$7)</x:f>
        <x:v>0</x:v>
      </x:c>
      <x:c r="H5274" s="381" t="n">
        <x:f>SUMIFS('Climate Data'!$G$7:$G$366,'Climate Data'!$A$7:$A$366,'Estimator'!$B$4,'Climate Data'!$B$7:$B$366,C5274)</x:f>
        <x:v>0.475</x:v>
      </x:c>
      <x:c r="I5274" s="382" t="n">
        <x:f>SUMIFS('Climate Data'!$H$7:$H$366,'Climate Data'!$A$7:$A$366,'Estimator'!$B$4,'Climate Data'!$B$7:$B$366,C5274)</x:f>
        <x:v>8.378947368421054</x:v>
      </x:c>
      <x:c r="J5274" s="381" t="n">
        <x:f>SUMIFS('Wind Proxy'!$H$8:$H$19,'Wind Proxy'!$A$8:$A$19,'Estimator'!$B$4,'Wind Proxy'!$B$8:$B$19,C5274)</x:f>
        <x:v>0.14197530864197533</x:v>
      </x:c>
    </x:row>
    <x:row r="5275">
      <x:c r="A5275" s="379" t="n">
        <x:v>50926</x:v>
      </x:c>
      <x:c r="B5275" s="380" t="n">
        <x:v>2039</x:v>
      </x:c>
      <x:c r="C5275" s="380" t="n">
        <x:v>6</x:v>
      </x:c>
      <x:c r="D5275" s="380" t="str">
        <x:v>Jun</x:v>
      </x:c>
      <x:c r="E5275" s="380" t="n">
        <x:v>5</x:v>
      </x:c>
      <x:c r="F5275" s="380" t="n">
        <x:v>7</x:v>
      </x:c>
      <x:c r="G5275" s="380" t="n">
        <x:f>--(F5275&lt;='Estimator'!$B$7)</x:f>
        <x:v>0</x:v>
      </x:c>
      <x:c r="H5275" s="381" t="n">
        <x:f>SUMIFS('Climate Data'!$G$7:$G$366,'Climate Data'!$A$7:$A$366,'Estimator'!$B$4,'Climate Data'!$B$7:$B$366,C5275)</x:f>
        <x:v>0.475</x:v>
      </x:c>
      <x:c r="I5275" s="382" t="n">
        <x:f>SUMIFS('Climate Data'!$H$7:$H$366,'Climate Data'!$A$7:$A$366,'Estimator'!$B$4,'Climate Data'!$B$7:$B$366,C5275)</x:f>
        <x:v>8.378947368421054</x:v>
      </x:c>
      <x:c r="J5275" s="381" t="n">
        <x:f>SUMIFS('Wind Proxy'!$H$8:$H$19,'Wind Proxy'!$A$8:$A$19,'Estimator'!$B$4,'Wind Proxy'!$B$8:$B$19,C5275)</x:f>
        <x:v>0.14197530864197533</x:v>
      </x:c>
    </x:row>
    <x:row r="5276">
      <x:c r="A5276" s="379" t="n">
        <x:v>50927</x:v>
      </x:c>
      <x:c r="B5276" s="380" t="n">
        <x:v>2039</x:v>
      </x:c>
      <x:c r="C5276" s="380" t="n">
        <x:v>6</x:v>
      </x:c>
      <x:c r="D5276" s="380" t="str">
        <x:v>Jun</x:v>
      </x:c>
      <x:c r="E5276" s="380" t="n">
        <x:v>6</x:v>
      </x:c>
      <x:c r="F5276" s="380" t="n">
        <x:v>1</x:v>
      </x:c>
      <x:c r="G5276" s="380" t="n">
        <x:f>--(F5276&lt;='Estimator'!$B$7)</x:f>
        <x:v>1</x:v>
      </x:c>
      <x:c r="H5276" s="381" t="n">
        <x:f>SUMIFS('Climate Data'!$G$7:$G$366,'Climate Data'!$A$7:$A$366,'Estimator'!$B$4,'Climate Data'!$B$7:$B$366,C5276)</x:f>
        <x:v>0.475</x:v>
      </x:c>
      <x:c r="I5276" s="382" t="n">
        <x:f>SUMIFS('Climate Data'!$H$7:$H$366,'Climate Data'!$A$7:$A$366,'Estimator'!$B$4,'Climate Data'!$B$7:$B$366,C5276)</x:f>
        <x:v>8.378947368421054</x:v>
      </x:c>
      <x:c r="J5276" s="381" t="n">
        <x:f>SUMIFS('Wind Proxy'!$H$8:$H$19,'Wind Proxy'!$A$8:$A$19,'Estimator'!$B$4,'Wind Proxy'!$B$8:$B$19,C5276)</x:f>
        <x:v>0.14197530864197533</x:v>
      </x:c>
    </x:row>
    <x:row r="5277">
      <x:c r="A5277" s="379" t="n">
        <x:v>50928</x:v>
      </x:c>
      <x:c r="B5277" s="380" t="n">
        <x:v>2039</x:v>
      </x:c>
      <x:c r="C5277" s="380" t="n">
        <x:v>6</x:v>
      </x:c>
      <x:c r="D5277" s="380" t="str">
        <x:v>Jun</x:v>
      </x:c>
      <x:c r="E5277" s="380" t="n">
        <x:v>7</x:v>
      </x:c>
      <x:c r="F5277" s="380" t="n">
        <x:v>2</x:v>
      </x:c>
      <x:c r="G5277" s="380" t="n">
        <x:f>--(F5277&lt;='Estimator'!$B$7)</x:f>
        <x:v>1</x:v>
      </x:c>
      <x:c r="H5277" s="381" t="n">
        <x:f>SUMIFS('Climate Data'!$G$7:$G$366,'Climate Data'!$A$7:$A$366,'Estimator'!$B$4,'Climate Data'!$B$7:$B$366,C5277)</x:f>
        <x:v>0.475</x:v>
      </x:c>
      <x:c r="I5277" s="382" t="n">
        <x:f>SUMIFS('Climate Data'!$H$7:$H$366,'Climate Data'!$A$7:$A$366,'Estimator'!$B$4,'Climate Data'!$B$7:$B$366,C5277)</x:f>
        <x:v>8.378947368421054</x:v>
      </x:c>
      <x:c r="J5277" s="381" t="n">
        <x:f>SUMIFS('Wind Proxy'!$H$8:$H$19,'Wind Proxy'!$A$8:$A$19,'Estimator'!$B$4,'Wind Proxy'!$B$8:$B$19,C5277)</x:f>
        <x:v>0.14197530864197533</x:v>
      </x:c>
    </x:row>
    <x:row r="5278">
      <x:c r="A5278" s="379" t="n">
        <x:v>50929</x:v>
      </x:c>
      <x:c r="B5278" s="380" t="n">
        <x:v>2039</x:v>
      </x:c>
      <x:c r="C5278" s="380" t="n">
        <x:v>6</x:v>
      </x:c>
      <x:c r="D5278" s="380" t="str">
        <x:v>Jun</x:v>
      </x:c>
      <x:c r="E5278" s="380" t="n">
        <x:v>8</x:v>
      </x:c>
      <x:c r="F5278" s="380" t="n">
        <x:v>3</x:v>
      </x:c>
      <x:c r="G5278" s="380" t="n">
        <x:f>--(F5278&lt;='Estimator'!$B$7)</x:f>
        <x:v>1</x:v>
      </x:c>
      <x:c r="H5278" s="381" t="n">
        <x:f>SUMIFS('Climate Data'!$G$7:$G$366,'Climate Data'!$A$7:$A$366,'Estimator'!$B$4,'Climate Data'!$B$7:$B$366,C5278)</x:f>
        <x:v>0.475</x:v>
      </x:c>
      <x:c r="I5278" s="382" t="n">
        <x:f>SUMIFS('Climate Data'!$H$7:$H$366,'Climate Data'!$A$7:$A$366,'Estimator'!$B$4,'Climate Data'!$B$7:$B$366,C5278)</x:f>
        <x:v>8.378947368421054</x:v>
      </x:c>
      <x:c r="J5278" s="381" t="n">
        <x:f>SUMIFS('Wind Proxy'!$H$8:$H$19,'Wind Proxy'!$A$8:$A$19,'Estimator'!$B$4,'Wind Proxy'!$B$8:$B$19,C5278)</x:f>
        <x:v>0.14197530864197533</x:v>
      </x:c>
    </x:row>
    <x:row r="5279">
      <x:c r="A5279" s="379" t="n">
        <x:v>50930</x:v>
      </x:c>
      <x:c r="B5279" s="380" t="n">
        <x:v>2039</x:v>
      </x:c>
      <x:c r="C5279" s="380" t="n">
        <x:v>6</x:v>
      </x:c>
      <x:c r="D5279" s="380" t="str">
        <x:v>Jun</x:v>
      </x:c>
      <x:c r="E5279" s="380" t="n">
        <x:v>9</x:v>
      </x:c>
      <x:c r="F5279" s="380" t="n">
        <x:v>4</x:v>
      </x:c>
      <x:c r="G5279" s="380" t="n">
        <x:f>--(F5279&lt;='Estimator'!$B$7)</x:f>
        <x:v>1</x:v>
      </x:c>
      <x:c r="H5279" s="381" t="n">
        <x:f>SUMIFS('Climate Data'!$G$7:$G$366,'Climate Data'!$A$7:$A$366,'Estimator'!$B$4,'Climate Data'!$B$7:$B$366,C5279)</x:f>
        <x:v>0.475</x:v>
      </x:c>
      <x:c r="I5279" s="382" t="n">
        <x:f>SUMIFS('Climate Data'!$H$7:$H$366,'Climate Data'!$A$7:$A$366,'Estimator'!$B$4,'Climate Data'!$B$7:$B$366,C5279)</x:f>
        <x:v>8.378947368421054</x:v>
      </x:c>
      <x:c r="J5279" s="381" t="n">
        <x:f>SUMIFS('Wind Proxy'!$H$8:$H$19,'Wind Proxy'!$A$8:$A$19,'Estimator'!$B$4,'Wind Proxy'!$B$8:$B$19,C5279)</x:f>
        <x:v>0.14197530864197533</x:v>
      </x:c>
    </x:row>
    <x:row r="5280">
      <x:c r="A5280" s="379" t="n">
        <x:v>50931</x:v>
      </x:c>
      <x:c r="B5280" s="380" t="n">
        <x:v>2039</x:v>
      </x:c>
      <x:c r="C5280" s="380" t="n">
        <x:v>6</x:v>
      </x:c>
      <x:c r="D5280" s="380" t="str">
        <x:v>Jun</x:v>
      </x:c>
      <x:c r="E5280" s="380" t="n">
        <x:v>10</x:v>
      </x:c>
      <x:c r="F5280" s="380" t="n">
        <x:v>5</x:v>
      </x:c>
      <x:c r="G5280" s="380" t="n">
        <x:f>--(F5280&lt;='Estimator'!$B$7)</x:f>
        <x:v>1</x:v>
      </x:c>
      <x:c r="H5280" s="381" t="n">
        <x:f>SUMIFS('Climate Data'!$G$7:$G$366,'Climate Data'!$A$7:$A$366,'Estimator'!$B$4,'Climate Data'!$B$7:$B$366,C5280)</x:f>
        <x:v>0.475</x:v>
      </x:c>
      <x:c r="I5280" s="382" t="n">
        <x:f>SUMIFS('Climate Data'!$H$7:$H$366,'Climate Data'!$A$7:$A$366,'Estimator'!$B$4,'Climate Data'!$B$7:$B$366,C5280)</x:f>
        <x:v>8.378947368421054</x:v>
      </x:c>
      <x:c r="J5280" s="381" t="n">
        <x:f>SUMIFS('Wind Proxy'!$H$8:$H$19,'Wind Proxy'!$A$8:$A$19,'Estimator'!$B$4,'Wind Proxy'!$B$8:$B$19,C5280)</x:f>
        <x:v>0.14197530864197533</x:v>
      </x:c>
    </x:row>
    <x:row r="5281">
      <x:c r="A5281" s="379" t="n">
        <x:v>50932</x:v>
      </x:c>
      <x:c r="B5281" s="380" t="n">
        <x:v>2039</x:v>
      </x:c>
      <x:c r="C5281" s="380" t="n">
        <x:v>6</x:v>
      </x:c>
      <x:c r="D5281" s="380" t="str">
        <x:v>Jun</x:v>
      </x:c>
      <x:c r="E5281" s="380" t="n">
        <x:v>11</x:v>
      </x:c>
      <x:c r="F5281" s="380" t="n">
        <x:v>6</x:v>
      </x:c>
      <x:c r="G5281" s="380" t="n">
        <x:f>--(F5281&lt;='Estimator'!$B$7)</x:f>
        <x:v>0</x:v>
      </x:c>
      <x:c r="H5281" s="381" t="n">
        <x:f>SUMIFS('Climate Data'!$G$7:$G$366,'Climate Data'!$A$7:$A$366,'Estimator'!$B$4,'Climate Data'!$B$7:$B$366,C5281)</x:f>
        <x:v>0.475</x:v>
      </x:c>
      <x:c r="I5281" s="382" t="n">
        <x:f>SUMIFS('Climate Data'!$H$7:$H$366,'Climate Data'!$A$7:$A$366,'Estimator'!$B$4,'Climate Data'!$B$7:$B$366,C5281)</x:f>
        <x:v>8.378947368421054</x:v>
      </x:c>
      <x:c r="J5281" s="381" t="n">
        <x:f>SUMIFS('Wind Proxy'!$H$8:$H$19,'Wind Proxy'!$A$8:$A$19,'Estimator'!$B$4,'Wind Proxy'!$B$8:$B$19,C5281)</x:f>
        <x:v>0.14197530864197533</x:v>
      </x:c>
    </x:row>
    <x:row r="5282">
      <x:c r="A5282" s="379" t="n">
        <x:v>50933</x:v>
      </x:c>
      <x:c r="B5282" s="380" t="n">
        <x:v>2039</x:v>
      </x:c>
      <x:c r="C5282" s="380" t="n">
        <x:v>6</x:v>
      </x:c>
      <x:c r="D5282" s="380" t="str">
        <x:v>Jun</x:v>
      </x:c>
      <x:c r="E5282" s="380" t="n">
        <x:v>12</x:v>
      </x:c>
      <x:c r="F5282" s="380" t="n">
        <x:v>7</x:v>
      </x:c>
      <x:c r="G5282" s="380" t="n">
        <x:f>--(F5282&lt;='Estimator'!$B$7)</x:f>
        <x:v>0</x:v>
      </x:c>
      <x:c r="H5282" s="381" t="n">
        <x:f>SUMIFS('Climate Data'!$G$7:$G$366,'Climate Data'!$A$7:$A$366,'Estimator'!$B$4,'Climate Data'!$B$7:$B$366,C5282)</x:f>
        <x:v>0.475</x:v>
      </x:c>
      <x:c r="I5282" s="382" t="n">
        <x:f>SUMIFS('Climate Data'!$H$7:$H$366,'Climate Data'!$A$7:$A$366,'Estimator'!$B$4,'Climate Data'!$B$7:$B$366,C5282)</x:f>
        <x:v>8.378947368421054</x:v>
      </x:c>
      <x:c r="J5282" s="381" t="n">
        <x:f>SUMIFS('Wind Proxy'!$H$8:$H$19,'Wind Proxy'!$A$8:$A$19,'Estimator'!$B$4,'Wind Proxy'!$B$8:$B$19,C5282)</x:f>
        <x:v>0.14197530864197533</x:v>
      </x:c>
    </x:row>
    <x:row r="5283">
      <x:c r="A5283" s="379" t="n">
        <x:v>50934</x:v>
      </x:c>
      <x:c r="B5283" s="380" t="n">
        <x:v>2039</x:v>
      </x:c>
      <x:c r="C5283" s="380" t="n">
        <x:v>6</x:v>
      </x:c>
      <x:c r="D5283" s="380" t="str">
        <x:v>Jun</x:v>
      </x:c>
      <x:c r="E5283" s="380" t="n">
        <x:v>13</x:v>
      </x:c>
      <x:c r="F5283" s="380" t="n">
        <x:v>1</x:v>
      </x:c>
      <x:c r="G5283" s="380" t="n">
        <x:f>--(F5283&lt;='Estimator'!$B$7)</x:f>
        <x:v>1</x:v>
      </x:c>
      <x:c r="H5283" s="381" t="n">
        <x:f>SUMIFS('Climate Data'!$G$7:$G$366,'Climate Data'!$A$7:$A$366,'Estimator'!$B$4,'Climate Data'!$B$7:$B$366,C5283)</x:f>
        <x:v>0.475</x:v>
      </x:c>
      <x:c r="I5283" s="382" t="n">
        <x:f>SUMIFS('Climate Data'!$H$7:$H$366,'Climate Data'!$A$7:$A$366,'Estimator'!$B$4,'Climate Data'!$B$7:$B$366,C5283)</x:f>
        <x:v>8.378947368421054</x:v>
      </x:c>
      <x:c r="J5283" s="381" t="n">
        <x:f>SUMIFS('Wind Proxy'!$H$8:$H$19,'Wind Proxy'!$A$8:$A$19,'Estimator'!$B$4,'Wind Proxy'!$B$8:$B$19,C5283)</x:f>
        <x:v>0.14197530864197533</x:v>
      </x:c>
    </x:row>
    <x:row r="5284">
      <x:c r="A5284" s="379" t="n">
        <x:v>50935</x:v>
      </x:c>
      <x:c r="B5284" s="380" t="n">
        <x:v>2039</x:v>
      </x:c>
      <x:c r="C5284" s="380" t="n">
        <x:v>6</x:v>
      </x:c>
      <x:c r="D5284" s="380" t="str">
        <x:v>Jun</x:v>
      </x:c>
      <x:c r="E5284" s="380" t="n">
        <x:v>14</x:v>
      </x:c>
      <x:c r="F5284" s="380" t="n">
        <x:v>2</x:v>
      </x:c>
      <x:c r="G5284" s="380" t="n">
        <x:f>--(F5284&lt;='Estimator'!$B$7)</x:f>
        <x:v>1</x:v>
      </x:c>
      <x:c r="H5284" s="381" t="n">
        <x:f>SUMIFS('Climate Data'!$G$7:$G$366,'Climate Data'!$A$7:$A$366,'Estimator'!$B$4,'Climate Data'!$B$7:$B$366,C5284)</x:f>
        <x:v>0.475</x:v>
      </x:c>
      <x:c r="I5284" s="382" t="n">
        <x:f>SUMIFS('Climate Data'!$H$7:$H$366,'Climate Data'!$A$7:$A$366,'Estimator'!$B$4,'Climate Data'!$B$7:$B$366,C5284)</x:f>
        <x:v>8.378947368421054</x:v>
      </x:c>
      <x:c r="J5284" s="381" t="n">
        <x:f>SUMIFS('Wind Proxy'!$H$8:$H$19,'Wind Proxy'!$A$8:$A$19,'Estimator'!$B$4,'Wind Proxy'!$B$8:$B$19,C5284)</x:f>
        <x:v>0.14197530864197533</x:v>
      </x:c>
    </x:row>
    <x:row r="5285">
      <x:c r="A5285" s="379" t="n">
        <x:v>50936</x:v>
      </x:c>
      <x:c r="B5285" s="380" t="n">
        <x:v>2039</x:v>
      </x:c>
      <x:c r="C5285" s="380" t="n">
        <x:v>6</x:v>
      </x:c>
      <x:c r="D5285" s="380" t="str">
        <x:v>Jun</x:v>
      </x:c>
      <x:c r="E5285" s="380" t="n">
        <x:v>15</x:v>
      </x:c>
      <x:c r="F5285" s="380" t="n">
        <x:v>3</x:v>
      </x:c>
      <x:c r="G5285" s="380" t="n">
        <x:f>--(F5285&lt;='Estimator'!$B$7)</x:f>
        <x:v>1</x:v>
      </x:c>
      <x:c r="H5285" s="381" t="n">
        <x:f>SUMIFS('Climate Data'!$G$7:$G$366,'Climate Data'!$A$7:$A$366,'Estimator'!$B$4,'Climate Data'!$B$7:$B$366,C5285)</x:f>
        <x:v>0.475</x:v>
      </x:c>
      <x:c r="I5285" s="382" t="n">
        <x:f>SUMIFS('Climate Data'!$H$7:$H$366,'Climate Data'!$A$7:$A$366,'Estimator'!$B$4,'Climate Data'!$B$7:$B$366,C5285)</x:f>
        <x:v>8.378947368421054</x:v>
      </x:c>
      <x:c r="J5285" s="381" t="n">
        <x:f>SUMIFS('Wind Proxy'!$H$8:$H$19,'Wind Proxy'!$A$8:$A$19,'Estimator'!$B$4,'Wind Proxy'!$B$8:$B$19,C5285)</x:f>
        <x:v>0.14197530864197533</x:v>
      </x:c>
    </x:row>
    <x:row r="5286">
      <x:c r="A5286" s="379" t="n">
        <x:v>50937</x:v>
      </x:c>
      <x:c r="B5286" s="380" t="n">
        <x:v>2039</x:v>
      </x:c>
      <x:c r="C5286" s="380" t="n">
        <x:v>6</x:v>
      </x:c>
      <x:c r="D5286" s="380" t="str">
        <x:v>Jun</x:v>
      </x:c>
      <x:c r="E5286" s="380" t="n">
        <x:v>16</x:v>
      </x:c>
      <x:c r="F5286" s="380" t="n">
        <x:v>4</x:v>
      </x:c>
      <x:c r="G5286" s="380" t="n">
        <x:f>--(F5286&lt;='Estimator'!$B$7)</x:f>
        <x:v>1</x:v>
      </x:c>
      <x:c r="H5286" s="381" t="n">
        <x:f>SUMIFS('Climate Data'!$G$7:$G$366,'Climate Data'!$A$7:$A$366,'Estimator'!$B$4,'Climate Data'!$B$7:$B$366,C5286)</x:f>
        <x:v>0.475</x:v>
      </x:c>
      <x:c r="I5286" s="382" t="n">
        <x:f>SUMIFS('Climate Data'!$H$7:$H$366,'Climate Data'!$A$7:$A$366,'Estimator'!$B$4,'Climate Data'!$B$7:$B$366,C5286)</x:f>
        <x:v>8.378947368421054</x:v>
      </x:c>
      <x:c r="J5286" s="381" t="n">
        <x:f>SUMIFS('Wind Proxy'!$H$8:$H$19,'Wind Proxy'!$A$8:$A$19,'Estimator'!$B$4,'Wind Proxy'!$B$8:$B$19,C5286)</x:f>
        <x:v>0.14197530864197533</x:v>
      </x:c>
    </x:row>
    <x:row r="5287">
      <x:c r="A5287" s="379" t="n">
        <x:v>50938</x:v>
      </x:c>
      <x:c r="B5287" s="380" t="n">
        <x:v>2039</x:v>
      </x:c>
      <x:c r="C5287" s="380" t="n">
        <x:v>6</x:v>
      </x:c>
      <x:c r="D5287" s="380" t="str">
        <x:v>Jun</x:v>
      </x:c>
      <x:c r="E5287" s="380" t="n">
        <x:v>17</x:v>
      </x:c>
      <x:c r="F5287" s="380" t="n">
        <x:v>5</x:v>
      </x:c>
      <x:c r="G5287" s="380" t="n">
        <x:f>--(F5287&lt;='Estimator'!$B$7)</x:f>
        <x:v>1</x:v>
      </x:c>
      <x:c r="H5287" s="381" t="n">
        <x:f>SUMIFS('Climate Data'!$G$7:$G$366,'Climate Data'!$A$7:$A$366,'Estimator'!$B$4,'Climate Data'!$B$7:$B$366,C5287)</x:f>
        <x:v>0.475</x:v>
      </x:c>
      <x:c r="I5287" s="382" t="n">
        <x:f>SUMIFS('Climate Data'!$H$7:$H$366,'Climate Data'!$A$7:$A$366,'Estimator'!$B$4,'Climate Data'!$B$7:$B$366,C5287)</x:f>
        <x:v>8.378947368421054</x:v>
      </x:c>
      <x:c r="J5287" s="381" t="n">
        <x:f>SUMIFS('Wind Proxy'!$H$8:$H$19,'Wind Proxy'!$A$8:$A$19,'Estimator'!$B$4,'Wind Proxy'!$B$8:$B$19,C5287)</x:f>
        <x:v>0.14197530864197533</x:v>
      </x:c>
    </x:row>
    <x:row r="5288">
      <x:c r="A5288" s="379" t="n">
        <x:v>50939</x:v>
      </x:c>
      <x:c r="B5288" s="380" t="n">
        <x:v>2039</x:v>
      </x:c>
      <x:c r="C5288" s="380" t="n">
        <x:v>6</x:v>
      </x:c>
      <x:c r="D5288" s="380" t="str">
        <x:v>Jun</x:v>
      </x:c>
      <x:c r="E5288" s="380" t="n">
        <x:v>18</x:v>
      </x:c>
      <x:c r="F5288" s="380" t="n">
        <x:v>6</x:v>
      </x:c>
      <x:c r="G5288" s="380" t="n">
        <x:f>--(F5288&lt;='Estimator'!$B$7)</x:f>
        <x:v>0</x:v>
      </x:c>
      <x:c r="H5288" s="381" t="n">
        <x:f>SUMIFS('Climate Data'!$G$7:$G$366,'Climate Data'!$A$7:$A$366,'Estimator'!$B$4,'Climate Data'!$B$7:$B$366,C5288)</x:f>
        <x:v>0.475</x:v>
      </x:c>
      <x:c r="I5288" s="382" t="n">
        <x:f>SUMIFS('Climate Data'!$H$7:$H$366,'Climate Data'!$A$7:$A$366,'Estimator'!$B$4,'Climate Data'!$B$7:$B$366,C5288)</x:f>
        <x:v>8.378947368421054</x:v>
      </x:c>
      <x:c r="J5288" s="381" t="n">
        <x:f>SUMIFS('Wind Proxy'!$H$8:$H$19,'Wind Proxy'!$A$8:$A$19,'Estimator'!$B$4,'Wind Proxy'!$B$8:$B$19,C5288)</x:f>
        <x:v>0.14197530864197533</x:v>
      </x:c>
    </x:row>
    <x:row r="5289">
      <x:c r="A5289" s="379" t="n">
        <x:v>50940</x:v>
      </x:c>
      <x:c r="B5289" s="380" t="n">
        <x:v>2039</x:v>
      </x:c>
      <x:c r="C5289" s="380" t="n">
        <x:v>6</x:v>
      </x:c>
      <x:c r="D5289" s="380" t="str">
        <x:v>Jun</x:v>
      </x:c>
      <x:c r="E5289" s="380" t="n">
        <x:v>19</x:v>
      </x:c>
      <x:c r="F5289" s="380" t="n">
        <x:v>7</x:v>
      </x:c>
      <x:c r="G5289" s="380" t="n">
        <x:f>--(F5289&lt;='Estimator'!$B$7)</x:f>
        <x:v>0</x:v>
      </x:c>
      <x:c r="H5289" s="381" t="n">
        <x:f>SUMIFS('Climate Data'!$G$7:$G$366,'Climate Data'!$A$7:$A$366,'Estimator'!$B$4,'Climate Data'!$B$7:$B$366,C5289)</x:f>
        <x:v>0.475</x:v>
      </x:c>
      <x:c r="I5289" s="382" t="n">
        <x:f>SUMIFS('Climate Data'!$H$7:$H$366,'Climate Data'!$A$7:$A$366,'Estimator'!$B$4,'Climate Data'!$B$7:$B$366,C5289)</x:f>
        <x:v>8.378947368421054</x:v>
      </x:c>
      <x:c r="J5289" s="381" t="n">
        <x:f>SUMIFS('Wind Proxy'!$H$8:$H$19,'Wind Proxy'!$A$8:$A$19,'Estimator'!$B$4,'Wind Proxy'!$B$8:$B$19,C5289)</x:f>
        <x:v>0.14197530864197533</x:v>
      </x:c>
    </x:row>
    <x:row r="5290">
      <x:c r="A5290" s="379" t="n">
        <x:v>50941</x:v>
      </x:c>
      <x:c r="B5290" s="380" t="n">
        <x:v>2039</x:v>
      </x:c>
      <x:c r="C5290" s="380" t="n">
        <x:v>6</x:v>
      </x:c>
      <x:c r="D5290" s="380" t="str">
        <x:v>Jun</x:v>
      </x:c>
      <x:c r="E5290" s="380" t="n">
        <x:v>20</x:v>
      </x:c>
      <x:c r="F5290" s="380" t="n">
        <x:v>1</x:v>
      </x:c>
      <x:c r="G5290" s="380" t="n">
        <x:f>--(F5290&lt;='Estimator'!$B$7)</x:f>
        <x:v>1</x:v>
      </x:c>
      <x:c r="H5290" s="381" t="n">
        <x:f>SUMIFS('Climate Data'!$G$7:$G$366,'Climate Data'!$A$7:$A$366,'Estimator'!$B$4,'Climate Data'!$B$7:$B$366,C5290)</x:f>
        <x:v>0.475</x:v>
      </x:c>
      <x:c r="I5290" s="382" t="n">
        <x:f>SUMIFS('Climate Data'!$H$7:$H$366,'Climate Data'!$A$7:$A$366,'Estimator'!$B$4,'Climate Data'!$B$7:$B$366,C5290)</x:f>
        <x:v>8.378947368421054</x:v>
      </x:c>
      <x:c r="J5290" s="381" t="n">
        <x:f>SUMIFS('Wind Proxy'!$H$8:$H$19,'Wind Proxy'!$A$8:$A$19,'Estimator'!$B$4,'Wind Proxy'!$B$8:$B$19,C5290)</x:f>
        <x:v>0.14197530864197533</x:v>
      </x:c>
    </x:row>
    <x:row r="5291">
      <x:c r="A5291" s="379" t="n">
        <x:v>50942</x:v>
      </x:c>
      <x:c r="B5291" s="380" t="n">
        <x:v>2039</x:v>
      </x:c>
      <x:c r="C5291" s="380" t="n">
        <x:v>6</x:v>
      </x:c>
      <x:c r="D5291" s="380" t="str">
        <x:v>Jun</x:v>
      </x:c>
      <x:c r="E5291" s="380" t="n">
        <x:v>21</x:v>
      </x:c>
      <x:c r="F5291" s="380" t="n">
        <x:v>2</x:v>
      </x:c>
      <x:c r="G5291" s="380" t="n">
        <x:f>--(F5291&lt;='Estimator'!$B$7)</x:f>
        <x:v>1</x:v>
      </x:c>
      <x:c r="H5291" s="381" t="n">
        <x:f>SUMIFS('Climate Data'!$G$7:$G$366,'Climate Data'!$A$7:$A$366,'Estimator'!$B$4,'Climate Data'!$B$7:$B$366,C5291)</x:f>
        <x:v>0.475</x:v>
      </x:c>
      <x:c r="I5291" s="382" t="n">
        <x:f>SUMIFS('Climate Data'!$H$7:$H$366,'Climate Data'!$A$7:$A$366,'Estimator'!$B$4,'Climate Data'!$B$7:$B$366,C5291)</x:f>
        <x:v>8.378947368421054</x:v>
      </x:c>
      <x:c r="J5291" s="381" t="n">
        <x:f>SUMIFS('Wind Proxy'!$H$8:$H$19,'Wind Proxy'!$A$8:$A$19,'Estimator'!$B$4,'Wind Proxy'!$B$8:$B$19,C5291)</x:f>
        <x:v>0.14197530864197533</x:v>
      </x:c>
    </x:row>
    <x:row r="5292">
      <x:c r="A5292" s="379" t="n">
        <x:v>50943</x:v>
      </x:c>
      <x:c r="B5292" s="380" t="n">
        <x:v>2039</x:v>
      </x:c>
      <x:c r="C5292" s="380" t="n">
        <x:v>6</x:v>
      </x:c>
      <x:c r="D5292" s="380" t="str">
        <x:v>Jun</x:v>
      </x:c>
      <x:c r="E5292" s="380" t="n">
        <x:v>22</x:v>
      </x:c>
      <x:c r="F5292" s="380" t="n">
        <x:v>3</x:v>
      </x:c>
      <x:c r="G5292" s="380" t="n">
        <x:f>--(F5292&lt;='Estimator'!$B$7)</x:f>
        <x:v>1</x:v>
      </x:c>
      <x:c r="H5292" s="381" t="n">
        <x:f>SUMIFS('Climate Data'!$G$7:$G$366,'Climate Data'!$A$7:$A$366,'Estimator'!$B$4,'Climate Data'!$B$7:$B$366,C5292)</x:f>
        <x:v>0.475</x:v>
      </x:c>
      <x:c r="I5292" s="382" t="n">
        <x:f>SUMIFS('Climate Data'!$H$7:$H$366,'Climate Data'!$A$7:$A$366,'Estimator'!$B$4,'Climate Data'!$B$7:$B$366,C5292)</x:f>
        <x:v>8.378947368421054</x:v>
      </x:c>
      <x:c r="J5292" s="381" t="n">
        <x:f>SUMIFS('Wind Proxy'!$H$8:$H$19,'Wind Proxy'!$A$8:$A$19,'Estimator'!$B$4,'Wind Proxy'!$B$8:$B$19,C5292)</x:f>
        <x:v>0.14197530864197533</x:v>
      </x:c>
    </x:row>
    <x:row r="5293">
      <x:c r="A5293" s="379" t="n">
        <x:v>50944</x:v>
      </x:c>
      <x:c r="B5293" s="380" t="n">
        <x:v>2039</x:v>
      </x:c>
      <x:c r="C5293" s="380" t="n">
        <x:v>6</x:v>
      </x:c>
      <x:c r="D5293" s="380" t="str">
        <x:v>Jun</x:v>
      </x:c>
      <x:c r="E5293" s="380" t="n">
        <x:v>23</x:v>
      </x:c>
      <x:c r="F5293" s="380" t="n">
        <x:v>4</x:v>
      </x:c>
      <x:c r="G5293" s="380" t="n">
        <x:f>--(F5293&lt;='Estimator'!$B$7)</x:f>
        <x:v>1</x:v>
      </x:c>
      <x:c r="H5293" s="381" t="n">
        <x:f>SUMIFS('Climate Data'!$G$7:$G$366,'Climate Data'!$A$7:$A$366,'Estimator'!$B$4,'Climate Data'!$B$7:$B$366,C5293)</x:f>
        <x:v>0.475</x:v>
      </x:c>
      <x:c r="I5293" s="382" t="n">
        <x:f>SUMIFS('Climate Data'!$H$7:$H$366,'Climate Data'!$A$7:$A$366,'Estimator'!$B$4,'Climate Data'!$B$7:$B$366,C5293)</x:f>
        <x:v>8.378947368421054</x:v>
      </x:c>
      <x:c r="J5293" s="381" t="n">
        <x:f>SUMIFS('Wind Proxy'!$H$8:$H$19,'Wind Proxy'!$A$8:$A$19,'Estimator'!$B$4,'Wind Proxy'!$B$8:$B$19,C5293)</x:f>
        <x:v>0.14197530864197533</x:v>
      </x:c>
    </x:row>
    <x:row r="5294">
      <x:c r="A5294" s="379" t="n">
        <x:v>50945</x:v>
      </x:c>
      <x:c r="B5294" s="380" t="n">
        <x:v>2039</x:v>
      </x:c>
      <x:c r="C5294" s="380" t="n">
        <x:v>6</x:v>
      </x:c>
      <x:c r="D5294" s="380" t="str">
        <x:v>Jun</x:v>
      </x:c>
      <x:c r="E5294" s="380" t="n">
        <x:v>24</x:v>
      </x:c>
      <x:c r="F5294" s="380" t="n">
        <x:v>5</x:v>
      </x:c>
      <x:c r="G5294" s="380" t="n">
        <x:f>--(F5294&lt;='Estimator'!$B$7)</x:f>
        <x:v>1</x:v>
      </x:c>
      <x:c r="H5294" s="381" t="n">
        <x:f>SUMIFS('Climate Data'!$G$7:$G$366,'Climate Data'!$A$7:$A$366,'Estimator'!$B$4,'Climate Data'!$B$7:$B$366,C5294)</x:f>
        <x:v>0.475</x:v>
      </x:c>
      <x:c r="I5294" s="382" t="n">
        <x:f>SUMIFS('Climate Data'!$H$7:$H$366,'Climate Data'!$A$7:$A$366,'Estimator'!$B$4,'Climate Data'!$B$7:$B$366,C5294)</x:f>
        <x:v>8.378947368421054</x:v>
      </x:c>
      <x:c r="J5294" s="381" t="n">
        <x:f>SUMIFS('Wind Proxy'!$H$8:$H$19,'Wind Proxy'!$A$8:$A$19,'Estimator'!$B$4,'Wind Proxy'!$B$8:$B$19,C5294)</x:f>
        <x:v>0.14197530864197533</x:v>
      </x:c>
    </x:row>
    <x:row r="5295">
      <x:c r="A5295" s="379" t="n">
        <x:v>50946</x:v>
      </x:c>
      <x:c r="B5295" s="380" t="n">
        <x:v>2039</x:v>
      </x:c>
      <x:c r="C5295" s="380" t="n">
        <x:v>6</x:v>
      </x:c>
      <x:c r="D5295" s="380" t="str">
        <x:v>Jun</x:v>
      </x:c>
      <x:c r="E5295" s="380" t="n">
        <x:v>25</x:v>
      </x:c>
      <x:c r="F5295" s="380" t="n">
        <x:v>6</x:v>
      </x:c>
      <x:c r="G5295" s="380" t="n">
        <x:f>--(F5295&lt;='Estimator'!$B$7)</x:f>
        <x:v>0</x:v>
      </x:c>
      <x:c r="H5295" s="381" t="n">
        <x:f>SUMIFS('Climate Data'!$G$7:$G$366,'Climate Data'!$A$7:$A$366,'Estimator'!$B$4,'Climate Data'!$B$7:$B$366,C5295)</x:f>
        <x:v>0.475</x:v>
      </x:c>
      <x:c r="I5295" s="382" t="n">
        <x:f>SUMIFS('Climate Data'!$H$7:$H$366,'Climate Data'!$A$7:$A$366,'Estimator'!$B$4,'Climate Data'!$B$7:$B$366,C5295)</x:f>
        <x:v>8.378947368421054</x:v>
      </x:c>
      <x:c r="J5295" s="381" t="n">
        <x:f>SUMIFS('Wind Proxy'!$H$8:$H$19,'Wind Proxy'!$A$8:$A$19,'Estimator'!$B$4,'Wind Proxy'!$B$8:$B$19,C5295)</x:f>
        <x:v>0.14197530864197533</x:v>
      </x:c>
    </x:row>
    <x:row r="5296">
      <x:c r="A5296" s="379" t="n">
        <x:v>50947</x:v>
      </x:c>
      <x:c r="B5296" s="380" t="n">
        <x:v>2039</x:v>
      </x:c>
      <x:c r="C5296" s="380" t="n">
        <x:v>6</x:v>
      </x:c>
      <x:c r="D5296" s="380" t="str">
        <x:v>Jun</x:v>
      </x:c>
      <x:c r="E5296" s="380" t="n">
        <x:v>26</x:v>
      </x:c>
      <x:c r="F5296" s="380" t="n">
        <x:v>7</x:v>
      </x:c>
      <x:c r="G5296" s="380" t="n">
        <x:f>--(F5296&lt;='Estimator'!$B$7)</x:f>
        <x:v>0</x:v>
      </x:c>
      <x:c r="H5296" s="381" t="n">
        <x:f>SUMIFS('Climate Data'!$G$7:$G$366,'Climate Data'!$A$7:$A$366,'Estimator'!$B$4,'Climate Data'!$B$7:$B$366,C5296)</x:f>
        <x:v>0.475</x:v>
      </x:c>
      <x:c r="I5296" s="382" t="n">
        <x:f>SUMIFS('Climate Data'!$H$7:$H$366,'Climate Data'!$A$7:$A$366,'Estimator'!$B$4,'Climate Data'!$B$7:$B$366,C5296)</x:f>
        <x:v>8.378947368421054</x:v>
      </x:c>
      <x:c r="J5296" s="381" t="n">
        <x:f>SUMIFS('Wind Proxy'!$H$8:$H$19,'Wind Proxy'!$A$8:$A$19,'Estimator'!$B$4,'Wind Proxy'!$B$8:$B$19,C5296)</x:f>
        <x:v>0.14197530864197533</x:v>
      </x:c>
    </x:row>
    <x:row r="5297">
      <x:c r="A5297" s="379" t="n">
        <x:v>50948</x:v>
      </x:c>
      <x:c r="B5297" s="380" t="n">
        <x:v>2039</x:v>
      </x:c>
      <x:c r="C5297" s="380" t="n">
        <x:v>6</x:v>
      </x:c>
      <x:c r="D5297" s="380" t="str">
        <x:v>Jun</x:v>
      </x:c>
      <x:c r="E5297" s="380" t="n">
        <x:v>27</x:v>
      </x:c>
      <x:c r="F5297" s="380" t="n">
        <x:v>1</x:v>
      </x:c>
      <x:c r="G5297" s="380" t="n">
        <x:f>--(F5297&lt;='Estimator'!$B$7)</x:f>
        <x:v>1</x:v>
      </x:c>
      <x:c r="H5297" s="381" t="n">
        <x:f>SUMIFS('Climate Data'!$G$7:$G$366,'Climate Data'!$A$7:$A$366,'Estimator'!$B$4,'Climate Data'!$B$7:$B$366,C5297)</x:f>
        <x:v>0.475</x:v>
      </x:c>
      <x:c r="I5297" s="382" t="n">
        <x:f>SUMIFS('Climate Data'!$H$7:$H$366,'Climate Data'!$A$7:$A$366,'Estimator'!$B$4,'Climate Data'!$B$7:$B$366,C5297)</x:f>
        <x:v>8.378947368421054</x:v>
      </x:c>
      <x:c r="J5297" s="381" t="n">
        <x:f>SUMIFS('Wind Proxy'!$H$8:$H$19,'Wind Proxy'!$A$8:$A$19,'Estimator'!$B$4,'Wind Proxy'!$B$8:$B$19,C5297)</x:f>
        <x:v>0.14197530864197533</x:v>
      </x:c>
    </x:row>
    <x:row r="5298">
      <x:c r="A5298" s="379" t="n">
        <x:v>50949</x:v>
      </x:c>
      <x:c r="B5298" s="380" t="n">
        <x:v>2039</x:v>
      </x:c>
      <x:c r="C5298" s="380" t="n">
        <x:v>6</x:v>
      </x:c>
      <x:c r="D5298" s="380" t="str">
        <x:v>Jun</x:v>
      </x:c>
      <x:c r="E5298" s="380" t="n">
        <x:v>28</x:v>
      </x:c>
      <x:c r="F5298" s="380" t="n">
        <x:v>2</x:v>
      </x:c>
      <x:c r="G5298" s="380" t="n">
        <x:f>--(F5298&lt;='Estimator'!$B$7)</x:f>
        <x:v>1</x:v>
      </x:c>
      <x:c r="H5298" s="381" t="n">
        <x:f>SUMIFS('Climate Data'!$G$7:$G$366,'Climate Data'!$A$7:$A$366,'Estimator'!$B$4,'Climate Data'!$B$7:$B$366,C5298)</x:f>
        <x:v>0.475</x:v>
      </x:c>
      <x:c r="I5298" s="382" t="n">
        <x:f>SUMIFS('Climate Data'!$H$7:$H$366,'Climate Data'!$A$7:$A$366,'Estimator'!$B$4,'Climate Data'!$B$7:$B$366,C5298)</x:f>
        <x:v>8.378947368421054</x:v>
      </x:c>
      <x:c r="J5298" s="381" t="n">
        <x:f>SUMIFS('Wind Proxy'!$H$8:$H$19,'Wind Proxy'!$A$8:$A$19,'Estimator'!$B$4,'Wind Proxy'!$B$8:$B$19,C5298)</x:f>
        <x:v>0.14197530864197533</x:v>
      </x:c>
    </x:row>
    <x:row r="5299">
      <x:c r="A5299" s="379" t="n">
        <x:v>50950</x:v>
      </x:c>
      <x:c r="B5299" s="380" t="n">
        <x:v>2039</x:v>
      </x:c>
      <x:c r="C5299" s="380" t="n">
        <x:v>6</x:v>
      </x:c>
      <x:c r="D5299" s="380" t="str">
        <x:v>Jun</x:v>
      </x:c>
      <x:c r="E5299" s="380" t="n">
        <x:v>29</x:v>
      </x:c>
      <x:c r="F5299" s="380" t="n">
        <x:v>3</x:v>
      </x:c>
      <x:c r="G5299" s="380" t="n">
        <x:f>--(F5299&lt;='Estimator'!$B$7)</x:f>
        <x:v>1</x:v>
      </x:c>
      <x:c r="H5299" s="381" t="n">
        <x:f>SUMIFS('Climate Data'!$G$7:$G$366,'Climate Data'!$A$7:$A$366,'Estimator'!$B$4,'Climate Data'!$B$7:$B$366,C5299)</x:f>
        <x:v>0.475</x:v>
      </x:c>
      <x:c r="I5299" s="382" t="n">
        <x:f>SUMIFS('Climate Data'!$H$7:$H$366,'Climate Data'!$A$7:$A$366,'Estimator'!$B$4,'Climate Data'!$B$7:$B$366,C5299)</x:f>
        <x:v>8.378947368421054</x:v>
      </x:c>
      <x:c r="J5299" s="381" t="n">
        <x:f>SUMIFS('Wind Proxy'!$H$8:$H$19,'Wind Proxy'!$A$8:$A$19,'Estimator'!$B$4,'Wind Proxy'!$B$8:$B$19,C5299)</x:f>
        <x:v>0.14197530864197533</x:v>
      </x:c>
    </x:row>
    <x:row r="5300">
      <x:c r="A5300" s="379" t="n">
        <x:v>50951</x:v>
      </x:c>
      <x:c r="B5300" s="380" t="n">
        <x:v>2039</x:v>
      </x:c>
      <x:c r="C5300" s="380" t="n">
        <x:v>6</x:v>
      </x:c>
      <x:c r="D5300" s="380" t="str">
        <x:v>Jun</x:v>
      </x:c>
      <x:c r="E5300" s="380" t="n">
        <x:v>30</x:v>
      </x:c>
      <x:c r="F5300" s="380" t="n">
        <x:v>4</x:v>
      </x:c>
      <x:c r="G5300" s="380" t="n">
        <x:f>--(F5300&lt;='Estimator'!$B$7)</x:f>
        <x:v>1</x:v>
      </x:c>
      <x:c r="H5300" s="381" t="n">
        <x:f>SUMIFS('Climate Data'!$G$7:$G$366,'Climate Data'!$A$7:$A$366,'Estimator'!$B$4,'Climate Data'!$B$7:$B$366,C5300)</x:f>
        <x:v>0.475</x:v>
      </x:c>
      <x:c r="I5300" s="382" t="n">
        <x:f>SUMIFS('Climate Data'!$H$7:$H$366,'Climate Data'!$A$7:$A$366,'Estimator'!$B$4,'Climate Data'!$B$7:$B$366,C5300)</x:f>
        <x:v>8.378947368421054</x:v>
      </x:c>
      <x:c r="J5300" s="381" t="n">
        <x:f>SUMIFS('Wind Proxy'!$H$8:$H$19,'Wind Proxy'!$A$8:$A$19,'Estimator'!$B$4,'Wind Proxy'!$B$8:$B$19,C5300)</x:f>
        <x:v>0.14197530864197533</x:v>
      </x:c>
    </x:row>
    <x:row r="5301">
      <x:c r="A5301" s="379" t="n">
        <x:v>50952</x:v>
      </x:c>
      <x:c r="B5301" s="380" t="n">
        <x:v>2039</x:v>
      </x:c>
      <x:c r="C5301" s="380" t="n">
        <x:v>7</x:v>
      </x:c>
      <x:c r="D5301" s="380" t="str">
        <x:v>Jul</x:v>
      </x:c>
      <x:c r="E5301" s="380" t="n">
        <x:v>1</x:v>
      </x:c>
      <x:c r="F5301" s="380" t="n">
        <x:v>5</x:v>
      </x:c>
      <x:c r="G5301" s="380" t="n">
        <x:f>--(F5301&lt;='Estimator'!$B$7)</x:f>
        <x:v>1</x:v>
      </x:c>
      <x:c r="H5301" s="381" t="n">
        <x:f>SUMIFS('Climate Data'!$G$7:$G$366,'Climate Data'!$A$7:$A$366,'Estimator'!$B$4,'Climate Data'!$B$7:$B$366,C5301)</x:f>
        <x:v>0.49078341013824883</x:v>
      </x:c>
      <x:c r="I5301" s="382" t="n">
        <x:f>SUMIFS('Climate Data'!$H$7:$H$366,'Climate Data'!$A$7:$A$366,'Estimator'!$B$4,'Climate Data'!$B$7:$B$366,C5301)</x:f>
        <x:v>8.998122065727701</x:v>
      </x:c>
      <x:c r="J5301" s="381" t="n">
        <x:f>SUMIFS('Wind Proxy'!$H$8:$H$19,'Wind Proxy'!$A$8:$A$19,'Estimator'!$B$4,'Wind Proxy'!$B$8:$B$19,C5301)</x:f>
        <x:v>0.13739545997610514</x:v>
      </x:c>
    </x:row>
    <x:row r="5302">
      <x:c r="A5302" s="379" t="n">
        <x:v>50953</x:v>
      </x:c>
      <x:c r="B5302" s="380" t="n">
        <x:v>2039</x:v>
      </x:c>
      <x:c r="C5302" s="380" t="n">
        <x:v>7</x:v>
      </x:c>
      <x:c r="D5302" s="380" t="str">
        <x:v>Jul</x:v>
      </x:c>
      <x:c r="E5302" s="380" t="n">
        <x:v>2</x:v>
      </x:c>
      <x:c r="F5302" s="380" t="n">
        <x:v>6</x:v>
      </x:c>
      <x:c r="G5302" s="380" t="n">
        <x:f>--(F5302&lt;='Estimator'!$B$7)</x:f>
        <x:v>0</x:v>
      </x:c>
      <x:c r="H5302" s="381" t="n">
        <x:f>SUMIFS('Climate Data'!$G$7:$G$366,'Climate Data'!$A$7:$A$366,'Estimator'!$B$4,'Climate Data'!$B$7:$B$366,C5302)</x:f>
        <x:v>0.49078341013824883</x:v>
      </x:c>
      <x:c r="I5302" s="382" t="n">
        <x:f>SUMIFS('Climate Data'!$H$7:$H$366,'Climate Data'!$A$7:$A$366,'Estimator'!$B$4,'Climate Data'!$B$7:$B$366,C5302)</x:f>
        <x:v>8.998122065727701</x:v>
      </x:c>
      <x:c r="J5302" s="381" t="n">
        <x:f>SUMIFS('Wind Proxy'!$H$8:$H$19,'Wind Proxy'!$A$8:$A$19,'Estimator'!$B$4,'Wind Proxy'!$B$8:$B$19,C5302)</x:f>
        <x:v>0.13739545997610514</x:v>
      </x:c>
    </x:row>
    <x:row r="5303">
      <x:c r="A5303" s="379" t="n">
        <x:v>50954</x:v>
      </x:c>
      <x:c r="B5303" s="380" t="n">
        <x:v>2039</x:v>
      </x:c>
      <x:c r="C5303" s="380" t="n">
        <x:v>7</x:v>
      </x:c>
      <x:c r="D5303" s="380" t="str">
        <x:v>Jul</x:v>
      </x:c>
      <x:c r="E5303" s="380" t="n">
        <x:v>3</x:v>
      </x:c>
      <x:c r="F5303" s="380" t="n">
        <x:v>7</x:v>
      </x:c>
      <x:c r="G5303" s="380" t="n">
        <x:f>--(F5303&lt;='Estimator'!$B$7)</x:f>
        <x:v>0</x:v>
      </x:c>
      <x:c r="H5303" s="381" t="n">
        <x:f>SUMIFS('Climate Data'!$G$7:$G$366,'Climate Data'!$A$7:$A$366,'Estimator'!$B$4,'Climate Data'!$B$7:$B$366,C5303)</x:f>
        <x:v>0.49078341013824883</x:v>
      </x:c>
      <x:c r="I5303" s="382" t="n">
        <x:f>SUMIFS('Climate Data'!$H$7:$H$366,'Climate Data'!$A$7:$A$366,'Estimator'!$B$4,'Climate Data'!$B$7:$B$366,C5303)</x:f>
        <x:v>8.998122065727701</x:v>
      </x:c>
      <x:c r="J5303" s="381" t="n">
        <x:f>SUMIFS('Wind Proxy'!$H$8:$H$19,'Wind Proxy'!$A$8:$A$19,'Estimator'!$B$4,'Wind Proxy'!$B$8:$B$19,C5303)</x:f>
        <x:v>0.13739545997610514</x:v>
      </x:c>
    </x:row>
    <x:row r="5304">
      <x:c r="A5304" s="379" t="n">
        <x:v>50955</x:v>
      </x:c>
      <x:c r="B5304" s="380" t="n">
        <x:v>2039</x:v>
      </x:c>
      <x:c r="C5304" s="380" t="n">
        <x:v>7</x:v>
      </x:c>
      <x:c r="D5304" s="380" t="str">
        <x:v>Jul</x:v>
      </x:c>
      <x:c r="E5304" s="380" t="n">
        <x:v>4</x:v>
      </x:c>
      <x:c r="F5304" s="380" t="n">
        <x:v>1</x:v>
      </x:c>
      <x:c r="G5304" s="380" t="n">
        <x:f>--(F5304&lt;='Estimator'!$B$7)</x:f>
        <x:v>1</x:v>
      </x:c>
      <x:c r="H5304" s="381" t="n">
        <x:f>SUMIFS('Climate Data'!$G$7:$G$366,'Climate Data'!$A$7:$A$366,'Estimator'!$B$4,'Climate Data'!$B$7:$B$366,C5304)</x:f>
        <x:v>0.49078341013824883</x:v>
      </x:c>
      <x:c r="I5304" s="382" t="n">
        <x:f>SUMIFS('Climate Data'!$H$7:$H$366,'Climate Data'!$A$7:$A$366,'Estimator'!$B$4,'Climate Data'!$B$7:$B$366,C5304)</x:f>
        <x:v>8.998122065727701</x:v>
      </x:c>
      <x:c r="J5304" s="381" t="n">
        <x:f>SUMIFS('Wind Proxy'!$H$8:$H$19,'Wind Proxy'!$A$8:$A$19,'Estimator'!$B$4,'Wind Proxy'!$B$8:$B$19,C5304)</x:f>
        <x:v>0.13739545997610514</x:v>
      </x:c>
    </x:row>
    <x:row r="5305">
      <x:c r="A5305" s="379" t="n">
        <x:v>50956</x:v>
      </x:c>
      <x:c r="B5305" s="380" t="n">
        <x:v>2039</x:v>
      </x:c>
      <x:c r="C5305" s="380" t="n">
        <x:v>7</x:v>
      </x:c>
      <x:c r="D5305" s="380" t="str">
        <x:v>Jul</x:v>
      </x:c>
      <x:c r="E5305" s="380" t="n">
        <x:v>5</x:v>
      </x:c>
      <x:c r="F5305" s="380" t="n">
        <x:v>2</x:v>
      </x:c>
      <x:c r="G5305" s="380" t="n">
        <x:f>--(F5305&lt;='Estimator'!$B$7)</x:f>
        <x:v>1</x:v>
      </x:c>
      <x:c r="H5305" s="381" t="n">
        <x:f>SUMIFS('Climate Data'!$G$7:$G$366,'Climate Data'!$A$7:$A$366,'Estimator'!$B$4,'Climate Data'!$B$7:$B$366,C5305)</x:f>
        <x:v>0.49078341013824883</x:v>
      </x:c>
      <x:c r="I5305" s="382" t="n">
        <x:f>SUMIFS('Climate Data'!$H$7:$H$366,'Climate Data'!$A$7:$A$366,'Estimator'!$B$4,'Climate Data'!$B$7:$B$366,C5305)</x:f>
        <x:v>8.998122065727701</x:v>
      </x:c>
      <x:c r="J5305" s="381" t="n">
        <x:f>SUMIFS('Wind Proxy'!$H$8:$H$19,'Wind Proxy'!$A$8:$A$19,'Estimator'!$B$4,'Wind Proxy'!$B$8:$B$19,C5305)</x:f>
        <x:v>0.13739545997610514</x:v>
      </x:c>
    </x:row>
    <x:row r="5306">
      <x:c r="A5306" s="379" t="n">
        <x:v>50957</x:v>
      </x:c>
      <x:c r="B5306" s="380" t="n">
        <x:v>2039</x:v>
      </x:c>
      <x:c r="C5306" s="380" t="n">
        <x:v>7</x:v>
      </x:c>
      <x:c r="D5306" s="380" t="str">
        <x:v>Jul</x:v>
      </x:c>
      <x:c r="E5306" s="380" t="n">
        <x:v>6</x:v>
      </x:c>
      <x:c r="F5306" s="380" t="n">
        <x:v>3</x:v>
      </x:c>
      <x:c r="G5306" s="380" t="n">
        <x:f>--(F5306&lt;='Estimator'!$B$7)</x:f>
        <x:v>1</x:v>
      </x:c>
      <x:c r="H5306" s="381" t="n">
        <x:f>SUMIFS('Climate Data'!$G$7:$G$366,'Climate Data'!$A$7:$A$366,'Estimator'!$B$4,'Climate Data'!$B$7:$B$366,C5306)</x:f>
        <x:v>0.49078341013824883</x:v>
      </x:c>
      <x:c r="I5306" s="382" t="n">
        <x:f>SUMIFS('Climate Data'!$H$7:$H$366,'Climate Data'!$A$7:$A$366,'Estimator'!$B$4,'Climate Data'!$B$7:$B$366,C5306)</x:f>
        <x:v>8.998122065727701</x:v>
      </x:c>
      <x:c r="J5306" s="381" t="n">
        <x:f>SUMIFS('Wind Proxy'!$H$8:$H$19,'Wind Proxy'!$A$8:$A$19,'Estimator'!$B$4,'Wind Proxy'!$B$8:$B$19,C5306)</x:f>
        <x:v>0.13739545997610514</x:v>
      </x:c>
    </x:row>
    <x:row r="5307">
      <x:c r="A5307" s="379" t="n">
        <x:v>50958</x:v>
      </x:c>
      <x:c r="B5307" s="380" t="n">
        <x:v>2039</x:v>
      </x:c>
      <x:c r="C5307" s="380" t="n">
        <x:v>7</x:v>
      </x:c>
      <x:c r="D5307" s="380" t="str">
        <x:v>Jul</x:v>
      </x:c>
      <x:c r="E5307" s="380" t="n">
        <x:v>7</x:v>
      </x:c>
      <x:c r="F5307" s="380" t="n">
        <x:v>4</x:v>
      </x:c>
      <x:c r="G5307" s="380" t="n">
        <x:f>--(F5307&lt;='Estimator'!$B$7)</x:f>
        <x:v>1</x:v>
      </x:c>
      <x:c r="H5307" s="381" t="n">
        <x:f>SUMIFS('Climate Data'!$G$7:$G$366,'Climate Data'!$A$7:$A$366,'Estimator'!$B$4,'Climate Data'!$B$7:$B$366,C5307)</x:f>
        <x:v>0.49078341013824883</x:v>
      </x:c>
      <x:c r="I5307" s="382" t="n">
        <x:f>SUMIFS('Climate Data'!$H$7:$H$366,'Climate Data'!$A$7:$A$366,'Estimator'!$B$4,'Climate Data'!$B$7:$B$366,C5307)</x:f>
        <x:v>8.998122065727701</x:v>
      </x:c>
      <x:c r="J5307" s="381" t="n">
        <x:f>SUMIFS('Wind Proxy'!$H$8:$H$19,'Wind Proxy'!$A$8:$A$19,'Estimator'!$B$4,'Wind Proxy'!$B$8:$B$19,C5307)</x:f>
        <x:v>0.13739545997610514</x:v>
      </x:c>
    </x:row>
    <x:row r="5308">
      <x:c r="A5308" s="379" t="n">
        <x:v>50959</x:v>
      </x:c>
      <x:c r="B5308" s="380" t="n">
        <x:v>2039</x:v>
      </x:c>
      <x:c r="C5308" s="380" t="n">
        <x:v>7</x:v>
      </x:c>
      <x:c r="D5308" s="380" t="str">
        <x:v>Jul</x:v>
      </x:c>
      <x:c r="E5308" s="380" t="n">
        <x:v>8</x:v>
      </x:c>
      <x:c r="F5308" s="380" t="n">
        <x:v>5</x:v>
      </x:c>
      <x:c r="G5308" s="380" t="n">
        <x:f>--(F5308&lt;='Estimator'!$B$7)</x:f>
        <x:v>1</x:v>
      </x:c>
      <x:c r="H5308" s="381" t="n">
        <x:f>SUMIFS('Climate Data'!$G$7:$G$366,'Climate Data'!$A$7:$A$366,'Estimator'!$B$4,'Climate Data'!$B$7:$B$366,C5308)</x:f>
        <x:v>0.49078341013824883</x:v>
      </x:c>
      <x:c r="I5308" s="382" t="n">
        <x:f>SUMIFS('Climate Data'!$H$7:$H$366,'Climate Data'!$A$7:$A$366,'Estimator'!$B$4,'Climate Data'!$B$7:$B$366,C5308)</x:f>
        <x:v>8.998122065727701</x:v>
      </x:c>
      <x:c r="J5308" s="381" t="n">
        <x:f>SUMIFS('Wind Proxy'!$H$8:$H$19,'Wind Proxy'!$A$8:$A$19,'Estimator'!$B$4,'Wind Proxy'!$B$8:$B$19,C5308)</x:f>
        <x:v>0.13739545997610514</x:v>
      </x:c>
    </x:row>
    <x:row r="5309">
      <x:c r="A5309" s="379" t="n">
        <x:v>50960</x:v>
      </x:c>
      <x:c r="B5309" s="380" t="n">
        <x:v>2039</x:v>
      </x:c>
      <x:c r="C5309" s="380" t="n">
        <x:v>7</x:v>
      </x:c>
      <x:c r="D5309" s="380" t="str">
        <x:v>Jul</x:v>
      </x:c>
      <x:c r="E5309" s="380" t="n">
        <x:v>9</x:v>
      </x:c>
      <x:c r="F5309" s="380" t="n">
        <x:v>6</x:v>
      </x:c>
      <x:c r="G5309" s="380" t="n">
        <x:f>--(F5309&lt;='Estimator'!$B$7)</x:f>
        <x:v>0</x:v>
      </x:c>
      <x:c r="H5309" s="381" t="n">
        <x:f>SUMIFS('Climate Data'!$G$7:$G$366,'Climate Data'!$A$7:$A$366,'Estimator'!$B$4,'Climate Data'!$B$7:$B$366,C5309)</x:f>
        <x:v>0.49078341013824883</x:v>
      </x:c>
      <x:c r="I5309" s="382" t="n">
        <x:f>SUMIFS('Climate Data'!$H$7:$H$366,'Climate Data'!$A$7:$A$366,'Estimator'!$B$4,'Climate Data'!$B$7:$B$366,C5309)</x:f>
        <x:v>8.998122065727701</x:v>
      </x:c>
      <x:c r="J5309" s="381" t="n">
        <x:f>SUMIFS('Wind Proxy'!$H$8:$H$19,'Wind Proxy'!$A$8:$A$19,'Estimator'!$B$4,'Wind Proxy'!$B$8:$B$19,C5309)</x:f>
        <x:v>0.13739545997610514</x:v>
      </x:c>
    </x:row>
    <x:row r="5310">
      <x:c r="A5310" s="379" t="n">
        <x:v>50961</x:v>
      </x:c>
      <x:c r="B5310" s="380" t="n">
        <x:v>2039</x:v>
      </x:c>
      <x:c r="C5310" s="380" t="n">
        <x:v>7</x:v>
      </x:c>
      <x:c r="D5310" s="380" t="str">
        <x:v>Jul</x:v>
      </x:c>
      <x:c r="E5310" s="380" t="n">
        <x:v>10</x:v>
      </x:c>
      <x:c r="F5310" s="380" t="n">
        <x:v>7</x:v>
      </x:c>
      <x:c r="G5310" s="380" t="n">
        <x:f>--(F5310&lt;='Estimator'!$B$7)</x:f>
        <x:v>0</x:v>
      </x:c>
      <x:c r="H5310" s="381" t="n">
        <x:f>SUMIFS('Climate Data'!$G$7:$G$366,'Climate Data'!$A$7:$A$366,'Estimator'!$B$4,'Climate Data'!$B$7:$B$366,C5310)</x:f>
        <x:v>0.49078341013824883</x:v>
      </x:c>
      <x:c r="I5310" s="382" t="n">
        <x:f>SUMIFS('Climate Data'!$H$7:$H$366,'Climate Data'!$A$7:$A$366,'Estimator'!$B$4,'Climate Data'!$B$7:$B$366,C5310)</x:f>
        <x:v>8.998122065727701</x:v>
      </x:c>
      <x:c r="J5310" s="381" t="n">
        <x:f>SUMIFS('Wind Proxy'!$H$8:$H$19,'Wind Proxy'!$A$8:$A$19,'Estimator'!$B$4,'Wind Proxy'!$B$8:$B$19,C5310)</x:f>
        <x:v>0.13739545997610514</x:v>
      </x:c>
    </x:row>
    <x:row r="5311">
      <x:c r="A5311" s="379" t="n">
        <x:v>50962</x:v>
      </x:c>
      <x:c r="B5311" s="380" t="n">
        <x:v>2039</x:v>
      </x:c>
      <x:c r="C5311" s="380" t="n">
        <x:v>7</x:v>
      </x:c>
      <x:c r="D5311" s="380" t="str">
        <x:v>Jul</x:v>
      </x:c>
      <x:c r="E5311" s="380" t="n">
        <x:v>11</x:v>
      </x:c>
      <x:c r="F5311" s="380" t="n">
        <x:v>1</x:v>
      </x:c>
      <x:c r="G5311" s="380" t="n">
        <x:f>--(F5311&lt;='Estimator'!$B$7)</x:f>
        <x:v>1</x:v>
      </x:c>
      <x:c r="H5311" s="381" t="n">
        <x:f>SUMIFS('Climate Data'!$G$7:$G$366,'Climate Data'!$A$7:$A$366,'Estimator'!$B$4,'Climate Data'!$B$7:$B$366,C5311)</x:f>
        <x:v>0.49078341013824883</x:v>
      </x:c>
      <x:c r="I5311" s="382" t="n">
        <x:f>SUMIFS('Climate Data'!$H$7:$H$366,'Climate Data'!$A$7:$A$366,'Estimator'!$B$4,'Climate Data'!$B$7:$B$366,C5311)</x:f>
        <x:v>8.998122065727701</x:v>
      </x:c>
      <x:c r="J5311" s="381" t="n">
        <x:f>SUMIFS('Wind Proxy'!$H$8:$H$19,'Wind Proxy'!$A$8:$A$19,'Estimator'!$B$4,'Wind Proxy'!$B$8:$B$19,C5311)</x:f>
        <x:v>0.13739545997610514</x:v>
      </x:c>
    </x:row>
    <x:row r="5312">
      <x:c r="A5312" s="379" t="n">
        <x:v>50963</x:v>
      </x:c>
      <x:c r="B5312" s="380" t="n">
        <x:v>2039</x:v>
      </x:c>
      <x:c r="C5312" s="380" t="n">
        <x:v>7</x:v>
      </x:c>
      <x:c r="D5312" s="380" t="str">
        <x:v>Jul</x:v>
      </x:c>
      <x:c r="E5312" s="380" t="n">
        <x:v>12</x:v>
      </x:c>
      <x:c r="F5312" s="380" t="n">
        <x:v>2</x:v>
      </x:c>
      <x:c r="G5312" s="380" t="n">
        <x:f>--(F5312&lt;='Estimator'!$B$7)</x:f>
        <x:v>1</x:v>
      </x:c>
      <x:c r="H5312" s="381" t="n">
        <x:f>SUMIFS('Climate Data'!$G$7:$G$366,'Climate Data'!$A$7:$A$366,'Estimator'!$B$4,'Climate Data'!$B$7:$B$366,C5312)</x:f>
        <x:v>0.49078341013824883</x:v>
      </x:c>
      <x:c r="I5312" s="382" t="n">
        <x:f>SUMIFS('Climate Data'!$H$7:$H$366,'Climate Data'!$A$7:$A$366,'Estimator'!$B$4,'Climate Data'!$B$7:$B$366,C5312)</x:f>
        <x:v>8.998122065727701</x:v>
      </x:c>
      <x:c r="J5312" s="381" t="n">
        <x:f>SUMIFS('Wind Proxy'!$H$8:$H$19,'Wind Proxy'!$A$8:$A$19,'Estimator'!$B$4,'Wind Proxy'!$B$8:$B$19,C5312)</x:f>
        <x:v>0.13739545997610514</x:v>
      </x:c>
    </x:row>
    <x:row r="5313">
      <x:c r="A5313" s="379" t="n">
        <x:v>50964</x:v>
      </x:c>
      <x:c r="B5313" s="380" t="n">
        <x:v>2039</x:v>
      </x:c>
      <x:c r="C5313" s="380" t="n">
        <x:v>7</x:v>
      </x:c>
      <x:c r="D5313" s="380" t="str">
        <x:v>Jul</x:v>
      </x:c>
      <x:c r="E5313" s="380" t="n">
        <x:v>13</x:v>
      </x:c>
      <x:c r="F5313" s="380" t="n">
        <x:v>3</x:v>
      </x:c>
      <x:c r="G5313" s="380" t="n">
        <x:f>--(F5313&lt;='Estimator'!$B$7)</x:f>
        <x:v>1</x:v>
      </x:c>
      <x:c r="H5313" s="381" t="n">
        <x:f>SUMIFS('Climate Data'!$G$7:$G$366,'Climate Data'!$A$7:$A$366,'Estimator'!$B$4,'Climate Data'!$B$7:$B$366,C5313)</x:f>
        <x:v>0.49078341013824883</x:v>
      </x:c>
      <x:c r="I5313" s="382" t="n">
        <x:f>SUMIFS('Climate Data'!$H$7:$H$366,'Climate Data'!$A$7:$A$366,'Estimator'!$B$4,'Climate Data'!$B$7:$B$366,C5313)</x:f>
        <x:v>8.998122065727701</x:v>
      </x:c>
      <x:c r="J5313" s="381" t="n">
        <x:f>SUMIFS('Wind Proxy'!$H$8:$H$19,'Wind Proxy'!$A$8:$A$19,'Estimator'!$B$4,'Wind Proxy'!$B$8:$B$19,C5313)</x:f>
        <x:v>0.13739545997610514</x:v>
      </x:c>
    </x:row>
    <x:row r="5314">
      <x:c r="A5314" s="379" t="n">
        <x:v>50965</x:v>
      </x:c>
      <x:c r="B5314" s="380" t="n">
        <x:v>2039</x:v>
      </x:c>
      <x:c r="C5314" s="380" t="n">
        <x:v>7</x:v>
      </x:c>
      <x:c r="D5314" s="380" t="str">
        <x:v>Jul</x:v>
      </x:c>
      <x:c r="E5314" s="380" t="n">
        <x:v>14</x:v>
      </x:c>
      <x:c r="F5314" s="380" t="n">
        <x:v>4</x:v>
      </x:c>
      <x:c r="G5314" s="380" t="n">
        <x:f>--(F5314&lt;='Estimator'!$B$7)</x:f>
        <x:v>1</x:v>
      </x:c>
      <x:c r="H5314" s="381" t="n">
        <x:f>SUMIFS('Climate Data'!$G$7:$G$366,'Climate Data'!$A$7:$A$366,'Estimator'!$B$4,'Climate Data'!$B$7:$B$366,C5314)</x:f>
        <x:v>0.49078341013824883</x:v>
      </x:c>
      <x:c r="I5314" s="382" t="n">
        <x:f>SUMIFS('Climate Data'!$H$7:$H$366,'Climate Data'!$A$7:$A$366,'Estimator'!$B$4,'Climate Data'!$B$7:$B$366,C5314)</x:f>
        <x:v>8.998122065727701</x:v>
      </x:c>
      <x:c r="J5314" s="381" t="n">
        <x:f>SUMIFS('Wind Proxy'!$H$8:$H$19,'Wind Proxy'!$A$8:$A$19,'Estimator'!$B$4,'Wind Proxy'!$B$8:$B$19,C5314)</x:f>
        <x:v>0.13739545997610514</x:v>
      </x:c>
    </x:row>
    <x:row r="5315">
      <x:c r="A5315" s="379" t="n">
        <x:v>50966</x:v>
      </x:c>
      <x:c r="B5315" s="380" t="n">
        <x:v>2039</x:v>
      </x:c>
      <x:c r="C5315" s="380" t="n">
        <x:v>7</x:v>
      </x:c>
      <x:c r="D5315" s="380" t="str">
        <x:v>Jul</x:v>
      </x:c>
      <x:c r="E5315" s="380" t="n">
        <x:v>15</x:v>
      </x:c>
      <x:c r="F5315" s="380" t="n">
        <x:v>5</x:v>
      </x:c>
      <x:c r="G5315" s="380" t="n">
        <x:f>--(F5315&lt;='Estimator'!$B$7)</x:f>
        <x:v>1</x:v>
      </x:c>
      <x:c r="H5315" s="381" t="n">
        <x:f>SUMIFS('Climate Data'!$G$7:$G$366,'Climate Data'!$A$7:$A$366,'Estimator'!$B$4,'Climate Data'!$B$7:$B$366,C5315)</x:f>
        <x:v>0.49078341013824883</x:v>
      </x:c>
      <x:c r="I5315" s="382" t="n">
        <x:f>SUMIFS('Climate Data'!$H$7:$H$366,'Climate Data'!$A$7:$A$366,'Estimator'!$B$4,'Climate Data'!$B$7:$B$366,C5315)</x:f>
        <x:v>8.998122065727701</x:v>
      </x:c>
      <x:c r="J5315" s="381" t="n">
        <x:f>SUMIFS('Wind Proxy'!$H$8:$H$19,'Wind Proxy'!$A$8:$A$19,'Estimator'!$B$4,'Wind Proxy'!$B$8:$B$19,C5315)</x:f>
        <x:v>0.13739545997610514</x:v>
      </x:c>
    </x:row>
    <x:row r="5316">
      <x:c r="A5316" s="379" t="n">
        <x:v>50967</x:v>
      </x:c>
      <x:c r="B5316" s="380" t="n">
        <x:v>2039</x:v>
      </x:c>
      <x:c r="C5316" s="380" t="n">
        <x:v>7</x:v>
      </x:c>
      <x:c r="D5316" s="380" t="str">
        <x:v>Jul</x:v>
      </x:c>
      <x:c r="E5316" s="380" t="n">
        <x:v>16</x:v>
      </x:c>
      <x:c r="F5316" s="380" t="n">
        <x:v>6</x:v>
      </x:c>
      <x:c r="G5316" s="380" t="n">
        <x:f>--(F5316&lt;='Estimator'!$B$7)</x:f>
        <x:v>0</x:v>
      </x:c>
      <x:c r="H5316" s="381" t="n">
        <x:f>SUMIFS('Climate Data'!$G$7:$G$366,'Climate Data'!$A$7:$A$366,'Estimator'!$B$4,'Climate Data'!$B$7:$B$366,C5316)</x:f>
        <x:v>0.49078341013824883</x:v>
      </x:c>
      <x:c r="I5316" s="382" t="n">
        <x:f>SUMIFS('Climate Data'!$H$7:$H$366,'Climate Data'!$A$7:$A$366,'Estimator'!$B$4,'Climate Data'!$B$7:$B$366,C5316)</x:f>
        <x:v>8.998122065727701</x:v>
      </x:c>
      <x:c r="J5316" s="381" t="n">
        <x:f>SUMIFS('Wind Proxy'!$H$8:$H$19,'Wind Proxy'!$A$8:$A$19,'Estimator'!$B$4,'Wind Proxy'!$B$8:$B$19,C5316)</x:f>
        <x:v>0.13739545997610514</x:v>
      </x:c>
    </x:row>
    <x:row r="5317">
      <x:c r="A5317" s="379" t="n">
        <x:v>50968</x:v>
      </x:c>
      <x:c r="B5317" s="380" t="n">
        <x:v>2039</x:v>
      </x:c>
      <x:c r="C5317" s="380" t="n">
        <x:v>7</x:v>
      </x:c>
      <x:c r="D5317" s="380" t="str">
        <x:v>Jul</x:v>
      </x:c>
      <x:c r="E5317" s="380" t="n">
        <x:v>17</x:v>
      </x:c>
      <x:c r="F5317" s="380" t="n">
        <x:v>7</x:v>
      </x:c>
      <x:c r="G5317" s="380" t="n">
        <x:f>--(F5317&lt;='Estimator'!$B$7)</x:f>
        <x:v>0</x:v>
      </x:c>
      <x:c r="H5317" s="381" t="n">
        <x:f>SUMIFS('Climate Data'!$G$7:$G$366,'Climate Data'!$A$7:$A$366,'Estimator'!$B$4,'Climate Data'!$B$7:$B$366,C5317)</x:f>
        <x:v>0.49078341013824883</x:v>
      </x:c>
      <x:c r="I5317" s="382" t="n">
        <x:f>SUMIFS('Climate Data'!$H$7:$H$366,'Climate Data'!$A$7:$A$366,'Estimator'!$B$4,'Climate Data'!$B$7:$B$366,C5317)</x:f>
        <x:v>8.998122065727701</x:v>
      </x:c>
      <x:c r="J5317" s="381" t="n">
        <x:f>SUMIFS('Wind Proxy'!$H$8:$H$19,'Wind Proxy'!$A$8:$A$19,'Estimator'!$B$4,'Wind Proxy'!$B$8:$B$19,C5317)</x:f>
        <x:v>0.13739545997610514</x:v>
      </x:c>
    </x:row>
    <x:row r="5318">
      <x:c r="A5318" s="379" t="n">
        <x:v>50969</x:v>
      </x:c>
      <x:c r="B5318" s="380" t="n">
        <x:v>2039</x:v>
      </x:c>
      <x:c r="C5318" s="380" t="n">
        <x:v>7</x:v>
      </x:c>
      <x:c r="D5318" s="380" t="str">
        <x:v>Jul</x:v>
      </x:c>
      <x:c r="E5318" s="380" t="n">
        <x:v>18</x:v>
      </x:c>
      <x:c r="F5318" s="380" t="n">
        <x:v>1</x:v>
      </x:c>
      <x:c r="G5318" s="380" t="n">
        <x:f>--(F5318&lt;='Estimator'!$B$7)</x:f>
        <x:v>1</x:v>
      </x:c>
      <x:c r="H5318" s="381" t="n">
        <x:f>SUMIFS('Climate Data'!$G$7:$G$366,'Climate Data'!$A$7:$A$366,'Estimator'!$B$4,'Climate Data'!$B$7:$B$366,C5318)</x:f>
        <x:v>0.49078341013824883</x:v>
      </x:c>
      <x:c r="I5318" s="382" t="n">
        <x:f>SUMIFS('Climate Data'!$H$7:$H$366,'Climate Data'!$A$7:$A$366,'Estimator'!$B$4,'Climate Data'!$B$7:$B$366,C5318)</x:f>
        <x:v>8.998122065727701</x:v>
      </x:c>
      <x:c r="J5318" s="381" t="n">
        <x:f>SUMIFS('Wind Proxy'!$H$8:$H$19,'Wind Proxy'!$A$8:$A$19,'Estimator'!$B$4,'Wind Proxy'!$B$8:$B$19,C5318)</x:f>
        <x:v>0.13739545997610514</x:v>
      </x:c>
    </x:row>
    <x:row r="5319">
      <x:c r="A5319" s="379" t="n">
        <x:v>50970</x:v>
      </x:c>
      <x:c r="B5319" s="380" t="n">
        <x:v>2039</x:v>
      </x:c>
      <x:c r="C5319" s="380" t="n">
        <x:v>7</x:v>
      </x:c>
      <x:c r="D5319" s="380" t="str">
        <x:v>Jul</x:v>
      </x:c>
      <x:c r="E5319" s="380" t="n">
        <x:v>19</x:v>
      </x:c>
      <x:c r="F5319" s="380" t="n">
        <x:v>2</x:v>
      </x:c>
      <x:c r="G5319" s="380" t="n">
        <x:f>--(F5319&lt;='Estimator'!$B$7)</x:f>
        <x:v>1</x:v>
      </x:c>
      <x:c r="H5319" s="381" t="n">
        <x:f>SUMIFS('Climate Data'!$G$7:$G$366,'Climate Data'!$A$7:$A$366,'Estimator'!$B$4,'Climate Data'!$B$7:$B$366,C5319)</x:f>
        <x:v>0.49078341013824883</x:v>
      </x:c>
      <x:c r="I5319" s="382" t="n">
        <x:f>SUMIFS('Climate Data'!$H$7:$H$366,'Climate Data'!$A$7:$A$366,'Estimator'!$B$4,'Climate Data'!$B$7:$B$366,C5319)</x:f>
        <x:v>8.998122065727701</x:v>
      </x:c>
      <x:c r="J5319" s="381" t="n">
        <x:f>SUMIFS('Wind Proxy'!$H$8:$H$19,'Wind Proxy'!$A$8:$A$19,'Estimator'!$B$4,'Wind Proxy'!$B$8:$B$19,C5319)</x:f>
        <x:v>0.13739545997610514</x:v>
      </x:c>
    </x:row>
    <x:row r="5320">
      <x:c r="A5320" s="379" t="n">
        <x:v>50971</x:v>
      </x:c>
      <x:c r="B5320" s="380" t="n">
        <x:v>2039</x:v>
      </x:c>
      <x:c r="C5320" s="380" t="n">
        <x:v>7</x:v>
      </x:c>
      <x:c r="D5320" s="380" t="str">
        <x:v>Jul</x:v>
      </x:c>
      <x:c r="E5320" s="380" t="n">
        <x:v>20</x:v>
      </x:c>
      <x:c r="F5320" s="380" t="n">
        <x:v>3</x:v>
      </x:c>
      <x:c r="G5320" s="380" t="n">
        <x:f>--(F5320&lt;='Estimator'!$B$7)</x:f>
        <x:v>1</x:v>
      </x:c>
      <x:c r="H5320" s="381" t="n">
        <x:f>SUMIFS('Climate Data'!$G$7:$G$366,'Climate Data'!$A$7:$A$366,'Estimator'!$B$4,'Climate Data'!$B$7:$B$366,C5320)</x:f>
        <x:v>0.49078341013824883</x:v>
      </x:c>
      <x:c r="I5320" s="382" t="n">
        <x:f>SUMIFS('Climate Data'!$H$7:$H$366,'Climate Data'!$A$7:$A$366,'Estimator'!$B$4,'Climate Data'!$B$7:$B$366,C5320)</x:f>
        <x:v>8.998122065727701</x:v>
      </x:c>
      <x:c r="J5320" s="381" t="n">
        <x:f>SUMIFS('Wind Proxy'!$H$8:$H$19,'Wind Proxy'!$A$8:$A$19,'Estimator'!$B$4,'Wind Proxy'!$B$8:$B$19,C5320)</x:f>
        <x:v>0.13739545997610514</x:v>
      </x:c>
    </x:row>
    <x:row r="5321">
      <x:c r="A5321" s="379" t="n">
        <x:v>50972</x:v>
      </x:c>
      <x:c r="B5321" s="380" t="n">
        <x:v>2039</x:v>
      </x:c>
      <x:c r="C5321" s="380" t="n">
        <x:v>7</x:v>
      </x:c>
      <x:c r="D5321" s="380" t="str">
        <x:v>Jul</x:v>
      </x:c>
      <x:c r="E5321" s="380" t="n">
        <x:v>21</x:v>
      </x:c>
      <x:c r="F5321" s="380" t="n">
        <x:v>4</x:v>
      </x:c>
      <x:c r="G5321" s="380" t="n">
        <x:f>--(F5321&lt;='Estimator'!$B$7)</x:f>
        <x:v>1</x:v>
      </x:c>
      <x:c r="H5321" s="381" t="n">
        <x:f>SUMIFS('Climate Data'!$G$7:$G$366,'Climate Data'!$A$7:$A$366,'Estimator'!$B$4,'Climate Data'!$B$7:$B$366,C5321)</x:f>
        <x:v>0.49078341013824883</x:v>
      </x:c>
      <x:c r="I5321" s="382" t="n">
        <x:f>SUMIFS('Climate Data'!$H$7:$H$366,'Climate Data'!$A$7:$A$366,'Estimator'!$B$4,'Climate Data'!$B$7:$B$366,C5321)</x:f>
        <x:v>8.998122065727701</x:v>
      </x:c>
      <x:c r="J5321" s="381" t="n">
        <x:f>SUMIFS('Wind Proxy'!$H$8:$H$19,'Wind Proxy'!$A$8:$A$19,'Estimator'!$B$4,'Wind Proxy'!$B$8:$B$19,C5321)</x:f>
        <x:v>0.13739545997610514</x:v>
      </x:c>
    </x:row>
    <x:row r="5322">
      <x:c r="A5322" s="379" t="n">
        <x:v>50973</x:v>
      </x:c>
      <x:c r="B5322" s="380" t="n">
        <x:v>2039</x:v>
      </x:c>
      <x:c r="C5322" s="380" t="n">
        <x:v>7</x:v>
      </x:c>
      <x:c r="D5322" s="380" t="str">
        <x:v>Jul</x:v>
      </x:c>
      <x:c r="E5322" s="380" t="n">
        <x:v>22</x:v>
      </x:c>
      <x:c r="F5322" s="380" t="n">
        <x:v>5</x:v>
      </x:c>
      <x:c r="G5322" s="380" t="n">
        <x:f>--(F5322&lt;='Estimator'!$B$7)</x:f>
        <x:v>1</x:v>
      </x:c>
      <x:c r="H5322" s="381" t="n">
        <x:f>SUMIFS('Climate Data'!$G$7:$G$366,'Climate Data'!$A$7:$A$366,'Estimator'!$B$4,'Climate Data'!$B$7:$B$366,C5322)</x:f>
        <x:v>0.49078341013824883</x:v>
      </x:c>
      <x:c r="I5322" s="382" t="n">
        <x:f>SUMIFS('Climate Data'!$H$7:$H$366,'Climate Data'!$A$7:$A$366,'Estimator'!$B$4,'Climate Data'!$B$7:$B$366,C5322)</x:f>
        <x:v>8.998122065727701</x:v>
      </x:c>
      <x:c r="J5322" s="381" t="n">
        <x:f>SUMIFS('Wind Proxy'!$H$8:$H$19,'Wind Proxy'!$A$8:$A$19,'Estimator'!$B$4,'Wind Proxy'!$B$8:$B$19,C5322)</x:f>
        <x:v>0.13739545997610514</x:v>
      </x:c>
    </x:row>
    <x:row r="5323">
      <x:c r="A5323" s="379" t="n">
        <x:v>50974</x:v>
      </x:c>
      <x:c r="B5323" s="380" t="n">
        <x:v>2039</x:v>
      </x:c>
      <x:c r="C5323" s="380" t="n">
        <x:v>7</x:v>
      </x:c>
      <x:c r="D5323" s="380" t="str">
        <x:v>Jul</x:v>
      </x:c>
      <x:c r="E5323" s="380" t="n">
        <x:v>23</x:v>
      </x:c>
      <x:c r="F5323" s="380" t="n">
        <x:v>6</x:v>
      </x:c>
      <x:c r="G5323" s="380" t="n">
        <x:f>--(F5323&lt;='Estimator'!$B$7)</x:f>
        <x:v>0</x:v>
      </x:c>
      <x:c r="H5323" s="381" t="n">
        <x:f>SUMIFS('Climate Data'!$G$7:$G$366,'Climate Data'!$A$7:$A$366,'Estimator'!$B$4,'Climate Data'!$B$7:$B$366,C5323)</x:f>
        <x:v>0.49078341013824883</x:v>
      </x:c>
      <x:c r="I5323" s="382" t="n">
        <x:f>SUMIFS('Climate Data'!$H$7:$H$366,'Climate Data'!$A$7:$A$366,'Estimator'!$B$4,'Climate Data'!$B$7:$B$366,C5323)</x:f>
        <x:v>8.998122065727701</x:v>
      </x:c>
      <x:c r="J5323" s="381" t="n">
        <x:f>SUMIFS('Wind Proxy'!$H$8:$H$19,'Wind Proxy'!$A$8:$A$19,'Estimator'!$B$4,'Wind Proxy'!$B$8:$B$19,C5323)</x:f>
        <x:v>0.13739545997610514</x:v>
      </x:c>
    </x:row>
    <x:row r="5324">
      <x:c r="A5324" s="379" t="n">
        <x:v>50975</x:v>
      </x:c>
      <x:c r="B5324" s="380" t="n">
        <x:v>2039</x:v>
      </x:c>
      <x:c r="C5324" s="380" t="n">
        <x:v>7</x:v>
      </x:c>
      <x:c r="D5324" s="380" t="str">
        <x:v>Jul</x:v>
      </x:c>
      <x:c r="E5324" s="380" t="n">
        <x:v>24</x:v>
      </x:c>
      <x:c r="F5324" s="380" t="n">
        <x:v>7</x:v>
      </x:c>
      <x:c r="G5324" s="380" t="n">
        <x:f>--(F5324&lt;='Estimator'!$B$7)</x:f>
        <x:v>0</x:v>
      </x:c>
      <x:c r="H5324" s="381" t="n">
        <x:f>SUMIFS('Climate Data'!$G$7:$G$366,'Climate Data'!$A$7:$A$366,'Estimator'!$B$4,'Climate Data'!$B$7:$B$366,C5324)</x:f>
        <x:v>0.49078341013824883</x:v>
      </x:c>
      <x:c r="I5324" s="382" t="n">
        <x:f>SUMIFS('Climate Data'!$H$7:$H$366,'Climate Data'!$A$7:$A$366,'Estimator'!$B$4,'Climate Data'!$B$7:$B$366,C5324)</x:f>
        <x:v>8.998122065727701</x:v>
      </x:c>
      <x:c r="J5324" s="381" t="n">
        <x:f>SUMIFS('Wind Proxy'!$H$8:$H$19,'Wind Proxy'!$A$8:$A$19,'Estimator'!$B$4,'Wind Proxy'!$B$8:$B$19,C5324)</x:f>
        <x:v>0.13739545997610514</x:v>
      </x:c>
    </x:row>
    <x:row r="5325">
      <x:c r="A5325" s="379" t="n">
        <x:v>50976</x:v>
      </x:c>
      <x:c r="B5325" s="380" t="n">
        <x:v>2039</x:v>
      </x:c>
      <x:c r="C5325" s="380" t="n">
        <x:v>7</x:v>
      </x:c>
      <x:c r="D5325" s="380" t="str">
        <x:v>Jul</x:v>
      </x:c>
      <x:c r="E5325" s="380" t="n">
        <x:v>25</x:v>
      </x:c>
      <x:c r="F5325" s="380" t="n">
        <x:v>1</x:v>
      </x:c>
      <x:c r="G5325" s="380" t="n">
        <x:f>--(F5325&lt;='Estimator'!$B$7)</x:f>
        <x:v>1</x:v>
      </x:c>
      <x:c r="H5325" s="381" t="n">
        <x:f>SUMIFS('Climate Data'!$G$7:$G$366,'Climate Data'!$A$7:$A$366,'Estimator'!$B$4,'Climate Data'!$B$7:$B$366,C5325)</x:f>
        <x:v>0.49078341013824883</x:v>
      </x:c>
      <x:c r="I5325" s="382" t="n">
        <x:f>SUMIFS('Climate Data'!$H$7:$H$366,'Climate Data'!$A$7:$A$366,'Estimator'!$B$4,'Climate Data'!$B$7:$B$366,C5325)</x:f>
        <x:v>8.998122065727701</x:v>
      </x:c>
      <x:c r="J5325" s="381" t="n">
        <x:f>SUMIFS('Wind Proxy'!$H$8:$H$19,'Wind Proxy'!$A$8:$A$19,'Estimator'!$B$4,'Wind Proxy'!$B$8:$B$19,C5325)</x:f>
        <x:v>0.13739545997610514</x:v>
      </x:c>
    </x:row>
    <x:row r="5326">
      <x:c r="A5326" s="379" t="n">
        <x:v>50977</x:v>
      </x:c>
      <x:c r="B5326" s="380" t="n">
        <x:v>2039</x:v>
      </x:c>
      <x:c r="C5326" s="380" t="n">
        <x:v>7</x:v>
      </x:c>
      <x:c r="D5326" s="380" t="str">
        <x:v>Jul</x:v>
      </x:c>
      <x:c r="E5326" s="380" t="n">
        <x:v>26</x:v>
      </x:c>
      <x:c r="F5326" s="380" t="n">
        <x:v>2</x:v>
      </x:c>
      <x:c r="G5326" s="380" t="n">
        <x:f>--(F5326&lt;='Estimator'!$B$7)</x:f>
        <x:v>1</x:v>
      </x:c>
      <x:c r="H5326" s="381" t="n">
        <x:f>SUMIFS('Climate Data'!$G$7:$G$366,'Climate Data'!$A$7:$A$366,'Estimator'!$B$4,'Climate Data'!$B$7:$B$366,C5326)</x:f>
        <x:v>0.49078341013824883</x:v>
      </x:c>
      <x:c r="I5326" s="382" t="n">
        <x:f>SUMIFS('Climate Data'!$H$7:$H$366,'Climate Data'!$A$7:$A$366,'Estimator'!$B$4,'Climate Data'!$B$7:$B$366,C5326)</x:f>
        <x:v>8.998122065727701</x:v>
      </x:c>
      <x:c r="J5326" s="381" t="n">
        <x:f>SUMIFS('Wind Proxy'!$H$8:$H$19,'Wind Proxy'!$A$8:$A$19,'Estimator'!$B$4,'Wind Proxy'!$B$8:$B$19,C5326)</x:f>
        <x:v>0.13739545997610514</x:v>
      </x:c>
    </x:row>
    <x:row r="5327">
      <x:c r="A5327" s="379" t="n">
        <x:v>50978</x:v>
      </x:c>
      <x:c r="B5327" s="380" t="n">
        <x:v>2039</x:v>
      </x:c>
      <x:c r="C5327" s="380" t="n">
        <x:v>7</x:v>
      </x:c>
      <x:c r="D5327" s="380" t="str">
        <x:v>Jul</x:v>
      </x:c>
      <x:c r="E5327" s="380" t="n">
        <x:v>27</x:v>
      </x:c>
      <x:c r="F5327" s="380" t="n">
        <x:v>3</x:v>
      </x:c>
      <x:c r="G5327" s="380" t="n">
        <x:f>--(F5327&lt;='Estimator'!$B$7)</x:f>
        <x:v>1</x:v>
      </x:c>
      <x:c r="H5327" s="381" t="n">
        <x:f>SUMIFS('Climate Data'!$G$7:$G$366,'Climate Data'!$A$7:$A$366,'Estimator'!$B$4,'Climate Data'!$B$7:$B$366,C5327)</x:f>
        <x:v>0.49078341013824883</x:v>
      </x:c>
      <x:c r="I5327" s="382" t="n">
        <x:f>SUMIFS('Climate Data'!$H$7:$H$366,'Climate Data'!$A$7:$A$366,'Estimator'!$B$4,'Climate Data'!$B$7:$B$366,C5327)</x:f>
        <x:v>8.998122065727701</x:v>
      </x:c>
      <x:c r="J5327" s="381" t="n">
        <x:f>SUMIFS('Wind Proxy'!$H$8:$H$19,'Wind Proxy'!$A$8:$A$19,'Estimator'!$B$4,'Wind Proxy'!$B$8:$B$19,C5327)</x:f>
        <x:v>0.13739545997610514</x:v>
      </x:c>
    </x:row>
    <x:row r="5328">
      <x:c r="A5328" s="379" t="n">
        <x:v>50979</x:v>
      </x:c>
      <x:c r="B5328" s="380" t="n">
        <x:v>2039</x:v>
      </x:c>
      <x:c r="C5328" s="380" t="n">
        <x:v>7</x:v>
      </x:c>
      <x:c r="D5328" s="380" t="str">
        <x:v>Jul</x:v>
      </x:c>
      <x:c r="E5328" s="380" t="n">
        <x:v>28</x:v>
      </x:c>
      <x:c r="F5328" s="380" t="n">
        <x:v>4</x:v>
      </x:c>
      <x:c r="G5328" s="380" t="n">
        <x:f>--(F5328&lt;='Estimator'!$B$7)</x:f>
        <x:v>1</x:v>
      </x:c>
      <x:c r="H5328" s="381" t="n">
        <x:f>SUMIFS('Climate Data'!$G$7:$G$366,'Climate Data'!$A$7:$A$366,'Estimator'!$B$4,'Climate Data'!$B$7:$B$366,C5328)</x:f>
        <x:v>0.49078341013824883</x:v>
      </x:c>
      <x:c r="I5328" s="382" t="n">
        <x:f>SUMIFS('Climate Data'!$H$7:$H$366,'Climate Data'!$A$7:$A$366,'Estimator'!$B$4,'Climate Data'!$B$7:$B$366,C5328)</x:f>
        <x:v>8.998122065727701</x:v>
      </x:c>
      <x:c r="J5328" s="381" t="n">
        <x:f>SUMIFS('Wind Proxy'!$H$8:$H$19,'Wind Proxy'!$A$8:$A$19,'Estimator'!$B$4,'Wind Proxy'!$B$8:$B$19,C5328)</x:f>
        <x:v>0.13739545997610514</x:v>
      </x:c>
    </x:row>
    <x:row r="5329">
      <x:c r="A5329" s="379" t="n">
        <x:v>50980</x:v>
      </x:c>
      <x:c r="B5329" s="380" t="n">
        <x:v>2039</x:v>
      </x:c>
      <x:c r="C5329" s="380" t="n">
        <x:v>7</x:v>
      </x:c>
      <x:c r="D5329" s="380" t="str">
        <x:v>Jul</x:v>
      </x:c>
      <x:c r="E5329" s="380" t="n">
        <x:v>29</x:v>
      </x:c>
      <x:c r="F5329" s="380" t="n">
        <x:v>5</x:v>
      </x:c>
      <x:c r="G5329" s="380" t="n">
        <x:f>--(F5329&lt;='Estimator'!$B$7)</x:f>
        <x:v>1</x:v>
      </x:c>
      <x:c r="H5329" s="381" t="n">
        <x:f>SUMIFS('Climate Data'!$G$7:$G$366,'Climate Data'!$A$7:$A$366,'Estimator'!$B$4,'Climate Data'!$B$7:$B$366,C5329)</x:f>
        <x:v>0.49078341013824883</x:v>
      </x:c>
      <x:c r="I5329" s="382" t="n">
        <x:f>SUMIFS('Climate Data'!$H$7:$H$366,'Climate Data'!$A$7:$A$366,'Estimator'!$B$4,'Climate Data'!$B$7:$B$366,C5329)</x:f>
        <x:v>8.998122065727701</x:v>
      </x:c>
      <x:c r="J5329" s="381" t="n">
        <x:f>SUMIFS('Wind Proxy'!$H$8:$H$19,'Wind Proxy'!$A$8:$A$19,'Estimator'!$B$4,'Wind Proxy'!$B$8:$B$19,C5329)</x:f>
        <x:v>0.13739545997610514</x:v>
      </x:c>
    </x:row>
    <x:row r="5330">
      <x:c r="A5330" s="379" t="n">
        <x:v>50981</x:v>
      </x:c>
      <x:c r="B5330" s="380" t="n">
        <x:v>2039</x:v>
      </x:c>
      <x:c r="C5330" s="380" t="n">
        <x:v>7</x:v>
      </x:c>
      <x:c r="D5330" s="380" t="str">
        <x:v>Jul</x:v>
      </x:c>
      <x:c r="E5330" s="380" t="n">
        <x:v>30</x:v>
      </x:c>
      <x:c r="F5330" s="380" t="n">
        <x:v>6</x:v>
      </x:c>
      <x:c r="G5330" s="380" t="n">
        <x:f>--(F5330&lt;='Estimator'!$B$7)</x:f>
        <x:v>0</x:v>
      </x:c>
      <x:c r="H5330" s="381" t="n">
        <x:f>SUMIFS('Climate Data'!$G$7:$G$366,'Climate Data'!$A$7:$A$366,'Estimator'!$B$4,'Climate Data'!$B$7:$B$366,C5330)</x:f>
        <x:v>0.49078341013824883</x:v>
      </x:c>
      <x:c r="I5330" s="382" t="n">
        <x:f>SUMIFS('Climate Data'!$H$7:$H$366,'Climate Data'!$A$7:$A$366,'Estimator'!$B$4,'Climate Data'!$B$7:$B$366,C5330)</x:f>
        <x:v>8.998122065727701</x:v>
      </x:c>
      <x:c r="J5330" s="381" t="n">
        <x:f>SUMIFS('Wind Proxy'!$H$8:$H$19,'Wind Proxy'!$A$8:$A$19,'Estimator'!$B$4,'Wind Proxy'!$B$8:$B$19,C5330)</x:f>
        <x:v>0.13739545997610514</x:v>
      </x:c>
    </x:row>
    <x:row r="5331">
      <x:c r="A5331" s="379" t="n">
        <x:v>50982</x:v>
      </x:c>
      <x:c r="B5331" s="380" t="n">
        <x:v>2039</x:v>
      </x:c>
      <x:c r="C5331" s="380" t="n">
        <x:v>7</x:v>
      </x:c>
      <x:c r="D5331" s="380" t="str">
        <x:v>Jul</x:v>
      </x:c>
      <x:c r="E5331" s="380" t="n">
        <x:v>31</x:v>
      </x:c>
      <x:c r="F5331" s="380" t="n">
        <x:v>7</x:v>
      </x:c>
      <x:c r="G5331" s="380" t="n">
        <x:f>--(F5331&lt;='Estimator'!$B$7)</x:f>
        <x:v>0</x:v>
      </x:c>
      <x:c r="H5331" s="381" t="n">
        <x:f>SUMIFS('Climate Data'!$G$7:$G$366,'Climate Data'!$A$7:$A$366,'Estimator'!$B$4,'Climate Data'!$B$7:$B$366,C5331)</x:f>
        <x:v>0.49078341013824883</x:v>
      </x:c>
      <x:c r="I5331" s="382" t="n">
        <x:f>SUMIFS('Climate Data'!$H$7:$H$366,'Climate Data'!$A$7:$A$366,'Estimator'!$B$4,'Climate Data'!$B$7:$B$366,C5331)</x:f>
        <x:v>8.998122065727701</x:v>
      </x:c>
      <x:c r="J5331" s="381" t="n">
        <x:f>SUMIFS('Wind Proxy'!$H$8:$H$19,'Wind Proxy'!$A$8:$A$19,'Estimator'!$B$4,'Wind Proxy'!$B$8:$B$19,C5331)</x:f>
        <x:v>0.13739545997610514</x:v>
      </x:c>
    </x:row>
    <x:row r="5332">
      <x:c r="A5332" s="379" t="n">
        <x:v>50983</x:v>
      </x:c>
      <x:c r="B5332" s="380" t="n">
        <x:v>2039</x:v>
      </x:c>
      <x:c r="C5332" s="380" t="n">
        <x:v>8</x:v>
      </x:c>
      <x:c r="D5332" s="380" t="str">
        <x:v>Aug</x:v>
      </x:c>
      <x:c r="E5332" s="380" t="n">
        <x:v>1</x:v>
      </x:c>
      <x:c r="F5332" s="380" t="n">
        <x:v>1</x:v>
      </x:c>
      <x:c r="G5332" s="380" t="n">
        <x:f>--(F5332&lt;='Estimator'!$B$7)</x:f>
        <x:v>1</x:v>
      </x:c>
      <x:c r="H5332" s="381" t="n">
        <x:f>SUMIFS('Climate Data'!$G$7:$G$366,'Climate Data'!$A$7:$A$366,'Estimator'!$B$4,'Climate Data'!$B$7:$B$366,C5332)</x:f>
        <x:v>0.47274749721913234</x:v>
      </x:c>
      <x:c r="I5332" s="382" t="n">
        <x:f>SUMIFS('Climate Data'!$H$7:$H$366,'Climate Data'!$A$7:$A$366,'Estimator'!$B$4,'Climate Data'!$B$7:$B$366,C5332)</x:f>
        <x:v>7.9971764705882356</x:v>
      </x:c>
      <x:c r="J5332" s="381" t="n">
        <x:f>SUMIFS('Wind Proxy'!$H$8:$H$19,'Wind Proxy'!$A$8:$A$19,'Estimator'!$B$4,'Wind Proxy'!$B$8:$B$19,C5332)</x:f>
        <x:v>0.13739545997610514</x:v>
      </x:c>
    </x:row>
    <x:row r="5333">
      <x:c r="A5333" s="379" t="n">
        <x:v>50984</x:v>
      </x:c>
      <x:c r="B5333" s="380" t="n">
        <x:v>2039</x:v>
      </x:c>
      <x:c r="C5333" s="380" t="n">
        <x:v>8</x:v>
      </x:c>
      <x:c r="D5333" s="380" t="str">
        <x:v>Aug</x:v>
      </x:c>
      <x:c r="E5333" s="380" t="n">
        <x:v>2</x:v>
      </x:c>
      <x:c r="F5333" s="380" t="n">
        <x:v>2</x:v>
      </x:c>
      <x:c r="G5333" s="380" t="n">
        <x:f>--(F5333&lt;='Estimator'!$B$7)</x:f>
        <x:v>1</x:v>
      </x:c>
      <x:c r="H5333" s="381" t="n">
        <x:f>SUMIFS('Climate Data'!$G$7:$G$366,'Climate Data'!$A$7:$A$366,'Estimator'!$B$4,'Climate Data'!$B$7:$B$366,C5333)</x:f>
        <x:v>0.47274749721913234</x:v>
      </x:c>
      <x:c r="I5333" s="382" t="n">
        <x:f>SUMIFS('Climate Data'!$H$7:$H$366,'Climate Data'!$A$7:$A$366,'Estimator'!$B$4,'Climate Data'!$B$7:$B$366,C5333)</x:f>
        <x:v>7.9971764705882356</x:v>
      </x:c>
      <x:c r="J5333" s="381" t="n">
        <x:f>SUMIFS('Wind Proxy'!$H$8:$H$19,'Wind Proxy'!$A$8:$A$19,'Estimator'!$B$4,'Wind Proxy'!$B$8:$B$19,C5333)</x:f>
        <x:v>0.13739545997610514</x:v>
      </x:c>
    </x:row>
    <x:row r="5334">
      <x:c r="A5334" s="379" t="n">
        <x:v>50985</x:v>
      </x:c>
      <x:c r="B5334" s="380" t="n">
        <x:v>2039</x:v>
      </x:c>
      <x:c r="C5334" s="380" t="n">
        <x:v>8</x:v>
      </x:c>
      <x:c r="D5334" s="380" t="str">
        <x:v>Aug</x:v>
      </x:c>
      <x:c r="E5334" s="380" t="n">
        <x:v>3</x:v>
      </x:c>
      <x:c r="F5334" s="380" t="n">
        <x:v>3</x:v>
      </x:c>
      <x:c r="G5334" s="380" t="n">
        <x:f>--(F5334&lt;='Estimator'!$B$7)</x:f>
        <x:v>1</x:v>
      </x:c>
      <x:c r="H5334" s="381" t="n">
        <x:f>SUMIFS('Climate Data'!$G$7:$G$366,'Climate Data'!$A$7:$A$366,'Estimator'!$B$4,'Climate Data'!$B$7:$B$366,C5334)</x:f>
        <x:v>0.47274749721913234</x:v>
      </x:c>
      <x:c r="I5334" s="382" t="n">
        <x:f>SUMIFS('Climate Data'!$H$7:$H$366,'Climate Data'!$A$7:$A$366,'Estimator'!$B$4,'Climate Data'!$B$7:$B$366,C5334)</x:f>
        <x:v>7.9971764705882356</x:v>
      </x:c>
      <x:c r="J5334" s="381" t="n">
        <x:f>SUMIFS('Wind Proxy'!$H$8:$H$19,'Wind Proxy'!$A$8:$A$19,'Estimator'!$B$4,'Wind Proxy'!$B$8:$B$19,C5334)</x:f>
        <x:v>0.13739545997610514</x:v>
      </x:c>
    </x:row>
    <x:row r="5335">
      <x:c r="A5335" s="379" t="n">
        <x:v>50986</x:v>
      </x:c>
      <x:c r="B5335" s="380" t="n">
        <x:v>2039</x:v>
      </x:c>
      <x:c r="C5335" s="380" t="n">
        <x:v>8</x:v>
      </x:c>
      <x:c r="D5335" s="380" t="str">
        <x:v>Aug</x:v>
      </x:c>
      <x:c r="E5335" s="380" t="n">
        <x:v>4</x:v>
      </x:c>
      <x:c r="F5335" s="380" t="n">
        <x:v>4</x:v>
      </x:c>
      <x:c r="G5335" s="380" t="n">
        <x:f>--(F5335&lt;='Estimator'!$B$7)</x:f>
        <x:v>1</x:v>
      </x:c>
      <x:c r="H5335" s="381" t="n">
        <x:f>SUMIFS('Climate Data'!$G$7:$G$366,'Climate Data'!$A$7:$A$366,'Estimator'!$B$4,'Climate Data'!$B$7:$B$366,C5335)</x:f>
        <x:v>0.47274749721913234</x:v>
      </x:c>
      <x:c r="I5335" s="382" t="n">
        <x:f>SUMIFS('Climate Data'!$H$7:$H$366,'Climate Data'!$A$7:$A$366,'Estimator'!$B$4,'Climate Data'!$B$7:$B$366,C5335)</x:f>
        <x:v>7.9971764705882356</x:v>
      </x:c>
      <x:c r="J5335" s="381" t="n">
        <x:f>SUMIFS('Wind Proxy'!$H$8:$H$19,'Wind Proxy'!$A$8:$A$19,'Estimator'!$B$4,'Wind Proxy'!$B$8:$B$19,C5335)</x:f>
        <x:v>0.13739545997610514</x:v>
      </x:c>
    </x:row>
    <x:row r="5336">
      <x:c r="A5336" s="379" t="n">
        <x:v>50987</x:v>
      </x:c>
      <x:c r="B5336" s="380" t="n">
        <x:v>2039</x:v>
      </x:c>
      <x:c r="C5336" s="380" t="n">
        <x:v>8</x:v>
      </x:c>
      <x:c r="D5336" s="380" t="str">
        <x:v>Aug</x:v>
      </x:c>
      <x:c r="E5336" s="380" t="n">
        <x:v>5</x:v>
      </x:c>
      <x:c r="F5336" s="380" t="n">
        <x:v>5</x:v>
      </x:c>
      <x:c r="G5336" s="380" t="n">
        <x:f>--(F5336&lt;='Estimator'!$B$7)</x:f>
        <x:v>1</x:v>
      </x:c>
      <x:c r="H5336" s="381" t="n">
        <x:f>SUMIFS('Climate Data'!$G$7:$G$366,'Climate Data'!$A$7:$A$366,'Estimator'!$B$4,'Climate Data'!$B$7:$B$366,C5336)</x:f>
        <x:v>0.47274749721913234</x:v>
      </x:c>
      <x:c r="I5336" s="382" t="n">
        <x:f>SUMIFS('Climate Data'!$H$7:$H$366,'Climate Data'!$A$7:$A$366,'Estimator'!$B$4,'Climate Data'!$B$7:$B$366,C5336)</x:f>
        <x:v>7.9971764705882356</x:v>
      </x:c>
      <x:c r="J5336" s="381" t="n">
        <x:f>SUMIFS('Wind Proxy'!$H$8:$H$19,'Wind Proxy'!$A$8:$A$19,'Estimator'!$B$4,'Wind Proxy'!$B$8:$B$19,C5336)</x:f>
        <x:v>0.13739545997610514</x:v>
      </x:c>
    </x:row>
    <x:row r="5337">
      <x:c r="A5337" s="379" t="n">
        <x:v>50988</x:v>
      </x:c>
      <x:c r="B5337" s="380" t="n">
        <x:v>2039</x:v>
      </x:c>
      <x:c r="C5337" s="380" t="n">
        <x:v>8</x:v>
      </x:c>
      <x:c r="D5337" s="380" t="str">
        <x:v>Aug</x:v>
      </x:c>
      <x:c r="E5337" s="380" t="n">
        <x:v>6</x:v>
      </x:c>
      <x:c r="F5337" s="380" t="n">
        <x:v>6</x:v>
      </x:c>
      <x:c r="G5337" s="380" t="n">
        <x:f>--(F5337&lt;='Estimator'!$B$7)</x:f>
        <x:v>0</x:v>
      </x:c>
      <x:c r="H5337" s="381" t="n">
        <x:f>SUMIFS('Climate Data'!$G$7:$G$366,'Climate Data'!$A$7:$A$366,'Estimator'!$B$4,'Climate Data'!$B$7:$B$366,C5337)</x:f>
        <x:v>0.47274749721913234</x:v>
      </x:c>
      <x:c r="I5337" s="382" t="n">
        <x:f>SUMIFS('Climate Data'!$H$7:$H$366,'Climate Data'!$A$7:$A$366,'Estimator'!$B$4,'Climate Data'!$B$7:$B$366,C5337)</x:f>
        <x:v>7.9971764705882356</x:v>
      </x:c>
      <x:c r="J5337" s="381" t="n">
        <x:f>SUMIFS('Wind Proxy'!$H$8:$H$19,'Wind Proxy'!$A$8:$A$19,'Estimator'!$B$4,'Wind Proxy'!$B$8:$B$19,C5337)</x:f>
        <x:v>0.13739545997610514</x:v>
      </x:c>
    </x:row>
    <x:row r="5338">
      <x:c r="A5338" s="379" t="n">
        <x:v>50989</x:v>
      </x:c>
      <x:c r="B5338" s="380" t="n">
        <x:v>2039</x:v>
      </x:c>
      <x:c r="C5338" s="380" t="n">
        <x:v>8</x:v>
      </x:c>
      <x:c r="D5338" s="380" t="str">
        <x:v>Aug</x:v>
      </x:c>
      <x:c r="E5338" s="380" t="n">
        <x:v>7</x:v>
      </x:c>
      <x:c r="F5338" s="380" t="n">
        <x:v>7</x:v>
      </x:c>
      <x:c r="G5338" s="380" t="n">
        <x:f>--(F5338&lt;='Estimator'!$B$7)</x:f>
        <x:v>0</x:v>
      </x:c>
      <x:c r="H5338" s="381" t="n">
        <x:f>SUMIFS('Climate Data'!$G$7:$G$366,'Climate Data'!$A$7:$A$366,'Estimator'!$B$4,'Climate Data'!$B$7:$B$366,C5338)</x:f>
        <x:v>0.47274749721913234</x:v>
      </x:c>
      <x:c r="I5338" s="382" t="n">
        <x:f>SUMIFS('Climate Data'!$H$7:$H$366,'Climate Data'!$A$7:$A$366,'Estimator'!$B$4,'Climate Data'!$B$7:$B$366,C5338)</x:f>
        <x:v>7.9971764705882356</x:v>
      </x:c>
      <x:c r="J5338" s="381" t="n">
        <x:f>SUMIFS('Wind Proxy'!$H$8:$H$19,'Wind Proxy'!$A$8:$A$19,'Estimator'!$B$4,'Wind Proxy'!$B$8:$B$19,C5338)</x:f>
        <x:v>0.13739545997610514</x:v>
      </x:c>
    </x:row>
    <x:row r="5339">
      <x:c r="A5339" s="379" t="n">
        <x:v>50990</x:v>
      </x:c>
      <x:c r="B5339" s="380" t="n">
        <x:v>2039</x:v>
      </x:c>
      <x:c r="C5339" s="380" t="n">
        <x:v>8</x:v>
      </x:c>
      <x:c r="D5339" s="380" t="str">
        <x:v>Aug</x:v>
      </x:c>
      <x:c r="E5339" s="380" t="n">
        <x:v>8</x:v>
      </x:c>
      <x:c r="F5339" s="380" t="n">
        <x:v>1</x:v>
      </x:c>
      <x:c r="G5339" s="380" t="n">
        <x:f>--(F5339&lt;='Estimator'!$B$7)</x:f>
        <x:v>1</x:v>
      </x:c>
      <x:c r="H5339" s="381" t="n">
        <x:f>SUMIFS('Climate Data'!$G$7:$G$366,'Climate Data'!$A$7:$A$366,'Estimator'!$B$4,'Climate Data'!$B$7:$B$366,C5339)</x:f>
        <x:v>0.47274749721913234</x:v>
      </x:c>
      <x:c r="I5339" s="382" t="n">
        <x:f>SUMIFS('Climate Data'!$H$7:$H$366,'Climate Data'!$A$7:$A$366,'Estimator'!$B$4,'Climate Data'!$B$7:$B$366,C5339)</x:f>
        <x:v>7.9971764705882356</x:v>
      </x:c>
      <x:c r="J5339" s="381" t="n">
        <x:f>SUMIFS('Wind Proxy'!$H$8:$H$19,'Wind Proxy'!$A$8:$A$19,'Estimator'!$B$4,'Wind Proxy'!$B$8:$B$19,C5339)</x:f>
        <x:v>0.13739545997610514</x:v>
      </x:c>
    </x:row>
    <x:row r="5340">
      <x:c r="A5340" s="379" t="n">
        <x:v>50991</x:v>
      </x:c>
      <x:c r="B5340" s="380" t="n">
        <x:v>2039</x:v>
      </x:c>
      <x:c r="C5340" s="380" t="n">
        <x:v>8</x:v>
      </x:c>
      <x:c r="D5340" s="380" t="str">
        <x:v>Aug</x:v>
      </x:c>
      <x:c r="E5340" s="380" t="n">
        <x:v>9</x:v>
      </x:c>
      <x:c r="F5340" s="380" t="n">
        <x:v>2</x:v>
      </x:c>
      <x:c r="G5340" s="380" t="n">
        <x:f>--(F5340&lt;='Estimator'!$B$7)</x:f>
        <x:v>1</x:v>
      </x:c>
      <x:c r="H5340" s="381" t="n">
        <x:f>SUMIFS('Climate Data'!$G$7:$G$366,'Climate Data'!$A$7:$A$366,'Estimator'!$B$4,'Climate Data'!$B$7:$B$366,C5340)</x:f>
        <x:v>0.47274749721913234</x:v>
      </x:c>
      <x:c r="I5340" s="382" t="n">
        <x:f>SUMIFS('Climate Data'!$H$7:$H$366,'Climate Data'!$A$7:$A$366,'Estimator'!$B$4,'Climate Data'!$B$7:$B$366,C5340)</x:f>
        <x:v>7.9971764705882356</x:v>
      </x:c>
      <x:c r="J5340" s="381" t="n">
        <x:f>SUMIFS('Wind Proxy'!$H$8:$H$19,'Wind Proxy'!$A$8:$A$19,'Estimator'!$B$4,'Wind Proxy'!$B$8:$B$19,C5340)</x:f>
        <x:v>0.13739545997610514</x:v>
      </x:c>
    </x:row>
    <x:row r="5341">
      <x:c r="A5341" s="379" t="n">
        <x:v>50992</x:v>
      </x:c>
      <x:c r="B5341" s="380" t="n">
        <x:v>2039</x:v>
      </x:c>
      <x:c r="C5341" s="380" t="n">
        <x:v>8</x:v>
      </x:c>
      <x:c r="D5341" s="380" t="str">
        <x:v>Aug</x:v>
      </x:c>
      <x:c r="E5341" s="380" t="n">
        <x:v>10</x:v>
      </x:c>
      <x:c r="F5341" s="380" t="n">
        <x:v>3</x:v>
      </x:c>
      <x:c r="G5341" s="380" t="n">
        <x:f>--(F5341&lt;='Estimator'!$B$7)</x:f>
        <x:v>1</x:v>
      </x:c>
      <x:c r="H5341" s="381" t="n">
        <x:f>SUMIFS('Climate Data'!$G$7:$G$366,'Climate Data'!$A$7:$A$366,'Estimator'!$B$4,'Climate Data'!$B$7:$B$366,C5341)</x:f>
        <x:v>0.47274749721913234</x:v>
      </x:c>
      <x:c r="I5341" s="382" t="n">
        <x:f>SUMIFS('Climate Data'!$H$7:$H$366,'Climate Data'!$A$7:$A$366,'Estimator'!$B$4,'Climate Data'!$B$7:$B$366,C5341)</x:f>
        <x:v>7.9971764705882356</x:v>
      </x:c>
      <x:c r="J5341" s="381" t="n">
        <x:f>SUMIFS('Wind Proxy'!$H$8:$H$19,'Wind Proxy'!$A$8:$A$19,'Estimator'!$B$4,'Wind Proxy'!$B$8:$B$19,C5341)</x:f>
        <x:v>0.13739545997610514</x:v>
      </x:c>
    </x:row>
    <x:row r="5342">
      <x:c r="A5342" s="379" t="n">
        <x:v>50993</x:v>
      </x:c>
      <x:c r="B5342" s="380" t="n">
        <x:v>2039</x:v>
      </x:c>
      <x:c r="C5342" s="380" t="n">
        <x:v>8</x:v>
      </x:c>
      <x:c r="D5342" s="380" t="str">
        <x:v>Aug</x:v>
      </x:c>
      <x:c r="E5342" s="380" t="n">
        <x:v>11</x:v>
      </x:c>
      <x:c r="F5342" s="380" t="n">
        <x:v>4</x:v>
      </x:c>
      <x:c r="G5342" s="380" t="n">
        <x:f>--(F5342&lt;='Estimator'!$B$7)</x:f>
        <x:v>1</x:v>
      </x:c>
      <x:c r="H5342" s="381" t="n">
        <x:f>SUMIFS('Climate Data'!$G$7:$G$366,'Climate Data'!$A$7:$A$366,'Estimator'!$B$4,'Climate Data'!$B$7:$B$366,C5342)</x:f>
        <x:v>0.47274749721913234</x:v>
      </x:c>
      <x:c r="I5342" s="382" t="n">
        <x:f>SUMIFS('Climate Data'!$H$7:$H$366,'Climate Data'!$A$7:$A$366,'Estimator'!$B$4,'Climate Data'!$B$7:$B$366,C5342)</x:f>
        <x:v>7.9971764705882356</x:v>
      </x:c>
      <x:c r="J5342" s="381" t="n">
        <x:f>SUMIFS('Wind Proxy'!$H$8:$H$19,'Wind Proxy'!$A$8:$A$19,'Estimator'!$B$4,'Wind Proxy'!$B$8:$B$19,C5342)</x:f>
        <x:v>0.13739545997610514</x:v>
      </x:c>
    </x:row>
    <x:row r="5343">
      <x:c r="A5343" s="379" t="n">
        <x:v>50994</x:v>
      </x:c>
      <x:c r="B5343" s="380" t="n">
        <x:v>2039</x:v>
      </x:c>
      <x:c r="C5343" s="380" t="n">
        <x:v>8</x:v>
      </x:c>
      <x:c r="D5343" s="380" t="str">
        <x:v>Aug</x:v>
      </x:c>
      <x:c r="E5343" s="380" t="n">
        <x:v>12</x:v>
      </x:c>
      <x:c r="F5343" s="380" t="n">
        <x:v>5</x:v>
      </x:c>
      <x:c r="G5343" s="380" t="n">
        <x:f>--(F5343&lt;='Estimator'!$B$7)</x:f>
        <x:v>1</x:v>
      </x:c>
      <x:c r="H5343" s="381" t="n">
        <x:f>SUMIFS('Climate Data'!$G$7:$G$366,'Climate Data'!$A$7:$A$366,'Estimator'!$B$4,'Climate Data'!$B$7:$B$366,C5343)</x:f>
        <x:v>0.47274749721913234</x:v>
      </x:c>
      <x:c r="I5343" s="382" t="n">
        <x:f>SUMIFS('Climate Data'!$H$7:$H$366,'Climate Data'!$A$7:$A$366,'Estimator'!$B$4,'Climate Data'!$B$7:$B$366,C5343)</x:f>
        <x:v>7.9971764705882356</x:v>
      </x:c>
      <x:c r="J5343" s="381" t="n">
        <x:f>SUMIFS('Wind Proxy'!$H$8:$H$19,'Wind Proxy'!$A$8:$A$19,'Estimator'!$B$4,'Wind Proxy'!$B$8:$B$19,C5343)</x:f>
        <x:v>0.13739545997610514</x:v>
      </x:c>
    </x:row>
    <x:row r="5344">
      <x:c r="A5344" s="379" t="n">
        <x:v>50995</x:v>
      </x:c>
      <x:c r="B5344" s="380" t="n">
        <x:v>2039</x:v>
      </x:c>
      <x:c r="C5344" s="380" t="n">
        <x:v>8</x:v>
      </x:c>
      <x:c r="D5344" s="380" t="str">
        <x:v>Aug</x:v>
      </x:c>
      <x:c r="E5344" s="380" t="n">
        <x:v>13</x:v>
      </x:c>
      <x:c r="F5344" s="380" t="n">
        <x:v>6</x:v>
      </x:c>
      <x:c r="G5344" s="380" t="n">
        <x:f>--(F5344&lt;='Estimator'!$B$7)</x:f>
        <x:v>0</x:v>
      </x:c>
      <x:c r="H5344" s="381" t="n">
        <x:f>SUMIFS('Climate Data'!$G$7:$G$366,'Climate Data'!$A$7:$A$366,'Estimator'!$B$4,'Climate Data'!$B$7:$B$366,C5344)</x:f>
        <x:v>0.47274749721913234</x:v>
      </x:c>
      <x:c r="I5344" s="382" t="n">
        <x:f>SUMIFS('Climate Data'!$H$7:$H$366,'Climate Data'!$A$7:$A$366,'Estimator'!$B$4,'Climate Data'!$B$7:$B$366,C5344)</x:f>
        <x:v>7.9971764705882356</x:v>
      </x:c>
      <x:c r="J5344" s="381" t="n">
        <x:f>SUMIFS('Wind Proxy'!$H$8:$H$19,'Wind Proxy'!$A$8:$A$19,'Estimator'!$B$4,'Wind Proxy'!$B$8:$B$19,C5344)</x:f>
        <x:v>0.13739545997610514</x:v>
      </x:c>
    </x:row>
    <x:row r="5345">
      <x:c r="A5345" s="379" t="n">
        <x:v>50996</x:v>
      </x:c>
      <x:c r="B5345" s="380" t="n">
        <x:v>2039</x:v>
      </x:c>
      <x:c r="C5345" s="380" t="n">
        <x:v>8</x:v>
      </x:c>
      <x:c r="D5345" s="380" t="str">
        <x:v>Aug</x:v>
      </x:c>
      <x:c r="E5345" s="380" t="n">
        <x:v>14</x:v>
      </x:c>
      <x:c r="F5345" s="380" t="n">
        <x:v>7</x:v>
      </x:c>
      <x:c r="G5345" s="380" t="n">
        <x:f>--(F5345&lt;='Estimator'!$B$7)</x:f>
        <x:v>0</x:v>
      </x:c>
      <x:c r="H5345" s="381" t="n">
        <x:f>SUMIFS('Climate Data'!$G$7:$G$366,'Climate Data'!$A$7:$A$366,'Estimator'!$B$4,'Climate Data'!$B$7:$B$366,C5345)</x:f>
        <x:v>0.47274749721913234</x:v>
      </x:c>
      <x:c r="I5345" s="382" t="n">
        <x:f>SUMIFS('Climate Data'!$H$7:$H$366,'Climate Data'!$A$7:$A$366,'Estimator'!$B$4,'Climate Data'!$B$7:$B$366,C5345)</x:f>
        <x:v>7.9971764705882356</x:v>
      </x:c>
      <x:c r="J5345" s="381" t="n">
        <x:f>SUMIFS('Wind Proxy'!$H$8:$H$19,'Wind Proxy'!$A$8:$A$19,'Estimator'!$B$4,'Wind Proxy'!$B$8:$B$19,C5345)</x:f>
        <x:v>0.13739545997610514</x:v>
      </x:c>
    </x:row>
    <x:row r="5346">
      <x:c r="A5346" s="379" t="n">
        <x:v>50997</x:v>
      </x:c>
      <x:c r="B5346" s="380" t="n">
        <x:v>2039</x:v>
      </x:c>
      <x:c r="C5346" s="380" t="n">
        <x:v>8</x:v>
      </x:c>
      <x:c r="D5346" s="380" t="str">
        <x:v>Aug</x:v>
      </x:c>
      <x:c r="E5346" s="380" t="n">
        <x:v>15</x:v>
      </x:c>
      <x:c r="F5346" s="380" t="n">
        <x:v>1</x:v>
      </x:c>
      <x:c r="G5346" s="380" t="n">
        <x:f>--(F5346&lt;='Estimator'!$B$7)</x:f>
        <x:v>1</x:v>
      </x:c>
      <x:c r="H5346" s="381" t="n">
        <x:f>SUMIFS('Climate Data'!$G$7:$G$366,'Climate Data'!$A$7:$A$366,'Estimator'!$B$4,'Climate Data'!$B$7:$B$366,C5346)</x:f>
        <x:v>0.47274749721913234</x:v>
      </x:c>
      <x:c r="I5346" s="382" t="n">
        <x:f>SUMIFS('Climate Data'!$H$7:$H$366,'Climate Data'!$A$7:$A$366,'Estimator'!$B$4,'Climate Data'!$B$7:$B$366,C5346)</x:f>
        <x:v>7.9971764705882356</x:v>
      </x:c>
      <x:c r="J5346" s="381" t="n">
        <x:f>SUMIFS('Wind Proxy'!$H$8:$H$19,'Wind Proxy'!$A$8:$A$19,'Estimator'!$B$4,'Wind Proxy'!$B$8:$B$19,C5346)</x:f>
        <x:v>0.13739545997610514</x:v>
      </x:c>
    </x:row>
    <x:row r="5347">
      <x:c r="A5347" s="379" t="n">
        <x:v>50998</x:v>
      </x:c>
      <x:c r="B5347" s="380" t="n">
        <x:v>2039</x:v>
      </x:c>
      <x:c r="C5347" s="380" t="n">
        <x:v>8</x:v>
      </x:c>
      <x:c r="D5347" s="380" t="str">
        <x:v>Aug</x:v>
      </x:c>
      <x:c r="E5347" s="380" t="n">
        <x:v>16</x:v>
      </x:c>
      <x:c r="F5347" s="380" t="n">
        <x:v>2</x:v>
      </x:c>
      <x:c r="G5347" s="380" t="n">
        <x:f>--(F5347&lt;='Estimator'!$B$7)</x:f>
        <x:v>1</x:v>
      </x:c>
      <x:c r="H5347" s="381" t="n">
        <x:f>SUMIFS('Climate Data'!$G$7:$G$366,'Climate Data'!$A$7:$A$366,'Estimator'!$B$4,'Climate Data'!$B$7:$B$366,C5347)</x:f>
        <x:v>0.47274749721913234</x:v>
      </x:c>
      <x:c r="I5347" s="382" t="n">
        <x:f>SUMIFS('Climate Data'!$H$7:$H$366,'Climate Data'!$A$7:$A$366,'Estimator'!$B$4,'Climate Data'!$B$7:$B$366,C5347)</x:f>
        <x:v>7.9971764705882356</x:v>
      </x:c>
      <x:c r="J5347" s="381" t="n">
        <x:f>SUMIFS('Wind Proxy'!$H$8:$H$19,'Wind Proxy'!$A$8:$A$19,'Estimator'!$B$4,'Wind Proxy'!$B$8:$B$19,C5347)</x:f>
        <x:v>0.13739545997610514</x:v>
      </x:c>
    </x:row>
    <x:row r="5348">
      <x:c r="A5348" s="379" t="n">
        <x:v>50999</x:v>
      </x:c>
      <x:c r="B5348" s="380" t="n">
        <x:v>2039</x:v>
      </x:c>
      <x:c r="C5348" s="380" t="n">
        <x:v>8</x:v>
      </x:c>
      <x:c r="D5348" s="380" t="str">
        <x:v>Aug</x:v>
      </x:c>
      <x:c r="E5348" s="380" t="n">
        <x:v>17</x:v>
      </x:c>
      <x:c r="F5348" s="380" t="n">
        <x:v>3</x:v>
      </x:c>
      <x:c r="G5348" s="380" t="n">
        <x:f>--(F5348&lt;='Estimator'!$B$7)</x:f>
        <x:v>1</x:v>
      </x:c>
      <x:c r="H5348" s="381" t="n">
        <x:f>SUMIFS('Climate Data'!$G$7:$G$366,'Climate Data'!$A$7:$A$366,'Estimator'!$B$4,'Climate Data'!$B$7:$B$366,C5348)</x:f>
        <x:v>0.47274749721913234</x:v>
      </x:c>
      <x:c r="I5348" s="382" t="n">
        <x:f>SUMIFS('Climate Data'!$H$7:$H$366,'Climate Data'!$A$7:$A$366,'Estimator'!$B$4,'Climate Data'!$B$7:$B$366,C5348)</x:f>
        <x:v>7.9971764705882356</x:v>
      </x:c>
      <x:c r="J5348" s="381" t="n">
        <x:f>SUMIFS('Wind Proxy'!$H$8:$H$19,'Wind Proxy'!$A$8:$A$19,'Estimator'!$B$4,'Wind Proxy'!$B$8:$B$19,C5348)</x:f>
        <x:v>0.13739545997610514</x:v>
      </x:c>
    </x:row>
    <x:row r="5349">
      <x:c r="A5349" s="379" t="n">
        <x:v>51000</x:v>
      </x:c>
      <x:c r="B5349" s="380" t="n">
        <x:v>2039</x:v>
      </x:c>
      <x:c r="C5349" s="380" t="n">
        <x:v>8</x:v>
      </x:c>
      <x:c r="D5349" s="380" t="str">
        <x:v>Aug</x:v>
      </x:c>
      <x:c r="E5349" s="380" t="n">
        <x:v>18</x:v>
      </x:c>
      <x:c r="F5349" s="380" t="n">
        <x:v>4</x:v>
      </x:c>
      <x:c r="G5349" s="380" t="n">
        <x:f>--(F5349&lt;='Estimator'!$B$7)</x:f>
        <x:v>1</x:v>
      </x:c>
      <x:c r="H5349" s="381" t="n">
        <x:f>SUMIFS('Climate Data'!$G$7:$G$366,'Climate Data'!$A$7:$A$366,'Estimator'!$B$4,'Climate Data'!$B$7:$B$366,C5349)</x:f>
        <x:v>0.47274749721913234</x:v>
      </x:c>
      <x:c r="I5349" s="382" t="n">
        <x:f>SUMIFS('Climate Data'!$H$7:$H$366,'Climate Data'!$A$7:$A$366,'Estimator'!$B$4,'Climate Data'!$B$7:$B$366,C5349)</x:f>
        <x:v>7.9971764705882356</x:v>
      </x:c>
      <x:c r="J5349" s="381" t="n">
        <x:f>SUMIFS('Wind Proxy'!$H$8:$H$19,'Wind Proxy'!$A$8:$A$19,'Estimator'!$B$4,'Wind Proxy'!$B$8:$B$19,C5349)</x:f>
        <x:v>0.13739545997610514</x:v>
      </x:c>
    </x:row>
    <x:row r="5350">
      <x:c r="A5350" s="379" t="n">
        <x:v>51001</x:v>
      </x:c>
      <x:c r="B5350" s="380" t="n">
        <x:v>2039</x:v>
      </x:c>
      <x:c r="C5350" s="380" t="n">
        <x:v>8</x:v>
      </x:c>
      <x:c r="D5350" s="380" t="str">
        <x:v>Aug</x:v>
      </x:c>
      <x:c r="E5350" s="380" t="n">
        <x:v>19</x:v>
      </x:c>
      <x:c r="F5350" s="380" t="n">
        <x:v>5</x:v>
      </x:c>
      <x:c r="G5350" s="380" t="n">
        <x:f>--(F5350&lt;='Estimator'!$B$7)</x:f>
        <x:v>1</x:v>
      </x:c>
      <x:c r="H5350" s="381" t="n">
        <x:f>SUMIFS('Climate Data'!$G$7:$G$366,'Climate Data'!$A$7:$A$366,'Estimator'!$B$4,'Climate Data'!$B$7:$B$366,C5350)</x:f>
        <x:v>0.47274749721913234</x:v>
      </x:c>
      <x:c r="I5350" s="382" t="n">
        <x:f>SUMIFS('Climate Data'!$H$7:$H$366,'Climate Data'!$A$7:$A$366,'Estimator'!$B$4,'Climate Data'!$B$7:$B$366,C5350)</x:f>
        <x:v>7.9971764705882356</x:v>
      </x:c>
      <x:c r="J5350" s="381" t="n">
        <x:f>SUMIFS('Wind Proxy'!$H$8:$H$19,'Wind Proxy'!$A$8:$A$19,'Estimator'!$B$4,'Wind Proxy'!$B$8:$B$19,C5350)</x:f>
        <x:v>0.13739545997610514</x:v>
      </x:c>
    </x:row>
    <x:row r="5351">
      <x:c r="A5351" s="379" t="n">
        <x:v>51002</x:v>
      </x:c>
      <x:c r="B5351" s="380" t="n">
        <x:v>2039</x:v>
      </x:c>
      <x:c r="C5351" s="380" t="n">
        <x:v>8</x:v>
      </x:c>
      <x:c r="D5351" s="380" t="str">
        <x:v>Aug</x:v>
      </x:c>
      <x:c r="E5351" s="380" t="n">
        <x:v>20</x:v>
      </x:c>
      <x:c r="F5351" s="380" t="n">
        <x:v>6</x:v>
      </x:c>
      <x:c r="G5351" s="380" t="n">
        <x:f>--(F5351&lt;='Estimator'!$B$7)</x:f>
        <x:v>0</x:v>
      </x:c>
      <x:c r="H5351" s="381" t="n">
        <x:f>SUMIFS('Climate Data'!$G$7:$G$366,'Climate Data'!$A$7:$A$366,'Estimator'!$B$4,'Climate Data'!$B$7:$B$366,C5351)</x:f>
        <x:v>0.47274749721913234</x:v>
      </x:c>
      <x:c r="I5351" s="382" t="n">
        <x:f>SUMIFS('Climate Data'!$H$7:$H$366,'Climate Data'!$A$7:$A$366,'Estimator'!$B$4,'Climate Data'!$B$7:$B$366,C5351)</x:f>
        <x:v>7.9971764705882356</x:v>
      </x:c>
      <x:c r="J5351" s="381" t="n">
        <x:f>SUMIFS('Wind Proxy'!$H$8:$H$19,'Wind Proxy'!$A$8:$A$19,'Estimator'!$B$4,'Wind Proxy'!$B$8:$B$19,C5351)</x:f>
        <x:v>0.13739545997610514</x:v>
      </x:c>
    </x:row>
    <x:row r="5352">
      <x:c r="A5352" s="379" t="n">
        <x:v>51003</x:v>
      </x:c>
      <x:c r="B5352" s="380" t="n">
        <x:v>2039</x:v>
      </x:c>
      <x:c r="C5352" s="380" t="n">
        <x:v>8</x:v>
      </x:c>
      <x:c r="D5352" s="380" t="str">
        <x:v>Aug</x:v>
      </x:c>
      <x:c r="E5352" s="380" t="n">
        <x:v>21</x:v>
      </x:c>
      <x:c r="F5352" s="380" t="n">
        <x:v>7</x:v>
      </x:c>
      <x:c r="G5352" s="380" t="n">
        <x:f>--(F5352&lt;='Estimator'!$B$7)</x:f>
        <x:v>0</x:v>
      </x:c>
      <x:c r="H5352" s="381" t="n">
        <x:f>SUMIFS('Climate Data'!$G$7:$G$366,'Climate Data'!$A$7:$A$366,'Estimator'!$B$4,'Climate Data'!$B$7:$B$366,C5352)</x:f>
        <x:v>0.47274749721913234</x:v>
      </x:c>
      <x:c r="I5352" s="382" t="n">
        <x:f>SUMIFS('Climate Data'!$H$7:$H$366,'Climate Data'!$A$7:$A$366,'Estimator'!$B$4,'Climate Data'!$B$7:$B$366,C5352)</x:f>
        <x:v>7.9971764705882356</x:v>
      </x:c>
      <x:c r="J5352" s="381" t="n">
        <x:f>SUMIFS('Wind Proxy'!$H$8:$H$19,'Wind Proxy'!$A$8:$A$19,'Estimator'!$B$4,'Wind Proxy'!$B$8:$B$19,C5352)</x:f>
        <x:v>0.13739545997610514</x:v>
      </x:c>
    </x:row>
    <x:row r="5353">
      <x:c r="A5353" s="379" t="n">
        <x:v>51004</x:v>
      </x:c>
      <x:c r="B5353" s="380" t="n">
        <x:v>2039</x:v>
      </x:c>
      <x:c r="C5353" s="380" t="n">
        <x:v>8</x:v>
      </x:c>
      <x:c r="D5353" s="380" t="str">
        <x:v>Aug</x:v>
      </x:c>
      <x:c r="E5353" s="380" t="n">
        <x:v>22</x:v>
      </x:c>
      <x:c r="F5353" s="380" t="n">
        <x:v>1</x:v>
      </x:c>
      <x:c r="G5353" s="380" t="n">
        <x:f>--(F5353&lt;='Estimator'!$B$7)</x:f>
        <x:v>1</x:v>
      </x:c>
      <x:c r="H5353" s="381" t="n">
        <x:f>SUMIFS('Climate Data'!$G$7:$G$366,'Climate Data'!$A$7:$A$366,'Estimator'!$B$4,'Climate Data'!$B$7:$B$366,C5353)</x:f>
        <x:v>0.47274749721913234</x:v>
      </x:c>
      <x:c r="I5353" s="382" t="n">
        <x:f>SUMIFS('Climate Data'!$H$7:$H$366,'Climate Data'!$A$7:$A$366,'Estimator'!$B$4,'Climate Data'!$B$7:$B$366,C5353)</x:f>
        <x:v>7.9971764705882356</x:v>
      </x:c>
      <x:c r="J5353" s="381" t="n">
        <x:f>SUMIFS('Wind Proxy'!$H$8:$H$19,'Wind Proxy'!$A$8:$A$19,'Estimator'!$B$4,'Wind Proxy'!$B$8:$B$19,C5353)</x:f>
        <x:v>0.13739545997610514</x:v>
      </x:c>
    </x:row>
    <x:row r="5354">
      <x:c r="A5354" s="379" t="n">
        <x:v>51005</x:v>
      </x:c>
      <x:c r="B5354" s="380" t="n">
        <x:v>2039</x:v>
      </x:c>
      <x:c r="C5354" s="380" t="n">
        <x:v>8</x:v>
      </x:c>
      <x:c r="D5354" s="380" t="str">
        <x:v>Aug</x:v>
      </x:c>
      <x:c r="E5354" s="380" t="n">
        <x:v>23</x:v>
      </x:c>
      <x:c r="F5354" s="380" t="n">
        <x:v>2</x:v>
      </x:c>
      <x:c r="G5354" s="380" t="n">
        <x:f>--(F5354&lt;='Estimator'!$B$7)</x:f>
        <x:v>1</x:v>
      </x:c>
      <x:c r="H5354" s="381" t="n">
        <x:f>SUMIFS('Climate Data'!$G$7:$G$366,'Climate Data'!$A$7:$A$366,'Estimator'!$B$4,'Climate Data'!$B$7:$B$366,C5354)</x:f>
        <x:v>0.47274749721913234</x:v>
      </x:c>
      <x:c r="I5354" s="382" t="n">
        <x:f>SUMIFS('Climate Data'!$H$7:$H$366,'Climate Data'!$A$7:$A$366,'Estimator'!$B$4,'Climate Data'!$B$7:$B$366,C5354)</x:f>
        <x:v>7.9971764705882356</x:v>
      </x:c>
      <x:c r="J5354" s="381" t="n">
        <x:f>SUMIFS('Wind Proxy'!$H$8:$H$19,'Wind Proxy'!$A$8:$A$19,'Estimator'!$B$4,'Wind Proxy'!$B$8:$B$19,C5354)</x:f>
        <x:v>0.13739545997610514</x:v>
      </x:c>
    </x:row>
    <x:row r="5355">
      <x:c r="A5355" s="379" t="n">
        <x:v>51006</x:v>
      </x:c>
      <x:c r="B5355" s="380" t="n">
        <x:v>2039</x:v>
      </x:c>
      <x:c r="C5355" s="380" t="n">
        <x:v>8</x:v>
      </x:c>
      <x:c r="D5355" s="380" t="str">
        <x:v>Aug</x:v>
      </x:c>
      <x:c r="E5355" s="380" t="n">
        <x:v>24</x:v>
      </x:c>
      <x:c r="F5355" s="380" t="n">
        <x:v>3</x:v>
      </x:c>
      <x:c r="G5355" s="380" t="n">
        <x:f>--(F5355&lt;='Estimator'!$B$7)</x:f>
        <x:v>1</x:v>
      </x:c>
      <x:c r="H5355" s="381" t="n">
        <x:f>SUMIFS('Climate Data'!$G$7:$G$366,'Climate Data'!$A$7:$A$366,'Estimator'!$B$4,'Climate Data'!$B$7:$B$366,C5355)</x:f>
        <x:v>0.47274749721913234</x:v>
      </x:c>
      <x:c r="I5355" s="382" t="n">
        <x:f>SUMIFS('Climate Data'!$H$7:$H$366,'Climate Data'!$A$7:$A$366,'Estimator'!$B$4,'Climate Data'!$B$7:$B$366,C5355)</x:f>
        <x:v>7.9971764705882356</x:v>
      </x:c>
      <x:c r="J5355" s="381" t="n">
        <x:f>SUMIFS('Wind Proxy'!$H$8:$H$19,'Wind Proxy'!$A$8:$A$19,'Estimator'!$B$4,'Wind Proxy'!$B$8:$B$19,C5355)</x:f>
        <x:v>0.13739545997610514</x:v>
      </x:c>
    </x:row>
    <x:row r="5356">
      <x:c r="A5356" s="379" t="n">
        <x:v>51007</x:v>
      </x:c>
      <x:c r="B5356" s="380" t="n">
        <x:v>2039</x:v>
      </x:c>
      <x:c r="C5356" s="380" t="n">
        <x:v>8</x:v>
      </x:c>
      <x:c r="D5356" s="380" t="str">
        <x:v>Aug</x:v>
      </x:c>
      <x:c r="E5356" s="380" t="n">
        <x:v>25</x:v>
      </x:c>
      <x:c r="F5356" s="380" t="n">
        <x:v>4</x:v>
      </x:c>
      <x:c r="G5356" s="380" t="n">
        <x:f>--(F5356&lt;='Estimator'!$B$7)</x:f>
        <x:v>1</x:v>
      </x:c>
      <x:c r="H5356" s="381" t="n">
        <x:f>SUMIFS('Climate Data'!$G$7:$G$366,'Climate Data'!$A$7:$A$366,'Estimator'!$B$4,'Climate Data'!$B$7:$B$366,C5356)</x:f>
        <x:v>0.47274749721913234</x:v>
      </x:c>
      <x:c r="I5356" s="382" t="n">
        <x:f>SUMIFS('Climate Data'!$H$7:$H$366,'Climate Data'!$A$7:$A$366,'Estimator'!$B$4,'Climate Data'!$B$7:$B$366,C5356)</x:f>
        <x:v>7.9971764705882356</x:v>
      </x:c>
      <x:c r="J5356" s="381" t="n">
        <x:f>SUMIFS('Wind Proxy'!$H$8:$H$19,'Wind Proxy'!$A$8:$A$19,'Estimator'!$B$4,'Wind Proxy'!$B$8:$B$19,C5356)</x:f>
        <x:v>0.13739545997610514</x:v>
      </x:c>
    </x:row>
    <x:row r="5357">
      <x:c r="A5357" s="379" t="n">
        <x:v>51008</x:v>
      </x:c>
      <x:c r="B5357" s="380" t="n">
        <x:v>2039</x:v>
      </x:c>
      <x:c r="C5357" s="380" t="n">
        <x:v>8</x:v>
      </x:c>
      <x:c r="D5357" s="380" t="str">
        <x:v>Aug</x:v>
      </x:c>
      <x:c r="E5357" s="380" t="n">
        <x:v>26</x:v>
      </x:c>
      <x:c r="F5357" s="380" t="n">
        <x:v>5</x:v>
      </x:c>
      <x:c r="G5357" s="380" t="n">
        <x:f>--(F5357&lt;='Estimator'!$B$7)</x:f>
        <x:v>1</x:v>
      </x:c>
      <x:c r="H5357" s="381" t="n">
        <x:f>SUMIFS('Climate Data'!$G$7:$G$366,'Climate Data'!$A$7:$A$366,'Estimator'!$B$4,'Climate Data'!$B$7:$B$366,C5357)</x:f>
        <x:v>0.47274749721913234</x:v>
      </x:c>
      <x:c r="I5357" s="382" t="n">
        <x:f>SUMIFS('Climate Data'!$H$7:$H$366,'Climate Data'!$A$7:$A$366,'Estimator'!$B$4,'Climate Data'!$B$7:$B$366,C5357)</x:f>
        <x:v>7.9971764705882356</x:v>
      </x:c>
      <x:c r="J5357" s="381" t="n">
        <x:f>SUMIFS('Wind Proxy'!$H$8:$H$19,'Wind Proxy'!$A$8:$A$19,'Estimator'!$B$4,'Wind Proxy'!$B$8:$B$19,C5357)</x:f>
        <x:v>0.13739545997610514</x:v>
      </x:c>
    </x:row>
    <x:row r="5358">
      <x:c r="A5358" s="379" t="n">
        <x:v>51009</x:v>
      </x:c>
      <x:c r="B5358" s="380" t="n">
        <x:v>2039</x:v>
      </x:c>
      <x:c r="C5358" s="380" t="n">
        <x:v>8</x:v>
      </x:c>
      <x:c r="D5358" s="380" t="str">
        <x:v>Aug</x:v>
      </x:c>
      <x:c r="E5358" s="380" t="n">
        <x:v>27</x:v>
      </x:c>
      <x:c r="F5358" s="380" t="n">
        <x:v>6</x:v>
      </x:c>
      <x:c r="G5358" s="380" t="n">
        <x:f>--(F5358&lt;='Estimator'!$B$7)</x:f>
        <x:v>0</x:v>
      </x:c>
      <x:c r="H5358" s="381" t="n">
        <x:f>SUMIFS('Climate Data'!$G$7:$G$366,'Climate Data'!$A$7:$A$366,'Estimator'!$B$4,'Climate Data'!$B$7:$B$366,C5358)</x:f>
        <x:v>0.47274749721913234</x:v>
      </x:c>
      <x:c r="I5358" s="382" t="n">
        <x:f>SUMIFS('Climate Data'!$H$7:$H$366,'Climate Data'!$A$7:$A$366,'Estimator'!$B$4,'Climate Data'!$B$7:$B$366,C5358)</x:f>
        <x:v>7.9971764705882356</x:v>
      </x:c>
      <x:c r="J5358" s="381" t="n">
        <x:f>SUMIFS('Wind Proxy'!$H$8:$H$19,'Wind Proxy'!$A$8:$A$19,'Estimator'!$B$4,'Wind Proxy'!$B$8:$B$19,C5358)</x:f>
        <x:v>0.13739545997610514</x:v>
      </x:c>
    </x:row>
    <x:row r="5359">
      <x:c r="A5359" s="379" t="n">
        <x:v>51010</x:v>
      </x:c>
      <x:c r="B5359" s="380" t="n">
        <x:v>2039</x:v>
      </x:c>
      <x:c r="C5359" s="380" t="n">
        <x:v>8</x:v>
      </x:c>
      <x:c r="D5359" s="380" t="str">
        <x:v>Aug</x:v>
      </x:c>
      <x:c r="E5359" s="380" t="n">
        <x:v>28</x:v>
      </x:c>
      <x:c r="F5359" s="380" t="n">
        <x:v>7</x:v>
      </x:c>
      <x:c r="G5359" s="380" t="n">
        <x:f>--(F5359&lt;='Estimator'!$B$7)</x:f>
        <x:v>0</x:v>
      </x:c>
      <x:c r="H5359" s="381" t="n">
        <x:f>SUMIFS('Climate Data'!$G$7:$G$366,'Climate Data'!$A$7:$A$366,'Estimator'!$B$4,'Climate Data'!$B$7:$B$366,C5359)</x:f>
        <x:v>0.47274749721913234</x:v>
      </x:c>
      <x:c r="I5359" s="382" t="n">
        <x:f>SUMIFS('Climate Data'!$H$7:$H$366,'Climate Data'!$A$7:$A$366,'Estimator'!$B$4,'Climate Data'!$B$7:$B$366,C5359)</x:f>
        <x:v>7.9971764705882356</x:v>
      </x:c>
      <x:c r="J5359" s="381" t="n">
        <x:f>SUMIFS('Wind Proxy'!$H$8:$H$19,'Wind Proxy'!$A$8:$A$19,'Estimator'!$B$4,'Wind Proxy'!$B$8:$B$19,C5359)</x:f>
        <x:v>0.13739545997610514</x:v>
      </x:c>
    </x:row>
    <x:row r="5360">
      <x:c r="A5360" s="379" t="n">
        <x:v>51011</x:v>
      </x:c>
      <x:c r="B5360" s="380" t="n">
        <x:v>2039</x:v>
      </x:c>
      <x:c r="C5360" s="380" t="n">
        <x:v>8</x:v>
      </x:c>
      <x:c r="D5360" s="380" t="str">
        <x:v>Aug</x:v>
      </x:c>
      <x:c r="E5360" s="380" t="n">
        <x:v>29</x:v>
      </x:c>
      <x:c r="F5360" s="380" t="n">
        <x:v>1</x:v>
      </x:c>
      <x:c r="G5360" s="380" t="n">
        <x:f>--(F5360&lt;='Estimator'!$B$7)</x:f>
        <x:v>1</x:v>
      </x:c>
      <x:c r="H5360" s="381" t="n">
        <x:f>SUMIFS('Climate Data'!$G$7:$G$366,'Climate Data'!$A$7:$A$366,'Estimator'!$B$4,'Climate Data'!$B$7:$B$366,C5360)</x:f>
        <x:v>0.47274749721913234</x:v>
      </x:c>
      <x:c r="I5360" s="382" t="n">
        <x:f>SUMIFS('Climate Data'!$H$7:$H$366,'Climate Data'!$A$7:$A$366,'Estimator'!$B$4,'Climate Data'!$B$7:$B$366,C5360)</x:f>
        <x:v>7.9971764705882356</x:v>
      </x:c>
      <x:c r="J5360" s="381" t="n">
        <x:f>SUMIFS('Wind Proxy'!$H$8:$H$19,'Wind Proxy'!$A$8:$A$19,'Estimator'!$B$4,'Wind Proxy'!$B$8:$B$19,C5360)</x:f>
        <x:v>0.13739545997610514</x:v>
      </x:c>
    </x:row>
    <x:row r="5361">
      <x:c r="A5361" s="379" t="n">
        <x:v>51012</x:v>
      </x:c>
      <x:c r="B5361" s="380" t="n">
        <x:v>2039</x:v>
      </x:c>
      <x:c r="C5361" s="380" t="n">
        <x:v>8</x:v>
      </x:c>
      <x:c r="D5361" s="380" t="str">
        <x:v>Aug</x:v>
      </x:c>
      <x:c r="E5361" s="380" t="n">
        <x:v>30</x:v>
      </x:c>
      <x:c r="F5361" s="380" t="n">
        <x:v>2</x:v>
      </x:c>
      <x:c r="G5361" s="380" t="n">
        <x:f>--(F5361&lt;='Estimator'!$B$7)</x:f>
        <x:v>1</x:v>
      </x:c>
      <x:c r="H5361" s="381" t="n">
        <x:f>SUMIFS('Climate Data'!$G$7:$G$366,'Climate Data'!$A$7:$A$366,'Estimator'!$B$4,'Climate Data'!$B$7:$B$366,C5361)</x:f>
        <x:v>0.47274749721913234</x:v>
      </x:c>
      <x:c r="I5361" s="382" t="n">
        <x:f>SUMIFS('Climate Data'!$H$7:$H$366,'Climate Data'!$A$7:$A$366,'Estimator'!$B$4,'Climate Data'!$B$7:$B$366,C5361)</x:f>
        <x:v>7.9971764705882356</x:v>
      </x:c>
      <x:c r="J5361" s="381" t="n">
        <x:f>SUMIFS('Wind Proxy'!$H$8:$H$19,'Wind Proxy'!$A$8:$A$19,'Estimator'!$B$4,'Wind Proxy'!$B$8:$B$19,C5361)</x:f>
        <x:v>0.13739545997610514</x:v>
      </x:c>
    </x:row>
    <x:row r="5362">
      <x:c r="A5362" s="379" t="n">
        <x:v>51013</x:v>
      </x:c>
      <x:c r="B5362" s="380" t="n">
        <x:v>2039</x:v>
      </x:c>
      <x:c r="C5362" s="380" t="n">
        <x:v>8</x:v>
      </x:c>
      <x:c r="D5362" s="380" t="str">
        <x:v>Aug</x:v>
      </x:c>
      <x:c r="E5362" s="380" t="n">
        <x:v>31</x:v>
      </x:c>
      <x:c r="F5362" s="380" t="n">
        <x:v>3</x:v>
      </x:c>
      <x:c r="G5362" s="380" t="n">
        <x:f>--(F5362&lt;='Estimator'!$B$7)</x:f>
        <x:v>1</x:v>
      </x:c>
      <x:c r="H5362" s="381" t="n">
        <x:f>SUMIFS('Climate Data'!$G$7:$G$366,'Climate Data'!$A$7:$A$366,'Estimator'!$B$4,'Climate Data'!$B$7:$B$366,C5362)</x:f>
        <x:v>0.47274749721913234</x:v>
      </x:c>
      <x:c r="I5362" s="382" t="n">
        <x:f>SUMIFS('Climate Data'!$H$7:$H$366,'Climate Data'!$A$7:$A$366,'Estimator'!$B$4,'Climate Data'!$B$7:$B$366,C5362)</x:f>
        <x:v>7.9971764705882356</x:v>
      </x:c>
      <x:c r="J5362" s="381" t="n">
        <x:f>SUMIFS('Wind Proxy'!$H$8:$H$19,'Wind Proxy'!$A$8:$A$19,'Estimator'!$B$4,'Wind Proxy'!$B$8:$B$19,C5362)</x:f>
        <x:v>0.13739545997610514</x:v>
      </x:c>
    </x:row>
    <x:row r="5363">
      <x:c r="A5363" s="379" t="n">
        <x:v>51014</x:v>
      </x:c>
      <x:c r="B5363" s="380" t="n">
        <x:v>2039</x:v>
      </x:c>
      <x:c r="C5363" s="380" t="n">
        <x:v>9</x:v>
      </x:c>
      <x:c r="D5363" s="380" t="str">
        <x:v>Sep</x:v>
      </x:c>
      <x:c r="E5363" s="380" t="n">
        <x:v>1</x:v>
      </x:c>
      <x:c r="F5363" s="380" t="n">
        <x:v>4</x:v>
      </x:c>
      <x:c r="G5363" s="380" t="n">
        <x:f>--(F5363&lt;='Estimator'!$B$7)</x:f>
        <x:v>1</x:v>
      </x:c>
      <x:c r="H5363" s="381" t="n">
        <x:f>SUMIFS('Climate Data'!$G$7:$G$366,'Climate Data'!$A$7:$A$366,'Estimator'!$B$4,'Climate Data'!$B$7:$B$366,C5363)</x:f>
        <x:v>0.4160919540229885</x:v>
      </x:c>
      <x:c r="I5363" s="382" t="n">
        <x:f>SUMIFS('Climate Data'!$H$7:$H$366,'Climate Data'!$A$7:$A$366,'Estimator'!$B$4,'Climate Data'!$B$7:$B$366,C5363)</x:f>
        <x:v>8.019060773480662</x:v>
      </x:c>
      <x:c r="J5363" s="381" t="n">
        <x:f>SUMIFS('Wind Proxy'!$H$8:$H$19,'Wind Proxy'!$A$8:$A$19,'Estimator'!$B$4,'Wind Proxy'!$B$8:$B$19,C5363)</x:f>
        <x:v>0.22222222222222224</x:v>
      </x:c>
    </x:row>
    <x:row r="5364">
      <x:c r="A5364" s="379" t="n">
        <x:v>51015</x:v>
      </x:c>
      <x:c r="B5364" s="380" t="n">
        <x:v>2039</x:v>
      </x:c>
      <x:c r="C5364" s="380" t="n">
        <x:v>9</x:v>
      </x:c>
      <x:c r="D5364" s="380" t="str">
        <x:v>Sep</x:v>
      </x:c>
      <x:c r="E5364" s="380" t="n">
        <x:v>2</x:v>
      </x:c>
      <x:c r="F5364" s="380" t="n">
        <x:v>5</x:v>
      </x:c>
      <x:c r="G5364" s="380" t="n">
        <x:f>--(F5364&lt;='Estimator'!$B$7)</x:f>
        <x:v>1</x:v>
      </x:c>
      <x:c r="H5364" s="381" t="n">
        <x:f>SUMIFS('Climate Data'!$G$7:$G$366,'Climate Data'!$A$7:$A$366,'Estimator'!$B$4,'Climate Data'!$B$7:$B$366,C5364)</x:f>
        <x:v>0.4160919540229885</x:v>
      </x:c>
      <x:c r="I5364" s="382" t="n">
        <x:f>SUMIFS('Climate Data'!$H$7:$H$366,'Climate Data'!$A$7:$A$366,'Estimator'!$B$4,'Climate Data'!$B$7:$B$366,C5364)</x:f>
        <x:v>8.019060773480662</x:v>
      </x:c>
      <x:c r="J5364" s="381" t="n">
        <x:f>SUMIFS('Wind Proxy'!$H$8:$H$19,'Wind Proxy'!$A$8:$A$19,'Estimator'!$B$4,'Wind Proxy'!$B$8:$B$19,C5364)</x:f>
        <x:v>0.22222222222222224</x:v>
      </x:c>
    </x:row>
    <x:row r="5365">
      <x:c r="A5365" s="379" t="n">
        <x:v>51016</x:v>
      </x:c>
      <x:c r="B5365" s="380" t="n">
        <x:v>2039</x:v>
      </x:c>
      <x:c r="C5365" s="380" t="n">
        <x:v>9</x:v>
      </x:c>
      <x:c r="D5365" s="380" t="str">
        <x:v>Sep</x:v>
      </x:c>
      <x:c r="E5365" s="380" t="n">
        <x:v>3</x:v>
      </x:c>
      <x:c r="F5365" s="380" t="n">
        <x:v>6</x:v>
      </x:c>
      <x:c r="G5365" s="380" t="n">
        <x:f>--(F5365&lt;='Estimator'!$B$7)</x:f>
        <x:v>0</x:v>
      </x:c>
      <x:c r="H5365" s="381" t="n">
        <x:f>SUMIFS('Climate Data'!$G$7:$G$366,'Climate Data'!$A$7:$A$366,'Estimator'!$B$4,'Climate Data'!$B$7:$B$366,C5365)</x:f>
        <x:v>0.4160919540229885</x:v>
      </x:c>
      <x:c r="I5365" s="382" t="n">
        <x:f>SUMIFS('Climate Data'!$H$7:$H$366,'Climate Data'!$A$7:$A$366,'Estimator'!$B$4,'Climate Data'!$B$7:$B$366,C5365)</x:f>
        <x:v>8.019060773480662</x:v>
      </x:c>
      <x:c r="J5365" s="381" t="n">
        <x:f>SUMIFS('Wind Proxy'!$H$8:$H$19,'Wind Proxy'!$A$8:$A$19,'Estimator'!$B$4,'Wind Proxy'!$B$8:$B$19,C5365)</x:f>
        <x:v>0.22222222222222224</x:v>
      </x:c>
    </x:row>
    <x:row r="5366">
      <x:c r="A5366" s="379" t="n">
        <x:v>51017</x:v>
      </x:c>
      <x:c r="B5366" s="380" t="n">
        <x:v>2039</x:v>
      </x:c>
      <x:c r="C5366" s="380" t="n">
        <x:v>9</x:v>
      </x:c>
      <x:c r="D5366" s="380" t="str">
        <x:v>Sep</x:v>
      </x:c>
      <x:c r="E5366" s="380" t="n">
        <x:v>4</x:v>
      </x:c>
      <x:c r="F5366" s="380" t="n">
        <x:v>7</x:v>
      </x:c>
      <x:c r="G5366" s="380" t="n">
        <x:f>--(F5366&lt;='Estimator'!$B$7)</x:f>
        <x:v>0</x:v>
      </x:c>
      <x:c r="H5366" s="381" t="n">
        <x:f>SUMIFS('Climate Data'!$G$7:$G$366,'Climate Data'!$A$7:$A$366,'Estimator'!$B$4,'Climate Data'!$B$7:$B$366,C5366)</x:f>
        <x:v>0.4160919540229885</x:v>
      </x:c>
      <x:c r="I5366" s="382" t="n">
        <x:f>SUMIFS('Climate Data'!$H$7:$H$366,'Climate Data'!$A$7:$A$366,'Estimator'!$B$4,'Climate Data'!$B$7:$B$366,C5366)</x:f>
        <x:v>8.019060773480662</x:v>
      </x:c>
      <x:c r="J5366" s="381" t="n">
        <x:f>SUMIFS('Wind Proxy'!$H$8:$H$19,'Wind Proxy'!$A$8:$A$19,'Estimator'!$B$4,'Wind Proxy'!$B$8:$B$19,C5366)</x:f>
        <x:v>0.22222222222222224</x:v>
      </x:c>
    </x:row>
    <x:row r="5367">
      <x:c r="A5367" s="379" t="n">
        <x:v>51018</x:v>
      </x:c>
      <x:c r="B5367" s="380" t="n">
        <x:v>2039</x:v>
      </x:c>
      <x:c r="C5367" s="380" t="n">
        <x:v>9</x:v>
      </x:c>
      <x:c r="D5367" s="380" t="str">
        <x:v>Sep</x:v>
      </x:c>
      <x:c r="E5367" s="380" t="n">
        <x:v>5</x:v>
      </x:c>
      <x:c r="F5367" s="380" t="n">
        <x:v>1</x:v>
      </x:c>
      <x:c r="G5367" s="380" t="n">
        <x:f>--(F5367&lt;='Estimator'!$B$7)</x:f>
        <x:v>1</x:v>
      </x:c>
      <x:c r="H5367" s="381" t="n">
        <x:f>SUMIFS('Climate Data'!$G$7:$G$366,'Climate Data'!$A$7:$A$366,'Estimator'!$B$4,'Climate Data'!$B$7:$B$366,C5367)</x:f>
        <x:v>0.4160919540229885</x:v>
      </x:c>
      <x:c r="I5367" s="382" t="n">
        <x:f>SUMIFS('Climate Data'!$H$7:$H$366,'Climate Data'!$A$7:$A$366,'Estimator'!$B$4,'Climate Data'!$B$7:$B$366,C5367)</x:f>
        <x:v>8.019060773480662</x:v>
      </x:c>
      <x:c r="J5367" s="381" t="n">
        <x:f>SUMIFS('Wind Proxy'!$H$8:$H$19,'Wind Proxy'!$A$8:$A$19,'Estimator'!$B$4,'Wind Proxy'!$B$8:$B$19,C5367)</x:f>
        <x:v>0.22222222222222224</x:v>
      </x:c>
    </x:row>
    <x:row r="5368">
      <x:c r="A5368" s="379" t="n">
        <x:v>51019</x:v>
      </x:c>
      <x:c r="B5368" s="380" t="n">
        <x:v>2039</x:v>
      </x:c>
      <x:c r="C5368" s="380" t="n">
        <x:v>9</x:v>
      </x:c>
      <x:c r="D5368" s="380" t="str">
        <x:v>Sep</x:v>
      </x:c>
      <x:c r="E5368" s="380" t="n">
        <x:v>6</x:v>
      </x:c>
      <x:c r="F5368" s="380" t="n">
        <x:v>2</x:v>
      </x:c>
      <x:c r="G5368" s="380" t="n">
        <x:f>--(F5368&lt;='Estimator'!$B$7)</x:f>
        <x:v>1</x:v>
      </x:c>
      <x:c r="H5368" s="381" t="n">
        <x:f>SUMIFS('Climate Data'!$G$7:$G$366,'Climate Data'!$A$7:$A$366,'Estimator'!$B$4,'Climate Data'!$B$7:$B$366,C5368)</x:f>
        <x:v>0.4160919540229885</x:v>
      </x:c>
      <x:c r="I5368" s="382" t="n">
        <x:f>SUMIFS('Climate Data'!$H$7:$H$366,'Climate Data'!$A$7:$A$366,'Estimator'!$B$4,'Climate Data'!$B$7:$B$366,C5368)</x:f>
        <x:v>8.019060773480662</x:v>
      </x:c>
      <x:c r="J5368" s="381" t="n">
        <x:f>SUMIFS('Wind Proxy'!$H$8:$H$19,'Wind Proxy'!$A$8:$A$19,'Estimator'!$B$4,'Wind Proxy'!$B$8:$B$19,C5368)</x:f>
        <x:v>0.22222222222222224</x:v>
      </x:c>
    </x:row>
    <x:row r="5369">
      <x:c r="A5369" s="379" t="n">
        <x:v>51020</x:v>
      </x:c>
      <x:c r="B5369" s="380" t="n">
        <x:v>2039</x:v>
      </x:c>
      <x:c r="C5369" s="380" t="n">
        <x:v>9</x:v>
      </x:c>
      <x:c r="D5369" s="380" t="str">
        <x:v>Sep</x:v>
      </x:c>
      <x:c r="E5369" s="380" t="n">
        <x:v>7</x:v>
      </x:c>
      <x:c r="F5369" s="380" t="n">
        <x:v>3</x:v>
      </x:c>
      <x:c r="G5369" s="380" t="n">
        <x:f>--(F5369&lt;='Estimator'!$B$7)</x:f>
        <x:v>1</x:v>
      </x:c>
      <x:c r="H5369" s="381" t="n">
        <x:f>SUMIFS('Climate Data'!$G$7:$G$366,'Climate Data'!$A$7:$A$366,'Estimator'!$B$4,'Climate Data'!$B$7:$B$366,C5369)</x:f>
        <x:v>0.4160919540229885</x:v>
      </x:c>
      <x:c r="I5369" s="382" t="n">
        <x:f>SUMIFS('Climate Data'!$H$7:$H$366,'Climate Data'!$A$7:$A$366,'Estimator'!$B$4,'Climate Data'!$B$7:$B$366,C5369)</x:f>
        <x:v>8.019060773480662</x:v>
      </x:c>
      <x:c r="J5369" s="381" t="n">
        <x:f>SUMIFS('Wind Proxy'!$H$8:$H$19,'Wind Proxy'!$A$8:$A$19,'Estimator'!$B$4,'Wind Proxy'!$B$8:$B$19,C5369)</x:f>
        <x:v>0.22222222222222224</x:v>
      </x:c>
    </x:row>
    <x:row r="5370">
      <x:c r="A5370" s="379" t="n">
        <x:v>51021</x:v>
      </x:c>
      <x:c r="B5370" s="380" t="n">
        <x:v>2039</x:v>
      </x:c>
      <x:c r="C5370" s="380" t="n">
        <x:v>9</x:v>
      </x:c>
      <x:c r="D5370" s="380" t="str">
        <x:v>Sep</x:v>
      </x:c>
      <x:c r="E5370" s="380" t="n">
        <x:v>8</x:v>
      </x:c>
      <x:c r="F5370" s="380" t="n">
        <x:v>4</x:v>
      </x:c>
      <x:c r="G5370" s="380" t="n">
        <x:f>--(F5370&lt;='Estimator'!$B$7)</x:f>
        <x:v>1</x:v>
      </x:c>
      <x:c r="H5370" s="381" t="n">
        <x:f>SUMIFS('Climate Data'!$G$7:$G$366,'Climate Data'!$A$7:$A$366,'Estimator'!$B$4,'Climate Data'!$B$7:$B$366,C5370)</x:f>
        <x:v>0.4160919540229885</x:v>
      </x:c>
      <x:c r="I5370" s="382" t="n">
        <x:f>SUMIFS('Climate Data'!$H$7:$H$366,'Climate Data'!$A$7:$A$366,'Estimator'!$B$4,'Climate Data'!$B$7:$B$366,C5370)</x:f>
        <x:v>8.019060773480662</x:v>
      </x:c>
      <x:c r="J5370" s="381" t="n">
        <x:f>SUMIFS('Wind Proxy'!$H$8:$H$19,'Wind Proxy'!$A$8:$A$19,'Estimator'!$B$4,'Wind Proxy'!$B$8:$B$19,C5370)</x:f>
        <x:v>0.22222222222222224</x:v>
      </x:c>
    </x:row>
    <x:row r="5371">
      <x:c r="A5371" s="379" t="n">
        <x:v>51022</x:v>
      </x:c>
      <x:c r="B5371" s="380" t="n">
        <x:v>2039</x:v>
      </x:c>
      <x:c r="C5371" s="380" t="n">
        <x:v>9</x:v>
      </x:c>
      <x:c r="D5371" s="380" t="str">
        <x:v>Sep</x:v>
      </x:c>
      <x:c r="E5371" s="380" t="n">
        <x:v>9</x:v>
      </x:c>
      <x:c r="F5371" s="380" t="n">
        <x:v>5</x:v>
      </x:c>
      <x:c r="G5371" s="380" t="n">
        <x:f>--(F5371&lt;='Estimator'!$B$7)</x:f>
        <x:v>1</x:v>
      </x:c>
      <x:c r="H5371" s="381" t="n">
        <x:f>SUMIFS('Climate Data'!$G$7:$G$366,'Climate Data'!$A$7:$A$366,'Estimator'!$B$4,'Climate Data'!$B$7:$B$366,C5371)</x:f>
        <x:v>0.4160919540229885</x:v>
      </x:c>
      <x:c r="I5371" s="382" t="n">
        <x:f>SUMIFS('Climate Data'!$H$7:$H$366,'Climate Data'!$A$7:$A$366,'Estimator'!$B$4,'Climate Data'!$B$7:$B$366,C5371)</x:f>
        <x:v>8.019060773480662</x:v>
      </x:c>
      <x:c r="J5371" s="381" t="n">
        <x:f>SUMIFS('Wind Proxy'!$H$8:$H$19,'Wind Proxy'!$A$8:$A$19,'Estimator'!$B$4,'Wind Proxy'!$B$8:$B$19,C5371)</x:f>
        <x:v>0.22222222222222224</x:v>
      </x:c>
    </x:row>
    <x:row r="5372">
      <x:c r="A5372" s="379" t="n">
        <x:v>51023</x:v>
      </x:c>
      <x:c r="B5372" s="380" t="n">
        <x:v>2039</x:v>
      </x:c>
      <x:c r="C5372" s="380" t="n">
        <x:v>9</x:v>
      </x:c>
      <x:c r="D5372" s="380" t="str">
        <x:v>Sep</x:v>
      </x:c>
      <x:c r="E5372" s="380" t="n">
        <x:v>10</x:v>
      </x:c>
      <x:c r="F5372" s="380" t="n">
        <x:v>6</x:v>
      </x:c>
      <x:c r="G5372" s="380" t="n">
        <x:f>--(F5372&lt;='Estimator'!$B$7)</x:f>
        <x:v>0</x:v>
      </x:c>
      <x:c r="H5372" s="381" t="n">
        <x:f>SUMIFS('Climate Data'!$G$7:$G$366,'Climate Data'!$A$7:$A$366,'Estimator'!$B$4,'Climate Data'!$B$7:$B$366,C5372)</x:f>
        <x:v>0.4160919540229885</x:v>
      </x:c>
      <x:c r="I5372" s="382" t="n">
        <x:f>SUMIFS('Climate Data'!$H$7:$H$366,'Climate Data'!$A$7:$A$366,'Estimator'!$B$4,'Climate Data'!$B$7:$B$366,C5372)</x:f>
        <x:v>8.019060773480662</x:v>
      </x:c>
      <x:c r="J5372" s="381" t="n">
        <x:f>SUMIFS('Wind Proxy'!$H$8:$H$19,'Wind Proxy'!$A$8:$A$19,'Estimator'!$B$4,'Wind Proxy'!$B$8:$B$19,C5372)</x:f>
        <x:v>0.22222222222222224</x:v>
      </x:c>
    </x:row>
    <x:row r="5373">
      <x:c r="A5373" s="379" t="n">
        <x:v>51024</x:v>
      </x:c>
      <x:c r="B5373" s="380" t="n">
        <x:v>2039</x:v>
      </x:c>
      <x:c r="C5373" s="380" t="n">
        <x:v>9</x:v>
      </x:c>
      <x:c r="D5373" s="380" t="str">
        <x:v>Sep</x:v>
      </x:c>
      <x:c r="E5373" s="380" t="n">
        <x:v>11</x:v>
      </x:c>
      <x:c r="F5373" s="380" t="n">
        <x:v>7</x:v>
      </x:c>
      <x:c r="G5373" s="380" t="n">
        <x:f>--(F5373&lt;='Estimator'!$B$7)</x:f>
        <x:v>0</x:v>
      </x:c>
      <x:c r="H5373" s="381" t="n">
        <x:f>SUMIFS('Climate Data'!$G$7:$G$366,'Climate Data'!$A$7:$A$366,'Estimator'!$B$4,'Climate Data'!$B$7:$B$366,C5373)</x:f>
        <x:v>0.4160919540229885</x:v>
      </x:c>
      <x:c r="I5373" s="382" t="n">
        <x:f>SUMIFS('Climate Data'!$H$7:$H$366,'Climate Data'!$A$7:$A$366,'Estimator'!$B$4,'Climate Data'!$B$7:$B$366,C5373)</x:f>
        <x:v>8.019060773480662</x:v>
      </x:c>
      <x:c r="J5373" s="381" t="n">
        <x:f>SUMIFS('Wind Proxy'!$H$8:$H$19,'Wind Proxy'!$A$8:$A$19,'Estimator'!$B$4,'Wind Proxy'!$B$8:$B$19,C5373)</x:f>
        <x:v>0.22222222222222224</x:v>
      </x:c>
    </x:row>
    <x:row r="5374">
      <x:c r="A5374" s="379" t="n">
        <x:v>51025</x:v>
      </x:c>
      <x:c r="B5374" s="380" t="n">
        <x:v>2039</x:v>
      </x:c>
      <x:c r="C5374" s="380" t="n">
        <x:v>9</x:v>
      </x:c>
      <x:c r="D5374" s="380" t="str">
        <x:v>Sep</x:v>
      </x:c>
      <x:c r="E5374" s="380" t="n">
        <x:v>12</x:v>
      </x:c>
      <x:c r="F5374" s="380" t="n">
        <x:v>1</x:v>
      </x:c>
      <x:c r="G5374" s="380" t="n">
        <x:f>--(F5374&lt;='Estimator'!$B$7)</x:f>
        <x:v>1</x:v>
      </x:c>
      <x:c r="H5374" s="381" t="n">
        <x:f>SUMIFS('Climate Data'!$G$7:$G$366,'Climate Data'!$A$7:$A$366,'Estimator'!$B$4,'Climate Data'!$B$7:$B$366,C5374)</x:f>
        <x:v>0.4160919540229885</x:v>
      </x:c>
      <x:c r="I5374" s="382" t="n">
        <x:f>SUMIFS('Climate Data'!$H$7:$H$366,'Climate Data'!$A$7:$A$366,'Estimator'!$B$4,'Climate Data'!$B$7:$B$366,C5374)</x:f>
        <x:v>8.019060773480662</x:v>
      </x:c>
      <x:c r="J5374" s="381" t="n">
        <x:f>SUMIFS('Wind Proxy'!$H$8:$H$19,'Wind Proxy'!$A$8:$A$19,'Estimator'!$B$4,'Wind Proxy'!$B$8:$B$19,C5374)</x:f>
        <x:v>0.22222222222222224</x:v>
      </x:c>
    </x:row>
    <x:row r="5375">
      <x:c r="A5375" s="379" t="n">
        <x:v>51026</x:v>
      </x:c>
      <x:c r="B5375" s="380" t="n">
        <x:v>2039</x:v>
      </x:c>
      <x:c r="C5375" s="380" t="n">
        <x:v>9</x:v>
      </x:c>
      <x:c r="D5375" s="380" t="str">
        <x:v>Sep</x:v>
      </x:c>
      <x:c r="E5375" s="380" t="n">
        <x:v>13</x:v>
      </x:c>
      <x:c r="F5375" s="380" t="n">
        <x:v>2</x:v>
      </x:c>
      <x:c r="G5375" s="380" t="n">
        <x:f>--(F5375&lt;='Estimator'!$B$7)</x:f>
        <x:v>1</x:v>
      </x:c>
      <x:c r="H5375" s="381" t="n">
        <x:f>SUMIFS('Climate Data'!$G$7:$G$366,'Climate Data'!$A$7:$A$366,'Estimator'!$B$4,'Climate Data'!$B$7:$B$366,C5375)</x:f>
        <x:v>0.4160919540229885</x:v>
      </x:c>
      <x:c r="I5375" s="382" t="n">
        <x:f>SUMIFS('Climate Data'!$H$7:$H$366,'Climate Data'!$A$7:$A$366,'Estimator'!$B$4,'Climate Data'!$B$7:$B$366,C5375)</x:f>
        <x:v>8.019060773480662</x:v>
      </x:c>
      <x:c r="J5375" s="381" t="n">
        <x:f>SUMIFS('Wind Proxy'!$H$8:$H$19,'Wind Proxy'!$A$8:$A$19,'Estimator'!$B$4,'Wind Proxy'!$B$8:$B$19,C5375)</x:f>
        <x:v>0.22222222222222224</x:v>
      </x:c>
    </x:row>
    <x:row r="5376">
      <x:c r="A5376" s="379" t="n">
        <x:v>51027</x:v>
      </x:c>
      <x:c r="B5376" s="380" t="n">
        <x:v>2039</x:v>
      </x:c>
      <x:c r="C5376" s="380" t="n">
        <x:v>9</x:v>
      </x:c>
      <x:c r="D5376" s="380" t="str">
        <x:v>Sep</x:v>
      </x:c>
      <x:c r="E5376" s="380" t="n">
        <x:v>14</x:v>
      </x:c>
      <x:c r="F5376" s="380" t="n">
        <x:v>3</x:v>
      </x:c>
      <x:c r="G5376" s="380" t="n">
        <x:f>--(F5376&lt;='Estimator'!$B$7)</x:f>
        <x:v>1</x:v>
      </x:c>
      <x:c r="H5376" s="381" t="n">
        <x:f>SUMIFS('Climate Data'!$G$7:$G$366,'Climate Data'!$A$7:$A$366,'Estimator'!$B$4,'Climate Data'!$B$7:$B$366,C5376)</x:f>
        <x:v>0.4160919540229885</x:v>
      </x:c>
      <x:c r="I5376" s="382" t="n">
        <x:f>SUMIFS('Climate Data'!$H$7:$H$366,'Climate Data'!$A$7:$A$366,'Estimator'!$B$4,'Climate Data'!$B$7:$B$366,C5376)</x:f>
        <x:v>8.019060773480662</x:v>
      </x:c>
      <x:c r="J5376" s="381" t="n">
        <x:f>SUMIFS('Wind Proxy'!$H$8:$H$19,'Wind Proxy'!$A$8:$A$19,'Estimator'!$B$4,'Wind Proxy'!$B$8:$B$19,C5376)</x:f>
        <x:v>0.22222222222222224</x:v>
      </x:c>
    </x:row>
    <x:row r="5377">
      <x:c r="A5377" s="379" t="n">
        <x:v>51028</x:v>
      </x:c>
      <x:c r="B5377" s="380" t="n">
        <x:v>2039</x:v>
      </x:c>
      <x:c r="C5377" s="380" t="n">
        <x:v>9</x:v>
      </x:c>
      <x:c r="D5377" s="380" t="str">
        <x:v>Sep</x:v>
      </x:c>
      <x:c r="E5377" s="380" t="n">
        <x:v>15</x:v>
      </x:c>
      <x:c r="F5377" s="380" t="n">
        <x:v>4</x:v>
      </x:c>
      <x:c r="G5377" s="380" t="n">
        <x:f>--(F5377&lt;='Estimator'!$B$7)</x:f>
        <x:v>1</x:v>
      </x:c>
      <x:c r="H5377" s="381" t="n">
        <x:f>SUMIFS('Climate Data'!$G$7:$G$366,'Climate Data'!$A$7:$A$366,'Estimator'!$B$4,'Climate Data'!$B$7:$B$366,C5377)</x:f>
        <x:v>0.4160919540229885</x:v>
      </x:c>
      <x:c r="I5377" s="382" t="n">
        <x:f>SUMIFS('Climate Data'!$H$7:$H$366,'Climate Data'!$A$7:$A$366,'Estimator'!$B$4,'Climate Data'!$B$7:$B$366,C5377)</x:f>
        <x:v>8.019060773480662</x:v>
      </x:c>
      <x:c r="J5377" s="381" t="n">
        <x:f>SUMIFS('Wind Proxy'!$H$8:$H$19,'Wind Proxy'!$A$8:$A$19,'Estimator'!$B$4,'Wind Proxy'!$B$8:$B$19,C5377)</x:f>
        <x:v>0.22222222222222224</x:v>
      </x:c>
    </x:row>
    <x:row r="5378">
      <x:c r="A5378" s="379" t="n">
        <x:v>51029</x:v>
      </x:c>
      <x:c r="B5378" s="380" t="n">
        <x:v>2039</x:v>
      </x:c>
      <x:c r="C5378" s="380" t="n">
        <x:v>9</x:v>
      </x:c>
      <x:c r="D5378" s="380" t="str">
        <x:v>Sep</x:v>
      </x:c>
      <x:c r="E5378" s="380" t="n">
        <x:v>16</x:v>
      </x:c>
      <x:c r="F5378" s="380" t="n">
        <x:v>5</x:v>
      </x:c>
      <x:c r="G5378" s="380" t="n">
        <x:f>--(F5378&lt;='Estimator'!$B$7)</x:f>
        <x:v>1</x:v>
      </x:c>
      <x:c r="H5378" s="381" t="n">
        <x:f>SUMIFS('Climate Data'!$G$7:$G$366,'Climate Data'!$A$7:$A$366,'Estimator'!$B$4,'Climate Data'!$B$7:$B$366,C5378)</x:f>
        <x:v>0.4160919540229885</x:v>
      </x:c>
      <x:c r="I5378" s="382" t="n">
        <x:f>SUMIFS('Climate Data'!$H$7:$H$366,'Climate Data'!$A$7:$A$366,'Estimator'!$B$4,'Climate Data'!$B$7:$B$366,C5378)</x:f>
        <x:v>8.019060773480662</x:v>
      </x:c>
      <x:c r="J5378" s="381" t="n">
        <x:f>SUMIFS('Wind Proxy'!$H$8:$H$19,'Wind Proxy'!$A$8:$A$19,'Estimator'!$B$4,'Wind Proxy'!$B$8:$B$19,C5378)</x:f>
        <x:v>0.22222222222222224</x:v>
      </x:c>
    </x:row>
    <x:row r="5379">
      <x:c r="A5379" s="379" t="n">
        <x:v>51030</x:v>
      </x:c>
      <x:c r="B5379" s="380" t="n">
        <x:v>2039</x:v>
      </x:c>
      <x:c r="C5379" s="380" t="n">
        <x:v>9</x:v>
      </x:c>
      <x:c r="D5379" s="380" t="str">
        <x:v>Sep</x:v>
      </x:c>
      <x:c r="E5379" s="380" t="n">
        <x:v>17</x:v>
      </x:c>
      <x:c r="F5379" s="380" t="n">
        <x:v>6</x:v>
      </x:c>
      <x:c r="G5379" s="380" t="n">
        <x:f>--(F5379&lt;='Estimator'!$B$7)</x:f>
        <x:v>0</x:v>
      </x:c>
      <x:c r="H5379" s="381" t="n">
        <x:f>SUMIFS('Climate Data'!$G$7:$G$366,'Climate Data'!$A$7:$A$366,'Estimator'!$B$4,'Climate Data'!$B$7:$B$366,C5379)</x:f>
        <x:v>0.4160919540229885</x:v>
      </x:c>
      <x:c r="I5379" s="382" t="n">
        <x:f>SUMIFS('Climate Data'!$H$7:$H$366,'Climate Data'!$A$7:$A$366,'Estimator'!$B$4,'Climate Data'!$B$7:$B$366,C5379)</x:f>
        <x:v>8.019060773480662</x:v>
      </x:c>
      <x:c r="J5379" s="381" t="n">
        <x:f>SUMIFS('Wind Proxy'!$H$8:$H$19,'Wind Proxy'!$A$8:$A$19,'Estimator'!$B$4,'Wind Proxy'!$B$8:$B$19,C5379)</x:f>
        <x:v>0.22222222222222224</x:v>
      </x:c>
    </x:row>
    <x:row r="5380">
      <x:c r="A5380" s="379" t="n">
        <x:v>51031</x:v>
      </x:c>
      <x:c r="B5380" s="380" t="n">
        <x:v>2039</x:v>
      </x:c>
      <x:c r="C5380" s="380" t="n">
        <x:v>9</x:v>
      </x:c>
      <x:c r="D5380" s="380" t="str">
        <x:v>Sep</x:v>
      </x:c>
      <x:c r="E5380" s="380" t="n">
        <x:v>18</x:v>
      </x:c>
      <x:c r="F5380" s="380" t="n">
        <x:v>7</x:v>
      </x:c>
      <x:c r="G5380" s="380" t="n">
        <x:f>--(F5380&lt;='Estimator'!$B$7)</x:f>
        <x:v>0</x:v>
      </x:c>
      <x:c r="H5380" s="381" t="n">
        <x:f>SUMIFS('Climate Data'!$G$7:$G$366,'Climate Data'!$A$7:$A$366,'Estimator'!$B$4,'Climate Data'!$B$7:$B$366,C5380)</x:f>
        <x:v>0.4160919540229885</x:v>
      </x:c>
      <x:c r="I5380" s="382" t="n">
        <x:f>SUMIFS('Climate Data'!$H$7:$H$366,'Climate Data'!$A$7:$A$366,'Estimator'!$B$4,'Climate Data'!$B$7:$B$366,C5380)</x:f>
        <x:v>8.019060773480662</x:v>
      </x:c>
      <x:c r="J5380" s="381" t="n">
        <x:f>SUMIFS('Wind Proxy'!$H$8:$H$19,'Wind Proxy'!$A$8:$A$19,'Estimator'!$B$4,'Wind Proxy'!$B$8:$B$19,C5380)</x:f>
        <x:v>0.22222222222222224</x:v>
      </x:c>
    </x:row>
    <x:row r="5381">
      <x:c r="A5381" s="379" t="n">
        <x:v>51032</x:v>
      </x:c>
      <x:c r="B5381" s="380" t="n">
        <x:v>2039</x:v>
      </x:c>
      <x:c r="C5381" s="380" t="n">
        <x:v>9</x:v>
      </x:c>
      <x:c r="D5381" s="380" t="str">
        <x:v>Sep</x:v>
      </x:c>
      <x:c r="E5381" s="380" t="n">
        <x:v>19</x:v>
      </x:c>
      <x:c r="F5381" s="380" t="n">
        <x:v>1</x:v>
      </x:c>
      <x:c r="G5381" s="380" t="n">
        <x:f>--(F5381&lt;='Estimator'!$B$7)</x:f>
        <x:v>1</x:v>
      </x:c>
      <x:c r="H5381" s="381" t="n">
        <x:f>SUMIFS('Climate Data'!$G$7:$G$366,'Climate Data'!$A$7:$A$366,'Estimator'!$B$4,'Climate Data'!$B$7:$B$366,C5381)</x:f>
        <x:v>0.4160919540229885</x:v>
      </x:c>
      <x:c r="I5381" s="382" t="n">
        <x:f>SUMIFS('Climate Data'!$H$7:$H$366,'Climate Data'!$A$7:$A$366,'Estimator'!$B$4,'Climate Data'!$B$7:$B$366,C5381)</x:f>
        <x:v>8.019060773480662</x:v>
      </x:c>
      <x:c r="J5381" s="381" t="n">
        <x:f>SUMIFS('Wind Proxy'!$H$8:$H$19,'Wind Proxy'!$A$8:$A$19,'Estimator'!$B$4,'Wind Proxy'!$B$8:$B$19,C5381)</x:f>
        <x:v>0.22222222222222224</x:v>
      </x:c>
    </x:row>
    <x:row r="5382">
      <x:c r="A5382" s="379" t="n">
        <x:v>51033</x:v>
      </x:c>
      <x:c r="B5382" s="380" t="n">
        <x:v>2039</x:v>
      </x:c>
      <x:c r="C5382" s="380" t="n">
        <x:v>9</x:v>
      </x:c>
      <x:c r="D5382" s="380" t="str">
        <x:v>Sep</x:v>
      </x:c>
      <x:c r="E5382" s="380" t="n">
        <x:v>20</x:v>
      </x:c>
      <x:c r="F5382" s="380" t="n">
        <x:v>2</x:v>
      </x:c>
      <x:c r="G5382" s="380" t="n">
        <x:f>--(F5382&lt;='Estimator'!$B$7)</x:f>
        <x:v>1</x:v>
      </x:c>
      <x:c r="H5382" s="381" t="n">
        <x:f>SUMIFS('Climate Data'!$G$7:$G$366,'Climate Data'!$A$7:$A$366,'Estimator'!$B$4,'Climate Data'!$B$7:$B$366,C5382)</x:f>
        <x:v>0.4160919540229885</x:v>
      </x:c>
      <x:c r="I5382" s="382" t="n">
        <x:f>SUMIFS('Climate Data'!$H$7:$H$366,'Climate Data'!$A$7:$A$366,'Estimator'!$B$4,'Climate Data'!$B$7:$B$366,C5382)</x:f>
        <x:v>8.019060773480662</x:v>
      </x:c>
      <x:c r="J5382" s="381" t="n">
        <x:f>SUMIFS('Wind Proxy'!$H$8:$H$19,'Wind Proxy'!$A$8:$A$19,'Estimator'!$B$4,'Wind Proxy'!$B$8:$B$19,C5382)</x:f>
        <x:v>0.22222222222222224</x:v>
      </x:c>
    </x:row>
    <x:row r="5383">
      <x:c r="A5383" s="379" t="n">
        <x:v>51034</x:v>
      </x:c>
      <x:c r="B5383" s="380" t="n">
        <x:v>2039</x:v>
      </x:c>
      <x:c r="C5383" s="380" t="n">
        <x:v>9</x:v>
      </x:c>
      <x:c r="D5383" s="380" t="str">
        <x:v>Sep</x:v>
      </x:c>
      <x:c r="E5383" s="380" t="n">
        <x:v>21</x:v>
      </x:c>
      <x:c r="F5383" s="380" t="n">
        <x:v>3</x:v>
      </x:c>
      <x:c r="G5383" s="380" t="n">
        <x:f>--(F5383&lt;='Estimator'!$B$7)</x:f>
        <x:v>1</x:v>
      </x:c>
      <x:c r="H5383" s="381" t="n">
        <x:f>SUMIFS('Climate Data'!$G$7:$G$366,'Climate Data'!$A$7:$A$366,'Estimator'!$B$4,'Climate Data'!$B$7:$B$366,C5383)</x:f>
        <x:v>0.4160919540229885</x:v>
      </x:c>
      <x:c r="I5383" s="382" t="n">
        <x:f>SUMIFS('Climate Data'!$H$7:$H$366,'Climate Data'!$A$7:$A$366,'Estimator'!$B$4,'Climate Data'!$B$7:$B$366,C5383)</x:f>
        <x:v>8.019060773480662</x:v>
      </x:c>
      <x:c r="J5383" s="381" t="n">
        <x:f>SUMIFS('Wind Proxy'!$H$8:$H$19,'Wind Proxy'!$A$8:$A$19,'Estimator'!$B$4,'Wind Proxy'!$B$8:$B$19,C5383)</x:f>
        <x:v>0.22222222222222224</x:v>
      </x:c>
    </x:row>
    <x:row r="5384">
      <x:c r="A5384" s="379" t="n">
        <x:v>51035</x:v>
      </x:c>
      <x:c r="B5384" s="380" t="n">
        <x:v>2039</x:v>
      </x:c>
      <x:c r="C5384" s="380" t="n">
        <x:v>9</x:v>
      </x:c>
      <x:c r="D5384" s="380" t="str">
        <x:v>Sep</x:v>
      </x:c>
      <x:c r="E5384" s="380" t="n">
        <x:v>22</x:v>
      </x:c>
      <x:c r="F5384" s="380" t="n">
        <x:v>4</x:v>
      </x:c>
      <x:c r="G5384" s="380" t="n">
        <x:f>--(F5384&lt;='Estimator'!$B$7)</x:f>
        <x:v>1</x:v>
      </x:c>
      <x:c r="H5384" s="381" t="n">
        <x:f>SUMIFS('Climate Data'!$G$7:$G$366,'Climate Data'!$A$7:$A$366,'Estimator'!$B$4,'Climate Data'!$B$7:$B$366,C5384)</x:f>
        <x:v>0.4160919540229885</x:v>
      </x:c>
      <x:c r="I5384" s="382" t="n">
        <x:f>SUMIFS('Climate Data'!$H$7:$H$366,'Climate Data'!$A$7:$A$366,'Estimator'!$B$4,'Climate Data'!$B$7:$B$366,C5384)</x:f>
        <x:v>8.019060773480662</x:v>
      </x:c>
      <x:c r="J5384" s="381" t="n">
        <x:f>SUMIFS('Wind Proxy'!$H$8:$H$19,'Wind Proxy'!$A$8:$A$19,'Estimator'!$B$4,'Wind Proxy'!$B$8:$B$19,C5384)</x:f>
        <x:v>0.22222222222222224</x:v>
      </x:c>
    </x:row>
    <x:row r="5385">
      <x:c r="A5385" s="379" t="n">
        <x:v>51036</x:v>
      </x:c>
      <x:c r="B5385" s="380" t="n">
        <x:v>2039</x:v>
      </x:c>
      <x:c r="C5385" s="380" t="n">
        <x:v>9</x:v>
      </x:c>
      <x:c r="D5385" s="380" t="str">
        <x:v>Sep</x:v>
      </x:c>
      <x:c r="E5385" s="380" t="n">
        <x:v>23</x:v>
      </x:c>
      <x:c r="F5385" s="380" t="n">
        <x:v>5</x:v>
      </x:c>
      <x:c r="G5385" s="380" t="n">
        <x:f>--(F5385&lt;='Estimator'!$B$7)</x:f>
        <x:v>1</x:v>
      </x:c>
      <x:c r="H5385" s="381" t="n">
        <x:f>SUMIFS('Climate Data'!$G$7:$G$366,'Climate Data'!$A$7:$A$366,'Estimator'!$B$4,'Climate Data'!$B$7:$B$366,C5385)</x:f>
        <x:v>0.4160919540229885</x:v>
      </x:c>
      <x:c r="I5385" s="382" t="n">
        <x:f>SUMIFS('Climate Data'!$H$7:$H$366,'Climate Data'!$A$7:$A$366,'Estimator'!$B$4,'Climate Data'!$B$7:$B$366,C5385)</x:f>
        <x:v>8.019060773480662</x:v>
      </x:c>
      <x:c r="J5385" s="381" t="n">
        <x:f>SUMIFS('Wind Proxy'!$H$8:$H$19,'Wind Proxy'!$A$8:$A$19,'Estimator'!$B$4,'Wind Proxy'!$B$8:$B$19,C5385)</x:f>
        <x:v>0.22222222222222224</x:v>
      </x:c>
    </x:row>
    <x:row r="5386">
      <x:c r="A5386" s="379" t="n">
        <x:v>51037</x:v>
      </x:c>
      <x:c r="B5386" s="380" t="n">
        <x:v>2039</x:v>
      </x:c>
      <x:c r="C5386" s="380" t="n">
        <x:v>9</x:v>
      </x:c>
      <x:c r="D5386" s="380" t="str">
        <x:v>Sep</x:v>
      </x:c>
      <x:c r="E5386" s="380" t="n">
        <x:v>24</x:v>
      </x:c>
      <x:c r="F5386" s="380" t="n">
        <x:v>6</x:v>
      </x:c>
      <x:c r="G5386" s="380" t="n">
        <x:f>--(F5386&lt;='Estimator'!$B$7)</x:f>
        <x:v>0</x:v>
      </x:c>
      <x:c r="H5386" s="381" t="n">
        <x:f>SUMIFS('Climate Data'!$G$7:$G$366,'Climate Data'!$A$7:$A$366,'Estimator'!$B$4,'Climate Data'!$B$7:$B$366,C5386)</x:f>
        <x:v>0.4160919540229885</x:v>
      </x:c>
      <x:c r="I5386" s="382" t="n">
        <x:f>SUMIFS('Climate Data'!$H$7:$H$366,'Climate Data'!$A$7:$A$366,'Estimator'!$B$4,'Climate Data'!$B$7:$B$366,C5386)</x:f>
        <x:v>8.019060773480662</x:v>
      </x:c>
      <x:c r="J5386" s="381" t="n">
        <x:f>SUMIFS('Wind Proxy'!$H$8:$H$19,'Wind Proxy'!$A$8:$A$19,'Estimator'!$B$4,'Wind Proxy'!$B$8:$B$19,C5386)</x:f>
        <x:v>0.22222222222222224</x:v>
      </x:c>
    </x:row>
    <x:row r="5387">
      <x:c r="A5387" s="379" t="n">
        <x:v>51038</x:v>
      </x:c>
      <x:c r="B5387" s="380" t="n">
        <x:v>2039</x:v>
      </x:c>
      <x:c r="C5387" s="380" t="n">
        <x:v>9</x:v>
      </x:c>
      <x:c r="D5387" s="380" t="str">
        <x:v>Sep</x:v>
      </x:c>
      <x:c r="E5387" s="380" t="n">
        <x:v>25</x:v>
      </x:c>
      <x:c r="F5387" s="380" t="n">
        <x:v>7</x:v>
      </x:c>
      <x:c r="G5387" s="380" t="n">
        <x:f>--(F5387&lt;='Estimator'!$B$7)</x:f>
        <x:v>0</x:v>
      </x:c>
      <x:c r="H5387" s="381" t="n">
        <x:f>SUMIFS('Climate Data'!$G$7:$G$366,'Climate Data'!$A$7:$A$366,'Estimator'!$B$4,'Climate Data'!$B$7:$B$366,C5387)</x:f>
        <x:v>0.4160919540229885</x:v>
      </x:c>
      <x:c r="I5387" s="382" t="n">
        <x:f>SUMIFS('Climate Data'!$H$7:$H$366,'Climate Data'!$A$7:$A$366,'Estimator'!$B$4,'Climate Data'!$B$7:$B$366,C5387)</x:f>
        <x:v>8.019060773480662</x:v>
      </x:c>
      <x:c r="J5387" s="381" t="n">
        <x:f>SUMIFS('Wind Proxy'!$H$8:$H$19,'Wind Proxy'!$A$8:$A$19,'Estimator'!$B$4,'Wind Proxy'!$B$8:$B$19,C5387)</x:f>
        <x:v>0.22222222222222224</x:v>
      </x:c>
    </x:row>
    <x:row r="5388">
      <x:c r="A5388" s="379" t="n">
        <x:v>51039</x:v>
      </x:c>
      <x:c r="B5388" s="380" t="n">
        <x:v>2039</x:v>
      </x:c>
      <x:c r="C5388" s="380" t="n">
        <x:v>9</x:v>
      </x:c>
      <x:c r="D5388" s="380" t="str">
        <x:v>Sep</x:v>
      </x:c>
      <x:c r="E5388" s="380" t="n">
        <x:v>26</x:v>
      </x:c>
      <x:c r="F5388" s="380" t="n">
        <x:v>1</x:v>
      </x:c>
      <x:c r="G5388" s="380" t="n">
        <x:f>--(F5388&lt;='Estimator'!$B$7)</x:f>
        <x:v>1</x:v>
      </x:c>
      <x:c r="H5388" s="381" t="n">
        <x:f>SUMIFS('Climate Data'!$G$7:$G$366,'Climate Data'!$A$7:$A$366,'Estimator'!$B$4,'Climate Data'!$B$7:$B$366,C5388)</x:f>
        <x:v>0.4160919540229885</x:v>
      </x:c>
      <x:c r="I5388" s="382" t="n">
        <x:f>SUMIFS('Climate Data'!$H$7:$H$366,'Climate Data'!$A$7:$A$366,'Estimator'!$B$4,'Climate Data'!$B$7:$B$366,C5388)</x:f>
        <x:v>8.019060773480662</x:v>
      </x:c>
      <x:c r="J5388" s="381" t="n">
        <x:f>SUMIFS('Wind Proxy'!$H$8:$H$19,'Wind Proxy'!$A$8:$A$19,'Estimator'!$B$4,'Wind Proxy'!$B$8:$B$19,C5388)</x:f>
        <x:v>0.22222222222222224</x:v>
      </x:c>
    </x:row>
    <x:row r="5389">
      <x:c r="A5389" s="379" t="n">
        <x:v>51040</x:v>
      </x:c>
      <x:c r="B5389" s="380" t="n">
        <x:v>2039</x:v>
      </x:c>
      <x:c r="C5389" s="380" t="n">
        <x:v>9</x:v>
      </x:c>
      <x:c r="D5389" s="380" t="str">
        <x:v>Sep</x:v>
      </x:c>
      <x:c r="E5389" s="380" t="n">
        <x:v>27</x:v>
      </x:c>
      <x:c r="F5389" s="380" t="n">
        <x:v>2</x:v>
      </x:c>
      <x:c r="G5389" s="380" t="n">
        <x:f>--(F5389&lt;='Estimator'!$B$7)</x:f>
        <x:v>1</x:v>
      </x:c>
      <x:c r="H5389" s="381" t="n">
        <x:f>SUMIFS('Climate Data'!$G$7:$G$366,'Climate Data'!$A$7:$A$366,'Estimator'!$B$4,'Climate Data'!$B$7:$B$366,C5389)</x:f>
        <x:v>0.4160919540229885</x:v>
      </x:c>
      <x:c r="I5389" s="382" t="n">
        <x:f>SUMIFS('Climate Data'!$H$7:$H$366,'Climate Data'!$A$7:$A$366,'Estimator'!$B$4,'Climate Data'!$B$7:$B$366,C5389)</x:f>
        <x:v>8.019060773480662</x:v>
      </x:c>
      <x:c r="J5389" s="381" t="n">
        <x:f>SUMIFS('Wind Proxy'!$H$8:$H$19,'Wind Proxy'!$A$8:$A$19,'Estimator'!$B$4,'Wind Proxy'!$B$8:$B$19,C5389)</x:f>
        <x:v>0.22222222222222224</x:v>
      </x:c>
    </x:row>
    <x:row r="5390">
      <x:c r="A5390" s="379" t="n">
        <x:v>51041</x:v>
      </x:c>
      <x:c r="B5390" s="380" t="n">
        <x:v>2039</x:v>
      </x:c>
      <x:c r="C5390" s="380" t="n">
        <x:v>9</x:v>
      </x:c>
      <x:c r="D5390" s="380" t="str">
        <x:v>Sep</x:v>
      </x:c>
      <x:c r="E5390" s="380" t="n">
        <x:v>28</x:v>
      </x:c>
      <x:c r="F5390" s="380" t="n">
        <x:v>3</x:v>
      </x:c>
      <x:c r="G5390" s="380" t="n">
        <x:f>--(F5390&lt;='Estimator'!$B$7)</x:f>
        <x:v>1</x:v>
      </x:c>
      <x:c r="H5390" s="381" t="n">
        <x:f>SUMIFS('Climate Data'!$G$7:$G$366,'Climate Data'!$A$7:$A$366,'Estimator'!$B$4,'Climate Data'!$B$7:$B$366,C5390)</x:f>
        <x:v>0.4160919540229885</x:v>
      </x:c>
      <x:c r="I5390" s="382" t="n">
        <x:f>SUMIFS('Climate Data'!$H$7:$H$366,'Climate Data'!$A$7:$A$366,'Estimator'!$B$4,'Climate Data'!$B$7:$B$366,C5390)</x:f>
        <x:v>8.019060773480662</x:v>
      </x:c>
      <x:c r="J5390" s="381" t="n">
        <x:f>SUMIFS('Wind Proxy'!$H$8:$H$19,'Wind Proxy'!$A$8:$A$19,'Estimator'!$B$4,'Wind Proxy'!$B$8:$B$19,C5390)</x:f>
        <x:v>0.22222222222222224</x:v>
      </x:c>
    </x:row>
    <x:row r="5391">
      <x:c r="A5391" s="379" t="n">
        <x:v>51042</x:v>
      </x:c>
      <x:c r="B5391" s="380" t="n">
        <x:v>2039</x:v>
      </x:c>
      <x:c r="C5391" s="380" t="n">
        <x:v>9</x:v>
      </x:c>
      <x:c r="D5391" s="380" t="str">
        <x:v>Sep</x:v>
      </x:c>
      <x:c r="E5391" s="380" t="n">
        <x:v>29</x:v>
      </x:c>
      <x:c r="F5391" s="380" t="n">
        <x:v>4</x:v>
      </x:c>
      <x:c r="G5391" s="380" t="n">
        <x:f>--(F5391&lt;='Estimator'!$B$7)</x:f>
        <x:v>1</x:v>
      </x:c>
      <x:c r="H5391" s="381" t="n">
        <x:f>SUMIFS('Climate Data'!$G$7:$G$366,'Climate Data'!$A$7:$A$366,'Estimator'!$B$4,'Climate Data'!$B$7:$B$366,C5391)</x:f>
        <x:v>0.4160919540229885</x:v>
      </x:c>
      <x:c r="I5391" s="382" t="n">
        <x:f>SUMIFS('Climate Data'!$H$7:$H$366,'Climate Data'!$A$7:$A$366,'Estimator'!$B$4,'Climate Data'!$B$7:$B$366,C5391)</x:f>
        <x:v>8.019060773480662</x:v>
      </x:c>
      <x:c r="J5391" s="381" t="n">
        <x:f>SUMIFS('Wind Proxy'!$H$8:$H$19,'Wind Proxy'!$A$8:$A$19,'Estimator'!$B$4,'Wind Proxy'!$B$8:$B$19,C5391)</x:f>
        <x:v>0.22222222222222224</x:v>
      </x:c>
    </x:row>
    <x:row r="5392">
      <x:c r="A5392" s="379" t="n">
        <x:v>51043</x:v>
      </x:c>
      <x:c r="B5392" s="380" t="n">
        <x:v>2039</x:v>
      </x:c>
      <x:c r="C5392" s="380" t="n">
        <x:v>9</x:v>
      </x:c>
      <x:c r="D5392" s="380" t="str">
        <x:v>Sep</x:v>
      </x:c>
      <x:c r="E5392" s="380" t="n">
        <x:v>30</x:v>
      </x:c>
      <x:c r="F5392" s="380" t="n">
        <x:v>5</x:v>
      </x:c>
      <x:c r="G5392" s="380" t="n">
        <x:f>--(F5392&lt;='Estimator'!$B$7)</x:f>
        <x:v>1</x:v>
      </x:c>
      <x:c r="H5392" s="381" t="n">
        <x:f>SUMIFS('Climate Data'!$G$7:$G$366,'Climate Data'!$A$7:$A$366,'Estimator'!$B$4,'Climate Data'!$B$7:$B$366,C5392)</x:f>
        <x:v>0.4160919540229885</x:v>
      </x:c>
      <x:c r="I5392" s="382" t="n">
        <x:f>SUMIFS('Climate Data'!$H$7:$H$366,'Climate Data'!$A$7:$A$366,'Estimator'!$B$4,'Climate Data'!$B$7:$B$366,C5392)</x:f>
        <x:v>8.019060773480662</x:v>
      </x:c>
      <x:c r="J5392" s="381" t="n">
        <x:f>SUMIFS('Wind Proxy'!$H$8:$H$19,'Wind Proxy'!$A$8:$A$19,'Estimator'!$B$4,'Wind Proxy'!$B$8:$B$19,C5392)</x:f>
        <x:v>0.22222222222222224</x:v>
      </x:c>
    </x:row>
    <x:row r="5393">
      <x:c r="A5393" s="379" t="n">
        <x:v>51044</x:v>
      </x:c>
      <x:c r="B5393" s="380" t="n">
        <x:v>2039</x:v>
      </x:c>
      <x:c r="C5393" s="380" t="n">
        <x:v>10</x:v>
      </x:c>
      <x:c r="D5393" s="380" t="str">
        <x:v>Oct</x:v>
      </x:c>
      <x:c r="E5393" s="380" t="n">
        <x:v>1</x:v>
      </x:c>
      <x:c r="F5393" s="380" t="n">
        <x:v>6</x:v>
      </x:c>
      <x:c r="G5393" s="380" t="n">
        <x:f>--(F5393&lt;='Estimator'!$B$7)</x:f>
        <x:v>0</x:v>
      </x:c>
      <x:c r="H5393" s="381" t="n">
        <x:f>SUMIFS('Climate Data'!$G$7:$G$366,'Climate Data'!$A$7:$A$366,'Estimator'!$B$4,'Climate Data'!$B$7:$B$366,C5393)</x:f>
        <x:v>0.3721198156682028</x:v>
      </x:c>
      <x:c r="I5393" s="382" t="n">
        <x:f>SUMIFS('Climate Data'!$H$7:$H$366,'Climate Data'!$A$7:$A$366,'Estimator'!$B$4,'Climate Data'!$B$7:$B$366,C5393)</x:f>
        <x:v>7.940557275541795</x:v>
      </x:c>
      <x:c r="J5393" s="381" t="n">
        <x:f>SUMIFS('Wind Proxy'!$H$8:$H$19,'Wind Proxy'!$A$8:$A$19,'Estimator'!$B$4,'Wind Proxy'!$B$8:$B$19,C5393)</x:f>
        <x:v>0.21505376344086022</x:v>
      </x:c>
    </x:row>
    <x:row r="5394">
      <x:c r="A5394" s="379" t="n">
        <x:v>51045</x:v>
      </x:c>
      <x:c r="B5394" s="380" t="n">
        <x:v>2039</x:v>
      </x:c>
      <x:c r="C5394" s="380" t="n">
        <x:v>10</x:v>
      </x:c>
      <x:c r="D5394" s="380" t="str">
        <x:v>Oct</x:v>
      </x:c>
      <x:c r="E5394" s="380" t="n">
        <x:v>2</x:v>
      </x:c>
      <x:c r="F5394" s="380" t="n">
        <x:v>7</x:v>
      </x:c>
      <x:c r="G5394" s="380" t="n">
        <x:f>--(F5394&lt;='Estimator'!$B$7)</x:f>
        <x:v>0</x:v>
      </x:c>
      <x:c r="H5394" s="381" t="n">
        <x:f>SUMIFS('Climate Data'!$G$7:$G$366,'Climate Data'!$A$7:$A$366,'Estimator'!$B$4,'Climate Data'!$B$7:$B$366,C5394)</x:f>
        <x:v>0.3721198156682028</x:v>
      </x:c>
      <x:c r="I5394" s="382" t="n">
        <x:f>SUMIFS('Climate Data'!$H$7:$H$366,'Climate Data'!$A$7:$A$366,'Estimator'!$B$4,'Climate Data'!$B$7:$B$366,C5394)</x:f>
        <x:v>7.940557275541795</x:v>
      </x:c>
      <x:c r="J5394" s="381" t="n">
        <x:f>SUMIFS('Wind Proxy'!$H$8:$H$19,'Wind Proxy'!$A$8:$A$19,'Estimator'!$B$4,'Wind Proxy'!$B$8:$B$19,C5394)</x:f>
        <x:v>0.21505376344086022</x:v>
      </x:c>
    </x:row>
    <x:row r="5395">
      <x:c r="A5395" s="379" t="n">
        <x:v>51046</x:v>
      </x:c>
      <x:c r="B5395" s="380" t="n">
        <x:v>2039</x:v>
      </x:c>
      <x:c r="C5395" s="380" t="n">
        <x:v>10</x:v>
      </x:c>
      <x:c r="D5395" s="380" t="str">
        <x:v>Oct</x:v>
      </x:c>
      <x:c r="E5395" s="380" t="n">
        <x:v>3</x:v>
      </x:c>
      <x:c r="F5395" s="380" t="n">
        <x:v>1</x:v>
      </x:c>
      <x:c r="G5395" s="380" t="n">
        <x:f>--(F5395&lt;='Estimator'!$B$7)</x:f>
        <x:v>1</x:v>
      </x:c>
      <x:c r="H5395" s="381" t="n">
        <x:f>SUMIFS('Climate Data'!$G$7:$G$366,'Climate Data'!$A$7:$A$366,'Estimator'!$B$4,'Climate Data'!$B$7:$B$366,C5395)</x:f>
        <x:v>0.3721198156682028</x:v>
      </x:c>
      <x:c r="I5395" s="382" t="n">
        <x:f>SUMIFS('Climate Data'!$H$7:$H$366,'Climate Data'!$A$7:$A$366,'Estimator'!$B$4,'Climate Data'!$B$7:$B$366,C5395)</x:f>
        <x:v>7.940557275541795</x:v>
      </x:c>
      <x:c r="J5395" s="381" t="n">
        <x:f>SUMIFS('Wind Proxy'!$H$8:$H$19,'Wind Proxy'!$A$8:$A$19,'Estimator'!$B$4,'Wind Proxy'!$B$8:$B$19,C5395)</x:f>
        <x:v>0.21505376344086022</x:v>
      </x:c>
    </x:row>
    <x:row r="5396">
      <x:c r="A5396" s="379" t="n">
        <x:v>51047</x:v>
      </x:c>
      <x:c r="B5396" s="380" t="n">
        <x:v>2039</x:v>
      </x:c>
      <x:c r="C5396" s="380" t="n">
        <x:v>10</x:v>
      </x:c>
      <x:c r="D5396" s="380" t="str">
        <x:v>Oct</x:v>
      </x:c>
      <x:c r="E5396" s="380" t="n">
        <x:v>4</x:v>
      </x:c>
      <x:c r="F5396" s="380" t="n">
        <x:v>2</x:v>
      </x:c>
      <x:c r="G5396" s="380" t="n">
        <x:f>--(F5396&lt;='Estimator'!$B$7)</x:f>
        <x:v>1</x:v>
      </x:c>
      <x:c r="H5396" s="381" t="n">
        <x:f>SUMIFS('Climate Data'!$G$7:$G$366,'Climate Data'!$A$7:$A$366,'Estimator'!$B$4,'Climate Data'!$B$7:$B$366,C5396)</x:f>
        <x:v>0.3721198156682028</x:v>
      </x:c>
      <x:c r="I5396" s="382" t="n">
        <x:f>SUMIFS('Climate Data'!$H$7:$H$366,'Climate Data'!$A$7:$A$366,'Estimator'!$B$4,'Climate Data'!$B$7:$B$366,C5396)</x:f>
        <x:v>7.940557275541795</x:v>
      </x:c>
      <x:c r="J5396" s="381" t="n">
        <x:f>SUMIFS('Wind Proxy'!$H$8:$H$19,'Wind Proxy'!$A$8:$A$19,'Estimator'!$B$4,'Wind Proxy'!$B$8:$B$19,C5396)</x:f>
        <x:v>0.21505376344086022</x:v>
      </x:c>
    </x:row>
    <x:row r="5397">
      <x:c r="A5397" s="379" t="n">
        <x:v>51048</x:v>
      </x:c>
      <x:c r="B5397" s="380" t="n">
        <x:v>2039</x:v>
      </x:c>
      <x:c r="C5397" s="380" t="n">
        <x:v>10</x:v>
      </x:c>
      <x:c r="D5397" s="380" t="str">
        <x:v>Oct</x:v>
      </x:c>
      <x:c r="E5397" s="380" t="n">
        <x:v>5</x:v>
      </x:c>
      <x:c r="F5397" s="380" t="n">
        <x:v>3</x:v>
      </x:c>
      <x:c r="G5397" s="380" t="n">
        <x:f>--(F5397&lt;='Estimator'!$B$7)</x:f>
        <x:v>1</x:v>
      </x:c>
      <x:c r="H5397" s="381" t="n">
        <x:f>SUMIFS('Climate Data'!$G$7:$G$366,'Climate Data'!$A$7:$A$366,'Estimator'!$B$4,'Climate Data'!$B$7:$B$366,C5397)</x:f>
        <x:v>0.3721198156682028</x:v>
      </x:c>
      <x:c r="I5397" s="382" t="n">
        <x:f>SUMIFS('Climate Data'!$H$7:$H$366,'Climate Data'!$A$7:$A$366,'Estimator'!$B$4,'Climate Data'!$B$7:$B$366,C5397)</x:f>
        <x:v>7.940557275541795</x:v>
      </x:c>
      <x:c r="J5397" s="381" t="n">
        <x:f>SUMIFS('Wind Proxy'!$H$8:$H$19,'Wind Proxy'!$A$8:$A$19,'Estimator'!$B$4,'Wind Proxy'!$B$8:$B$19,C5397)</x:f>
        <x:v>0.21505376344086022</x:v>
      </x:c>
    </x:row>
    <x:row r="5398">
      <x:c r="A5398" s="379" t="n">
        <x:v>51049</x:v>
      </x:c>
      <x:c r="B5398" s="380" t="n">
        <x:v>2039</x:v>
      </x:c>
      <x:c r="C5398" s="380" t="n">
        <x:v>10</x:v>
      </x:c>
      <x:c r="D5398" s="380" t="str">
        <x:v>Oct</x:v>
      </x:c>
      <x:c r="E5398" s="380" t="n">
        <x:v>6</x:v>
      </x:c>
      <x:c r="F5398" s="380" t="n">
        <x:v>4</x:v>
      </x:c>
      <x:c r="G5398" s="380" t="n">
        <x:f>--(F5398&lt;='Estimator'!$B$7)</x:f>
        <x:v>1</x:v>
      </x:c>
      <x:c r="H5398" s="381" t="n">
        <x:f>SUMIFS('Climate Data'!$G$7:$G$366,'Climate Data'!$A$7:$A$366,'Estimator'!$B$4,'Climate Data'!$B$7:$B$366,C5398)</x:f>
        <x:v>0.3721198156682028</x:v>
      </x:c>
      <x:c r="I5398" s="382" t="n">
        <x:f>SUMIFS('Climate Data'!$H$7:$H$366,'Climate Data'!$A$7:$A$366,'Estimator'!$B$4,'Climate Data'!$B$7:$B$366,C5398)</x:f>
        <x:v>7.940557275541795</x:v>
      </x:c>
      <x:c r="J5398" s="381" t="n">
        <x:f>SUMIFS('Wind Proxy'!$H$8:$H$19,'Wind Proxy'!$A$8:$A$19,'Estimator'!$B$4,'Wind Proxy'!$B$8:$B$19,C5398)</x:f>
        <x:v>0.21505376344086022</x:v>
      </x:c>
    </x:row>
    <x:row r="5399">
      <x:c r="A5399" s="379" t="n">
        <x:v>51050</x:v>
      </x:c>
      <x:c r="B5399" s="380" t="n">
        <x:v>2039</x:v>
      </x:c>
      <x:c r="C5399" s="380" t="n">
        <x:v>10</x:v>
      </x:c>
      <x:c r="D5399" s="380" t="str">
        <x:v>Oct</x:v>
      </x:c>
      <x:c r="E5399" s="380" t="n">
        <x:v>7</x:v>
      </x:c>
      <x:c r="F5399" s="380" t="n">
        <x:v>5</x:v>
      </x:c>
      <x:c r="G5399" s="380" t="n">
        <x:f>--(F5399&lt;='Estimator'!$B$7)</x:f>
        <x:v>1</x:v>
      </x:c>
      <x:c r="H5399" s="381" t="n">
        <x:f>SUMIFS('Climate Data'!$G$7:$G$366,'Climate Data'!$A$7:$A$366,'Estimator'!$B$4,'Climate Data'!$B$7:$B$366,C5399)</x:f>
        <x:v>0.3721198156682028</x:v>
      </x:c>
      <x:c r="I5399" s="382" t="n">
        <x:f>SUMIFS('Climate Data'!$H$7:$H$366,'Climate Data'!$A$7:$A$366,'Estimator'!$B$4,'Climate Data'!$B$7:$B$366,C5399)</x:f>
        <x:v>7.940557275541795</x:v>
      </x:c>
      <x:c r="J5399" s="381" t="n">
        <x:f>SUMIFS('Wind Proxy'!$H$8:$H$19,'Wind Proxy'!$A$8:$A$19,'Estimator'!$B$4,'Wind Proxy'!$B$8:$B$19,C5399)</x:f>
        <x:v>0.21505376344086022</x:v>
      </x:c>
    </x:row>
    <x:row r="5400">
      <x:c r="A5400" s="379" t="n">
        <x:v>51051</x:v>
      </x:c>
      <x:c r="B5400" s="380" t="n">
        <x:v>2039</x:v>
      </x:c>
      <x:c r="C5400" s="380" t="n">
        <x:v>10</x:v>
      </x:c>
      <x:c r="D5400" s="380" t="str">
        <x:v>Oct</x:v>
      </x:c>
      <x:c r="E5400" s="380" t="n">
        <x:v>8</x:v>
      </x:c>
      <x:c r="F5400" s="380" t="n">
        <x:v>6</x:v>
      </x:c>
      <x:c r="G5400" s="380" t="n">
        <x:f>--(F5400&lt;='Estimator'!$B$7)</x:f>
        <x:v>0</x:v>
      </x:c>
      <x:c r="H5400" s="381" t="n">
        <x:f>SUMIFS('Climate Data'!$G$7:$G$366,'Climate Data'!$A$7:$A$366,'Estimator'!$B$4,'Climate Data'!$B$7:$B$366,C5400)</x:f>
        <x:v>0.3721198156682028</x:v>
      </x:c>
      <x:c r="I5400" s="382" t="n">
        <x:f>SUMIFS('Climate Data'!$H$7:$H$366,'Climate Data'!$A$7:$A$366,'Estimator'!$B$4,'Climate Data'!$B$7:$B$366,C5400)</x:f>
        <x:v>7.940557275541795</x:v>
      </x:c>
      <x:c r="J5400" s="381" t="n">
        <x:f>SUMIFS('Wind Proxy'!$H$8:$H$19,'Wind Proxy'!$A$8:$A$19,'Estimator'!$B$4,'Wind Proxy'!$B$8:$B$19,C5400)</x:f>
        <x:v>0.21505376344086022</x:v>
      </x:c>
    </x:row>
    <x:row r="5401">
      <x:c r="A5401" s="379" t="n">
        <x:v>51052</x:v>
      </x:c>
      <x:c r="B5401" s="380" t="n">
        <x:v>2039</x:v>
      </x:c>
      <x:c r="C5401" s="380" t="n">
        <x:v>10</x:v>
      </x:c>
      <x:c r="D5401" s="380" t="str">
        <x:v>Oct</x:v>
      </x:c>
      <x:c r="E5401" s="380" t="n">
        <x:v>9</x:v>
      </x:c>
      <x:c r="F5401" s="380" t="n">
        <x:v>7</x:v>
      </x:c>
      <x:c r="G5401" s="380" t="n">
        <x:f>--(F5401&lt;='Estimator'!$B$7)</x:f>
        <x:v>0</x:v>
      </x:c>
      <x:c r="H5401" s="381" t="n">
        <x:f>SUMIFS('Climate Data'!$G$7:$G$366,'Climate Data'!$A$7:$A$366,'Estimator'!$B$4,'Climate Data'!$B$7:$B$366,C5401)</x:f>
        <x:v>0.3721198156682028</x:v>
      </x:c>
      <x:c r="I5401" s="382" t="n">
        <x:f>SUMIFS('Climate Data'!$H$7:$H$366,'Climate Data'!$A$7:$A$366,'Estimator'!$B$4,'Climate Data'!$B$7:$B$366,C5401)</x:f>
        <x:v>7.940557275541795</x:v>
      </x:c>
      <x:c r="J5401" s="381" t="n">
        <x:f>SUMIFS('Wind Proxy'!$H$8:$H$19,'Wind Proxy'!$A$8:$A$19,'Estimator'!$B$4,'Wind Proxy'!$B$8:$B$19,C5401)</x:f>
        <x:v>0.21505376344086022</x:v>
      </x:c>
    </x:row>
    <x:row r="5402">
      <x:c r="A5402" s="379" t="n">
        <x:v>51053</x:v>
      </x:c>
      <x:c r="B5402" s="380" t="n">
        <x:v>2039</x:v>
      </x:c>
      <x:c r="C5402" s="380" t="n">
        <x:v>10</x:v>
      </x:c>
      <x:c r="D5402" s="380" t="str">
        <x:v>Oct</x:v>
      </x:c>
      <x:c r="E5402" s="380" t="n">
        <x:v>10</x:v>
      </x:c>
      <x:c r="F5402" s="380" t="n">
        <x:v>1</x:v>
      </x:c>
      <x:c r="G5402" s="380" t="n">
        <x:f>--(F5402&lt;='Estimator'!$B$7)</x:f>
        <x:v>1</x:v>
      </x:c>
      <x:c r="H5402" s="381" t="n">
        <x:f>SUMIFS('Climate Data'!$G$7:$G$366,'Climate Data'!$A$7:$A$366,'Estimator'!$B$4,'Climate Data'!$B$7:$B$366,C5402)</x:f>
        <x:v>0.3721198156682028</x:v>
      </x:c>
      <x:c r="I5402" s="382" t="n">
        <x:f>SUMIFS('Climate Data'!$H$7:$H$366,'Climate Data'!$A$7:$A$366,'Estimator'!$B$4,'Climate Data'!$B$7:$B$366,C5402)</x:f>
        <x:v>7.940557275541795</x:v>
      </x:c>
      <x:c r="J5402" s="381" t="n">
        <x:f>SUMIFS('Wind Proxy'!$H$8:$H$19,'Wind Proxy'!$A$8:$A$19,'Estimator'!$B$4,'Wind Proxy'!$B$8:$B$19,C5402)</x:f>
        <x:v>0.21505376344086022</x:v>
      </x:c>
    </x:row>
    <x:row r="5403">
      <x:c r="A5403" s="379" t="n">
        <x:v>51054</x:v>
      </x:c>
      <x:c r="B5403" s="380" t="n">
        <x:v>2039</x:v>
      </x:c>
      <x:c r="C5403" s="380" t="n">
        <x:v>10</x:v>
      </x:c>
      <x:c r="D5403" s="380" t="str">
        <x:v>Oct</x:v>
      </x:c>
      <x:c r="E5403" s="380" t="n">
        <x:v>11</x:v>
      </x:c>
      <x:c r="F5403" s="380" t="n">
        <x:v>2</x:v>
      </x:c>
      <x:c r="G5403" s="380" t="n">
        <x:f>--(F5403&lt;='Estimator'!$B$7)</x:f>
        <x:v>1</x:v>
      </x:c>
      <x:c r="H5403" s="381" t="n">
        <x:f>SUMIFS('Climate Data'!$G$7:$G$366,'Climate Data'!$A$7:$A$366,'Estimator'!$B$4,'Climate Data'!$B$7:$B$366,C5403)</x:f>
        <x:v>0.3721198156682028</x:v>
      </x:c>
      <x:c r="I5403" s="382" t="n">
        <x:f>SUMIFS('Climate Data'!$H$7:$H$366,'Climate Data'!$A$7:$A$366,'Estimator'!$B$4,'Climate Data'!$B$7:$B$366,C5403)</x:f>
        <x:v>7.940557275541795</x:v>
      </x:c>
      <x:c r="J5403" s="381" t="n">
        <x:f>SUMIFS('Wind Proxy'!$H$8:$H$19,'Wind Proxy'!$A$8:$A$19,'Estimator'!$B$4,'Wind Proxy'!$B$8:$B$19,C5403)</x:f>
        <x:v>0.21505376344086022</x:v>
      </x:c>
    </x:row>
    <x:row r="5404">
      <x:c r="A5404" s="379" t="n">
        <x:v>51055</x:v>
      </x:c>
      <x:c r="B5404" s="380" t="n">
        <x:v>2039</x:v>
      </x:c>
      <x:c r="C5404" s="380" t="n">
        <x:v>10</x:v>
      </x:c>
      <x:c r="D5404" s="380" t="str">
        <x:v>Oct</x:v>
      </x:c>
      <x:c r="E5404" s="380" t="n">
        <x:v>12</x:v>
      </x:c>
      <x:c r="F5404" s="380" t="n">
        <x:v>3</x:v>
      </x:c>
      <x:c r="G5404" s="380" t="n">
        <x:f>--(F5404&lt;='Estimator'!$B$7)</x:f>
        <x:v>1</x:v>
      </x:c>
      <x:c r="H5404" s="381" t="n">
        <x:f>SUMIFS('Climate Data'!$G$7:$G$366,'Climate Data'!$A$7:$A$366,'Estimator'!$B$4,'Climate Data'!$B$7:$B$366,C5404)</x:f>
        <x:v>0.3721198156682028</x:v>
      </x:c>
      <x:c r="I5404" s="382" t="n">
        <x:f>SUMIFS('Climate Data'!$H$7:$H$366,'Climate Data'!$A$7:$A$366,'Estimator'!$B$4,'Climate Data'!$B$7:$B$366,C5404)</x:f>
        <x:v>7.940557275541795</x:v>
      </x:c>
      <x:c r="J5404" s="381" t="n">
        <x:f>SUMIFS('Wind Proxy'!$H$8:$H$19,'Wind Proxy'!$A$8:$A$19,'Estimator'!$B$4,'Wind Proxy'!$B$8:$B$19,C5404)</x:f>
        <x:v>0.21505376344086022</x:v>
      </x:c>
    </x:row>
    <x:row r="5405">
      <x:c r="A5405" s="379" t="n">
        <x:v>51056</x:v>
      </x:c>
      <x:c r="B5405" s="380" t="n">
        <x:v>2039</x:v>
      </x:c>
      <x:c r="C5405" s="380" t="n">
        <x:v>10</x:v>
      </x:c>
      <x:c r="D5405" s="380" t="str">
        <x:v>Oct</x:v>
      </x:c>
      <x:c r="E5405" s="380" t="n">
        <x:v>13</x:v>
      </x:c>
      <x:c r="F5405" s="380" t="n">
        <x:v>4</x:v>
      </x:c>
      <x:c r="G5405" s="380" t="n">
        <x:f>--(F5405&lt;='Estimator'!$B$7)</x:f>
        <x:v>1</x:v>
      </x:c>
      <x:c r="H5405" s="381" t="n">
        <x:f>SUMIFS('Climate Data'!$G$7:$G$366,'Climate Data'!$A$7:$A$366,'Estimator'!$B$4,'Climate Data'!$B$7:$B$366,C5405)</x:f>
        <x:v>0.3721198156682028</x:v>
      </x:c>
      <x:c r="I5405" s="382" t="n">
        <x:f>SUMIFS('Climate Data'!$H$7:$H$366,'Climate Data'!$A$7:$A$366,'Estimator'!$B$4,'Climate Data'!$B$7:$B$366,C5405)</x:f>
        <x:v>7.940557275541795</x:v>
      </x:c>
      <x:c r="J5405" s="381" t="n">
        <x:f>SUMIFS('Wind Proxy'!$H$8:$H$19,'Wind Proxy'!$A$8:$A$19,'Estimator'!$B$4,'Wind Proxy'!$B$8:$B$19,C5405)</x:f>
        <x:v>0.21505376344086022</x:v>
      </x:c>
    </x:row>
    <x:row r="5406">
      <x:c r="A5406" s="379" t="n">
        <x:v>51057</x:v>
      </x:c>
      <x:c r="B5406" s="380" t="n">
        <x:v>2039</x:v>
      </x:c>
      <x:c r="C5406" s="380" t="n">
        <x:v>10</x:v>
      </x:c>
      <x:c r="D5406" s="380" t="str">
        <x:v>Oct</x:v>
      </x:c>
      <x:c r="E5406" s="380" t="n">
        <x:v>14</x:v>
      </x:c>
      <x:c r="F5406" s="380" t="n">
        <x:v>5</x:v>
      </x:c>
      <x:c r="G5406" s="380" t="n">
        <x:f>--(F5406&lt;='Estimator'!$B$7)</x:f>
        <x:v>1</x:v>
      </x:c>
      <x:c r="H5406" s="381" t="n">
        <x:f>SUMIFS('Climate Data'!$G$7:$G$366,'Climate Data'!$A$7:$A$366,'Estimator'!$B$4,'Climate Data'!$B$7:$B$366,C5406)</x:f>
        <x:v>0.3721198156682028</x:v>
      </x:c>
      <x:c r="I5406" s="382" t="n">
        <x:f>SUMIFS('Climate Data'!$H$7:$H$366,'Climate Data'!$A$7:$A$366,'Estimator'!$B$4,'Climate Data'!$B$7:$B$366,C5406)</x:f>
        <x:v>7.940557275541795</x:v>
      </x:c>
      <x:c r="J5406" s="381" t="n">
        <x:f>SUMIFS('Wind Proxy'!$H$8:$H$19,'Wind Proxy'!$A$8:$A$19,'Estimator'!$B$4,'Wind Proxy'!$B$8:$B$19,C5406)</x:f>
        <x:v>0.21505376344086022</x:v>
      </x:c>
    </x:row>
    <x:row r="5407">
      <x:c r="A5407" s="379" t="n">
        <x:v>51058</x:v>
      </x:c>
      <x:c r="B5407" s="380" t="n">
        <x:v>2039</x:v>
      </x:c>
      <x:c r="C5407" s="380" t="n">
        <x:v>10</x:v>
      </x:c>
      <x:c r="D5407" s="380" t="str">
        <x:v>Oct</x:v>
      </x:c>
      <x:c r="E5407" s="380" t="n">
        <x:v>15</x:v>
      </x:c>
      <x:c r="F5407" s="380" t="n">
        <x:v>6</x:v>
      </x:c>
      <x:c r="G5407" s="380" t="n">
        <x:f>--(F5407&lt;='Estimator'!$B$7)</x:f>
        <x:v>0</x:v>
      </x:c>
      <x:c r="H5407" s="381" t="n">
        <x:f>SUMIFS('Climate Data'!$G$7:$G$366,'Climate Data'!$A$7:$A$366,'Estimator'!$B$4,'Climate Data'!$B$7:$B$366,C5407)</x:f>
        <x:v>0.3721198156682028</x:v>
      </x:c>
      <x:c r="I5407" s="382" t="n">
        <x:f>SUMIFS('Climate Data'!$H$7:$H$366,'Climate Data'!$A$7:$A$366,'Estimator'!$B$4,'Climate Data'!$B$7:$B$366,C5407)</x:f>
        <x:v>7.940557275541795</x:v>
      </x:c>
      <x:c r="J5407" s="381" t="n">
        <x:f>SUMIFS('Wind Proxy'!$H$8:$H$19,'Wind Proxy'!$A$8:$A$19,'Estimator'!$B$4,'Wind Proxy'!$B$8:$B$19,C5407)</x:f>
        <x:v>0.21505376344086022</x:v>
      </x:c>
    </x:row>
    <x:row r="5408">
      <x:c r="A5408" s="379" t="n">
        <x:v>51059</x:v>
      </x:c>
      <x:c r="B5408" s="380" t="n">
        <x:v>2039</x:v>
      </x:c>
      <x:c r="C5408" s="380" t="n">
        <x:v>10</x:v>
      </x:c>
      <x:c r="D5408" s="380" t="str">
        <x:v>Oct</x:v>
      </x:c>
      <x:c r="E5408" s="380" t="n">
        <x:v>16</x:v>
      </x:c>
      <x:c r="F5408" s="380" t="n">
        <x:v>7</x:v>
      </x:c>
      <x:c r="G5408" s="380" t="n">
        <x:f>--(F5408&lt;='Estimator'!$B$7)</x:f>
        <x:v>0</x:v>
      </x:c>
      <x:c r="H5408" s="381" t="n">
        <x:f>SUMIFS('Climate Data'!$G$7:$G$366,'Climate Data'!$A$7:$A$366,'Estimator'!$B$4,'Climate Data'!$B$7:$B$366,C5408)</x:f>
        <x:v>0.3721198156682028</x:v>
      </x:c>
      <x:c r="I5408" s="382" t="n">
        <x:f>SUMIFS('Climate Data'!$H$7:$H$366,'Climate Data'!$A$7:$A$366,'Estimator'!$B$4,'Climate Data'!$B$7:$B$366,C5408)</x:f>
        <x:v>7.940557275541795</x:v>
      </x:c>
      <x:c r="J5408" s="381" t="n">
        <x:f>SUMIFS('Wind Proxy'!$H$8:$H$19,'Wind Proxy'!$A$8:$A$19,'Estimator'!$B$4,'Wind Proxy'!$B$8:$B$19,C5408)</x:f>
        <x:v>0.21505376344086022</x:v>
      </x:c>
    </x:row>
    <x:row r="5409">
      <x:c r="A5409" s="379" t="n">
        <x:v>51060</x:v>
      </x:c>
      <x:c r="B5409" s="380" t="n">
        <x:v>2039</x:v>
      </x:c>
      <x:c r="C5409" s="380" t="n">
        <x:v>10</x:v>
      </x:c>
      <x:c r="D5409" s="380" t="str">
        <x:v>Oct</x:v>
      </x:c>
      <x:c r="E5409" s="380" t="n">
        <x:v>17</x:v>
      </x:c>
      <x:c r="F5409" s="380" t="n">
        <x:v>1</x:v>
      </x:c>
      <x:c r="G5409" s="380" t="n">
        <x:f>--(F5409&lt;='Estimator'!$B$7)</x:f>
        <x:v>1</x:v>
      </x:c>
      <x:c r="H5409" s="381" t="n">
        <x:f>SUMIFS('Climate Data'!$G$7:$G$366,'Climate Data'!$A$7:$A$366,'Estimator'!$B$4,'Climate Data'!$B$7:$B$366,C5409)</x:f>
        <x:v>0.3721198156682028</x:v>
      </x:c>
      <x:c r="I5409" s="382" t="n">
        <x:f>SUMIFS('Climate Data'!$H$7:$H$366,'Climate Data'!$A$7:$A$366,'Estimator'!$B$4,'Climate Data'!$B$7:$B$366,C5409)</x:f>
        <x:v>7.940557275541795</x:v>
      </x:c>
      <x:c r="J5409" s="381" t="n">
        <x:f>SUMIFS('Wind Proxy'!$H$8:$H$19,'Wind Proxy'!$A$8:$A$19,'Estimator'!$B$4,'Wind Proxy'!$B$8:$B$19,C5409)</x:f>
        <x:v>0.21505376344086022</x:v>
      </x:c>
    </x:row>
    <x:row r="5410">
      <x:c r="A5410" s="379" t="n">
        <x:v>51061</x:v>
      </x:c>
      <x:c r="B5410" s="380" t="n">
        <x:v>2039</x:v>
      </x:c>
      <x:c r="C5410" s="380" t="n">
        <x:v>10</x:v>
      </x:c>
      <x:c r="D5410" s="380" t="str">
        <x:v>Oct</x:v>
      </x:c>
      <x:c r="E5410" s="380" t="n">
        <x:v>18</x:v>
      </x:c>
      <x:c r="F5410" s="380" t="n">
        <x:v>2</x:v>
      </x:c>
      <x:c r="G5410" s="380" t="n">
        <x:f>--(F5410&lt;='Estimator'!$B$7)</x:f>
        <x:v>1</x:v>
      </x:c>
      <x:c r="H5410" s="381" t="n">
        <x:f>SUMIFS('Climate Data'!$G$7:$G$366,'Climate Data'!$A$7:$A$366,'Estimator'!$B$4,'Climate Data'!$B$7:$B$366,C5410)</x:f>
        <x:v>0.3721198156682028</x:v>
      </x:c>
      <x:c r="I5410" s="382" t="n">
        <x:f>SUMIFS('Climate Data'!$H$7:$H$366,'Climate Data'!$A$7:$A$366,'Estimator'!$B$4,'Climate Data'!$B$7:$B$366,C5410)</x:f>
        <x:v>7.940557275541795</x:v>
      </x:c>
      <x:c r="J5410" s="381" t="n">
        <x:f>SUMIFS('Wind Proxy'!$H$8:$H$19,'Wind Proxy'!$A$8:$A$19,'Estimator'!$B$4,'Wind Proxy'!$B$8:$B$19,C5410)</x:f>
        <x:v>0.21505376344086022</x:v>
      </x:c>
    </x:row>
    <x:row r="5411">
      <x:c r="A5411" s="379" t="n">
        <x:v>51062</x:v>
      </x:c>
      <x:c r="B5411" s="380" t="n">
        <x:v>2039</x:v>
      </x:c>
      <x:c r="C5411" s="380" t="n">
        <x:v>10</x:v>
      </x:c>
      <x:c r="D5411" s="380" t="str">
        <x:v>Oct</x:v>
      </x:c>
      <x:c r="E5411" s="380" t="n">
        <x:v>19</x:v>
      </x:c>
      <x:c r="F5411" s="380" t="n">
        <x:v>3</x:v>
      </x:c>
      <x:c r="G5411" s="380" t="n">
        <x:f>--(F5411&lt;='Estimator'!$B$7)</x:f>
        <x:v>1</x:v>
      </x:c>
      <x:c r="H5411" s="381" t="n">
        <x:f>SUMIFS('Climate Data'!$G$7:$G$366,'Climate Data'!$A$7:$A$366,'Estimator'!$B$4,'Climate Data'!$B$7:$B$366,C5411)</x:f>
        <x:v>0.3721198156682028</x:v>
      </x:c>
      <x:c r="I5411" s="382" t="n">
        <x:f>SUMIFS('Climate Data'!$H$7:$H$366,'Climate Data'!$A$7:$A$366,'Estimator'!$B$4,'Climate Data'!$B$7:$B$366,C5411)</x:f>
        <x:v>7.940557275541795</x:v>
      </x:c>
      <x:c r="J5411" s="381" t="n">
        <x:f>SUMIFS('Wind Proxy'!$H$8:$H$19,'Wind Proxy'!$A$8:$A$19,'Estimator'!$B$4,'Wind Proxy'!$B$8:$B$19,C5411)</x:f>
        <x:v>0.21505376344086022</x:v>
      </x:c>
    </x:row>
    <x:row r="5412">
      <x:c r="A5412" s="379" t="n">
        <x:v>51063</x:v>
      </x:c>
      <x:c r="B5412" s="380" t="n">
        <x:v>2039</x:v>
      </x:c>
      <x:c r="C5412" s="380" t="n">
        <x:v>10</x:v>
      </x:c>
      <x:c r="D5412" s="380" t="str">
        <x:v>Oct</x:v>
      </x:c>
      <x:c r="E5412" s="380" t="n">
        <x:v>20</x:v>
      </x:c>
      <x:c r="F5412" s="380" t="n">
        <x:v>4</x:v>
      </x:c>
      <x:c r="G5412" s="380" t="n">
        <x:f>--(F5412&lt;='Estimator'!$B$7)</x:f>
        <x:v>1</x:v>
      </x:c>
      <x:c r="H5412" s="381" t="n">
        <x:f>SUMIFS('Climate Data'!$G$7:$G$366,'Climate Data'!$A$7:$A$366,'Estimator'!$B$4,'Climate Data'!$B$7:$B$366,C5412)</x:f>
        <x:v>0.3721198156682028</x:v>
      </x:c>
      <x:c r="I5412" s="382" t="n">
        <x:f>SUMIFS('Climate Data'!$H$7:$H$366,'Climate Data'!$A$7:$A$366,'Estimator'!$B$4,'Climate Data'!$B$7:$B$366,C5412)</x:f>
        <x:v>7.940557275541795</x:v>
      </x:c>
      <x:c r="J5412" s="381" t="n">
        <x:f>SUMIFS('Wind Proxy'!$H$8:$H$19,'Wind Proxy'!$A$8:$A$19,'Estimator'!$B$4,'Wind Proxy'!$B$8:$B$19,C5412)</x:f>
        <x:v>0.21505376344086022</x:v>
      </x:c>
    </x:row>
    <x:row r="5413">
      <x:c r="A5413" s="379" t="n">
        <x:v>51064</x:v>
      </x:c>
      <x:c r="B5413" s="380" t="n">
        <x:v>2039</x:v>
      </x:c>
      <x:c r="C5413" s="380" t="n">
        <x:v>10</x:v>
      </x:c>
      <x:c r="D5413" s="380" t="str">
        <x:v>Oct</x:v>
      </x:c>
      <x:c r="E5413" s="380" t="n">
        <x:v>21</x:v>
      </x:c>
      <x:c r="F5413" s="380" t="n">
        <x:v>5</x:v>
      </x:c>
      <x:c r="G5413" s="380" t="n">
        <x:f>--(F5413&lt;='Estimator'!$B$7)</x:f>
        <x:v>1</x:v>
      </x:c>
      <x:c r="H5413" s="381" t="n">
        <x:f>SUMIFS('Climate Data'!$G$7:$G$366,'Climate Data'!$A$7:$A$366,'Estimator'!$B$4,'Climate Data'!$B$7:$B$366,C5413)</x:f>
        <x:v>0.3721198156682028</x:v>
      </x:c>
      <x:c r="I5413" s="382" t="n">
        <x:f>SUMIFS('Climate Data'!$H$7:$H$366,'Climate Data'!$A$7:$A$366,'Estimator'!$B$4,'Climate Data'!$B$7:$B$366,C5413)</x:f>
        <x:v>7.940557275541795</x:v>
      </x:c>
      <x:c r="J5413" s="381" t="n">
        <x:f>SUMIFS('Wind Proxy'!$H$8:$H$19,'Wind Proxy'!$A$8:$A$19,'Estimator'!$B$4,'Wind Proxy'!$B$8:$B$19,C5413)</x:f>
        <x:v>0.21505376344086022</x:v>
      </x:c>
    </x:row>
    <x:row r="5414">
      <x:c r="A5414" s="379" t="n">
        <x:v>51065</x:v>
      </x:c>
      <x:c r="B5414" s="380" t="n">
        <x:v>2039</x:v>
      </x:c>
      <x:c r="C5414" s="380" t="n">
        <x:v>10</x:v>
      </x:c>
      <x:c r="D5414" s="380" t="str">
        <x:v>Oct</x:v>
      </x:c>
      <x:c r="E5414" s="380" t="n">
        <x:v>22</x:v>
      </x:c>
      <x:c r="F5414" s="380" t="n">
        <x:v>6</x:v>
      </x:c>
      <x:c r="G5414" s="380" t="n">
        <x:f>--(F5414&lt;='Estimator'!$B$7)</x:f>
        <x:v>0</x:v>
      </x:c>
      <x:c r="H5414" s="381" t="n">
        <x:f>SUMIFS('Climate Data'!$G$7:$G$366,'Climate Data'!$A$7:$A$366,'Estimator'!$B$4,'Climate Data'!$B$7:$B$366,C5414)</x:f>
        <x:v>0.3721198156682028</x:v>
      </x:c>
      <x:c r="I5414" s="382" t="n">
        <x:f>SUMIFS('Climate Data'!$H$7:$H$366,'Climate Data'!$A$7:$A$366,'Estimator'!$B$4,'Climate Data'!$B$7:$B$366,C5414)</x:f>
        <x:v>7.940557275541795</x:v>
      </x:c>
      <x:c r="J5414" s="381" t="n">
        <x:f>SUMIFS('Wind Proxy'!$H$8:$H$19,'Wind Proxy'!$A$8:$A$19,'Estimator'!$B$4,'Wind Proxy'!$B$8:$B$19,C5414)</x:f>
        <x:v>0.21505376344086022</x:v>
      </x:c>
    </x:row>
    <x:row r="5415">
      <x:c r="A5415" s="379" t="n">
        <x:v>51066</x:v>
      </x:c>
      <x:c r="B5415" s="380" t="n">
        <x:v>2039</x:v>
      </x:c>
      <x:c r="C5415" s="380" t="n">
        <x:v>10</x:v>
      </x:c>
      <x:c r="D5415" s="380" t="str">
        <x:v>Oct</x:v>
      </x:c>
      <x:c r="E5415" s="380" t="n">
        <x:v>23</x:v>
      </x:c>
      <x:c r="F5415" s="380" t="n">
        <x:v>7</x:v>
      </x:c>
      <x:c r="G5415" s="380" t="n">
        <x:f>--(F5415&lt;='Estimator'!$B$7)</x:f>
        <x:v>0</x:v>
      </x:c>
      <x:c r="H5415" s="381" t="n">
        <x:f>SUMIFS('Climate Data'!$G$7:$G$366,'Climate Data'!$A$7:$A$366,'Estimator'!$B$4,'Climate Data'!$B$7:$B$366,C5415)</x:f>
        <x:v>0.3721198156682028</x:v>
      </x:c>
      <x:c r="I5415" s="382" t="n">
        <x:f>SUMIFS('Climate Data'!$H$7:$H$366,'Climate Data'!$A$7:$A$366,'Estimator'!$B$4,'Climate Data'!$B$7:$B$366,C5415)</x:f>
        <x:v>7.940557275541795</x:v>
      </x:c>
      <x:c r="J5415" s="381" t="n">
        <x:f>SUMIFS('Wind Proxy'!$H$8:$H$19,'Wind Proxy'!$A$8:$A$19,'Estimator'!$B$4,'Wind Proxy'!$B$8:$B$19,C5415)</x:f>
        <x:v>0.21505376344086022</x:v>
      </x:c>
    </x:row>
    <x:row r="5416">
      <x:c r="A5416" s="379" t="n">
        <x:v>51067</x:v>
      </x:c>
      <x:c r="B5416" s="380" t="n">
        <x:v>2039</x:v>
      </x:c>
      <x:c r="C5416" s="380" t="n">
        <x:v>10</x:v>
      </x:c>
      <x:c r="D5416" s="380" t="str">
        <x:v>Oct</x:v>
      </x:c>
      <x:c r="E5416" s="380" t="n">
        <x:v>24</x:v>
      </x:c>
      <x:c r="F5416" s="380" t="n">
        <x:v>1</x:v>
      </x:c>
      <x:c r="G5416" s="380" t="n">
        <x:f>--(F5416&lt;='Estimator'!$B$7)</x:f>
        <x:v>1</x:v>
      </x:c>
      <x:c r="H5416" s="381" t="n">
        <x:f>SUMIFS('Climate Data'!$G$7:$G$366,'Climate Data'!$A$7:$A$366,'Estimator'!$B$4,'Climate Data'!$B$7:$B$366,C5416)</x:f>
        <x:v>0.3721198156682028</x:v>
      </x:c>
      <x:c r="I5416" s="382" t="n">
        <x:f>SUMIFS('Climate Data'!$H$7:$H$366,'Climate Data'!$A$7:$A$366,'Estimator'!$B$4,'Climate Data'!$B$7:$B$366,C5416)</x:f>
        <x:v>7.940557275541795</x:v>
      </x:c>
      <x:c r="J5416" s="381" t="n">
        <x:f>SUMIFS('Wind Proxy'!$H$8:$H$19,'Wind Proxy'!$A$8:$A$19,'Estimator'!$B$4,'Wind Proxy'!$B$8:$B$19,C5416)</x:f>
        <x:v>0.21505376344086022</x:v>
      </x:c>
    </x:row>
    <x:row r="5417">
      <x:c r="A5417" s="379" t="n">
        <x:v>51068</x:v>
      </x:c>
      <x:c r="B5417" s="380" t="n">
        <x:v>2039</x:v>
      </x:c>
      <x:c r="C5417" s="380" t="n">
        <x:v>10</x:v>
      </x:c>
      <x:c r="D5417" s="380" t="str">
        <x:v>Oct</x:v>
      </x:c>
      <x:c r="E5417" s="380" t="n">
        <x:v>25</x:v>
      </x:c>
      <x:c r="F5417" s="380" t="n">
        <x:v>2</x:v>
      </x:c>
      <x:c r="G5417" s="380" t="n">
        <x:f>--(F5417&lt;='Estimator'!$B$7)</x:f>
        <x:v>1</x:v>
      </x:c>
      <x:c r="H5417" s="381" t="n">
        <x:f>SUMIFS('Climate Data'!$G$7:$G$366,'Climate Data'!$A$7:$A$366,'Estimator'!$B$4,'Climate Data'!$B$7:$B$366,C5417)</x:f>
        <x:v>0.3721198156682028</x:v>
      </x:c>
      <x:c r="I5417" s="382" t="n">
        <x:f>SUMIFS('Climate Data'!$H$7:$H$366,'Climate Data'!$A$7:$A$366,'Estimator'!$B$4,'Climate Data'!$B$7:$B$366,C5417)</x:f>
        <x:v>7.940557275541795</x:v>
      </x:c>
      <x:c r="J5417" s="381" t="n">
        <x:f>SUMIFS('Wind Proxy'!$H$8:$H$19,'Wind Proxy'!$A$8:$A$19,'Estimator'!$B$4,'Wind Proxy'!$B$8:$B$19,C5417)</x:f>
        <x:v>0.21505376344086022</x:v>
      </x:c>
    </x:row>
    <x:row r="5418">
      <x:c r="A5418" s="379" t="n">
        <x:v>51069</x:v>
      </x:c>
      <x:c r="B5418" s="380" t="n">
        <x:v>2039</x:v>
      </x:c>
      <x:c r="C5418" s="380" t="n">
        <x:v>10</x:v>
      </x:c>
      <x:c r="D5418" s="380" t="str">
        <x:v>Oct</x:v>
      </x:c>
      <x:c r="E5418" s="380" t="n">
        <x:v>26</x:v>
      </x:c>
      <x:c r="F5418" s="380" t="n">
        <x:v>3</x:v>
      </x:c>
      <x:c r="G5418" s="380" t="n">
        <x:f>--(F5418&lt;='Estimator'!$B$7)</x:f>
        <x:v>1</x:v>
      </x:c>
      <x:c r="H5418" s="381" t="n">
        <x:f>SUMIFS('Climate Data'!$G$7:$G$366,'Climate Data'!$A$7:$A$366,'Estimator'!$B$4,'Climate Data'!$B$7:$B$366,C5418)</x:f>
        <x:v>0.3721198156682028</x:v>
      </x:c>
      <x:c r="I5418" s="382" t="n">
        <x:f>SUMIFS('Climate Data'!$H$7:$H$366,'Climate Data'!$A$7:$A$366,'Estimator'!$B$4,'Climate Data'!$B$7:$B$366,C5418)</x:f>
        <x:v>7.940557275541795</x:v>
      </x:c>
      <x:c r="J5418" s="381" t="n">
        <x:f>SUMIFS('Wind Proxy'!$H$8:$H$19,'Wind Proxy'!$A$8:$A$19,'Estimator'!$B$4,'Wind Proxy'!$B$8:$B$19,C5418)</x:f>
        <x:v>0.21505376344086022</x:v>
      </x:c>
    </x:row>
    <x:row r="5419">
      <x:c r="A5419" s="379" t="n">
        <x:v>51070</x:v>
      </x:c>
      <x:c r="B5419" s="380" t="n">
        <x:v>2039</x:v>
      </x:c>
      <x:c r="C5419" s="380" t="n">
        <x:v>10</x:v>
      </x:c>
      <x:c r="D5419" s="380" t="str">
        <x:v>Oct</x:v>
      </x:c>
      <x:c r="E5419" s="380" t="n">
        <x:v>27</x:v>
      </x:c>
      <x:c r="F5419" s="380" t="n">
        <x:v>4</x:v>
      </x:c>
      <x:c r="G5419" s="380" t="n">
        <x:f>--(F5419&lt;='Estimator'!$B$7)</x:f>
        <x:v>1</x:v>
      </x:c>
      <x:c r="H5419" s="381" t="n">
        <x:f>SUMIFS('Climate Data'!$G$7:$G$366,'Climate Data'!$A$7:$A$366,'Estimator'!$B$4,'Climate Data'!$B$7:$B$366,C5419)</x:f>
        <x:v>0.3721198156682028</x:v>
      </x:c>
      <x:c r="I5419" s="382" t="n">
        <x:f>SUMIFS('Climate Data'!$H$7:$H$366,'Climate Data'!$A$7:$A$366,'Estimator'!$B$4,'Climate Data'!$B$7:$B$366,C5419)</x:f>
        <x:v>7.940557275541795</x:v>
      </x:c>
      <x:c r="J5419" s="381" t="n">
        <x:f>SUMIFS('Wind Proxy'!$H$8:$H$19,'Wind Proxy'!$A$8:$A$19,'Estimator'!$B$4,'Wind Proxy'!$B$8:$B$19,C5419)</x:f>
        <x:v>0.21505376344086022</x:v>
      </x:c>
    </x:row>
    <x:row r="5420">
      <x:c r="A5420" s="379" t="n">
        <x:v>51071</x:v>
      </x:c>
      <x:c r="B5420" s="380" t="n">
        <x:v>2039</x:v>
      </x:c>
      <x:c r="C5420" s="380" t="n">
        <x:v>10</x:v>
      </x:c>
      <x:c r="D5420" s="380" t="str">
        <x:v>Oct</x:v>
      </x:c>
      <x:c r="E5420" s="380" t="n">
        <x:v>28</x:v>
      </x:c>
      <x:c r="F5420" s="380" t="n">
        <x:v>5</x:v>
      </x:c>
      <x:c r="G5420" s="380" t="n">
        <x:f>--(F5420&lt;='Estimator'!$B$7)</x:f>
        <x:v>1</x:v>
      </x:c>
      <x:c r="H5420" s="381" t="n">
        <x:f>SUMIFS('Climate Data'!$G$7:$G$366,'Climate Data'!$A$7:$A$366,'Estimator'!$B$4,'Climate Data'!$B$7:$B$366,C5420)</x:f>
        <x:v>0.3721198156682028</x:v>
      </x:c>
      <x:c r="I5420" s="382" t="n">
        <x:f>SUMIFS('Climate Data'!$H$7:$H$366,'Climate Data'!$A$7:$A$366,'Estimator'!$B$4,'Climate Data'!$B$7:$B$366,C5420)</x:f>
        <x:v>7.940557275541795</x:v>
      </x:c>
      <x:c r="J5420" s="381" t="n">
        <x:f>SUMIFS('Wind Proxy'!$H$8:$H$19,'Wind Proxy'!$A$8:$A$19,'Estimator'!$B$4,'Wind Proxy'!$B$8:$B$19,C5420)</x:f>
        <x:v>0.21505376344086022</x:v>
      </x:c>
    </x:row>
    <x:row r="5421">
      <x:c r="A5421" s="379" t="n">
        <x:v>51072</x:v>
      </x:c>
      <x:c r="B5421" s="380" t="n">
        <x:v>2039</x:v>
      </x:c>
      <x:c r="C5421" s="380" t="n">
        <x:v>10</x:v>
      </x:c>
      <x:c r="D5421" s="380" t="str">
        <x:v>Oct</x:v>
      </x:c>
      <x:c r="E5421" s="380" t="n">
        <x:v>29</x:v>
      </x:c>
      <x:c r="F5421" s="380" t="n">
        <x:v>6</x:v>
      </x:c>
      <x:c r="G5421" s="380" t="n">
        <x:f>--(F5421&lt;='Estimator'!$B$7)</x:f>
        <x:v>0</x:v>
      </x:c>
      <x:c r="H5421" s="381" t="n">
        <x:f>SUMIFS('Climate Data'!$G$7:$G$366,'Climate Data'!$A$7:$A$366,'Estimator'!$B$4,'Climate Data'!$B$7:$B$366,C5421)</x:f>
        <x:v>0.3721198156682028</x:v>
      </x:c>
      <x:c r="I5421" s="382" t="n">
        <x:f>SUMIFS('Climate Data'!$H$7:$H$366,'Climate Data'!$A$7:$A$366,'Estimator'!$B$4,'Climate Data'!$B$7:$B$366,C5421)</x:f>
        <x:v>7.940557275541795</x:v>
      </x:c>
      <x:c r="J5421" s="381" t="n">
        <x:f>SUMIFS('Wind Proxy'!$H$8:$H$19,'Wind Proxy'!$A$8:$A$19,'Estimator'!$B$4,'Wind Proxy'!$B$8:$B$19,C5421)</x:f>
        <x:v>0.21505376344086022</x:v>
      </x:c>
    </x:row>
    <x:row r="5422">
      <x:c r="A5422" s="379" t="n">
        <x:v>51073</x:v>
      </x:c>
      <x:c r="B5422" s="380" t="n">
        <x:v>2039</x:v>
      </x:c>
      <x:c r="C5422" s="380" t="n">
        <x:v>10</x:v>
      </x:c>
      <x:c r="D5422" s="380" t="str">
        <x:v>Oct</x:v>
      </x:c>
      <x:c r="E5422" s="380" t="n">
        <x:v>30</x:v>
      </x:c>
      <x:c r="F5422" s="380" t="n">
        <x:v>7</x:v>
      </x:c>
      <x:c r="G5422" s="380" t="n">
        <x:f>--(F5422&lt;='Estimator'!$B$7)</x:f>
        <x:v>0</x:v>
      </x:c>
      <x:c r="H5422" s="381" t="n">
        <x:f>SUMIFS('Climate Data'!$G$7:$G$366,'Climate Data'!$A$7:$A$366,'Estimator'!$B$4,'Climate Data'!$B$7:$B$366,C5422)</x:f>
        <x:v>0.3721198156682028</x:v>
      </x:c>
      <x:c r="I5422" s="382" t="n">
        <x:f>SUMIFS('Climate Data'!$H$7:$H$366,'Climate Data'!$A$7:$A$366,'Estimator'!$B$4,'Climate Data'!$B$7:$B$366,C5422)</x:f>
        <x:v>7.940557275541795</x:v>
      </x:c>
      <x:c r="J5422" s="381" t="n">
        <x:f>SUMIFS('Wind Proxy'!$H$8:$H$19,'Wind Proxy'!$A$8:$A$19,'Estimator'!$B$4,'Wind Proxy'!$B$8:$B$19,C5422)</x:f>
        <x:v>0.21505376344086022</x:v>
      </x:c>
    </x:row>
    <x:row r="5423">
      <x:c r="A5423" s="379" t="n">
        <x:v>51074</x:v>
      </x:c>
      <x:c r="B5423" s="380" t="n">
        <x:v>2039</x:v>
      </x:c>
      <x:c r="C5423" s="380" t="n">
        <x:v>10</x:v>
      </x:c>
      <x:c r="D5423" s="380" t="str">
        <x:v>Oct</x:v>
      </x:c>
      <x:c r="E5423" s="380" t="n">
        <x:v>31</x:v>
      </x:c>
      <x:c r="F5423" s="380" t="n">
        <x:v>1</x:v>
      </x:c>
      <x:c r="G5423" s="380" t="n">
        <x:f>--(F5423&lt;='Estimator'!$B$7)</x:f>
        <x:v>1</x:v>
      </x:c>
      <x:c r="H5423" s="381" t="n">
        <x:f>SUMIFS('Climate Data'!$G$7:$G$366,'Climate Data'!$A$7:$A$366,'Estimator'!$B$4,'Climate Data'!$B$7:$B$366,C5423)</x:f>
        <x:v>0.3721198156682028</x:v>
      </x:c>
      <x:c r="I5423" s="382" t="n">
        <x:f>SUMIFS('Climate Data'!$H$7:$H$366,'Climate Data'!$A$7:$A$366,'Estimator'!$B$4,'Climate Data'!$B$7:$B$366,C5423)</x:f>
        <x:v>7.940557275541795</x:v>
      </x:c>
      <x:c r="J5423" s="381" t="n">
        <x:f>SUMIFS('Wind Proxy'!$H$8:$H$19,'Wind Proxy'!$A$8:$A$19,'Estimator'!$B$4,'Wind Proxy'!$B$8:$B$19,C5423)</x:f>
        <x:v>0.21505376344086022</x:v>
      </x:c>
    </x:row>
    <x:row r="5424">
      <x:c r="A5424" s="379" t="n">
        <x:v>51075</x:v>
      </x:c>
      <x:c r="B5424" s="380" t="n">
        <x:v>2039</x:v>
      </x:c>
      <x:c r="C5424" s="380" t="n">
        <x:v>11</x:v>
      </x:c>
      <x:c r="D5424" s="380" t="str">
        <x:v>Nov</x:v>
      </x:c>
      <x:c r="E5424" s="380" t="n">
        <x:v>1</x:v>
      </x:c>
      <x:c r="F5424" s="380" t="n">
        <x:v>2</x:v>
      </x:c>
      <x:c r="G5424" s="380" t="n">
        <x:f>--(F5424&lt;='Estimator'!$B$7)</x:f>
        <x:v>1</x:v>
      </x:c>
      <x:c r="H5424" s="381" t="n">
        <x:f>SUMIFS('Climate Data'!$G$7:$G$366,'Climate Data'!$A$7:$A$366,'Estimator'!$B$4,'Climate Data'!$B$7:$B$366,C5424)</x:f>
        <x:v>0.3111111111111111</x:v>
      </x:c>
      <x:c r="I5424" s="382" t="n">
        <x:f>SUMIFS('Climate Data'!$H$7:$H$366,'Climate Data'!$A$7:$A$366,'Estimator'!$B$4,'Climate Data'!$B$7:$B$366,C5424)</x:f>
        <x:v>7.382142857142857</x:v>
      </x:c>
      <x:c r="J5424" s="381" t="n">
        <x:f>SUMIFS('Wind Proxy'!$H$8:$H$19,'Wind Proxy'!$A$8:$A$19,'Estimator'!$B$4,'Wind Proxy'!$B$8:$B$19,C5424)</x:f>
        <x:v>0.22222222222222224</x:v>
      </x:c>
    </x:row>
    <x:row r="5425">
      <x:c r="A5425" s="379" t="n">
        <x:v>51076</x:v>
      </x:c>
      <x:c r="B5425" s="380" t="n">
        <x:v>2039</x:v>
      </x:c>
      <x:c r="C5425" s="380" t="n">
        <x:v>11</x:v>
      </x:c>
      <x:c r="D5425" s="380" t="str">
        <x:v>Nov</x:v>
      </x:c>
      <x:c r="E5425" s="380" t="n">
        <x:v>2</x:v>
      </x:c>
      <x:c r="F5425" s="380" t="n">
        <x:v>3</x:v>
      </x:c>
      <x:c r="G5425" s="380" t="n">
        <x:f>--(F5425&lt;='Estimator'!$B$7)</x:f>
        <x:v>1</x:v>
      </x:c>
      <x:c r="H5425" s="381" t="n">
        <x:f>SUMIFS('Climate Data'!$G$7:$G$366,'Climate Data'!$A$7:$A$366,'Estimator'!$B$4,'Climate Data'!$B$7:$B$366,C5425)</x:f>
        <x:v>0.3111111111111111</x:v>
      </x:c>
      <x:c r="I5425" s="382" t="n">
        <x:f>SUMIFS('Climate Data'!$H$7:$H$366,'Climate Data'!$A$7:$A$366,'Estimator'!$B$4,'Climate Data'!$B$7:$B$366,C5425)</x:f>
        <x:v>7.382142857142857</x:v>
      </x:c>
      <x:c r="J5425" s="381" t="n">
        <x:f>SUMIFS('Wind Proxy'!$H$8:$H$19,'Wind Proxy'!$A$8:$A$19,'Estimator'!$B$4,'Wind Proxy'!$B$8:$B$19,C5425)</x:f>
        <x:v>0.22222222222222224</x:v>
      </x:c>
    </x:row>
    <x:row r="5426">
      <x:c r="A5426" s="379" t="n">
        <x:v>51077</x:v>
      </x:c>
      <x:c r="B5426" s="380" t="n">
        <x:v>2039</x:v>
      </x:c>
      <x:c r="C5426" s="380" t="n">
        <x:v>11</x:v>
      </x:c>
      <x:c r="D5426" s="380" t="str">
        <x:v>Nov</x:v>
      </x:c>
      <x:c r="E5426" s="380" t="n">
        <x:v>3</x:v>
      </x:c>
      <x:c r="F5426" s="380" t="n">
        <x:v>4</x:v>
      </x:c>
      <x:c r="G5426" s="380" t="n">
        <x:f>--(F5426&lt;='Estimator'!$B$7)</x:f>
        <x:v>1</x:v>
      </x:c>
      <x:c r="H5426" s="381" t="n">
        <x:f>SUMIFS('Climate Data'!$G$7:$G$366,'Climate Data'!$A$7:$A$366,'Estimator'!$B$4,'Climate Data'!$B$7:$B$366,C5426)</x:f>
        <x:v>0.3111111111111111</x:v>
      </x:c>
      <x:c r="I5426" s="382" t="n">
        <x:f>SUMIFS('Climate Data'!$H$7:$H$366,'Climate Data'!$A$7:$A$366,'Estimator'!$B$4,'Climate Data'!$B$7:$B$366,C5426)</x:f>
        <x:v>7.382142857142857</x:v>
      </x:c>
      <x:c r="J5426" s="381" t="n">
        <x:f>SUMIFS('Wind Proxy'!$H$8:$H$19,'Wind Proxy'!$A$8:$A$19,'Estimator'!$B$4,'Wind Proxy'!$B$8:$B$19,C5426)</x:f>
        <x:v>0.22222222222222224</x:v>
      </x:c>
    </x:row>
    <x:row r="5427">
      <x:c r="A5427" s="379" t="n">
        <x:v>51078</x:v>
      </x:c>
      <x:c r="B5427" s="380" t="n">
        <x:v>2039</x:v>
      </x:c>
      <x:c r="C5427" s="380" t="n">
        <x:v>11</x:v>
      </x:c>
      <x:c r="D5427" s="380" t="str">
        <x:v>Nov</x:v>
      </x:c>
      <x:c r="E5427" s="380" t="n">
        <x:v>4</x:v>
      </x:c>
      <x:c r="F5427" s="380" t="n">
        <x:v>5</x:v>
      </x:c>
      <x:c r="G5427" s="380" t="n">
        <x:f>--(F5427&lt;='Estimator'!$B$7)</x:f>
        <x:v>1</x:v>
      </x:c>
      <x:c r="H5427" s="381" t="n">
        <x:f>SUMIFS('Climate Data'!$G$7:$G$366,'Climate Data'!$A$7:$A$366,'Estimator'!$B$4,'Climate Data'!$B$7:$B$366,C5427)</x:f>
        <x:v>0.3111111111111111</x:v>
      </x:c>
      <x:c r="I5427" s="382" t="n">
        <x:f>SUMIFS('Climate Data'!$H$7:$H$366,'Climate Data'!$A$7:$A$366,'Estimator'!$B$4,'Climate Data'!$B$7:$B$366,C5427)</x:f>
        <x:v>7.382142857142857</x:v>
      </x:c>
      <x:c r="J5427" s="381" t="n">
        <x:f>SUMIFS('Wind Proxy'!$H$8:$H$19,'Wind Proxy'!$A$8:$A$19,'Estimator'!$B$4,'Wind Proxy'!$B$8:$B$19,C5427)</x:f>
        <x:v>0.22222222222222224</x:v>
      </x:c>
    </x:row>
    <x:row r="5428">
      <x:c r="A5428" s="379" t="n">
        <x:v>51079</x:v>
      </x:c>
      <x:c r="B5428" s="380" t="n">
        <x:v>2039</x:v>
      </x:c>
      <x:c r="C5428" s="380" t="n">
        <x:v>11</x:v>
      </x:c>
      <x:c r="D5428" s="380" t="str">
        <x:v>Nov</x:v>
      </x:c>
      <x:c r="E5428" s="380" t="n">
        <x:v>5</x:v>
      </x:c>
      <x:c r="F5428" s="380" t="n">
        <x:v>6</x:v>
      </x:c>
      <x:c r="G5428" s="380" t="n">
        <x:f>--(F5428&lt;='Estimator'!$B$7)</x:f>
        <x:v>0</x:v>
      </x:c>
      <x:c r="H5428" s="381" t="n">
        <x:f>SUMIFS('Climate Data'!$G$7:$G$366,'Climate Data'!$A$7:$A$366,'Estimator'!$B$4,'Climate Data'!$B$7:$B$366,C5428)</x:f>
        <x:v>0.3111111111111111</x:v>
      </x:c>
      <x:c r="I5428" s="382" t="n">
        <x:f>SUMIFS('Climate Data'!$H$7:$H$366,'Climate Data'!$A$7:$A$366,'Estimator'!$B$4,'Climate Data'!$B$7:$B$366,C5428)</x:f>
        <x:v>7.382142857142857</x:v>
      </x:c>
      <x:c r="J5428" s="381" t="n">
        <x:f>SUMIFS('Wind Proxy'!$H$8:$H$19,'Wind Proxy'!$A$8:$A$19,'Estimator'!$B$4,'Wind Proxy'!$B$8:$B$19,C5428)</x:f>
        <x:v>0.22222222222222224</x:v>
      </x:c>
    </x:row>
    <x:row r="5429">
      <x:c r="A5429" s="379" t="n">
        <x:v>51080</x:v>
      </x:c>
      <x:c r="B5429" s="380" t="n">
        <x:v>2039</x:v>
      </x:c>
      <x:c r="C5429" s="380" t="n">
        <x:v>11</x:v>
      </x:c>
      <x:c r="D5429" s="380" t="str">
        <x:v>Nov</x:v>
      </x:c>
      <x:c r="E5429" s="380" t="n">
        <x:v>6</x:v>
      </x:c>
      <x:c r="F5429" s="380" t="n">
        <x:v>7</x:v>
      </x:c>
      <x:c r="G5429" s="380" t="n">
        <x:f>--(F5429&lt;='Estimator'!$B$7)</x:f>
        <x:v>0</x:v>
      </x:c>
      <x:c r="H5429" s="381" t="n">
        <x:f>SUMIFS('Climate Data'!$G$7:$G$366,'Climate Data'!$A$7:$A$366,'Estimator'!$B$4,'Climate Data'!$B$7:$B$366,C5429)</x:f>
        <x:v>0.3111111111111111</x:v>
      </x:c>
      <x:c r="I5429" s="382" t="n">
        <x:f>SUMIFS('Climate Data'!$H$7:$H$366,'Climate Data'!$A$7:$A$366,'Estimator'!$B$4,'Climate Data'!$B$7:$B$366,C5429)</x:f>
        <x:v>7.382142857142857</x:v>
      </x:c>
      <x:c r="J5429" s="381" t="n">
        <x:f>SUMIFS('Wind Proxy'!$H$8:$H$19,'Wind Proxy'!$A$8:$A$19,'Estimator'!$B$4,'Wind Proxy'!$B$8:$B$19,C5429)</x:f>
        <x:v>0.22222222222222224</x:v>
      </x:c>
    </x:row>
    <x:row r="5430">
      <x:c r="A5430" s="379" t="n">
        <x:v>51081</x:v>
      </x:c>
      <x:c r="B5430" s="380" t="n">
        <x:v>2039</x:v>
      </x:c>
      <x:c r="C5430" s="380" t="n">
        <x:v>11</x:v>
      </x:c>
      <x:c r="D5430" s="380" t="str">
        <x:v>Nov</x:v>
      </x:c>
      <x:c r="E5430" s="380" t="n">
        <x:v>7</x:v>
      </x:c>
      <x:c r="F5430" s="380" t="n">
        <x:v>1</x:v>
      </x:c>
      <x:c r="G5430" s="380" t="n">
        <x:f>--(F5430&lt;='Estimator'!$B$7)</x:f>
        <x:v>1</x:v>
      </x:c>
      <x:c r="H5430" s="381" t="n">
        <x:f>SUMIFS('Climate Data'!$G$7:$G$366,'Climate Data'!$A$7:$A$366,'Estimator'!$B$4,'Climate Data'!$B$7:$B$366,C5430)</x:f>
        <x:v>0.3111111111111111</x:v>
      </x:c>
      <x:c r="I5430" s="382" t="n">
        <x:f>SUMIFS('Climate Data'!$H$7:$H$366,'Climate Data'!$A$7:$A$366,'Estimator'!$B$4,'Climate Data'!$B$7:$B$366,C5430)</x:f>
        <x:v>7.382142857142857</x:v>
      </x:c>
      <x:c r="J5430" s="381" t="n">
        <x:f>SUMIFS('Wind Proxy'!$H$8:$H$19,'Wind Proxy'!$A$8:$A$19,'Estimator'!$B$4,'Wind Proxy'!$B$8:$B$19,C5430)</x:f>
        <x:v>0.22222222222222224</x:v>
      </x:c>
    </x:row>
    <x:row r="5431">
      <x:c r="A5431" s="379" t="n">
        <x:v>51082</x:v>
      </x:c>
      <x:c r="B5431" s="380" t="n">
        <x:v>2039</x:v>
      </x:c>
      <x:c r="C5431" s="380" t="n">
        <x:v>11</x:v>
      </x:c>
      <x:c r="D5431" s="380" t="str">
        <x:v>Nov</x:v>
      </x:c>
      <x:c r="E5431" s="380" t="n">
        <x:v>8</x:v>
      </x:c>
      <x:c r="F5431" s="380" t="n">
        <x:v>2</x:v>
      </x:c>
      <x:c r="G5431" s="380" t="n">
        <x:f>--(F5431&lt;='Estimator'!$B$7)</x:f>
        <x:v>1</x:v>
      </x:c>
      <x:c r="H5431" s="381" t="n">
        <x:f>SUMIFS('Climate Data'!$G$7:$G$366,'Climate Data'!$A$7:$A$366,'Estimator'!$B$4,'Climate Data'!$B$7:$B$366,C5431)</x:f>
        <x:v>0.3111111111111111</x:v>
      </x:c>
      <x:c r="I5431" s="382" t="n">
        <x:f>SUMIFS('Climate Data'!$H$7:$H$366,'Climate Data'!$A$7:$A$366,'Estimator'!$B$4,'Climate Data'!$B$7:$B$366,C5431)</x:f>
        <x:v>7.382142857142857</x:v>
      </x:c>
      <x:c r="J5431" s="381" t="n">
        <x:f>SUMIFS('Wind Proxy'!$H$8:$H$19,'Wind Proxy'!$A$8:$A$19,'Estimator'!$B$4,'Wind Proxy'!$B$8:$B$19,C5431)</x:f>
        <x:v>0.22222222222222224</x:v>
      </x:c>
    </x:row>
    <x:row r="5432">
      <x:c r="A5432" s="379" t="n">
        <x:v>51083</x:v>
      </x:c>
      <x:c r="B5432" s="380" t="n">
        <x:v>2039</x:v>
      </x:c>
      <x:c r="C5432" s="380" t="n">
        <x:v>11</x:v>
      </x:c>
      <x:c r="D5432" s="380" t="str">
        <x:v>Nov</x:v>
      </x:c>
      <x:c r="E5432" s="380" t="n">
        <x:v>9</x:v>
      </x:c>
      <x:c r="F5432" s="380" t="n">
        <x:v>3</x:v>
      </x:c>
      <x:c r="G5432" s="380" t="n">
        <x:f>--(F5432&lt;='Estimator'!$B$7)</x:f>
        <x:v>1</x:v>
      </x:c>
      <x:c r="H5432" s="381" t="n">
        <x:f>SUMIFS('Climate Data'!$G$7:$G$366,'Climate Data'!$A$7:$A$366,'Estimator'!$B$4,'Climate Data'!$B$7:$B$366,C5432)</x:f>
        <x:v>0.3111111111111111</x:v>
      </x:c>
      <x:c r="I5432" s="382" t="n">
        <x:f>SUMIFS('Climate Data'!$H$7:$H$366,'Climate Data'!$A$7:$A$366,'Estimator'!$B$4,'Climate Data'!$B$7:$B$366,C5432)</x:f>
        <x:v>7.382142857142857</x:v>
      </x:c>
      <x:c r="J5432" s="381" t="n">
        <x:f>SUMIFS('Wind Proxy'!$H$8:$H$19,'Wind Proxy'!$A$8:$A$19,'Estimator'!$B$4,'Wind Proxy'!$B$8:$B$19,C5432)</x:f>
        <x:v>0.22222222222222224</x:v>
      </x:c>
    </x:row>
    <x:row r="5433">
      <x:c r="A5433" s="379" t="n">
        <x:v>51084</x:v>
      </x:c>
      <x:c r="B5433" s="380" t="n">
        <x:v>2039</x:v>
      </x:c>
      <x:c r="C5433" s="380" t="n">
        <x:v>11</x:v>
      </x:c>
      <x:c r="D5433" s="380" t="str">
        <x:v>Nov</x:v>
      </x:c>
      <x:c r="E5433" s="380" t="n">
        <x:v>10</x:v>
      </x:c>
      <x:c r="F5433" s="380" t="n">
        <x:v>4</x:v>
      </x:c>
      <x:c r="G5433" s="380" t="n">
        <x:f>--(F5433&lt;='Estimator'!$B$7)</x:f>
        <x:v>1</x:v>
      </x:c>
      <x:c r="H5433" s="381" t="n">
        <x:f>SUMIFS('Climate Data'!$G$7:$G$366,'Climate Data'!$A$7:$A$366,'Estimator'!$B$4,'Climate Data'!$B$7:$B$366,C5433)</x:f>
        <x:v>0.3111111111111111</x:v>
      </x:c>
      <x:c r="I5433" s="382" t="n">
        <x:f>SUMIFS('Climate Data'!$H$7:$H$366,'Climate Data'!$A$7:$A$366,'Estimator'!$B$4,'Climate Data'!$B$7:$B$366,C5433)</x:f>
        <x:v>7.382142857142857</x:v>
      </x:c>
      <x:c r="J5433" s="381" t="n">
        <x:f>SUMIFS('Wind Proxy'!$H$8:$H$19,'Wind Proxy'!$A$8:$A$19,'Estimator'!$B$4,'Wind Proxy'!$B$8:$B$19,C5433)</x:f>
        <x:v>0.22222222222222224</x:v>
      </x:c>
    </x:row>
    <x:row r="5434">
      <x:c r="A5434" s="379" t="n">
        <x:v>51085</x:v>
      </x:c>
      <x:c r="B5434" s="380" t="n">
        <x:v>2039</x:v>
      </x:c>
      <x:c r="C5434" s="380" t="n">
        <x:v>11</x:v>
      </x:c>
      <x:c r="D5434" s="380" t="str">
        <x:v>Nov</x:v>
      </x:c>
      <x:c r="E5434" s="380" t="n">
        <x:v>11</x:v>
      </x:c>
      <x:c r="F5434" s="380" t="n">
        <x:v>5</x:v>
      </x:c>
      <x:c r="G5434" s="380" t="n">
        <x:f>--(F5434&lt;='Estimator'!$B$7)</x:f>
        <x:v>1</x:v>
      </x:c>
      <x:c r="H5434" s="381" t="n">
        <x:f>SUMIFS('Climate Data'!$G$7:$G$366,'Climate Data'!$A$7:$A$366,'Estimator'!$B$4,'Climate Data'!$B$7:$B$366,C5434)</x:f>
        <x:v>0.3111111111111111</x:v>
      </x:c>
      <x:c r="I5434" s="382" t="n">
        <x:f>SUMIFS('Climate Data'!$H$7:$H$366,'Climate Data'!$A$7:$A$366,'Estimator'!$B$4,'Climate Data'!$B$7:$B$366,C5434)</x:f>
        <x:v>7.382142857142857</x:v>
      </x:c>
      <x:c r="J5434" s="381" t="n">
        <x:f>SUMIFS('Wind Proxy'!$H$8:$H$19,'Wind Proxy'!$A$8:$A$19,'Estimator'!$B$4,'Wind Proxy'!$B$8:$B$19,C5434)</x:f>
        <x:v>0.22222222222222224</x:v>
      </x:c>
    </x:row>
    <x:row r="5435">
      <x:c r="A5435" s="379" t="n">
        <x:v>51086</x:v>
      </x:c>
      <x:c r="B5435" s="380" t="n">
        <x:v>2039</x:v>
      </x:c>
      <x:c r="C5435" s="380" t="n">
        <x:v>11</x:v>
      </x:c>
      <x:c r="D5435" s="380" t="str">
        <x:v>Nov</x:v>
      </x:c>
      <x:c r="E5435" s="380" t="n">
        <x:v>12</x:v>
      </x:c>
      <x:c r="F5435" s="380" t="n">
        <x:v>6</x:v>
      </x:c>
      <x:c r="G5435" s="380" t="n">
        <x:f>--(F5435&lt;='Estimator'!$B$7)</x:f>
        <x:v>0</x:v>
      </x:c>
      <x:c r="H5435" s="381" t="n">
        <x:f>SUMIFS('Climate Data'!$G$7:$G$366,'Climate Data'!$A$7:$A$366,'Estimator'!$B$4,'Climate Data'!$B$7:$B$366,C5435)</x:f>
        <x:v>0.3111111111111111</x:v>
      </x:c>
      <x:c r="I5435" s="382" t="n">
        <x:f>SUMIFS('Climate Data'!$H$7:$H$366,'Climate Data'!$A$7:$A$366,'Estimator'!$B$4,'Climate Data'!$B$7:$B$366,C5435)</x:f>
        <x:v>7.382142857142857</x:v>
      </x:c>
      <x:c r="J5435" s="381" t="n">
        <x:f>SUMIFS('Wind Proxy'!$H$8:$H$19,'Wind Proxy'!$A$8:$A$19,'Estimator'!$B$4,'Wind Proxy'!$B$8:$B$19,C5435)</x:f>
        <x:v>0.22222222222222224</x:v>
      </x:c>
    </x:row>
    <x:row r="5436">
      <x:c r="A5436" s="379" t="n">
        <x:v>51087</x:v>
      </x:c>
      <x:c r="B5436" s="380" t="n">
        <x:v>2039</x:v>
      </x:c>
      <x:c r="C5436" s="380" t="n">
        <x:v>11</x:v>
      </x:c>
      <x:c r="D5436" s="380" t="str">
        <x:v>Nov</x:v>
      </x:c>
      <x:c r="E5436" s="380" t="n">
        <x:v>13</x:v>
      </x:c>
      <x:c r="F5436" s="380" t="n">
        <x:v>7</x:v>
      </x:c>
      <x:c r="G5436" s="380" t="n">
        <x:f>--(F5436&lt;='Estimator'!$B$7)</x:f>
        <x:v>0</x:v>
      </x:c>
      <x:c r="H5436" s="381" t="n">
        <x:f>SUMIFS('Climate Data'!$G$7:$G$366,'Climate Data'!$A$7:$A$366,'Estimator'!$B$4,'Climate Data'!$B$7:$B$366,C5436)</x:f>
        <x:v>0.3111111111111111</x:v>
      </x:c>
      <x:c r="I5436" s="382" t="n">
        <x:f>SUMIFS('Climate Data'!$H$7:$H$366,'Climate Data'!$A$7:$A$366,'Estimator'!$B$4,'Climate Data'!$B$7:$B$366,C5436)</x:f>
        <x:v>7.382142857142857</x:v>
      </x:c>
      <x:c r="J5436" s="381" t="n">
        <x:f>SUMIFS('Wind Proxy'!$H$8:$H$19,'Wind Proxy'!$A$8:$A$19,'Estimator'!$B$4,'Wind Proxy'!$B$8:$B$19,C5436)</x:f>
        <x:v>0.22222222222222224</x:v>
      </x:c>
    </x:row>
    <x:row r="5437">
      <x:c r="A5437" s="379" t="n">
        <x:v>51088</x:v>
      </x:c>
      <x:c r="B5437" s="380" t="n">
        <x:v>2039</x:v>
      </x:c>
      <x:c r="C5437" s="380" t="n">
        <x:v>11</x:v>
      </x:c>
      <x:c r="D5437" s="380" t="str">
        <x:v>Nov</x:v>
      </x:c>
      <x:c r="E5437" s="380" t="n">
        <x:v>14</x:v>
      </x:c>
      <x:c r="F5437" s="380" t="n">
        <x:v>1</x:v>
      </x:c>
      <x:c r="G5437" s="380" t="n">
        <x:f>--(F5437&lt;='Estimator'!$B$7)</x:f>
        <x:v>1</x:v>
      </x:c>
      <x:c r="H5437" s="381" t="n">
        <x:f>SUMIFS('Climate Data'!$G$7:$G$366,'Climate Data'!$A$7:$A$366,'Estimator'!$B$4,'Climate Data'!$B$7:$B$366,C5437)</x:f>
        <x:v>0.3111111111111111</x:v>
      </x:c>
      <x:c r="I5437" s="382" t="n">
        <x:f>SUMIFS('Climate Data'!$H$7:$H$366,'Climate Data'!$A$7:$A$366,'Estimator'!$B$4,'Climate Data'!$B$7:$B$366,C5437)</x:f>
        <x:v>7.382142857142857</x:v>
      </x:c>
      <x:c r="J5437" s="381" t="n">
        <x:f>SUMIFS('Wind Proxy'!$H$8:$H$19,'Wind Proxy'!$A$8:$A$19,'Estimator'!$B$4,'Wind Proxy'!$B$8:$B$19,C5437)</x:f>
        <x:v>0.22222222222222224</x:v>
      </x:c>
    </x:row>
    <x:row r="5438">
      <x:c r="A5438" s="379" t="n">
        <x:v>51089</x:v>
      </x:c>
      <x:c r="B5438" s="380" t="n">
        <x:v>2039</x:v>
      </x:c>
      <x:c r="C5438" s="380" t="n">
        <x:v>11</x:v>
      </x:c>
      <x:c r="D5438" s="380" t="str">
        <x:v>Nov</x:v>
      </x:c>
      <x:c r="E5438" s="380" t="n">
        <x:v>15</x:v>
      </x:c>
      <x:c r="F5438" s="380" t="n">
        <x:v>2</x:v>
      </x:c>
      <x:c r="G5438" s="380" t="n">
        <x:f>--(F5438&lt;='Estimator'!$B$7)</x:f>
        <x:v>1</x:v>
      </x:c>
      <x:c r="H5438" s="381" t="n">
        <x:f>SUMIFS('Climate Data'!$G$7:$G$366,'Climate Data'!$A$7:$A$366,'Estimator'!$B$4,'Climate Data'!$B$7:$B$366,C5438)</x:f>
        <x:v>0.3111111111111111</x:v>
      </x:c>
      <x:c r="I5438" s="382" t="n">
        <x:f>SUMIFS('Climate Data'!$H$7:$H$366,'Climate Data'!$A$7:$A$366,'Estimator'!$B$4,'Climate Data'!$B$7:$B$366,C5438)</x:f>
        <x:v>7.382142857142857</x:v>
      </x:c>
      <x:c r="J5438" s="381" t="n">
        <x:f>SUMIFS('Wind Proxy'!$H$8:$H$19,'Wind Proxy'!$A$8:$A$19,'Estimator'!$B$4,'Wind Proxy'!$B$8:$B$19,C5438)</x:f>
        <x:v>0.22222222222222224</x:v>
      </x:c>
    </x:row>
    <x:row r="5439">
      <x:c r="A5439" s="379" t="n">
        <x:v>51090</x:v>
      </x:c>
      <x:c r="B5439" s="380" t="n">
        <x:v>2039</x:v>
      </x:c>
      <x:c r="C5439" s="380" t="n">
        <x:v>11</x:v>
      </x:c>
      <x:c r="D5439" s="380" t="str">
        <x:v>Nov</x:v>
      </x:c>
      <x:c r="E5439" s="380" t="n">
        <x:v>16</x:v>
      </x:c>
      <x:c r="F5439" s="380" t="n">
        <x:v>3</x:v>
      </x:c>
      <x:c r="G5439" s="380" t="n">
        <x:f>--(F5439&lt;='Estimator'!$B$7)</x:f>
        <x:v>1</x:v>
      </x:c>
      <x:c r="H5439" s="381" t="n">
        <x:f>SUMIFS('Climate Data'!$G$7:$G$366,'Climate Data'!$A$7:$A$366,'Estimator'!$B$4,'Climate Data'!$B$7:$B$366,C5439)</x:f>
        <x:v>0.3111111111111111</x:v>
      </x:c>
      <x:c r="I5439" s="382" t="n">
        <x:f>SUMIFS('Climate Data'!$H$7:$H$366,'Climate Data'!$A$7:$A$366,'Estimator'!$B$4,'Climate Data'!$B$7:$B$366,C5439)</x:f>
        <x:v>7.382142857142857</x:v>
      </x:c>
      <x:c r="J5439" s="381" t="n">
        <x:f>SUMIFS('Wind Proxy'!$H$8:$H$19,'Wind Proxy'!$A$8:$A$19,'Estimator'!$B$4,'Wind Proxy'!$B$8:$B$19,C5439)</x:f>
        <x:v>0.22222222222222224</x:v>
      </x:c>
    </x:row>
    <x:row r="5440">
      <x:c r="A5440" s="379" t="n">
        <x:v>51091</x:v>
      </x:c>
      <x:c r="B5440" s="380" t="n">
        <x:v>2039</x:v>
      </x:c>
      <x:c r="C5440" s="380" t="n">
        <x:v>11</x:v>
      </x:c>
      <x:c r="D5440" s="380" t="str">
        <x:v>Nov</x:v>
      </x:c>
      <x:c r="E5440" s="380" t="n">
        <x:v>17</x:v>
      </x:c>
      <x:c r="F5440" s="380" t="n">
        <x:v>4</x:v>
      </x:c>
      <x:c r="G5440" s="380" t="n">
        <x:f>--(F5440&lt;='Estimator'!$B$7)</x:f>
        <x:v>1</x:v>
      </x:c>
      <x:c r="H5440" s="381" t="n">
        <x:f>SUMIFS('Climate Data'!$G$7:$G$366,'Climate Data'!$A$7:$A$366,'Estimator'!$B$4,'Climate Data'!$B$7:$B$366,C5440)</x:f>
        <x:v>0.3111111111111111</x:v>
      </x:c>
      <x:c r="I5440" s="382" t="n">
        <x:f>SUMIFS('Climate Data'!$H$7:$H$366,'Climate Data'!$A$7:$A$366,'Estimator'!$B$4,'Climate Data'!$B$7:$B$366,C5440)</x:f>
        <x:v>7.382142857142857</x:v>
      </x:c>
      <x:c r="J5440" s="381" t="n">
        <x:f>SUMIFS('Wind Proxy'!$H$8:$H$19,'Wind Proxy'!$A$8:$A$19,'Estimator'!$B$4,'Wind Proxy'!$B$8:$B$19,C5440)</x:f>
        <x:v>0.22222222222222224</x:v>
      </x:c>
    </x:row>
    <x:row r="5441">
      <x:c r="A5441" s="379" t="n">
        <x:v>51092</x:v>
      </x:c>
      <x:c r="B5441" s="380" t="n">
        <x:v>2039</x:v>
      </x:c>
      <x:c r="C5441" s="380" t="n">
        <x:v>11</x:v>
      </x:c>
      <x:c r="D5441" s="380" t="str">
        <x:v>Nov</x:v>
      </x:c>
      <x:c r="E5441" s="380" t="n">
        <x:v>18</x:v>
      </x:c>
      <x:c r="F5441" s="380" t="n">
        <x:v>5</x:v>
      </x:c>
      <x:c r="G5441" s="380" t="n">
        <x:f>--(F5441&lt;='Estimator'!$B$7)</x:f>
        <x:v>1</x:v>
      </x:c>
      <x:c r="H5441" s="381" t="n">
        <x:f>SUMIFS('Climate Data'!$G$7:$G$366,'Climate Data'!$A$7:$A$366,'Estimator'!$B$4,'Climate Data'!$B$7:$B$366,C5441)</x:f>
        <x:v>0.3111111111111111</x:v>
      </x:c>
      <x:c r="I5441" s="382" t="n">
        <x:f>SUMIFS('Climate Data'!$H$7:$H$366,'Climate Data'!$A$7:$A$366,'Estimator'!$B$4,'Climate Data'!$B$7:$B$366,C5441)</x:f>
        <x:v>7.382142857142857</x:v>
      </x:c>
      <x:c r="J5441" s="381" t="n">
        <x:f>SUMIFS('Wind Proxy'!$H$8:$H$19,'Wind Proxy'!$A$8:$A$19,'Estimator'!$B$4,'Wind Proxy'!$B$8:$B$19,C5441)</x:f>
        <x:v>0.22222222222222224</x:v>
      </x:c>
    </x:row>
    <x:row r="5442">
      <x:c r="A5442" s="379" t="n">
        <x:v>51093</x:v>
      </x:c>
      <x:c r="B5442" s="380" t="n">
        <x:v>2039</x:v>
      </x:c>
      <x:c r="C5442" s="380" t="n">
        <x:v>11</x:v>
      </x:c>
      <x:c r="D5442" s="380" t="str">
        <x:v>Nov</x:v>
      </x:c>
      <x:c r="E5442" s="380" t="n">
        <x:v>19</x:v>
      </x:c>
      <x:c r="F5442" s="380" t="n">
        <x:v>6</x:v>
      </x:c>
      <x:c r="G5442" s="380" t="n">
        <x:f>--(F5442&lt;='Estimator'!$B$7)</x:f>
        <x:v>0</x:v>
      </x:c>
      <x:c r="H5442" s="381" t="n">
        <x:f>SUMIFS('Climate Data'!$G$7:$G$366,'Climate Data'!$A$7:$A$366,'Estimator'!$B$4,'Climate Data'!$B$7:$B$366,C5442)</x:f>
        <x:v>0.3111111111111111</x:v>
      </x:c>
      <x:c r="I5442" s="382" t="n">
        <x:f>SUMIFS('Climate Data'!$H$7:$H$366,'Climate Data'!$A$7:$A$366,'Estimator'!$B$4,'Climate Data'!$B$7:$B$366,C5442)</x:f>
        <x:v>7.382142857142857</x:v>
      </x:c>
      <x:c r="J5442" s="381" t="n">
        <x:f>SUMIFS('Wind Proxy'!$H$8:$H$19,'Wind Proxy'!$A$8:$A$19,'Estimator'!$B$4,'Wind Proxy'!$B$8:$B$19,C5442)</x:f>
        <x:v>0.22222222222222224</x:v>
      </x:c>
    </x:row>
    <x:row r="5443">
      <x:c r="A5443" s="379" t="n">
        <x:v>51094</x:v>
      </x:c>
      <x:c r="B5443" s="380" t="n">
        <x:v>2039</x:v>
      </x:c>
      <x:c r="C5443" s="380" t="n">
        <x:v>11</x:v>
      </x:c>
      <x:c r="D5443" s="380" t="str">
        <x:v>Nov</x:v>
      </x:c>
      <x:c r="E5443" s="380" t="n">
        <x:v>20</x:v>
      </x:c>
      <x:c r="F5443" s="380" t="n">
        <x:v>7</x:v>
      </x:c>
      <x:c r="G5443" s="380" t="n">
        <x:f>--(F5443&lt;='Estimator'!$B$7)</x:f>
        <x:v>0</x:v>
      </x:c>
      <x:c r="H5443" s="381" t="n">
        <x:f>SUMIFS('Climate Data'!$G$7:$G$366,'Climate Data'!$A$7:$A$366,'Estimator'!$B$4,'Climate Data'!$B$7:$B$366,C5443)</x:f>
        <x:v>0.3111111111111111</x:v>
      </x:c>
      <x:c r="I5443" s="382" t="n">
        <x:f>SUMIFS('Climate Data'!$H$7:$H$366,'Climate Data'!$A$7:$A$366,'Estimator'!$B$4,'Climate Data'!$B$7:$B$366,C5443)</x:f>
        <x:v>7.382142857142857</x:v>
      </x:c>
      <x:c r="J5443" s="381" t="n">
        <x:f>SUMIFS('Wind Proxy'!$H$8:$H$19,'Wind Proxy'!$A$8:$A$19,'Estimator'!$B$4,'Wind Proxy'!$B$8:$B$19,C5443)</x:f>
        <x:v>0.22222222222222224</x:v>
      </x:c>
    </x:row>
    <x:row r="5444">
      <x:c r="A5444" s="379" t="n">
        <x:v>51095</x:v>
      </x:c>
      <x:c r="B5444" s="380" t="n">
        <x:v>2039</x:v>
      </x:c>
      <x:c r="C5444" s="380" t="n">
        <x:v>11</x:v>
      </x:c>
      <x:c r="D5444" s="380" t="str">
        <x:v>Nov</x:v>
      </x:c>
      <x:c r="E5444" s="380" t="n">
        <x:v>21</x:v>
      </x:c>
      <x:c r="F5444" s="380" t="n">
        <x:v>1</x:v>
      </x:c>
      <x:c r="G5444" s="380" t="n">
        <x:f>--(F5444&lt;='Estimator'!$B$7)</x:f>
        <x:v>1</x:v>
      </x:c>
      <x:c r="H5444" s="381" t="n">
        <x:f>SUMIFS('Climate Data'!$G$7:$G$366,'Climate Data'!$A$7:$A$366,'Estimator'!$B$4,'Climate Data'!$B$7:$B$366,C5444)</x:f>
        <x:v>0.3111111111111111</x:v>
      </x:c>
      <x:c r="I5444" s="382" t="n">
        <x:f>SUMIFS('Climate Data'!$H$7:$H$366,'Climate Data'!$A$7:$A$366,'Estimator'!$B$4,'Climate Data'!$B$7:$B$366,C5444)</x:f>
        <x:v>7.382142857142857</x:v>
      </x:c>
      <x:c r="J5444" s="381" t="n">
        <x:f>SUMIFS('Wind Proxy'!$H$8:$H$19,'Wind Proxy'!$A$8:$A$19,'Estimator'!$B$4,'Wind Proxy'!$B$8:$B$19,C5444)</x:f>
        <x:v>0.22222222222222224</x:v>
      </x:c>
    </x:row>
    <x:row r="5445">
      <x:c r="A5445" s="379" t="n">
        <x:v>51096</x:v>
      </x:c>
      <x:c r="B5445" s="380" t="n">
        <x:v>2039</x:v>
      </x:c>
      <x:c r="C5445" s="380" t="n">
        <x:v>11</x:v>
      </x:c>
      <x:c r="D5445" s="380" t="str">
        <x:v>Nov</x:v>
      </x:c>
      <x:c r="E5445" s="380" t="n">
        <x:v>22</x:v>
      </x:c>
      <x:c r="F5445" s="380" t="n">
        <x:v>2</x:v>
      </x:c>
      <x:c r="G5445" s="380" t="n">
        <x:f>--(F5445&lt;='Estimator'!$B$7)</x:f>
        <x:v>1</x:v>
      </x:c>
      <x:c r="H5445" s="381" t="n">
        <x:f>SUMIFS('Climate Data'!$G$7:$G$366,'Climate Data'!$A$7:$A$366,'Estimator'!$B$4,'Climate Data'!$B$7:$B$366,C5445)</x:f>
        <x:v>0.3111111111111111</x:v>
      </x:c>
      <x:c r="I5445" s="382" t="n">
        <x:f>SUMIFS('Climate Data'!$H$7:$H$366,'Climate Data'!$A$7:$A$366,'Estimator'!$B$4,'Climate Data'!$B$7:$B$366,C5445)</x:f>
        <x:v>7.382142857142857</x:v>
      </x:c>
      <x:c r="J5445" s="381" t="n">
        <x:f>SUMIFS('Wind Proxy'!$H$8:$H$19,'Wind Proxy'!$A$8:$A$19,'Estimator'!$B$4,'Wind Proxy'!$B$8:$B$19,C5445)</x:f>
        <x:v>0.22222222222222224</x:v>
      </x:c>
    </x:row>
    <x:row r="5446">
      <x:c r="A5446" s="379" t="n">
        <x:v>51097</x:v>
      </x:c>
      <x:c r="B5446" s="380" t="n">
        <x:v>2039</x:v>
      </x:c>
      <x:c r="C5446" s="380" t="n">
        <x:v>11</x:v>
      </x:c>
      <x:c r="D5446" s="380" t="str">
        <x:v>Nov</x:v>
      </x:c>
      <x:c r="E5446" s="380" t="n">
        <x:v>23</x:v>
      </x:c>
      <x:c r="F5446" s="380" t="n">
        <x:v>3</x:v>
      </x:c>
      <x:c r="G5446" s="380" t="n">
        <x:f>--(F5446&lt;='Estimator'!$B$7)</x:f>
        <x:v>1</x:v>
      </x:c>
      <x:c r="H5446" s="381" t="n">
        <x:f>SUMIFS('Climate Data'!$G$7:$G$366,'Climate Data'!$A$7:$A$366,'Estimator'!$B$4,'Climate Data'!$B$7:$B$366,C5446)</x:f>
        <x:v>0.3111111111111111</x:v>
      </x:c>
      <x:c r="I5446" s="382" t="n">
        <x:f>SUMIFS('Climate Data'!$H$7:$H$366,'Climate Data'!$A$7:$A$366,'Estimator'!$B$4,'Climate Data'!$B$7:$B$366,C5446)</x:f>
        <x:v>7.382142857142857</x:v>
      </x:c>
      <x:c r="J5446" s="381" t="n">
        <x:f>SUMIFS('Wind Proxy'!$H$8:$H$19,'Wind Proxy'!$A$8:$A$19,'Estimator'!$B$4,'Wind Proxy'!$B$8:$B$19,C5446)</x:f>
        <x:v>0.22222222222222224</x:v>
      </x:c>
    </x:row>
    <x:row r="5447">
      <x:c r="A5447" s="379" t="n">
        <x:v>51098</x:v>
      </x:c>
      <x:c r="B5447" s="380" t="n">
        <x:v>2039</x:v>
      </x:c>
      <x:c r="C5447" s="380" t="n">
        <x:v>11</x:v>
      </x:c>
      <x:c r="D5447" s="380" t="str">
        <x:v>Nov</x:v>
      </x:c>
      <x:c r="E5447" s="380" t="n">
        <x:v>24</x:v>
      </x:c>
      <x:c r="F5447" s="380" t="n">
        <x:v>4</x:v>
      </x:c>
      <x:c r="G5447" s="380" t="n">
        <x:f>--(F5447&lt;='Estimator'!$B$7)</x:f>
        <x:v>1</x:v>
      </x:c>
      <x:c r="H5447" s="381" t="n">
        <x:f>SUMIFS('Climate Data'!$G$7:$G$366,'Climate Data'!$A$7:$A$366,'Estimator'!$B$4,'Climate Data'!$B$7:$B$366,C5447)</x:f>
        <x:v>0.3111111111111111</x:v>
      </x:c>
      <x:c r="I5447" s="382" t="n">
        <x:f>SUMIFS('Climate Data'!$H$7:$H$366,'Climate Data'!$A$7:$A$366,'Estimator'!$B$4,'Climate Data'!$B$7:$B$366,C5447)</x:f>
        <x:v>7.382142857142857</x:v>
      </x:c>
      <x:c r="J5447" s="381" t="n">
        <x:f>SUMIFS('Wind Proxy'!$H$8:$H$19,'Wind Proxy'!$A$8:$A$19,'Estimator'!$B$4,'Wind Proxy'!$B$8:$B$19,C5447)</x:f>
        <x:v>0.22222222222222224</x:v>
      </x:c>
    </x:row>
    <x:row r="5448">
      <x:c r="A5448" s="379" t="n">
        <x:v>51099</x:v>
      </x:c>
      <x:c r="B5448" s="380" t="n">
        <x:v>2039</x:v>
      </x:c>
      <x:c r="C5448" s="380" t="n">
        <x:v>11</x:v>
      </x:c>
      <x:c r="D5448" s="380" t="str">
        <x:v>Nov</x:v>
      </x:c>
      <x:c r="E5448" s="380" t="n">
        <x:v>25</x:v>
      </x:c>
      <x:c r="F5448" s="380" t="n">
        <x:v>5</x:v>
      </x:c>
      <x:c r="G5448" s="380" t="n">
        <x:f>--(F5448&lt;='Estimator'!$B$7)</x:f>
        <x:v>1</x:v>
      </x:c>
      <x:c r="H5448" s="381" t="n">
        <x:f>SUMIFS('Climate Data'!$G$7:$G$366,'Climate Data'!$A$7:$A$366,'Estimator'!$B$4,'Climate Data'!$B$7:$B$366,C5448)</x:f>
        <x:v>0.3111111111111111</x:v>
      </x:c>
      <x:c r="I5448" s="382" t="n">
        <x:f>SUMIFS('Climate Data'!$H$7:$H$366,'Climate Data'!$A$7:$A$366,'Estimator'!$B$4,'Climate Data'!$B$7:$B$366,C5448)</x:f>
        <x:v>7.382142857142857</x:v>
      </x:c>
      <x:c r="J5448" s="381" t="n">
        <x:f>SUMIFS('Wind Proxy'!$H$8:$H$19,'Wind Proxy'!$A$8:$A$19,'Estimator'!$B$4,'Wind Proxy'!$B$8:$B$19,C5448)</x:f>
        <x:v>0.22222222222222224</x:v>
      </x:c>
    </x:row>
    <x:row r="5449">
      <x:c r="A5449" s="379" t="n">
        <x:v>51100</x:v>
      </x:c>
      <x:c r="B5449" s="380" t="n">
        <x:v>2039</x:v>
      </x:c>
      <x:c r="C5449" s="380" t="n">
        <x:v>11</x:v>
      </x:c>
      <x:c r="D5449" s="380" t="str">
        <x:v>Nov</x:v>
      </x:c>
      <x:c r="E5449" s="380" t="n">
        <x:v>26</x:v>
      </x:c>
      <x:c r="F5449" s="380" t="n">
        <x:v>6</x:v>
      </x:c>
      <x:c r="G5449" s="380" t="n">
        <x:f>--(F5449&lt;='Estimator'!$B$7)</x:f>
        <x:v>0</x:v>
      </x:c>
      <x:c r="H5449" s="381" t="n">
        <x:f>SUMIFS('Climate Data'!$G$7:$G$366,'Climate Data'!$A$7:$A$366,'Estimator'!$B$4,'Climate Data'!$B$7:$B$366,C5449)</x:f>
        <x:v>0.3111111111111111</x:v>
      </x:c>
      <x:c r="I5449" s="382" t="n">
        <x:f>SUMIFS('Climate Data'!$H$7:$H$366,'Climate Data'!$A$7:$A$366,'Estimator'!$B$4,'Climate Data'!$B$7:$B$366,C5449)</x:f>
        <x:v>7.382142857142857</x:v>
      </x:c>
      <x:c r="J5449" s="381" t="n">
        <x:f>SUMIFS('Wind Proxy'!$H$8:$H$19,'Wind Proxy'!$A$8:$A$19,'Estimator'!$B$4,'Wind Proxy'!$B$8:$B$19,C5449)</x:f>
        <x:v>0.22222222222222224</x:v>
      </x:c>
    </x:row>
    <x:row r="5450">
      <x:c r="A5450" s="379" t="n">
        <x:v>51101</x:v>
      </x:c>
      <x:c r="B5450" s="380" t="n">
        <x:v>2039</x:v>
      </x:c>
      <x:c r="C5450" s="380" t="n">
        <x:v>11</x:v>
      </x:c>
      <x:c r="D5450" s="380" t="str">
        <x:v>Nov</x:v>
      </x:c>
      <x:c r="E5450" s="380" t="n">
        <x:v>27</x:v>
      </x:c>
      <x:c r="F5450" s="380" t="n">
        <x:v>7</x:v>
      </x:c>
      <x:c r="G5450" s="380" t="n">
        <x:f>--(F5450&lt;='Estimator'!$B$7)</x:f>
        <x:v>0</x:v>
      </x:c>
      <x:c r="H5450" s="381" t="n">
        <x:f>SUMIFS('Climate Data'!$G$7:$G$366,'Climate Data'!$A$7:$A$366,'Estimator'!$B$4,'Climate Data'!$B$7:$B$366,C5450)</x:f>
        <x:v>0.3111111111111111</x:v>
      </x:c>
      <x:c r="I5450" s="382" t="n">
        <x:f>SUMIFS('Climate Data'!$H$7:$H$366,'Climate Data'!$A$7:$A$366,'Estimator'!$B$4,'Climate Data'!$B$7:$B$366,C5450)</x:f>
        <x:v>7.382142857142857</x:v>
      </x:c>
      <x:c r="J5450" s="381" t="n">
        <x:f>SUMIFS('Wind Proxy'!$H$8:$H$19,'Wind Proxy'!$A$8:$A$19,'Estimator'!$B$4,'Wind Proxy'!$B$8:$B$19,C5450)</x:f>
        <x:v>0.22222222222222224</x:v>
      </x:c>
    </x:row>
    <x:row r="5451">
      <x:c r="A5451" s="379" t="n">
        <x:v>51102</x:v>
      </x:c>
      <x:c r="B5451" s="380" t="n">
        <x:v>2039</x:v>
      </x:c>
      <x:c r="C5451" s="380" t="n">
        <x:v>11</x:v>
      </x:c>
      <x:c r="D5451" s="380" t="str">
        <x:v>Nov</x:v>
      </x:c>
      <x:c r="E5451" s="380" t="n">
        <x:v>28</x:v>
      </x:c>
      <x:c r="F5451" s="380" t="n">
        <x:v>1</x:v>
      </x:c>
      <x:c r="G5451" s="380" t="n">
        <x:f>--(F5451&lt;='Estimator'!$B$7)</x:f>
        <x:v>1</x:v>
      </x:c>
      <x:c r="H5451" s="381" t="n">
        <x:f>SUMIFS('Climate Data'!$G$7:$G$366,'Climate Data'!$A$7:$A$366,'Estimator'!$B$4,'Climate Data'!$B$7:$B$366,C5451)</x:f>
        <x:v>0.3111111111111111</x:v>
      </x:c>
      <x:c r="I5451" s="382" t="n">
        <x:f>SUMIFS('Climate Data'!$H$7:$H$366,'Climate Data'!$A$7:$A$366,'Estimator'!$B$4,'Climate Data'!$B$7:$B$366,C5451)</x:f>
        <x:v>7.382142857142857</x:v>
      </x:c>
      <x:c r="J5451" s="381" t="n">
        <x:f>SUMIFS('Wind Proxy'!$H$8:$H$19,'Wind Proxy'!$A$8:$A$19,'Estimator'!$B$4,'Wind Proxy'!$B$8:$B$19,C5451)</x:f>
        <x:v>0.22222222222222224</x:v>
      </x:c>
    </x:row>
    <x:row r="5452">
      <x:c r="A5452" s="379" t="n">
        <x:v>51103</x:v>
      </x:c>
      <x:c r="B5452" s="380" t="n">
        <x:v>2039</x:v>
      </x:c>
      <x:c r="C5452" s="380" t="n">
        <x:v>11</x:v>
      </x:c>
      <x:c r="D5452" s="380" t="str">
        <x:v>Nov</x:v>
      </x:c>
      <x:c r="E5452" s="380" t="n">
        <x:v>29</x:v>
      </x:c>
      <x:c r="F5452" s="380" t="n">
        <x:v>2</x:v>
      </x:c>
      <x:c r="G5452" s="380" t="n">
        <x:f>--(F5452&lt;='Estimator'!$B$7)</x:f>
        <x:v>1</x:v>
      </x:c>
      <x:c r="H5452" s="381" t="n">
        <x:f>SUMIFS('Climate Data'!$G$7:$G$366,'Climate Data'!$A$7:$A$366,'Estimator'!$B$4,'Climate Data'!$B$7:$B$366,C5452)</x:f>
        <x:v>0.3111111111111111</x:v>
      </x:c>
      <x:c r="I5452" s="382" t="n">
        <x:f>SUMIFS('Climate Data'!$H$7:$H$366,'Climate Data'!$A$7:$A$366,'Estimator'!$B$4,'Climate Data'!$B$7:$B$366,C5452)</x:f>
        <x:v>7.382142857142857</x:v>
      </x:c>
      <x:c r="J5452" s="381" t="n">
        <x:f>SUMIFS('Wind Proxy'!$H$8:$H$19,'Wind Proxy'!$A$8:$A$19,'Estimator'!$B$4,'Wind Proxy'!$B$8:$B$19,C5452)</x:f>
        <x:v>0.22222222222222224</x:v>
      </x:c>
    </x:row>
    <x:row r="5453">
      <x:c r="A5453" s="379" t="n">
        <x:v>51104</x:v>
      </x:c>
      <x:c r="B5453" s="380" t="n">
        <x:v>2039</x:v>
      </x:c>
      <x:c r="C5453" s="380" t="n">
        <x:v>11</x:v>
      </x:c>
      <x:c r="D5453" s="380" t="str">
        <x:v>Nov</x:v>
      </x:c>
      <x:c r="E5453" s="380" t="n">
        <x:v>30</x:v>
      </x:c>
      <x:c r="F5453" s="380" t="n">
        <x:v>3</x:v>
      </x:c>
      <x:c r="G5453" s="380" t="n">
        <x:f>--(F5453&lt;='Estimator'!$B$7)</x:f>
        <x:v>1</x:v>
      </x:c>
      <x:c r="H5453" s="381" t="n">
        <x:f>SUMIFS('Climate Data'!$G$7:$G$366,'Climate Data'!$A$7:$A$366,'Estimator'!$B$4,'Climate Data'!$B$7:$B$366,C5453)</x:f>
        <x:v>0.3111111111111111</x:v>
      </x:c>
      <x:c r="I5453" s="382" t="n">
        <x:f>SUMIFS('Climate Data'!$H$7:$H$366,'Climate Data'!$A$7:$A$366,'Estimator'!$B$4,'Climate Data'!$B$7:$B$366,C5453)</x:f>
        <x:v>7.382142857142857</x:v>
      </x:c>
      <x:c r="J5453" s="381" t="n">
        <x:f>SUMIFS('Wind Proxy'!$H$8:$H$19,'Wind Proxy'!$A$8:$A$19,'Estimator'!$B$4,'Wind Proxy'!$B$8:$B$19,C5453)</x:f>
        <x:v>0.22222222222222224</x:v>
      </x:c>
    </x:row>
    <x:row r="5454">
      <x:c r="A5454" s="379" t="n">
        <x:v>51105</x:v>
      </x:c>
      <x:c r="B5454" s="380" t="n">
        <x:v>2039</x:v>
      </x:c>
      <x:c r="C5454" s="380" t="n">
        <x:v>12</x:v>
      </x:c>
      <x:c r="D5454" s="380" t="str">
        <x:v>Dec</x:v>
      </x:c>
      <x:c r="E5454" s="380" t="n">
        <x:v>1</x:v>
      </x:c>
      <x:c r="F5454" s="380" t="n">
        <x:v>4</x:v>
      </x:c>
      <x:c r="G5454" s="380" t="n">
        <x:f>--(F5454&lt;='Estimator'!$B$7)</x:f>
        <x:v>1</x:v>
      </x:c>
      <x:c r="H5454" s="381" t="n">
        <x:f>SUMIFS('Climate Data'!$G$7:$G$366,'Climate Data'!$A$7:$A$366,'Estimator'!$B$4,'Climate Data'!$B$7:$B$366,C5454)</x:f>
        <x:v>0.2914349276974416</x:v>
      </x:c>
      <x:c r="I5454" s="382" t="n">
        <x:f>SUMIFS('Climate Data'!$H$7:$H$366,'Climate Data'!$A$7:$A$366,'Estimator'!$B$4,'Climate Data'!$B$7:$B$366,C5454)</x:f>
        <x:v>9.043129770992365</x:v>
      </x:c>
      <x:c r="J5454" s="381" t="n">
        <x:f>SUMIFS('Wind Proxy'!$H$8:$H$19,'Wind Proxy'!$A$8:$A$19,'Estimator'!$B$4,'Wind Proxy'!$B$8:$B$19,C5454)</x:f>
        <x:v>0.12544802867383514</x:v>
      </x:c>
    </x:row>
    <x:row r="5455">
      <x:c r="A5455" s="379" t="n">
        <x:v>51106</x:v>
      </x:c>
      <x:c r="B5455" s="380" t="n">
        <x:v>2039</x:v>
      </x:c>
      <x:c r="C5455" s="380" t="n">
        <x:v>12</x:v>
      </x:c>
      <x:c r="D5455" s="380" t="str">
        <x:v>Dec</x:v>
      </x:c>
      <x:c r="E5455" s="380" t="n">
        <x:v>2</x:v>
      </x:c>
      <x:c r="F5455" s="380" t="n">
        <x:v>5</x:v>
      </x:c>
      <x:c r="G5455" s="380" t="n">
        <x:f>--(F5455&lt;='Estimator'!$B$7)</x:f>
        <x:v>1</x:v>
      </x:c>
      <x:c r="H5455" s="381" t="n">
        <x:f>SUMIFS('Climate Data'!$G$7:$G$366,'Climate Data'!$A$7:$A$366,'Estimator'!$B$4,'Climate Data'!$B$7:$B$366,C5455)</x:f>
        <x:v>0.2914349276974416</x:v>
      </x:c>
      <x:c r="I5455" s="382" t="n">
        <x:f>SUMIFS('Climate Data'!$H$7:$H$366,'Climate Data'!$A$7:$A$366,'Estimator'!$B$4,'Climate Data'!$B$7:$B$366,C5455)</x:f>
        <x:v>9.043129770992365</x:v>
      </x:c>
      <x:c r="J5455" s="381" t="n">
        <x:f>SUMIFS('Wind Proxy'!$H$8:$H$19,'Wind Proxy'!$A$8:$A$19,'Estimator'!$B$4,'Wind Proxy'!$B$8:$B$19,C5455)</x:f>
        <x:v>0.12544802867383514</x:v>
      </x:c>
    </x:row>
    <x:row r="5456">
      <x:c r="A5456" s="379" t="n">
        <x:v>51107</x:v>
      </x:c>
      <x:c r="B5456" s="380" t="n">
        <x:v>2039</x:v>
      </x:c>
      <x:c r="C5456" s="380" t="n">
        <x:v>12</x:v>
      </x:c>
      <x:c r="D5456" s="380" t="str">
        <x:v>Dec</x:v>
      </x:c>
      <x:c r="E5456" s="380" t="n">
        <x:v>3</x:v>
      </x:c>
      <x:c r="F5456" s="380" t="n">
        <x:v>6</x:v>
      </x:c>
      <x:c r="G5456" s="380" t="n">
        <x:f>--(F5456&lt;='Estimator'!$B$7)</x:f>
        <x:v>0</x:v>
      </x:c>
      <x:c r="H5456" s="381" t="n">
        <x:f>SUMIFS('Climate Data'!$G$7:$G$366,'Climate Data'!$A$7:$A$366,'Estimator'!$B$4,'Climate Data'!$B$7:$B$366,C5456)</x:f>
        <x:v>0.2914349276974416</x:v>
      </x:c>
      <x:c r="I5456" s="382" t="n">
        <x:f>SUMIFS('Climate Data'!$H$7:$H$366,'Climate Data'!$A$7:$A$366,'Estimator'!$B$4,'Climate Data'!$B$7:$B$366,C5456)</x:f>
        <x:v>9.043129770992365</x:v>
      </x:c>
      <x:c r="J5456" s="381" t="n">
        <x:f>SUMIFS('Wind Proxy'!$H$8:$H$19,'Wind Proxy'!$A$8:$A$19,'Estimator'!$B$4,'Wind Proxy'!$B$8:$B$19,C5456)</x:f>
        <x:v>0.12544802867383514</x:v>
      </x:c>
    </x:row>
    <x:row r="5457">
      <x:c r="A5457" s="379" t="n">
        <x:v>51108</x:v>
      </x:c>
      <x:c r="B5457" s="380" t="n">
        <x:v>2039</x:v>
      </x:c>
      <x:c r="C5457" s="380" t="n">
        <x:v>12</x:v>
      </x:c>
      <x:c r="D5457" s="380" t="str">
        <x:v>Dec</x:v>
      </x:c>
      <x:c r="E5457" s="380" t="n">
        <x:v>4</x:v>
      </x:c>
      <x:c r="F5457" s="380" t="n">
        <x:v>7</x:v>
      </x:c>
      <x:c r="G5457" s="380" t="n">
        <x:f>--(F5457&lt;='Estimator'!$B$7)</x:f>
        <x:v>0</x:v>
      </x:c>
      <x:c r="H5457" s="381" t="n">
        <x:f>SUMIFS('Climate Data'!$G$7:$G$366,'Climate Data'!$A$7:$A$366,'Estimator'!$B$4,'Climate Data'!$B$7:$B$366,C5457)</x:f>
        <x:v>0.2914349276974416</x:v>
      </x:c>
      <x:c r="I5457" s="382" t="n">
        <x:f>SUMIFS('Climate Data'!$H$7:$H$366,'Climate Data'!$A$7:$A$366,'Estimator'!$B$4,'Climate Data'!$B$7:$B$366,C5457)</x:f>
        <x:v>9.043129770992365</x:v>
      </x:c>
      <x:c r="J5457" s="381" t="n">
        <x:f>SUMIFS('Wind Proxy'!$H$8:$H$19,'Wind Proxy'!$A$8:$A$19,'Estimator'!$B$4,'Wind Proxy'!$B$8:$B$19,C5457)</x:f>
        <x:v>0.12544802867383514</x:v>
      </x:c>
    </x:row>
    <x:row r="5458">
      <x:c r="A5458" s="379" t="n">
        <x:v>51109</x:v>
      </x:c>
      <x:c r="B5458" s="380" t="n">
        <x:v>2039</x:v>
      </x:c>
      <x:c r="C5458" s="380" t="n">
        <x:v>12</x:v>
      </x:c>
      <x:c r="D5458" s="380" t="str">
        <x:v>Dec</x:v>
      </x:c>
      <x:c r="E5458" s="380" t="n">
        <x:v>5</x:v>
      </x:c>
      <x:c r="F5458" s="380" t="n">
        <x:v>1</x:v>
      </x:c>
      <x:c r="G5458" s="380" t="n">
        <x:f>--(F5458&lt;='Estimator'!$B$7)</x:f>
        <x:v>1</x:v>
      </x:c>
      <x:c r="H5458" s="381" t="n">
        <x:f>SUMIFS('Climate Data'!$G$7:$G$366,'Climate Data'!$A$7:$A$366,'Estimator'!$B$4,'Climate Data'!$B$7:$B$366,C5458)</x:f>
        <x:v>0.2914349276974416</x:v>
      </x:c>
      <x:c r="I5458" s="382" t="n">
        <x:f>SUMIFS('Climate Data'!$H$7:$H$366,'Climate Data'!$A$7:$A$366,'Estimator'!$B$4,'Climate Data'!$B$7:$B$366,C5458)</x:f>
        <x:v>9.043129770992365</x:v>
      </x:c>
      <x:c r="J5458" s="381" t="n">
        <x:f>SUMIFS('Wind Proxy'!$H$8:$H$19,'Wind Proxy'!$A$8:$A$19,'Estimator'!$B$4,'Wind Proxy'!$B$8:$B$19,C5458)</x:f>
        <x:v>0.12544802867383514</x:v>
      </x:c>
    </x:row>
    <x:row r="5459">
      <x:c r="A5459" s="379" t="n">
        <x:v>51110</x:v>
      </x:c>
      <x:c r="B5459" s="380" t="n">
        <x:v>2039</x:v>
      </x:c>
      <x:c r="C5459" s="380" t="n">
        <x:v>12</x:v>
      </x:c>
      <x:c r="D5459" s="380" t="str">
        <x:v>Dec</x:v>
      </x:c>
      <x:c r="E5459" s="380" t="n">
        <x:v>6</x:v>
      </x:c>
      <x:c r="F5459" s="380" t="n">
        <x:v>2</x:v>
      </x:c>
      <x:c r="G5459" s="380" t="n">
        <x:f>--(F5459&lt;='Estimator'!$B$7)</x:f>
        <x:v>1</x:v>
      </x:c>
      <x:c r="H5459" s="381" t="n">
        <x:f>SUMIFS('Climate Data'!$G$7:$G$366,'Climate Data'!$A$7:$A$366,'Estimator'!$B$4,'Climate Data'!$B$7:$B$366,C5459)</x:f>
        <x:v>0.2914349276974416</x:v>
      </x:c>
      <x:c r="I5459" s="382" t="n">
        <x:f>SUMIFS('Climate Data'!$H$7:$H$366,'Climate Data'!$A$7:$A$366,'Estimator'!$B$4,'Climate Data'!$B$7:$B$366,C5459)</x:f>
        <x:v>9.043129770992365</x:v>
      </x:c>
      <x:c r="J5459" s="381" t="n">
        <x:f>SUMIFS('Wind Proxy'!$H$8:$H$19,'Wind Proxy'!$A$8:$A$19,'Estimator'!$B$4,'Wind Proxy'!$B$8:$B$19,C5459)</x:f>
        <x:v>0.12544802867383514</x:v>
      </x:c>
    </x:row>
    <x:row r="5460">
      <x:c r="A5460" s="379" t="n">
        <x:v>51111</x:v>
      </x:c>
      <x:c r="B5460" s="380" t="n">
        <x:v>2039</x:v>
      </x:c>
      <x:c r="C5460" s="380" t="n">
        <x:v>12</x:v>
      </x:c>
      <x:c r="D5460" s="380" t="str">
        <x:v>Dec</x:v>
      </x:c>
      <x:c r="E5460" s="380" t="n">
        <x:v>7</x:v>
      </x:c>
      <x:c r="F5460" s="380" t="n">
        <x:v>3</x:v>
      </x:c>
      <x:c r="G5460" s="380" t="n">
        <x:f>--(F5460&lt;='Estimator'!$B$7)</x:f>
        <x:v>1</x:v>
      </x:c>
      <x:c r="H5460" s="381" t="n">
        <x:f>SUMIFS('Climate Data'!$G$7:$G$366,'Climate Data'!$A$7:$A$366,'Estimator'!$B$4,'Climate Data'!$B$7:$B$366,C5460)</x:f>
        <x:v>0.2914349276974416</x:v>
      </x:c>
      <x:c r="I5460" s="382" t="n">
        <x:f>SUMIFS('Climate Data'!$H$7:$H$366,'Climate Data'!$A$7:$A$366,'Estimator'!$B$4,'Climate Data'!$B$7:$B$366,C5460)</x:f>
        <x:v>9.043129770992365</x:v>
      </x:c>
      <x:c r="J5460" s="381" t="n">
        <x:f>SUMIFS('Wind Proxy'!$H$8:$H$19,'Wind Proxy'!$A$8:$A$19,'Estimator'!$B$4,'Wind Proxy'!$B$8:$B$19,C5460)</x:f>
        <x:v>0.12544802867383514</x:v>
      </x:c>
    </x:row>
    <x:row r="5461">
      <x:c r="A5461" s="379" t="n">
        <x:v>51112</x:v>
      </x:c>
      <x:c r="B5461" s="380" t="n">
        <x:v>2039</x:v>
      </x:c>
      <x:c r="C5461" s="380" t="n">
        <x:v>12</x:v>
      </x:c>
      <x:c r="D5461" s="380" t="str">
        <x:v>Dec</x:v>
      </x:c>
      <x:c r="E5461" s="380" t="n">
        <x:v>8</x:v>
      </x:c>
      <x:c r="F5461" s="380" t="n">
        <x:v>4</x:v>
      </x:c>
      <x:c r="G5461" s="380" t="n">
        <x:f>--(F5461&lt;='Estimator'!$B$7)</x:f>
        <x:v>1</x:v>
      </x:c>
      <x:c r="H5461" s="381" t="n">
        <x:f>SUMIFS('Climate Data'!$G$7:$G$366,'Climate Data'!$A$7:$A$366,'Estimator'!$B$4,'Climate Data'!$B$7:$B$366,C5461)</x:f>
        <x:v>0.2914349276974416</x:v>
      </x:c>
      <x:c r="I5461" s="382" t="n">
        <x:f>SUMIFS('Climate Data'!$H$7:$H$366,'Climate Data'!$A$7:$A$366,'Estimator'!$B$4,'Climate Data'!$B$7:$B$366,C5461)</x:f>
        <x:v>9.043129770992365</x:v>
      </x:c>
      <x:c r="J5461" s="381" t="n">
        <x:f>SUMIFS('Wind Proxy'!$H$8:$H$19,'Wind Proxy'!$A$8:$A$19,'Estimator'!$B$4,'Wind Proxy'!$B$8:$B$19,C5461)</x:f>
        <x:v>0.12544802867383514</x:v>
      </x:c>
    </x:row>
    <x:row r="5462">
      <x:c r="A5462" s="379" t="n">
        <x:v>51113</x:v>
      </x:c>
      <x:c r="B5462" s="380" t="n">
        <x:v>2039</x:v>
      </x:c>
      <x:c r="C5462" s="380" t="n">
        <x:v>12</x:v>
      </x:c>
      <x:c r="D5462" s="380" t="str">
        <x:v>Dec</x:v>
      </x:c>
      <x:c r="E5462" s="380" t="n">
        <x:v>9</x:v>
      </x:c>
      <x:c r="F5462" s="380" t="n">
        <x:v>5</x:v>
      </x:c>
      <x:c r="G5462" s="380" t="n">
        <x:f>--(F5462&lt;='Estimator'!$B$7)</x:f>
        <x:v>1</x:v>
      </x:c>
      <x:c r="H5462" s="381" t="n">
        <x:f>SUMIFS('Climate Data'!$G$7:$G$366,'Climate Data'!$A$7:$A$366,'Estimator'!$B$4,'Climate Data'!$B$7:$B$366,C5462)</x:f>
        <x:v>0.2914349276974416</x:v>
      </x:c>
      <x:c r="I5462" s="382" t="n">
        <x:f>SUMIFS('Climate Data'!$H$7:$H$366,'Climate Data'!$A$7:$A$366,'Estimator'!$B$4,'Climate Data'!$B$7:$B$366,C5462)</x:f>
        <x:v>9.043129770992365</x:v>
      </x:c>
      <x:c r="J5462" s="381" t="n">
        <x:f>SUMIFS('Wind Proxy'!$H$8:$H$19,'Wind Proxy'!$A$8:$A$19,'Estimator'!$B$4,'Wind Proxy'!$B$8:$B$19,C5462)</x:f>
        <x:v>0.12544802867383514</x:v>
      </x:c>
    </x:row>
    <x:row r="5463">
      <x:c r="A5463" s="379" t="n">
        <x:v>51114</x:v>
      </x:c>
      <x:c r="B5463" s="380" t="n">
        <x:v>2039</x:v>
      </x:c>
      <x:c r="C5463" s="380" t="n">
        <x:v>12</x:v>
      </x:c>
      <x:c r="D5463" s="380" t="str">
        <x:v>Dec</x:v>
      </x:c>
      <x:c r="E5463" s="380" t="n">
        <x:v>10</x:v>
      </x:c>
      <x:c r="F5463" s="380" t="n">
        <x:v>6</x:v>
      </x:c>
      <x:c r="G5463" s="380" t="n">
        <x:f>--(F5463&lt;='Estimator'!$B$7)</x:f>
        <x:v>0</x:v>
      </x:c>
      <x:c r="H5463" s="381" t="n">
        <x:f>SUMIFS('Climate Data'!$G$7:$G$366,'Climate Data'!$A$7:$A$366,'Estimator'!$B$4,'Climate Data'!$B$7:$B$366,C5463)</x:f>
        <x:v>0.2914349276974416</x:v>
      </x:c>
      <x:c r="I5463" s="382" t="n">
        <x:f>SUMIFS('Climate Data'!$H$7:$H$366,'Climate Data'!$A$7:$A$366,'Estimator'!$B$4,'Climate Data'!$B$7:$B$366,C5463)</x:f>
        <x:v>9.043129770992365</x:v>
      </x:c>
      <x:c r="J5463" s="381" t="n">
        <x:f>SUMIFS('Wind Proxy'!$H$8:$H$19,'Wind Proxy'!$A$8:$A$19,'Estimator'!$B$4,'Wind Proxy'!$B$8:$B$19,C5463)</x:f>
        <x:v>0.12544802867383514</x:v>
      </x:c>
    </x:row>
    <x:row r="5464">
      <x:c r="A5464" s="379" t="n">
        <x:v>51115</x:v>
      </x:c>
      <x:c r="B5464" s="380" t="n">
        <x:v>2039</x:v>
      </x:c>
      <x:c r="C5464" s="380" t="n">
        <x:v>12</x:v>
      </x:c>
      <x:c r="D5464" s="380" t="str">
        <x:v>Dec</x:v>
      </x:c>
      <x:c r="E5464" s="380" t="n">
        <x:v>11</x:v>
      </x:c>
      <x:c r="F5464" s="380" t="n">
        <x:v>7</x:v>
      </x:c>
      <x:c r="G5464" s="380" t="n">
        <x:f>--(F5464&lt;='Estimator'!$B$7)</x:f>
        <x:v>0</x:v>
      </x:c>
      <x:c r="H5464" s="381" t="n">
        <x:f>SUMIFS('Climate Data'!$G$7:$G$366,'Climate Data'!$A$7:$A$366,'Estimator'!$B$4,'Climate Data'!$B$7:$B$366,C5464)</x:f>
        <x:v>0.2914349276974416</x:v>
      </x:c>
      <x:c r="I5464" s="382" t="n">
        <x:f>SUMIFS('Climate Data'!$H$7:$H$366,'Climate Data'!$A$7:$A$366,'Estimator'!$B$4,'Climate Data'!$B$7:$B$366,C5464)</x:f>
        <x:v>9.043129770992365</x:v>
      </x:c>
      <x:c r="J5464" s="381" t="n">
        <x:f>SUMIFS('Wind Proxy'!$H$8:$H$19,'Wind Proxy'!$A$8:$A$19,'Estimator'!$B$4,'Wind Proxy'!$B$8:$B$19,C5464)</x:f>
        <x:v>0.12544802867383514</x:v>
      </x:c>
    </x:row>
    <x:row r="5465">
      <x:c r="A5465" s="379" t="n">
        <x:v>51116</x:v>
      </x:c>
      <x:c r="B5465" s="380" t="n">
        <x:v>2039</x:v>
      </x:c>
      <x:c r="C5465" s="380" t="n">
        <x:v>12</x:v>
      </x:c>
      <x:c r="D5465" s="380" t="str">
        <x:v>Dec</x:v>
      </x:c>
      <x:c r="E5465" s="380" t="n">
        <x:v>12</x:v>
      </x:c>
      <x:c r="F5465" s="380" t="n">
        <x:v>1</x:v>
      </x:c>
      <x:c r="G5465" s="380" t="n">
        <x:f>--(F5465&lt;='Estimator'!$B$7)</x:f>
        <x:v>1</x:v>
      </x:c>
      <x:c r="H5465" s="381" t="n">
        <x:f>SUMIFS('Climate Data'!$G$7:$G$366,'Climate Data'!$A$7:$A$366,'Estimator'!$B$4,'Climate Data'!$B$7:$B$366,C5465)</x:f>
        <x:v>0.2914349276974416</x:v>
      </x:c>
      <x:c r="I5465" s="382" t="n">
        <x:f>SUMIFS('Climate Data'!$H$7:$H$366,'Climate Data'!$A$7:$A$366,'Estimator'!$B$4,'Climate Data'!$B$7:$B$366,C5465)</x:f>
        <x:v>9.043129770992365</x:v>
      </x:c>
      <x:c r="J5465" s="381" t="n">
        <x:f>SUMIFS('Wind Proxy'!$H$8:$H$19,'Wind Proxy'!$A$8:$A$19,'Estimator'!$B$4,'Wind Proxy'!$B$8:$B$19,C5465)</x:f>
        <x:v>0.12544802867383514</x:v>
      </x:c>
    </x:row>
    <x:row r="5466">
      <x:c r="A5466" s="379" t="n">
        <x:v>51117</x:v>
      </x:c>
      <x:c r="B5466" s="380" t="n">
        <x:v>2039</x:v>
      </x:c>
      <x:c r="C5466" s="380" t="n">
        <x:v>12</x:v>
      </x:c>
      <x:c r="D5466" s="380" t="str">
        <x:v>Dec</x:v>
      </x:c>
      <x:c r="E5466" s="380" t="n">
        <x:v>13</x:v>
      </x:c>
      <x:c r="F5466" s="380" t="n">
        <x:v>2</x:v>
      </x:c>
      <x:c r="G5466" s="380" t="n">
        <x:f>--(F5466&lt;='Estimator'!$B$7)</x:f>
        <x:v>1</x:v>
      </x:c>
      <x:c r="H5466" s="381" t="n">
        <x:f>SUMIFS('Climate Data'!$G$7:$G$366,'Climate Data'!$A$7:$A$366,'Estimator'!$B$4,'Climate Data'!$B$7:$B$366,C5466)</x:f>
        <x:v>0.2914349276974416</x:v>
      </x:c>
      <x:c r="I5466" s="382" t="n">
        <x:f>SUMIFS('Climate Data'!$H$7:$H$366,'Climate Data'!$A$7:$A$366,'Estimator'!$B$4,'Climate Data'!$B$7:$B$366,C5466)</x:f>
        <x:v>9.043129770992365</x:v>
      </x:c>
      <x:c r="J5466" s="381" t="n">
        <x:f>SUMIFS('Wind Proxy'!$H$8:$H$19,'Wind Proxy'!$A$8:$A$19,'Estimator'!$B$4,'Wind Proxy'!$B$8:$B$19,C5466)</x:f>
        <x:v>0.12544802867383514</x:v>
      </x:c>
    </x:row>
    <x:row r="5467">
      <x:c r="A5467" s="379" t="n">
        <x:v>51118</x:v>
      </x:c>
      <x:c r="B5467" s="380" t="n">
        <x:v>2039</x:v>
      </x:c>
      <x:c r="C5467" s="380" t="n">
        <x:v>12</x:v>
      </x:c>
      <x:c r="D5467" s="380" t="str">
        <x:v>Dec</x:v>
      </x:c>
      <x:c r="E5467" s="380" t="n">
        <x:v>14</x:v>
      </x:c>
      <x:c r="F5467" s="380" t="n">
        <x:v>3</x:v>
      </x:c>
      <x:c r="G5467" s="380" t="n">
        <x:f>--(F5467&lt;='Estimator'!$B$7)</x:f>
        <x:v>1</x:v>
      </x:c>
      <x:c r="H5467" s="381" t="n">
        <x:f>SUMIFS('Climate Data'!$G$7:$G$366,'Climate Data'!$A$7:$A$366,'Estimator'!$B$4,'Climate Data'!$B$7:$B$366,C5467)</x:f>
        <x:v>0.2914349276974416</x:v>
      </x:c>
      <x:c r="I5467" s="382" t="n">
        <x:f>SUMIFS('Climate Data'!$H$7:$H$366,'Climate Data'!$A$7:$A$366,'Estimator'!$B$4,'Climate Data'!$B$7:$B$366,C5467)</x:f>
        <x:v>9.043129770992365</x:v>
      </x:c>
      <x:c r="J5467" s="381" t="n">
        <x:f>SUMIFS('Wind Proxy'!$H$8:$H$19,'Wind Proxy'!$A$8:$A$19,'Estimator'!$B$4,'Wind Proxy'!$B$8:$B$19,C5467)</x:f>
        <x:v>0.12544802867383514</x:v>
      </x:c>
    </x:row>
    <x:row r="5468">
      <x:c r="A5468" s="379" t="n">
        <x:v>51119</x:v>
      </x:c>
      <x:c r="B5468" s="380" t="n">
        <x:v>2039</x:v>
      </x:c>
      <x:c r="C5468" s="380" t="n">
        <x:v>12</x:v>
      </x:c>
      <x:c r="D5468" s="380" t="str">
        <x:v>Dec</x:v>
      </x:c>
      <x:c r="E5468" s="380" t="n">
        <x:v>15</x:v>
      </x:c>
      <x:c r="F5468" s="380" t="n">
        <x:v>4</x:v>
      </x:c>
      <x:c r="G5468" s="380" t="n">
        <x:f>--(F5468&lt;='Estimator'!$B$7)</x:f>
        <x:v>1</x:v>
      </x:c>
      <x:c r="H5468" s="381" t="n">
        <x:f>SUMIFS('Climate Data'!$G$7:$G$366,'Climate Data'!$A$7:$A$366,'Estimator'!$B$4,'Climate Data'!$B$7:$B$366,C5468)</x:f>
        <x:v>0.2914349276974416</x:v>
      </x:c>
      <x:c r="I5468" s="382" t="n">
        <x:f>SUMIFS('Climate Data'!$H$7:$H$366,'Climate Data'!$A$7:$A$366,'Estimator'!$B$4,'Climate Data'!$B$7:$B$366,C5468)</x:f>
        <x:v>9.043129770992365</x:v>
      </x:c>
      <x:c r="J5468" s="381" t="n">
        <x:f>SUMIFS('Wind Proxy'!$H$8:$H$19,'Wind Proxy'!$A$8:$A$19,'Estimator'!$B$4,'Wind Proxy'!$B$8:$B$19,C5468)</x:f>
        <x:v>0.12544802867383514</x:v>
      </x:c>
    </x:row>
    <x:row r="5469">
      <x:c r="A5469" s="379" t="n">
        <x:v>51120</x:v>
      </x:c>
      <x:c r="B5469" s="380" t="n">
        <x:v>2039</x:v>
      </x:c>
      <x:c r="C5469" s="380" t="n">
        <x:v>12</x:v>
      </x:c>
      <x:c r="D5469" s="380" t="str">
        <x:v>Dec</x:v>
      </x:c>
      <x:c r="E5469" s="380" t="n">
        <x:v>16</x:v>
      </x:c>
      <x:c r="F5469" s="380" t="n">
        <x:v>5</x:v>
      </x:c>
      <x:c r="G5469" s="380" t="n">
        <x:f>--(F5469&lt;='Estimator'!$B$7)</x:f>
        <x:v>1</x:v>
      </x:c>
      <x:c r="H5469" s="381" t="n">
        <x:f>SUMIFS('Climate Data'!$G$7:$G$366,'Climate Data'!$A$7:$A$366,'Estimator'!$B$4,'Climate Data'!$B$7:$B$366,C5469)</x:f>
        <x:v>0.2914349276974416</x:v>
      </x:c>
      <x:c r="I5469" s="382" t="n">
        <x:f>SUMIFS('Climate Data'!$H$7:$H$366,'Climate Data'!$A$7:$A$366,'Estimator'!$B$4,'Climate Data'!$B$7:$B$366,C5469)</x:f>
        <x:v>9.043129770992365</x:v>
      </x:c>
      <x:c r="J5469" s="381" t="n">
        <x:f>SUMIFS('Wind Proxy'!$H$8:$H$19,'Wind Proxy'!$A$8:$A$19,'Estimator'!$B$4,'Wind Proxy'!$B$8:$B$19,C5469)</x:f>
        <x:v>0.12544802867383514</x:v>
      </x:c>
    </x:row>
    <x:row r="5470">
      <x:c r="A5470" s="379" t="n">
        <x:v>51121</x:v>
      </x:c>
      <x:c r="B5470" s="380" t="n">
        <x:v>2039</x:v>
      </x:c>
      <x:c r="C5470" s="380" t="n">
        <x:v>12</x:v>
      </x:c>
      <x:c r="D5470" s="380" t="str">
        <x:v>Dec</x:v>
      </x:c>
      <x:c r="E5470" s="380" t="n">
        <x:v>17</x:v>
      </x:c>
      <x:c r="F5470" s="380" t="n">
        <x:v>6</x:v>
      </x:c>
      <x:c r="G5470" s="380" t="n">
        <x:f>--(F5470&lt;='Estimator'!$B$7)</x:f>
        <x:v>0</x:v>
      </x:c>
      <x:c r="H5470" s="381" t="n">
        <x:f>SUMIFS('Climate Data'!$G$7:$G$366,'Climate Data'!$A$7:$A$366,'Estimator'!$B$4,'Climate Data'!$B$7:$B$366,C5470)</x:f>
        <x:v>0.2914349276974416</x:v>
      </x:c>
      <x:c r="I5470" s="382" t="n">
        <x:f>SUMIFS('Climate Data'!$H$7:$H$366,'Climate Data'!$A$7:$A$366,'Estimator'!$B$4,'Climate Data'!$B$7:$B$366,C5470)</x:f>
        <x:v>9.043129770992365</x:v>
      </x:c>
      <x:c r="J5470" s="381" t="n">
        <x:f>SUMIFS('Wind Proxy'!$H$8:$H$19,'Wind Proxy'!$A$8:$A$19,'Estimator'!$B$4,'Wind Proxy'!$B$8:$B$19,C5470)</x:f>
        <x:v>0.12544802867383514</x:v>
      </x:c>
    </x:row>
    <x:row r="5471">
      <x:c r="A5471" s="379" t="n">
        <x:v>51122</x:v>
      </x:c>
      <x:c r="B5471" s="380" t="n">
        <x:v>2039</x:v>
      </x:c>
      <x:c r="C5471" s="380" t="n">
        <x:v>12</x:v>
      </x:c>
      <x:c r="D5471" s="380" t="str">
        <x:v>Dec</x:v>
      </x:c>
      <x:c r="E5471" s="380" t="n">
        <x:v>18</x:v>
      </x:c>
      <x:c r="F5471" s="380" t="n">
        <x:v>7</x:v>
      </x:c>
      <x:c r="G5471" s="380" t="n">
        <x:f>--(F5471&lt;='Estimator'!$B$7)</x:f>
        <x:v>0</x:v>
      </x:c>
      <x:c r="H5471" s="381" t="n">
        <x:f>SUMIFS('Climate Data'!$G$7:$G$366,'Climate Data'!$A$7:$A$366,'Estimator'!$B$4,'Climate Data'!$B$7:$B$366,C5471)</x:f>
        <x:v>0.2914349276974416</x:v>
      </x:c>
      <x:c r="I5471" s="382" t="n">
        <x:f>SUMIFS('Climate Data'!$H$7:$H$366,'Climate Data'!$A$7:$A$366,'Estimator'!$B$4,'Climate Data'!$B$7:$B$366,C5471)</x:f>
        <x:v>9.043129770992365</x:v>
      </x:c>
      <x:c r="J5471" s="381" t="n">
        <x:f>SUMIFS('Wind Proxy'!$H$8:$H$19,'Wind Proxy'!$A$8:$A$19,'Estimator'!$B$4,'Wind Proxy'!$B$8:$B$19,C5471)</x:f>
        <x:v>0.12544802867383514</x:v>
      </x:c>
    </x:row>
    <x:row r="5472">
      <x:c r="A5472" s="379" t="n">
        <x:v>51123</x:v>
      </x:c>
      <x:c r="B5472" s="380" t="n">
        <x:v>2039</x:v>
      </x:c>
      <x:c r="C5472" s="380" t="n">
        <x:v>12</x:v>
      </x:c>
      <x:c r="D5472" s="380" t="str">
        <x:v>Dec</x:v>
      </x:c>
      <x:c r="E5472" s="380" t="n">
        <x:v>19</x:v>
      </x:c>
      <x:c r="F5472" s="380" t="n">
        <x:v>1</x:v>
      </x:c>
      <x:c r="G5472" s="380" t="n">
        <x:f>--(F5472&lt;='Estimator'!$B$7)</x:f>
        <x:v>1</x:v>
      </x:c>
      <x:c r="H5472" s="381" t="n">
        <x:f>SUMIFS('Climate Data'!$G$7:$G$366,'Climate Data'!$A$7:$A$366,'Estimator'!$B$4,'Climate Data'!$B$7:$B$366,C5472)</x:f>
        <x:v>0.2914349276974416</x:v>
      </x:c>
      <x:c r="I5472" s="382" t="n">
        <x:f>SUMIFS('Climate Data'!$H$7:$H$366,'Climate Data'!$A$7:$A$366,'Estimator'!$B$4,'Climate Data'!$B$7:$B$366,C5472)</x:f>
        <x:v>9.043129770992365</x:v>
      </x:c>
      <x:c r="J5472" s="381" t="n">
        <x:f>SUMIFS('Wind Proxy'!$H$8:$H$19,'Wind Proxy'!$A$8:$A$19,'Estimator'!$B$4,'Wind Proxy'!$B$8:$B$19,C5472)</x:f>
        <x:v>0.12544802867383514</x:v>
      </x:c>
    </x:row>
    <x:row r="5473">
      <x:c r="A5473" s="379" t="n">
        <x:v>51124</x:v>
      </x:c>
      <x:c r="B5473" s="380" t="n">
        <x:v>2039</x:v>
      </x:c>
      <x:c r="C5473" s="380" t="n">
        <x:v>12</x:v>
      </x:c>
      <x:c r="D5473" s="380" t="str">
        <x:v>Dec</x:v>
      </x:c>
      <x:c r="E5473" s="380" t="n">
        <x:v>20</x:v>
      </x:c>
      <x:c r="F5473" s="380" t="n">
        <x:v>2</x:v>
      </x:c>
      <x:c r="G5473" s="380" t="n">
        <x:f>--(F5473&lt;='Estimator'!$B$7)</x:f>
        <x:v>1</x:v>
      </x:c>
      <x:c r="H5473" s="381" t="n">
        <x:f>SUMIFS('Climate Data'!$G$7:$G$366,'Climate Data'!$A$7:$A$366,'Estimator'!$B$4,'Climate Data'!$B$7:$B$366,C5473)</x:f>
        <x:v>0.2914349276974416</x:v>
      </x:c>
      <x:c r="I5473" s="382" t="n">
        <x:f>SUMIFS('Climate Data'!$H$7:$H$366,'Climate Data'!$A$7:$A$366,'Estimator'!$B$4,'Climate Data'!$B$7:$B$366,C5473)</x:f>
        <x:v>9.043129770992365</x:v>
      </x:c>
      <x:c r="J5473" s="381" t="n">
        <x:f>SUMIFS('Wind Proxy'!$H$8:$H$19,'Wind Proxy'!$A$8:$A$19,'Estimator'!$B$4,'Wind Proxy'!$B$8:$B$19,C5473)</x:f>
        <x:v>0.12544802867383514</x:v>
      </x:c>
    </x:row>
    <x:row r="5474">
      <x:c r="A5474" s="379" t="n">
        <x:v>51125</x:v>
      </x:c>
      <x:c r="B5474" s="380" t="n">
        <x:v>2039</x:v>
      </x:c>
      <x:c r="C5474" s="380" t="n">
        <x:v>12</x:v>
      </x:c>
      <x:c r="D5474" s="380" t="str">
        <x:v>Dec</x:v>
      </x:c>
      <x:c r="E5474" s="380" t="n">
        <x:v>21</x:v>
      </x:c>
      <x:c r="F5474" s="380" t="n">
        <x:v>3</x:v>
      </x:c>
      <x:c r="G5474" s="380" t="n">
        <x:f>--(F5474&lt;='Estimator'!$B$7)</x:f>
        <x:v>1</x:v>
      </x:c>
      <x:c r="H5474" s="381" t="n">
        <x:f>SUMIFS('Climate Data'!$G$7:$G$366,'Climate Data'!$A$7:$A$366,'Estimator'!$B$4,'Climate Data'!$B$7:$B$366,C5474)</x:f>
        <x:v>0.2914349276974416</x:v>
      </x:c>
      <x:c r="I5474" s="382" t="n">
        <x:f>SUMIFS('Climate Data'!$H$7:$H$366,'Climate Data'!$A$7:$A$366,'Estimator'!$B$4,'Climate Data'!$B$7:$B$366,C5474)</x:f>
        <x:v>9.043129770992365</x:v>
      </x:c>
      <x:c r="J5474" s="381" t="n">
        <x:f>SUMIFS('Wind Proxy'!$H$8:$H$19,'Wind Proxy'!$A$8:$A$19,'Estimator'!$B$4,'Wind Proxy'!$B$8:$B$19,C5474)</x:f>
        <x:v>0.12544802867383514</x:v>
      </x:c>
    </x:row>
    <x:row r="5475">
      <x:c r="A5475" s="379" t="n">
        <x:v>51126</x:v>
      </x:c>
      <x:c r="B5475" s="380" t="n">
        <x:v>2039</x:v>
      </x:c>
      <x:c r="C5475" s="380" t="n">
        <x:v>12</x:v>
      </x:c>
      <x:c r="D5475" s="380" t="str">
        <x:v>Dec</x:v>
      </x:c>
      <x:c r="E5475" s="380" t="n">
        <x:v>22</x:v>
      </x:c>
      <x:c r="F5475" s="380" t="n">
        <x:v>4</x:v>
      </x:c>
      <x:c r="G5475" s="380" t="n">
        <x:f>--(F5475&lt;='Estimator'!$B$7)</x:f>
        <x:v>1</x:v>
      </x:c>
      <x:c r="H5475" s="381" t="n">
        <x:f>SUMIFS('Climate Data'!$G$7:$G$366,'Climate Data'!$A$7:$A$366,'Estimator'!$B$4,'Climate Data'!$B$7:$B$366,C5475)</x:f>
        <x:v>0.2914349276974416</x:v>
      </x:c>
      <x:c r="I5475" s="382" t="n">
        <x:f>SUMIFS('Climate Data'!$H$7:$H$366,'Climate Data'!$A$7:$A$366,'Estimator'!$B$4,'Climate Data'!$B$7:$B$366,C5475)</x:f>
        <x:v>9.043129770992365</x:v>
      </x:c>
      <x:c r="J5475" s="381" t="n">
        <x:f>SUMIFS('Wind Proxy'!$H$8:$H$19,'Wind Proxy'!$A$8:$A$19,'Estimator'!$B$4,'Wind Proxy'!$B$8:$B$19,C5475)</x:f>
        <x:v>0.12544802867383514</x:v>
      </x:c>
    </x:row>
    <x:row r="5476">
      <x:c r="A5476" s="379" t="n">
        <x:v>51127</x:v>
      </x:c>
      <x:c r="B5476" s="380" t="n">
        <x:v>2039</x:v>
      </x:c>
      <x:c r="C5476" s="380" t="n">
        <x:v>12</x:v>
      </x:c>
      <x:c r="D5476" s="380" t="str">
        <x:v>Dec</x:v>
      </x:c>
      <x:c r="E5476" s="380" t="n">
        <x:v>23</x:v>
      </x:c>
      <x:c r="F5476" s="380" t="n">
        <x:v>5</x:v>
      </x:c>
      <x:c r="G5476" s="380" t="n">
        <x:f>--(F5476&lt;='Estimator'!$B$7)</x:f>
        <x:v>1</x:v>
      </x:c>
      <x:c r="H5476" s="381" t="n">
        <x:f>SUMIFS('Climate Data'!$G$7:$G$366,'Climate Data'!$A$7:$A$366,'Estimator'!$B$4,'Climate Data'!$B$7:$B$366,C5476)</x:f>
        <x:v>0.2914349276974416</x:v>
      </x:c>
      <x:c r="I5476" s="382" t="n">
        <x:f>SUMIFS('Climate Data'!$H$7:$H$366,'Climate Data'!$A$7:$A$366,'Estimator'!$B$4,'Climate Data'!$B$7:$B$366,C5476)</x:f>
        <x:v>9.043129770992365</x:v>
      </x:c>
      <x:c r="J5476" s="381" t="n">
        <x:f>SUMIFS('Wind Proxy'!$H$8:$H$19,'Wind Proxy'!$A$8:$A$19,'Estimator'!$B$4,'Wind Proxy'!$B$8:$B$19,C5476)</x:f>
        <x:v>0.12544802867383514</x:v>
      </x:c>
    </x:row>
    <x:row r="5477">
      <x:c r="A5477" s="379" t="n">
        <x:v>51128</x:v>
      </x:c>
      <x:c r="B5477" s="380" t="n">
        <x:v>2039</x:v>
      </x:c>
      <x:c r="C5477" s="380" t="n">
        <x:v>12</x:v>
      </x:c>
      <x:c r="D5477" s="380" t="str">
        <x:v>Dec</x:v>
      </x:c>
      <x:c r="E5477" s="380" t="n">
        <x:v>24</x:v>
      </x:c>
      <x:c r="F5477" s="380" t="n">
        <x:v>6</x:v>
      </x:c>
      <x:c r="G5477" s="380" t="n">
        <x:f>--(F5477&lt;='Estimator'!$B$7)</x:f>
        <x:v>0</x:v>
      </x:c>
      <x:c r="H5477" s="381" t="n">
        <x:f>SUMIFS('Climate Data'!$G$7:$G$366,'Climate Data'!$A$7:$A$366,'Estimator'!$B$4,'Climate Data'!$B$7:$B$366,C5477)</x:f>
        <x:v>0.2914349276974416</x:v>
      </x:c>
      <x:c r="I5477" s="382" t="n">
        <x:f>SUMIFS('Climate Data'!$H$7:$H$366,'Climate Data'!$A$7:$A$366,'Estimator'!$B$4,'Climate Data'!$B$7:$B$366,C5477)</x:f>
        <x:v>9.043129770992365</x:v>
      </x:c>
      <x:c r="J5477" s="381" t="n">
        <x:f>SUMIFS('Wind Proxy'!$H$8:$H$19,'Wind Proxy'!$A$8:$A$19,'Estimator'!$B$4,'Wind Proxy'!$B$8:$B$19,C5477)</x:f>
        <x:v>0.12544802867383514</x:v>
      </x:c>
    </x:row>
    <x:row r="5478">
      <x:c r="A5478" s="379" t="n">
        <x:v>51129</x:v>
      </x:c>
      <x:c r="B5478" s="380" t="n">
        <x:v>2039</x:v>
      </x:c>
      <x:c r="C5478" s="380" t="n">
        <x:v>12</x:v>
      </x:c>
      <x:c r="D5478" s="380" t="str">
        <x:v>Dec</x:v>
      </x:c>
      <x:c r="E5478" s="380" t="n">
        <x:v>25</x:v>
      </x:c>
      <x:c r="F5478" s="380" t="n">
        <x:v>7</x:v>
      </x:c>
      <x:c r="G5478" s="380" t="n">
        <x:f>--(F5478&lt;='Estimator'!$B$7)</x:f>
        <x:v>0</x:v>
      </x:c>
      <x:c r="H5478" s="381" t="n">
        <x:f>SUMIFS('Climate Data'!$G$7:$G$366,'Climate Data'!$A$7:$A$366,'Estimator'!$B$4,'Climate Data'!$B$7:$B$366,C5478)</x:f>
        <x:v>0.2914349276974416</x:v>
      </x:c>
      <x:c r="I5478" s="382" t="n">
        <x:f>SUMIFS('Climate Data'!$H$7:$H$366,'Climate Data'!$A$7:$A$366,'Estimator'!$B$4,'Climate Data'!$B$7:$B$366,C5478)</x:f>
        <x:v>9.043129770992365</x:v>
      </x:c>
      <x:c r="J5478" s="381" t="n">
        <x:f>SUMIFS('Wind Proxy'!$H$8:$H$19,'Wind Proxy'!$A$8:$A$19,'Estimator'!$B$4,'Wind Proxy'!$B$8:$B$19,C5478)</x:f>
        <x:v>0.12544802867383514</x:v>
      </x:c>
    </x:row>
    <x:row r="5479">
      <x:c r="A5479" s="379" t="n">
        <x:v>51130</x:v>
      </x:c>
      <x:c r="B5479" s="380" t="n">
        <x:v>2039</x:v>
      </x:c>
      <x:c r="C5479" s="380" t="n">
        <x:v>12</x:v>
      </x:c>
      <x:c r="D5479" s="380" t="str">
        <x:v>Dec</x:v>
      </x:c>
      <x:c r="E5479" s="380" t="n">
        <x:v>26</x:v>
      </x:c>
      <x:c r="F5479" s="380" t="n">
        <x:v>1</x:v>
      </x:c>
      <x:c r="G5479" s="380" t="n">
        <x:f>--(F5479&lt;='Estimator'!$B$7)</x:f>
        <x:v>1</x:v>
      </x:c>
      <x:c r="H5479" s="381" t="n">
        <x:f>SUMIFS('Climate Data'!$G$7:$G$366,'Climate Data'!$A$7:$A$366,'Estimator'!$B$4,'Climate Data'!$B$7:$B$366,C5479)</x:f>
        <x:v>0.2914349276974416</x:v>
      </x:c>
      <x:c r="I5479" s="382" t="n">
        <x:f>SUMIFS('Climate Data'!$H$7:$H$366,'Climate Data'!$A$7:$A$366,'Estimator'!$B$4,'Climate Data'!$B$7:$B$366,C5479)</x:f>
        <x:v>9.043129770992365</x:v>
      </x:c>
      <x:c r="J5479" s="381" t="n">
        <x:f>SUMIFS('Wind Proxy'!$H$8:$H$19,'Wind Proxy'!$A$8:$A$19,'Estimator'!$B$4,'Wind Proxy'!$B$8:$B$19,C5479)</x:f>
        <x:v>0.12544802867383514</x:v>
      </x:c>
    </x:row>
    <x:row r="5480">
      <x:c r="A5480" s="379" t="n">
        <x:v>51131</x:v>
      </x:c>
      <x:c r="B5480" s="380" t="n">
        <x:v>2039</x:v>
      </x:c>
      <x:c r="C5480" s="380" t="n">
        <x:v>12</x:v>
      </x:c>
      <x:c r="D5480" s="380" t="str">
        <x:v>Dec</x:v>
      </x:c>
      <x:c r="E5480" s="380" t="n">
        <x:v>27</x:v>
      </x:c>
      <x:c r="F5480" s="380" t="n">
        <x:v>2</x:v>
      </x:c>
      <x:c r="G5480" s="380" t="n">
        <x:f>--(F5480&lt;='Estimator'!$B$7)</x:f>
        <x:v>1</x:v>
      </x:c>
      <x:c r="H5480" s="381" t="n">
        <x:f>SUMIFS('Climate Data'!$G$7:$G$366,'Climate Data'!$A$7:$A$366,'Estimator'!$B$4,'Climate Data'!$B$7:$B$366,C5480)</x:f>
        <x:v>0.2914349276974416</x:v>
      </x:c>
      <x:c r="I5480" s="382" t="n">
        <x:f>SUMIFS('Climate Data'!$H$7:$H$366,'Climate Data'!$A$7:$A$366,'Estimator'!$B$4,'Climate Data'!$B$7:$B$366,C5480)</x:f>
        <x:v>9.043129770992365</x:v>
      </x:c>
      <x:c r="J5480" s="381" t="n">
        <x:f>SUMIFS('Wind Proxy'!$H$8:$H$19,'Wind Proxy'!$A$8:$A$19,'Estimator'!$B$4,'Wind Proxy'!$B$8:$B$19,C5480)</x:f>
        <x:v>0.12544802867383514</x:v>
      </x:c>
    </x:row>
    <x:row r="5481">
      <x:c r="A5481" s="379" t="n">
        <x:v>51132</x:v>
      </x:c>
      <x:c r="B5481" s="380" t="n">
        <x:v>2039</x:v>
      </x:c>
      <x:c r="C5481" s="380" t="n">
        <x:v>12</x:v>
      </x:c>
      <x:c r="D5481" s="380" t="str">
        <x:v>Dec</x:v>
      </x:c>
      <x:c r="E5481" s="380" t="n">
        <x:v>28</x:v>
      </x:c>
      <x:c r="F5481" s="380" t="n">
        <x:v>3</x:v>
      </x:c>
      <x:c r="G5481" s="380" t="n">
        <x:f>--(F5481&lt;='Estimator'!$B$7)</x:f>
        <x:v>1</x:v>
      </x:c>
      <x:c r="H5481" s="381" t="n">
        <x:f>SUMIFS('Climate Data'!$G$7:$G$366,'Climate Data'!$A$7:$A$366,'Estimator'!$B$4,'Climate Data'!$B$7:$B$366,C5481)</x:f>
        <x:v>0.2914349276974416</x:v>
      </x:c>
      <x:c r="I5481" s="382" t="n">
        <x:f>SUMIFS('Climate Data'!$H$7:$H$366,'Climate Data'!$A$7:$A$366,'Estimator'!$B$4,'Climate Data'!$B$7:$B$366,C5481)</x:f>
        <x:v>9.043129770992365</x:v>
      </x:c>
      <x:c r="J5481" s="381" t="n">
        <x:f>SUMIFS('Wind Proxy'!$H$8:$H$19,'Wind Proxy'!$A$8:$A$19,'Estimator'!$B$4,'Wind Proxy'!$B$8:$B$19,C5481)</x:f>
        <x:v>0.12544802867383514</x:v>
      </x:c>
    </x:row>
    <x:row r="5482">
      <x:c r="A5482" s="379" t="n">
        <x:v>51133</x:v>
      </x:c>
      <x:c r="B5482" s="380" t="n">
        <x:v>2039</x:v>
      </x:c>
      <x:c r="C5482" s="380" t="n">
        <x:v>12</x:v>
      </x:c>
      <x:c r="D5482" s="380" t="str">
        <x:v>Dec</x:v>
      </x:c>
      <x:c r="E5482" s="380" t="n">
        <x:v>29</x:v>
      </x:c>
      <x:c r="F5482" s="380" t="n">
        <x:v>4</x:v>
      </x:c>
      <x:c r="G5482" s="380" t="n">
        <x:f>--(F5482&lt;='Estimator'!$B$7)</x:f>
        <x:v>1</x:v>
      </x:c>
      <x:c r="H5482" s="381" t="n">
        <x:f>SUMIFS('Climate Data'!$G$7:$G$366,'Climate Data'!$A$7:$A$366,'Estimator'!$B$4,'Climate Data'!$B$7:$B$366,C5482)</x:f>
        <x:v>0.2914349276974416</x:v>
      </x:c>
      <x:c r="I5482" s="382" t="n">
        <x:f>SUMIFS('Climate Data'!$H$7:$H$366,'Climate Data'!$A$7:$A$366,'Estimator'!$B$4,'Climate Data'!$B$7:$B$366,C5482)</x:f>
        <x:v>9.043129770992365</x:v>
      </x:c>
      <x:c r="J5482" s="381" t="n">
        <x:f>SUMIFS('Wind Proxy'!$H$8:$H$19,'Wind Proxy'!$A$8:$A$19,'Estimator'!$B$4,'Wind Proxy'!$B$8:$B$19,C5482)</x:f>
        <x:v>0.12544802867383514</x:v>
      </x:c>
    </x:row>
    <x:row r="5483">
      <x:c r="A5483" s="379" t="n">
        <x:v>51134</x:v>
      </x:c>
      <x:c r="B5483" s="380" t="n">
        <x:v>2039</x:v>
      </x:c>
      <x:c r="C5483" s="380" t="n">
        <x:v>12</x:v>
      </x:c>
      <x:c r="D5483" s="380" t="str">
        <x:v>Dec</x:v>
      </x:c>
      <x:c r="E5483" s="380" t="n">
        <x:v>30</x:v>
      </x:c>
      <x:c r="F5483" s="380" t="n">
        <x:v>5</x:v>
      </x:c>
      <x:c r="G5483" s="380" t="n">
        <x:f>--(F5483&lt;='Estimator'!$B$7)</x:f>
        <x:v>1</x:v>
      </x:c>
      <x:c r="H5483" s="381" t="n">
        <x:f>SUMIFS('Climate Data'!$G$7:$G$366,'Climate Data'!$A$7:$A$366,'Estimator'!$B$4,'Climate Data'!$B$7:$B$366,C5483)</x:f>
        <x:v>0.2914349276974416</x:v>
      </x:c>
      <x:c r="I5483" s="382" t="n">
        <x:f>SUMIFS('Climate Data'!$H$7:$H$366,'Climate Data'!$A$7:$A$366,'Estimator'!$B$4,'Climate Data'!$B$7:$B$366,C5483)</x:f>
        <x:v>9.043129770992365</x:v>
      </x:c>
      <x:c r="J5483" s="381" t="n">
        <x:f>SUMIFS('Wind Proxy'!$H$8:$H$19,'Wind Proxy'!$A$8:$A$19,'Estimator'!$B$4,'Wind Proxy'!$B$8:$B$19,C5483)</x:f>
        <x:v>0.12544802867383514</x:v>
      </x:c>
    </x:row>
    <x:row r="5484">
      <x:c r="A5484" s="379" t="n">
        <x:v>51135</x:v>
      </x:c>
      <x:c r="B5484" s="380" t="n">
        <x:v>2039</x:v>
      </x:c>
      <x:c r="C5484" s="380" t="n">
        <x:v>12</x:v>
      </x:c>
      <x:c r="D5484" s="380" t="str">
        <x:v>Dec</x:v>
      </x:c>
      <x:c r="E5484" s="380" t="n">
        <x:v>31</x:v>
      </x:c>
      <x:c r="F5484" s="380" t="n">
        <x:v>6</x:v>
      </x:c>
      <x:c r="G5484" s="380" t="n">
        <x:f>--(F5484&lt;='Estimator'!$B$7)</x:f>
        <x:v>0</x:v>
      </x:c>
      <x:c r="H5484" s="381" t="n">
        <x:f>SUMIFS('Climate Data'!$G$7:$G$366,'Climate Data'!$A$7:$A$366,'Estimator'!$B$4,'Climate Data'!$B$7:$B$366,C5484)</x:f>
        <x:v>0.2914349276974416</x:v>
      </x:c>
      <x:c r="I5484" s="382" t="n">
        <x:f>SUMIFS('Climate Data'!$H$7:$H$366,'Climate Data'!$A$7:$A$366,'Estimator'!$B$4,'Climate Data'!$B$7:$B$366,C5484)</x:f>
        <x:v>9.043129770992365</x:v>
      </x:c>
      <x:c r="J5484" s="381" t="n">
        <x:f>SUMIFS('Wind Proxy'!$H$8:$H$19,'Wind Proxy'!$A$8:$A$19,'Estimator'!$B$4,'Wind Proxy'!$B$8:$B$19,C5484)</x:f>
        <x:v>0.12544802867383514</x:v>
      </x:c>
    </x:row>
    <x:row r="5485">
      <x:c r="A5485" s="379" t="n">
        <x:v>51136</x:v>
      </x:c>
      <x:c r="B5485" s="380" t="n">
        <x:v>2040</x:v>
      </x:c>
      <x:c r="C5485" s="380" t="n">
        <x:v>1</x:v>
      </x:c>
      <x:c r="D5485" s="380" t="str">
        <x:v>Jan</x:v>
      </x:c>
      <x:c r="E5485" s="380" t="n">
        <x:v>1</x:v>
      </x:c>
      <x:c r="F5485" s="380" t="n">
        <x:v>7</x:v>
      </x:c>
      <x:c r="G5485" s="380" t="n">
        <x:f>--(F5485&lt;='Estimator'!$B$7)</x:f>
        <x:v>0</x:v>
      </x:c>
      <x:c r="H5485" s="381" t="n">
        <x:f>SUMIFS('Climate Data'!$G$7:$G$366,'Climate Data'!$A$7:$A$366,'Estimator'!$B$4,'Climate Data'!$B$7:$B$366,C5485)</x:f>
        <x:v>0.21802002224694106</x:v>
      </x:c>
      <x:c r="I5485" s="382" t="n">
        <x:f>SUMIFS('Climate Data'!$H$7:$H$366,'Climate Data'!$A$7:$A$366,'Estimator'!$B$4,'Climate Data'!$B$7:$B$366,C5485)</x:f>
        <x:v>8.596428571428572</x:v>
      </x:c>
      <x:c r="J5485" s="381" t="n">
        <x:f>SUMIFS('Wind Proxy'!$H$8:$H$19,'Wind Proxy'!$A$8:$A$19,'Estimator'!$B$4,'Wind Proxy'!$B$8:$B$19,C5485)</x:f>
        <x:v>0.12544802867383514</x:v>
      </x:c>
    </x:row>
    <x:row r="5486">
      <x:c r="A5486" s="379" t="n">
        <x:v>51137</x:v>
      </x:c>
      <x:c r="B5486" s="380" t="n">
        <x:v>2040</x:v>
      </x:c>
      <x:c r="C5486" s="380" t="n">
        <x:v>1</x:v>
      </x:c>
      <x:c r="D5486" s="380" t="str">
        <x:v>Jan</x:v>
      </x:c>
      <x:c r="E5486" s="380" t="n">
        <x:v>2</x:v>
      </x:c>
      <x:c r="F5486" s="380" t="n">
        <x:v>1</x:v>
      </x:c>
      <x:c r="G5486" s="380" t="n">
        <x:f>--(F5486&lt;='Estimator'!$B$7)</x:f>
        <x:v>1</x:v>
      </x:c>
      <x:c r="H5486" s="381" t="n">
        <x:f>SUMIFS('Climate Data'!$G$7:$G$366,'Climate Data'!$A$7:$A$366,'Estimator'!$B$4,'Climate Data'!$B$7:$B$366,C5486)</x:f>
        <x:v>0.21802002224694106</x:v>
      </x:c>
      <x:c r="I5486" s="382" t="n">
        <x:f>SUMIFS('Climate Data'!$H$7:$H$366,'Climate Data'!$A$7:$A$366,'Estimator'!$B$4,'Climate Data'!$B$7:$B$366,C5486)</x:f>
        <x:v>8.596428571428572</x:v>
      </x:c>
      <x:c r="J5486" s="381" t="n">
        <x:f>SUMIFS('Wind Proxy'!$H$8:$H$19,'Wind Proxy'!$A$8:$A$19,'Estimator'!$B$4,'Wind Proxy'!$B$8:$B$19,C5486)</x:f>
        <x:v>0.12544802867383514</x:v>
      </x:c>
    </x:row>
    <x:row r="5487">
      <x:c r="A5487" s="379" t="n">
        <x:v>51138</x:v>
      </x:c>
      <x:c r="B5487" s="380" t="n">
        <x:v>2040</x:v>
      </x:c>
      <x:c r="C5487" s="380" t="n">
        <x:v>1</x:v>
      </x:c>
      <x:c r="D5487" s="380" t="str">
        <x:v>Jan</x:v>
      </x:c>
      <x:c r="E5487" s="380" t="n">
        <x:v>3</x:v>
      </x:c>
      <x:c r="F5487" s="380" t="n">
        <x:v>2</x:v>
      </x:c>
      <x:c r="G5487" s="380" t="n">
        <x:f>--(F5487&lt;='Estimator'!$B$7)</x:f>
        <x:v>1</x:v>
      </x:c>
      <x:c r="H5487" s="381" t="n">
        <x:f>SUMIFS('Climate Data'!$G$7:$G$366,'Climate Data'!$A$7:$A$366,'Estimator'!$B$4,'Climate Data'!$B$7:$B$366,C5487)</x:f>
        <x:v>0.21802002224694106</x:v>
      </x:c>
      <x:c r="I5487" s="382" t="n">
        <x:f>SUMIFS('Climate Data'!$H$7:$H$366,'Climate Data'!$A$7:$A$366,'Estimator'!$B$4,'Climate Data'!$B$7:$B$366,C5487)</x:f>
        <x:v>8.596428571428572</x:v>
      </x:c>
      <x:c r="J5487" s="381" t="n">
        <x:f>SUMIFS('Wind Proxy'!$H$8:$H$19,'Wind Proxy'!$A$8:$A$19,'Estimator'!$B$4,'Wind Proxy'!$B$8:$B$19,C5487)</x:f>
        <x:v>0.12544802867383514</x:v>
      </x:c>
    </x:row>
    <x:row r="5488">
      <x:c r="A5488" s="379" t="n">
        <x:v>51139</x:v>
      </x:c>
      <x:c r="B5488" s="380" t="n">
        <x:v>2040</x:v>
      </x:c>
      <x:c r="C5488" s="380" t="n">
        <x:v>1</x:v>
      </x:c>
      <x:c r="D5488" s="380" t="str">
        <x:v>Jan</x:v>
      </x:c>
      <x:c r="E5488" s="380" t="n">
        <x:v>4</x:v>
      </x:c>
      <x:c r="F5488" s="380" t="n">
        <x:v>3</x:v>
      </x:c>
      <x:c r="G5488" s="380" t="n">
        <x:f>--(F5488&lt;='Estimator'!$B$7)</x:f>
        <x:v>1</x:v>
      </x:c>
      <x:c r="H5488" s="381" t="n">
        <x:f>SUMIFS('Climate Data'!$G$7:$G$366,'Climate Data'!$A$7:$A$366,'Estimator'!$B$4,'Climate Data'!$B$7:$B$366,C5488)</x:f>
        <x:v>0.21802002224694106</x:v>
      </x:c>
      <x:c r="I5488" s="382" t="n">
        <x:f>SUMIFS('Climate Data'!$H$7:$H$366,'Climate Data'!$A$7:$A$366,'Estimator'!$B$4,'Climate Data'!$B$7:$B$366,C5488)</x:f>
        <x:v>8.596428571428572</x:v>
      </x:c>
      <x:c r="J5488" s="381" t="n">
        <x:f>SUMIFS('Wind Proxy'!$H$8:$H$19,'Wind Proxy'!$A$8:$A$19,'Estimator'!$B$4,'Wind Proxy'!$B$8:$B$19,C5488)</x:f>
        <x:v>0.12544802867383514</x:v>
      </x:c>
    </x:row>
    <x:row r="5489">
      <x:c r="A5489" s="379" t="n">
        <x:v>51140</x:v>
      </x:c>
      <x:c r="B5489" s="380" t="n">
        <x:v>2040</x:v>
      </x:c>
      <x:c r="C5489" s="380" t="n">
        <x:v>1</x:v>
      </x:c>
      <x:c r="D5489" s="380" t="str">
        <x:v>Jan</x:v>
      </x:c>
      <x:c r="E5489" s="380" t="n">
        <x:v>5</x:v>
      </x:c>
      <x:c r="F5489" s="380" t="n">
        <x:v>4</x:v>
      </x:c>
      <x:c r="G5489" s="380" t="n">
        <x:f>--(F5489&lt;='Estimator'!$B$7)</x:f>
        <x:v>1</x:v>
      </x:c>
      <x:c r="H5489" s="381" t="n">
        <x:f>SUMIFS('Climate Data'!$G$7:$G$366,'Climate Data'!$A$7:$A$366,'Estimator'!$B$4,'Climate Data'!$B$7:$B$366,C5489)</x:f>
        <x:v>0.21802002224694106</x:v>
      </x:c>
      <x:c r="I5489" s="382" t="n">
        <x:f>SUMIFS('Climate Data'!$H$7:$H$366,'Climate Data'!$A$7:$A$366,'Estimator'!$B$4,'Climate Data'!$B$7:$B$366,C5489)</x:f>
        <x:v>8.596428571428572</x:v>
      </x:c>
      <x:c r="J5489" s="381" t="n">
        <x:f>SUMIFS('Wind Proxy'!$H$8:$H$19,'Wind Proxy'!$A$8:$A$19,'Estimator'!$B$4,'Wind Proxy'!$B$8:$B$19,C5489)</x:f>
        <x:v>0.12544802867383514</x:v>
      </x:c>
    </x:row>
    <x:row r="5490">
      <x:c r="A5490" s="379" t="n">
        <x:v>51141</x:v>
      </x:c>
      <x:c r="B5490" s="380" t="n">
        <x:v>2040</x:v>
      </x:c>
      <x:c r="C5490" s="380" t="n">
        <x:v>1</x:v>
      </x:c>
      <x:c r="D5490" s="380" t="str">
        <x:v>Jan</x:v>
      </x:c>
      <x:c r="E5490" s="380" t="n">
        <x:v>6</x:v>
      </x:c>
      <x:c r="F5490" s="380" t="n">
        <x:v>5</x:v>
      </x:c>
      <x:c r="G5490" s="380" t="n">
        <x:f>--(F5490&lt;='Estimator'!$B$7)</x:f>
        <x:v>1</x:v>
      </x:c>
      <x:c r="H5490" s="381" t="n">
        <x:f>SUMIFS('Climate Data'!$G$7:$G$366,'Climate Data'!$A$7:$A$366,'Estimator'!$B$4,'Climate Data'!$B$7:$B$366,C5490)</x:f>
        <x:v>0.21802002224694106</x:v>
      </x:c>
      <x:c r="I5490" s="382" t="n">
        <x:f>SUMIFS('Climate Data'!$H$7:$H$366,'Climate Data'!$A$7:$A$366,'Estimator'!$B$4,'Climate Data'!$B$7:$B$366,C5490)</x:f>
        <x:v>8.596428571428572</x:v>
      </x:c>
      <x:c r="J5490" s="381" t="n">
        <x:f>SUMIFS('Wind Proxy'!$H$8:$H$19,'Wind Proxy'!$A$8:$A$19,'Estimator'!$B$4,'Wind Proxy'!$B$8:$B$19,C5490)</x:f>
        <x:v>0.12544802867383514</x:v>
      </x:c>
    </x:row>
    <x:row r="5491">
      <x:c r="A5491" s="379" t="n">
        <x:v>51142</x:v>
      </x:c>
      <x:c r="B5491" s="380" t="n">
        <x:v>2040</x:v>
      </x:c>
      <x:c r="C5491" s="380" t="n">
        <x:v>1</x:v>
      </x:c>
      <x:c r="D5491" s="380" t="str">
        <x:v>Jan</x:v>
      </x:c>
      <x:c r="E5491" s="380" t="n">
        <x:v>7</x:v>
      </x:c>
      <x:c r="F5491" s="380" t="n">
        <x:v>6</x:v>
      </x:c>
      <x:c r="G5491" s="380" t="n">
        <x:f>--(F5491&lt;='Estimator'!$B$7)</x:f>
        <x:v>0</x:v>
      </x:c>
      <x:c r="H5491" s="381" t="n">
        <x:f>SUMIFS('Climate Data'!$G$7:$G$366,'Climate Data'!$A$7:$A$366,'Estimator'!$B$4,'Climate Data'!$B$7:$B$366,C5491)</x:f>
        <x:v>0.21802002224694106</x:v>
      </x:c>
      <x:c r="I5491" s="382" t="n">
        <x:f>SUMIFS('Climate Data'!$H$7:$H$366,'Climate Data'!$A$7:$A$366,'Estimator'!$B$4,'Climate Data'!$B$7:$B$366,C5491)</x:f>
        <x:v>8.596428571428572</x:v>
      </x:c>
      <x:c r="J5491" s="381" t="n">
        <x:f>SUMIFS('Wind Proxy'!$H$8:$H$19,'Wind Proxy'!$A$8:$A$19,'Estimator'!$B$4,'Wind Proxy'!$B$8:$B$19,C5491)</x:f>
        <x:v>0.12544802867383514</x:v>
      </x:c>
    </x:row>
    <x:row r="5492">
      <x:c r="A5492" s="379" t="n">
        <x:v>51143</x:v>
      </x:c>
      <x:c r="B5492" s="380" t="n">
        <x:v>2040</x:v>
      </x:c>
      <x:c r="C5492" s="380" t="n">
        <x:v>1</x:v>
      </x:c>
      <x:c r="D5492" s="380" t="str">
        <x:v>Jan</x:v>
      </x:c>
      <x:c r="E5492" s="380" t="n">
        <x:v>8</x:v>
      </x:c>
      <x:c r="F5492" s="380" t="n">
        <x:v>7</x:v>
      </x:c>
      <x:c r="G5492" s="380" t="n">
        <x:f>--(F5492&lt;='Estimator'!$B$7)</x:f>
        <x:v>0</x:v>
      </x:c>
      <x:c r="H5492" s="381" t="n">
        <x:f>SUMIFS('Climate Data'!$G$7:$G$366,'Climate Data'!$A$7:$A$366,'Estimator'!$B$4,'Climate Data'!$B$7:$B$366,C5492)</x:f>
        <x:v>0.21802002224694106</x:v>
      </x:c>
      <x:c r="I5492" s="382" t="n">
        <x:f>SUMIFS('Climate Data'!$H$7:$H$366,'Climate Data'!$A$7:$A$366,'Estimator'!$B$4,'Climate Data'!$B$7:$B$366,C5492)</x:f>
        <x:v>8.596428571428572</x:v>
      </x:c>
      <x:c r="J5492" s="381" t="n">
        <x:f>SUMIFS('Wind Proxy'!$H$8:$H$19,'Wind Proxy'!$A$8:$A$19,'Estimator'!$B$4,'Wind Proxy'!$B$8:$B$19,C5492)</x:f>
        <x:v>0.12544802867383514</x:v>
      </x:c>
    </x:row>
    <x:row r="5493">
      <x:c r="A5493" s="379" t="n">
        <x:v>51144</x:v>
      </x:c>
      <x:c r="B5493" s="380" t="n">
        <x:v>2040</x:v>
      </x:c>
      <x:c r="C5493" s="380" t="n">
        <x:v>1</x:v>
      </x:c>
      <x:c r="D5493" s="380" t="str">
        <x:v>Jan</x:v>
      </x:c>
      <x:c r="E5493" s="380" t="n">
        <x:v>9</x:v>
      </x:c>
      <x:c r="F5493" s="380" t="n">
        <x:v>1</x:v>
      </x:c>
      <x:c r="G5493" s="380" t="n">
        <x:f>--(F5493&lt;='Estimator'!$B$7)</x:f>
        <x:v>1</x:v>
      </x:c>
      <x:c r="H5493" s="381" t="n">
        <x:f>SUMIFS('Climate Data'!$G$7:$G$366,'Climate Data'!$A$7:$A$366,'Estimator'!$B$4,'Climate Data'!$B$7:$B$366,C5493)</x:f>
        <x:v>0.21802002224694106</x:v>
      </x:c>
      <x:c r="I5493" s="382" t="n">
        <x:f>SUMIFS('Climate Data'!$H$7:$H$366,'Climate Data'!$A$7:$A$366,'Estimator'!$B$4,'Climate Data'!$B$7:$B$366,C5493)</x:f>
        <x:v>8.596428571428572</x:v>
      </x:c>
      <x:c r="J5493" s="381" t="n">
        <x:f>SUMIFS('Wind Proxy'!$H$8:$H$19,'Wind Proxy'!$A$8:$A$19,'Estimator'!$B$4,'Wind Proxy'!$B$8:$B$19,C5493)</x:f>
        <x:v>0.12544802867383514</x:v>
      </x:c>
    </x:row>
    <x:row r="5494">
      <x:c r="A5494" s="379" t="n">
        <x:v>51145</x:v>
      </x:c>
      <x:c r="B5494" s="380" t="n">
        <x:v>2040</x:v>
      </x:c>
      <x:c r="C5494" s="380" t="n">
        <x:v>1</x:v>
      </x:c>
      <x:c r="D5494" s="380" t="str">
        <x:v>Jan</x:v>
      </x:c>
      <x:c r="E5494" s="380" t="n">
        <x:v>10</x:v>
      </x:c>
      <x:c r="F5494" s="380" t="n">
        <x:v>2</x:v>
      </x:c>
      <x:c r="G5494" s="380" t="n">
        <x:f>--(F5494&lt;='Estimator'!$B$7)</x:f>
        <x:v>1</x:v>
      </x:c>
      <x:c r="H5494" s="381" t="n">
        <x:f>SUMIFS('Climate Data'!$G$7:$G$366,'Climate Data'!$A$7:$A$366,'Estimator'!$B$4,'Climate Data'!$B$7:$B$366,C5494)</x:f>
        <x:v>0.21802002224694106</x:v>
      </x:c>
      <x:c r="I5494" s="382" t="n">
        <x:f>SUMIFS('Climate Data'!$H$7:$H$366,'Climate Data'!$A$7:$A$366,'Estimator'!$B$4,'Climate Data'!$B$7:$B$366,C5494)</x:f>
        <x:v>8.596428571428572</x:v>
      </x:c>
      <x:c r="J5494" s="381" t="n">
        <x:f>SUMIFS('Wind Proxy'!$H$8:$H$19,'Wind Proxy'!$A$8:$A$19,'Estimator'!$B$4,'Wind Proxy'!$B$8:$B$19,C5494)</x:f>
        <x:v>0.12544802867383514</x:v>
      </x:c>
    </x:row>
    <x:row r="5495">
      <x:c r="A5495" s="379" t="n">
        <x:v>51146</x:v>
      </x:c>
      <x:c r="B5495" s="380" t="n">
        <x:v>2040</x:v>
      </x:c>
      <x:c r="C5495" s="380" t="n">
        <x:v>1</x:v>
      </x:c>
      <x:c r="D5495" s="380" t="str">
        <x:v>Jan</x:v>
      </x:c>
      <x:c r="E5495" s="380" t="n">
        <x:v>11</x:v>
      </x:c>
      <x:c r="F5495" s="380" t="n">
        <x:v>3</x:v>
      </x:c>
      <x:c r="G5495" s="380" t="n">
        <x:f>--(F5495&lt;='Estimator'!$B$7)</x:f>
        <x:v>1</x:v>
      </x:c>
      <x:c r="H5495" s="381" t="n">
        <x:f>SUMIFS('Climate Data'!$G$7:$G$366,'Climate Data'!$A$7:$A$366,'Estimator'!$B$4,'Climate Data'!$B$7:$B$366,C5495)</x:f>
        <x:v>0.21802002224694106</x:v>
      </x:c>
      <x:c r="I5495" s="382" t="n">
        <x:f>SUMIFS('Climate Data'!$H$7:$H$366,'Climate Data'!$A$7:$A$366,'Estimator'!$B$4,'Climate Data'!$B$7:$B$366,C5495)</x:f>
        <x:v>8.596428571428572</x:v>
      </x:c>
      <x:c r="J5495" s="381" t="n">
        <x:f>SUMIFS('Wind Proxy'!$H$8:$H$19,'Wind Proxy'!$A$8:$A$19,'Estimator'!$B$4,'Wind Proxy'!$B$8:$B$19,C5495)</x:f>
        <x:v>0.12544802867383514</x:v>
      </x:c>
    </x:row>
    <x:row r="5496">
      <x:c r="A5496" s="379" t="n">
        <x:v>51147</x:v>
      </x:c>
      <x:c r="B5496" s="380" t="n">
        <x:v>2040</x:v>
      </x:c>
      <x:c r="C5496" s="380" t="n">
        <x:v>1</x:v>
      </x:c>
      <x:c r="D5496" s="380" t="str">
        <x:v>Jan</x:v>
      </x:c>
      <x:c r="E5496" s="380" t="n">
        <x:v>12</x:v>
      </x:c>
      <x:c r="F5496" s="380" t="n">
        <x:v>4</x:v>
      </x:c>
      <x:c r="G5496" s="380" t="n">
        <x:f>--(F5496&lt;='Estimator'!$B$7)</x:f>
        <x:v>1</x:v>
      </x:c>
      <x:c r="H5496" s="381" t="n">
        <x:f>SUMIFS('Climate Data'!$G$7:$G$366,'Climate Data'!$A$7:$A$366,'Estimator'!$B$4,'Climate Data'!$B$7:$B$366,C5496)</x:f>
        <x:v>0.21802002224694106</x:v>
      </x:c>
      <x:c r="I5496" s="382" t="n">
        <x:f>SUMIFS('Climate Data'!$H$7:$H$366,'Climate Data'!$A$7:$A$366,'Estimator'!$B$4,'Climate Data'!$B$7:$B$366,C5496)</x:f>
        <x:v>8.596428571428572</x:v>
      </x:c>
      <x:c r="J5496" s="381" t="n">
        <x:f>SUMIFS('Wind Proxy'!$H$8:$H$19,'Wind Proxy'!$A$8:$A$19,'Estimator'!$B$4,'Wind Proxy'!$B$8:$B$19,C5496)</x:f>
        <x:v>0.12544802867383514</x:v>
      </x:c>
    </x:row>
    <x:row r="5497">
      <x:c r="A5497" s="379" t="n">
        <x:v>51148</x:v>
      </x:c>
      <x:c r="B5497" s="380" t="n">
        <x:v>2040</x:v>
      </x:c>
      <x:c r="C5497" s="380" t="n">
        <x:v>1</x:v>
      </x:c>
      <x:c r="D5497" s="380" t="str">
        <x:v>Jan</x:v>
      </x:c>
      <x:c r="E5497" s="380" t="n">
        <x:v>13</x:v>
      </x:c>
      <x:c r="F5497" s="380" t="n">
        <x:v>5</x:v>
      </x:c>
      <x:c r="G5497" s="380" t="n">
        <x:f>--(F5497&lt;='Estimator'!$B$7)</x:f>
        <x:v>1</x:v>
      </x:c>
      <x:c r="H5497" s="381" t="n">
        <x:f>SUMIFS('Climate Data'!$G$7:$G$366,'Climate Data'!$A$7:$A$366,'Estimator'!$B$4,'Climate Data'!$B$7:$B$366,C5497)</x:f>
        <x:v>0.21802002224694106</x:v>
      </x:c>
      <x:c r="I5497" s="382" t="n">
        <x:f>SUMIFS('Climate Data'!$H$7:$H$366,'Climate Data'!$A$7:$A$366,'Estimator'!$B$4,'Climate Data'!$B$7:$B$366,C5497)</x:f>
        <x:v>8.596428571428572</x:v>
      </x:c>
      <x:c r="J5497" s="381" t="n">
        <x:f>SUMIFS('Wind Proxy'!$H$8:$H$19,'Wind Proxy'!$A$8:$A$19,'Estimator'!$B$4,'Wind Proxy'!$B$8:$B$19,C5497)</x:f>
        <x:v>0.12544802867383514</x:v>
      </x:c>
    </x:row>
    <x:row r="5498">
      <x:c r="A5498" s="379" t="n">
        <x:v>51149</x:v>
      </x:c>
      <x:c r="B5498" s="380" t="n">
        <x:v>2040</x:v>
      </x:c>
      <x:c r="C5498" s="380" t="n">
        <x:v>1</x:v>
      </x:c>
      <x:c r="D5498" s="380" t="str">
        <x:v>Jan</x:v>
      </x:c>
      <x:c r="E5498" s="380" t="n">
        <x:v>14</x:v>
      </x:c>
      <x:c r="F5498" s="380" t="n">
        <x:v>6</x:v>
      </x:c>
      <x:c r="G5498" s="380" t="n">
        <x:f>--(F5498&lt;='Estimator'!$B$7)</x:f>
        <x:v>0</x:v>
      </x:c>
      <x:c r="H5498" s="381" t="n">
        <x:f>SUMIFS('Climate Data'!$G$7:$G$366,'Climate Data'!$A$7:$A$366,'Estimator'!$B$4,'Climate Data'!$B$7:$B$366,C5498)</x:f>
        <x:v>0.21802002224694106</x:v>
      </x:c>
      <x:c r="I5498" s="382" t="n">
        <x:f>SUMIFS('Climate Data'!$H$7:$H$366,'Climate Data'!$A$7:$A$366,'Estimator'!$B$4,'Climate Data'!$B$7:$B$366,C5498)</x:f>
        <x:v>8.596428571428572</x:v>
      </x:c>
      <x:c r="J5498" s="381" t="n">
        <x:f>SUMIFS('Wind Proxy'!$H$8:$H$19,'Wind Proxy'!$A$8:$A$19,'Estimator'!$B$4,'Wind Proxy'!$B$8:$B$19,C5498)</x:f>
        <x:v>0.12544802867383514</x:v>
      </x:c>
    </x:row>
    <x:row r="5499">
      <x:c r="A5499" s="379" t="n">
        <x:v>51150</x:v>
      </x:c>
      <x:c r="B5499" s="380" t="n">
        <x:v>2040</x:v>
      </x:c>
      <x:c r="C5499" s="380" t="n">
        <x:v>1</x:v>
      </x:c>
      <x:c r="D5499" s="380" t="str">
        <x:v>Jan</x:v>
      </x:c>
      <x:c r="E5499" s="380" t="n">
        <x:v>15</x:v>
      </x:c>
      <x:c r="F5499" s="380" t="n">
        <x:v>7</x:v>
      </x:c>
      <x:c r="G5499" s="380" t="n">
        <x:f>--(F5499&lt;='Estimator'!$B$7)</x:f>
        <x:v>0</x:v>
      </x:c>
      <x:c r="H5499" s="381" t="n">
        <x:f>SUMIFS('Climate Data'!$G$7:$G$366,'Climate Data'!$A$7:$A$366,'Estimator'!$B$4,'Climate Data'!$B$7:$B$366,C5499)</x:f>
        <x:v>0.21802002224694106</x:v>
      </x:c>
      <x:c r="I5499" s="382" t="n">
        <x:f>SUMIFS('Climate Data'!$H$7:$H$366,'Climate Data'!$A$7:$A$366,'Estimator'!$B$4,'Climate Data'!$B$7:$B$366,C5499)</x:f>
        <x:v>8.596428571428572</x:v>
      </x:c>
      <x:c r="J5499" s="381" t="n">
        <x:f>SUMIFS('Wind Proxy'!$H$8:$H$19,'Wind Proxy'!$A$8:$A$19,'Estimator'!$B$4,'Wind Proxy'!$B$8:$B$19,C5499)</x:f>
        <x:v>0.12544802867383514</x:v>
      </x:c>
    </x:row>
    <x:row r="5500">
      <x:c r="A5500" s="379" t="n">
        <x:v>51151</x:v>
      </x:c>
      <x:c r="B5500" s="380" t="n">
        <x:v>2040</x:v>
      </x:c>
      <x:c r="C5500" s="380" t="n">
        <x:v>1</x:v>
      </x:c>
      <x:c r="D5500" s="380" t="str">
        <x:v>Jan</x:v>
      </x:c>
      <x:c r="E5500" s="380" t="n">
        <x:v>16</x:v>
      </x:c>
      <x:c r="F5500" s="380" t="n">
        <x:v>1</x:v>
      </x:c>
      <x:c r="G5500" s="380" t="n">
        <x:f>--(F5500&lt;='Estimator'!$B$7)</x:f>
        <x:v>1</x:v>
      </x:c>
      <x:c r="H5500" s="381" t="n">
        <x:f>SUMIFS('Climate Data'!$G$7:$G$366,'Climate Data'!$A$7:$A$366,'Estimator'!$B$4,'Climate Data'!$B$7:$B$366,C5500)</x:f>
        <x:v>0.21802002224694106</x:v>
      </x:c>
      <x:c r="I5500" s="382" t="n">
        <x:f>SUMIFS('Climate Data'!$H$7:$H$366,'Climate Data'!$A$7:$A$366,'Estimator'!$B$4,'Climate Data'!$B$7:$B$366,C5500)</x:f>
        <x:v>8.596428571428572</x:v>
      </x:c>
      <x:c r="J5500" s="381" t="n">
        <x:f>SUMIFS('Wind Proxy'!$H$8:$H$19,'Wind Proxy'!$A$8:$A$19,'Estimator'!$B$4,'Wind Proxy'!$B$8:$B$19,C5500)</x:f>
        <x:v>0.12544802867383514</x:v>
      </x:c>
    </x:row>
    <x:row r="5501">
      <x:c r="A5501" s="379" t="n">
        <x:v>51152</x:v>
      </x:c>
      <x:c r="B5501" s="380" t="n">
        <x:v>2040</x:v>
      </x:c>
      <x:c r="C5501" s="380" t="n">
        <x:v>1</x:v>
      </x:c>
      <x:c r="D5501" s="380" t="str">
        <x:v>Jan</x:v>
      </x:c>
      <x:c r="E5501" s="380" t="n">
        <x:v>17</x:v>
      </x:c>
      <x:c r="F5501" s="380" t="n">
        <x:v>2</x:v>
      </x:c>
      <x:c r="G5501" s="380" t="n">
        <x:f>--(F5501&lt;='Estimator'!$B$7)</x:f>
        <x:v>1</x:v>
      </x:c>
      <x:c r="H5501" s="381" t="n">
        <x:f>SUMIFS('Climate Data'!$G$7:$G$366,'Climate Data'!$A$7:$A$366,'Estimator'!$B$4,'Climate Data'!$B$7:$B$366,C5501)</x:f>
        <x:v>0.21802002224694106</x:v>
      </x:c>
      <x:c r="I5501" s="382" t="n">
        <x:f>SUMIFS('Climate Data'!$H$7:$H$366,'Climate Data'!$A$7:$A$366,'Estimator'!$B$4,'Climate Data'!$B$7:$B$366,C5501)</x:f>
        <x:v>8.596428571428572</x:v>
      </x:c>
      <x:c r="J5501" s="381" t="n">
        <x:f>SUMIFS('Wind Proxy'!$H$8:$H$19,'Wind Proxy'!$A$8:$A$19,'Estimator'!$B$4,'Wind Proxy'!$B$8:$B$19,C5501)</x:f>
        <x:v>0.12544802867383514</x:v>
      </x:c>
    </x:row>
    <x:row r="5502">
      <x:c r="A5502" s="379" t="n">
        <x:v>51153</x:v>
      </x:c>
      <x:c r="B5502" s="380" t="n">
        <x:v>2040</x:v>
      </x:c>
      <x:c r="C5502" s="380" t="n">
        <x:v>1</x:v>
      </x:c>
      <x:c r="D5502" s="380" t="str">
        <x:v>Jan</x:v>
      </x:c>
      <x:c r="E5502" s="380" t="n">
        <x:v>18</x:v>
      </x:c>
      <x:c r="F5502" s="380" t="n">
        <x:v>3</x:v>
      </x:c>
      <x:c r="G5502" s="380" t="n">
        <x:f>--(F5502&lt;='Estimator'!$B$7)</x:f>
        <x:v>1</x:v>
      </x:c>
      <x:c r="H5502" s="381" t="n">
        <x:f>SUMIFS('Climate Data'!$G$7:$G$366,'Climate Data'!$A$7:$A$366,'Estimator'!$B$4,'Climate Data'!$B$7:$B$366,C5502)</x:f>
        <x:v>0.21802002224694106</x:v>
      </x:c>
      <x:c r="I5502" s="382" t="n">
        <x:f>SUMIFS('Climate Data'!$H$7:$H$366,'Climate Data'!$A$7:$A$366,'Estimator'!$B$4,'Climate Data'!$B$7:$B$366,C5502)</x:f>
        <x:v>8.596428571428572</x:v>
      </x:c>
      <x:c r="J5502" s="381" t="n">
        <x:f>SUMIFS('Wind Proxy'!$H$8:$H$19,'Wind Proxy'!$A$8:$A$19,'Estimator'!$B$4,'Wind Proxy'!$B$8:$B$19,C5502)</x:f>
        <x:v>0.12544802867383514</x:v>
      </x:c>
    </x:row>
    <x:row r="5503">
      <x:c r="A5503" s="379" t="n">
        <x:v>51154</x:v>
      </x:c>
      <x:c r="B5503" s="380" t="n">
        <x:v>2040</x:v>
      </x:c>
      <x:c r="C5503" s="380" t="n">
        <x:v>1</x:v>
      </x:c>
      <x:c r="D5503" s="380" t="str">
        <x:v>Jan</x:v>
      </x:c>
      <x:c r="E5503" s="380" t="n">
        <x:v>19</x:v>
      </x:c>
      <x:c r="F5503" s="380" t="n">
        <x:v>4</x:v>
      </x:c>
      <x:c r="G5503" s="380" t="n">
        <x:f>--(F5503&lt;='Estimator'!$B$7)</x:f>
        <x:v>1</x:v>
      </x:c>
      <x:c r="H5503" s="381" t="n">
        <x:f>SUMIFS('Climate Data'!$G$7:$G$366,'Climate Data'!$A$7:$A$366,'Estimator'!$B$4,'Climate Data'!$B$7:$B$366,C5503)</x:f>
        <x:v>0.21802002224694106</x:v>
      </x:c>
      <x:c r="I5503" s="382" t="n">
        <x:f>SUMIFS('Climate Data'!$H$7:$H$366,'Climate Data'!$A$7:$A$366,'Estimator'!$B$4,'Climate Data'!$B$7:$B$366,C5503)</x:f>
        <x:v>8.596428571428572</x:v>
      </x:c>
      <x:c r="J5503" s="381" t="n">
        <x:f>SUMIFS('Wind Proxy'!$H$8:$H$19,'Wind Proxy'!$A$8:$A$19,'Estimator'!$B$4,'Wind Proxy'!$B$8:$B$19,C5503)</x:f>
        <x:v>0.12544802867383514</x:v>
      </x:c>
    </x:row>
    <x:row r="5504">
      <x:c r="A5504" s="379" t="n">
        <x:v>51155</x:v>
      </x:c>
      <x:c r="B5504" s="380" t="n">
        <x:v>2040</x:v>
      </x:c>
      <x:c r="C5504" s="380" t="n">
        <x:v>1</x:v>
      </x:c>
      <x:c r="D5504" s="380" t="str">
        <x:v>Jan</x:v>
      </x:c>
      <x:c r="E5504" s="380" t="n">
        <x:v>20</x:v>
      </x:c>
      <x:c r="F5504" s="380" t="n">
        <x:v>5</x:v>
      </x:c>
      <x:c r="G5504" s="380" t="n">
        <x:f>--(F5504&lt;='Estimator'!$B$7)</x:f>
        <x:v>1</x:v>
      </x:c>
      <x:c r="H5504" s="381" t="n">
        <x:f>SUMIFS('Climate Data'!$G$7:$G$366,'Climate Data'!$A$7:$A$366,'Estimator'!$B$4,'Climate Data'!$B$7:$B$366,C5504)</x:f>
        <x:v>0.21802002224694106</x:v>
      </x:c>
      <x:c r="I5504" s="382" t="n">
        <x:f>SUMIFS('Climate Data'!$H$7:$H$366,'Climate Data'!$A$7:$A$366,'Estimator'!$B$4,'Climate Data'!$B$7:$B$366,C5504)</x:f>
        <x:v>8.596428571428572</x:v>
      </x:c>
      <x:c r="J5504" s="381" t="n">
        <x:f>SUMIFS('Wind Proxy'!$H$8:$H$19,'Wind Proxy'!$A$8:$A$19,'Estimator'!$B$4,'Wind Proxy'!$B$8:$B$19,C5504)</x:f>
        <x:v>0.12544802867383514</x:v>
      </x:c>
    </x:row>
    <x:row r="5505">
      <x:c r="A5505" s="379" t="n">
        <x:v>51156</x:v>
      </x:c>
      <x:c r="B5505" s="380" t="n">
        <x:v>2040</x:v>
      </x:c>
      <x:c r="C5505" s="380" t="n">
        <x:v>1</x:v>
      </x:c>
      <x:c r="D5505" s="380" t="str">
        <x:v>Jan</x:v>
      </x:c>
      <x:c r="E5505" s="380" t="n">
        <x:v>21</x:v>
      </x:c>
      <x:c r="F5505" s="380" t="n">
        <x:v>6</x:v>
      </x:c>
      <x:c r="G5505" s="380" t="n">
        <x:f>--(F5505&lt;='Estimator'!$B$7)</x:f>
        <x:v>0</x:v>
      </x:c>
      <x:c r="H5505" s="381" t="n">
        <x:f>SUMIFS('Climate Data'!$G$7:$G$366,'Climate Data'!$A$7:$A$366,'Estimator'!$B$4,'Climate Data'!$B$7:$B$366,C5505)</x:f>
        <x:v>0.21802002224694106</x:v>
      </x:c>
      <x:c r="I5505" s="382" t="n">
        <x:f>SUMIFS('Climate Data'!$H$7:$H$366,'Climate Data'!$A$7:$A$366,'Estimator'!$B$4,'Climate Data'!$B$7:$B$366,C5505)</x:f>
        <x:v>8.596428571428572</x:v>
      </x:c>
      <x:c r="J5505" s="381" t="n">
        <x:f>SUMIFS('Wind Proxy'!$H$8:$H$19,'Wind Proxy'!$A$8:$A$19,'Estimator'!$B$4,'Wind Proxy'!$B$8:$B$19,C5505)</x:f>
        <x:v>0.12544802867383514</x:v>
      </x:c>
    </x:row>
    <x:row r="5506">
      <x:c r="A5506" s="379" t="n">
        <x:v>51157</x:v>
      </x:c>
      <x:c r="B5506" s="380" t="n">
        <x:v>2040</x:v>
      </x:c>
      <x:c r="C5506" s="380" t="n">
        <x:v>1</x:v>
      </x:c>
      <x:c r="D5506" s="380" t="str">
        <x:v>Jan</x:v>
      </x:c>
      <x:c r="E5506" s="380" t="n">
        <x:v>22</x:v>
      </x:c>
      <x:c r="F5506" s="380" t="n">
        <x:v>7</x:v>
      </x:c>
      <x:c r="G5506" s="380" t="n">
        <x:f>--(F5506&lt;='Estimator'!$B$7)</x:f>
        <x:v>0</x:v>
      </x:c>
      <x:c r="H5506" s="381" t="n">
        <x:f>SUMIFS('Climate Data'!$G$7:$G$366,'Climate Data'!$A$7:$A$366,'Estimator'!$B$4,'Climate Data'!$B$7:$B$366,C5506)</x:f>
        <x:v>0.21802002224694106</x:v>
      </x:c>
      <x:c r="I5506" s="382" t="n">
        <x:f>SUMIFS('Climate Data'!$H$7:$H$366,'Climate Data'!$A$7:$A$366,'Estimator'!$B$4,'Climate Data'!$B$7:$B$366,C5506)</x:f>
        <x:v>8.596428571428572</x:v>
      </x:c>
      <x:c r="J5506" s="381" t="n">
        <x:f>SUMIFS('Wind Proxy'!$H$8:$H$19,'Wind Proxy'!$A$8:$A$19,'Estimator'!$B$4,'Wind Proxy'!$B$8:$B$19,C5506)</x:f>
        <x:v>0.12544802867383514</x:v>
      </x:c>
    </x:row>
    <x:row r="5507">
      <x:c r="A5507" s="379" t="n">
        <x:v>51158</x:v>
      </x:c>
      <x:c r="B5507" s="380" t="n">
        <x:v>2040</x:v>
      </x:c>
      <x:c r="C5507" s="380" t="n">
        <x:v>1</x:v>
      </x:c>
      <x:c r="D5507" s="380" t="str">
        <x:v>Jan</x:v>
      </x:c>
      <x:c r="E5507" s="380" t="n">
        <x:v>23</x:v>
      </x:c>
      <x:c r="F5507" s="380" t="n">
        <x:v>1</x:v>
      </x:c>
      <x:c r="G5507" s="380" t="n">
        <x:f>--(F5507&lt;='Estimator'!$B$7)</x:f>
        <x:v>1</x:v>
      </x:c>
      <x:c r="H5507" s="381" t="n">
        <x:f>SUMIFS('Climate Data'!$G$7:$G$366,'Climate Data'!$A$7:$A$366,'Estimator'!$B$4,'Climate Data'!$B$7:$B$366,C5507)</x:f>
        <x:v>0.21802002224694106</x:v>
      </x:c>
      <x:c r="I5507" s="382" t="n">
        <x:f>SUMIFS('Climate Data'!$H$7:$H$366,'Climate Data'!$A$7:$A$366,'Estimator'!$B$4,'Climate Data'!$B$7:$B$366,C5507)</x:f>
        <x:v>8.596428571428572</x:v>
      </x:c>
      <x:c r="J5507" s="381" t="n">
        <x:f>SUMIFS('Wind Proxy'!$H$8:$H$19,'Wind Proxy'!$A$8:$A$19,'Estimator'!$B$4,'Wind Proxy'!$B$8:$B$19,C5507)</x:f>
        <x:v>0.12544802867383514</x:v>
      </x:c>
    </x:row>
    <x:row r="5508">
      <x:c r="A5508" s="379" t="n">
        <x:v>51159</x:v>
      </x:c>
      <x:c r="B5508" s="380" t="n">
        <x:v>2040</x:v>
      </x:c>
      <x:c r="C5508" s="380" t="n">
        <x:v>1</x:v>
      </x:c>
      <x:c r="D5508" s="380" t="str">
        <x:v>Jan</x:v>
      </x:c>
      <x:c r="E5508" s="380" t="n">
        <x:v>24</x:v>
      </x:c>
      <x:c r="F5508" s="380" t="n">
        <x:v>2</x:v>
      </x:c>
      <x:c r="G5508" s="380" t="n">
        <x:f>--(F5508&lt;='Estimator'!$B$7)</x:f>
        <x:v>1</x:v>
      </x:c>
      <x:c r="H5508" s="381" t="n">
        <x:f>SUMIFS('Climate Data'!$G$7:$G$366,'Climate Data'!$A$7:$A$366,'Estimator'!$B$4,'Climate Data'!$B$7:$B$366,C5508)</x:f>
        <x:v>0.21802002224694106</x:v>
      </x:c>
      <x:c r="I5508" s="382" t="n">
        <x:f>SUMIFS('Climate Data'!$H$7:$H$366,'Climate Data'!$A$7:$A$366,'Estimator'!$B$4,'Climate Data'!$B$7:$B$366,C5508)</x:f>
        <x:v>8.596428571428572</x:v>
      </x:c>
      <x:c r="J5508" s="381" t="n">
        <x:f>SUMIFS('Wind Proxy'!$H$8:$H$19,'Wind Proxy'!$A$8:$A$19,'Estimator'!$B$4,'Wind Proxy'!$B$8:$B$19,C5508)</x:f>
        <x:v>0.12544802867383514</x:v>
      </x:c>
    </x:row>
    <x:row r="5509">
      <x:c r="A5509" s="379" t="n">
        <x:v>51160</x:v>
      </x:c>
      <x:c r="B5509" s="380" t="n">
        <x:v>2040</x:v>
      </x:c>
      <x:c r="C5509" s="380" t="n">
        <x:v>1</x:v>
      </x:c>
      <x:c r="D5509" s="380" t="str">
        <x:v>Jan</x:v>
      </x:c>
      <x:c r="E5509" s="380" t="n">
        <x:v>25</x:v>
      </x:c>
      <x:c r="F5509" s="380" t="n">
        <x:v>3</x:v>
      </x:c>
      <x:c r="G5509" s="380" t="n">
        <x:f>--(F5509&lt;='Estimator'!$B$7)</x:f>
        <x:v>1</x:v>
      </x:c>
      <x:c r="H5509" s="381" t="n">
        <x:f>SUMIFS('Climate Data'!$G$7:$G$366,'Climate Data'!$A$7:$A$366,'Estimator'!$B$4,'Climate Data'!$B$7:$B$366,C5509)</x:f>
        <x:v>0.21802002224694106</x:v>
      </x:c>
      <x:c r="I5509" s="382" t="n">
        <x:f>SUMIFS('Climate Data'!$H$7:$H$366,'Climate Data'!$A$7:$A$366,'Estimator'!$B$4,'Climate Data'!$B$7:$B$366,C5509)</x:f>
        <x:v>8.596428571428572</x:v>
      </x:c>
      <x:c r="J5509" s="381" t="n">
        <x:f>SUMIFS('Wind Proxy'!$H$8:$H$19,'Wind Proxy'!$A$8:$A$19,'Estimator'!$B$4,'Wind Proxy'!$B$8:$B$19,C5509)</x:f>
        <x:v>0.12544802867383514</x:v>
      </x:c>
    </x:row>
    <x:row r="5510">
      <x:c r="A5510" s="379" t="n">
        <x:v>51161</x:v>
      </x:c>
      <x:c r="B5510" s="380" t="n">
        <x:v>2040</x:v>
      </x:c>
      <x:c r="C5510" s="380" t="n">
        <x:v>1</x:v>
      </x:c>
      <x:c r="D5510" s="380" t="str">
        <x:v>Jan</x:v>
      </x:c>
      <x:c r="E5510" s="380" t="n">
        <x:v>26</x:v>
      </x:c>
      <x:c r="F5510" s="380" t="n">
        <x:v>4</x:v>
      </x:c>
      <x:c r="G5510" s="380" t="n">
        <x:f>--(F5510&lt;='Estimator'!$B$7)</x:f>
        <x:v>1</x:v>
      </x:c>
      <x:c r="H5510" s="381" t="n">
        <x:f>SUMIFS('Climate Data'!$G$7:$G$366,'Climate Data'!$A$7:$A$366,'Estimator'!$B$4,'Climate Data'!$B$7:$B$366,C5510)</x:f>
        <x:v>0.21802002224694106</x:v>
      </x:c>
      <x:c r="I5510" s="382" t="n">
        <x:f>SUMIFS('Climate Data'!$H$7:$H$366,'Climate Data'!$A$7:$A$366,'Estimator'!$B$4,'Climate Data'!$B$7:$B$366,C5510)</x:f>
        <x:v>8.596428571428572</x:v>
      </x:c>
      <x:c r="J5510" s="381" t="n">
        <x:f>SUMIFS('Wind Proxy'!$H$8:$H$19,'Wind Proxy'!$A$8:$A$19,'Estimator'!$B$4,'Wind Proxy'!$B$8:$B$19,C5510)</x:f>
        <x:v>0.12544802867383514</x:v>
      </x:c>
    </x:row>
    <x:row r="5511">
      <x:c r="A5511" s="379" t="n">
        <x:v>51162</x:v>
      </x:c>
      <x:c r="B5511" s="380" t="n">
        <x:v>2040</x:v>
      </x:c>
      <x:c r="C5511" s="380" t="n">
        <x:v>1</x:v>
      </x:c>
      <x:c r="D5511" s="380" t="str">
        <x:v>Jan</x:v>
      </x:c>
      <x:c r="E5511" s="380" t="n">
        <x:v>27</x:v>
      </x:c>
      <x:c r="F5511" s="380" t="n">
        <x:v>5</x:v>
      </x:c>
      <x:c r="G5511" s="380" t="n">
        <x:f>--(F5511&lt;='Estimator'!$B$7)</x:f>
        <x:v>1</x:v>
      </x:c>
      <x:c r="H5511" s="381" t="n">
        <x:f>SUMIFS('Climate Data'!$G$7:$G$366,'Climate Data'!$A$7:$A$366,'Estimator'!$B$4,'Climate Data'!$B$7:$B$366,C5511)</x:f>
        <x:v>0.21802002224694106</x:v>
      </x:c>
      <x:c r="I5511" s="382" t="n">
        <x:f>SUMIFS('Climate Data'!$H$7:$H$366,'Climate Data'!$A$7:$A$366,'Estimator'!$B$4,'Climate Data'!$B$7:$B$366,C5511)</x:f>
        <x:v>8.596428571428572</x:v>
      </x:c>
      <x:c r="J5511" s="381" t="n">
        <x:f>SUMIFS('Wind Proxy'!$H$8:$H$19,'Wind Proxy'!$A$8:$A$19,'Estimator'!$B$4,'Wind Proxy'!$B$8:$B$19,C5511)</x:f>
        <x:v>0.12544802867383514</x:v>
      </x:c>
    </x:row>
    <x:row r="5512">
      <x:c r="A5512" s="379" t="n">
        <x:v>51163</x:v>
      </x:c>
      <x:c r="B5512" s="380" t="n">
        <x:v>2040</x:v>
      </x:c>
      <x:c r="C5512" s="380" t="n">
        <x:v>1</x:v>
      </x:c>
      <x:c r="D5512" s="380" t="str">
        <x:v>Jan</x:v>
      </x:c>
      <x:c r="E5512" s="380" t="n">
        <x:v>28</x:v>
      </x:c>
      <x:c r="F5512" s="380" t="n">
        <x:v>6</x:v>
      </x:c>
      <x:c r="G5512" s="380" t="n">
        <x:f>--(F5512&lt;='Estimator'!$B$7)</x:f>
        <x:v>0</x:v>
      </x:c>
      <x:c r="H5512" s="381" t="n">
        <x:f>SUMIFS('Climate Data'!$G$7:$G$366,'Climate Data'!$A$7:$A$366,'Estimator'!$B$4,'Climate Data'!$B$7:$B$366,C5512)</x:f>
        <x:v>0.21802002224694106</x:v>
      </x:c>
      <x:c r="I5512" s="382" t="n">
        <x:f>SUMIFS('Climate Data'!$H$7:$H$366,'Climate Data'!$A$7:$A$366,'Estimator'!$B$4,'Climate Data'!$B$7:$B$366,C5512)</x:f>
        <x:v>8.596428571428572</x:v>
      </x:c>
      <x:c r="J5512" s="381" t="n">
        <x:f>SUMIFS('Wind Proxy'!$H$8:$H$19,'Wind Proxy'!$A$8:$A$19,'Estimator'!$B$4,'Wind Proxy'!$B$8:$B$19,C5512)</x:f>
        <x:v>0.12544802867383514</x:v>
      </x:c>
    </x:row>
    <x:row r="5513">
      <x:c r="A5513" s="379" t="n">
        <x:v>51164</x:v>
      </x:c>
      <x:c r="B5513" s="380" t="n">
        <x:v>2040</x:v>
      </x:c>
      <x:c r="C5513" s="380" t="n">
        <x:v>1</x:v>
      </x:c>
      <x:c r="D5513" s="380" t="str">
        <x:v>Jan</x:v>
      </x:c>
      <x:c r="E5513" s="380" t="n">
        <x:v>29</x:v>
      </x:c>
      <x:c r="F5513" s="380" t="n">
        <x:v>7</x:v>
      </x:c>
      <x:c r="G5513" s="380" t="n">
        <x:f>--(F5513&lt;='Estimator'!$B$7)</x:f>
        <x:v>0</x:v>
      </x:c>
      <x:c r="H5513" s="381" t="n">
        <x:f>SUMIFS('Climate Data'!$G$7:$G$366,'Climate Data'!$A$7:$A$366,'Estimator'!$B$4,'Climate Data'!$B$7:$B$366,C5513)</x:f>
        <x:v>0.21802002224694106</x:v>
      </x:c>
      <x:c r="I5513" s="382" t="n">
        <x:f>SUMIFS('Climate Data'!$H$7:$H$366,'Climate Data'!$A$7:$A$366,'Estimator'!$B$4,'Climate Data'!$B$7:$B$366,C5513)</x:f>
        <x:v>8.596428571428572</x:v>
      </x:c>
      <x:c r="J5513" s="381" t="n">
        <x:f>SUMIFS('Wind Proxy'!$H$8:$H$19,'Wind Proxy'!$A$8:$A$19,'Estimator'!$B$4,'Wind Proxy'!$B$8:$B$19,C5513)</x:f>
        <x:v>0.12544802867383514</x:v>
      </x:c>
    </x:row>
    <x:row r="5514">
      <x:c r="A5514" s="379" t="n">
        <x:v>51165</x:v>
      </x:c>
      <x:c r="B5514" s="380" t="n">
        <x:v>2040</x:v>
      </x:c>
      <x:c r="C5514" s="380" t="n">
        <x:v>1</x:v>
      </x:c>
      <x:c r="D5514" s="380" t="str">
        <x:v>Jan</x:v>
      </x:c>
      <x:c r="E5514" s="380" t="n">
        <x:v>30</x:v>
      </x:c>
      <x:c r="F5514" s="380" t="n">
        <x:v>1</x:v>
      </x:c>
      <x:c r="G5514" s="380" t="n">
        <x:f>--(F5514&lt;='Estimator'!$B$7)</x:f>
        <x:v>1</x:v>
      </x:c>
      <x:c r="H5514" s="381" t="n">
        <x:f>SUMIFS('Climate Data'!$G$7:$G$366,'Climate Data'!$A$7:$A$366,'Estimator'!$B$4,'Climate Data'!$B$7:$B$366,C5514)</x:f>
        <x:v>0.21802002224694106</x:v>
      </x:c>
      <x:c r="I5514" s="382" t="n">
        <x:f>SUMIFS('Climate Data'!$H$7:$H$366,'Climate Data'!$A$7:$A$366,'Estimator'!$B$4,'Climate Data'!$B$7:$B$366,C5514)</x:f>
        <x:v>8.596428571428572</x:v>
      </x:c>
      <x:c r="J5514" s="381" t="n">
        <x:f>SUMIFS('Wind Proxy'!$H$8:$H$19,'Wind Proxy'!$A$8:$A$19,'Estimator'!$B$4,'Wind Proxy'!$B$8:$B$19,C5514)</x:f>
        <x:v>0.12544802867383514</x:v>
      </x:c>
    </x:row>
    <x:row r="5515">
      <x:c r="A5515" s="379" t="n">
        <x:v>51166</x:v>
      </x:c>
      <x:c r="B5515" s="380" t="n">
        <x:v>2040</x:v>
      </x:c>
      <x:c r="C5515" s="380" t="n">
        <x:v>1</x:v>
      </x:c>
      <x:c r="D5515" s="380" t="str">
        <x:v>Jan</x:v>
      </x:c>
      <x:c r="E5515" s="380" t="n">
        <x:v>31</x:v>
      </x:c>
      <x:c r="F5515" s="380" t="n">
        <x:v>2</x:v>
      </x:c>
      <x:c r="G5515" s="380" t="n">
        <x:f>--(F5515&lt;='Estimator'!$B$7)</x:f>
        <x:v>1</x:v>
      </x:c>
      <x:c r="H5515" s="381" t="n">
        <x:f>SUMIFS('Climate Data'!$G$7:$G$366,'Climate Data'!$A$7:$A$366,'Estimator'!$B$4,'Climate Data'!$B$7:$B$366,C5515)</x:f>
        <x:v>0.21802002224694106</x:v>
      </x:c>
      <x:c r="I5515" s="382" t="n">
        <x:f>SUMIFS('Climate Data'!$H$7:$H$366,'Climate Data'!$A$7:$A$366,'Estimator'!$B$4,'Climate Data'!$B$7:$B$366,C5515)</x:f>
        <x:v>8.596428571428572</x:v>
      </x:c>
      <x:c r="J5515" s="381" t="n">
        <x:f>SUMIFS('Wind Proxy'!$H$8:$H$19,'Wind Proxy'!$A$8:$A$19,'Estimator'!$B$4,'Wind Proxy'!$B$8:$B$19,C5515)</x:f>
        <x:v>0.12544802867383514</x:v>
      </x:c>
    </x:row>
    <x:row r="5516">
      <x:c r="A5516" s="379" t="n">
        <x:v>51167</x:v>
      </x:c>
      <x:c r="B5516" s="380" t="n">
        <x:v>2040</x:v>
      </x:c>
      <x:c r="C5516" s="380" t="n">
        <x:v>2</x:v>
      </x:c>
      <x:c r="D5516" s="380" t="str">
        <x:v>Feb</x:v>
      </x:c>
      <x:c r="E5516" s="380" t="n">
        <x:v>1</x:v>
      </x:c>
      <x:c r="F5516" s="380" t="n">
        <x:v>3</x:v>
      </x:c>
      <x:c r="G5516" s="380" t="n">
        <x:f>--(F5516&lt;='Estimator'!$B$7)</x:f>
        <x:v>1</x:v>
      </x:c>
      <x:c r="H5516" s="381" t="n">
        <x:f>SUMIFS('Climate Data'!$G$7:$G$366,'Climate Data'!$A$7:$A$366,'Estimator'!$B$4,'Climate Data'!$B$7:$B$366,C5516)</x:f>
        <x:v>0.23056278464541316</x:v>
      </x:c>
      <x:c r="I5516" s="382" t="n">
        <x:f>SUMIFS('Climate Data'!$H$7:$H$366,'Climate Data'!$A$7:$A$366,'Estimator'!$B$4,'Climate Data'!$B$7:$B$366,C5516)</x:f>
        <x:v>9.682010582010582</x:v>
      </x:c>
      <x:c r="J5516" s="381" t="n">
        <x:f>SUMIFS('Wind Proxy'!$H$8:$H$19,'Wind Proxy'!$A$8:$A$19,'Estimator'!$B$4,'Wind Proxy'!$B$8:$B$19,C5516)</x:f>
        <x:v>0.13757861635220128</x:v>
      </x:c>
    </x:row>
    <x:row r="5517">
      <x:c r="A5517" s="379" t="n">
        <x:v>51168</x:v>
      </x:c>
      <x:c r="B5517" s="380" t="n">
        <x:v>2040</x:v>
      </x:c>
      <x:c r="C5517" s="380" t="n">
        <x:v>2</x:v>
      </x:c>
      <x:c r="D5517" s="380" t="str">
        <x:v>Feb</x:v>
      </x:c>
      <x:c r="E5517" s="380" t="n">
        <x:v>2</x:v>
      </x:c>
      <x:c r="F5517" s="380" t="n">
        <x:v>4</x:v>
      </x:c>
      <x:c r="G5517" s="380" t="n">
        <x:f>--(F5517&lt;='Estimator'!$B$7)</x:f>
        <x:v>1</x:v>
      </x:c>
      <x:c r="H5517" s="381" t="n">
        <x:f>SUMIFS('Climate Data'!$G$7:$G$366,'Climate Data'!$A$7:$A$366,'Estimator'!$B$4,'Climate Data'!$B$7:$B$366,C5517)</x:f>
        <x:v>0.23056278464541316</x:v>
      </x:c>
      <x:c r="I5517" s="382" t="n">
        <x:f>SUMIFS('Climate Data'!$H$7:$H$366,'Climate Data'!$A$7:$A$366,'Estimator'!$B$4,'Climate Data'!$B$7:$B$366,C5517)</x:f>
        <x:v>9.682010582010582</x:v>
      </x:c>
      <x:c r="J5517" s="381" t="n">
        <x:f>SUMIFS('Wind Proxy'!$H$8:$H$19,'Wind Proxy'!$A$8:$A$19,'Estimator'!$B$4,'Wind Proxy'!$B$8:$B$19,C5517)</x:f>
        <x:v>0.13757861635220128</x:v>
      </x:c>
    </x:row>
    <x:row r="5518">
      <x:c r="A5518" s="379" t="n">
        <x:v>51169</x:v>
      </x:c>
      <x:c r="B5518" s="380" t="n">
        <x:v>2040</x:v>
      </x:c>
      <x:c r="C5518" s="380" t="n">
        <x:v>2</x:v>
      </x:c>
      <x:c r="D5518" s="380" t="str">
        <x:v>Feb</x:v>
      </x:c>
      <x:c r="E5518" s="380" t="n">
        <x:v>3</x:v>
      </x:c>
      <x:c r="F5518" s="380" t="n">
        <x:v>5</x:v>
      </x:c>
      <x:c r="G5518" s="380" t="n">
        <x:f>--(F5518&lt;='Estimator'!$B$7)</x:f>
        <x:v>1</x:v>
      </x:c>
      <x:c r="H5518" s="381" t="n">
        <x:f>SUMIFS('Climate Data'!$G$7:$G$366,'Climate Data'!$A$7:$A$366,'Estimator'!$B$4,'Climate Data'!$B$7:$B$366,C5518)</x:f>
        <x:v>0.23056278464541316</x:v>
      </x:c>
      <x:c r="I5518" s="382" t="n">
        <x:f>SUMIFS('Climate Data'!$H$7:$H$366,'Climate Data'!$A$7:$A$366,'Estimator'!$B$4,'Climate Data'!$B$7:$B$366,C5518)</x:f>
        <x:v>9.682010582010582</x:v>
      </x:c>
      <x:c r="J5518" s="381" t="n">
        <x:f>SUMIFS('Wind Proxy'!$H$8:$H$19,'Wind Proxy'!$A$8:$A$19,'Estimator'!$B$4,'Wind Proxy'!$B$8:$B$19,C5518)</x:f>
        <x:v>0.13757861635220128</x:v>
      </x:c>
    </x:row>
    <x:row r="5519">
      <x:c r="A5519" s="379" t="n">
        <x:v>51170</x:v>
      </x:c>
      <x:c r="B5519" s="380" t="n">
        <x:v>2040</x:v>
      </x:c>
      <x:c r="C5519" s="380" t="n">
        <x:v>2</x:v>
      </x:c>
      <x:c r="D5519" s="380" t="str">
        <x:v>Feb</x:v>
      </x:c>
      <x:c r="E5519" s="380" t="n">
        <x:v>4</x:v>
      </x:c>
      <x:c r="F5519" s="380" t="n">
        <x:v>6</x:v>
      </x:c>
      <x:c r="G5519" s="380" t="n">
        <x:f>--(F5519&lt;='Estimator'!$B$7)</x:f>
        <x:v>0</x:v>
      </x:c>
      <x:c r="H5519" s="381" t="n">
        <x:f>SUMIFS('Climate Data'!$G$7:$G$366,'Climate Data'!$A$7:$A$366,'Estimator'!$B$4,'Climate Data'!$B$7:$B$366,C5519)</x:f>
        <x:v>0.23056278464541316</x:v>
      </x:c>
      <x:c r="I5519" s="382" t="n">
        <x:f>SUMIFS('Climate Data'!$H$7:$H$366,'Climate Data'!$A$7:$A$366,'Estimator'!$B$4,'Climate Data'!$B$7:$B$366,C5519)</x:f>
        <x:v>9.682010582010582</x:v>
      </x:c>
      <x:c r="J5519" s="381" t="n">
        <x:f>SUMIFS('Wind Proxy'!$H$8:$H$19,'Wind Proxy'!$A$8:$A$19,'Estimator'!$B$4,'Wind Proxy'!$B$8:$B$19,C5519)</x:f>
        <x:v>0.13757861635220128</x:v>
      </x:c>
    </x:row>
    <x:row r="5520">
      <x:c r="A5520" s="379" t="n">
        <x:v>51171</x:v>
      </x:c>
      <x:c r="B5520" s="380" t="n">
        <x:v>2040</x:v>
      </x:c>
      <x:c r="C5520" s="380" t="n">
        <x:v>2</x:v>
      </x:c>
      <x:c r="D5520" s="380" t="str">
        <x:v>Feb</x:v>
      </x:c>
      <x:c r="E5520" s="380" t="n">
        <x:v>5</x:v>
      </x:c>
      <x:c r="F5520" s="380" t="n">
        <x:v>7</x:v>
      </x:c>
      <x:c r="G5520" s="380" t="n">
        <x:f>--(F5520&lt;='Estimator'!$B$7)</x:f>
        <x:v>0</x:v>
      </x:c>
      <x:c r="H5520" s="381" t="n">
        <x:f>SUMIFS('Climate Data'!$G$7:$G$366,'Climate Data'!$A$7:$A$366,'Estimator'!$B$4,'Climate Data'!$B$7:$B$366,C5520)</x:f>
        <x:v>0.23056278464541316</x:v>
      </x:c>
      <x:c r="I5520" s="382" t="n">
        <x:f>SUMIFS('Climate Data'!$H$7:$H$366,'Climate Data'!$A$7:$A$366,'Estimator'!$B$4,'Climate Data'!$B$7:$B$366,C5520)</x:f>
        <x:v>9.682010582010582</x:v>
      </x:c>
      <x:c r="J5520" s="381" t="n">
        <x:f>SUMIFS('Wind Proxy'!$H$8:$H$19,'Wind Proxy'!$A$8:$A$19,'Estimator'!$B$4,'Wind Proxy'!$B$8:$B$19,C5520)</x:f>
        <x:v>0.13757861635220128</x:v>
      </x:c>
    </x:row>
    <x:row r="5521">
      <x:c r="A5521" s="379" t="n">
        <x:v>51172</x:v>
      </x:c>
      <x:c r="B5521" s="380" t="n">
        <x:v>2040</x:v>
      </x:c>
      <x:c r="C5521" s="380" t="n">
        <x:v>2</x:v>
      </x:c>
      <x:c r="D5521" s="380" t="str">
        <x:v>Feb</x:v>
      </x:c>
      <x:c r="E5521" s="380" t="n">
        <x:v>6</x:v>
      </x:c>
      <x:c r="F5521" s="380" t="n">
        <x:v>1</x:v>
      </x:c>
      <x:c r="G5521" s="380" t="n">
        <x:f>--(F5521&lt;='Estimator'!$B$7)</x:f>
        <x:v>1</x:v>
      </x:c>
      <x:c r="H5521" s="381" t="n">
        <x:f>SUMIFS('Climate Data'!$G$7:$G$366,'Climate Data'!$A$7:$A$366,'Estimator'!$B$4,'Climate Data'!$B$7:$B$366,C5521)</x:f>
        <x:v>0.23056278464541316</x:v>
      </x:c>
      <x:c r="I5521" s="382" t="n">
        <x:f>SUMIFS('Climate Data'!$H$7:$H$366,'Climate Data'!$A$7:$A$366,'Estimator'!$B$4,'Climate Data'!$B$7:$B$366,C5521)</x:f>
        <x:v>9.682010582010582</x:v>
      </x:c>
      <x:c r="J5521" s="381" t="n">
        <x:f>SUMIFS('Wind Proxy'!$H$8:$H$19,'Wind Proxy'!$A$8:$A$19,'Estimator'!$B$4,'Wind Proxy'!$B$8:$B$19,C5521)</x:f>
        <x:v>0.13757861635220128</x:v>
      </x:c>
    </x:row>
    <x:row r="5522">
      <x:c r="A5522" s="379" t="n">
        <x:v>51173</x:v>
      </x:c>
      <x:c r="B5522" s="380" t="n">
        <x:v>2040</x:v>
      </x:c>
      <x:c r="C5522" s="380" t="n">
        <x:v>2</x:v>
      </x:c>
      <x:c r="D5522" s="380" t="str">
        <x:v>Feb</x:v>
      </x:c>
      <x:c r="E5522" s="380" t="n">
        <x:v>7</x:v>
      </x:c>
      <x:c r="F5522" s="380" t="n">
        <x:v>2</x:v>
      </x:c>
      <x:c r="G5522" s="380" t="n">
        <x:f>--(F5522&lt;='Estimator'!$B$7)</x:f>
        <x:v>1</x:v>
      </x:c>
      <x:c r="H5522" s="381" t="n">
        <x:f>SUMIFS('Climate Data'!$G$7:$G$366,'Climate Data'!$A$7:$A$366,'Estimator'!$B$4,'Climate Data'!$B$7:$B$366,C5522)</x:f>
        <x:v>0.23056278464541316</x:v>
      </x:c>
      <x:c r="I5522" s="382" t="n">
        <x:f>SUMIFS('Climate Data'!$H$7:$H$366,'Climate Data'!$A$7:$A$366,'Estimator'!$B$4,'Climate Data'!$B$7:$B$366,C5522)</x:f>
        <x:v>9.682010582010582</x:v>
      </x:c>
      <x:c r="J5522" s="381" t="n">
        <x:f>SUMIFS('Wind Proxy'!$H$8:$H$19,'Wind Proxy'!$A$8:$A$19,'Estimator'!$B$4,'Wind Proxy'!$B$8:$B$19,C5522)</x:f>
        <x:v>0.13757861635220128</x:v>
      </x:c>
    </x:row>
    <x:row r="5523">
      <x:c r="A5523" s="379" t="n">
        <x:v>51174</x:v>
      </x:c>
      <x:c r="B5523" s="380" t="n">
        <x:v>2040</x:v>
      </x:c>
      <x:c r="C5523" s="380" t="n">
        <x:v>2</x:v>
      </x:c>
      <x:c r="D5523" s="380" t="str">
        <x:v>Feb</x:v>
      </x:c>
      <x:c r="E5523" s="380" t="n">
        <x:v>8</x:v>
      </x:c>
      <x:c r="F5523" s="380" t="n">
        <x:v>3</x:v>
      </x:c>
      <x:c r="G5523" s="380" t="n">
        <x:f>--(F5523&lt;='Estimator'!$B$7)</x:f>
        <x:v>1</x:v>
      </x:c>
      <x:c r="H5523" s="381" t="n">
        <x:f>SUMIFS('Climate Data'!$G$7:$G$366,'Climate Data'!$A$7:$A$366,'Estimator'!$B$4,'Climate Data'!$B$7:$B$366,C5523)</x:f>
        <x:v>0.23056278464541316</x:v>
      </x:c>
      <x:c r="I5523" s="382" t="n">
        <x:f>SUMIFS('Climate Data'!$H$7:$H$366,'Climate Data'!$A$7:$A$366,'Estimator'!$B$4,'Climate Data'!$B$7:$B$366,C5523)</x:f>
        <x:v>9.682010582010582</x:v>
      </x:c>
      <x:c r="J5523" s="381" t="n">
        <x:f>SUMIFS('Wind Proxy'!$H$8:$H$19,'Wind Proxy'!$A$8:$A$19,'Estimator'!$B$4,'Wind Proxy'!$B$8:$B$19,C5523)</x:f>
        <x:v>0.13757861635220128</x:v>
      </x:c>
    </x:row>
    <x:row r="5524">
      <x:c r="A5524" s="379" t="n">
        <x:v>51175</x:v>
      </x:c>
      <x:c r="B5524" s="380" t="n">
        <x:v>2040</x:v>
      </x:c>
      <x:c r="C5524" s="380" t="n">
        <x:v>2</x:v>
      </x:c>
      <x:c r="D5524" s="380" t="str">
        <x:v>Feb</x:v>
      </x:c>
      <x:c r="E5524" s="380" t="n">
        <x:v>9</x:v>
      </x:c>
      <x:c r="F5524" s="380" t="n">
        <x:v>4</x:v>
      </x:c>
      <x:c r="G5524" s="380" t="n">
        <x:f>--(F5524&lt;='Estimator'!$B$7)</x:f>
        <x:v>1</x:v>
      </x:c>
      <x:c r="H5524" s="381" t="n">
        <x:f>SUMIFS('Climate Data'!$G$7:$G$366,'Climate Data'!$A$7:$A$366,'Estimator'!$B$4,'Climate Data'!$B$7:$B$366,C5524)</x:f>
        <x:v>0.23056278464541316</x:v>
      </x:c>
      <x:c r="I5524" s="382" t="n">
        <x:f>SUMIFS('Climate Data'!$H$7:$H$366,'Climate Data'!$A$7:$A$366,'Estimator'!$B$4,'Climate Data'!$B$7:$B$366,C5524)</x:f>
        <x:v>9.682010582010582</x:v>
      </x:c>
      <x:c r="J5524" s="381" t="n">
        <x:f>SUMIFS('Wind Proxy'!$H$8:$H$19,'Wind Proxy'!$A$8:$A$19,'Estimator'!$B$4,'Wind Proxy'!$B$8:$B$19,C5524)</x:f>
        <x:v>0.13757861635220128</x:v>
      </x:c>
    </x:row>
    <x:row r="5525">
      <x:c r="A5525" s="379" t="n">
        <x:v>51176</x:v>
      </x:c>
      <x:c r="B5525" s="380" t="n">
        <x:v>2040</x:v>
      </x:c>
      <x:c r="C5525" s="380" t="n">
        <x:v>2</x:v>
      </x:c>
      <x:c r="D5525" s="380" t="str">
        <x:v>Feb</x:v>
      </x:c>
      <x:c r="E5525" s="380" t="n">
        <x:v>10</x:v>
      </x:c>
      <x:c r="F5525" s="380" t="n">
        <x:v>5</x:v>
      </x:c>
      <x:c r="G5525" s="380" t="n">
        <x:f>--(F5525&lt;='Estimator'!$B$7)</x:f>
        <x:v>1</x:v>
      </x:c>
      <x:c r="H5525" s="381" t="n">
        <x:f>SUMIFS('Climate Data'!$G$7:$G$366,'Climate Data'!$A$7:$A$366,'Estimator'!$B$4,'Climate Data'!$B$7:$B$366,C5525)</x:f>
        <x:v>0.23056278464541316</x:v>
      </x:c>
      <x:c r="I5525" s="382" t="n">
        <x:f>SUMIFS('Climate Data'!$H$7:$H$366,'Climate Data'!$A$7:$A$366,'Estimator'!$B$4,'Climate Data'!$B$7:$B$366,C5525)</x:f>
        <x:v>9.682010582010582</x:v>
      </x:c>
      <x:c r="J5525" s="381" t="n">
        <x:f>SUMIFS('Wind Proxy'!$H$8:$H$19,'Wind Proxy'!$A$8:$A$19,'Estimator'!$B$4,'Wind Proxy'!$B$8:$B$19,C5525)</x:f>
        <x:v>0.13757861635220128</x:v>
      </x:c>
    </x:row>
    <x:row r="5526">
      <x:c r="A5526" s="379" t="n">
        <x:v>51177</x:v>
      </x:c>
      <x:c r="B5526" s="380" t="n">
        <x:v>2040</x:v>
      </x:c>
      <x:c r="C5526" s="380" t="n">
        <x:v>2</x:v>
      </x:c>
      <x:c r="D5526" s="380" t="str">
        <x:v>Feb</x:v>
      </x:c>
      <x:c r="E5526" s="380" t="n">
        <x:v>11</x:v>
      </x:c>
      <x:c r="F5526" s="380" t="n">
        <x:v>6</x:v>
      </x:c>
      <x:c r="G5526" s="380" t="n">
        <x:f>--(F5526&lt;='Estimator'!$B$7)</x:f>
        <x:v>0</x:v>
      </x:c>
      <x:c r="H5526" s="381" t="n">
        <x:f>SUMIFS('Climate Data'!$G$7:$G$366,'Climate Data'!$A$7:$A$366,'Estimator'!$B$4,'Climate Data'!$B$7:$B$366,C5526)</x:f>
        <x:v>0.23056278464541316</x:v>
      </x:c>
      <x:c r="I5526" s="382" t="n">
        <x:f>SUMIFS('Climate Data'!$H$7:$H$366,'Climate Data'!$A$7:$A$366,'Estimator'!$B$4,'Climate Data'!$B$7:$B$366,C5526)</x:f>
        <x:v>9.682010582010582</x:v>
      </x:c>
      <x:c r="J5526" s="381" t="n">
        <x:f>SUMIFS('Wind Proxy'!$H$8:$H$19,'Wind Proxy'!$A$8:$A$19,'Estimator'!$B$4,'Wind Proxy'!$B$8:$B$19,C5526)</x:f>
        <x:v>0.13757861635220128</x:v>
      </x:c>
    </x:row>
    <x:row r="5527">
      <x:c r="A5527" s="379" t="n">
        <x:v>51178</x:v>
      </x:c>
      <x:c r="B5527" s="380" t="n">
        <x:v>2040</x:v>
      </x:c>
      <x:c r="C5527" s="380" t="n">
        <x:v>2</x:v>
      </x:c>
      <x:c r="D5527" s="380" t="str">
        <x:v>Feb</x:v>
      </x:c>
      <x:c r="E5527" s="380" t="n">
        <x:v>12</x:v>
      </x:c>
      <x:c r="F5527" s="380" t="n">
        <x:v>7</x:v>
      </x:c>
      <x:c r="G5527" s="380" t="n">
        <x:f>--(F5527&lt;='Estimator'!$B$7)</x:f>
        <x:v>0</x:v>
      </x:c>
      <x:c r="H5527" s="381" t="n">
        <x:f>SUMIFS('Climate Data'!$G$7:$G$366,'Climate Data'!$A$7:$A$366,'Estimator'!$B$4,'Climate Data'!$B$7:$B$366,C5527)</x:f>
        <x:v>0.23056278464541316</x:v>
      </x:c>
      <x:c r="I5527" s="382" t="n">
        <x:f>SUMIFS('Climate Data'!$H$7:$H$366,'Climate Data'!$A$7:$A$366,'Estimator'!$B$4,'Climate Data'!$B$7:$B$366,C5527)</x:f>
        <x:v>9.682010582010582</x:v>
      </x:c>
      <x:c r="J5527" s="381" t="n">
        <x:f>SUMIFS('Wind Proxy'!$H$8:$H$19,'Wind Proxy'!$A$8:$A$19,'Estimator'!$B$4,'Wind Proxy'!$B$8:$B$19,C5527)</x:f>
        <x:v>0.13757861635220128</x:v>
      </x:c>
    </x:row>
    <x:row r="5528">
      <x:c r="A5528" s="379" t="n">
        <x:v>51179</x:v>
      </x:c>
      <x:c r="B5528" s="380" t="n">
        <x:v>2040</x:v>
      </x:c>
      <x:c r="C5528" s="380" t="n">
        <x:v>2</x:v>
      </x:c>
      <x:c r="D5528" s="380" t="str">
        <x:v>Feb</x:v>
      </x:c>
      <x:c r="E5528" s="380" t="n">
        <x:v>13</x:v>
      </x:c>
      <x:c r="F5528" s="380" t="n">
        <x:v>1</x:v>
      </x:c>
      <x:c r="G5528" s="380" t="n">
        <x:f>--(F5528&lt;='Estimator'!$B$7)</x:f>
        <x:v>1</x:v>
      </x:c>
      <x:c r="H5528" s="381" t="n">
        <x:f>SUMIFS('Climate Data'!$G$7:$G$366,'Climate Data'!$A$7:$A$366,'Estimator'!$B$4,'Climate Data'!$B$7:$B$366,C5528)</x:f>
        <x:v>0.23056278464541316</x:v>
      </x:c>
      <x:c r="I5528" s="382" t="n">
        <x:f>SUMIFS('Climate Data'!$H$7:$H$366,'Climate Data'!$A$7:$A$366,'Estimator'!$B$4,'Climate Data'!$B$7:$B$366,C5528)</x:f>
        <x:v>9.682010582010582</x:v>
      </x:c>
      <x:c r="J5528" s="381" t="n">
        <x:f>SUMIFS('Wind Proxy'!$H$8:$H$19,'Wind Proxy'!$A$8:$A$19,'Estimator'!$B$4,'Wind Proxy'!$B$8:$B$19,C5528)</x:f>
        <x:v>0.13757861635220128</x:v>
      </x:c>
    </x:row>
    <x:row r="5529">
      <x:c r="A5529" s="379" t="n">
        <x:v>51180</x:v>
      </x:c>
      <x:c r="B5529" s="380" t="n">
        <x:v>2040</x:v>
      </x:c>
      <x:c r="C5529" s="380" t="n">
        <x:v>2</x:v>
      </x:c>
      <x:c r="D5529" s="380" t="str">
        <x:v>Feb</x:v>
      </x:c>
      <x:c r="E5529" s="380" t="n">
        <x:v>14</x:v>
      </x:c>
      <x:c r="F5529" s="380" t="n">
        <x:v>2</x:v>
      </x:c>
      <x:c r="G5529" s="380" t="n">
        <x:f>--(F5529&lt;='Estimator'!$B$7)</x:f>
        <x:v>1</x:v>
      </x:c>
      <x:c r="H5529" s="381" t="n">
        <x:f>SUMIFS('Climate Data'!$G$7:$G$366,'Climate Data'!$A$7:$A$366,'Estimator'!$B$4,'Climate Data'!$B$7:$B$366,C5529)</x:f>
        <x:v>0.23056278464541316</x:v>
      </x:c>
      <x:c r="I5529" s="382" t="n">
        <x:f>SUMIFS('Climate Data'!$H$7:$H$366,'Climate Data'!$A$7:$A$366,'Estimator'!$B$4,'Climate Data'!$B$7:$B$366,C5529)</x:f>
        <x:v>9.682010582010582</x:v>
      </x:c>
      <x:c r="J5529" s="381" t="n">
        <x:f>SUMIFS('Wind Proxy'!$H$8:$H$19,'Wind Proxy'!$A$8:$A$19,'Estimator'!$B$4,'Wind Proxy'!$B$8:$B$19,C5529)</x:f>
        <x:v>0.13757861635220128</x:v>
      </x:c>
    </x:row>
    <x:row r="5530">
      <x:c r="A5530" s="379" t="n">
        <x:v>51181</x:v>
      </x:c>
      <x:c r="B5530" s="380" t="n">
        <x:v>2040</x:v>
      </x:c>
      <x:c r="C5530" s="380" t="n">
        <x:v>2</x:v>
      </x:c>
      <x:c r="D5530" s="380" t="str">
        <x:v>Feb</x:v>
      </x:c>
      <x:c r="E5530" s="380" t="n">
        <x:v>15</x:v>
      </x:c>
      <x:c r="F5530" s="380" t="n">
        <x:v>3</x:v>
      </x:c>
      <x:c r="G5530" s="380" t="n">
        <x:f>--(F5530&lt;='Estimator'!$B$7)</x:f>
        <x:v>1</x:v>
      </x:c>
      <x:c r="H5530" s="381" t="n">
        <x:f>SUMIFS('Climate Data'!$G$7:$G$366,'Climate Data'!$A$7:$A$366,'Estimator'!$B$4,'Climate Data'!$B$7:$B$366,C5530)</x:f>
        <x:v>0.23056278464541316</x:v>
      </x:c>
      <x:c r="I5530" s="382" t="n">
        <x:f>SUMIFS('Climate Data'!$H$7:$H$366,'Climate Data'!$A$7:$A$366,'Estimator'!$B$4,'Climate Data'!$B$7:$B$366,C5530)</x:f>
        <x:v>9.682010582010582</x:v>
      </x:c>
      <x:c r="J5530" s="381" t="n">
        <x:f>SUMIFS('Wind Proxy'!$H$8:$H$19,'Wind Proxy'!$A$8:$A$19,'Estimator'!$B$4,'Wind Proxy'!$B$8:$B$19,C5530)</x:f>
        <x:v>0.13757861635220128</x:v>
      </x:c>
    </x:row>
    <x:row r="5531">
      <x:c r="A5531" s="379" t="n">
        <x:v>51182</x:v>
      </x:c>
      <x:c r="B5531" s="380" t="n">
        <x:v>2040</x:v>
      </x:c>
      <x:c r="C5531" s="380" t="n">
        <x:v>2</x:v>
      </x:c>
      <x:c r="D5531" s="380" t="str">
        <x:v>Feb</x:v>
      </x:c>
      <x:c r="E5531" s="380" t="n">
        <x:v>16</x:v>
      </x:c>
      <x:c r="F5531" s="380" t="n">
        <x:v>4</x:v>
      </x:c>
      <x:c r="G5531" s="380" t="n">
        <x:f>--(F5531&lt;='Estimator'!$B$7)</x:f>
        <x:v>1</x:v>
      </x:c>
      <x:c r="H5531" s="381" t="n">
        <x:f>SUMIFS('Climate Data'!$G$7:$G$366,'Climate Data'!$A$7:$A$366,'Estimator'!$B$4,'Climate Data'!$B$7:$B$366,C5531)</x:f>
        <x:v>0.23056278464541316</x:v>
      </x:c>
      <x:c r="I5531" s="382" t="n">
        <x:f>SUMIFS('Climate Data'!$H$7:$H$366,'Climate Data'!$A$7:$A$366,'Estimator'!$B$4,'Climate Data'!$B$7:$B$366,C5531)</x:f>
        <x:v>9.682010582010582</x:v>
      </x:c>
      <x:c r="J5531" s="381" t="n">
        <x:f>SUMIFS('Wind Proxy'!$H$8:$H$19,'Wind Proxy'!$A$8:$A$19,'Estimator'!$B$4,'Wind Proxy'!$B$8:$B$19,C5531)</x:f>
        <x:v>0.13757861635220128</x:v>
      </x:c>
    </x:row>
    <x:row r="5532">
      <x:c r="A5532" s="379" t="n">
        <x:v>51183</x:v>
      </x:c>
      <x:c r="B5532" s="380" t="n">
        <x:v>2040</x:v>
      </x:c>
      <x:c r="C5532" s="380" t="n">
        <x:v>2</x:v>
      </x:c>
      <x:c r="D5532" s="380" t="str">
        <x:v>Feb</x:v>
      </x:c>
      <x:c r="E5532" s="380" t="n">
        <x:v>17</x:v>
      </x:c>
      <x:c r="F5532" s="380" t="n">
        <x:v>5</x:v>
      </x:c>
      <x:c r="G5532" s="380" t="n">
        <x:f>--(F5532&lt;='Estimator'!$B$7)</x:f>
        <x:v>1</x:v>
      </x:c>
      <x:c r="H5532" s="381" t="n">
        <x:f>SUMIFS('Climate Data'!$G$7:$G$366,'Climate Data'!$A$7:$A$366,'Estimator'!$B$4,'Climate Data'!$B$7:$B$366,C5532)</x:f>
        <x:v>0.23056278464541316</x:v>
      </x:c>
      <x:c r="I5532" s="382" t="n">
        <x:f>SUMIFS('Climate Data'!$H$7:$H$366,'Climate Data'!$A$7:$A$366,'Estimator'!$B$4,'Climate Data'!$B$7:$B$366,C5532)</x:f>
        <x:v>9.682010582010582</x:v>
      </x:c>
      <x:c r="J5532" s="381" t="n">
        <x:f>SUMIFS('Wind Proxy'!$H$8:$H$19,'Wind Proxy'!$A$8:$A$19,'Estimator'!$B$4,'Wind Proxy'!$B$8:$B$19,C5532)</x:f>
        <x:v>0.13757861635220128</x:v>
      </x:c>
    </x:row>
    <x:row r="5533">
      <x:c r="A5533" s="379" t="n">
        <x:v>51184</x:v>
      </x:c>
      <x:c r="B5533" s="380" t="n">
        <x:v>2040</x:v>
      </x:c>
      <x:c r="C5533" s="380" t="n">
        <x:v>2</x:v>
      </x:c>
      <x:c r="D5533" s="380" t="str">
        <x:v>Feb</x:v>
      </x:c>
      <x:c r="E5533" s="380" t="n">
        <x:v>18</x:v>
      </x:c>
      <x:c r="F5533" s="380" t="n">
        <x:v>6</x:v>
      </x:c>
      <x:c r="G5533" s="380" t="n">
        <x:f>--(F5533&lt;='Estimator'!$B$7)</x:f>
        <x:v>0</x:v>
      </x:c>
      <x:c r="H5533" s="381" t="n">
        <x:f>SUMIFS('Climate Data'!$G$7:$G$366,'Climate Data'!$A$7:$A$366,'Estimator'!$B$4,'Climate Data'!$B$7:$B$366,C5533)</x:f>
        <x:v>0.23056278464541316</x:v>
      </x:c>
      <x:c r="I5533" s="382" t="n">
        <x:f>SUMIFS('Climate Data'!$H$7:$H$366,'Climate Data'!$A$7:$A$366,'Estimator'!$B$4,'Climate Data'!$B$7:$B$366,C5533)</x:f>
        <x:v>9.682010582010582</x:v>
      </x:c>
      <x:c r="J5533" s="381" t="n">
        <x:f>SUMIFS('Wind Proxy'!$H$8:$H$19,'Wind Proxy'!$A$8:$A$19,'Estimator'!$B$4,'Wind Proxy'!$B$8:$B$19,C5533)</x:f>
        <x:v>0.13757861635220128</x:v>
      </x:c>
    </x:row>
    <x:row r="5534">
      <x:c r="A5534" s="379" t="n">
        <x:v>51185</x:v>
      </x:c>
      <x:c r="B5534" s="380" t="n">
        <x:v>2040</x:v>
      </x:c>
      <x:c r="C5534" s="380" t="n">
        <x:v>2</x:v>
      </x:c>
      <x:c r="D5534" s="380" t="str">
        <x:v>Feb</x:v>
      </x:c>
      <x:c r="E5534" s="380" t="n">
        <x:v>19</x:v>
      </x:c>
      <x:c r="F5534" s="380" t="n">
        <x:v>7</x:v>
      </x:c>
      <x:c r="G5534" s="380" t="n">
        <x:f>--(F5534&lt;='Estimator'!$B$7)</x:f>
        <x:v>0</x:v>
      </x:c>
      <x:c r="H5534" s="381" t="n">
        <x:f>SUMIFS('Climate Data'!$G$7:$G$366,'Climate Data'!$A$7:$A$366,'Estimator'!$B$4,'Climate Data'!$B$7:$B$366,C5534)</x:f>
        <x:v>0.23056278464541316</x:v>
      </x:c>
      <x:c r="I5534" s="382" t="n">
        <x:f>SUMIFS('Climate Data'!$H$7:$H$366,'Climate Data'!$A$7:$A$366,'Estimator'!$B$4,'Climate Data'!$B$7:$B$366,C5534)</x:f>
        <x:v>9.682010582010582</x:v>
      </x:c>
      <x:c r="J5534" s="381" t="n">
        <x:f>SUMIFS('Wind Proxy'!$H$8:$H$19,'Wind Proxy'!$A$8:$A$19,'Estimator'!$B$4,'Wind Proxy'!$B$8:$B$19,C5534)</x:f>
        <x:v>0.13757861635220128</x:v>
      </x:c>
    </x:row>
    <x:row r="5535">
      <x:c r="A5535" s="379" t="n">
        <x:v>51186</x:v>
      </x:c>
      <x:c r="B5535" s="380" t="n">
        <x:v>2040</x:v>
      </x:c>
      <x:c r="C5535" s="380" t="n">
        <x:v>2</x:v>
      </x:c>
      <x:c r="D5535" s="380" t="str">
        <x:v>Feb</x:v>
      </x:c>
      <x:c r="E5535" s="380" t="n">
        <x:v>20</x:v>
      </x:c>
      <x:c r="F5535" s="380" t="n">
        <x:v>1</x:v>
      </x:c>
      <x:c r="G5535" s="380" t="n">
        <x:f>--(F5535&lt;='Estimator'!$B$7)</x:f>
        <x:v>1</x:v>
      </x:c>
      <x:c r="H5535" s="381" t="n">
        <x:f>SUMIFS('Climate Data'!$G$7:$G$366,'Climate Data'!$A$7:$A$366,'Estimator'!$B$4,'Climate Data'!$B$7:$B$366,C5535)</x:f>
        <x:v>0.23056278464541316</x:v>
      </x:c>
      <x:c r="I5535" s="382" t="n">
        <x:f>SUMIFS('Climate Data'!$H$7:$H$366,'Climate Data'!$A$7:$A$366,'Estimator'!$B$4,'Climate Data'!$B$7:$B$366,C5535)</x:f>
        <x:v>9.682010582010582</x:v>
      </x:c>
      <x:c r="J5535" s="381" t="n">
        <x:f>SUMIFS('Wind Proxy'!$H$8:$H$19,'Wind Proxy'!$A$8:$A$19,'Estimator'!$B$4,'Wind Proxy'!$B$8:$B$19,C5535)</x:f>
        <x:v>0.13757861635220128</x:v>
      </x:c>
    </x:row>
    <x:row r="5536">
      <x:c r="A5536" s="379" t="n">
        <x:v>51187</x:v>
      </x:c>
      <x:c r="B5536" s="380" t="n">
        <x:v>2040</x:v>
      </x:c>
      <x:c r="C5536" s="380" t="n">
        <x:v>2</x:v>
      </x:c>
      <x:c r="D5536" s="380" t="str">
        <x:v>Feb</x:v>
      </x:c>
      <x:c r="E5536" s="380" t="n">
        <x:v>21</x:v>
      </x:c>
      <x:c r="F5536" s="380" t="n">
        <x:v>2</x:v>
      </x:c>
      <x:c r="G5536" s="380" t="n">
        <x:f>--(F5536&lt;='Estimator'!$B$7)</x:f>
        <x:v>1</x:v>
      </x:c>
      <x:c r="H5536" s="381" t="n">
        <x:f>SUMIFS('Climate Data'!$G$7:$G$366,'Climate Data'!$A$7:$A$366,'Estimator'!$B$4,'Climate Data'!$B$7:$B$366,C5536)</x:f>
        <x:v>0.23056278464541316</x:v>
      </x:c>
      <x:c r="I5536" s="382" t="n">
        <x:f>SUMIFS('Climate Data'!$H$7:$H$366,'Climate Data'!$A$7:$A$366,'Estimator'!$B$4,'Climate Data'!$B$7:$B$366,C5536)</x:f>
        <x:v>9.682010582010582</x:v>
      </x:c>
      <x:c r="J5536" s="381" t="n">
        <x:f>SUMIFS('Wind Proxy'!$H$8:$H$19,'Wind Proxy'!$A$8:$A$19,'Estimator'!$B$4,'Wind Proxy'!$B$8:$B$19,C5536)</x:f>
        <x:v>0.13757861635220128</x:v>
      </x:c>
    </x:row>
    <x:row r="5537">
      <x:c r="A5537" s="379" t="n">
        <x:v>51188</x:v>
      </x:c>
      <x:c r="B5537" s="380" t="n">
        <x:v>2040</x:v>
      </x:c>
      <x:c r="C5537" s="380" t="n">
        <x:v>2</x:v>
      </x:c>
      <x:c r="D5537" s="380" t="str">
        <x:v>Feb</x:v>
      </x:c>
      <x:c r="E5537" s="380" t="n">
        <x:v>22</x:v>
      </x:c>
      <x:c r="F5537" s="380" t="n">
        <x:v>3</x:v>
      </x:c>
      <x:c r="G5537" s="380" t="n">
        <x:f>--(F5537&lt;='Estimator'!$B$7)</x:f>
        <x:v>1</x:v>
      </x:c>
      <x:c r="H5537" s="381" t="n">
        <x:f>SUMIFS('Climate Data'!$G$7:$G$366,'Climate Data'!$A$7:$A$366,'Estimator'!$B$4,'Climate Data'!$B$7:$B$366,C5537)</x:f>
        <x:v>0.23056278464541316</x:v>
      </x:c>
      <x:c r="I5537" s="382" t="n">
        <x:f>SUMIFS('Climate Data'!$H$7:$H$366,'Climate Data'!$A$7:$A$366,'Estimator'!$B$4,'Climate Data'!$B$7:$B$366,C5537)</x:f>
        <x:v>9.682010582010582</x:v>
      </x:c>
      <x:c r="J5537" s="381" t="n">
        <x:f>SUMIFS('Wind Proxy'!$H$8:$H$19,'Wind Proxy'!$A$8:$A$19,'Estimator'!$B$4,'Wind Proxy'!$B$8:$B$19,C5537)</x:f>
        <x:v>0.13757861635220128</x:v>
      </x:c>
    </x:row>
    <x:row r="5538">
      <x:c r="A5538" s="379" t="n">
        <x:v>51189</x:v>
      </x:c>
      <x:c r="B5538" s="380" t="n">
        <x:v>2040</x:v>
      </x:c>
      <x:c r="C5538" s="380" t="n">
        <x:v>2</x:v>
      </x:c>
      <x:c r="D5538" s="380" t="str">
        <x:v>Feb</x:v>
      </x:c>
      <x:c r="E5538" s="380" t="n">
        <x:v>23</x:v>
      </x:c>
      <x:c r="F5538" s="380" t="n">
        <x:v>4</x:v>
      </x:c>
      <x:c r="G5538" s="380" t="n">
        <x:f>--(F5538&lt;='Estimator'!$B$7)</x:f>
        <x:v>1</x:v>
      </x:c>
      <x:c r="H5538" s="381" t="n">
        <x:f>SUMIFS('Climate Data'!$G$7:$G$366,'Climate Data'!$A$7:$A$366,'Estimator'!$B$4,'Climate Data'!$B$7:$B$366,C5538)</x:f>
        <x:v>0.23056278464541316</x:v>
      </x:c>
      <x:c r="I5538" s="382" t="n">
        <x:f>SUMIFS('Climate Data'!$H$7:$H$366,'Climate Data'!$A$7:$A$366,'Estimator'!$B$4,'Climate Data'!$B$7:$B$366,C5538)</x:f>
        <x:v>9.682010582010582</x:v>
      </x:c>
      <x:c r="J5538" s="381" t="n">
        <x:f>SUMIFS('Wind Proxy'!$H$8:$H$19,'Wind Proxy'!$A$8:$A$19,'Estimator'!$B$4,'Wind Proxy'!$B$8:$B$19,C5538)</x:f>
        <x:v>0.13757861635220128</x:v>
      </x:c>
    </x:row>
    <x:row r="5539">
      <x:c r="A5539" s="379" t="n">
        <x:v>51190</x:v>
      </x:c>
      <x:c r="B5539" s="380" t="n">
        <x:v>2040</x:v>
      </x:c>
      <x:c r="C5539" s="380" t="n">
        <x:v>2</x:v>
      </x:c>
      <x:c r="D5539" s="380" t="str">
        <x:v>Feb</x:v>
      </x:c>
      <x:c r="E5539" s="380" t="n">
        <x:v>24</x:v>
      </x:c>
      <x:c r="F5539" s="380" t="n">
        <x:v>5</x:v>
      </x:c>
      <x:c r="G5539" s="380" t="n">
        <x:f>--(F5539&lt;='Estimator'!$B$7)</x:f>
        <x:v>1</x:v>
      </x:c>
      <x:c r="H5539" s="381" t="n">
        <x:f>SUMIFS('Climate Data'!$G$7:$G$366,'Climate Data'!$A$7:$A$366,'Estimator'!$B$4,'Climate Data'!$B$7:$B$366,C5539)</x:f>
        <x:v>0.23056278464541316</x:v>
      </x:c>
      <x:c r="I5539" s="382" t="n">
        <x:f>SUMIFS('Climate Data'!$H$7:$H$366,'Climate Data'!$A$7:$A$366,'Estimator'!$B$4,'Climate Data'!$B$7:$B$366,C5539)</x:f>
        <x:v>9.682010582010582</x:v>
      </x:c>
      <x:c r="J5539" s="381" t="n">
        <x:f>SUMIFS('Wind Proxy'!$H$8:$H$19,'Wind Proxy'!$A$8:$A$19,'Estimator'!$B$4,'Wind Proxy'!$B$8:$B$19,C5539)</x:f>
        <x:v>0.13757861635220128</x:v>
      </x:c>
    </x:row>
    <x:row r="5540">
      <x:c r="A5540" s="379" t="n">
        <x:v>51191</x:v>
      </x:c>
      <x:c r="B5540" s="380" t="n">
        <x:v>2040</x:v>
      </x:c>
      <x:c r="C5540" s="380" t="n">
        <x:v>2</x:v>
      </x:c>
      <x:c r="D5540" s="380" t="str">
        <x:v>Feb</x:v>
      </x:c>
      <x:c r="E5540" s="380" t="n">
        <x:v>25</x:v>
      </x:c>
      <x:c r="F5540" s="380" t="n">
        <x:v>6</x:v>
      </x:c>
      <x:c r="G5540" s="380" t="n">
        <x:f>--(F5540&lt;='Estimator'!$B$7)</x:f>
        <x:v>0</x:v>
      </x:c>
      <x:c r="H5540" s="381" t="n">
        <x:f>SUMIFS('Climate Data'!$G$7:$G$366,'Climate Data'!$A$7:$A$366,'Estimator'!$B$4,'Climate Data'!$B$7:$B$366,C5540)</x:f>
        <x:v>0.23056278464541316</x:v>
      </x:c>
      <x:c r="I5540" s="382" t="n">
        <x:f>SUMIFS('Climate Data'!$H$7:$H$366,'Climate Data'!$A$7:$A$366,'Estimator'!$B$4,'Climate Data'!$B$7:$B$366,C5540)</x:f>
        <x:v>9.682010582010582</x:v>
      </x:c>
      <x:c r="J5540" s="381" t="n">
        <x:f>SUMIFS('Wind Proxy'!$H$8:$H$19,'Wind Proxy'!$A$8:$A$19,'Estimator'!$B$4,'Wind Proxy'!$B$8:$B$19,C5540)</x:f>
        <x:v>0.13757861635220128</x:v>
      </x:c>
    </x:row>
    <x:row r="5541">
      <x:c r="A5541" s="379" t="n">
        <x:v>51192</x:v>
      </x:c>
      <x:c r="B5541" s="380" t="n">
        <x:v>2040</x:v>
      </x:c>
      <x:c r="C5541" s="380" t="n">
        <x:v>2</x:v>
      </x:c>
      <x:c r="D5541" s="380" t="str">
        <x:v>Feb</x:v>
      </x:c>
      <x:c r="E5541" s="380" t="n">
        <x:v>26</x:v>
      </x:c>
      <x:c r="F5541" s="380" t="n">
        <x:v>7</x:v>
      </x:c>
      <x:c r="G5541" s="380" t="n">
        <x:f>--(F5541&lt;='Estimator'!$B$7)</x:f>
        <x:v>0</x:v>
      </x:c>
      <x:c r="H5541" s="381" t="n">
        <x:f>SUMIFS('Climate Data'!$G$7:$G$366,'Climate Data'!$A$7:$A$366,'Estimator'!$B$4,'Climate Data'!$B$7:$B$366,C5541)</x:f>
        <x:v>0.23056278464541316</x:v>
      </x:c>
      <x:c r="I5541" s="382" t="n">
        <x:f>SUMIFS('Climate Data'!$H$7:$H$366,'Climate Data'!$A$7:$A$366,'Estimator'!$B$4,'Climate Data'!$B$7:$B$366,C5541)</x:f>
        <x:v>9.682010582010582</x:v>
      </x:c>
      <x:c r="J5541" s="381" t="n">
        <x:f>SUMIFS('Wind Proxy'!$H$8:$H$19,'Wind Proxy'!$A$8:$A$19,'Estimator'!$B$4,'Wind Proxy'!$B$8:$B$19,C5541)</x:f>
        <x:v>0.13757861635220128</x:v>
      </x:c>
    </x:row>
    <x:row r="5542">
      <x:c r="A5542" s="379" t="n">
        <x:v>51193</x:v>
      </x:c>
      <x:c r="B5542" s="380" t="n">
        <x:v>2040</x:v>
      </x:c>
      <x:c r="C5542" s="380" t="n">
        <x:v>2</x:v>
      </x:c>
      <x:c r="D5542" s="380" t="str">
        <x:v>Feb</x:v>
      </x:c>
      <x:c r="E5542" s="380" t="n">
        <x:v>27</x:v>
      </x:c>
      <x:c r="F5542" s="380" t="n">
        <x:v>1</x:v>
      </x:c>
      <x:c r="G5542" s="380" t="n">
        <x:f>--(F5542&lt;='Estimator'!$B$7)</x:f>
        <x:v>1</x:v>
      </x:c>
      <x:c r="H5542" s="381" t="n">
        <x:f>SUMIFS('Climate Data'!$G$7:$G$366,'Climate Data'!$A$7:$A$366,'Estimator'!$B$4,'Climate Data'!$B$7:$B$366,C5542)</x:f>
        <x:v>0.23056278464541316</x:v>
      </x:c>
      <x:c r="I5542" s="382" t="n">
        <x:f>SUMIFS('Climate Data'!$H$7:$H$366,'Climate Data'!$A$7:$A$366,'Estimator'!$B$4,'Climate Data'!$B$7:$B$366,C5542)</x:f>
        <x:v>9.682010582010582</x:v>
      </x:c>
      <x:c r="J5542" s="381" t="n">
        <x:f>SUMIFS('Wind Proxy'!$H$8:$H$19,'Wind Proxy'!$A$8:$A$19,'Estimator'!$B$4,'Wind Proxy'!$B$8:$B$19,C5542)</x:f>
        <x:v>0.13757861635220128</x:v>
      </x:c>
    </x:row>
    <x:row r="5543">
      <x:c r="A5543" s="379" t="n">
        <x:v>51194</x:v>
      </x:c>
      <x:c r="B5543" s="380" t="n">
        <x:v>2040</x:v>
      </x:c>
      <x:c r="C5543" s="380" t="n">
        <x:v>2</x:v>
      </x:c>
      <x:c r="D5543" s="380" t="str">
        <x:v>Feb</x:v>
      </x:c>
      <x:c r="E5543" s="380" t="n">
        <x:v>28</x:v>
      </x:c>
      <x:c r="F5543" s="380" t="n">
        <x:v>2</x:v>
      </x:c>
      <x:c r="G5543" s="380" t="n">
        <x:f>--(F5543&lt;='Estimator'!$B$7)</x:f>
        <x:v>1</x:v>
      </x:c>
      <x:c r="H5543" s="381" t="n">
        <x:f>SUMIFS('Climate Data'!$G$7:$G$366,'Climate Data'!$A$7:$A$366,'Estimator'!$B$4,'Climate Data'!$B$7:$B$366,C5543)</x:f>
        <x:v>0.23056278464541316</x:v>
      </x:c>
      <x:c r="I5543" s="382" t="n">
        <x:f>SUMIFS('Climate Data'!$H$7:$H$366,'Climate Data'!$A$7:$A$366,'Estimator'!$B$4,'Climate Data'!$B$7:$B$366,C5543)</x:f>
        <x:v>9.682010582010582</x:v>
      </x:c>
      <x:c r="J5543" s="381" t="n">
        <x:f>SUMIFS('Wind Proxy'!$H$8:$H$19,'Wind Proxy'!$A$8:$A$19,'Estimator'!$B$4,'Wind Proxy'!$B$8:$B$19,C5543)</x:f>
        <x:v>0.13757861635220128</x:v>
      </x:c>
    </x:row>
    <x:row r="5544">
      <x:c r="A5544" s="379" t="n">
        <x:v>51195</x:v>
      </x:c>
      <x:c r="B5544" s="380" t="n">
        <x:v>2040</x:v>
      </x:c>
      <x:c r="C5544" s="380" t="n">
        <x:v>2</x:v>
      </x:c>
      <x:c r="D5544" s="380" t="str">
        <x:v>Feb</x:v>
      </x:c>
      <x:c r="E5544" s="380" t="n">
        <x:v>29</x:v>
      </x:c>
      <x:c r="F5544" s="380" t="n">
        <x:v>3</x:v>
      </x:c>
      <x:c r="G5544" s="380" t="n">
        <x:f>--(F5544&lt;='Estimator'!$B$7)</x:f>
        <x:v>1</x:v>
      </x:c>
      <x:c r="H5544" s="381" t="n">
        <x:f>SUMIFS('Climate Data'!$G$7:$G$366,'Climate Data'!$A$7:$A$366,'Estimator'!$B$4,'Climate Data'!$B$7:$B$366,C5544)</x:f>
        <x:v>0.23056278464541316</x:v>
      </x:c>
      <x:c r="I5544" s="382" t="n">
        <x:f>SUMIFS('Climate Data'!$H$7:$H$366,'Climate Data'!$A$7:$A$366,'Estimator'!$B$4,'Climate Data'!$B$7:$B$366,C5544)</x:f>
        <x:v>9.682010582010582</x:v>
      </x:c>
      <x:c r="J5544" s="381" t="n">
        <x:f>SUMIFS('Wind Proxy'!$H$8:$H$19,'Wind Proxy'!$A$8:$A$19,'Estimator'!$B$4,'Wind Proxy'!$B$8:$B$19,C5544)</x:f>
        <x:v>0.13757861635220128</x:v>
      </x:c>
    </x:row>
    <x:row r="5545">
      <x:c r="A5545" s="379" t="n">
        <x:v>51196</x:v>
      </x:c>
      <x:c r="B5545" s="380" t="n">
        <x:v>2040</x:v>
      </x:c>
      <x:c r="C5545" s="380" t="n">
        <x:v>3</x:v>
      </x:c>
      <x:c r="D5545" s="380" t="str">
        <x:v>Mar</x:v>
      </x:c>
      <x:c r="E5545" s="380" t="n">
        <x:v>1</x:v>
      </x:c>
      <x:c r="F5545" s="380" t="n">
        <x:v>4</x:v>
      </x:c>
      <x:c r="G5545" s="380" t="n">
        <x:f>--(F5545&lt;='Estimator'!$B$7)</x:f>
        <x:v>1</x:v>
      </x:c>
      <x:c r="H5545" s="381" t="n">
        <x:f>SUMIFS('Climate Data'!$G$7:$G$366,'Climate Data'!$A$7:$A$366,'Estimator'!$B$4,'Climate Data'!$B$7:$B$366,C5545)</x:f>
        <x:v>0.24916573971078979</x:v>
      </x:c>
      <x:c r="I5545" s="382" t="n">
        <x:f>SUMIFS('Climate Data'!$H$7:$H$366,'Climate Data'!$A$7:$A$366,'Estimator'!$B$4,'Climate Data'!$B$7:$B$366,C5545)</x:f>
        <x:v>9.709821428571429</x:v>
      </x:c>
      <x:c r="J5545" s="381" t="n">
        <x:f>SUMIFS('Wind Proxy'!$H$8:$H$19,'Wind Proxy'!$A$8:$A$19,'Estimator'!$B$4,'Wind Proxy'!$B$8:$B$19,C5545)</x:f>
        <x:v>0.11350059737156513</x:v>
      </x:c>
    </x:row>
    <x:row r="5546">
      <x:c r="A5546" s="379" t="n">
        <x:v>51197</x:v>
      </x:c>
      <x:c r="B5546" s="380" t="n">
        <x:v>2040</x:v>
      </x:c>
      <x:c r="C5546" s="380" t="n">
        <x:v>3</x:v>
      </x:c>
      <x:c r="D5546" s="380" t="str">
        <x:v>Mar</x:v>
      </x:c>
      <x:c r="E5546" s="380" t="n">
        <x:v>2</x:v>
      </x:c>
      <x:c r="F5546" s="380" t="n">
        <x:v>5</x:v>
      </x:c>
      <x:c r="G5546" s="380" t="n">
        <x:f>--(F5546&lt;='Estimator'!$B$7)</x:f>
        <x:v>1</x:v>
      </x:c>
      <x:c r="H5546" s="381" t="n">
        <x:f>SUMIFS('Climate Data'!$G$7:$G$366,'Climate Data'!$A$7:$A$366,'Estimator'!$B$4,'Climate Data'!$B$7:$B$366,C5546)</x:f>
        <x:v>0.24916573971078979</x:v>
      </x:c>
      <x:c r="I5546" s="382" t="n">
        <x:f>SUMIFS('Climate Data'!$H$7:$H$366,'Climate Data'!$A$7:$A$366,'Estimator'!$B$4,'Climate Data'!$B$7:$B$366,C5546)</x:f>
        <x:v>9.709821428571429</x:v>
      </x:c>
      <x:c r="J5546" s="381" t="n">
        <x:f>SUMIFS('Wind Proxy'!$H$8:$H$19,'Wind Proxy'!$A$8:$A$19,'Estimator'!$B$4,'Wind Proxy'!$B$8:$B$19,C5546)</x:f>
        <x:v>0.11350059737156513</x:v>
      </x:c>
    </x:row>
    <x:row r="5547">
      <x:c r="A5547" s="379" t="n">
        <x:v>51198</x:v>
      </x:c>
      <x:c r="B5547" s="380" t="n">
        <x:v>2040</x:v>
      </x:c>
      <x:c r="C5547" s="380" t="n">
        <x:v>3</x:v>
      </x:c>
      <x:c r="D5547" s="380" t="str">
        <x:v>Mar</x:v>
      </x:c>
      <x:c r="E5547" s="380" t="n">
        <x:v>3</x:v>
      </x:c>
      <x:c r="F5547" s="380" t="n">
        <x:v>6</x:v>
      </x:c>
      <x:c r="G5547" s="380" t="n">
        <x:f>--(F5547&lt;='Estimator'!$B$7)</x:f>
        <x:v>0</x:v>
      </x:c>
      <x:c r="H5547" s="381" t="n">
        <x:f>SUMIFS('Climate Data'!$G$7:$G$366,'Climate Data'!$A$7:$A$366,'Estimator'!$B$4,'Climate Data'!$B$7:$B$366,C5547)</x:f>
        <x:v>0.24916573971078979</x:v>
      </x:c>
      <x:c r="I5547" s="382" t="n">
        <x:f>SUMIFS('Climate Data'!$H$7:$H$366,'Climate Data'!$A$7:$A$366,'Estimator'!$B$4,'Climate Data'!$B$7:$B$366,C5547)</x:f>
        <x:v>9.709821428571429</x:v>
      </x:c>
      <x:c r="J5547" s="381" t="n">
        <x:f>SUMIFS('Wind Proxy'!$H$8:$H$19,'Wind Proxy'!$A$8:$A$19,'Estimator'!$B$4,'Wind Proxy'!$B$8:$B$19,C5547)</x:f>
        <x:v>0.11350059737156513</x:v>
      </x:c>
    </x:row>
    <x:row r="5548">
      <x:c r="A5548" s="379" t="n">
        <x:v>51199</x:v>
      </x:c>
      <x:c r="B5548" s="380" t="n">
        <x:v>2040</x:v>
      </x:c>
      <x:c r="C5548" s="380" t="n">
        <x:v>3</x:v>
      </x:c>
      <x:c r="D5548" s="380" t="str">
        <x:v>Mar</x:v>
      </x:c>
      <x:c r="E5548" s="380" t="n">
        <x:v>4</x:v>
      </x:c>
      <x:c r="F5548" s="380" t="n">
        <x:v>7</x:v>
      </x:c>
      <x:c r="G5548" s="380" t="n">
        <x:f>--(F5548&lt;='Estimator'!$B$7)</x:f>
        <x:v>0</x:v>
      </x:c>
      <x:c r="H5548" s="381" t="n">
        <x:f>SUMIFS('Climate Data'!$G$7:$G$366,'Climate Data'!$A$7:$A$366,'Estimator'!$B$4,'Climate Data'!$B$7:$B$366,C5548)</x:f>
        <x:v>0.24916573971078979</x:v>
      </x:c>
      <x:c r="I5548" s="382" t="n">
        <x:f>SUMIFS('Climate Data'!$H$7:$H$366,'Climate Data'!$A$7:$A$366,'Estimator'!$B$4,'Climate Data'!$B$7:$B$366,C5548)</x:f>
        <x:v>9.709821428571429</x:v>
      </x:c>
      <x:c r="J5548" s="381" t="n">
        <x:f>SUMIFS('Wind Proxy'!$H$8:$H$19,'Wind Proxy'!$A$8:$A$19,'Estimator'!$B$4,'Wind Proxy'!$B$8:$B$19,C5548)</x:f>
        <x:v>0.11350059737156513</x:v>
      </x:c>
    </x:row>
    <x:row r="5549">
      <x:c r="A5549" s="379" t="n">
        <x:v>51200</x:v>
      </x:c>
      <x:c r="B5549" s="380" t="n">
        <x:v>2040</x:v>
      </x:c>
      <x:c r="C5549" s="380" t="n">
        <x:v>3</x:v>
      </x:c>
      <x:c r="D5549" s="380" t="str">
        <x:v>Mar</x:v>
      </x:c>
      <x:c r="E5549" s="380" t="n">
        <x:v>5</x:v>
      </x:c>
      <x:c r="F5549" s="380" t="n">
        <x:v>1</x:v>
      </x:c>
      <x:c r="G5549" s="380" t="n">
        <x:f>--(F5549&lt;='Estimator'!$B$7)</x:f>
        <x:v>1</x:v>
      </x:c>
      <x:c r="H5549" s="381" t="n">
        <x:f>SUMIFS('Climate Data'!$G$7:$G$366,'Climate Data'!$A$7:$A$366,'Estimator'!$B$4,'Climate Data'!$B$7:$B$366,C5549)</x:f>
        <x:v>0.24916573971078979</x:v>
      </x:c>
      <x:c r="I5549" s="382" t="n">
        <x:f>SUMIFS('Climate Data'!$H$7:$H$366,'Climate Data'!$A$7:$A$366,'Estimator'!$B$4,'Climate Data'!$B$7:$B$366,C5549)</x:f>
        <x:v>9.709821428571429</x:v>
      </x:c>
      <x:c r="J5549" s="381" t="n">
        <x:f>SUMIFS('Wind Proxy'!$H$8:$H$19,'Wind Proxy'!$A$8:$A$19,'Estimator'!$B$4,'Wind Proxy'!$B$8:$B$19,C5549)</x:f>
        <x:v>0.11350059737156513</x:v>
      </x:c>
    </x:row>
    <x:row r="5550">
      <x:c r="A5550" s="379" t="n">
        <x:v>51201</x:v>
      </x:c>
      <x:c r="B5550" s="380" t="n">
        <x:v>2040</x:v>
      </x:c>
      <x:c r="C5550" s="380" t="n">
        <x:v>3</x:v>
      </x:c>
      <x:c r="D5550" s="380" t="str">
        <x:v>Mar</x:v>
      </x:c>
      <x:c r="E5550" s="380" t="n">
        <x:v>6</x:v>
      </x:c>
      <x:c r="F5550" s="380" t="n">
        <x:v>2</x:v>
      </x:c>
      <x:c r="G5550" s="380" t="n">
        <x:f>--(F5550&lt;='Estimator'!$B$7)</x:f>
        <x:v>1</x:v>
      </x:c>
      <x:c r="H5550" s="381" t="n">
        <x:f>SUMIFS('Climate Data'!$G$7:$G$366,'Climate Data'!$A$7:$A$366,'Estimator'!$B$4,'Climate Data'!$B$7:$B$366,C5550)</x:f>
        <x:v>0.24916573971078979</x:v>
      </x:c>
      <x:c r="I5550" s="382" t="n">
        <x:f>SUMIFS('Climate Data'!$H$7:$H$366,'Climate Data'!$A$7:$A$366,'Estimator'!$B$4,'Climate Data'!$B$7:$B$366,C5550)</x:f>
        <x:v>9.709821428571429</x:v>
      </x:c>
      <x:c r="J5550" s="381" t="n">
        <x:f>SUMIFS('Wind Proxy'!$H$8:$H$19,'Wind Proxy'!$A$8:$A$19,'Estimator'!$B$4,'Wind Proxy'!$B$8:$B$19,C5550)</x:f>
        <x:v>0.11350059737156513</x:v>
      </x:c>
    </x:row>
    <x:row r="5551">
      <x:c r="A5551" s="379" t="n">
        <x:v>51202</x:v>
      </x:c>
      <x:c r="B5551" s="380" t="n">
        <x:v>2040</x:v>
      </x:c>
      <x:c r="C5551" s="380" t="n">
        <x:v>3</x:v>
      </x:c>
      <x:c r="D5551" s="380" t="str">
        <x:v>Mar</x:v>
      </x:c>
      <x:c r="E5551" s="380" t="n">
        <x:v>7</x:v>
      </x:c>
      <x:c r="F5551" s="380" t="n">
        <x:v>3</x:v>
      </x:c>
      <x:c r="G5551" s="380" t="n">
        <x:f>--(F5551&lt;='Estimator'!$B$7)</x:f>
        <x:v>1</x:v>
      </x:c>
      <x:c r="H5551" s="381" t="n">
        <x:f>SUMIFS('Climate Data'!$G$7:$G$366,'Climate Data'!$A$7:$A$366,'Estimator'!$B$4,'Climate Data'!$B$7:$B$366,C5551)</x:f>
        <x:v>0.24916573971078979</x:v>
      </x:c>
      <x:c r="I5551" s="382" t="n">
        <x:f>SUMIFS('Climate Data'!$H$7:$H$366,'Climate Data'!$A$7:$A$366,'Estimator'!$B$4,'Climate Data'!$B$7:$B$366,C5551)</x:f>
        <x:v>9.709821428571429</x:v>
      </x:c>
      <x:c r="J5551" s="381" t="n">
        <x:f>SUMIFS('Wind Proxy'!$H$8:$H$19,'Wind Proxy'!$A$8:$A$19,'Estimator'!$B$4,'Wind Proxy'!$B$8:$B$19,C5551)</x:f>
        <x:v>0.11350059737156513</x:v>
      </x:c>
    </x:row>
    <x:row r="5552">
      <x:c r="A5552" s="379" t="n">
        <x:v>51203</x:v>
      </x:c>
      <x:c r="B5552" s="380" t="n">
        <x:v>2040</x:v>
      </x:c>
      <x:c r="C5552" s="380" t="n">
        <x:v>3</x:v>
      </x:c>
      <x:c r="D5552" s="380" t="str">
        <x:v>Mar</x:v>
      </x:c>
      <x:c r="E5552" s="380" t="n">
        <x:v>8</x:v>
      </x:c>
      <x:c r="F5552" s="380" t="n">
        <x:v>4</x:v>
      </x:c>
      <x:c r="G5552" s="380" t="n">
        <x:f>--(F5552&lt;='Estimator'!$B$7)</x:f>
        <x:v>1</x:v>
      </x:c>
      <x:c r="H5552" s="381" t="n">
        <x:f>SUMIFS('Climate Data'!$G$7:$G$366,'Climate Data'!$A$7:$A$366,'Estimator'!$B$4,'Climate Data'!$B$7:$B$366,C5552)</x:f>
        <x:v>0.24916573971078979</x:v>
      </x:c>
      <x:c r="I5552" s="382" t="n">
        <x:f>SUMIFS('Climate Data'!$H$7:$H$366,'Climate Data'!$A$7:$A$366,'Estimator'!$B$4,'Climate Data'!$B$7:$B$366,C5552)</x:f>
        <x:v>9.709821428571429</x:v>
      </x:c>
      <x:c r="J5552" s="381" t="n">
        <x:f>SUMIFS('Wind Proxy'!$H$8:$H$19,'Wind Proxy'!$A$8:$A$19,'Estimator'!$B$4,'Wind Proxy'!$B$8:$B$19,C5552)</x:f>
        <x:v>0.11350059737156513</x:v>
      </x:c>
    </x:row>
    <x:row r="5553">
      <x:c r="A5553" s="379" t="n">
        <x:v>51204</x:v>
      </x:c>
      <x:c r="B5553" s="380" t="n">
        <x:v>2040</x:v>
      </x:c>
      <x:c r="C5553" s="380" t="n">
        <x:v>3</x:v>
      </x:c>
      <x:c r="D5553" s="380" t="str">
        <x:v>Mar</x:v>
      </x:c>
      <x:c r="E5553" s="380" t="n">
        <x:v>9</x:v>
      </x:c>
      <x:c r="F5553" s="380" t="n">
        <x:v>5</x:v>
      </x:c>
      <x:c r="G5553" s="380" t="n">
        <x:f>--(F5553&lt;='Estimator'!$B$7)</x:f>
        <x:v>1</x:v>
      </x:c>
      <x:c r="H5553" s="381" t="n">
        <x:f>SUMIFS('Climate Data'!$G$7:$G$366,'Climate Data'!$A$7:$A$366,'Estimator'!$B$4,'Climate Data'!$B$7:$B$366,C5553)</x:f>
        <x:v>0.24916573971078979</x:v>
      </x:c>
      <x:c r="I5553" s="382" t="n">
        <x:f>SUMIFS('Climate Data'!$H$7:$H$366,'Climate Data'!$A$7:$A$366,'Estimator'!$B$4,'Climate Data'!$B$7:$B$366,C5553)</x:f>
        <x:v>9.709821428571429</x:v>
      </x:c>
      <x:c r="J5553" s="381" t="n">
        <x:f>SUMIFS('Wind Proxy'!$H$8:$H$19,'Wind Proxy'!$A$8:$A$19,'Estimator'!$B$4,'Wind Proxy'!$B$8:$B$19,C5553)</x:f>
        <x:v>0.11350059737156513</x:v>
      </x:c>
    </x:row>
    <x:row r="5554">
      <x:c r="A5554" s="379" t="n">
        <x:v>51205</x:v>
      </x:c>
      <x:c r="B5554" s="380" t="n">
        <x:v>2040</x:v>
      </x:c>
      <x:c r="C5554" s="380" t="n">
        <x:v>3</x:v>
      </x:c>
      <x:c r="D5554" s="380" t="str">
        <x:v>Mar</x:v>
      </x:c>
      <x:c r="E5554" s="380" t="n">
        <x:v>10</x:v>
      </x:c>
      <x:c r="F5554" s="380" t="n">
        <x:v>6</x:v>
      </x:c>
      <x:c r="G5554" s="380" t="n">
        <x:f>--(F5554&lt;='Estimator'!$B$7)</x:f>
        <x:v>0</x:v>
      </x:c>
      <x:c r="H5554" s="381" t="n">
        <x:f>SUMIFS('Climate Data'!$G$7:$G$366,'Climate Data'!$A$7:$A$366,'Estimator'!$B$4,'Climate Data'!$B$7:$B$366,C5554)</x:f>
        <x:v>0.24916573971078979</x:v>
      </x:c>
      <x:c r="I5554" s="382" t="n">
        <x:f>SUMIFS('Climate Data'!$H$7:$H$366,'Climate Data'!$A$7:$A$366,'Estimator'!$B$4,'Climate Data'!$B$7:$B$366,C5554)</x:f>
        <x:v>9.709821428571429</x:v>
      </x:c>
      <x:c r="J5554" s="381" t="n">
        <x:f>SUMIFS('Wind Proxy'!$H$8:$H$19,'Wind Proxy'!$A$8:$A$19,'Estimator'!$B$4,'Wind Proxy'!$B$8:$B$19,C5554)</x:f>
        <x:v>0.11350059737156513</x:v>
      </x:c>
    </x:row>
    <x:row r="5555">
      <x:c r="A5555" s="379" t="n">
        <x:v>51206</x:v>
      </x:c>
      <x:c r="B5555" s="380" t="n">
        <x:v>2040</x:v>
      </x:c>
      <x:c r="C5555" s="380" t="n">
        <x:v>3</x:v>
      </x:c>
      <x:c r="D5555" s="380" t="str">
        <x:v>Mar</x:v>
      </x:c>
      <x:c r="E5555" s="380" t="n">
        <x:v>11</x:v>
      </x:c>
      <x:c r="F5555" s="380" t="n">
        <x:v>7</x:v>
      </x:c>
      <x:c r="G5555" s="380" t="n">
        <x:f>--(F5555&lt;='Estimator'!$B$7)</x:f>
        <x:v>0</x:v>
      </x:c>
      <x:c r="H5555" s="381" t="n">
        <x:f>SUMIFS('Climate Data'!$G$7:$G$366,'Climate Data'!$A$7:$A$366,'Estimator'!$B$4,'Climate Data'!$B$7:$B$366,C5555)</x:f>
        <x:v>0.24916573971078979</x:v>
      </x:c>
      <x:c r="I5555" s="382" t="n">
        <x:f>SUMIFS('Climate Data'!$H$7:$H$366,'Climate Data'!$A$7:$A$366,'Estimator'!$B$4,'Climate Data'!$B$7:$B$366,C5555)</x:f>
        <x:v>9.709821428571429</x:v>
      </x:c>
      <x:c r="J5555" s="381" t="n">
        <x:f>SUMIFS('Wind Proxy'!$H$8:$H$19,'Wind Proxy'!$A$8:$A$19,'Estimator'!$B$4,'Wind Proxy'!$B$8:$B$19,C5555)</x:f>
        <x:v>0.11350059737156513</x:v>
      </x:c>
    </x:row>
    <x:row r="5556">
      <x:c r="A5556" s="379" t="n">
        <x:v>51207</x:v>
      </x:c>
      <x:c r="B5556" s="380" t="n">
        <x:v>2040</x:v>
      </x:c>
      <x:c r="C5556" s="380" t="n">
        <x:v>3</x:v>
      </x:c>
      <x:c r="D5556" s="380" t="str">
        <x:v>Mar</x:v>
      </x:c>
      <x:c r="E5556" s="380" t="n">
        <x:v>12</x:v>
      </x:c>
      <x:c r="F5556" s="380" t="n">
        <x:v>1</x:v>
      </x:c>
      <x:c r="G5556" s="380" t="n">
        <x:f>--(F5556&lt;='Estimator'!$B$7)</x:f>
        <x:v>1</x:v>
      </x:c>
      <x:c r="H5556" s="381" t="n">
        <x:f>SUMIFS('Climate Data'!$G$7:$G$366,'Climate Data'!$A$7:$A$366,'Estimator'!$B$4,'Climate Data'!$B$7:$B$366,C5556)</x:f>
        <x:v>0.24916573971078979</x:v>
      </x:c>
      <x:c r="I5556" s="382" t="n">
        <x:f>SUMIFS('Climate Data'!$H$7:$H$366,'Climate Data'!$A$7:$A$366,'Estimator'!$B$4,'Climate Data'!$B$7:$B$366,C5556)</x:f>
        <x:v>9.709821428571429</x:v>
      </x:c>
      <x:c r="J5556" s="381" t="n">
        <x:f>SUMIFS('Wind Proxy'!$H$8:$H$19,'Wind Proxy'!$A$8:$A$19,'Estimator'!$B$4,'Wind Proxy'!$B$8:$B$19,C5556)</x:f>
        <x:v>0.11350059737156513</x:v>
      </x:c>
    </x:row>
    <x:row r="5557">
      <x:c r="A5557" s="379" t="n">
        <x:v>51208</x:v>
      </x:c>
      <x:c r="B5557" s="380" t="n">
        <x:v>2040</x:v>
      </x:c>
      <x:c r="C5557" s="380" t="n">
        <x:v>3</x:v>
      </x:c>
      <x:c r="D5557" s="380" t="str">
        <x:v>Mar</x:v>
      </x:c>
      <x:c r="E5557" s="380" t="n">
        <x:v>13</x:v>
      </x:c>
      <x:c r="F5557" s="380" t="n">
        <x:v>2</x:v>
      </x:c>
      <x:c r="G5557" s="380" t="n">
        <x:f>--(F5557&lt;='Estimator'!$B$7)</x:f>
        <x:v>1</x:v>
      </x:c>
      <x:c r="H5557" s="381" t="n">
        <x:f>SUMIFS('Climate Data'!$G$7:$G$366,'Climate Data'!$A$7:$A$366,'Estimator'!$B$4,'Climate Data'!$B$7:$B$366,C5557)</x:f>
        <x:v>0.24916573971078979</x:v>
      </x:c>
      <x:c r="I5557" s="382" t="n">
        <x:f>SUMIFS('Climate Data'!$H$7:$H$366,'Climate Data'!$A$7:$A$366,'Estimator'!$B$4,'Climate Data'!$B$7:$B$366,C5557)</x:f>
        <x:v>9.709821428571429</x:v>
      </x:c>
      <x:c r="J5557" s="381" t="n">
        <x:f>SUMIFS('Wind Proxy'!$H$8:$H$19,'Wind Proxy'!$A$8:$A$19,'Estimator'!$B$4,'Wind Proxy'!$B$8:$B$19,C5557)</x:f>
        <x:v>0.11350059737156513</x:v>
      </x:c>
    </x:row>
    <x:row r="5558">
      <x:c r="A5558" s="379" t="n">
        <x:v>51209</x:v>
      </x:c>
      <x:c r="B5558" s="380" t="n">
        <x:v>2040</x:v>
      </x:c>
      <x:c r="C5558" s="380" t="n">
        <x:v>3</x:v>
      </x:c>
      <x:c r="D5558" s="380" t="str">
        <x:v>Mar</x:v>
      </x:c>
      <x:c r="E5558" s="380" t="n">
        <x:v>14</x:v>
      </x:c>
      <x:c r="F5558" s="380" t="n">
        <x:v>3</x:v>
      </x:c>
      <x:c r="G5558" s="380" t="n">
        <x:f>--(F5558&lt;='Estimator'!$B$7)</x:f>
        <x:v>1</x:v>
      </x:c>
      <x:c r="H5558" s="381" t="n">
        <x:f>SUMIFS('Climate Data'!$G$7:$G$366,'Climate Data'!$A$7:$A$366,'Estimator'!$B$4,'Climate Data'!$B$7:$B$366,C5558)</x:f>
        <x:v>0.24916573971078979</x:v>
      </x:c>
      <x:c r="I5558" s="382" t="n">
        <x:f>SUMIFS('Climate Data'!$H$7:$H$366,'Climate Data'!$A$7:$A$366,'Estimator'!$B$4,'Climate Data'!$B$7:$B$366,C5558)</x:f>
        <x:v>9.709821428571429</x:v>
      </x:c>
      <x:c r="J5558" s="381" t="n">
        <x:f>SUMIFS('Wind Proxy'!$H$8:$H$19,'Wind Proxy'!$A$8:$A$19,'Estimator'!$B$4,'Wind Proxy'!$B$8:$B$19,C5558)</x:f>
        <x:v>0.11350059737156513</x:v>
      </x:c>
    </x:row>
    <x:row r="5559">
      <x:c r="A5559" s="379" t="n">
        <x:v>51210</x:v>
      </x:c>
      <x:c r="B5559" s="380" t="n">
        <x:v>2040</x:v>
      </x:c>
      <x:c r="C5559" s="380" t="n">
        <x:v>3</x:v>
      </x:c>
      <x:c r="D5559" s="380" t="str">
        <x:v>Mar</x:v>
      </x:c>
      <x:c r="E5559" s="380" t="n">
        <x:v>15</x:v>
      </x:c>
      <x:c r="F5559" s="380" t="n">
        <x:v>4</x:v>
      </x:c>
      <x:c r="G5559" s="380" t="n">
        <x:f>--(F5559&lt;='Estimator'!$B$7)</x:f>
        <x:v>1</x:v>
      </x:c>
      <x:c r="H5559" s="381" t="n">
        <x:f>SUMIFS('Climate Data'!$G$7:$G$366,'Climate Data'!$A$7:$A$366,'Estimator'!$B$4,'Climate Data'!$B$7:$B$366,C5559)</x:f>
        <x:v>0.24916573971078979</x:v>
      </x:c>
      <x:c r="I5559" s="382" t="n">
        <x:f>SUMIFS('Climate Data'!$H$7:$H$366,'Climate Data'!$A$7:$A$366,'Estimator'!$B$4,'Climate Data'!$B$7:$B$366,C5559)</x:f>
        <x:v>9.709821428571429</x:v>
      </x:c>
      <x:c r="J5559" s="381" t="n">
        <x:f>SUMIFS('Wind Proxy'!$H$8:$H$19,'Wind Proxy'!$A$8:$A$19,'Estimator'!$B$4,'Wind Proxy'!$B$8:$B$19,C5559)</x:f>
        <x:v>0.11350059737156513</x:v>
      </x:c>
    </x:row>
    <x:row r="5560">
      <x:c r="A5560" s="379" t="n">
        <x:v>51211</x:v>
      </x:c>
      <x:c r="B5560" s="380" t="n">
        <x:v>2040</x:v>
      </x:c>
      <x:c r="C5560" s="380" t="n">
        <x:v>3</x:v>
      </x:c>
      <x:c r="D5560" s="380" t="str">
        <x:v>Mar</x:v>
      </x:c>
      <x:c r="E5560" s="380" t="n">
        <x:v>16</x:v>
      </x:c>
      <x:c r="F5560" s="380" t="n">
        <x:v>5</x:v>
      </x:c>
      <x:c r="G5560" s="380" t="n">
        <x:f>--(F5560&lt;='Estimator'!$B$7)</x:f>
        <x:v>1</x:v>
      </x:c>
      <x:c r="H5560" s="381" t="n">
        <x:f>SUMIFS('Climate Data'!$G$7:$G$366,'Climate Data'!$A$7:$A$366,'Estimator'!$B$4,'Climate Data'!$B$7:$B$366,C5560)</x:f>
        <x:v>0.24916573971078979</x:v>
      </x:c>
      <x:c r="I5560" s="382" t="n">
        <x:f>SUMIFS('Climate Data'!$H$7:$H$366,'Climate Data'!$A$7:$A$366,'Estimator'!$B$4,'Climate Data'!$B$7:$B$366,C5560)</x:f>
        <x:v>9.709821428571429</x:v>
      </x:c>
      <x:c r="J5560" s="381" t="n">
        <x:f>SUMIFS('Wind Proxy'!$H$8:$H$19,'Wind Proxy'!$A$8:$A$19,'Estimator'!$B$4,'Wind Proxy'!$B$8:$B$19,C5560)</x:f>
        <x:v>0.11350059737156513</x:v>
      </x:c>
    </x:row>
    <x:row r="5561">
      <x:c r="A5561" s="379" t="n">
        <x:v>51212</x:v>
      </x:c>
      <x:c r="B5561" s="380" t="n">
        <x:v>2040</x:v>
      </x:c>
      <x:c r="C5561" s="380" t="n">
        <x:v>3</x:v>
      </x:c>
      <x:c r="D5561" s="380" t="str">
        <x:v>Mar</x:v>
      </x:c>
      <x:c r="E5561" s="380" t="n">
        <x:v>17</x:v>
      </x:c>
      <x:c r="F5561" s="380" t="n">
        <x:v>6</x:v>
      </x:c>
      <x:c r="G5561" s="380" t="n">
        <x:f>--(F5561&lt;='Estimator'!$B$7)</x:f>
        <x:v>0</x:v>
      </x:c>
      <x:c r="H5561" s="381" t="n">
        <x:f>SUMIFS('Climate Data'!$G$7:$G$366,'Climate Data'!$A$7:$A$366,'Estimator'!$B$4,'Climate Data'!$B$7:$B$366,C5561)</x:f>
        <x:v>0.24916573971078979</x:v>
      </x:c>
      <x:c r="I5561" s="382" t="n">
        <x:f>SUMIFS('Climate Data'!$H$7:$H$366,'Climate Data'!$A$7:$A$366,'Estimator'!$B$4,'Climate Data'!$B$7:$B$366,C5561)</x:f>
        <x:v>9.709821428571429</x:v>
      </x:c>
      <x:c r="J5561" s="381" t="n">
        <x:f>SUMIFS('Wind Proxy'!$H$8:$H$19,'Wind Proxy'!$A$8:$A$19,'Estimator'!$B$4,'Wind Proxy'!$B$8:$B$19,C5561)</x:f>
        <x:v>0.11350059737156513</x:v>
      </x:c>
    </x:row>
    <x:row r="5562">
      <x:c r="A5562" s="379" t="n">
        <x:v>51213</x:v>
      </x:c>
      <x:c r="B5562" s="380" t="n">
        <x:v>2040</x:v>
      </x:c>
      <x:c r="C5562" s="380" t="n">
        <x:v>3</x:v>
      </x:c>
      <x:c r="D5562" s="380" t="str">
        <x:v>Mar</x:v>
      </x:c>
      <x:c r="E5562" s="380" t="n">
        <x:v>18</x:v>
      </x:c>
      <x:c r="F5562" s="380" t="n">
        <x:v>7</x:v>
      </x:c>
      <x:c r="G5562" s="380" t="n">
        <x:f>--(F5562&lt;='Estimator'!$B$7)</x:f>
        <x:v>0</x:v>
      </x:c>
      <x:c r="H5562" s="381" t="n">
        <x:f>SUMIFS('Climate Data'!$G$7:$G$366,'Climate Data'!$A$7:$A$366,'Estimator'!$B$4,'Climate Data'!$B$7:$B$366,C5562)</x:f>
        <x:v>0.24916573971078979</x:v>
      </x:c>
      <x:c r="I5562" s="382" t="n">
        <x:f>SUMIFS('Climate Data'!$H$7:$H$366,'Climate Data'!$A$7:$A$366,'Estimator'!$B$4,'Climate Data'!$B$7:$B$366,C5562)</x:f>
        <x:v>9.709821428571429</x:v>
      </x:c>
      <x:c r="J5562" s="381" t="n">
        <x:f>SUMIFS('Wind Proxy'!$H$8:$H$19,'Wind Proxy'!$A$8:$A$19,'Estimator'!$B$4,'Wind Proxy'!$B$8:$B$19,C5562)</x:f>
        <x:v>0.11350059737156513</x:v>
      </x:c>
    </x:row>
    <x:row r="5563">
      <x:c r="A5563" s="379" t="n">
        <x:v>51214</x:v>
      </x:c>
      <x:c r="B5563" s="380" t="n">
        <x:v>2040</x:v>
      </x:c>
      <x:c r="C5563" s="380" t="n">
        <x:v>3</x:v>
      </x:c>
      <x:c r="D5563" s="380" t="str">
        <x:v>Mar</x:v>
      </x:c>
      <x:c r="E5563" s="380" t="n">
        <x:v>19</x:v>
      </x:c>
      <x:c r="F5563" s="380" t="n">
        <x:v>1</x:v>
      </x:c>
      <x:c r="G5563" s="380" t="n">
        <x:f>--(F5563&lt;='Estimator'!$B$7)</x:f>
        <x:v>1</x:v>
      </x:c>
      <x:c r="H5563" s="381" t="n">
        <x:f>SUMIFS('Climate Data'!$G$7:$G$366,'Climate Data'!$A$7:$A$366,'Estimator'!$B$4,'Climate Data'!$B$7:$B$366,C5563)</x:f>
        <x:v>0.24916573971078979</x:v>
      </x:c>
      <x:c r="I5563" s="382" t="n">
        <x:f>SUMIFS('Climate Data'!$H$7:$H$366,'Climate Data'!$A$7:$A$366,'Estimator'!$B$4,'Climate Data'!$B$7:$B$366,C5563)</x:f>
        <x:v>9.709821428571429</x:v>
      </x:c>
      <x:c r="J5563" s="381" t="n">
        <x:f>SUMIFS('Wind Proxy'!$H$8:$H$19,'Wind Proxy'!$A$8:$A$19,'Estimator'!$B$4,'Wind Proxy'!$B$8:$B$19,C5563)</x:f>
        <x:v>0.11350059737156513</x:v>
      </x:c>
    </x:row>
    <x:row r="5564">
      <x:c r="A5564" s="379" t="n">
        <x:v>51215</x:v>
      </x:c>
      <x:c r="B5564" s="380" t="n">
        <x:v>2040</x:v>
      </x:c>
      <x:c r="C5564" s="380" t="n">
        <x:v>3</x:v>
      </x:c>
      <x:c r="D5564" s="380" t="str">
        <x:v>Mar</x:v>
      </x:c>
      <x:c r="E5564" s="380" t="n">
        <x:v>20</x:v>
      </x:c>
      <x:c r="F5564" s="380" t="n">
        <x:v>2</x:v>
      </x:c>
      <x:c r="G5564" s="380" t="n">
        <x:f>--(F5564&lt;='Estimator'!$B$7)</x:f>
        <x:v>1</x:v>
      </x:c>
      <x:c r="H5564" s="381" t="n">
        <x:f>SUMIFS('Climate Data'!$G$7:$G$366,'Climate Data'!$A$7:$A$366,'Estimator'!$B$4,'Climate Data'!$B$7:$B$366,C5564)</x:f>
        <x:v>0.24916573971078979</x:v>
      </x:c>
      <x:c r="I5564" s="382" t="n">
        <x:f>SUMIFS('Climate Data'!$H$7:$H$366,'Climate Data'!$A$7:$A$366,'Estimator'!$B$4,'Climate Data'!$B$7:$B$366,C5564)</x:f>
        <x:v>9.709821428571429</x:v>
      </x:c>
      <x:c r="J5564" s="381" t="n">
        <x:f>SUMIFS('Wind Proxy'!$H$8:$H$19,'Wind Proxy'!$A$8:$A$19,'Estimator'!$B$4,'Wind Proxy'!$B$8:$B$19,C5564)</x:f>
        <x:v>0.11350059737156513</x:v>
      </x:c>
    </x:row>
    <x:row r="5565">
      <x:c r="A5565" s="379" t="n">
        <x:v>51216</x:v>
      </x:c>
      <x:c r="B5565" s="380" t="n">
        <x:v>2040</x:v>
      </x:c>
      <x:c r="C5565" s="380" t="n">
        <x:v>3</x:v>
      </x:c>
      <x:c r="D5565" s="380" t="str">
        <x:v>Mar</x:v>
      </x:c>
      <x:c r="E5565" s="380" t="n">
        <x:v>21</x:v>
      </x:c>
      <x:c r="F5565" s="380" t="n">
        <x:v>3</x:v>
      </x:c>
      <x:c r="G5565" s="380" t="n">
        <x:f>--(F5565&lt;='Estimator'!$B$7)</x:f>
        <x:v>1</x:v>
      </x:c>
      <x:c r="H5565" s="381" t="n">
        <x:f>SUMIFS('Climate Data'!$G$7:$G$366,'Climate Data'!$A$7:$A$366,'Estimator'!$B$4,'Climate Data'!$B$7:$B$366,C5565)</x:f>
        <x:v>0.24916573971078979</x:v>
      </x:c>
      <x:c r="I5565" s="382" t="n">
        <x:f>SUMIFS('Climate Data'!$H$7:$H$366,'Climate Data'!$A$7:$A$366,'Estimator'!$B$4,'Climate Data'!$B$7:$B$366,C5565)</x:f>
        <x:v>9.709821428571429</x:v>
      </x:c>
      <x:c r="J5565" s="381" t="n">
        <x:f>SUMIFS('Wind Proxy'!$H$8:$H$19,'Wind Proxy'!$A$8:$A$19,'Estimator'!$B$4,'Wind Proxy'!$B$8:$B$19,C5565)</x:f>
        <x:v>0.11350059737156513</x:v>
      </x:c>
    </x:row>
    <x:row r="5566">
      <x:c r="A5566" s="379" t="n">
        <x:v>51217</x:v>
      </x:c>
      <x:c r="B5566" s="380" t="n">
        <x:v>2040</x:v>
      </x:c>
      <x:c r="C5566" s="380" t="n">
        <x:v>3</x:v>
      </x:c>
      <x:c r="D5566" s="380" t="str">
        <x:v>Mar</x:v>
      </x:c>
      <x:c r="E5566" s="380" t="n">
        <x:v>22</x:v>
      </x:c>
      <x:c r="F5566" s="380" t="n">
        <x:v>4</x:v>
      </x:c>
      <x:c r="G5566" s="380" t="n">
        <x:f>--(F5566&lt;='Estimator'!$B$7)</x:f>
        <x:v>1</x:v>
      </x:c>
      <x:c r="H5566" s="381" t="n">
        <x:f>SUMIFS('Climate Data'!$G$7:$G$366,'Climate Data'!$A$7:$A$366,'Estimator'!$B$4,'Climate Data'!$B$7:$B$366,C5566)</x:f>
        <x:v>0.24916573971078979</x:v>
      </x:c>
      <x:c r="I5566" s="382" t="n">
        <x:f>SUMIFS('Climate Data'!$H$7:$H$366,'Climate Data'!$A$7:$A$366,'Estimator'!$B$4,'Climate Data'!$B$7:$B$366,C5566)</x:f>
        <x:v>9.709821428571429</x:v>
      </x:c>
      <x:c r="J5566" s="381" t="n">
        <x:f>SUMIFS('Wind Proxy'!$H$8:$H$19,'Wind Proxy'!$A$8:$A$19,'Estimator'!$B$4,'Wind Proxy'!$B$8:$B$19,C5566)</x:f>
        <x:v>0.11350059737156513</x:v>
      </x:c>
    </x:row>
    <x:row r="5567">
      <x:c r="A5567" s="379" t="n">
        <x:v>51218</x:v>
      </x:c>
      <x:c r="B5567" s="380" t="n">
        <x:v>2040</x:v>
      </x:c>
      <x:c r="C5567" s="380" t="n">
        <x:v>3</x:v>
      </x:c>
      <x:c r="D5567" s="380" t="str">
        <x:v>Mar</x:v>
      </x:c>
      <x:c r="E5567" s="380" t="n">
        <x:v>23</x:v>
      </x:c>
      <x:c r="F5567" s="380" t="n">
        <x:v>5</x:v>
      </x:c>
      <x:c r="G5567" s="380" t="n">
        <x:f>--(F5567&lt;='Estimator'!$B$7)</x:f>
        <x:v>1</x:v>
      </x:c>
      <x:c r="H5567" s="381" t="n">
        <x:f>SUMIFS('Climate Data'!$G$7:$G$366,'Climate Data'!$A$7:$A$366,'Estimator'!$B$4,'Climate Data'!$B$7:$B$366,C5567)</x:f>
        <x:v>0.24916573971078979</x:v>
      </x:c>
      <x:c r="I5567" s="382" t="n">
        <x:f>SUMIFS('Climate Data'!$H$7:$H$366,'Climate Data'!$A$7:$A$366,'Estimator'!$B$4,'Climate Data'!$B$7:$B$366,C5567)</x:f>
        <x:v>9.709821428571429</x:v>
      </x:c>
      <x:c r="J5567" s="381" t="n">
        <x:f>SUMIFS('Wind Proxy'!$H$8:$H$19,'Wind Proxy'!$A$8:$A$19,'Estimator'!$B$4,'Wind Proxy'!$B$8:$B$19,C5567)</x:f>
        <x:v>0.11350059737156513</x:v>
      </x:c>
    </x:row>
    <x:row r="5568">
      <x:c r="A5568" s="379" t="n">
        <x:v>51219</x:v>
      </x:c>
      <x:c r="B5568" s="380" t="n">
        <x:v>2040</x:v>
      </x:c>
      <x:c r="C5568" s="380" t="n">
        <x:v>3</x:v>
      </x:c>
      <x:c r="D5568" s="380" t="str">
        <x:v>Mar</x:v>
      </x:c>
      <x:c r="E5568" s="380" t="n">
        <x:v>24</x:v>
      </x:c>
      <x:c r="F5568" s="380" t="n">
        <x:v>6</x:v>
      </x:c>
      <x:c r="G5568" s="380" t="n">
        <x:f>--(F5568&lt;='Estimator'!$B$7)</x:f>
        <x:v>0</x:v>
      </x:c>
      <x:c r="H5568" s="381" t="n">
        <x:f>SUMIFS('Climate Data'!$G$7:$G$366,'Climate Data'!$A$7:$A$366,'Estimator'!$B$4,'Climate Data'!$B$7:$B$366,C5568)</x:f>
        <x:v>0.24916573971078979</x:v>
      </x:c>
      <x:c r="I5568" s="382" t="n">
        <x:f>SUMIFS('Climate Data'!$H$7:$H$366,'Climate Data'!$A$7:$A$366,'Estimator'!$B$4,'Climate Data'!$B$7:$B$366,C5568)</x:f>
        <x:v>9.709821428571429</x:v>
      </x:c>
      <x:c r="J5568" s="381" t="n">
        <x:f>SUMIFS('Wind Proxy'!$H$8:$H$19,'Wind Proxy'!$A$8:$A$19,'Estimator'!$B$4,'Wind Proxy'!$B$8:$B$19,C5568)</x:f>
        <x:v>0.11350059737156513</x:v>
      </x:c>
    </x:row>
    <x:row r="5569">
      <x:c r="A5569" s="379" t="n">
        <x:v>51220</x:v>
      </x:c>
      <x:c r="B5569" s="380" t="n">
        <x:v>2040</x:v>
      </x:c>
      <x:c r="C5569" s="380" t="n">
        <x:v>3</x:v>
      </x:c>
      <x:c r="D5569" s="380" t="str">
        <x:v>Mar</x:v>
      </x:c>
      <x:c r="E5569" s="380" t="n">
        <x:v>25</x:v>
      </x:c>
      <x:c r="F5569" s="380" t="n">
        <x:v>7</x:v>
      </x:c>
      <x:c r="G5569" s="380" t="n">
        <x:f>--(F5569&lt;='Estimator'!$B$7)</x:f>
        <x:v>0</x:v>
      </x:c>
      <x:c r="H5569" s="381" t="n">
        <x:f>SUMIFS('Climate Data'!$G$7:$G$366,'Climate Data'!$A$7:$A$366,'Estimator'!$B$4,'Climate Data'!$B$7:$B$366,C5569)</x:f>
        <x:v>0.24916573971078979</x:v>
      </x:c>
      <x:c r="I5569" s="382" t="n">
        <x:f>SUMIFS('Climate Data'!$H$7:$H$366,'Climate Data'!$A$7:$A$366,'Estimator'!$B$4,'Climate Data'!$B$7:$B$366,C5569)</x:f>
        <x:v>9.709821428571429</x:v>
      </x:c>
      <x:c r="J5569" s="381" t="n">
        <x:f>SUMIFS('Wind Proxy'!$H$8:$H$19,'Wind Proxy'!$A$8:$A$19,'Estimator'!$B$4,'Wind Proxy'!$B$8:$B$19,C5569)</x:f>
        <x:v>0.11350059737156513</x:v>
      </x:c>
    </x:row>
    <x:row r="5570">
      <x:c r="A5570" s="379" t="n">
        <x:v>51221</x:v>
      </x:c>
      <x:c r="B5570" s="380" t="n">
        <x:v>2040</x:v>
      </x:c>
      <x:c r="C5570" s="380" t="n">
        <x:v>3</x:v>
      </x:c>
      <x:c r="D5570" s="380" t="str">
        <x:v>Mar</x:v>
      </x:c>
      <x:c r="E5570" s="380" t="n">
        <x:v>26</x:v>
      </x:c>
      <x:c r="F5570" s="380" t="n">
        <x:v>1</x:v>
      </x:c>
      <x:c r="G5570" s="380" t="n">
        <x:f>--(F5570&lt;='Estimator'!$B$7)</x:f>
        <x:v>1</x:v>
      </x:c>
      <x:c r="H5570" s="381" t="n">
        <x:f>SUMIFS('Climate Data'!$G$7:$G$366,'Climate Data'!$A$7:$A$366,'Estimator'!$B$4,'Climate Data'!$B$7:$B$366,C5570)</x:f>
        <x:v>0.24916573971078979</x:v>
      </x:c>
      <x:c r="I5570" s="382" t="n">
        <x:f>SUMIFS('Climate Data'!$H$7:$H$366,'Climate Data'!$A$7:$A$366,'Estimator'!$B$4,'Climate Data'!$B$7:$B$366,C5570)</x:f>
        <x:v>9.709821428571429</x:v>
      </x:c>
      <x:c r="J5570" s="381" t="n">
        <x:f>SUMIFS('Wind Proxy'!$H$8:$H$19,'Wind Proxy'!$A$8:$A$19,'Estimator'!$B$4,'Wind Proxy'!$B$8:$B$19,C5570)</x:f>
        <x:v>0.11350059737156513</x:v>
      </x:c>
    </x:row>
    <x:row r="5571">
      <x:c r="A5571" s="379" t="n">
        <x:v>51222</x:v>
      </x:c>
      <x:c r="B5571" s="380" t="n">
        <x:v>2040</x:v>
      </x:c>
      <x:c r="C5571" s="380" t="n">
        <x:v>3</x:v>
      </x:c>
      <x:c r="D5571" s="380" t="str">
        <x:v>Mar</x:v>
      </x:c>
      <x:c r="E5571" s="380" t="n">
        <x:v>27</x:v>
      </x:c>
      <x:c r="F5571" s="380" t="n">
        <x:v>2</x:v>
      </x:c>
      <x:c r="G5571" s="380" t="n">
        <x:f>--(F5571&lt;='Estimator'!$B$7)</x:f>
        <x:v>1</x:v>
      </x:c>
      <x:c r="H5571" s="381" t="n">
        <x:f>SUMIFS('Climate Data'!$G$7:$G$366,'Climate Data'!$A$7:$A$366,'Estimator'!$B$4,'Climate Data'!$B$7:$B$366,C5571)</x:f>
        <x:v>0.24916573971078979</x:v>
      </x:c>
      <x:c r="I5571" s="382" t="n">
        <x:f>SUMIFS('Climate Data'!$H$7:$H$366,'Climate Data'!$A$7:$A$366,'Estimator'!$B$4,'Climate Data'!$B$7:$B$366,C5571)</x:f>
        <x:v>9.709821428571429</x:v>
      </x:c>
      <x:c r="J5571" s="381" t="n">
        <x:f>SUMIFS('Wind Proxy'!$H$8:$H$19,'Wind Proxy'!$A$8:$A$19,'Estimator'!$B$4,'Wind Proxy'!$B$8:$B$19,C5571)</x:f>
        <x:v>0.11350059737156513</x:v>
      </x:c>
    </x:row>
    <x:row r="5572">
      <x:c r="A5572" s="379" t="n">
        <x:v>51223</x:v>
      </x:c>
      <x:c r="B5572" s="380" t="n">
        <x:v>2040</x:v>
      </x:c>
      <x:c r="C5572" s="380" t="n">
        <x:v>3</x:v>
      </x:c>
      <x:c r="D5572" s="380" t="str">
        <x:v>Mar</x:v>
      </x:c>
      <x:c r="E5572" s="380" t="n">
        <x:v>28</x:v>
      </x:c>
      <x:c r="F5572" s="380" t="n">
        <x:v>3</x:v>
      </x:c>
      <x:c r="G5572" s="380" t="n">
        <x:f>--(F5572&lt;='Estimator'!$B$7)</x:f>
        <x:v>1</x:v>
      </x:c>
      <x:c r="H5572" s="381" t="n">
        <x:f>SUMIFS('Climate Data'!$G$7:$G$366,'Climate Data'!$A$7:$A$366,'Estimator'!$B$4,'Climate Data'!$B$7:$B$366,C5572)</x:f>
        <x:v>0.24916573971078979</x:v>
      </x:c>
      <x:c r="I5572" s="382" t="n">
        <x:f>SUMIFS('Climate Data'!$H$7:$H$366,'Climate Data'!$A$7:$A$366,'Estimator'!$B$4,'Climate Data'!$B$7:$B$366,C5572)</x:f>
        <x:v>9.709821428571429</x:v>
      </x:c>
      <x:c r="J5572" s="381" t="n">
        <x:f>SUMIFS('Wind Proxy'!$H$8:$H$19,'Wind Proxy'!$A$8:$A$19,'Estimator'!$B$4,'Wind Proxy'!$B$8:$B$19,C5572)</x:f>
        <x:v>0.11350059737156513</x:v>
      </x:c>
    </x:row>
    <x:row r="5573">
      <x:c r="A5573" s="379" t="n">
        <x:v>51224</x:v>
      </x:c>
      <x:c r="B5573" s="380" t="n">
        <x:v>2040</x:v>
      </x:c>
      <x:c r="C5573" s="380" t="n">
        <x:v>3</x:v>
      </x:c>
      <x:c r="D5573" s="380" t="str">
        <x:v>Mar</x:v>
      </x:c>
      <x:c r="E5573" s="380" t="n">
        <x:v>29</x:v>
      </x:c>
      <x:c r="F5573" s="380" t="n">
        <x:v>4</x:v>
      </x:c>
      <x:c r="G5573" s="380" t="n">
        <x:f>--(F5573&lt;='Estimator'!$B$7)</x:f>
        <x:v>1</x:v>
      </x:c>
      <x:c r="H5573" s="381" t="n">
        <x:f>SUMIFS('Climate Data'!$G$7:$G$366,'Climate Data'!$A$7:$A$366,'Estimator'!$B$4,'Climate Data'!$B$7:$B$366,C5573)</x:f>
        <x:v>0.24916573971078979</x:v>
      </x:c>
      <x:c r="I5573" s="382" t="n">
        <x:f>SUMIFS('Climate Data'!$H$7:$H$366,'Climate Data'!$A$7:$A$366,'Estimator'!$B$4,'Climate Data'!$B$7:$B$366,C5573)</x:f>
        <x:v>9.709821428571429</x:v>
      </x:c>
      <x:c r="J5573" s="381" t="n">
        <x:f>SUMIFS('Wind Proxy'!$H$8:$H$19,'Wind Proxy'!$A$8:$A$19,'Estimator'!$B$4,'Wind Proxy'!$B$8:$B$19,C5573)</x:f>
        <x:v>0.11350059737156513</x:v>
      </x:c>
    </x:row>
    <x:row r="5574">
      <x:c r="A5574" s="379" t="n">
        <x:v>51225</x:v>
      </x:c>
      <x:c r="B5574" s="380" t="n">
        <x:v>2040</x:v>
      </x:c>
      <x:c r="C5574" s="380" t="n">
        <x:v>3</x:v>
      </x:c>
      <x:c r="D5574" s="380" t="str">
        <x:v>Mar</x:v>
      </x:c>
      <x:c r="E5574" s="380" t="n">
        <x:v>30</x:v>
      </x:c>
      <x:c r="F5574" s="380" t="n">
        <x:v>5</x:v>
      </x:c>
      <x:c r="G5574" s="380" t="n">
        <x:f>--(F5574&lt;='Estimator'!$B$7)</x:f>
        <x:v>1</x:v>
      </x:c>
      <x:c r="H5574" s="381" t="n">
        <x:f>SUMIFS('Climate Data'!$G$7:$G$366,'Climate Data'!$A$7:$A$366,'Estimator'!$B$4,'Climate Data'!$B$7:$B$366,C5574)</x:f>
        <x:v>0.24916573971078979</x:v>
      </x:c>
      <x:c r="I5574" s="382" t="n">
        <x:f>SUMIFS('Climate Data'!$H$7:$H$366,'Climate Data'!$A$7:$A$366,'Estimator'!$B$4,'Climate Data'!$B$7:$B$366,C5574)</x:f>
        <x:v>9.709821428571429</x:v>
      </x:c>
      <x:c r="J5574" s="381" t="n">
        <x:f>SUMIFS('Wind Proxy'!$H$8:$H$19,'Wind Proxy'!$A$8:$A$19,'Estimator'!$B$4,'Wind Proxy'!$B$8:$B$19,C5574)</x:f>
        <x:v>0.11350059737156513</x:v>
      </x:c>
    </x:row>
    <x:row r="5575">
      <x:c r="A5575" s="379" t="n">
        <x:v>51226</x:v>
      </x:c>
      <x:c r="B5575" s="380" t="n">
        <x:v>2040</x:v>
      </x:c>
      <x:c r="C5575" s="380" t="n">
        <x:v>3</x:v>
      </x:c>
      <x:c r="D5575" s="380" t="str">
        <x:v>Mar</x:v>
      </x:c>
      <x:c r="E5575" s="380" t="n">
        <x:v>31</x:v>
      </x:c>
      <x:c r="F5575" s="380" t="n">
        <x:v>6</x:v>
      </x:c>
      <x:c r="G5575" s="380" t="n">
        <x:f>--(F5575&lt;='Estimator'!$B$7)</x:f>
        <x:v>0</x:v>
      </x:c>
      <x:c r="H5575" s="381" t="n">
        <x:f>SUMIFS('Climate Data'!$G$7:$G$366,'Climate Data'!$A$7:$A$366,'Estimator'!$B$4,'Climate Data'!$B$7:$B$366,C5575)</x:f>
        <x:v>0.24916573971078979</x:v>
      </x:c>
      <x:c r="I5575" s="382" t="n">
        <x:f>SUMIFS('Climate Data'!$H$7:$H$366,'Climate Data'!$A$7:$A$366,'Estimator'!$B$4,'Climate Data'!$B$7:$B$366,C5575)</x:f>
        <x:v>9.709821428571429</x:v>
      </x:c>
      <x:c r="J5575" s="381" t="n">
        <x:f>SUMIFS('Wind Proxy'!$H$8:$H$19,'Wind Proxy'!$A$8:$A$19,'Estimator'!$B$4,'Wind Proxy'!$B$8:$B$19,C5575)</x:f>
        <x:v>0.11350059737156513</x:v>
      </x:c>
    </x:row>
    <x:row r="5576">
      <x:c r="A5576" s="379" t="n">
        <x:v>51227</x:v>
      </x:c>
      <x:c r="B5576" s="380" t="n">
        <x:v>2040</x:v>
      </x:c>
      <x:c r="C5576" s="380" t="n">
        <x:v>4</x:v>
      </x:c>
      <x:c r="D5576" s="380" t="str">
        <x:v>Apr</x:v>
      </x:c>
      <x:c r="E5576" s="380" t="n">
        <x:v>1</x:v>
      </x:c>
      <x:c r="F5576" s="380" t="n">
        <x:v>7</x:v>
      </x:c>
      <x:c r="G5576" s="380" t="n">
        <x:f>--(F5576&lt;='Estimator'!$B$7)</x:f>
        <x:v>0</x:v>
      </x:c>
      <x:c r="H5576" s="381" t="n">
        <x:f>SUMIFS('Climate Data'!$G$7:$G$366,'Climate Data'!$A$7:$A$366,'Estimator'!$B$4,'Climate Data'!$B$7:$B$366,C5576)</x:f>
        <x:v>0.32023809523809527</x:v>
      </x:c>
      <x:c r="I5576" s="382" t="n">
        <x:f>SUMIFS('Climate Data'!$H$7:$H$366,'Climate Data'!$A$7:$A$366,'Estimator'!$B$4,'Climate Data'!$B$7:$B$366,C5576)</x:f>
        <x:v>9.066171003717471</x:v>
      </x:c>
      <x:c r="J5576" s="381" t="n">
        <x:f>SUMIFS('Wind Proxy'!$H$8:$H$19,'Wind Proxy'!$A$8:$A$19,'Estimator'!$B$4,'Wind Proxy'!$B$8:$B$19,C5576)</x:f>
        <x:v>0.11728395061728397</x:v>
      </x:c>
    </x:row>
    <x:row r="5577">
      <x:c r="A5577" s="379" t="n">
        <x:v>51228</x:v>
      </x:c>
      <x:c r="B5577" s="380" t="n">
        <x:v>2040</x:v>
      </x:c>
      <x:c r="C5577" s="380" t="n">
        <x:v>4</x:v>
      </x:c>
      <x:c r="D5577" s="380" t="str">
        <x:v>Apr</x:v>
      </x:c>
      <x:c r="E5577" s="380" t="n">
        <x:v>2</x:v>
      </x:c>
      <x:c r="F5577" s="380" t="n">
        <x:v>1</x:v>
      </x:c>
      <x:c r="G5577" s="380" t="n">
        <x:f>--(F5577&lt;='Estimator'!$B$7)</x:f>
        <x:v>1</x:v>
      </x:c>
      <x:c r="H5577" s="381" t="n">
        <x:f>SUMIFS('Climate Data'!$G$7:$G$366,'Climate Data'!$A$7:$A$366,'Estimator'!$B$4,'Climate Data'!$B$7:$B$366,C5577)</x:f>
        <x:v>0.32023809523809527</x:v>
      </x:c>
      <x:c r="I5577" s="382" t="n">
        <x:f>SUMIFS('Climate Data'!$H$7:$H$366,'Climate Data'!$A$7:$A$366,'Estimator'!$B$4,'Climate Data'!$B$7:$B$366,C5577)</x:f>
        <x:v>9.066171003717471</x:v>
      </x:c>
      <x:c r="J5577" s="381" t="n">
        <x:f>SUMIFS('Wind Proxy'!$H$8:$H$19,'Wind Proxy'!$A$8:$A$19,'Estimator'!$B$4,'Wind Proxy'!$B$8:$B$19,C5577)</x:f>
        <x:v>0.11728395061728397</x:v>
      </x:c>
    </x:row>
    <x:row r="5578">
      <x:c r="A5578" s="379" t="n">
        <x:v>51229</x:v>
      </x:c>
      <x:c r="B5578" s="380" t="n">
        <x:v>2040</x:v>
      </x:c>
      <x:c r="C5578" s="380" t="n">
        <x:v>4</x:v>
      </x:c>
      <x:c r="D5578" s="380" t="str">
        <x:v>Apr</x:v>
      </x:c>
      <x:c r="E5578" s="380" t="n">
        <x:v>3</x:v>
      </x:c>
      <x:c r="F5578" s="380" t="n">
        <x:v>2</x:v>
      </x:c>
      <x:c r="G5578" s="380" t="n">
        <x:f>--(F5578&lt;='Estimator'!$B$7)</x:f>
        <x:v>1</x:v>
      </x:c>
      <x:c r="H5578" s="381" t="n">
        <x:f>SUMIFS('Climate Data'!$G$7:$G$366,'Climate Data'!$A$7:$A$366,'Estimator'!$B$4,'Climate Data'!$B$7:$B$366,C5578)</x:f>
        <x:v>0.32023809523809527</x:v>
      </x:c>
      <x:c r="I5578" s="382" t="n">
        <x:f>SUMIFS('Climate Data'!$H$7:$H$366,'Climate Data'!$A$7:$A$366,'Estimator'!$B$4,'Climate Data'!$B$7:$B$366,C5578)</x:f>
        <x:v>9.066171003717471</x:v>
      </x:c>
      <x:c r="J5578" s="381" t="n">
        <x:f>SUMIFS('Wind Proxy'!$H$8:$H$19,'Wind Proxy'!$A$8:$A$19,'Estimator'!$B$4,'Wind Proxy'!$B$8:$B$19,C5578)</x:f>
        <x:v>0.11728395061728397</x:v>
      </x:c>
    </x:row>
    <x:row r="5579">
      <x:c r="A5579" s="379" t="n">
        <x:v>51230</x:v>
      </x:c>
      <x:c r="B5579" s="380" t="n">
        <x:v>2040</x:v>
      </x:c>
      <x:c r="C5579" s="380" t="n">
        <x:v>4</x:v>
      </x:c>
      <x:c r="D5579" s="380" t="str">
        <x:v>Apr</x:v>
      </x:c>
      <x:c r="E5579" s="380" t="n">
        <x:v>4</x:v>
      </x:c>
      <x:c r="F5579" s="380" t="n">
        <x:v>3</x:v>
      </x:c>
      <x:c r="G5579" s="380" t="n">
        <x:f>--(F5579&lt;='Estimator'!$B$7)</x:f>
        <x:v>1</x:v>
      </x:c>
      <x:c r="H5579" s="381" t="n">
        <x:f>SUMIFS('Climate Data'!$G$7:$G$366,'Climate Data'!$A$7:$A$366,'Estimator'!$B$4,'Climate Data'!$B$7:$B$366,C5579)</x:f>
        <x:v>0.32023809523809527</x:v>
      </x:c>
      <x:c r="I5579" s="382" t="n">
        <x:f>SUMIFS('Climate Data'!$H$7:$H$366,'Climate Data'!$A$7:$A$366,'Estimator'!$B$4,'Climate Data'!$B$7:$B$366,C5579)</x:f>
        <x:v>9.066171003717471</x:v>
      </x:c>
      <x:c r="J5579" s="381" t="n">
        <x:f>SUMIFS('Wind Proxy'!$H$8:$H$19,'Wind Proxy'!$A$8:$A$19,'Estimator'!$B$4,'Wind Proxy'!$B$8:$B$19,C5579)</x:f>
        <x:v>0.11728395061728397</x:v>
      </x:c>
    </x:row>
    <x:row r="5580">
      <x:c r="A5580" s="379" t="n">
        <x:v>51231</x:v>
      </x:c>
      <x:c r="B5580" s="380" t="n">
        <x:v>2040</x:v>
      </x:c>
      <x:c r="C5580" s="380" t="n">
        <x:v>4</x:v>
      </x:c>
      <x:c r="D5580" s="380" t="str">
        <x:v>Apr</x:v>
      </x:c>
      <x:c r="E5580" s="380" t="n">
        <x:v>5</x:v>
      </x:c>
      <x:c r="F5580" s="380" t="n">
        <x:v>4</x:v>
      </x:c>
      <x:c r="G5580" s="380" t="n">
        <x:f>--(F5580&lt;='Estimator'!$B$7)</x:f>
        <x:v>1</x:v>
      </x:c>
      <x:c r="H5580" s="381" t="n">
        <x:f>SUMIFS('Climate Data'!$G$7:$G$366,'Climate Data'!$A$7:$A$366,'Estimator'!$B$4,'Climate Data'!$B$7:$B$366,C5580)</x:f>
        <x:v>0.32023809523809527</x:v>
      </x:c>
      <x:c r="I5580" s="382" t="n">
        <x:f>SUMIFS('Climate Data'!$H$7:$H$366,'Climate Data'!$A$7:$A$366,'Estimator'!$B$4,'Climate Data'!$B$7:$B$366,C5580)</x:f>
        <x:v>9.066171003717471</x:v>
      </x:c>
      <x:c r="J5580" s="381" t="n">
        <x:f>SUMIFS('Wind Proxy'!$H$8:$H$19,'Wind Proxy'!$A$8:$A$19,'Estimator'!$B$4,'Wind Proxy'!$B$8:$B$19,C5580)</x:f>
        <x:v>0.11728395061728397</x:v>
      </x:c>
    </x:row>
    <x:row r="5581">
      <x:c r="A5581" s="379" t="n">
        <x:v>51232</x:v>
      </x:c>
      <x:c r="B5581" s="380" t="n">
        <x:v>2040</x:v>
      </x:c>
      <x:c r="C5581" s="380" t="n">
        <x:v>4</x:v>
      </x:c>
      <x:c r="D5581" s="380" t="str">
        <x:v>Apr</x:v>
      </x:c>
      <x:c r="E5581" s="380" t="n">
        <x:v>6</x:v>
      </x:c>
      <x:c r="F5581" s="380" t="n">
        <x:v>5</x:v>
      </x:c>
      <x:c r="G5581" s="380" t="n">
        <x:f>--(F5581&lt;='Estimator'!$B$7)</x:f>
        <x:v>1</x:v>
      </x:c>
      <x:c r="H5581" s="381" t="n">
        <x:f>SUMIFS('Climate Data'!$G$7:$G$366,'Climate Data'!$A$7:$A$366,'Estimator'!$B$4,'Climate Data'!$B$7:$B$366,C5581)</x:f>
        <x:v>0.32023809523809527</x:v>
      </x:c>
      <x:c r="I5581" s="382" t="n">
        <x:f>SUMIFS('Climate Data'!$H$7:$H$366,'Climate Data'!$A$7:$A$366,'Estimator'!$B$4,'Climate Data'!$B$7:$B$366,C5581)</x:f>
        <x:v>9.066171003717471</x:v>
      </x:c>
      <x:c r="J5581" s="381" t="n">
        <x:f>SUMIFS('Wind Proxy'!$H$8:$H$19,'Wind Proxy'!$A$8:$A$19,'Estimator'!$B$4,'Wind Proxy'!$B$8:$B$19,C5581)</x:f>
        <x:v>0.11728395061728397</x:v>
      </x:c>
    </x:row>
    <x:row r="5582">
      <x:c r="A5582" s="379" t="n">
        <x:v>51233</x:v>
      </x:c>
      <x:c r="B5582" s="380" t="n">
        <x:v>2040</x:v>
      </x:c>
      <x:c r="C5582" s="380" t="n">
        <x:v>4</x:v>
      </x:c>
      <x:c r="D5582" s="380" t="str">
        <x:v>Apr</x:v>
      </x:c>
      <x:c r="E5582" s="380" t="n">
        <x:v>7</x:v>
      </x:c>
      <x:c r="F5582" s="380" t="n">
        <x:v>6</x:v>
      </x:c>
      <x:c r="G5582" s="380" t="n">
        <x:f>--(F5582&lt;='Estimator'!$B$7)</x:f>
        <x:v>0</x:v>
      </x:c>
      <x:c r="H5582" s="381" t="n">
        <x:f>SUMIFS('Climate Data'!$G$7:$G$366,'Climate Data'!$A$7:$A$366,'Estimator'!$B$4,'Climate Data'!$B$7:$B$366,C5582)</x:f>
        <x:v>0.32023809523809527</x:v>
      </x:c>
      <x:c r="I5582" s="382" t="n">
        <x:f>SUMIFS('Climate Data'!$H$7:$H$366,'Climate Data'!$A$7:$A$366,'Estimator'!$B$4,'Climate Data'!$B$7:$B$366,C5582)</x:f>
        <x:v>9.066171003717471</x:v>
      </x:c>
      <x:c r="J5582" s="381" t="n">
        <x:f>SUMIFS('Wind Proxy'!$H$8:$H$19,'Wind Proxy'!$A$8:$A$19,'Estimator'!$B$4,'Wind Proxy'!$B$8:$B$19,C5582)</x:f>
        <x:v>0.11728395061728397</x:v>
      </x:c>
    </x:row>
    <x:row r="5583">
      <x:c r="A5583" s="379" t="n">
        <x:v>51234</x:v>
      </x:c>
      <x:c r="B5583" s="380" t="n">
        <x:v>2040</x:v>
      </x:c>
      <x:c r="C5583" s="380" t="n">
        <x:v>4</x:v>
      </x:c>
      <x:c r="D5583" s="380" t="str">
        <x:v>Apr</x:v>
      </x:c>
      <x:c r="E5583" s="380" t="n">
        <x:v>8</x:v>
      </x:c>
      <x:c r="F5583" s="380" t="n">
        <x:v>7</x:v>
      </x:c>
      <x:c r="G5583" s="380" t="n">
        <x:f>--(F5583&lt;='Estimator'!$B$7)</x:f>
        <x:v>0</x:v>
      </x:c>
      <x:c r="H5583" s="381" t="n">
        <x:f>SUMIFS('Climate Data'!$G$7:$G$366,'Climate Data'!$A$7:$A$366,'Estimator'!$B$4,'Climate Data'!$B$7:$B$366,C5583)</x:f>
        <x:v>0.32023809523809527</x:v>
      </x:c>
      <x:c r="I5583" s="382" t="n">
        <x:f>SUMIFS('Climate Data'!$H$7:$H$366,'Climate Data'!$A$7:$A$366,'Estimator'!$B$4,'Climate Data'!$B$7:$B$366,C5583)</x:f>
        <x:v>9.066171003717471</x:v>
      </x:c>
      <x:c r="J5583" s="381" t="n">
        <x:f>SUMIFS('Wind Proxy'!$H$8:$H$19,'Wind Proxy'!$A$8:$A$19,'Estimator'!$B$4,'Wind Proxy'!$B$8:$B$19,C5583)</x:f>
        <x:v>0.11728395061728397</x:v>
      </x:c>
    </x:row>
    <x:row r="5584">
      <x:c r="A5584" s="379" t="n">
        <x:v>51235</x:v>
      </x:c>
      <x:c r="B5584" s="380" t="n">
        <x:v>2040</x:v>
      </x:c>
      <x:c r="C5584" s="380" t="n">
        <x:v>4</x:v>
      </x:c>
      <x:c r="D5584" s="380" t="str">
        <x:v>Apr</x:v>
      </x:c>
      <x:c r="E5584" s="380" t="n">
        <x:v>9</x:v>
      </x:c>
      <x:c r="F5584" s="380" t="n">
        <x:v>1</x:v>
      </x:c>
      <x:c r="G5584" s="380" t="n">
        <x:f>--(F5584&lt;='Estimator'!$B$7)</x:f>
        <x:v>1</x:v>
      </x:c>
      <x:c r="H5584" s="381" t="n">
        <x:f>SUMIFS('Climate Data'!$G$7:$G$366,'Climate Data'!$A$7:$A$366,'Estimator'!$B$4,'Climate Data'!$B$7:$B$366,C5584)</x:f>
        <x:v>0.32023809523809527</x:v>
      </x:c>
      <x:c r="I5584" s="382" t="n">
        <x:f>SUMIFS('Climate Data'!$H$7:$H$366,'Climate Data'!$A$7:$A$366,'Estimator'!$B$4,'Climate Data'!$B$7:$B$366,C5584)</x:f>
        <x:v>9.066171003717471</x:v>
      </x:c>
      <x:c r="J5584" s="381" t="n">
        <x:f>SUMIFS('Wind Proxy'!$H$8:$H$19,'Wind Proxy'!$A$8:$A$19,'Estimator'!$B$4,'Wind Proxy'!$B$8:$B$19,C5584)</x:f>
        <x:v>0.11728395061728397</x:v>
      </x:c>
    </x:row>
    <x:row r="5585">
      <x:c r="A5585" s="379" t="n">
        <x:v>51236</x:v>
      </x:c>
      <x:c r="B5585" s="380" t="n">
        <x:v>2040</x:v>
      </x:c>
      <x:c r="C5585" s="380" t="n">
        <x:v>4</x:v>
      </x:c>
      <x:c r="D5585" s="380" t="str">
        <x:v>Apr</x:v>
      </x:c>
      <x:c r="E5585" s="380" t="n">
        <x:v>10</x:v>
      </x:c>
      <x:c r="F5585" s="380" t="n">
        <x:v>2</x:v>
      </x:c>
      <x:c r="G5585" s="380" t="n">
        <x:f>--(F5585&lt;='Estimator'!$B$7)</x:f>
        <x:v>1</x:v>
      </x:c>
      <x:c r="H5585" s="381" t="n">
        <x:f>SUMIFS('Climate Data'!$G$7:$G$366,'Climate Data'!$A$7:$A$366,'Estimator'!$B$4,'Climate Data'!$B$7:$B$366,C5585)</x:f>
        <x:v>0.32023809523809527</x:v>
      </x:c>
      <x:c r="I5585" s="382" t="n">
        <x:f>SUMIFS('Climate Data'!$H$7:$H$366,'Climate Data'!$A$7:$A$366,'Estimator'!$B$4,'Climate Data'!$B$7:$B$366,C5585)</x:f>
        <x:v>9.066171003717471</x:v>
      </x:c>
      <x:c r="J5585" s="381" t="n">
        <x:f>SUMIFS('Wind Proxy'!$H$8:$H$19,'Wind Proxy'!$A$8:$A$19,'Estimator'!$B$4,'Wind Proxy'!$B$8:$B$19,C5585)</x:f>
        <x:v>0.11728395061728397</x:v>
      </x:c>
    </x:row>
    <x:row r="5586">
      <x:c r="A5586" s="379" t="n">
        <x:v>51237</x:v>
      </x:c>
      <x:c r="B5586" s="380" t="n">
        <x:v>2040</x:v>
      </x:c>
      <x:c r="C5586" s="380" t="n">
        <x:v>4</x:v>
      </x:c>
      <x:c r="D5586" s="380" t="str">
        <x:v>Apr</x:v>
      </x:c>
      <x:c r="E5586" s="380" t="n">
        <x:v>11</x:v>
      </x:c>
      <x:c r="F5586" s="380" t="n">
        <x:v>3</x:v>
      </x:c>
      <x:c r="G5586" s="380" t="n">
        <x:f>--(F5586&lt;='Estimator'!$B$7)</x:f>
        <x:v>1</x:v>
      </x:c>
      <x:c r="H5586" s="381" t="n">
        <x:f>SUMIFS('Climate Data'!$G$7:$G$366,'Climate Data'!$A$7:$A$366,'Estimator'!$B$4,'Climate Data'!$B$7:$B$366,C5586)</x:f>
        <x:v>0.32023809523809527</x:v>
      </x:c>
      <x:c r="I5586" s="382" t="n">
        <x:f>SUMIFS('Climate Data'!$H$7:$H$366,'Climate Data'!$A$7:$A$366,'Estimator'!$B$4,'Climate Data'!$B$7:$B$366,C5586)</x:f>
        <x:v>9.066171003717471</x:v>
      </x:c>
      <x:c r="J5586" s="381" t="n">
        <x:f>SUMIFS('Wind Proxy'!$H$8:$H$19,'Wind Proxy'!$A$8:$A$19,'Estimator'!$B$4,'Wind Proxy'!$B$8:$B$19,C5586)</x:f>
        <x:v>0.11728395061728397</x:v>
      </x:c>
    </x:row>
    <x:row r="5587">
      <x:c r="A5587" s="379" t="n">
        <x:v>51238</x:v>
      </x:c>
      <x:c r="B5587" s="380" t="n">
        <x:v>2040</x:v>
      </x:c>
      <x:c r="C5587" s="380" t="n">
        <x:v>4</x:v>
      </x:c>
      <x:c r="D5587" s="380" t="str">
        <x:v>Apr</x:v>
      </x:c>
      <x:c r="E5587" s="380" t="n">
        <x:v>12</x:v>
      </x:c>
      <x:c r="F5587" s="380" t="n">
        <x:v>4</x:v>
      </x:c>
      <x:c r="G5587" s="380" t="n">
        <x:f>--(F5587&lt;='Estimator'!$B$7)</x:f>
        <x:v>1</x:v>
      </x:c>
      <x:c r="H5587" s="381" t="n">
        <x:f>SUMIFS('Climate Data'!$G$7:$G$366,'Climate Data'!$A$7:$A$366,'Estimator'!$B$4,'Climate Data'!$B$7:$B$366,C5587)</x:f>
        <x:v>0.32023809523809527</x:v>
      </x:c>
      <x:c r="I5587" s="382" t="n">
        <x:f>SUMIFS('Climate Data'!$H$7:$H$366,'Climate Data'!$A$7:$A$366,'Estimator'!$B$4,'Climate Data'!$B$7:$B$366,C5587)</x:f>
        <x:v>9.066171003717471</x:v>
      </x:c>
      <x:c r="J5587" s="381" t="n">
        <x:f>SUMIFS('Wind Proxy'!$H$8:$H$19,'Wind Proxy'!$A$8:$A$19,'Estimator'!$B$4,'Wind Proxy'!$B$8:$B$19,C5587)</x:f>
        <x:v>0.11728395061728397</x:v>
      </x:c>
    </x:row>
    <x:row r="5588">
      <x:c r="A5588" s="379" t="n">
        <x:v>51239</x:v>
      </x:c>
      <x:c r="B5588" s="380" t="n">
        <x:v>2040</x:v>
      </x:c>
      <x:c r="C5588" s="380" t="n">
        <x:v>4</x:v>
      </x:c>
      <x:c r="D5588" s="380" t="str">
        <x:v>Apr</x:v>
      </x:c>
      <x:c r="E5588" s="380" t="n">
        <x:v>13</x:v>
      </x:c>
      <x:c r="F5588" s="380" t="n">
        <x:v>5</x:v>
      </x:c>
      <x:c r="G5588" s="380" t="n">
        <x:f>--(F5588&lt;='Estimator'!$B$7)</x:f>
        <x:v>1</x:v>
      </x:c>
      <x:c r="H5588" s="381" t="n">
        <x:f>SUMIFS('Climate Data'!$G$7:$G$366,'Climate Data'!$A$7:$A$366,'Estimator'!$B$4,'Climate Data'!$B$7:$B$366,C5588)</x:f>
        <x:v>0.32023809523809527</x:v>
      </x:c>
      <x:c r="I5588" s="382" t="n">
        <x:f>SUMIFS('Climate Data'!$H$7:$H$366,'Climate Data'!$A$7:$A$366,'Estimator'!$B$4,'Climate Data'!$B$7:$B$366,C5588)</x:f>
        <x:v>9.066171003717471</x:v>
      </x:c>
      <x:c r="J5588" s="381" t="n">
        <x:f>SUMIFS('Wind Proxy'!$H$8:$H$19,'Wind Proxy'!$A$8:$A$19,'Estimator'!$B$4,'Wind Proxy'!$B$8:$B$19,C5588)</x:f>
        <x:v>0.11728395061728397</x:v>
      </x:c>
    </x:row>
    <x:row r="5589">
      <x:c r="A5589" s="379" t="n">
        <x:v>51240</x:v>
      </x:c>
      <x:c r="B5589" s="380" t="n">
        <x:v>2040</x:v>
      </x:c>
      <x:c r="C5589" s="380" t="n">
        <x:v>4</x:v>
      </x:c>
      <x:c r="D5589" s="380" t="str">
        <x:v>Apr</x:v>
      </x:c>
      <x:c r="E5589" s="380" t="n">
        <x:v>14</x:v>
      </x:c>
      <x:c r="F5589" s="380" t="n">
        <x:v>6</x:v>
      </x:c>
      <x:c r="G5589" s="380" t="n">
        <x:f>--(F5589&lt;='Estimator'!$B$7)</x:f>
        <x:v>0</x:v>
      </x:c>
      <x:c r="H5589" s="381" t="n">
        <x:f>SUMIFS('Climate Data'!$G$7:$G$366,'Climate Data'!$A$7:$A$366,'Estimator'!$B$4,'Climate Data'!$B$7:$B$366,C5589)</x:f>
        <x:v>0.32023809523809527</x:v>
      </x:c>
      <x:c r="I5589" s="382" t="n">
        <x:f>SUMIFS('Climate Data'!$H$7:$H$366,'Climate Data'!$A$7:$A$366,'Estimator'!$B$4,'Climate Data'!$B$7:$B$366,C5589)</x:f>
        <x:v>9.066171003717471</x:v>
      </x:c>
      <x:c r="J5589" s="381" t="n">
        <x:f>SUMIFS('Wind Proxy'!$H$8:$H$19,'Wind Proxy'!$A$8:$A$19,'Estimator'!$B$4,'Wind Proxy'!$B$8:$B$19,C5589)</x:f>
        <x:v>0.11728395061728397</x:v>
      </x:c>
    </x:row>
    <x:row r="5590">
      <x:c r="A5590" s="379" t="n">
        <x:v>51241</x:v>
      </x:c>
      <x:c r="B5590" s="380" t="n">
        <x:v>2040</x:v>
      </x:c>
      <x:c r="C5590" s="380" t="n">
        <x:v>4</x:v>
      </x:c>
      <x:c r="D5590" s="380" t="str">
        <x:v>Apr</x:v>
      </x:c>
      <x:c r="E5590" s="380" t="n">
        <x:v>15</x:v>
      </x:c>
      <x:c r="F5590" s="380" t="n">
        <x:v>7</x:v>
      </x:c>
      <x:c r="G5590" s="380" t="n">
        <x:f>--(F5590&lt;='Estimator'!$B$7)</x:f>
        <x:v>0</x:v>
      </x:c>
      <x:c r="H5590" s="381" t="n">
        <x:f>SUMIFS('Climate Data'!$G$7:$G$366,'Climate Data'!$A$7:$A$366,'Estimator'!$B$4,'Climate Data'!$B$7:$B$366,C5590)</x:f>
        <x:v>0.32023809523809527</x:v>
      </x:c>
      <x:c r="I5590" s="382" t="n">
        <x:f>SUMIFS('Climate Data'!$H$7:$H$366,'Climate Data'!$A$7:$A$366,'Estimator'!$B$4,'Climate Data'!$B$7:$B$366,C5590)</x:f>
        <x:v>9.066171003717471</x:v>
      </x:c>
      <x:c r="J5590" s="381" t="n">
        <x:f>SUMIFS('Wind Proxy'!$H$8:$H$19,'Wind Proxy'!$A$8:$A$19,'Estimator'!$B$4,'Wind Proxy'!$B$8:$B$19,C5590)</x:f>
        <x:v>0.11728395061728397</x:v>
      </x:c>
    </x:row>
    <x:row r="5591">
      <x:c r="A5591" s="379" t="n">
        <x:v>51242</x:v>
      </x:c>
      <x:c r="B5591" s="380" t="n">
        <x:v>2040</x:v>
      </x:c>
      <x:c r="C5591" s="380" t="n">
        <x:v>4</x:v>
      </x:c>
      <x:c r="D5591" s="380" t="str">
        <x:v>Apr</x:v>
      </x:c>
      <x:c r="E5591" s="380" t="n">
        <x:v>16</x:v>
      </x:c>
      <x:c r="F5591" s="380" t="n">
        <x:v>1</x:v>
      </x:c>
      <x:c r="G5591" s="380" t="n">
        <x:f>--(F5591&lt;='Estimator'!$B$7)</x:f>
        <x:v>1</x:v>
      </x:c>
      <x:c r="H5591" s="381" t="n">
        <x:f>SUMIFS('Climate Data'!$G$7:$G$366,'Climate Data'!$A$7:$A$366,'Estimator'!$B$4,'Climate Data'!$B$7:$B$366,C5591)</x:f>
        <x:v>0.32023809523809527</x:v>
      </x:c>
      <x:c r="I5591" s="382" t="n">
        <x:f>SUMIFS('Climate Data'!$H$7:$H$366,'Climate Data'!$A$7:$A$366,'Estimator'!$B$4,'Climate Data'!$B$7:$B$366,C5591)</x:f>
        <x:v>9.066171003717471</x:v>
      </x:c>
      <x:c r="J5591" s="381" t="n">
        <x:f>SUMIFS('Wind Proxy'!$H$8:$H$19,'Wind Proxy'!$A$8:$A$19,'Estimator'!$B$4,'Wind Proxy'!$B$8:$B$19,C5591)</x:f>
        <x:v>0.11728395061728397</x:v>
      </x:c>
    </x:row>
    <x:row r="5592">
      <x:c r="A5592" s="379" t="n">
        <x:v>51243</x:v>
      </x:c>
      <x:c r="B5592" s="380" t="n">
        <x:v>2040</x:v>
      </x:c>
      <x:c r="C5592" s="380" t="n">
        <x:v>4</x:v>
      </x:c>
      <x:c r="D5592" s="380" t="str">
        <x:v>Apr</x:v>
      </x:c>
      <x:c r="E5592" s="380" t="n">
        <x:v>17</x:v>
      </x:c>
      <x:c r="F5592" s="380" t="n">
        <x:v>2</x:v>
      </x:c>
      <x:c r="G5592" s="380" t="n">
        <x:f>--(F5592&lt;='Estimator'!$B$7)</x:f>
        <x:v>1</x:v>
      </x:c>
      <x:c r="H5592" s="381" t="n">
        <x:f>SUMIFS('Climate Data'!$G$7:$G$366,'Climate Data'!$A$7:$A$366,'Estimator'!$B$4,'Climate Data'!$B$7:$B$366,C5592)</x:f>
        <x:v>0.32023809523809527</x:v>
      </x:c>
      <x:c r="I5592" s="382" t="n">
        <x:f>SUMIFS('Climate Data'!$H$7:$H$366,'Climate Data'!$A$7:$A$366,'Estimator'!$B$4,'Climate Data'!$B$7:$B$366,C5592)</x:f>
        <x:v>9.066171003717471</x:v>
      </x:c>
      <x:c r="J5592" s="381" t="n">
        <x:f>SUMIFS('Wind Proxy'!$H$8:$H$19,'Wind Proxy'!$A$8:$A$19,'Estimator'!$B$4,'Wind Proxy'!$B$8:$B$19,C5592)</x:f>
        <x:v>0.11728395061728397</x:v>
      </x:c>
    </x:row>
    <x:row r="5593">
      <x:c r="A5593" s="379" t="n">
        <x:v>51244</x:v>
      </x:c>
      <x:c r="B5593" s="380" t="n">
        <x:v>2040</x:v>
      </x:c>
      <x:c r="C5593" s="380" t="n">
        <x:v>4</x:v>
      </x:c>
      <x:c r="D5593" s="380" t="str">
        <x:v>Apr</x:v>
      </x:c>
      <x:c r="E5593" s="380" t="n">
        <x:v>18</x:v>
      </x:c>
      <x:c r="F5593" s="380" t="n">
        <x:v>3</x:v>
      </x:c>
      <x:c r="G5593" s="380" t="n">
        <x:f>--(F5593&lt;='Estimator'!$B$7)</x:f>
        <x:v>1</x:v>
      </x:c>
      <x:c r="H5593" s="381" t="n">
        <x:f>SUMIFS('Climate Data'!$G$7:$G$366,'Climate Data'!$A$7:$A$366,'Estimator'!$B$4,'Climate Data'!$B$7:$B$366,C5593)</x:f>
        <x:v>0.32023809523809527</x:v>
      </x:c>
      <x:c r="I5593" s="382" t="n">
        <x:f>SUMIFS('Climate Data'!$H$7:$H$366,'Climate Data'!$A$7:$A$366,'Estimator'!$B$4,'Climate Data'!$B$7:$B$366,C5593)</x:f>
        <x:v>9.066171003717471</x:v>
      </x:c>
      <x:c r="J5593" s="381" t="n">
        <x:f>SUMIFS('Wind Proxy'!$H$8:$H$19,'Wind Proxy'!$A$8:$A$19,'Estimator'!$B$4,'Wind Proxy'!$B$8:$B$19,C5593)</x:f>
        <x:v>0.11728395061728397</x:v>
      </x:c>
    </x:row>
    <x:row r="5594">
      <x:c r="A5594" s="379" t="n">
        <x:v>51245</x:v>
      </x:c>
      <x:c r="B5594" s="380" t="n">
        <x:v>2040</x:v>
      </x:c>
      <x:c r="C5594" s="380" t="n">
        <x:v>4</x:v>
      </x:c>
      <x:c r="D5594" s="380" t="str">
        <x:v>Apr</x:v>
      </x:c>
      <x:c r="E5594" s="380" t="n">
        <x:v>19</x:v>
      </x:c>
      <x:c r="F5594" s="380" t="n">
        <x:v>4</x:v>
      </x:c>
      <x:c r="G5594" s="380" t="n">
        <x:f>--(F5594&lt;='Estimator'!$B$7)</x:f>
        <x:v>1</x:v>
      </x:c>
      <x:c r="H5594" s="381" t="n">
        <x:f>SUMIFS('Climate Data'!$G$7:$G$366,'Climate Data'!$A$7:$A$366,'Estimator'!$B$4,'Climate Data'!$B$7:$B$366,C5594)</x:f>
        <x:v>0.32023809523809527</x:v>
      </x:c>
      <x:c r="I5594" s="382" t="n">
        <x:f>SUMIFS('Climate Data'!$H$7:$H$366,'Climate Data'!$A$7:$A$366,'Estimator'!$B$4,'Climate Data'!$B$7:$B$366,C5594)</x:f>
        <x:v>9.066171003717471</x:v>
      </x:c>
      <x:c r="J5594" s="381" t="n">
        <x:f>SUMIFS('Wind Proxy'!$H$8:$H$19,'Wind Proxy'!$A$8:$A$19,'Estimator'!$B$4,'Wind Proxy'!$B$8:$B$19,C5594)</x:f>
        <x:v>0.11728395061728397</x:v>
      </x:c>
    </x:row>
    <x:row r="5595">
      <x:c r="A5595" s="379" t="n">
        <x:v>51246</x:v>
      </x:c>
      <x:c r="B5595" s="380" t="n">
        <x:v>2040</x:v>
      </x:c>
      <x:c r="C5595" s="380" t="n">
        <x:v>4</x:v>
      </x:c>
      <x:c r="D5595" s="380" t="str">
        <x:v>Apr</x:v>
      </x:c>
      <x:c r="E5595" s="380" t="n">
        <x:v>20</x:v>
      </x:c>
      <x:c r="F5595" s="380" t="n">
        <x:v>5</x:v>
      </x:c>
      <x:c r="G5595" s="380" t="n">
        <x:f>--(F5595&lt;='Estimator'!$B$7)</x:f>
        <x:v>1</x:v>
      </x:c>
      <x:c r="H5595" s="381" t="n">
        <x:f>SUMIFS('Climate Data'!$G$7:$G$366,'Climate Data'!$A$7:$A$366,'Estimator'!$B$4,'Climate Data'!$B$7:$B$366,C5595)</x:f>
        <x:v>0.32023809523809527</x:v>
      </x:c>
      <x:c r="I5595" s="382" t="n">
        <x:f>SUMIFS('Climate Data'!$H$7:$H$366,'Climate Data'!$A$7:$A$366,'Estimator'!$B$4,'Climate Data'!$B$7:$B$366,C5595)</x:f>
        <x:v>9.066171003717471</x:v>
      </x:c>
      <x:c r="J5595" s="381" t="n">
        <x:f>SUMIFS('Wind Proxy'!$H$8:$H$19,'Wind Proxy'!$A$8:$A$19,'Estimator'!$B$4,'Wind Proxy'!$B$8:$B$19,C5595)</x:f>
        <x:v>0.11728395061728397</x:v>
      </x:c>
    </x:row>
    <x:row r="5596">
      <x:c r="A5596" s="379" t="n">
        <x:v>51247</x:v>
      </x:c>
      <x:c r="B5596" s="380" t="n">
        <x:v>2040</x:v>
      </x:c>
      <x:c r="C5596" s="380" t="n">
        <x:v>4</x:v>
      </x:c>
      <x:c r="D5596" s="380" t="str">
        <x:v>Apr</x:v>
      </x:c>
      <x:c r="E5596" s="380" t="n">
        <x:v>21</x:v>
      </x:c>
      <x:c r="F5596" s="380" t="n">
        <x:v>6</x:v>
      </x:c>
      <x:c r="G5596" s="380" t="n">
        <x:f>--(F5596&lt;='Estimator'!$B$7)</x:f>
        <x:v>0</x:v>
      </x:c>
      <x:c r="H5596" s="381" t="n">
        <x:f>SUMIFS('Climate Data'!$G$7:$G$366,'Climate Data'!$A$7:$A$366,'Estimator'!$B$4,'Climate Data'!$B$7:$B$366,C5596)</x:f>
        <x:v>0.32023809523809527</x:v>
      </x:c>
      <x:c r="I5596" s="382" t="n">
        <x:f>SUMIFS('Climate Data'!$H$7:$H$366,'Climate Data'!$A$7:$A$366,'Estimator'!$B$4,'Climate Data'!$B$7:$B$366,C5596)</x:f>
        <x:v>9.066171003717471</x:v>
      </x:c>
      <x:c r="J5596" s="381" t="n">
        <x:f>SUMIFS('Wind Proxy'!$H$8:$H$19,'Wind Proxy'!$A$8:$A$19,'Estimator'!$B$4,'Wind Proxy'!$B$8:$B$19,C5596)</x:f>
        <x:v>0.11728395061728397</x:v>
      </x:c>
    </x:row>
    <x:row r="5597">
      <x:c r="A5597" s="379" t="n">
        <x:v>51248</x:v>
      </x:c>
      <x:c r="B5597" s="380" t="n">
        <x:v>2040</x:v>
      </x:c>
      <x:c r="C5597" s="380" t="n">
        <x:v>4</x:v>
      </x:c>
      <x:c r="D5597" s="380" t="str">
        <x:v>Apr</x:v>
      </x:c>
      <x:c r="E5597" s="380" t="n">
        <x:v>22</x:v>
      </x:c>
      <x:c r="F5597" s="380" t="n">
        <x:v>7</x:v>
      </x:c>
      <x:c r="G5597" s="380" t="n">
        <x:f>--(F5597&lt;='Estimator'!$B$7)</x:f>
        <x:v>0</x:v>
      </x:c>
      <x:c r="H5597" s="381" t="n">
        <x:f>SUMIFS('Climate Data'!$G$7:$G$366,'Climate Data'!$A$7:$A$366,'Estimator'!$B$4,'Climate Data'!$B$7:$B$366,C5597)</x:f>
        <x:v>0.32023809523809527</x:v>
      </x:c>
      <x:c r="I5597" s="382" t="n">
        <x:f>SUMIFS('Climate Data'!$H$7:$H$366,'Climate Data'!$A$7:$A$366,'Estimator'!$B$4,'Climate Data'!$B$7:$B$366,C5597)</x:f>
        <x:v>9.066171003717471</x:v>
      </x:c>
      <x:c r="J5597" s="381" t="n">
        <x:f>SUMIFS('Wind Proxy'!$H$8:$H$19,'Wind Proxy'!$A$8:$A$19,'Estimator'!$B$4,'Wind Proxy'!$B$8:$B$19,C5597)</x:f>
        <x:v>0.11728395061728397</x:v>
      </x:c>
    </x:row>
    <x:row r="5598">
      <x:c r="A5598" s="379" t="n">
        <x:v>51249</x:v>
      </x:c>
      <x:c r="B5598" s="380" t="n">
        <x:v>2040</x:v>
      </x:c>
      <x:c r="C5598" s="380" t="n">
        <x:v>4</x:v>
      </x:c>
      <x:c r="D5598" s="380" t="str">
        <x:v>Apr</x:v>
      </x:c>
      <x:c r="E5598" s="380" t="n">
        <x:v>23</x:v>
      </x:c>
      <x:c r="F5598" s="380" t="n">
        <x:v>1</x:v>
      </x:c>
      <x:c r="G5598" s="380" t="n">
        <x:f>--(F5598&lt;='Estimator'!$B$7)</x:f>
        <x:v>1</x:v>
      </x:c>
      <x:c r="H5598" s="381" t="n">
        <x:f>SUMIFS('Climate Data'!$G$7:$G$366,'Climate Data'!$A$7:$A$366,'Estimator'!$B$4,'Climate Data'!$B$7:$B$366,C5598)</x:f>
        <x:v>0.32023809523809527</x:v>
      </x:c>
      <x:c r="I5598" s="382" t="n">
        <x:f>SUMIFS('Climate Data'!$H$7:$H$366,'Climate Data'!$A$7:$A$366,'Estimator'!$B$4,'Climate Data'!$B$7:$B$366,C5598)</x:f>
        <x:v>9.066171003717471</x:v>
      </x:c>
      <x:c r="J5598" s="381" t="n">
        <x:f>SUMIFS('Wind Proxy'!$H$8:$H$19,'Wind Proxy'!$A$8:$A$19,'Estimator'!$B$4,'Wind Proxy'!$B$8:$B$19,C5598)</x:f>
        <x:v>0.11728395061728397</x:v>
      </x:c>
    </x:row>
    <x:row r="5599">
      <x:c r="A5599" s="379" t="n">
        <x:v>51250</x:v>
      </x:c>
      <x:c r="B5599" s="380" t="n">
        <x:v>2040</x:v>
      </x:c>
      <x:c r="C5599" s="380" t="n">
        <x:v>4</x:v>
      </x:c>
      <x:c r="D5599" s="380" t="str">
        <x:v>Apr</x:v>
      </x:c>
      <x:c r="E5599" s="380" t="n">
        <x:v>24</x:v>
      </x:c>
      <x:c r="F5599" s="380" t="n">
        <x:v>2</x:v>
      </x:c>
      <x:c r="G5599" s="380" t="n">
        <x:f>--(F5599&lt;='Estimator'!$B$7)</x:f>
        <x:v>1</x:v>
      </x:c>
      <x:c r="H5599" s="381" t="n">
        <x:f>SUMIFS('Climate Data'!$G$7:$G$366,'Climate Data'!$A$7:$A$366,'Estimator'!$B$4,'Climate Data'!$B$7:$B$366,C5599)</x:f>
        <x:v>0.32023809523809527</x:v>
      </x:c>
      <x:c r="I5599" s="382" t="n">
        <x:f>SUMIFS('Climate Data'!$H$7:$H$366,'Climate Data'!$A$7:$A$366,'Estimator'!$B$4,'Climate Data'!$B$7:$B$366,C5599)</x:f>
        <x:v>9.066171003717471</x:v>
      </x:c>
      <x:c r="J5599" s="381" t="n">
        <x:f>SUMIFS('Wind Proxy'!$H$8:$H$19,'Wind Proxy'!$A$8:$A$19,'Estimator'!$B$4,'Wind Proxy'!$B$8:$B$19,C5599)</x:f>
        <x:v>0.11728395061728397</x:v>
      </x:c>
    </x:row>
    <x:row r="5600">
      <x:c r="A5600" s="379" t="n">
        <x:v>51251</x:v>
      </x:c>
      <x:c r="B5600" s="380" t="n">
        <x:v>2040</x:v>
      </x:c>
      <x:c r="C5600" s="380" t="n">
        <x:v>4</x:v>
      </x:c>
      <x:c r="D5600" s="380" t="str">
        <x:v>Apr</x:v>
      </x:c>
      <x:c r="E5600" s="380" t="n">
        <x:v>25</x:v>
      </x:c>
      <x:c r="F5600" s="380" t="n">
        <x:v>3</x:v>
      </x:c>
      <x:c r="G5600" s="380" t="n">
        <x:f>--(F5600&lt;='Estimator'!$B$7)</x:f>
        <x:v>1</x:v>
      </x:c>
      <x:c r="H5600" s="381" t="n">
        <x:f>SUMIFS('Climate Data'!$G$7:$G$366,'Climate Data'!$A$7:$A$366,'Estimator'!$B$4,'Climate Data'!$B$7:$B$366,C5600)</x:f>
        <x:v>0.32023809523809527</x:v>
      </x:c>
      <x:c r="I5600" s="382" t="n">
        <x:f>SUMIFS('Climate Data'!$H$7:$H$366,'Climate Data'!$A$7:$A$366,'Estimator'!$B$4,'Climate Data'!$B$7:$B$366,C5600)</x:f>
        <x:v>9.066171003717471</x:v>
      </x:c>
      <x:c r="J5600" s="381" t="n">
        <x:f>SUMIFS('Wind Proxy'!$H$8:$H$19,'Wind Proxy'!$A$8:$A$19,'Estimator'!$B$4,'Wind Proxy'!$B$8:$B$19,C5600)</x:f>
        <x:v>0.11728395061728397</x:v>
      </x:c>
    </x:row>
    <x:row r="5601">
      <x:c r="A5601" s="379" t="n">
        <x:v>51252</x:v>
      </x:c>
      <x:c r="B5601" s="380" t="n">
        <x:v>2040</x:v>
      </x:c>
      <x:c r="C5601" s="380" t="n">
        <x:v>4</x:v>
      </x:c>
      <x:c r="D5601" s="380" t="str">
        <x:v>Apr</x:v>
      </x:c>
      <x:c r="E5601" s="380" t="n">
        <x:v>26</x:v>
      </x:c>
      <x:c r="F5601" s="380" t="n">
        <x:v>4</x:v>
      </x:c>
      <x:c r="G5601" s="380" t="n">
        <x:f>--(F5601&lt;='Estimator'!$B$7)</x:f>
        <x:v>1</x:v>
      </x:c>
      <x:c r="H5601" s="381" t="n">
        <x:f>SUMIFS('Climate Data'!$G$7:$G$366,'Climate Data'!$A$7:$A$366,'Estimator'!$B$4,'Climate Data'!$B$7:$B$366,C5601)</x:f>
        <x:v>0.32023809523809527</x:v>
      </x:c>
      <x:c r="I5601" s="382" t="n">
        <x:f>SUMIFS('Climate Data'!$H$7:$H$366,'Climate Data'!$A$7:$A$366,'Estimator'!$B$4,'Climate Data'!$B$7:$B$366,C5601)</x:f>
        <x:v>9.066171003717471</x:v>
      </x:c>
      <x:c r="J5601" s="381" t="n">
        <x:f>SUMIFS('Wind Proxy'!$H$8:$H$19,'Wind Proxy'!$A$8:$A$19,'Estimator'!$B$4,'Wind Proxy'!$B$8:$B$19,C5601)</x:f>
        <x:v>0.11728395061728397</x:v>
      </x:c>
    </x:row>
    <x:row r="5602">
      <x:c r="A5602" s="379" t="n">
        <x:v>51253</x:v>
      </x:c>
      <x:c r="B5602" s="380" t="n">
        <x:v>2040</x:v>
      </x:c>
      <x:c r="C5602" s="380" t="n">
        <x:v>4</x:v>
      </x:c>
      <x:c r="D5602" s="380" t="str">
        <x:v>Apr</x:v>
      </x:c>
      <x:c r="E5602" s="380" t="n">
        <x:v>27</x:v>
      </x:c>
      <x:c r="F5602" s="380" t="n">
        <x:v>5</x:v>
      </x:c>
      <x:c r="G5602" s="380" t="n">
        <x:f>--(F5602&lt;='Estimator'!$B$7)</x:f>
        <x:v>1</x:v>
      </x:c>
      <x:c r="H5602" s="381" t="n">
        <x:f>SUMIFS('Climate Data'!$G$7:$G$366,'Climate Data'!$A$7:$A$366,'Estimator'!$B$4,'Climate Data'!$B$7:$B$366,C5602)</x:f>
        <x:v>0.32023809523809527</x:v>
      </x:c>
      <x:c r="I5602" s="382" t="n">
        <x:f>SUMIFS('Climate Data'!$H$7:$H$366,'Climate Data'!$A$7:$A$366,'Estimator'!$B$4,'Climate Data'!$B$7:$B$366,C5602)</x:f>
        <x:v>9.066171003717471</x:v>
      </x:c>
      <x:c r="J5602" s="381" t="n">
        <x:f>SUMIFS('Wind Proxy'!$H$8:$H$19,'Wind Proxy'!$A$8:$A$19,'Estimator'!$B$4,'Wind Proxy'!$B$8:$B$19,C5602)</x:f>
        <x:v>0.11728395061728397</x:v>
      </x:c>
    </x:row>
    <x:row r="5603">
      <x:c r="A5603" s="379" t="n">
        <x:v>51254</x:v>
      </x:c>
      <x:c r="B5603" s="380" t="n">
        <x:v>2040</x:v>
      </x:c>
      <x:c r="C5603" s="380" t="n">
        <x:v>4</x:v>
      </x:c>
      <x:c r="D5603" s="380" t="str">
        <x:v>Apr</x:v>
      </x:c>
      <x:c r="E5603" s="380" t="n">
        <x:v>28</x:v>
      </x:c>
      <x:c r="F5603" s="380" t="n">
        <x:v>6</x:v>
      </x:c>
      <x:c r="G5603" s="380" t="n">
        <x:f>--(F5603&lt;='Estimator'!$B$7)</x:f>
        <x:v>0</x:v>
      </x:c>
      <x:c r="H5603" s="381" t="n">
        <x:f>SUMIFS('Climate Data'!$G$7:$G$366,'Climate Data'!$A$7:$A$366,'Estimator'!$B$4,'Climate Data'!$B$7:$B$366,C5603)</x:f>
        <x:v>0.32023809523809527</x:v>
      </x:c>
      <x:c r="I5603" s="382" t="n">
        <x:f>SUMIFS('Climate Data'!$H$7:$H$366,'Climate Data'!$A$7:$A$366,'Estimator'!$B$4,'Climate Data'!$B$7:$B$366,C5603)</x:f>
        <x:v>9.066171003717471</x:v>
      </x:c>
      <x:c r="J5603" s="381" t="n">
        <x:f>SUMIFS('Wind Proxy'!$H$8:$H$19,'Wind Proxy'!$A$8:$A$19,'Estimator'!$B$4,'Wind Proxy'!$B$8:$B$19,C5603)</x:f>
        <x:v>0.11728395061728397</x:v>
      </x:c>
    </x:row>
    <x:row r="5604">
      <x:c r="A5604" s="379" t="n">
        <x:v>51255</x:v>
      </x:c>
      <x:c r="B5604" s="380" t="n">
        <x:v>2040</x:v>
      </x:c>
      <x:c r="C5604" s="380" t="n">
        <x:v>4</x:v>
      </x:c>
      <x:c r="D5604" s="380" t="str">
        <x:v>Apr</x:v>
      </x:c>
      <x:c r="E5604" s="380" t="n">
        <x:v>29</x:v>
      </x:c>
      <x:c r="F5604" s="380" t="n">
        <x:v>7</x:v>
      </x:c>
      <x:c r="G5604" s="380" t="n">
        <x:f>--(F5604&lt;='Estimator'!$B$7)</x:f>
        <x:v>0</x:v>
      </x:c>
      <x:c r="H5604" s="381" t="n">
        <x:f>SUMIFS('Climate Data'!$G$7:$G$366,'Climate Data'!$A$7:$A$366,'Estimator'!$B$4,'Climate Data'!$B$7:$B$366,C5604)</x:f>
        <x:v>0.32023809523809527</x:v>
      </x:c>
      <x:c r="I5604" s="382" t="n">
        <x:f>SUMIFS('Climate Data'!$H$7:$H$366,'Climate Data'!$A$7:$A$366,'Estimator'!$B$4,'Climate Data'!$B$7:$B$366,C5604)</x:f>
        <x:v>9.066171003717471</x:v>
      </x:c>
      <x:c r="J5604" s="381" t="n">
        <x:f>SUMIFS('Wind Proxy'!$H$8:$H$19,'Wind Proxy'!$A$8:$A$19,'Estimator'!$B$4,'Wind Proxy'!$B$8:$B$19,C5604)</x:f>
        <x:v>0.11728395061728397</x:v>
      </x:c>
    </x:row>
    <x:row r="5605">
      <x:c r="A5605" s="379" t="n">
        <x:v>51256</x:v>
      </x:c>
      <x:c r="B5605" s="380" t="n">
        <x:v>2040</x:v>
      </x:c>
      <x:c r="C5605" s="380" t="n">
        <x:v>4</x:v>
      </x:c>
      <x:c r="D5605" s="380" t="str">
        <x:v>Apr</x:v>
      </x:c>
      <x:c r="E5605" s="380" t="n">
        <x:v>30</x:v>
      </x:c>
      <x:c r="F5605" s="380" t="n">
        <x:v>1</x:v>
      </x:c>
      <x:c r="G5605" s="380" t="n">
        <x:f>--(F5605&lt;='Estimator'!$B$7)</x:f>
        <x:v>1</x:v>
      </x:c>
      <x:c r="H5605" s="381" t="n">
        <x:f>SUMIFS('Climate Data'!$G$7:$G$366,'Climate Data'!$A$7:$A$366,'Estimator'!$B$4,'Climate Data'!$B$7:$B$366,C5605)</x:f>
        <x:v>0.32023809523809527</x:v>
      </x:c>
      <x:c r="I5605" s="382" t="n">
        <x:f>SUMIFS('Climate Data'!$H$7:$H$366,'Climate Data'!$A$7:$A$366,'Estimator'!$B$4,'Climate Data'!$B$7:$B$366,C5605)</x:f>
        <x:v>9.066171003717471</x:v>
      </x:c>
      <x:c r="J5605" s="381" t="n">
        <x:f>SUMIFS('Wind Proxy'!$H$8:$H$19,'Wind Proxy'!$A$8:$A$19,'Estimator'!$B$4,'Wind Proxy'!$B$8:$B$19,C5605)</x:f>
        <x:v>0.11728395061728397</x:v>
      </x:c>
    </x:row>
    <x:row r="5606">
      <x:c r="A5606" s="379" t="n">
        <x:v>51257</x:v>
      </x:c>
      <x:c r="B5606" s="380" t="n">
        <x:v>2040</x:v>
      </x:c>
      <x:c r="C5606" s="380" t="n">
        <x:v>5</x:v>
      </x:c>
      <x:c r="D5606" s="380" t="str">
        <x:v>May</x:v>
      </x:c>
      <x:c r="E5606" s="380" t="n">
        <x:v>1</x:v>
      </x:c>
      <x:c r="F5606" s="380" t="n">
        <x:v>2</x:v>
      </x:c>
      <x:c r="G5606" s="380" t="n">
        <x:f>--(F5606&lt;='Estimator'!$B$7)</x:f>
        <x:v>1</x:v>
      </x:c>
      <x:c r="H5606" s="381" t="n">
        <x:f>SUMIFS('Climate Data'!$G$7:$G$366,'Climate Data'!$A$7:$A$366,'Estimator'!$B$4,'Climate Data'!$B$7:$B$366,C5606)</x:f>
        <x:v>0.41935483870967744</x:v>
      </x:c>
      <x:c r="I5606" s="382" t="n">
        <x:f>SUMIFS('Climate Data'!$H$7:$H$366,'Climate Data'!$A$7:$A$366,'Estimator'!$B$4,'Climate Data'!$B$7:$B$366,C5606)</x:f>
        <x:v>9.215384615384615</x:v>
      </x:c>
      <x:c r="J5606" s="381" t="n">
        <x:f>SUMIFS('Wind Proxy'!$H$8:$H$19,'Wind Proxy'!$A$8:$A$19,'Estimator'!$B$4,'Wind Proxy'!$B$8:$B$19,C5606)</x:f>
        <x:v>0.11350059737156513</x:v>
      </x:c>
    </x:row>
    <x:row r="5607">
      <x:c r="A5607" s="379" t="n">
        <x:v>51258</x:v>
      </x:c>
      <x:c r="B5607" s="380" t="n">
        <x:v>2040</x:v>
      </x:c>
      <x:c r="C5607" s="380" t="n">
        <x:v>5</x:v>
      </x:c>
      <x:c r="D5607" s="380" t="str">
        <x:v>May</x:v>
      </x:c>
      <x:c r="E5607" s="380" t="n">
        <x:v>2</x:v>
      </x:c>
      <x:c r="F5607" s="380" t="n">
        <x:v>3</x:v>
      </x:c>
      <x:c r="G5607" s="380" t="n">
        <x:f>--(F5607&lt;='Estimator'!$B$7)</x:f>
        <x:v>1</x:v>
      </x:c>
      <x:c r="H5607" s="381" t="n">
        <x:f>SUMIFS('Climate Data'!$G$7:$G$366,'Climate Data'!$A$7:$A$366,'Estimator'!$B$4,'Climate Data'!$B$7:$B$366,C5607)</x:f>
        <x:v>0.41935483870967744</x:v>
      </x:c>
      <x:c r="I5607" s="382" t="n">
        <x:f>SUMIFS('Climate Data'!$H$7:$H$366,'Climate Data'!$A$7:$A$366,'Estimator'!$B$4,'Climate Data'!$B$7:$B$366,C5607)</x:f>
        <x:v>9.215384615384615</x:v>
      </x:c>
      <x:c r="J5607" s="381" t="n">
        <x:f>SUMIFS('Wind Proxy'!$H$8:$H$19,'Wind Proxy'!$A$8:$A$19,'Estimator'!$B$4,'Wind Proxy'!$B$8:$B$19,C5607)</x:f>
        <x:v>0.11350059737156513</x:v>
      </x:c>
    </x:row>
    <x:row r="5608">
      <x:c r="A5608" s="379" t="n">
        <x:v>51259</x:v>
      </x:c>
      <x:c r="B5608" s="380" t="n">
        <x:v>2040</x:v>
      </x:c>
      <x:c r="C5608" s="380" t="n">
        <x:v>5</x:v>
      </x:c>
      <x:c r="D5608" s="380" t="str">
        <x:v>May</x:v>
      </x:c>
      <x:c r="E5608" s="380" t="n">
        <x:v>3</x:v>
      </x:c>
      <x:c r="F5608" s="380" t="n">
        <x:v>4</x:v>
      </x:c>
      <x:c r="G5608" s="380" t="n">
        <x:f>--(F5608&lt;='Estimator'!$B$7)</x:f>
        <x:v>1</x:v>
      </x:c>
      <x:c r="H5608" s="381" t="n">
        <x:f>SUMIFS('Climate Data'!$G$7:$G$366,'Climate Data'!$A$7:$A$366,'Estimator'!$B$4,'Climate Data'!$B$7:$B$366,C5608)</x:f>
        <x:v>0.41935483870967744</x:v>
      </x:c>
      <x:c r="I5608" s="382" t="n">
        <x:f>SUMIFS('Climate Data'!$H$7:$H$366,'Climate Data'!$A$7:$A$366,'Estimator'!$B$4,'Climate Data'!$B$7:$B$366,C5608)</x:f>
        <x:v>9.215384615384615</x:v>
      </x:c>
      <x:c r="J5608" s="381" t="n">
        <x:f>SUMIFS('Wind Proxy'!$H$8:$H$19,'Wind Proxy'!$A$8:$A$19,'Estimator'!$B$4,'Wind Proxy'!$B$8:$B$19,C5608)</x:f>
        <x:v>0.11350059737156513</x:v>
      </x:c>
    </x:row>
    <x:row r="5609">
      <x:c r="A5609" s="379" t="n">
        <x:v>51260</x:v>
      </x:c>
      <x:c r="B5609" s="380" t="n">
        <x:v>2040</x:v>
      </x:c>
      <x:c r="C5609" s="380" t="n">
        <x:v>5</x:v>
      </x:c>
      <x:c r="D5609" s="380" t="str">
        <x:v>May</x:v>
      </x:c>
      <x:c r="E5609" s="380" t="n">
        <x:v>4</x:v>
      </x:c>
      <x:c r="F5609" s="380" t="n">
        <x:v>5</x:v>
      </x:c>
      <x:c r="G5609" s="380" t="n">
        <x:f>--(F5609&lt;='Estimator'!$B$7)</x:f>
        <x:v>1</x:v>
      </x:c>
      <x:c r="H5609" s="381" t="n">
        <x:f>SUMIFS('Climate Data'!$G$7:$G$366,'Climate Data'!$A$7:$A$366,'Estimator'!$B$4,'Climate Data'!$B$7:$B$366,C5609)</x:f>
        <x:v>0.41935483870967744</x:v>
      </x:c>
      <x:c r="I5609" s="382" t="n">
        <x:f>SUMIFS('Climate Data'!$H$7:$H$366,'Climate Data'!$A$7:$A$366,'Estimator'!$B$4,'Climate Data'!$B$7:$B$366,C5609)</x:f>
        <x:v>9.215384615384615</x:v>
      </x:c>
      <x:c r="J5609" s="381" t="n">
        <x:f>SUMIFS('Wind Proxy'!$H$8:$H$19,'Wind Proxy'!$A$8:$A$19,'Estimator'!$B$4,'Wind Proxy'!$B$8:$B$19,C5609)</x:f>
        <x:v>0.11350059737156513</x:v>
      </x:c>
    </x:row>
    <x:row r="5610">
      <x:c r="A5610" s="379" t="n">
        <x:v>51261</x:v>
      </x:c>
      <x:c r="B5610" s="380" t="n">
        <x:v>2040</x:v>
      </x:c>
      <x:c r="C5610" s="380" t="n">
        <x:v>5</x:v>
      </x:c>
      <x:c r="D5610" s="380" t="str">
        <x:v>May</x:v>
      </x:c>
      <x:c r="E5610" s="380" t="n">
        <x:v>5</x:v>
      </x:c>
      <x:c r="F5610" s="380" t="n">
        <x:v>6</x:v>
      </x:c>
      <x:c r="G5610" s="380" t="n">
        <x:f>--(F5610&lt;='Estimator'!$B$7)</x:f>
        <x:v>0</x:v>
      </x:c>
      <x:c r="H5610" s="381" t="n">
        <x:f>SUMIFS('Climate Data'!$G$7:$G$366,'Climate Data'!$A$7:$A$366,'Estimator'!$B$4,'Climate Data'!$B$7:$B$366,C5610)</x:f>
        <x:v>0.41935483870967744</x:v>
      </x:c>
      <x:c r="I5610" s="382" t="n">
        <x:f>SUMIFS('Climate Data'!$H$7:$H$366,'Climate Data'!$A$7:$A$366,'Estimator'!$B$4,'Climate Data'!$B$7:$B$366,C5610)</x:f>
        <x:v>9.215384615384615</x:v>
      </x:c>
      <x:c r="J5610" s="381" t="n">
        <x:f>SUMIFS('Wind Proxy'!$H$8:$H$19,'Wind Proxy'!$A$8:$A$19,'Estimator'!$B$4,'Wind Proxy'!$B$8:$B$19,C5610)</x:f>
        <x:v>0.11350059737156513</x:v>
      </x:c>
    </x:row>
    <x:row r="5611">
      <x:c r="A5611" s="379" t="n">
        <x:v>51262</x:v>
      </x:c>
      <x:c r="B5611" s="380" t="n">
        <x:v>2040</x:v>
      </x:c>
      <x:c r="C5611" s="380" t="n">
        <x:v>5</x:v>
      </x:c>
      <x:c r="D5611" s="380" t="str">
        <x:v>May</x:v>
      </x:c>
      <x:c r="E5611" s="380" t="n">
        <x:v>6</x:v>
      </x:c>
      <x:c r="F5611" s="380" t="n">
        <x:v>7</x:v>
      </x:c>
      <x:c r="G5611" s="380" t="n">
        <x:f>--(F5611&lt;='Estimator'!$B$7)</x:f>
        <x:v>0</x:v>
      </x:c>
      <x:c r="H5611" s="381" t="n">
        <x:f>SUMIFS('Climate Data'!$G$7:$G$366,'Climate Data'!$A$7:$A$366,'Estimator'!$B$4,'Climate Data'!$B$7:$B$366,C5611)</x:f>
        <x:v>0.41935483870967744</x:v>
      </x:c>
      <x:c r="I5611" s="382" t="n">
        <x:f>SUMIFS('Climate Data'!$H$7:$H$366,'Climate Data'!$A$7:$A$366,'Estimator'!$B$4,'Climate Data'!$B$7:$B$366,C5611)</x:f>
        <x:v>9.215384615384615</x:v>
      </x:c>
      <x:c r="J5611" s="381" t="n">
        <x:f>SUMIFS('Wind Proxy'!$H$8:$H$19,'Wind Proxy'!$A$8:$A$19,'Estimator'!$B$4,'Wind Proxy'!$B$8:$B$19,C5611)</x:f>
        <x:v>0.11350059737156513</x:v>
      </x:c>
    </x:row>
    <x:row r="5612">
      <x:c r="A5612" s="379" t="n">
        <x:v>51263</x:v>
      </x:c>
      <x:c r="B5612" s="380" t="n">
        <x:v>2040</x:v>
      </x:c>
      <x:c r="C5612" s="380" t="n">
        <x:v>5</x:v>
      </x:c>
      <x:c r="D5612" s="380" t="str">
        <x:v>May</x:v>
      </x:c>
      <x:c r="E5612" s="380" t="n">
        <x:v>7</x:v>
      </x:c>
      <x:c r="F5612" s="380" t="n">
        <x:v>1</x:v>
      </x:c>
      <x:c r="G5612" s="380" t="n">
        <x:f>--(F5612&lt;='Estimator'!$B$7)</x:f>
        <x:v>1</x:v>
      </x:c>
      <x:c r="H5612" s="381" t="n">
        <x:f>SUMIFS('Climate Data'!$G$7:$G$366,'Climate Data'!$A$7:$A$366,'Estimator'!$B$4,'Climate Data'!$B$7:$B$366,C5612)</x:f>
        <x:v>0.41935483870967744</x:v>
      </x:c>
      <x:c r="I5612" s="382" t="n">
        <x:f>SUMIFS('Climate Data'!$H$7:$H$366,'Climate Data'!$A$7:$A$366,'Estimator'!$B$4,'Climate Data'!$B$7:$B$366,C5612)</x:f>
        <x:v>9.215384615384615</x:v>
      </x:c>
      <x:c r="J5612" s="381" t="n">
        <x:f>SUMIFS('Wind Proxy'!$H$8:$H$19,'Wind Proxy'!$A$8:$A$19,'Estimator'!$B$4,'Wind Proxy'!$B$8:$B$19,C5612)</x:f>
        <x:v>0.11350059737156513</x:v>
      </x:c>
    </x:row>
    <x:row r="5613">
      <x:c r="A5613" s="379" t="n">
        <x:v>51264</x:v>
      </x:c>
      <x:c r="B5613" s="380" t="n">
        <x:v>2040</x:v>
      </x:c>
      <x:c r="C5613" s="380" t="n">
        <x:v>5</x:v>
      </x:c>
      <x:c r="D5613" s="380" t="str">
        <x:v>May</x:v>
      </x:c>
      <x:c r="E5613" s="380" t="n">
        <x:v>8</x:v>
      </x:c>
      <x:c r="F5613" s="380" t="n">
        <x:v>2</x:v>
      </x:c>
      <x:c r="G5613" s="380" t="n">
        <x:f>--(F5613&lt;='Estimator'!$B$7)</x:f>
        <x:v>1</x:v>
      </x:c>
      <x:c r="H5613" s="381" t="n">
        <x:f>SUMIFS('Climate Data'!$G$7:$G$366,'Climate Data'!$A$7:$A$366,'Estimator'!$B$4,'Climate Data'!$B$7:$B$366,C5613)</x:f>
        <x:v>0.41935483870967744</x:v>
      </x:c>
      <x:c r="I5613" s="382" t="n">
        <x:f>SUMIFS('Climate Data'!$H$7:$H$366,'Climate Data'!$A$7:$A$366,'Estimator'!$B$4,'Climate Data'!$B$7:$B$366,C5613)</x:f>
        <x:v>9.215384615384615</x:v>
      </x:c>
      <x:c r="J5613" s="381" t="n">
        <x:f>SUMIFS('Wind Proxy'!$H$8:$H$19,'Wind Proxy'!$A$8:$A$19,'Estimator'!$B$4,'Wind Proxy'!$B$8:$B$19,C5613)</x:f>
        <x:v>0.11350059737156513</x:v>
      </x:c>
    </x:row>
    <x:row r="5614">
      <x:c r="A5614" s="379" t="n">
        <x:v>51265</x:v>
      </x:c>
      <x:c r="B5614" s="380" t="n">
        <x:v>2040</x:v>
      </x:c>
      <x:c r="C5614" s="380" t="n">
        <x:v>5</x:v>
      </x:c>
      <x:c r="D5614" s="380" t="str">
        <x:v>May</x:v>
      </x:c>
      <x:c r="E5614" s="380" t="n">
        <x:v>9</x:v>
      </x:c>
      <x:c r="F5614" s="380" t="n">
        <x:v>3</x:v>
      </x:c>
      <x:c r="G5614" s="380" t="n">
        <x:f>--(F5614&lt;='Estimator'!$B$7)</x:f>
        <x:v>1</x:v>
      </x:c>
      <x:c r="H5614" s="381" t="n">
        <x:f>SUMIFS('Climate Data'!$G$7:$G$366,'Climate Data'!$A$7:$A$366,'Estimator'!$B$4,'Climate Data'!$B$7:$B$366,C5614)</x:f>
        <x:v>0.41935483870967744</x:v>
      </x:c>
      <x:c r="I5614" s="382" t="n">
        <x:f>SUMIFS('Climate Data'!$H$7:$H$366,'Climate Data'!$A$7:$A$366,'Estimator'!$B$4,'Climate Data'!$B$7:$B$366,C5614)</x:f>
        <x:v>9.215384615384615</x:v>
      </x:c>
      <x:c r="J5614" s="381" t="n">
        <x:f>SUMIFS('Wind Proxy'!$H$8:$H$19,'Wind Proxy'!$A$8:$A$19,'Estimator'!$B$4,'Wind Proxy'!$B$8:$B$19,C5614)</x:f>
        <x:v>0.11350059737156513</x:v>
      </x:c>
    </x:row>
    <x:row r="5615">
      <x:c r="A5615" s="379" t="n">
        <x:v>51266</x:v>
      </x:c>
      <x:c r="B5615" s="380" t="n">
        <x:v>2040</x:v>
      </x:c>
      <x:c r="C5615" s="380" t="n">
        <x:v>5</x:v>
      </x:c>
      <x:c r="D5615" s="380" t="str">
        <x:v>May</x:v>
      </x:c>
      <x:c r="E5615" s="380" t="n">
        <x:v>10</x:v>
      </x:c>
      <x:c r="F5615" s="380" t="n">
        <x:v>4</x:v>
      </x:c>
      <x:c r="G5615" s="380" t="n">
        <x:f>--(F5615&lt;='Estimator'!$B$7)</x:f>
        <x:v>1</x:v>
      </x:c>
      <x:c r="H5615" s="381" t="n">
        <x:f>SUMIFS('Climate Data'!$G$7:$G$366,'Climate Data'!$A$7:$A$366,'Estimator'!$B$4,'Climate Data'!$B$7:$B$366,C5615)</x:f>
        <x:v>0.41935483870967744</x:v>
      </x:c>
      <x:c r="I5615" s="382" t="n">
        <x:f>SUMIFS('Climate Data'!$H$7:$H$366,'Climate Data'!$A$7:$A$366,'Estimator'!$B$4,'Climate Data'!$B$7:$B$366,C5615)</x:f>
        <x:v>9.215384615384615</x:v>
      </x:c>
      <x:c r="J5615" s="381" t="n">
        <x:f>SUMIFS('Wind Proxy'!$H$8:$H$19,'Wind Proxy'!$A$8:$A$19,'Estimator'!$B$4,'Wind Proxy'!$B$8:$B$19,C5615)</x:f>
        <x:v>0.11350059737156513</x:v>
      </x:c>
    </x:row>
    <x:row r="5616">
      <x:c r="A5616" s="379" t="n">
        <x:v>51267</x:v>
      </x:c>
      <x:c r="B5616" s="380" t="n">
        <x:v>2040</x:v>
      </x:c>
      <x:c r="C5616" s="380" t="n">
        <x:v>5</x:v>
      </x:c>
      <x:c r="D5616" s="380" t="str">
        <x:v>May</x:v>
      </x:c>
      <x:c r="E5616" s="380" t="n">
        <x:v>11</x:v>
      </x:c>
      <x:c r="F5616" s="380" t="n">
        <x:v>5</x:v>
      </x:c>
      <x:c r="G5616" s="380" t="n">
        <x:f>--(F5616&lt;='Estimator'!$B$7)</x:f>
        <x:v>1</x:v>
      </x:c>
      <x:c r="H5616" s="381" t="n">
        <x:f>SUMIFS('Climate Data'!$G$7:$G$366,'Climate Data'!$A$7:$A$366,'Estimator'!$B$4,'Climate Data'!$B$7:$B$366,C5616)</x:f>
        <x:v>0.41935483870967744</x:v>
      </x:c>
      <x:c r="I5616" s="382" t="n">
        <x:f>SUMIFS('Climate Data'!$H$7:$H$366,'Climate Data'!$A$7:$A$366,'Estimator'!$B$4,'Climate Data'!$B$7:$B$366,C5616)</x:f>
        <x:v>9.215384615384615</x:v>
      </x:c>
      <x:c r="J5616" s="381" t="n">
        <x:f>SUMIFS('Wind Proxy'!$H$8:$H$19,'Wind Proxy'!$A$8:$A$19,'Estimator'!$B$4,'Wind Proxy'!$B$8:$B$19,C5616)</x:f>
        <x:v>0.11350059737156513</x:v>
      </x:c>
    </x:row>
    <x:row r="5617">
      <x:c r="A5617" s="379" t="n">
        <x:v>51268</x:v>
      </x:c>
      <x:c r="B5617" s="380" t="n">
        <x:v>2040</x:v>
      </x:c>
      <x:c r="C5617" s="380" t="n">
        <x:v>5</x:v>
      </x:c>
      <x:c r="D5617" s="380" t="str">
        <x:v>May</x:v>
      </x:c>
      <x:c r="E5617" s="380" t="n">
        <x:v>12</x:v>
      </x:c>
      <x:c r="F5617" s="380" t="n">
        <x:v>6</x:v>
      </x:c>
      <x:c r="G5617" s="380" t="n">
        <x:f>--(F5617&lt;='Estimator'!$B$7)</x:f>
        <x:v>0</x:v>
      </x:c>
      <x:c r="H5617" s="381" t="n">
        <x:f>SUMIFS('Climate Data'!$G$7:$G$366,'Climate Data'!$A$7:$A$366,'Estimator'!$B$4,'Climate Data'!$B$7:$B$366,C5617)</x:f>
        <x:v>0.41935483870967744</x:v>
      </x:c>
      <x:c r="I5617" s="382" t="n">
        <x:f>SUMIFS('Climate Data'!$H$7:$H$366,'Climate Data'!$A$7:$A$366,'Estimator'!$B$4,'Climate Data'!$B$7:$B$366,C5617)</x:f>
        <x:v>9.215384615384615</x:v>
      </x:c>
      <x:c r="J5617" s="381" t="n">
        <x:f>SUMIFS('Wind Proxy'!$H$8:$H$19,'Wind Proxy'!$A$8:$A$19,'Estimator'!$B$4,'Wind Proxy'!$B$8:$B$19,C5617)</x:f>
        <x:v>0.11350059737156513</x:v>
      </x:c>
    </x:row>
    <x:row r="5618">
      <x:c r="A5618" s="379" t="n">
        <x:v>51269</x:v>
      </x:c>
      <x:c r="B5618" s="380" t="n">
        <x:v>2040</x:v>
      </x:c>
      <x:c r="C5618" s="380" t="n">
        <x:v>5</x:v>
      </x:c>
      <x:c r="D5618" s="380" t="str">
        <x:v>May</x:v>
      </x:c>
      <x:c r="E5618" s="380" t="n">
        <x:v>13</x:v>
      </x:c>
      <x:c r="F5618" s="380" t="n">
        <x:v>7</x:v>
      </x:c>
      <x:c r="G5618" s="380" t="n">
        <x:f>--(F5618&lt;='Estimator'!$B$7)</x:f>
        <x:v>0</x:v>
      </x:c>
      <x:c r="H5618" s="381" t="n">
        <x:f>SUMIFS('Climate Data'!$G$7:$G$366,'Climate Data'!$A$7:$A$366,'Estimator'!$B$4,'Climate Data'!$B$7:$B$366,C5618)</x:f>
        <x:v>0.41935483870967744</x:v>
      </x:c>
      <x:c r="I5618" s="382" t="n">
        <x:f>SUMIFS('Climate Data'!$H$7:$H$366,'Climate Data'!$A$7:$A$366,'Estimator'!$B$4,'Climate Data'!$B$7:$B$366,C5618)</x:f>
        <x:v>9.215384615384615</x:v>
      </x:c>
      <x:c r="J5618" s="381" t="n">
        <x:f>SUMIFS('Wind Proxy'!$H$8:$H$19,'Wind Proxy'!$A$8:$A$19,'Estimator'!$B$4,'Wind Proxy'!$B$8:$B$19,C5618)</x:f>
        <x:v>0.11350059737156513</x:v>
      </x:c>
    </x:row>
    <x:row r="5619">
      <x:c r="A5619" s="379" t="n">
        <x:v>51270</x:v>
      </x:c>
      <x:c r="B5619" s="380" t="n">
        <x:v>2040</x:v>
      </x:c>
      <x:c r="C5619" s="380" t="n">
        <x:v>5</x:v>
      </x:c>
      <x:c r="D5619" s="380" t="str">
        <x:v>May</x:v>
      </x:c>
      <x:c r="E5619" s="380" t="n">
        <x:v>14</x:v>
      </x:c>
      <x:c r="F5619" s="380" t="n">
        <x:v>1</x:v>
      </x:c>
      <x:c r="G5619" s="380" t="n">
        <x:f>--(F5619&lt;='Estimator'!$B$7)</x:f>
        <x:v>1</x:v>
      </x:c>
      <x:c r="H5619" s="381" t="n">
        <x:f>SUMIFS('Climate Data'!$G$7:$G$366,'Climate Data'!$A$7:$A$366,'Estimator'!$B$4,'Climate Data'!$B$7:$B$366,C5619)</x:f>
        <x:v>0.41935483870967744</x:v>
      </x:c>
      <x:c r="I5619" s="382" t="n">
        <x:f>SUMIFS('Climate Data'!$H$7:$H$366,'Climate Data'!$A$7:$A$366,'Estimator'!$B$4,'Climate Data'!$B$7:$B$366,C5619)</x:f>
        <x:v>9.215384615384615</x:v>
      </x:c>
      <x:c r="J5619" s="381" t="n">
        <x:f>SUMIFS('Wind Proxy'!$H$8:$H$19,'Wind Proxy'!$A$8:$A$19,'Estimator'!$B$4,'Wind Proxy'!$B$8:$B$19,C5619)</x:f>
        <x:v>0.11350059737156513</x:v>
      </x:c>
    </x:row>
    <x:row r="5620">
      <x:c r="A5620" s="379" t="n">
        <x:v>51271</x:v>
      </x:c>
      <x:c r="B5620" s="380" t="n">
        <x:v>2040</x:v>
      </x:c>
      <x:c r="C5620" s="380" t="n">
        <x:v>5</x:v>
      </x:c>
      <x:c r="D5620" s="380" t="str">
        <x:v>May</x:v>
      </x:c>
      <x:c r="E5620" s="380" t="n">
        <x:v>15</x:v>
      </x:c>
      <x:c r="F5620" s="380" t="n">
        <x:v>2</x:v>
      </x:c>
      <x:c r="G5620" s="380" t="n">
        <x:f>--(F5620&lt;='Estimator'!$B$7)</x:f>
        <x:v>1</x:v>
      </x:c>
      <x:c r="H5620" s="381" t="n">
        <x:f>SUMIFS('Climate Data'!$G$7:$G$366,'Climate Data'!$A$7:$A$366,'Estimator'!$B$4,'Climate Data'!$B$7:$B$366,C5620)</x:f>
        <x:v>0.41935483870967744</x:v>
      </x:c>
      <x:c r="I5620" s="382" t="n">
        <x:f>SUMIFS('Climate Data'!$H$7:$H$366,'Climate Data'!$A$7:$A$366,'Estimator'!$B$4,'Climate Data'!$B$7:$B$366,C5620)</x:f>
        <x:v>9.215384615384615</x:v>
      </x:c>
      <x:c r="J5620" s="381" t="n">
        <x:f>SUMIFS('Wind Proxy'!$H$8:$H$19,'Wind Proxy'!$A$8:$A$19,'Estimator'!$B$4,'Wind Proxy'!$B$8:$B$19,C5620)</x:f>
        <x:v>0.11350059737156513</x:v>
      </x:c>
    </x:row>
    <x:row r="5621">
      <x:c r="A5621" s="379" t="n">
        <x:v>51272</x:v>
      </x:c>
      <x:c r="B5621" s="380" t="n">
        <x:v>2040</x:v>
      </x:c>
      <x:c r="C5621" s="380" t="n">
        <x:v>5</x:v>
      </x:c>
      <x:c r="D5621" s="380" t="str">
        <x:v>May</x:v>
      </x:c>
      <x:c r="E5621" s="380" t="n">
        <x:v>16</x:v>
      </x:c>
      <x:c r="F5621" s="380" t="n">
        <x:v>3</x:v>
      </x:c>
      <x:c r="G5621" s="380" t="n">
        <x:f>--(F5621&lt;='Estimator'!$B$7)</x:f>
        <x:v>1</x:v>
      </x:c>
      <x:c r="H5621" s="381" t="n">
        <x:f>SUMIFS('Climate Data'!$G$7:$G$366,'Climate Data'!$A$7:$A$366,'Estimator'!$B$4,'Climate Data'!$B$7:$B$366,C5621)</x:f>
        <x:v>0.41935483870967744</x:v>
      </x:c>
      <x:c r="I5621" s="382" t="n">
        <x:f>SUMIFS('Climate Data'!$H$7:$H$366,'Climate Data'!$A$7:$A$366,'Estimator'!$B$4,'Climate Data'!$B$7:$B$366,C5621)</x:f>
        <x:v>9.215384615384615</x:v>
      </x:c>
      <x:c r="J5621" s="381" t="n">
        <x:f>SUMIFS('Wind Proxy'!$H$8:$H$19,'Wind Proxy'!$A$8:$A$19,'Estimator'!$B$4,'Wind Proxy'!$B$8:$B$19,C5621)</x:f>
        <x:v>0.11350059737156513</x:v>
      </x:c>
    </x:row>
    <x:row r="5622">
      <x:c r="A5622" s="379" t="n">
        <x:v>51273</x:v>
      </x:c>
      <x:c r="B5622" s="380" t="n">
        <x:v>2040</x:v>
      </x:c>
      <x:c r="C5622" s="380" t="n">
        <x:v>5</x:v>
      </x:c>
      <x:c r="D5622" s="380" t="str">
        <x:v>May</x:v>
      </x:c>
      <x:c r="E5622" s="380" t="n">
        <x:v>17</x:v>
      </x:c>
      <x:c r="F5622" s="380" t="n">
        <x:v>4</x:v>
      </x:c>
      <x:c r="G5622" s="380" t="n">
        <x:f>--(F5622&lt;='Estimator'!$B$7)</x:f>
        <x:v>1</x:v>
      </x:c>
      <x:c r="H5622" s="381" t="n">
        <x:f>SUMIFS('Climate Data'!$G$7:$G$366,'Climate Data'!$A$7:$A$366,'Estimator'!$B$4,'Climate Data'!$B$7:$B$366,C5622)</x:f>
        <x:v>0.41935483870967744</x:v>
      </x:c>
      <x:c r="I5622" s="382" t="n">
        <x:f>SUMIFS('Climate Data'!$H$7:$H$366,'Climate Data'!$A$7:$A$366,'Estimator'!$B$4,'Climate Data'!$B$7:$B$366,C5622)</x:f>
        <x:v>9.215384615384615</x:v>
      </x:c>
      <x:c r="J5622" s="381" t="n">
        <x:f>SUMIFS('Wind Proxy'!$H$8:$H$19,'Wind Proxy'!$A$8:$A$19,'Estimator'!$B$4,'Wind Proxy'!$B$8:$B$19,C5622)</x:f>
        <x:v>0.11350059737156513</x:v>
      </x:c>
    </x:row>
    <x:row r="5623">
      <x:c r="A5623" s="379" t="n">
        <x:v>51274</x:v>
      </x:c>
      <x:c r="B5623" s="380" t="n">
        <x:v>2040</x:v>
      </x:c>
      <x:c r="C5623" s="380" t="n">
        <x:v>5</x:v>
      </x:c>
      <x:c r="D5623" s="380" t="str">
        <x:v>May</x:v>
      </x:c>
      <x:c r="E5623" s="380" t="n">
        <x:v>18</x:v>
      </x:c>
      <x:c r="F5623" s="380" t="n">
        <x:v>5</x:v>
      </x:c>
      <x:c r="G5623" s="380" t="n">
        <x:f>--(F5623&lt;='Estimator'!$B$7)</x:f>
        <x:v>1</x:v>
      </x:c>
      <x:c r="H5623" s="381" t="n">
        <x:f>SUMIFS('Climate Data'!$G$7:$G$366,'Climate Data'!$A$7:$A$366,'Estimator'!$B$4,'Climate Data'!$B$7:$B$366,C5623)</x:f>
        <x:v>0.41935483870967744</x:v>
      </x:c>
      <x:c r="I5623" s="382" t="n">
        <x:f>SUMIFS('Climate Data'!$H$7:$H$366,'Climate Data'!$A$7:$A$366,'Estimator'!$B$4,'Climate Data'!$B$7:$B$366,C5623)</x:f>
        <x:v>9.215384615384615</x:v>
      </x:c>
      <x:c r="J5623" s="381" t="n">
        <x:f>SUMIFS('Wind Proxy'!$H$8:$H$19,'Wind Proxy'!$A$8:$A$19,'Estimator'!$B$4,'Wind Proxy'!$B$8:$B$19,C5623)</x:f>
        <x:v>0.11350059737156513</x:v>
      </x:c>
    </x:row>
    <x:row r="5624">
      <x:c r="A5624" s="379" t="n">
        <x:v>51275</x:v>
      </x:c>
      <x:c r="B5624" s="380" t="n">
        <x:v>2040</x:v>
      </x:c>
      <x:c r="C5624" s="380" t="n">
        <x:v>5</x:v>
      </x:c>
      <x:c r="D5624" s="380" t="str">
        <x:v>May</x:v>
      </x:c>
      <x:c r="E5624" s="380" t="n">
        <x:v>19</x:v>
      </x:c>
      <x:c r="F5624" s="380" t="n">
        <x:v>6</x:v>
      </x:c>
      <x:c r="G5624" s="380" t="n">
        <x:f>--(F5624&lt;='Estimator'!$B$7)</x:f>
        <x:v>0</x:v>
      </x:c>
      <x:c r="H5624" s="381" t="n">
        <x:f>SUMIFS('Climate Data'!$G$7:$G$366,'Climate Data'!$A$7:$A$366,'Estimator'!$B$4,'Climate Data'!$B$7:$B$366,C5624)</x:f>
        <x:v>0.41935483870967744</x:v>
      </x:c>
      <x:c r="I5624" s="382" t="n">
        <x:f>SUMIFS('Climate Data'!$H$7:$H$366,'Climate Data'!$A$7:$A$366,'Estimator'!$B$4,'Climate Data'!$B$7:$B$366,C5624)</x:f>
        <x:v>9.215384615384615</x:v>
      </x:c>
      <x:c r="J5624" s="381" t="n">
        <x:f>SUMIFS('Wind Proxy'!$H$8:$H$19,'Wind Proxy'!$A$8:$A$19,'Estimator'!$B$4,'Wind Proxy'!$B$8:$B$19,C5624)</x:f>
        <x:v>0.11350059737156513</x:v>
      </x:c>
    </x:row>
    <x:row r="5625">
      <x:c r="A5625" s="379" t="n">
        <x:v>51276</x:v>
      </x:c>
      <x:c r="B5625" s="380" t="n">
        <x:v>2040</x:v>
      </x:c>
      <x:c r="C5625" s="380" t="n">
        <x:v>5</x:v>
      </x:c>
      <x:c r="D5625" s="380" t="str">
        <x:v>May</x:v>
      </x:c>
      <x:c r="E5625" s="380" t="n">
        <x:v>20</x:v>
      </x:c>
      <x:c r="F5625" s="380" t="n">
        <x:v>7</x:v>
      </x:c>
      <x:c r="G5625" s="380" t="n">
        <x:f>--(F5625&lt;='Estimator'!$B$7)</x:f>
        <x:v>0</x:v>
      </x:c>
      <x:c r="H5625" s="381" t="n">
        <x:f>SUMIFS('Climate Data'!$G$7:$G$366,'Climate Data'!$A$7:$A$366,'Estimator'!$B$4,'Climate Data'!$B$7:$B$366,C5625)</x:f>
        <x:v>0.41935483870967744</x:v>
      </x:c>
      <x:c r="I5625" s="382" t="n">
        <x:f>SUMIFS('Climate Data'!$H$7:$H$366,'Climate Data'!$A$7:$A$366,'Estimator'!$B$4,'Climate Data'!$B$7:$B$366,C5625)</x:f>
        <x:v>9.215384615384615</x:v>
      </x:c>
      <x:c r="J5625" s="381" t="n">
        <x:f>SUMIFS('Wind Proxy'!$H$8:$H$19,'Wind Proxy'!$A$8:$A$19,'Estimator'!$B$4,'Wind Proxy'!$B$8:$B$19,C5625)</x:f>
        <x:v>0.11350059737156513</x:v>
      </x:c>
    </x:row>
    <x:row r="5626">
      <x:c r="A5626" s="379" t="n">
        <x:v>51277</x:v>
      </x:c>
      <x:c r="B5626" s="380" t="n">
        <x:v>2040</x:v>
      </x:c>
      <x:c r="C5626" s="380" t="n">
        <x:v>5</x:v>
      </x:c>
      <x:c r="D5626" s="380" t="str">
        <x:v>May</x:v>
      </x:c>
      <x:c r="E5626" s="380" t="n">
        <x:v>21</x:v>
      </x:c>
      <x:c r="F5626" s="380" t="n">
        <x:v>1</x:v>
      </x:c>
      <x:c r="G5626" s="380" t="n">
        <x:f>--(F5626&lt;='Estimator'!$B$7)</x:f>
        <x:v>1</x:v>
      </x:c>
      <x:c r="H5626" s="381" t="n">
        <x:f>SUMIFS('Climate Data'!$G$7:$G$366,'Climate Data'!$A$7:$A$366,'Estimator'!$B$4,'Climate Data'!$B$7:$B$366,C5626)</x:f>
        <x:v>0.41935483870967744</x:v>
      </x:c>
      <x:c r="I5626" s="382" t="n">
        <x:f>SUMIFS('Climate Data'!$H$7:$H$366,'Climate Data'!$A$7:$A$366,'Estimator'!$B$4,'Climate Data'!$B$7:$B$366,C5626)</x:f>
        <x:v>9.215384615384615</x:v>
      </x:c>
      <x:c r="J5626" s="381" t="n">
        <x:f>SUMIFS('Wind Proxy'!$H$8:$H$19,'Wind Proxy'!$A$8:$A$19,'Estimator'!$B$4,'Wind Proxy'!$B$8:$B$19,C5626)</x:f>
        <x:v>0.11350059737156513</x:v>
      </x:c>
    </x:row>
    <x:row r="5627">
      <x:c r="A5627" s="379" t="n">
        <x:v>51278</x:v>
      </x:c>
      <x:c r="B5627" s="380" t="n">
        <x:v>2040</x:v>
      </x:c>
      <x:c r="C5627" s="380" t="n">
        <x:v>5</x:v>
      </x:c>
      <x:c r="D5627" s="380" t="str">
        <x:v>May</x:v>
      </x:c>
      <x:c r="E5627" s="380" t="n">
        <x:v>22</x:v>
      </x:c>
      <x:c r="F5627" s="380" t="n">
        <x:v>2</x:v>
      </x:c>
      <x:c r="G5627" s="380" t="n">
        <x:f>--(F5627&lt;='Estimator'!$B$7)</x:f>
        <x:v>1</x:v>
      </x:c>
      <x:c r="H5627" s="381" t="n">
        <x:f>SUMIFS('Climate Data'!$G$7:$G$366,'Climate Data'!$A$7:$A$366,'Estimator'!$B$4,'Climate Data'!$B$7:$B$366,C5627)</x:f>
        <x:v>0.41935483870967744</x:v>
      </x:c>
      <x:c r="I5627" s="382" t="n">
        <x:f>SUMIFS('Climate Data'!$H$7:$H$366,'Climate Data'!$A$7:$A$366,'Estimator'!$B$4,'Climate Data'!$B$7:$B$366,C5627)</x:f>
        <x:v>9.215384615384615</x:v>
      </x:c>
      <x:c r="J5627" s="381" t="n">
        <x:f>SUMIFS('Wind Proxy'!$H$8:$H$19,'Wind Proxy'!$A$8:$A$19,'Estimator'!$B$4,'Wind Proxy'!$B$8:$B$19,C5627)</x:f>
        <x:v>0.11350059737156513</x:v>
      </x:c>
    </x:row>
    <x:row r="5628">
      <x:c r="A5628" s="379" t="n">
        <x:v>51279</x:v>
      </x:c>
      <x:c r="B5628" s="380" t="n">
        <x:v>2040</x:v>
      </x:c>
      <x:c r="C5628" s="380" t="n">
        <x:v>5</x:v>
      </x:c>
      <x:c r="D5628" s="380" t="str">
        <x:v>May</x:v>
      </x:c>
      <x:c r="E5628" s="380" t="n">
        <x:v>23</x:v>
      </x:c>
      <x:c r="F5628" s="380" t="n">
        <x:v>3</x:v>
      </x:c>
      <x:c r="G5628" s="380" t="n">
        <x:f>--(F5628&lt;='Estimator'!$B$7)</x:f>
        <x:v>1</x:v>
      </x:c>
      <x:c r="H5628" s="381" t="n">
        <x:f>SUMIFS('Climate Data'!$G$7:$G$366,'Climate Data'!$A$7:$A$366,'Estimator'!$B$4,'Climate Data'!$B$7:$B$366,C5628)</x:f>
        <x:v>0.41935483870967744</x:v>
      </x:c>
      <x:c r="I5628" s="382" t="n">
        <x:f>SUMIFS('Climate Data'!$H$7:$H$366,'Climate Data'!$A$7:$A$366,'Estimator'!$B$4,'Climate Data'!$B$7:$B$366,C5628)</x:f>
        <x:v>9.215384615384615</x:v>
      </x:c>
      <x:c r="J5628" s="381" t="n">
        <x:f>SUMIFS('Wind Proxy'!$H$8:$H$19,'Wind Proxy'!$A$8:$A$19,'Estimator'!$B$4,'Wind Proxy'!$B$8:$B$19,C5628)</x:f>
        <x:v>0.11350059737156513</x:v>
      </x:c>
    </x:row>
    <x:row r="5629">
      <x:c r="A5629" s="379" t="n">
        <x:v>51280</x:v>
      </x:c>
      <x:c r="B5629" s="380" t="n">
        <x:v>2040</x:v>
      </x:c>
      <x:c r="C5629" s="380" t="n">
        <x:v>5</x:v>
      </x:c>
      <x:c r="D5629" s="380" t="str">
        <x:v>May</x:v>
      </x:c>
      <x:c r="E5629" s="380" t="n">
        <x:v>24</x:v>
      </x:c>
      <x:c r="F5629" s="380" t="n">
        <x:v>4</x:v>
      </x:c>
      <x:c r="G5629" s="380" t="n">
        <x:f>--(F5629&lt;='Estimator'!$B$7)</x:f>
        <x:v>1</x:v>
      </x:c>
      <x:c r="H5629" s="381" t="n">
        <x:f>SUMIFS('Climate Data'!$G$7:$G$366,'Climate Data'!$A$7:$A$366,'Estimator'!$B$4,'Climate Data'!$B$7:$B$366,C5629)</x:f>
        <x:v>0.41935483870967744</x:v>
      </x:c>
      <x:c r="I5629" s="382" t="n">
        <x:f>SUMIFS('Climate Data'!$H$7:$H$366,'Climate Data'!$A$7:$A$366,'Estimator'!$B$4,'Climate Data'!$B$7:$B$366,C5629)</x:f>
        <x:v>9.215384615384615</x:v>
      </x:c>
      <x:c r="J5629" s="381" t="n">
        <x:f>SUMIFS('Wind Proxy'!$H$8:$H$19,'Wind Proxy'!$A$8:$A$19,'Estimator'!$B$4,'Wind Proxy'!$B$8:$B$19,C5629)</x:f>
        <x:v>0.11350059737156513</x:v>
      </x:c>
    </x:row>
    <x:row r="5630">
      <x:c r="A5630" s="379" t="n">
        <x:v>51281</x:v>
      </x:c>
      <x:c r="B5630" s="380" t="n">
        <x:v>2040</x:v>
      </x:c>
      <x:c r="C5630" s="380" t="n">
        <x:v>5</x:v>
      </x:c>
      <x:c r="D5630" s="380" t="str">
        <x:v>May</x:v>
      </x:c>
      <x:c r="E5630" s="380" t="n">
        <x:v>25</x:v>
      </x:c>
      <x:c r="F5630" s="380" t="n">
        <x:v>5</x:v>
      </x:c>
      <x:c r="G5630" s="380" t="n">
        <x:f>--(F5630&lt;='Estimator'!$B$7)</x:f>
        <x:v>1</x:v>
      </x:c>
      <x:c r="H5630" s="381" t="n">
        <x:f>SUMIFS('Climate Data'!$G$7:$G$366,'Climate Data'!$A$7:$A$366,'Estimator'!$B$4,'Climate Data'!$B$7:$B$366,C5630)</x:f>
        <x:v>0.41935483870967744</x:v>
      </x:c>
      <x:c r="I5630" s="382" t="n">
        <x:f>SUMIFS('Climate Data'!$H$7:$H$366,'Climate Data'!$A$7:$A$366,'Estimator'!$B$4,'Climate Data'!$B$7:$B$366,C5630)</x:f>
        <x:v>9.215384615384615</x:v>
      </x:c>
      <x:c r="J5630" s="381" t="n">
        <x:f>SUMIFS('Wind Proxy'!$H$8:$H$19,'Wind Proxy'!$A$8:$A$19,'Estimator'!$B$4,'Wind Proxy'!$B$8:$B$19,C5630)</x:f>
        <x:v>0.11350059737156513</x:v>
      </x:c>
    </x:row>
    <x:row r="5631">
      <x:c r="A5631" s="379" t="n">
        <x:v>51282</x:v>
      </x:c>
      <x:c r="B5631" s="380" t="n">
        <x:v>2040</x:v>
      </x:c>
      <x:c r="C5631" s="380" t="n">
        <x:v>5</x:v>
      </x:c>
      <x:c r="D5631" s="380" t="str">
        <x:v>May</x:v>
      </x:c>
      <x:c r="E5631" s="380" t="n">
        <x:v>26</x:v>
      </x:c>
      <x:c r="F5631" s="380" t="n">
        <x:v>6</x:v>
      </x:c>
      <x:c r="G5631" s="380" t="n">
        <x:f>--(F5631&lt;='Estimator'!$B$7)</x:f>
        <x:v>0</x:v>
      </x:c>
      <x:c r="H5631" s="381" t="n">
        <x:f>SUMIFS('Climate Data'!$G$7:$G$366,'Climate Data'!$A$7:$A$366,'Estimator'!$B$4,'Climate Data'!$B$7:$B$366,C5631)</x:f>
        <x:v>0.41935483870967744</x:v>
      </x:c>
      <x:c r="I5631" s="382" t="n">
        <x:f>SUMIFS('Climate Data'!$H$7:$H$366,'Climate Data'!$A$7:$A$366,'Estimator'!$B$4,'Climate Data'!$B$7:$B$366,C5631)</x:f>
        <x:v>9.215384615384615</x:v>
      </x:c>
      <x:c r="J5631" s="381" t="n">
        <x:f>SUMIFS('Wind Proxy'!$H$8:$H$19,'Wind Proxy'!$A$8:$A$19,'Estimator'!$B$4,'Wind Proxy'!$B$8:$B$19,C5631)</x:f>
        <x:v>0.11350059737156513</x:v>
      </x:c>
    </x:row>
    <x:row r="5632">
      <x:c r="A5632" s="379" t="n">
        <x:v>51283</x:v>
      </x:c>
      <x:c r="B5632" s="380" t="n">
        <x:v>2040</x:v>
      </x:c>
      <x:c r="C5632" s="380" t="n">
        <x:v>5</x:v>
      </x:c>
      <x:c r="D5632" s="380" t="str">
        <x:v>May</x:v>
      </x:c>
      <x:c r="E5632" s="380" t="n">
        <x:v>27</x:v>
      </x:c>
      <x:c r="F5632" s="380" t="n">
        <x:v>7</x:v>
      </x:c>
      <x:c r="G5632" s="380" t="n">
        <x:f>--(F5632&lt;='Estimator'!$B$7)</x:f>
        <x:v>0</x:v>
      </x:c>
      <x:c r="H5632" s="381" t="n">
        <x:f>SUMIFS('Climate Data'!$G$7:$G$366,'Climate Data'!$A$7:$A$366,'Estimator'!$B$4,'Climate Data'!$B$7:$B$366,C5632)</x:f>
        <x:v>0.41935483870967744</x:v>
      </x:c>
      <x:c r="I5632" s="382" t="n">
        <x:f>SUMIFS('Climate Data'!$H$7:$H$366,'Climate Data'!$A$7:$A$366,'Estimator'!$B$4,'Climate Data'!$B$7:$B$366,C5632)</x:f>
        <x:v>9.215384615384615</x:v>
      </x:c>
      <x:c r="J5632" s="381" t="n">
        <x:f>SUMIFS('Wind Proxy'!$H$8:$H$19,'Wind Proxy'!$A$8:$A$19,'Estimator'!$B$4,'Wind Proxy'!$B$8:$B$19,C5632)</x:f>
        <x:v>0.11350059737156513</x:v>
      </x:c>
    </x:row>
    <x:row r="5633">
      <x:c r="A5633" s="379" t="n">
        <x:v>51284</x:v>
      </x:c>
      <x:c r="B5633" s="380" t="n">
        <x:v>2040</x:v>
      </x:c>
      <x:c r="C5633" s="380" t="n">
        <x:v>5</x:v>
      </x:c>
      <x:c r="D5633" s="380" t="str">
        <x:v>May</x:v>
      </x:c>
      <x:c r="E5633" s="380" t="n">
        <x:v>28</x:v>
      </x:c>
      <x:c r="F5633" s="380" t="n">
        <x:v>1</x:v>
      </x:c>
      <x:c r="G5633" s="380" t="n">
        <x:f>--(F5633&lt;='Estimator'!$B$7)</x:f>
        <x:v>1</x:v>
      </x:c>
      <x:c r="H5633" s="381" t="n">
        <x:f>SUMIFS('Climate Data'!$G$7:$G$366,'Climate Data'!$A$7:$A$366,'Estimator'!$B$4,'Climate Data'!$B$7:$B$366,C5633)</x:f>
        <x:v>0.41935483870967744</x:v>
      </x:c>
      <x:c r="I5633" s="382" t="n">
        <x:f>SUMIFS('Climate Data'!$H$7:$H$366,'Climate Data'!$A$7:$A$366,'Estimator'!$B$4,'Climate Data'!$B$7:$B$366,C5633)</x:f>
        <x:v>9.215384615384615</x:v>
      </x:c>
      <x:c r="J5633" s="381" t="n">
        <x:f>SUMIFS('Wind Proxy'!$H$8:$H$19,'Wind Proxy'!$A$8:$A$19,'Estimator'!$B$4,'Wind Proxy'!$B$8:$B$19,C5633)</x:f>
        <x:v>0.11350059737156513</x:v>
      </x:c>
    </x:row>
    <x:row r="5634">
      <x:c r="A5634" s="379" t="n">
        <x:v>51285</x:v>
      </x:c>
      <x:c r="B5634" s="380" t="n">
        <x:v>2040</x:v>
      </x:c>
      <x:c r="C5634" s="380" t="n">
        <x:v>5</x:v>
      </x:c>
      <x:c r="D5634" s="380" t="str">
        <x:v>May</x:v>
      </x:c>
      <x:c r="E5634" s="380" t="n">
        <x:v>29</x:v>
      </x:c>
      <x:c r="F5634" s="380" t="n">
        <x:v>2</x:v>
      </x:c>
      <x:c r="G5634" s="380" t="n">
        <x:f>--(F5634&lt;='Estimator'!$B$7)</x:f>
        <x:v>1</x:v>
      </x:c>
      <x:c r="H5634" s="381" t="n">
        <x:f>SUMIFS('Climate Data'!$G$7:$G$366,'Climate Data'!$A$7:$A$366,'Estimator'!$B$4,'Climate Data'!$B$7:$B$366,C5634)</x:f>
        <x:v>0.41935483870967744</x:v>
      </x:c>
      <x:c r="I5634" s="382" t="n">
        <x:f>SUMIFS('Climate Data'!$H$7:$H$366,'Climate Data'!$A$7:$A$366,'Estimator'!$B$4,'Climate Data'!$B$7:$B$366,C5634)</x:f>
        <x:v>9.215384615384615</x:v>
      </x:c>
      <x:c r="J5634" s="381" t="n">
        <x:f>SUMIFS('Wind Proxy'!$H$8:$H$19,'Wind Proxy'!$A$8:$A$19,'Estimator'!$B$4,'Wind Proxy'!$B$8:$B$19,C5634)</x:f>
        <x:v>0.11350059737156513</x:v>
      </x:c>
    </x:row>
    <x:row r="5635">
      <x:c r="A5635" s="379" t="n">
        <x:v>51286</x:v>
      </x:c>
      <x:c r="B5635" s="380" t="n">
        <x:v>2040</x:v>
      </x:c>
      <x:c r="C5635" s="380" t="n">
        <x:v>5</x:v>
      </x:c>
      <x:c r="D5635" s="380" t="str">
        <x:v>May</x:v>
      </x:c>
      <x:c r="E5635" s="380" t="n">
        <x:v>30</x:v>
      </x:c>
      <x:c r="F5635" s="380" t="n">
        <x:v>3</x:v>
      </x:c>
      <x:c r="G5635" s="380" t="n">
        <x:f>--(F5635&lt;='Estimator'!$B$7)</x:f>
        <x:v>1</x:v>
      </x:c>
      <x:c r="H5635" s="381" t="n">
        <x:f>SUMIFS('Climate Data'!$G$7:$G$366,'Climate Data'!$A$7:$A$366,'Estimator'!$B$4,'Climate Data'!$B$7:$B$366,C5635)</x:f>
        <x:v>0.41935483870967744</x:v>
      </x:c>
      <x:c r="I5635" s="382" t="n">
        <x:f>SUMIFS('Climate Data'!$H$7:$H$366,'Climate Data'!$A$7:$A$366,'Estimator'!$B$4,'Climate Data'!$B$7:$B$366,C5635)</x:f>
        <x:v>9.215384615384615</x:v>
      </x:c>
      <x:c r="J5635" s="381" t="n">
        <x:f>SUMIFS('Wind Proxy'!$H$8:$H$19,'Wind Proxy'!$A$8:$A$19,'Estimator'!$B$4,'Wind Proxy'!$B$8:$B$19,C5635)</x:f>
        <x:v>0.11350059737156513</x:v>
      </x:c>
    </x:row>
    <x:row r="5636">
      <x:c r="A5636" s="379" t="n">
        <x:v>51287</x:v>
      </x:c>
      <x:c r="B5636" s="380" t="n">
        <x:v>2040</x:v>
      </x:c>
      <x:c r="C5636" s="380" t="n">
        <x:v>5</x:v>
      </x:c>
      <x:c r="D5636" s="380" t="str">
        <x:v>May</x:v>
      </x:c>
      <x:c r="E5636" s="380" t="n">
        <x:v>31</x:v>
      </x:c>
      <x:c r="F5636" s="380" t="n">
        <x:v>4</x:v>
      </x:c>
      <x:c r="G5636" s="380" t="n">
        <x:f>--(F5636&lt;='Estimator'!$B$7)</x:f>
        <x:v>1</x:v>
      </x:c>
      <x:c r="H5636" s="381" t="n">
        <x:f>SUMIFS('Climate Data'!$G$7:$G$366,'Climate Data'!$A$7:$A$366,'Estimator'!$B$4,'Climate Data'!$B$7:$B$366,C5636)</x:f>
        <x:v>0.41935483870967744</x:v>
      </x:c>
      <x:c r="I5636" s="382" t="n">
        <x:f>SUMIFS('Climate Data'!$H$7:$H$366,'Climate Data'!$A$7:$A$366,'Estimator'!$B$4,'Climate Data'!$B$7:$B$366,C5636)</x:f>
        <x:v>9.215384615384615</x:v>
      </x:c>
      <x:c r="J5636" s="381" t="n">
        <x:f>SUMIFS('Wind Proxy'!$H$8:$H$19,'Wind Proxy'!$A$8:$A$19,'Estimator'!$B$4,'Wind Proxy'!$B$8:$B$19,C5636)</x:f>
        <x:v>0.11350059737156513</x:v>
      </x:c>
    </x:row>
    <x:row r="5637">
      <x:c r="A5637" s="379" t="n">
        <x:v>51288</x:v>
      </x:c>
      <x:c r="B5637" s="380" t="n">
        <x:v>2040</x:v>
      </x:c>
      <x:c r="C5637" s="380" t="n">
        <x:v>6</x:v>
      </x:c>
      <x:c r="D5637" s="380" t="str">
        <x:v>Jun</x:v>
      </x:c>
      <x:c r="E5637" s="380" t="n">
        <x:v>1</x:v>
      </x:c>
      <x:c r="F5637" s="380" t="n">
        <x:v>5</x:v>
      </x:c>
      <x:c r="G5637" s="380" t="n">
        <x:f>--(F5637&lt;='Estimator'!$B$7)</x:f>
        <x:v>1</x:v>
      </x:c>
      <x:c r="H5637" s="381" t="n">
        <x:f>SUMIFS('Climate Data'!$G$7:$G$366,'Climate Data'!$A$7:$A$366,'Estimator'!$B$4,'Climate Data'!$B$7:$B$366,C5637)</x:f>
        <x:v>0.475</x:v>
      </x:c>
      <x:c r="I5637" s="382" t="n">
        <x:f>SUMIFS('Climate Data'!$H$7:$H$366,'Climate Data'!$A$7:$A$366,'Estimator'!$B$4,'Climate Data'!$B$7:$B$366,C5637)</x:f>
        <x:v>8.378947368421054</x:v>
      </x:c>
      <x:c r="J5637" s="381" t="n">
        <x:f>SUMIFS('Wind Proxy'!$H$8:$H$19,'Wind Proxy'!$A$8:$A$19,'Estimator'!$B$4,'Wind Proxy'!$B$8:$B$19,C5637)</x:f>
        <x:v>0.14197530864197533</x:v>
      </x:c>
    </x:row>
    <x:row r="5638">
      <x:c r="A5638" s="379" t="n">
        <x:v>51289</x:v>
      </x:c>
      <x:c r="B5638" s="380" t="n">
        <x:v>2040</x:v>
      </x:c>
      <x:c r="C5638" s="380" t="n">
        <x:v>6</x:v>
      </x:c>
      <x:c r="D5638" s="380" t="str">
        <x:v>Jun</x:v>
      </x:c>
      <x:c r="E5638" s="380" t="n">
        <x:v>2</x:v>
      </x:c>
      <x:c r="F5638" s="380" t="n">
        <x:v>6</x:v>
      </x:c>
      <x:c r="G5638" s="380" t="n">
        <x:f>--(F5638&lt;='Estimator'!$B$7)</x:f>
        <x:v>0</x:v>
      </x:c>
      <x:c r="H5638" s="381" t="n">
        <x:f>SUMIFS('Climate Data'!$G$7:$G$366,'Climate Data'!$A$7:$A$366,'Estimator'!$B$4,'Climate Data'!$B$7:$B$366,C5638)</x:f>
        <x:v>0.475</x:v>
      </x:c>
      <x:c r="I5638" s="382" t="n">
        <x:f>SUMIFS('Climate Data'!$H$7:$H$366,'Climate Data'!$A$7:$A$366,'Estimator'!$B$4,'Climate Data'!$B$7:$B$366,C5638)</x:f>
        <x:v>8.378947368421054</x:v>
      </x:c>
      <x:c r="J5638" s="381" t="n">
        <x:f>SUMIFS('Wind Proxy'!$H$8:$H$19,'Wind Proxy'!$A$8:$A$19,'Estimator'!$B$4,'Wind Proxy'!$B$8:$B$19,C5638)</x:f>
        <x:v>0.14197530864197533</x:v>
      </x:c>
    </x:row>
    <x:row r="5639">
      <x:c r="A5639" s="379" t="n">
        <x:v>51290</x:v>
      </x:c>
      <x:c r="B5639" s="380" t="n">
        <x:v>2040</x:v>
      </x:c>
      <x:c r="C5639" s="380" t="n">
        <x:v>6</x:v>
      </x:c>
      <x:c r="D5639" s="380" t="str">
        <x:v>Jun</x:v>
      </x:c>
      <x:c r="E5639" s="380" t="n">
        <x:v>3</x:v>
      </x:c>
      <x:c r="F5639" s="380" t="n">
        <x:v>7</x:v>
      </x:c>
      <x:c r="G5639" s="380" t="n">
        <x:f>--(F5639&lt;='Estimator'!$B$7)</x:f>
        <x:v>0</x:v>
      </x:c>
      <x:c r="H5639" s="381" t="n">
        <x:f>SUMIFS('Climate Data'!$G$7:$G$366,'Climate Data'!$A$7:$A$366,'Estimator'!$B$4,'Climate Data'!$B$7:$B$366,C5639)</x:f>
        <x:v>0.475</x:v>
      </x:c>
      <x:c r="I5639" s="382" t="n">
        <x:f>SUMIFS('Climate Data'!$H$7:$H$366,'Climate Data'!$A$7:$A$366,'Estimator'!$B$4,'Climate Data'!$B$7:$B$366,C5639)</x:f>
        <x:v>8.378947368421054</x:v>
      </x:c>
      <x:c r="J5639" s="381" t="n">
        <x:f>SUMIFS('Wind Proxy'!$H$8:$H$19,'Wind Proxy'!$A$8:$A$19,'Estimator'!$B$4,'Wind Proxy'!$B$8:$B$19,C5639)</x:f>
        <x:v>0.14197530864197533</x:v>
      </x:c>
    </x:row>
    <x:row r="5640">
      <x:c r="A5640" s="379" t="n">
        <x:v>51291</x:v>
      </x:c>
      <x:c r="B5640" s="380" t="n">
        <x:v>2040</x:v>
      </x:c>
      <x:c r="C5640" s="380" t="n">
        <x:v>6</x:v>
      </x:c>
      <x:c r="D5640" s="380" t="str">
        <x:v>Jun</x:v>
      </x:c>
      <x:c r="E5640" s="380" t="n">
        <x:v>4</x:v>
      </x:c>
      <x:c r="F5640" s="380" t="n">
        <x:v>1</x:v>
      </x:c>
      <x:c r="G5640" s="380" t="n">
        <x:f>--(F5640&lt;='Estimator'!$B$7)</x:f>
        <x:v>1</x:v>
      </x:c>
      <x:c r="H5640" s="381" t="n">
        <x:f>SUMIFS('Climate Data'!$G$7:$G$366,'Climate Data'!$A$7:$A$366,'Estimator'!$B$4,'Climate Data'!$B$7:$B$366,C5640)</x:f>
        <x:v>0.475</x:v>
      </x:c>
      <x:c r="I5640" s="382" t="n">
        <x:f>SUMIFS('Climate Data'!$H$7:$H$366,'Climate Data'!$A$7:$A$366,'Estimator'!$B$4,'Climate Data'!$B$7:$B$366,C5640)</x:f>
        <x:v>8.378947368421054</x:v>
      </x:c>
      <x:c r="J5640" s="381" t="n">
        <x:f>SUMIFS('Wind Proxy'!$H$8:$H$19,'Wind Proxy'!$A$8:$A$19,'Estimator'!$B$4,'Wind Proxy'!$B$8:$B$19,C5640)</x:f>
        <x:v>0.14197530864197533</x:v>
      </x:c>
    </x:row>
    <x:row r="5641">
      <x:c r="A5641" s="379" t="n">
        <x:v>51292</x:v>
      </x:c>
      <x:c r="B5641" s="380" t="n">
        <x:v>2040</x:v>
      </x:c>
      <x:c r="C5641" s="380" t="n">
        <x:v>6</x:v>
      </x:c>
      <x:c r="D5641" s="380" t="str">
        <x:v>Jun</x:v>
      </x:c>
      <x:c r="E5641" s="380" t="n">
        <x:v>5</x:v>
      </x:c>
      <x:c r="F5641" s="380" t="n">
        <x:v>2</x:v>
      </x:c>
      <x:c r="G5641" s="380" t="n">
        <x:f>--(F5641&lt;='Estimator'!$B$7)</x:f>
        <x:v>1</x:v>
      </x:c>
      <x:c r="H5641" s="381" t="n">
        <x:f>SUMIFS('Climate Data'!$G$7:$G$366,'Climate Data'!$A$7:$A$366,'Estimator'!$B$4,'Climate Data'!$B$7:$B$366,C5641)</x:f>
        <x:v>0.475</x:v>
      </x:c>
      <x:c r="I5641" s="382" t="n">
        <x:f>SUMIFS('Climate Data'!$H$7:$H$366,'Climate Data'!$A$7:$A$366,'Estimator'!$B$4,'Climate Data'!$B$7:$B$366,C5641)</x:f>
        <x:v>8.378947368421054</x:v>
      </x:c>
      <x:c r="J5641" s="381" t="n">
        <x:f>SUMIFS('Wind Proxy'!$H$8:$H$19,'Wind Proxy'!$A$8:$A$19,'Estimator'!$B$4,'Wind Proxy'!$B$8:$B$19,C5641)</x:f>
        <x:v>0.14197530864197533</x:v>
      </x:c>
    </x:row>
    <x:row r="5642">
      <x:c r="A5642" s="379" t="n">
        <x:v>51293</x:v>
      </x:c>
      <x:c r="B5642" s="380" t="n">
        <x:v>2040</x:v>
      </x:c>
      <x:c r="C5642" s="380" t="n">
        <x:v>6</x:v>
      </x:c>
      <x:c r="D5642" s="380" t="str">
        <x:v>Jun</x:v>
      </x:c>
      <x:c r="E5642" s="380" t="n">
        <x:v>6</x:v>
      </x:c>
      <x:c r="F5642" s="380" t="n">
        <x:v>3</x:v>
      </x:c>
      <x:c r="G5642" s="380" t="n">
        <x:f>--(F5642&lt;='Estimator'!$B$7)</x:f>
        <x:v>1</x:v>
      </x:c>
      <x:c r="H5642" s="381" t="n">
        <x:f>SUMIFS('Climate Data'!$G$7:$G$366,'Climate Data'!$A$7:$A$366,'Estimator'!$B$4,'Climate Data'!$B$7:$B$366,C5642)</x:f>
        <x:v>0.475</x:v>
      </x:c>
      <x:c r="I5642" s="382" t="n">
        <x:f>SUMIFS('Climate Data'!$H$7:$H$366,'Climate Data'!$A$7:$A$366,'Estimator'!$B$4,'Climate Data'!$B$7:$B$366,C5642)</x:f>
        <x:v>8.378947368421054</x:v>
      </x:c>
      <x:c r="J5642" s="381" t="n">
        <x:f>SUMIFS('Wind Proxy'!$H$8:$H$19,'Wind Proxy'!$A$8:$A$19,'Estimator'!$B$4,'Wind Proxy'!$B$8:$B$19,C5642)</x:f>
        <x:v>0.14197530864197533</x:v>
      </x:c>
    </x:row>
    <x:row r="5643">
      <x:c r="A5643" s="379" t="n">
        <x:v>51294</x:v>
      </x:c>
      <x:c r="B5643" s="380" t="n">
        <x:v>2040</x:v>
      </x:c>
      <x:c r="C5643" s="380" t="n">
        <x:v>6</x:v>
      </x:c>
      <x:c r="D5643" s="380" t="str">
        <x:v>Jun</x:v>
      </x:c>
      <x:c r="E5643" s="380" t="n">
        <x:v>7</x:v>
      </x:c>
      <x:c r="F5643" s="380" t="n">
        <x:v>4</x:v>
      </x:c>
      <x:c r="G5643" s="380" t="n">
        <x:f>--(F5643&lt;='Estimator'!$B$7)</x:f>
        <x:v>1</x:v>
      </x:c>
      <x:c r="H5643" s="381" t="n">
        <x:f>SUMIFS('Climate Data'!$G$7:$G$366,'Climate Data'!$A$7:$A$366,'Estimator'!$B$4,'Climate Data'!$B$7:$B$366,C5643)</x:f>
        <x:v>0.475</x:v>
      </x:c>
      <x:c r="I5643" s="382" t="n">
        <x:f>SUMIFS('Climate Data'!$H$7:$H$366,'Climate Data'!$A$7:$A$366,'Estimator'!$B$4,'Climate Data'!$B$7:$B$366,C5643)</x:f>
        <x:v>8.378947368421054</x:v>
      </x:c>
      <x:c r="J5643" s="381" t="n">
        <x:f>SUMIFS('Wind Proxy'!$H$8:$H$19,'Wind Proxy'!$A$8:$A$19,'Estimator'!$B$4,'Wind Proxy'!$B$8:$B$19,C5643)</x:f>
        <x:v>0.14197530864197533</x:v>
      </x:c>
    </x:row>
    <x:row r="5644">
      <x:c r="A5644" s="379" t="n">
        <x:v>51295</x:v>
      </x:c>
      <x:c r="B5644" s="380" t="n">
        <x:v>2040</x:v>
      </x:c>
      <x:c r="C5644" s="380" t="n">
        <x:v>6</x:v>
      </x:c>
      <x:c r="D5644" s="380" t="str">
        <x:v>Jun</x:v>
      </x:c>
      <x:c r="E5644" s="380" t="n">
        <x:v>8</x:v>
      </x:c>
      <x:c r="F5644" s="380" t="n">
        <x:v>5</x:v>
      </x:c>
      <x:c r="G5644" s="380" t="n">
        <x:f>--(F5644&lt;='Estimator'!$B$7)</x:f>
        <x:v>1</x:v>
      </x:c>
      <x:c r="H5644" s="381" t="n">
        <x:f>SUMIFS('Climate Data'!$G$7:$G$366,'Climate Data'!$A$7:$A$366,'Estimator'!$B$4,'Climate Data'!$B$7:$B$366,C5644)</x:f>
        <x:v>0.475</x:v>
      </x:c>
      <x:c r="I5644" s="382" t="n">
        <x:f>SUMIFS('Climate Data'!$H$7:$H$366,'Climate Data'!$A$7:$A$366,'Estimator'!$B$4,'Climate Data'!$B$7:$B$366,C5644)</x:f>
        <x:v>8.378947368421054</x:v>
      </x:c>
      <x:c r="J5644" s="381" t="n">
        <x:f>SUMIFS('Wind Proxy'!$H$8:$H$19,'Wind Proxy'!$A$8:$A$19,'Estimator'!$B$4,'Wind Proxy'!$B$8:$B$19,C5644)</x:f>
        <x:v>0.14197530864197533</x:v>
      </x:c>
    </x:row>
    <x:row r="5645">
      <x:c r="A5645" s="379" t="n">
        <x:v>51296</x:v>
      </x:c>
      <x:c r="B5645" s="380" t="n">
        <x:v>2040</x:v>
      </x:c>
      <x:c r="C5645" s="380" t="n">
        <x:v>6</x:v>
      </x:c>
      <x:c r="D5645" s="380" t="str">
        <x:v>Jun</x:v>
      </x:c>
      <x:c r="E5645" s="380" t="n">
        <x:v>9</x:v>
      </x:c>
      <x:c r="F5645" s="380" t="n">
        <x:v>6</x:v>
      </x:c>
      <x:c r="G5645" s="380" t="n">
        <x:f>--(F5645&lt;='Estimator'!$B$7)</x:f>
        <x:v>0</x:v>
      </x:c>
      <x:c r="H5645" s="381" t="n">
        <x:f>SUMIFS('Climate Data'!$G$7:$G$366,'Climate Data'!$A$7:$A$366,'Estimator'!$B$4,'Climate Data'!$B$7:$B$366,C5645)</x:f>
        <x:v>0.475</x:v>
      </x:c>
      <x:c r="I5645" s="382" t="n">
        <x:f>SUMIFS('Climate Data'!$H$7:$H$366,'Climate Data'!$A$7:$A$366,'Estimator'!$B$4,'Climate Data'!$B$7:$B$366,C5645)</x:f>
        <x:v>8.378947368421054</x:v>
      </x:c>
      <x:c r="J5645" s="381" t="n">
        <x:f>SUMIFS('Wind Proxy'!$H$8:$H$19,'Wind Proxy'!$A$8:$A$19,'Estimator'!$B$4,'Wind Proxy'!$B$8:$B$19,C5645)</x:f>
        <x:v>0.14197530864197533</x:v>
      </x:c>
    </x:row>
    <x:row r="5646">
      <x:c r="A5646" s="379" t="n">
        <x:v>51297</x:v>
      </x:c>
      <x:c r="B5646" s="380" t="n">
        <x:v>2040</x:v>
      </x:c>
      <x:c r="C5646" s="380" t="n">
        <x:v>6</x:v>
      </x:c>
      <x:c r="D5646" s="380" t="str">
        <x:v>Jun</x:v>
      </x:c>
      <x:c r="E5646" s="380" t="n">
        <x:v>10</x:v>
      </x:c>
      <x:c r="F5646" s="380" t="n">
        <x:v>7</x:v>
      </x:c>
      <x:c r="G5646" s="380" t="n">
        <x:f>--(F5646&lt;='Estimator'!$B$7)</x:f>
        <x:v>0</x:v>
      </x:c>
      <x:c r="H5646" s="381" t="n">
        <x:f>SUMIFS('Climate Data'!$G$7:$G$366,'Climate Data'!$A$7:$A$366,'Estimator'!$B$4,'Climate Data'!$B$7:$B$366,C5646)</x:f>
        <x:v>0.475</x:v>
      </x:c>
      <x:c r="I5646" s="382" t="n">
        <x:f>SUMIFS('Climate Data'!$H$7:$H$366,'Climate Data'!$A$7:$A$366,'Estimator'!$B$4,'Climate Data'!$B$7:$B$366,C5646)</x:f>
        <x:v>8.378947368421054</x:v>
      </x:c>
      <x:c r="J5646" s="381" t="n">
        <x:f>SUMIFS('Wind Proxy'!$H$8:$H$19,'Wind Proxy'!$A$8:$A$19,'Estimator'!$B$4,'Wind Proxy'!$B$8:$B$19,C5646)</x:f>
        <x:v>0.14197530864197533</x:v>
      </x:c>
    </x:row>
    <x:row r="5647">
      <x:c r="A5647" s="379" t="n">
        <x:v>51298</x:v>
      </x:c>
      <x:c r="B5647" s="380" t="n">
        <x:v>2040</x:v>
      </x:c>
      <x:c r="C5647" s="380" t="n">
        <x:v>6</x:v>
      </x:c>
      <x:c r="D5647" s="380" t="str">
        <x:v>Jun</x:v>
      </x:c>
      <x:c r="E5647" s="380" t="n">
        <x:v>11</x:v>
      </x:c>
      <x:c r="F5647" s="380" t="n">
        <x:v>1</x:v>
      </x:c>
      <x:c r="G5647" s="380" t="n">
        <x:f>--(F5647&lt;='Estimator'!$B$7)</x:f>
        <x:v>1</x:v>
      </x:c>
      <x:c r="H5647" s="381" t="n">
        <x:f>SUMIFS('Climate Data'!$G$7:$G$366,'Climate Data'!$A$7:$A$366,'Estimator'!$B$4,'Climate Data'!$B$7:$B$366,C5647)</x:f>
        <x:v>0.475</x:v>
      </x:c>
      <x:c r="I5647" s="382" t="n">
        <x:f>SUMIFS('Climate Data'!$H$7:$H$366,'Climate Data'!$A$7:$A$366,'Estimator'!$B$4,'Climate Data'!$B$7:$B$366,C5647)</x:f>
        <x:v>8.378947368421054</x:v>
      </x:c>
      <x:c r="J5647" s="381" t="n">
        <x:f>SUMIFS('Wind Proxy'!$H$8:$H$19,'Wind Proxy'!$A$8:$A$19,'Estimator'!$B$4,'Wind Proxy'!$B$8:$B$19,C5647)</x:f>
        <x:v>0.14197530864197533</x:v>
      </x:c>
    </x:row>
    <x:row r="5648">
      <x:c r="A5648" s="379" t="n">
        <x:v>51299</x:v>
      </x:c>
      <x:c r="B5648" s="380" t="n">
        <x:v>2040</x:v>
      </x:c>
      <x:c r="C5648" s="380" t="n">
        <x:v>6</x:v>
      </x:c>
      <x:c r="D5648" s="380" t="str">
        <x:v>Jun</x:v>
      </x:c>
      <x:c r="E5648" s="380" t="n">
        <x:v>12</x:v>
      </x:c>
      <x:c r="F5648" s="380" t="n">
        <x:v>2</x:v>
      </x:c>
      <x:c r="G5648" s="380" t="n">
        <x:f>--(F5648&lt;='Estimator'!$B$7)</x:f>
        <x:v>1</x:v>
      </x:c>
      <x:c r="H5648" s="381" t="n">
        <x:f>SUMIFS('Climate Data'!$G$7:$G$366,'Climate Data'!$A$7:$A$366,'Estimator'!$B$4,'Climate Data'!$B$7:$B$366,C5648)</x:f>
        <x:v>0.475</x:v>
      </x:c>
      <x:c r="I5648" s="382" t="n">
        <x:f>SUMIFS('Climate Data'!$H$7:$H$366,'Climate Data'!$A$7:$A$366,'Estimator'!$B$4,'Climate Data'!$B$7:$B$366,C5648)</x:f>
        <x:v>8.378947368421054</x:v>
      </x:c>
      <x:c r="J5648" s="381" t="n">
        <x:f>SUMIFS('Wind Proxy'!$H$8:$H$19,'Wind Proxy'!$A$8:$A$19,'Estimator'!$B$4,'Wind Proxy'!$B$8:$B$19,C5648)</x:f>
        <x:v>0.14197530864197533</x:v>
      </x:c>
    </x:row>
    <x:row r="5649">
      <x:c r="A5649" s="379" t="n">
        <x:v>51300</x:v>
      </x:c>
      <x:c r="B5649" s="380" t="n">
        <x:v>2040</x:v>
      </x:c>
      <x:c r="C5649" s="380" t="n">
        <x:v>6</x:v>
      </x:c>
      <x:c r="D5649" s="380" t="str">
        <x:v>Jun</x:v>
      </x:c>
      <x:c r="E5649" s="380" t="n">
        <x:v>13</x:v>
      </x:c>
      <x:c r="F5649" s="380" t="n">
        <x:v>3</x:v>
      </x:c>
      <x:c r="G5649" s="380" t="n">
        <x:f>--(F5649&lt;='Estimator'!$B$7)</x:f>
        <x:v>1</x:v>
      </x:c>
      <x:c r="H5649" s="381" t="n">
        <x:f>SUMIFS('Climate Data'!$G$7:$G$366,'Climate Data'!$A$7:$A$366,'Estimator'!$B$4,'Climate Data'!$B$7:$B$366,C5649)</x:f>
        <x:v>0.475</x:v>
      </x:c>
      <x:c r="I5649" s="382" t="n">
        <x:f>SUMIFS('Climate Data'!$H$7:$H$366,'Climate Data'!$A$7:$A$366,'Estimator'!$B$4,'Climate Data'!$B$7:$B$366,C5649)</x:f>
        <x:v>8.378947368421054</x:v>
      </x:c>
      <x:c r="J5649" s="381" t="n">
        <x:f>SUMIFS('Wind Proxy'!$H$8:$H$19,'Wind Proxy'!$A$8:$A$19,'Estimator'!$B$4,'Wind Proxy'!$B$8:$B$19,C5649)</x:f>
        <x:v>0.14197530864197533</x:v>
      </x:c>
    </x:row>
    <x:row r="5650">
      <x:c r="A5650" s="379" t="n">
        <x:v>51301</x:v>
      </x:c>
      <x:c r="B5650" s="380" t="n">
        <x:v>2040</x:v>
      </x:c>
      <x:c r="C5650" s="380" t="n">
        <x:v>6</x:v>
      </x:c>
      <x:c r="D5650" s="380" t="str">
        <x:v>Jun</x:v>
      </x:c>
      <x:c r="E5650" s="380" t="n">
        <x:v>14</x:v>
      </x:c>
      <x:c r="F5650" s="380" t="n">
        <x:v>4</x:v>
      </x:c>
      <x:c r="G5650" s="380" t="n">
        <x:f>--(F5650&lt;='Estimator'!$B$7)</x:f>
        <x:v>1</x:v>
      </x:c>
      <x:c r="H5650" s="381" t="n">
        <x:f>SUMIFS('Climate Data'!$G$7:$G$366,'Climate Data'!$A$7:$A$366,'Estimator'!$B$4,'Climate Data'!$B$7:$B$366,C5650)</x:f>
        <x:v>0.475</x:v>
      </x:c>
      <x:c r="I5650" s="382" t="n">
        <x:f>SUMIFS('Climate Data'!$H$7:$H$366,'Climate Data'!$A$7:$A$366,'Estimator'!$B$4,'Climate Data'!$B$7:$B$366,C5650)</x:f>
        <x:v>8.378947368421054</x:v>
      </x:c>
      <x:c r="J5650" s="381" t="n">
        <x:f>SUMIFS('Wind Proxy'!$H$8:$H$19,'Wind Proxy'!$A$8:$A$19,'Estimator'!$B$4,'Wind Proxy'!$B$8:$B$19,C5650)</x:f>
        <x:v>0.14197530864197533</x:v>
      </x:c>
    </x:row>
    <x:row r="5651">
      <x:c r="A5651" s="379" t="n">
        <x:v>51302</x:v>
      </x:c>
      <x:c r="B5651" s="380" t="n">
        <x:v>2040</x:v>
      </x:c>
      <x:c r="C5651" s="380" t="n">
        <x:v>6</x:v>
      </x:c>
      <x:c r="D5651" s="380" t="str">
        <x:v>Jun</x:v>
      </x:c>
      <x:c r="E5651" s="380" t="n">
        <x:v>15</x:v>
      </x:c>
      <x:c r="F5651" s="380" t="n">
        <x:v>5</x:v>
      </x:c>
      <x:c r="G5651" s="380" t="n">
        <x:f>--(F5651&lt;='Estimator'!$B$7)</x:f>
        <x:v>1</x:v>
      </x:c>
      <x:c r="H5651" s="381" t="n">
        <x:f>SUMIFS('Climate Data'!$G$7:$G$366,'Climate Data'!$A$7:$A$366,'Estimator'!$B$4,'Climate Data'!$B$7:$B$366,C5651)</x:f>
        <x:v>0.475</x:v>
      </x:c>
      <x:c r="I5651" s="382" t="n">
        <x:f>SUMIFS('Climate Data'!$H$7:$H$366,'Climate Data'!$A$7:$A$366,'Estimator'!$B$4,'Climate Data'!$B$7:$B$366,C5651)</x:f>
        <x:v>8.378947368421054</x:v>
      </x:c>
      <x:c r="J5651" s="381" t="n">
        <x:f>SUMIFS('Wind Proxy'!$H$8:$H$19,'Wind Proxy'!$A$8:$A$19,'Estimator'!$B$4,'Wind Proxy'!$B$8:$B$19,C5651)</x:f>
        <x:v>0.14197530864197533</x:v>
      </x:c>
    </x:row>
    <x:row r="5652">
      <x:c r="A5652" s="379" t="n">
        <x:v>51303</x:v>
      </x:c>
      <x:c r="B5652" s="380" t="n">
        <x:v>2040</x:v>
      </x:c>
      <x:c r="C5652" s="380" t="n">
        <x:v>6</x:v>
      </x:c>
      <x:c r="D5652" s="380" t="str">
        <x:v>Jun</x:v>
      </x:c>
      <x:c r="E5652" s="380" t="n">
        <x:v>16</x:v>
      </x:c>
      <x:c r="F5652" s="380" t="n">
        <x:v>6</x:v>
      </x:c>
      <x:c r="G5652" s="380" t="n">
        <x:f>--(F5652&lt;='Estimator'!$B$7)</x:f>
        <x:v>0</x:v>
      </x:c>
      <x:c r="H5652" s="381" t="n">
        <x:f>SUMIFS('Climate Data'!$G$7:$G$366,'Climate Data'!$A$7:$A$366,'Estimator'!$B$4,'Climate Data'!$B$7:$B$366,C5652)</x:f>
        <x:v>0.475</x:v>
      </x:c>
      <x:c r="I5652" s="382" t="n">
        <x:f>SUMIFS('Climate Data'!$H$7:$H$366,'Climate Data'!$A$7:$A$366,'Estimator'!$B$4,'Climate Data'!$B$7:$B$366,C5652)</x:f>
        <x:v>8.378947368421054</x:v>
      </x:c>
      <x:c r="J5652" s="381" t="n">
        <x:f>SUMIFS('Wind Proxy'!$H$8:$H$19,'Wind Proxy'!$A$8:$A$19,'Estimator'!$B$4,'Wind Proxy'!$B$8:$B$19,C5652)</x:f>
        <x:v>0.14197530864197533</x:v>
      </x:c>
    </x:row>
    <x:row r="5653">
      <x:c r="A5653" s="379" t="n">
        <x:v>51304</x:v>
      </x:c>
      <x:c r="B5653" s="380" t="n">
        <x:v>2040</x:v>
      </x:c>
      <x:c r="C5653" s="380" t="n">
        <x:v>6</x:v>
      </x:c>
      <x:c r="D5653" s="380" t="str">
        <x:v>Jun</x:v>
      </x:c>
      <x:c r="E5653" s="380" t="n">
        <x:v>17</x:v>
      </x:c>
      <x:c r="F5653" s="380" t="n">
        <x:v>7</x:v>
      </x:c>
      <x:c r="G5653" s="380" t="n">
        <x:f>--(F5653&lt;='Estimator'!$B$7)</x:f>
        <x:v>0</x:v>
      </x:c>
      <x:c r="H5653" s="381" t="n">
        <x:f>SUMIFS('Climate Data'!$G$7:$G$366,'Climate Data'!$A$7:$A$366,'Estimator'!$B$4,'Climate Data'!$B$7:$B$366,C5653)</x:f>
        <x:v>0.475</x:v>
      </x:c>
      <x:c r="I5653" s="382" t="n">
        <x:f>SUMIFS('Climate Data'!$H$7:$H$366,'Climate Data'!$A$7:$A$366,'Estimator'!$B$4,'Climate Data'!$B$7:$B$366,C5653)</x:f>
        <x:v>8.378947368421054</x:v>
      </x:c>
      <x:c r="J5653" s="381" t="n">
        <x:f>SUMIFS('Wind Proxy'!$H$8:$H$19,'Wind Proxy'!$A$8:$A$19,'Estimator'!$B$4,'Wind Proxy'!$B$8:$B$19,C5653)</x:f>
        <x:v>0.14197530864197533</x:v>
      </x:c>
    </x:row>
    <x:row r="5654">
      <x:c r="A5654" s="379" t="n">
        <x:v>51305</x:v>
      </x:c>
      <x:c r="B5654" s="380" t="n">
        <x:v>2040</x:v>
      </x:c>
      <x:c r="C5654" s="380" t="n">
        <x:v>6</x:v>
      </x:c>
      <x:c r="D5654" s="380" t="str">
        <x:v>Jun</x:v>
      </x:c>
      <x:c r="E5654" s="380" t="n">
        <x:v>18</x:v>
      </x:c>
      <x:c r="F5654" s="380" t="n">
        <x:v>1</x:v>
      </x:c>
      <x:c r="G5654" s="380" t="n">
        <x:f>--(F5654&lt;='Estimator'!$B$7)</x:f>
        <x:v>1</x:v>
      </x:c>
      <x:c r="H5654" s="381" t="n">
        <x:f>SUMIFS('Climate Data'!$G$7:$G$366,'Climate Data'!$A$7:$A$366,'Estimator'!$B$4,'Climate Data'!$B$7:$B$366,C5654)</x:f>
        <x:v>0.475</x:v>
      </x:c>
      <x:c r="I5654" s="382" t="n">
        <x:f>SUMIFS('Climate Data'!$H$7:$H$366,'Climate Data'!$A$7:$A$366,'Estimator'!$B$4,'Climate Data'!$B$7:$B$366,C5654)</x:f>
        <x:v>8.378947368421054</x:v>
      </x:c>
      <x:c r="J5654" s="381" t="n">
        <x:f>SUMIFS('Wind Proxy'!$H$8:$H$19,'Wind Proxy'!$A$8:$A$19,'Estimator'!$B$4,'Wind Proxy'!$B$8:$B$19,C5654)</x:f>
        <x:v>0.14197530864197533</x:v>
      </x:c>
    </x:row>
    <x:row r="5655">
      <x:c r="A5655" s="379" t="n">
        <x:v>51306</x:v>
      </x:c>
      <x:c r="B5655" s="380" t="n">
        <x:v>2040</x:v>
      </x:c>
      <x:c r="C5655" s="380" t="n">
        <x:v>6</x:v>
      </x:c>
      <x:c r="D5655" s="380" t="str">
        <x:v>Jun</x:v>
      </x:c>
      <x:c r="E5655" s="380" t="n">
        <x:v>19</x:v>
      </x:c>
      <x:c r="F5655" s="380" t="n">
        <x:v>2</x:v>
      </x:c>
      <x:c r="G5655" s="380" t="n">
        <x:f>--(F5655&lt;='Estimator'!$B$7)</x:f>
        <x:v>1</x:v>
      </x:c>
      <x:c r="H5655" s="381" t="n">
        <x:f>SUMIFS('Climate Data'!$G$7:$G$366,'Climate Data'!$A$7:$A$366,'Estimator'!$B$4,'Climate Data'!$B$7:$B$366,C5655)</x:f>
        <x:v>0.475</x:v>
      </x:c>
      <x:c r="I5655" s="382" t="n">
        <x:f>SUMIFS('Climate Data'!$H$7:$H$366,'Climate Data'!$A$7:$A$366,'Estimator'!$B$4,'Climate Data'!$B$7:$B$366,C5655)</x:f>
        <x:v>8.378947368421054</x:v>
      </x:c>
      <x:c r="J5655" s="381" t="n">
        <x:f>SUMIFS('Wind Proxy'!$H$8:$H$19,'Wind Proxy'!$A$8:$A$19,'Estimator'!$B$4,'Wind Proxy'!$B$8:$B$19,C5655)</x:f>
        <x:v>0.14197530864197533</x:v>
      </x:c>
    </x:row>
    <x:row r="5656">
      <x:c r="A5656" s="379" t="n">
        <x:v>51307</x:v>
      </x:c>
      <x:c r="B5656" s="380" t="n">
        <x:v>2040</x:v>
      </x:c>
      <x:c r="C5656" s="380" t="n">
        <x:v>6</x:v>
      </x:c>
      <x:c r="D5656" s="380" t="str">
        <x:v>Jun</x:v>
      </x:c>
      <x:c r="E5656" s="380" t="n">
        <x:v>20</x:v>
      </x:c>
      <x:c r="F5656" s="380" t="n">
        <x:v>3</x:v>
      </x:c>
      <x:c r="G5656" s="380" t="n">
        <x:f>--(F5656&lt;='Estimator'!$B$7)</x:f>
        <x:v>1</x:v>
      </x:c>
      <x:c r="H5656" s="381" t="n">
        <x:f>SUMIFS('Climate Data'!$G$7:$G$366,'Climate Data'!$A$7:$A$366,'Estimator'!$B$4,'Climate Data'!$B$7:$B$366,C5656)</x:f>
        <x:v>0.475</x:v>
      </x:c>
      <x:c r="I5656" s="382" t="n">
        <x:f>SUMIFS('Climate Data'!$H$7:$H$366,'Climate Data'!$A$7:$A$366,'Estimator'!$B$4,'Climate Data'!$B$7:$B$366,C5656)</x:f>
        <x:v>8.378947368421054</x:v>
      </x:c>
      <x:c r="J5656" s="381" t="n">
        <x:f>SUMIFS('Wind Proxy'!$H$8:$H$19,'Wind Proxy'!$A$8:$A$19,'Estimator'!$B$4,'Wind Proxy'!$B$8:$B$19,C5656)</x:f>
        <x:v>0.14197530864197533</x:v>
      </x:c>
    </x:row>
    <x:row r="5657">
      <x:c r="A5657" s="379" t="n">
        <x:v>51308</x:v>
      </x:c>
      <x:c r="B5657" s="380" t="n">
        <x:v>2040</x:v>
      </x:c>
      <x:c r="C5657" s="380" t="n">
        <x:v>6</x:v>
      </x:c>
      <x:c r="D5657" s="380" t="str">
        <x:v>Jun</x:v>
      </x:c>
      <x:c r="E5657" s="380" t="n">
        <x:v>21</x:v>
      </x:c>
      <x:c r="F5657" s="380" t="n">
        <x:v>4</x:v>
      </x:c>
      <x:c r="G5657" s="380" t="n">
        <x:f>--(F5657&lt;='Estimator'!$B$7)</x:f>
        <x:v>1</x:v>
      </x:c>
      <x:c r="H5657" s="381" t="n">
        <x:f>SUMIFS('Climate Data'!$G$7:$G$366,'Climate Data'!$A$7:$A$366,'Estimator'!$B$4,'Climate Data'!$B$7:$B$366,C5657)</x:f>
        <x:v>0.475</x:v>
      </x:c>
      <x:c r="I5657" s="382" t="n">
        <x:f>SUMIFS('Climate Data'!$H$7:$H$366,'Climate Data'!$A$7:$A$366,'Estimator'!$B$4,'Climate Data'!$B$7:$B$366,C5657)</x:f>
        <x:v>8.378947368421054</x:v>
      </x:c>
      <x:c r="J5657" s="381" t="n">
        <x:f>SUMIFS('Wind Proxy'!$H$8:$H$19,'Wind Proxy'!$A$8:$A$19,'Estimator'!$B$4,'Wind Proxy'!$B$8:$B$19,C5657)</x:f>
        <x:v>0.14197530864197533</x:v>
      </x:c>
    </x:row>
    <x:row r="5658">
      <x:c r="A5658" s="379" t="n">
        <x:v>51309</x:v>
      </x:c>
      <x:c r="B5658" s="380" t="n">
        <x:v>2040</x:v>
      </x:c>
      <x:c r="C5658" s="380" t="n">
        <x:v>6</x:v>
      </x:c>
      <x:c r="D5658" s="380" t="str">
        <x:v>Jun</x:v>
      </x:c>
      <x:c r="E5658" s="380" t="n">
        <x:v>22</x:v>
      </x:c>
      <x:c r="F5658" s="380" t="n">
        <x:v>5</x:v>
      </x:c>
      <x:c r="G5658" s="380" t="n">
        <x:f>--(F5658&lt;='Estimator'!$B$7)</x:f>
        <x:v>1</x:v>
      </x:c>
      <x:c r="H5658" s="381" t="n">
        <x:f>SUMIFS('Climate Data'!$G$7:$G$366,'Climate Data'!$A$7:$A$366,'Estimator'!$B$4,'Climate Data'!$B$7:$B$366,C5658)</x:f>
        <x:v>0.475</x:v>
      </x:c>
      <x:c r="I5658" s="382" t="n">
        <x:f>SUMIFS('Climate Data'!$H$7:$H$366,'Climate Data'!$A$7:$A$366,'Estimator'!$B$4,'Climate Data'!$B$7:$B$366,C5658)</x:f>
        <x:v>8.378947368421054</x:v>
      </x:c>
      <x:c r="J5658" s="381" t="n">
        <x:f>SUMIFS('Wind Proxy'!$H$8:$H$19,'Wind Proxy'!$A$8:$A$19,'Estimator'!$B$4,'Wind Proxy'!$B$8:$B$19,C5658)</x:f>
        <x:v>0.14197530864197533</x:v>
      </x:c>
    </x:row>
    <x:row r="5659">
      <x:c r="A5659" s="379" t="n">
        <x:v>51310</x:v>
      </x:c>
      <x:c r="B5659" s="380" t="n">
        <x:v>2040</x:v>
      </x:c>
      <x:c r="C5659" s="380" t="n">
        <x:v>6</x:v>
      </x:c>
      <x:c r="D5659" s="380" t="str">
        <x:v>Jun</x:v>
      </x:c>
      <x:c r="E5659" s="380" t="n">
        <x:v>23</x:v>
      </x:c>
      <x:c r="F5659" s="380" t="n">
        <x:v>6</x:v>
      </x:c>
      <x:c r="G5659" s="380" t="n">
        <x:f>--(F5659&lt;='Estimator'!$B$7)</x:f>
        <x:v>0</x:v>
      </x:c>
      <x:c r="H5659" s="381" t="n">
        <x:f>SUMIFS('Climate Data'!$G$7:$G$366,'Climate Data'!$A$7:$A$366,'Estimator'!$B$4,'Climate Data'!$B$7:$B$366,C5659)</x:f>
        <x:v>0.475</x:v>
      </x:c>
      <x:c r="I5659" s="382" t="n">
        <x:f>SUMIFS('Climate Data'!$H$7:$H$366,'Climate Data'!$A$7:$A$366,'Estimator'!$B$4,'Climate Data'!$B$7:$B$366,C5659)</x:f>
        <x:v>8.378947368421054</x:v>
      </x:c>
      <x:c r="J5659" s="381" t="n">
        <x:f>SUMIFS('Wind Proxy'!$H$8:$H$19,'Wind Proxy'!$A$8:$A$19,'Estimator'!$B$4,'Wind Proxy'!$B$8:$B$19,C5659)</x:f>
        <x:v>0.14197530864197533</x:v>
      </x:c>
    </x:row>
    <x:row r="5660">
      <x:c r="A5660" s="379" t="n">
        <x:v>51311</x:v>
      </x:c>
      <x:c r="B5660" s="380" t="n">
        <x:v>2040</x:v>
      </x:c>
      <x:c r="C5660" s="380" t="n">
        <x:v>6</x:v>
      </x:c>
      <x:c r="D5660" s="380" t="str">
        <x:v>Jun</x:v>
      </x:c>
      <x:c r="E5660" s="380" t="n">
        <x:v>24</x:v>
      </x:c>
      <x:c r="F5660" s="380" t="n">
        <x:v>7</x:v>
      </x:c>
      <x:c r="G5660" s="380" t="n">
        <x:f>--(F5660&lt;='Estimator'!$B$7)</x:f>
        <x:v>0</x:v>
      </x:c>
      <x:c r="H5660" s="381" t="n">
        <x:f>SUMIFS('Climate Data'!$G$7:$G$366,'Climate Data'!$A$7:$A$366,'Estimator'!$B$4,'Climate Data'!$B$7:$B$366,C5660)</x:f>
        <x:v>0.475</x:v>
      </x:c>
      <x:c r="I5660" s="382" t="n">
        <x:f>SUMIFS('Climate Data'!$H$7:$H$366,'Climate Data'!$A$7:$A$366,'Estimator'!$B$4,'Climate Data'!$B$7:$B$366,C5660)</x:f>
        <x:v>8.378947368421054</x:v>
      </x:c>
      <x:c r="J5660" s="381" t="n">
        <x:f>SUMIFS('Wind Proxy'!$H$8:$H$19,'Wind Proxy'!$A$8:$A$19,'Estimator'!$B$4,'Wind Proxy'!$B$8:$B$19,C5660)</x:f>
        <x:v>0.14197530864197533</x:v>
      </x:c>
    </x:row>
    <x:row r="5661">
      <x:c r="A5661" s="379" t="n">
        <x:v>51312</x:v>
      </x:c>
      <x:c r="B5661" s="380" t="n">
        <x:v>2040</x:v>
      </x:c>
      <x:c r="C5661" s="380" t="n">
        <x:v>6</x:v>
      </x:c>
      <x:c r="D5661" s="380" t="str">
        <x:v>Jun</x:v>
      </x:c>
      <x:c r="E5661" s="380" t="n">
        <x:v>25</x:v>
      </x:c>
      <x:c r="F5661" s="380" t="n">
        <x:v>1</x:v>
      </x:c>
      <x:c r="G5661" s="380" t="n">
        <x:f>--(F5661&lt;='Estimator'!$B$7)</x:f>
        <x:v>1</x:v>
      </x:c>
      <x:c r="H5661" s="381" t="n">
        <x:f>SUMIFS('Climate Data'!$G$7:$G$366,'Climate Data'!$A$7:$A$366,'Estimator'!$B$4,'Climate Data'!$B$7:$B$366,C5661)</x:f>
        <x:v>0.475</x:v>
      </x:c>
      <x:c r="I5661" s="382" t="n">
        <x:f>SUMIFS('Climate Data'!$H$7:$H$366,'Climate Data'!$A$7:$A$366,'Estimator'!$B$4,'Climate Data'!$B$7:$B$366,C5661)</x:f>
        <x:v>8.378947368421054</x:v>
      </x:c>
      <x:c r="J5661" s="381" t="n">
        <x:f>SUMIFS('Wind Proxy'!$H$8:$H$19,'Wind Proxy'!$A$8:$A$19,'Estimator'!$B$4,'Wind Proxy'!$B$8:$B$19,C5661)</x:f>
        <x:v>0.14197530864197533</x:v>
      </x:c>
    </x:row>
    <x:row r="5662">
      <x:c r="A5662" s="379" t="n">
        <x:v>51313</x:v>
      </x:c>
      <x:c r="B5662" s="380" t="n">
        <x:v>2040</x:v>
      </x:c>
      <x:c r="C5662" s="380" t="n">
        <x:v>6</x:v>
      </x:c>
      <x:c r="D5662" s="380" t="str">
        <x:v>Jun</x:v>
      </x:c>
      <x:c r="E5662" s="380" t="n">
        <x:v>26</x:v>
      </x:c>
      <x:c r="F5662" s="380" t="n">
        <x:v>2</x:v>
      </x:c>
      <x:c r="G5662" s="380" t="n">
        <x:f>--(F5662&lt;='Estimator'!$B$7)</x:f>
        <x:v>1</x:v>
      </x:c>
      <x:c r="H5662" s="381" t="n">
        <x:f>SUMIFS('Climate Data'!$G$7:$G$366,'Climate Data'!$A$7:$A$366,'Estimator'!$B$4,'Climate Data'!$B$7:$B$366,C5662)</x:f>
        <x:v>0.475</x:v>
      </x:c>
      <x:c r="I5662" s="382" t="n">
        <x:f>SUMIFS('Climate Data'!$H$7:$H$366,'Climate Data'!$A$7:$A$366,'Estimator'!$B$4,'Climate Data'!$B$7:$B$366,C5662)</x:f>
        <x:v>8.378947368421054</x:v>
      </x:c>
      <x:c r="J5662" s="381" t="n">
        <x:f>SUMIFS('Wind Proxy'!$H$8:$H$19,'Wind Proxy'!$A$8:$A$19,'Estimator'!$B$4,'Wind Proxy'!$B$8:$B$19,C5662)</x:f>
        <x:v>0.14197530864197533</x:v>
      </x:c>
    </x:row>
    <x:row r="5663">
      <x:c r="A5663" s="379" t="n">
        <x:v>51314</x:v>
      </x:c>
      <x:c r="B5663" s="380" t="n">
        <x:v>2040</x:v>
      </x:c>
      <x:c r="C5663" s="380" t="n">
        <x:v>6</x:v>
      </x:c>
      <x:c r="D5663" s="380" t="str">
        <x:v>Jun</x:v>
      </x:c>
      <x:c r="E5663" s="380" t="n">
        <x:v>27</x:v>
      </x:c>
      <x:c r="F5663" s="380" t="n">
        <x:v>3</x:v>
      </x:c>
      <x:c r="G5663" s="380" t="n">
        <x:f>--(F5663&lt;='Estimator'!$B$7)</x:f>
        <x:v>1</x:v>
      </x:c>
      <x:c r="H5663" s="381" t="n">
        <x:f>SUMIFS('Climate Data'!$G$7:$G$366,'Climate Data'!$A$7:$A$366,'Estimator'!$B$4,'Climate Data'!$B$7:$B$366,C5663)</x:f>
        <x:v>0.475</x:v>
      </x:c>
      <x:c r="I5663" s="382" t="n">
        <x:f>SUMIFS('Climate Data'!$H$7:$H$366,'Climate Data'!$A$7:$A$366,'Estimator'!$B$4,'Climate Data'!$B$7:$B$366,C5663)</x:f>
        <x:v>8.378947368421054</x:v>
      </x:c>
      <x:c r="J5663" s="381" t="n">
        <x:f>SUMIFS('Wind Proxy'!$H$8:$H$19,'Wind Proxy'!$A$8:$A$19,'Estimator'!$B$4,'Wind Proxy'!$B$8:$B$19,C5663)</x:f>
        <x:v>0.14197530864197533</x:v>
      </x:c>
    </x:row>
    <x:row r="5664">
      <x:c r="A5664" s="379" t="n">
        <x:v>51315</x:v>
      </x:c>
      <x:c r="B5664" s="380" t="n">
        <x:v>2040</x:v>
      </x:c>
      <x:c r="C5664" s="380" t="n">
        <x:v>6</x:v>
      </x:c>
      <x:c r="D5664" s="380" t="str">
        <x:v>Jun</x:v>
      </x:c>
      <x:c r="E5664" s="380" t="n">
        <x:v>28</x:v>
      </x:c>
      <x:c r="F5664" s="380" t="n">
        <x:v>4</x:v>
      </x:c>
      <x:c r="G5664" s="380" t="n">
        <x:f>--(F5664&lt;='Estimator'!$B$7)</x:f>
        <x:v>1</x:v>
      </x:c>
      <x:c r="H5664" s="381" t="n">
        <x:f>SUMIFS('Climate Data'!$G$7:$G$366,'Climate Data'!$A$7:$A$366,'Estimator'!$B$4,'Climate Data'!$B$7:$B$366,C5664)</x:f>
        <x:v>0.475</x:v>
      </x:c>
      <x:c r="I5664" s="382" t="n">
        <x:f>SUMIFS('Climate Data'!$H$7:$H$366,'Climate Data'!$A$7:$A$366,'Estimator'!$B$4,'Climate Data'!$B$7:$B$366,C5664)</x:f>
        <x:v>8.378947368421054</x:v>
      </x:c>
      <x:c r="J5664" s="381" t="n">
        <x:f>SUMIFS('Wind Proxy'!$H$8:$H$19,'Wind Proxy'!$A$8:$A$19,'Estimator'!$B$4,'Wind Proxy'!$B$8:$B$19,C5664)</x:f>
        <x:v>0.14197530864197533</x:v>
      </x:c>
    </x:row>
    <x:row r="5665">
      <x:c r="A5665" s="379" t="n">
        <x:v>51316</x:v>
      </x:c>
      <x:c r="B5665" s="380" t="n">
        <x:v>2040</x:v>
      </x:c>
      <x:c r="C5665" s="380" t="n">
        <x:v>6</x:v>
      </x:c>
      <x:c r="D5665" s="380" t="str">
        <x:v>Jun</x:v>
      </x:c>
      <x:c r="E5665" s="380" t="n">
        <x:v>29</x:v>
      </x:c>
      <x:c r="F5665" s="380" t="n">
        <x:v>5</x:v>
      </x:c>
      <x:c r="G5665" s="380" t="n">
        <x:f>--(F5665&lt;='Estimator'!$B$7)</x:f>
        <x:v>1</x:v>
      </x:c>
      <x:c r="H5665" s="381" t="n">
        <x:f>SUMIFS('Climate Data'!$G$7:$G$366,'Climate Data'!$A$7:$A$366,'Estimator'!$B$4,'Climate Data'!$B$7:$B$366,C5665)</x:f>
        <x:v>0.475</x:v>
      </x:c>
      <x:c r="I5665" s="382" t="n">
        <x:f>SUMIFS('Climate Data'!$H$7:$H$366,'Climate Data'!$A$7:$A$366,'Estimator'!$B$4,'Climate Data'!$B$7:$B$366,C5665)</x:f>
        <x:v>8.378947368421054</x:v>
      </x:c>
      <x:c r="J5665" s="381" t="n">
        <x:f>SUMIFS('Wind Proxy'!$H$8:$H$19,'Wind Proxy'!$A$8:$A$19,'Estimator'!$B$4,'Wind Proxy'!$B$8:$B$19,C5665)</x:f>
        <x:v>0.14197530864197533</x:v>
      </x:c>
    </x:row>
    <x:row r="5666">
      <x:c r="A5666" s="379" t="n">
        <x:v>51317</x:v>
      </x:c>
      <x:c r="B5666" s="380" t="n">
        <x:v>2040</x:v>
      </x:c>
      <x:c r="C5666" s="380" t="n">
        <x:v>6</x:v>
      </x:c>
      <x:c r="D5666" s="380" t="str">
        <x:v>Jun</x:v>
      </x:c>
      <x:c r="E5666" s="380" t="n">
        <x:v>30</x:v>
      </x:c>
      <x:c r="F5666" s="380" t="n">
        <x:v>6</x:v>
      </x:c>
      <x:c r="G5666" s="380" t="n">
        <x:f>--(F5666&lt;='Estimator'!$B$7)</x:f>
        <x:v>0</x:v>
      </x:c>
      <x:c r="H5666" s="381" t="n">
        <x:f>SUMIFS('Climate Data'!$G$7:$G$366,'Climate Data'!$A$7:$A$366,'Estimator'!$B$4,'Climate Data'!$B$7:$B$366,C5666)</x:f>
        <x:v>0.475</x:v>
      </x:c>
      <x:c r="I5666" s="382" t="n">
        <x:f>SUMIFS('Climate Data'!$H$7:$H$366,'Climate Data'!$A$7:$A$366,'Estimator'!$B$4,'Climate Data'!$B$7:$B$366,C5666)</x:f>
        <x:v>8.378947368421054</x:v>
      </x:c>
      <x:c r="J5666" s="381" t="n">
        <x:f>SUMIFS('Wind Proxy'!$H$8:$H$19,'Wind Proxy'!$A$8:$A$19,'Estimator'!$B$4,'Wind Proxy'!$B$8:$B$19,C5666)</x:f>
        <x:v>0.14197530864197533</x:v>
      </x:c>
    </x:row>
    <x:row r="5667">
      <x:c r="A5667" s="379" t="n">
        <x:v>51318</x:v>
      </x:c>
      <x:c r="B5667" s="380" t="n">
        <x:v>2040</x:v>
      </x:c>
      <x:c r="C5667" s="380" t="n">
        <x:v>7</x:v>
      </x:c>
      <x:c r="D5667" s="380" t="str">
        <x:v>Jul</x:v>
      </x:c>
      <x:c r="E5667" s="380" t="n">
        <x:v>1</x:v>
      </x:c>
      <x:c r="F5667" s="380" t="n">
        <x:v>7</x:v>
      </x:c>
      <x:c r="G5667" s="380" t="n">
        <x:f>--(F5667&lt;='Estimator'!$B$7)</x:f>
        <x:v>0</x:v>
      </x:c>
      <x:c r="H5667" s="381" t="n">
        <x:f>SUMIFS('Climate Data'!$G$7:$G$366,'Climate Data'!$A$7:$A$366,'Estimator'!$B$4,'Climate Data'!$B$7:$B$366,C5667)</x:f>
        <x:v>0.49078341013824883</x:v>
      </x:c>
      <x:c r="I5667" s="382" t="n">
        <x:f>SUMIFS('Climate Data'!$H$7:$H$366,'Climate Data'!$A$7:$A$366,'Estimator'!$B$4,'Climate Data'!$B$7:$B$366,C5667)</x:f>
        <x:v>8.998122065727701</x:v>
      </x:c>
      <x:c r="J5667" s="381" t="n">
        <x:f>SUMIFS('Wind Proxy'!$H$8:$H$19,'Wind Proxy'!$A$8:$A$19,'Estimator'!$B$4,'Wind Proxy'!$B$8:$B$19,C5667)</x:f>
        <x:v>0.13739545997610514</x:v>
      </x:c>
    </x:row>
    <x:row r="5668">
      <x:c r="A5668" s="379" t="n">
        <x:v>51319</x:v>
      </x:c>
      <x:c r="B5668" s="380" t="n">
        <x:v>2040</x:v>
      </x:c>
      <x:c r="C5668" s="380" t="n">
        <x:v>7</x:v>
      </x:c>
      <x:c r="D5668" s="380" t="str">
        <x:v>Jul</x:v>
      </x:c>
      <x:c r="E5668" s="380" t="n">
        <x:v>2</x:v>
      </x:c>
      <x:c r="F5668" s="380" t="n">
        <x:v>1</x:v>
      </x:c>
      <x:c r="G5668" s="380" t="n">
        <x:f>--(F5668&lt;='Estimator'!$B$7)</x:f>
        <x:v>1</x:v>
      </x:c>
      <x:c r="H5668" s="381" t="n">
        <x:f>SUMIFS('Climate Data'!$G$7:$G$366,'Climate Data'!$A$7:$A$366,'Estimator'!$B$4,'Climate Data'!$B$7:$B$366,C5668)</x:f>
        <x:v>0.49078341013824883</x:v>
      </x:c>
      <x:c r="I5668" s="382" t="n">
        <x:f>SUMIFS('Climate Data'!$H$7:$H$366,'Climate Data'!$A$7:$A$366,'Estimator'!$B$4,'Climate Data'!$B$7:$B$366,C5668)</x:f>
        <x:v>8.998122065727701</x:v>
      </x:c>
      <x:c r="J5668" s="381" t="n">
        <x:f>SUMIFS('Wind Proxy'!$H$8:$H$19,'Wind Proxy'!$A$8:$A$19,'Estimator'!$B$4,'Wind Proxy'!$B$8:$B$19,C5668)</x:f>
        <x:v>0.13739545997610514</x:v>
      </x:c>
    </x:row>
    <x:row r="5669">
      <x:c r="A5669" s="379" t="n">
        <x:v>51320</x:v>
      </x:c>
      <x:c r="B5669" s="380" t="n">
        <x:v>2040</x:v>
      </x:c>
      <x:c r="C5669" s="380" t="n">
        <x:v>7</x:v>
      </x:c>
      <x:c r="D5669" s="380" t="str">
        <x:v>Jul</x:v>
      </x:c>
      <x:c r="E5669" s="380" t="n">
        <x:v>3</x:v>
      </x:c>
      <x:c r="F5669" s="380" t="n">
        <x:v>2</x:v>
      </x:c>
      <x:c r="G5669" s="380" t="n">
        <x:f>--(F5669&lt;='Estimator'!$B$7)</x:f>
        <x:v>1</x:v>
      </x:c>
      <x:c r="H5669" s="381" t="n">
        <x:f>SUMIFS('Climate Data'!$G$7:$G$366,'Climate Data'!$A$7:$A$366,'Estimator'!$B$4,'Climate Data'!$B$7:$B$366,C5669)</x:f>
        <x:v>0.49078341013824883</x:v>
      </x:c>
      <x:c r="I5669" s="382" t="n">
        <x:f>SUMIFS('Climate Data'!$H$7:$H$366,'Climate Data'!$A$7:$A$366,'Estimator'!$B$4,'Climate Data'!$B$7:$B$366,C5669)</x:f>
        <x:v>8.998122065727701</x:v>
      </x:c>
      <x:c r="J5669" s="381" t="n">
        <x:f>SUMIFS('Wind Proxy'!$H$8:$H$19,'Wind Proxy'!$A$8:$A$19,'Estimator'!$B$4,'Wind Proxy'!$B$8:$B$19,C5669)</x:f>
        <x:v>0.13739545997610514</x:v>
      </x:c>
    </x:row>
    <x:row r="5670">
      <x:c r="A5670" s="379" t="n">
        <x:v>51321</x:v>
      </x:c>
      <x:c r="B5670" s="380" t="n">
        <x:v>2040</x:v>
      </x:c>
      <x:c r="C5670" s="380" t="n">
        <x:v>7</x:v>
      </x:c>
      <x:c r="D5670" s="380" t="str">
        <x:v>Jul</x:v>
      </x:c>
      <x:c r="E5670" s="380" t="n">
        <x:v>4</x:v>
      </x:c>
      <x:c r="F5670" s="380" t="n">
        <x:v>3</x:v>
      </x:c>
      <x:c r="G5670" s="380" t="n">
        <x:f>--(F5670&lt;='Estimator'!$B$7)</x:f>
        <x:v>1</x:v>
      </x:c>
      <x:c r="H5670" s="381" t="n">
        <x:f>SUMIFS('Climate Data'!$G$7:$G$366,'Climate Data'!$A$7:$A$366,'Estimator'!$B$4,'Climate Data'!$B$7:$B$366,C5670)</x:f>
        <x:v>0.49078341013824883</x:v>
      </x:c>
      <x:c r="I5670" s="382" t="n">
        <x:f>SUMIFS('Climate Data'!$H$7:$H$366,'Climate Data'!$A$7:$A$366,'Estimator'!$B$4,'Climate Data'!$B$7:$B$366,C5670)</x:f>
        <x:v>8.998122065727701</x:v>
      </x:c>
      <x:c r="J5670" s="381" t="n">
        <x:f>SUMIFS('Wind Proxy'!$H$8:$H$19,'Wind Proxy'!$A$8:$A$19,'Estimator'!$B$4,'Wind Proxy'!$B$8:$B$19,C5670)</x:f>
        <x:v>0.13739545997610514</x:v>
      </x:c>
    </x:row>
    <x:row r="5671">
      <x:c r="A5671" s="379" t="n">
        <x:v>51322</x:v>
      </x:c>
      <x:c r="B5671" s="380" t="n">
        <x:v>2040</x:v>
      </x:c>
      <x:c r="C5671" s="380" t="n">
        <x:v>7</x:v>
      </x:c>
      <x:c r="D5671" s="380" t="str">
        <x:v>Jul</x:v>
      </x:c>
      <x:c r="E5671" s="380" t="n">
        <x:v>5</x:v>
      </x:c>
      <x:c r="F5671" s="380" t="n">
        <x:v>4</x:v>
      </x:c>
      <x:c r="G5671" s="380" t="n">
        <x:f>--(F5671&lt;='Estimator'!$B$7)</x:f>
        <x:v>1</x:v>
      </x:c>
      <x:c r="H5671" s="381" t="n">
        <x:f>SUMIFS('Climate Data'!$G$7:$G$366,'Climate Data'!$A$7:$A$366,'Estimator'!$B$4,'Climate Data'!$B$7:$B$366,C5671)</x:f>
        <x:v>0.49078341013824883</x:v>
      </x:c>
      <x:c r="I5671" s="382" t="n">
        <x:f>SUMIFS('Climate Data'!$H$7:$H$366,'Climate Data'!$A$7:$A$366,'Estimator'!$B$4,'Climate Data'!$B$7:$B$366,C5671)</x:f>
        <x:v>8.998122065727701</x:v>
      </x:c>
      <x:c r="J5671" s="381" t="n">
        <x:f>SUMIFS('Wind Proxy'!$H$8:$H$19,'Wind Proxy'!$A$8:$A$19,'Estimator'!$B$4,'Wind Proxy'!$B$8:$B$19,C5671)</x:f>
        <x:v>0.13739545997610514</x:v>
      </x:c>
    </x:row>
    <x:row r="5672">
      <x:c r="A5672" s="379" t="n">
        <x:v>51323</x:v>
      </x:c>
      <x:c r="B5672" s="380" t="n">
        <x:v>2040</x:v>
      </x:c>
      <x:c r="C5672" s="380" t="n">
        <x:v>7</x:v>
      </x:c>
      <x:c r="D5672" s="380" t="str">
        <x:v>Jul</x:v>
      </x:c>
      <x:c r="E5672" s="380" t="n">
        <x:v>6</x:v>
      </x:c>
      <x:c r="F5672" s="380" t="n">
        <x:v>5</x:v>
      </x:c>
      <x:c r="G5672" s="380" t="n">
        <x:f>--(F5672&lt;='Estimator'!$B$7)</x:f>
        <x:v>1</x:v>
      </x:c>
      <x:c r="H5672" s="381" t="n">
        <x:f>SUMIFS('Climate Data'!$G$7:$G$366,'Climate Data'!$A$7:$A$366,'Estimator'!$B$4,'Climate Data'!$B$7:$B$366,C5672)</x:f>
        <x:v>0.49078341013824883</x:v>
      </x:c>
      <x:c r="I5672" s="382" t="n">
        <x:f>SUMIFS('Climate Data'!$H$7:$H$366,'Climate Data'!$A$7:$A$366,'Estimator'!$B$4,'Climate Data'!$B$7:$B$366,C5672)</x:f>
        <x:v>8.998122065727701</x:v>
      </x:c>
      <x:c r="J5672" s="381" t="n">
        <x:f>SUMIFS('Wind Proxy'!$H$8:$H$19,'Wind Proxy'!$A$8:$A$19,'Estimator'!$B$4,'Wind Proxy'!$B$8:$B$19,C5672)</x:f>
        <x:v>0.13739545997610514</x:v>
      </x:c>
    </x:row>
    <x:row r="5673">
      <x:c r="A5673" s="379" t="n">
        <x:v>51324</x:v>
      </x:c>
      <x:c r="B5673" s="380" t="n">
        <x:v>2040</x:v>
      </x:c>
      <x:c r="C5673" s="380" t="n">
        <x:v>7</x:v>
      </x:c>
      <x:c r="D5673" s="380" t="str">
        <x:v>Jul</x:v>
      </x:c>
      <x:c r="E5673" s="380" t="n">
        <x:v>7</x:v>
      </x:c>
      <x:c r="F5673" s="380" t="n">
        <x:v>6</x:v>
      </x:c>
      <x:c r="G5673" s="380" t="n">
        <x:f>--(F5673&lt;='Estimator'!$B$7)</x:f>
        <x:v>0</x:v>
      </x:c>
      <x:c r="H5673" s="381" t="n">
        <x:f>SUMIFS('Climate Data'!$G$7:$G$366,'Climate Data'!$A$7:$A$366,'Estimator'!$B$4,'Climate Data'!$B$7:$B$366,C5673)</x:f>
        <x:v>0.49078341013824883</x:v>
      </x:c>
      <x:c r="I5673" s="382" t="n">
        <x:f>SUMIFS('Climate Data'!$H$7:$H$366,'Climate Data'!$A$7:$A$366,'Estimator'!$B$4,'Climate Data'!$B$7:$B$366,C5673)</x:f>
        <x:v>8.998122065727701</x:v>
      </x:c>
      <x:c r="J5673" s="381" t="n">
        <x:f>SUMIFS('Wind Proxy'!$H$8:$H$19,'Wind Proxy'!$A$8:$A$19,'Estimator'!$B$4,'Wind Proxy'!$B$8:$B$19,C5673)</x:f>
        <x:v>0.13739545997610514</x:v>
      </x:c>
    </x:row>
    <x:row r="5674">
      <x:c r="A5674" s="379" t="n">
        <x:v>51325</x:v>
      </x:c>
      <x:c r="B5674" s="380" t="n">
        <x:v>2040</x:v>
      </x:c>
      <x:c r="C5674" s="380" t="n">
        <x:v>7</x:v>
      </x:c>
      <x:c r="D5674" s="380" t="str">
        <x:v>Jul</x:v>
      </x:c>
      <x:c r="E5674" s="380" t="n">
        <x:v>8</x:v>
      </x:c>
      <x:c r="F5674" s="380" t="n">
        <x:v>7</x:v>
      </x:c>
      <x:c r="G5674" s="380" t="n">
        <x:f>--(F5674&lt;='Estimator'!$B$7)</x:f>
        <x:v>0</x:v>
      </x:c>
      <x:c r="H5674" s="381" t="n">
        <x:f>SUMIFS('Climate Data'!$G$7:$G$366,'Climate Data'!$A$7:$A$366,'Estimator'!$B$4,'Climate Data'!$B$7:$B$366,C5674)</x:f>
        <x:v>0.49078341013824883</x:v>
      </x:c>
      <x:c r="I5674" s="382" t="n">
        <x:f>SUMIFS('Climate Data'!$H$7:$H$366,'Climate Data'!$A$7:$A$366,'Estimator'!$B$4,'Climate Data'!$B$7:$B$366,C5674)</x:f>
        <x:v>8.998122065727701</x:v>
      </x:c>
      <x:c r="J5674" s="381" t="n">
        <x:f>SUMIFS('Wind Proxy'!$H$8:$H$19,'Wind Proxy'!$A$8:$A$19,'Estimator'!$B$4,'Wind Proxy'!$B$8:$B$19,C5674)</x:f>
        <x:v>0.13739545997610514</x:v>
      </x:c>
    </x:row>
    <x:row r="5675">
      <x:c r="A5675" s="379" t="n">
        <x:v>51326</x:v>
      </x:c>
      <x:c r="B5675" s="380" t="n">
        <x:v>2040</x:v>
      </x:c>
      <x:c r="C5675" s="380" t="n">
        <x:v>7</x:v>
      </x:c>
      <x:c r="D5675" s="380" t="str">
        <x:v>Jul</x:v>
      </x:c>
      <x:c r="E5675" s="380" t="n">
        <x:v>9</x:v>
      </x:c>
      <x:c r="F5675" s="380" t="n">
        <x:v>1</x:v>
      </x:c>
      <x:c r="G5675" s="380" t="n">
        <x:f>--(F5675&lt;='Estimator'!$B$7)</x:f>
        <x:v>1</x:v>
      </x:c>
      <x:c r="H5675" s="381" t="n">
        <x:f>SUMIFS('Climate Data'!$G$7:$G$366,'Climate Data'!$A$7:$A$366,'Estimator'!$B$4,'Climate Data'!$B$7:$B$366,C5675)</x:f>
        <x:v>0.49078341013824883</x:v>
      </x:c>
      <x:c r="I5675" s="382" t="n">
        <x:f>SUMIFS('Climate Data'!$H$7:$H$366,'Climate Data'!$A$7:$A$366,'Estimator'!$B$4,'Climate Data'!$B$7:$B$366,C5675)</x:f>
        <x:v>8.998122065727701</x:v>
      </x:c>
      <x:c r="J5675" s="381" t="n">
        <x:f>SUMIFS('Wind Proxy'!$H$8:$H$19,'Wind Proxy'!$A$8:$A$19,'Estimator'!$B$4,'Wind Proxy'!$B$8:$B$19,C5675)</x:f>
        <x:v>0.13739545997610514</x:v>
      </x:c>
    </x:row>
    <x:row r="5676">
      <x:c r="A5676" s="379" t="n">
        <x:v>51327</x:v>
      </x:c>
      <x:c r="B5676" s="380" t="n">
        <x:v>2040</x:v>
      </x:c>
      <x:c r="C5676" s="380" t="n">
        <x:v>7</x:v>
      </x:c>
      <x:c r="D5676" s="380" t="str">
        <x:v>Jul</x:v>
      </x:c>
      <x:c r="E5676" s="380" t="n">
        <x:v>10</x:v>
      </x:c>
      <x:c r="F5676" s="380" t="n">
        <x:v>2</x:v>
      </x:c>
      <x:c r="G5676" s="380" t="n">
        <x:f>--(F5676&lt;='Estimator'!$B$7)</x:f>
        <x:v>1</x:v>
      </x:c>
      <x:c r="H5676" s="381" t="n">
        <x:f>SUMIFS('Climate Data'!$G$7:$G$366,'Climate Data'!$A$7:$A$366,'Estimator'!$B$4,'Climate Data'!$B$7:$B$366,C5676)</x:f>
        <x:v>0.49078341013824883</x:v>
      </x:c>
      <x:c r="I5676" s="382" t="n">
        <x:f>SUMIFS('Climate Data'!$H$7:$H$366,'Climate Data'!$A$7:$A$366,'Estimator'!$B$4,'Climate Data'!$B$7:$B$366,C5676)</x:f>
        <x:v>8.998122065727701</x:v>
      </x:c>
      <x:c r="J5676" s="381" t="n">
        <x:f>SUMIFS('Wind Proxy'!$H$8:$H$19,'Wind Proxy'!$A$8:$A$19,'Estimator'!$B$4,'Wind Proxy'!$B$8:$B$19,C5676)</x:f>
        <x:v>0.13739545997610514</x:v>
      </x:c>
    </x:row>
    <x:row r="5677">
      <x:c r="A5677" s="379" t="n">
        <x:v>51328</x:v>
      </x:c>
      <x:c r="B5677" s="380" t="n">
        <x:v>2040</x:v>
      </x:c>
      <x:c r="C5677" s="380" t="n">
        <x:v>7</x:v>
      </x:c>
      <x:c r="D5677" s="380" t="str">
        <x:v>Jul</x:v>
      </x:c>
      <x:c r="E5677" s="380" t="n">
        <x:v>11</x:v>
      </x:c>
      <x:c r="F5677" s="380" t="n">
        <x:v>3</x:v>
      </x:c>
      <x:c r="G5677" s="380" t="n">
        <x:f>--(F5677&lt;='Estimator'!$B$7)</x:f>
        <x:v>1</x:v>
      </x:c>
      <x:c r="H5677" s="381" t="n">
        <x:f>SUMIFS('Climate Data'!$G$7:$G$366,'Climate Data'!$A$7:$A$366,'Estimator'!$B$4,'Climate Data'!$B$7:$B$366,C5677)</x:f>
        <x:v>0.49078341013824883</x:v>
      </x:c>
      <x:c r="I5677" s="382" t="n">
        <x:f>SUMIFS('Climate Data'!$H$7:$H$366,'Climate Data'!$A$7:$A$366,'Estimator'!$B$4,'Climate Data'!$B$7:$B$366,C5677)</x:f>
        <x:v>8.998122065727701</x:v>
      </x:c>
      <x:c r="J5677" s="381" t="n">
        <x:f>SUMIFS('Wind Proxy'!$H$8:$H$19,'Wind Proxy'!$A$8:$A$19,'Estimator'!$B$4,'Wind Proxy'!$B$8:$B$19,C5677)</x:f>
        <x:v>0.13739545997610514</x:v>
      </x:c>
    </x:row>
    <x:row r="5678">
      <x:c r="A5678" s="379" t="n">
        <x:v>51329</x:v>
      </x:c>
      <x:c r="B5678" s="380" t="n">
        <x:v>2040</x:v>
      </x:c>
      <x:c r="C5678" s="380" t="n">
        <x:v>7</x:v>
      </x:c>
      <x:c r="D5678" s="380" t="str">
        <x:v>Jul</x:v>
      </x:c>
      <x:c r="E5678" s="380" t="n">
        <x:v>12</x:v>
      </x:c>
      <x:c r="F5678" s="380" t="n">
        <x:v>4</x:v>
      </x:c>
      <x:c r="G5678" s="380" t="n">
        <x:f>--(F5678&lt;='Estimator'!$B$7)</x:f>
        <x:v>1</x:v>
      </x:c>
      <x:c r="H5678" s="381" t="n">
        <x:f>SUMIFS('Climate Data'!$G$7:$G$366,'Climate Data'!$A$7:$A$366,'Estimator'!$B$4,'Climate Data'!$B$7:$B$366,C5678)</x:f>
        <x:v>0.49078341013824883</x:v>
      </x:c>
      <x:c r="I5678" s="382" t="n">
        <x:f>SUMIFS('Climate Data'!$H$7:$H$366,'Climate Data'!$A$7:$A$366,'Estimator'!$B$4,'Climate Data'!$B$7:$B$366,C5678)</x:f>
        <x:v>8.998122065727701</x:v>
      </x:c>
      <x:c r="J5678" s="381" t="n">
        <x:f>SUMIFS('Wind Proxy'!$H$8:$H$19,'Wind Proxy'!$A$8:$A$19,'Estimator'!$B$4,'Wind Proxy'!$B$8:$B$19,C5678)</x:f>
        <x:v>0.13739545997610514</x:v>
      </x:c>
    </x:row>
    <x:row r="5679">
      <x:c r="A5679" s="379" t="n">
        <x:v>51330</x:v>
      </x:c>
      <x:c r="B5679" s="380" t="n">
        <x:v>2040</x:v>
      </x:c>
      <x:c r="C5679" s="380" t="n">
        <x:v>7</x:v>
      </x:c>
      <x:c r="D5679" s="380" t="str">
        <x:v>Jul</x:v>
      </x:c>
      <x:c r="E5679" s="380" t="n">
        <x:v>13</x:v>
      </x:c>
      <x:c r="F5679" s="380" t="n">
        <x:v>5</x:v>
      </x:c>
      <x:c r="G5679" s="380" t="n">
        <x:f>--(F5679&lt;='Estimator'!$B$7)</x:f>
        <x:v>1</x:v>
      </x:c>
      <x:c r="H5679" s="381" t="n">
        <x:f>SUMIFS('Climate Data'!$G$7:$G$366,'Climate Data'!$A$7:$A$366,'Estimator'!$B$4,'Climate Data'!$B$7:$B$366,C5679)</x:f>
        <x:v>0.49078341013824883</x:v>
      </x:c>
      <x:c r="I5679" s="382" t="n">
        <x:f>SUMIFS('Climate Data'!$H$7:$H$366,'Climate Data'!$A$7:$A$366,'Estimator'!$B$4,'Climate Data'!$B$7:$B$366,C5679)</x:f>
        <x:v>8.998122065727701</x:v>
      </x:c>
      <x:c r="J5679" s="381" t="n">
        <x:f>SUMIFS('Wind Proxy'!$H$8:$H$19,'Wind Proxy'!$A$8:$A$19,'Estimator'!$B$4,'Wind Proxy'!$B$8:$B$19,C5679)</x:f>
        <x:v>0.13739545997610514</x:v>
      </x:c>
    </x:row>
    <x:row r="5680">
      <x:c r="A5680" s="379" t="n">
        <x:v>51331</x:v>
      </x:c>
      <x:c r="B5680" s="380" t="n">
        <x:v>2040</x:v>
      </x:c>
      <x:c r="C5680" s="380" t="n">
        <x:v>7</x:v>
      </x:c>
      <x:c r="D5680" s="380" t="str">
        <x:v>Jul</x:v>
      </x:c>
      <x:c r="E5680" s="380" t="n">
        <x:v>14</x:v>
      </x:c>
      <x:c r="F5680" s="380" t="n">
        <x:v>6</x:v>
      </x:c>
      <x:c r="G5680" s="380" t="n">
        <x:f>--(F5680&lt;='Estimator'!$B$7)</x:f>
        <x:v>0</x:v>
      </x:c>
      <x:c r="H5680" s="381" t="n">
        <x:f>SUMIFS('Climate Data'!$G$7:$G$366,'Climate Data'!$A$7:$A$366,'Estimator'!$B$4,'Climate Data'!$B$7:$B$366,C5680)</x:f>
        <x:v>0.49078341013824883</x:v>
      </x:c>
      <x:c r="I5680" s="382" t="n">
        <x:f>SUMIFS('Climate Data'!$H$7:$H$366,'Climate Data'!$A$7:$A$366,'Estimator'!$B$4,'Climate Data'!$B$7:$B$366,C5680)</x:f>
        <x:v>8.998122065727701</x:v>
      </x:c>
      <x:c r="J5680" s="381" t="n">
        <x:f>SUMIFS('Wind Proxy'!$H$8:$H$19,'Wind Proxy'!$A$8:$A$19,'Estimator'!$B$4,'Wind Proxy'!$B$8:$B$19,C5680)</x:f>
        <x:v>0.13739545997610514</x:v>
      </x:c>
    </x:row>
    <x:row r="5681">
      <x:c r="A5681" s="379" t="n">
        <x:v>51332</x:v>
      </x:c>
      <x:c r="B5681" s="380" t="n">
        <x:v>2040</x:v>
      </x:c>
      <x:c r="C5681" s="380" t="n">
        <x:v>7</x:v>
      </x:c>
      <x:c r="D5681" s="380" t="str">
        <x:v>Jul</x:v>
      </x:c>
      <x:c r="E5681" s="380" t="n">
        <x:v>15</x:v>
      </x:c>
      <x:c r="F5681" s="380" t="n">
        <x:v>7</x:v>
      </x:c>
      <x:c r="G5681" s="380" t="n">
        <x:f>--(F5681&lt;='Estimator'!$B$7)</x:f>
        <x:v>0</x:v>
      </x:c>
      <x:c r="H5681" s="381" t="n">
        <x:f>SUMIFS('Climate Data'!$G$7:$G$366,'Climate Data'!$A$7:$A$366,'Estimator'!$B$4,'Climate Data'!$B$7:$B$366,C5681)</x:f>
        <x:v>0.49078341013824883</x:v>
      </x:c>
      <x:c r="I5681" s="382" t="n">
        <x:f>SUMIFS('Climate Data'!$H$7:$H$366,'Climate Data'!$A$7:$A$366,'Estimator'!$B$4,'Climate Data'!$B$7:$B$366,C5681)</x:f>
        <x:v>8.998122065727701</x:v>
      </x:c>
      <x:c r="J5681" s="381" t="n">
        <x:f>SUMIFS('Wind Proxy'!$H$8:$H$19,'Wind Proxy'!$A$8:$A$19,'Estimator'!$B$4,'Wind Proxy'!$B$8:$B$19,C5681)</x:f>
        <x:v>0.13739545997610514</x:v>
      </x:c>
    </x:row>
    <x:row r="5682">
      <x:c r="A5682" s="379" t="n">
        <x:v>51333</x:v>
      </x:c>
      <x:c r="B5682" s="380" t="n">
        <x:v>2040</x:v>
      </x:c>
      <x:c r="C5682" s="380" t="n">
        <x:v>7</x:v>
      </x:c>
      <x:c r="D5682" s="380" t="str">
        <x:v>Jul</x:v>
      </x:c>
      <x:c r="E5682" s="380" t="n">
        <x:v>16</x:v>
      </x:c>
      <x:c r="F5682" s="380" t="n">
        <x:v>1</x:v>
      </x:c>
      <x:c r="G5682" s="380" t="n">
        <x:f>--(F5682&lt;='Estimator'!$B$7)</x:f>
        <x:v>1</x:v>
      </x:c>
      <x:c r="H5682" s="381" t="n">
        <x:f>SUMIFS('Climate Data'!$G$7:$G$366,'Climate Data'!$A$7:$A$366,'Estimator'!$B$4,'Climate Data'!$B$7:$B$366,C5682)</x:f>
        <x:v>0.49078341013824883</x:v>
      </x:c>
      <x:c r="I5682" s="382" t="n">
        <x:f>SUMIFS('Climate Data'!$H$7:$H$366,'Climate Data'!$A$7:$A$366,'Estimator'!$B$4,'Climate Data'!$B$7:$B$366,C5682)</x:f>
        <x:v>8.998122065727701</x:v>
      </x:c>
      <x:c r="J5682" s="381" t="n">
        <x:f>SUMIFS('Wind Proxy'!$H$8:$H$19,'Wind Proxy'!$A$8:$A$19,'Estimator'!$B$4,'Wind Proxy'!$B$8:$B$19,C5682)</x:f>
        <x:v>0.13739545997610514</x:v>
      </x:c>
    </x:row>
    <x:row r="5683">
      <x:c r="A5683" s="379" t="n">
        <x:v>51334</x:v>
      </x:c>
      <x:c r="B5683" s="380" t="n">
        <x:v>2040</x:v>
      </x:c>
      <x:c r="C5683" s="380" t="n">
        <x:v>7</x:v>
      </x:c>
      <x:c r="D5683" s="380" t="str">
        <x:v>Jul</x:v>
      </x:c>
      <x:c r="E5683" s="380" t="n">
        <x:v>17</x:v>
      </x:c>
      <x:c r="F5683" s="380" t="n">
        <x:v>2</x:v>
      </x:c>
      <x:c r="G5683" s="380" t="n">
        <x:f>--(F5683&lt;='Estimator'!$B$7)</x:f>
        <x:v>1</x:v>
      </x:c>
      <x:c r="H5683" s="381" t="n">
        <x:f>SUMIFS('Climate Data'!$G$7:$G$366,'Climate Data'!$A$7:$A$366,'Estimator'!$B$4,'Climate Data'!$B$7:$B$366,C5683)</x:f>
        <x:v>0.49078341013824883</x:v>
      </x:c>
      <x:c r="I5683" s="382" t="n">
        <x:f>SUMIFS('Climate Data'!$H$7:$H$366,'Climate Data'!$A$7:$A$366,'Estimator'!$B$4,'Climate Data'!$B$7:$B$366,C5683)</x:f>
        <x:v>8.998122065727701</x:v>
      </x:c>
      <x:c r="J5683" s="381" t="n">
        <x:f>SUMIFS('Wind Proxy'!$H$8:$H$19,'Wind Proxy'!$A$8:$A$19,'Estimator'!$B$4,'Wind Proxy'!$B$8:$B$19,C5683)</x:f>
        <x:v>0.13739545997610514</x:v>
      </x:c>
    </x:row>
    <x:row r="5684">
      <x:c r="A5684" s="379" t="n">
        <x:v>51335</x:v>
      </x:c>
      <x:c r="B5684" s="380" t="n">
        <x:v>2040</x:v>
      </x:c>
      <x:c r="C5684" s="380" t="n">
        <x:v>7</x:v>
      </x:c>
      <x:c r="D5684" s="380" t="str">
        <x:v>Jul</x:v>
      </x:c>
      <x:c r="E5684" s="380" t="n">
        <x:v>18</x:v>
      </x:c>
      <x:c r="F5684" s="380" t="n">
        <x:v>3</x:v>
      </x:c>
      <x:c r="G5684" s="380" t="n">
        <x:f>--(F5684&lt;='Estimator'!$B$7)</x:f>
        <x:v>1</x:v>
      </x:c>
      <x:c r="H5684" s="381" t="n">
        <x:f>SUMIFS('Climate Data'!$G$7:$G$366,'Climate Data'!$A$7:$A$366,'Estimator'!$B$4,'Climate Data'!$B$7:$B$366,C5684)</x:f>
        <x:v>0.49078341013824883</x:v>
      </x:c>
      <x:c r="I5684" s="382" t="n">
        <x:f>SUMIFS('Climate Data'!$H$7:$H$366,'Climate Data'!$A$7:$A$366,'Estimator'!$B$4,'Climate Data'!$B$7:$B$366,C5684)</x:f>
        <x:v>8.998122065727701</x:v>
      </x:c>
      <x:c r="J5684" s="381" t="n">
        <x:f>SUMIFS('Wind Proxy'!$H$8:$H$19,'Wind Proxy'!$A$8:$A$19,'Estimator'!$B$4,'Wind Proxy'!$B$8:$B$19,C5684)</x:f>
        <x:v>0.13739545997610514</x:v>
      </x:c>
    </x:row>
    <x:row r="5685">
      <x:c r="A5685" s="379" t="n">
        <x:v>51336</x:v>
      </x:c>
      <x:c r="B5685" s="380" t="n">
        <x:v>2040</x:v>
      </x:c>
      <x:c r="C5685" s="380" t="n">
        <x:v>7</x:v>
      </x:c>
      <x:c r="D5685" s="380" t="str">
        <x:v>Jul</x:v>
      </x:c>
      <x:c r="E5685" s="380" t="n">
        <x:v>19</x:v>
      </x:c>
      <x:c r="F5685" s="380" t="n">
        <x:v>4</x:v>
      </x:c>
      <x:c r="G5685" s="380" t="n">
        <x:f>--(F5685&lt;='Estimator'!$B$7)</x:f>
        <x:v>1</x:v>
      </x:c>
      <x:c r="H5685" s="381" t="n">
        <x:f>SUMIFS('Climate Data'!$G$7:$G$366,'Climate Data'!$A$7:$A$366,'Estimator'!$B$4,'Climate Data'!$B$7:$B$366,C5685)</x:f>
        <x:v>0.49078341013824883</x:v>
      </x:c>
      <x:c r="I5685" s="382" t="n">
        <x:f>SUMIFS('Climate Data'!$H$7:$H$366,'Climate Data'!$A$7:$A$366,'Estimator'!$B$4,'Climate Data'!$B$7:$B$366,C5685)</x:f>
        <x:v>8.998122065727701</x:v>
      </x:c>
      <x:c r="J5685" s="381" t="n">
        <x:f>SUMIFS('Wind Proxy'!$H$8:$H$19,'Wind Proxy'!$A$8:$A$19,'Estimator'!$B$4,'Wind Proxy'!$B$8:$B$19,C5685)</x:f>
        <x:v>0.13739545997610514</x:v>
      </x:c>
    </x:row>
    <x:row r="5686">
      <x:c r="A5686" s="379" t="n">
        <x:v>51337</x:v>
      </x:c>
      <x:c r="B5686" s="380" t="n">
        <x:v>2040</x:v>
      </x:c>
      <x:c r="C5686" s="380" t="n">
        <x:v>7</x:v>
      </x:c>
      <x:c r="D5686" s="380" t="str">
        <x:v>Jul</x:v>
      </x:c>
      <x:c r="E5686" s="380" t="n">
        <x:v>20</x:v>
      </x:c>
      <x:c r="F5686" s="380" t="n">
        <x:v>5</x:v>
      </x:c>
      <x:c r="G5686" s="380" t="n">
        <x:f>--(F5686&lt;='Estimator'!$B$7)</x:f>
        <x:v>1</x:v>
      </x:c>
      <x:c r="H5686" s="381" t="n">
        <x:f>SUMIFS('Climate Data'!$G$7:$G$366,'Climate Data'!$A$7:$A$366,'Estimator'!$B$4,'Climate Data'!$B$7:$B$366,C5686)</x:f>
        <x:v>0.49078341013824883</x:v>
      </x:c>
      <x:c r="I5686" s="382" t="n">
        <x:f>SUMIFS('Climate Data'!$H$7:$H$366,'Climate Data'!$A$7:$A$366,'Estimator'!$B$4,'Climate Data'!$B$7:$B$366,C5686)</x:f>
        <x:v>8.998122065727701</x:v>
      </x:c>
      <x:c r="J5686" s="381" t="n">
        <x:f>SUMIFS('Wind Proxy'!$H$8:$H$19,'Wind Proxy'!$A$8:$A$19,'Estimator'!$B$4,'Wind Proxy'!$B$8:$B$19,C5686)</x:f>
        <x:v>0.13739545997610514</x:v>
      </x:c>
    </x:row>
    <x:row r="5687">
      <x:c r="A5687" s="379" t="n">
        <x:v>51338</x:v>
      </x:c>
      <x:c r="B5687" s="380" t="n">
        <x:v>2040</x:v>
      </x:c>
      <x:c r="C5687" s="380" t="n">
        <x:v>7</x:v>
      </x:c>
      <x:c r="D5687" s="380" t="str">
        <x:v>Jul</x:v>
      </x:c>
      <x:c r="E5687" s="380" t="n">
        <x:v>21</x:v>
      </x:c>
      <x:c r="F5687" s="380" t="n">
        <x:v>6</x:v>
      </x:c>
      <x:c r="G5687" s="380" t="n">
        <x:f>--(F5687&lt;='Estimator'!$B$7)</x:f>
        <x:v>0</x:v>
      </x:c>
      <x:c r="H5687" s="381" t="n">
        <x:f>SUMIFS('Climate Data'!$G$7:$G$366,'Climate Data'!$A$7:$A$366,'Estimator'!$B$4,'Climate Data'!$B$7:$B$366,C5687)</x:f>
        <x:v>0.49078341013824883</x:v>
      </x:c>
      <x:c r="I5687" s="382" t="n">
        <x:f>SUMIFS('Climate Data'!$H$7:$H$366,'Climate Data'!$A$7:$A$366,'Estimator'!$B$4,'Climate Data'!$B$7:$B$366,C5687)</x:f>
        <x:v>8.998122065727701</x:v>
      </x:c>
      <x:c r="J5687" s="381" t="n">
        <x:f>SUMIFS('Wind Proxy'!$H$8:$H$19,'Wind Proxy'!$A$8:$A$19,'Estimator'!$B$4,'Wind Proxy'!$B$8:$B$19,C5687)</x:f>
        <x:v>0.13739545997610514</x:v>
      </x:c>
    </x:row>
    <x:row r="5688">
      <x:c r="A5688" s="379" t="n">
        <x:v>51339</x:v>
      </x:c>
      <x:c r="B5688" s="380" t="n">
        <x:v>2040</x:v>
      </x:c>
      <x:c r="C5688" s="380" t="n">
        <x:v>7</x:v>
      </x:c>
      <x:c r="D5688" s="380" t="str">
        <x:v>Jul</x:v>
      </x:c>
      <x:c r="E5688" s="380" t="n">
        <x:v>22</x:v>
      </x:c>
      <x:c r="F5688" s="380" t="n">
        <x:v>7</x:v>
      </x:c>
      <x:c r="G5688" s="380" t="n">
        <x:f>--(F5688&lt;='Estimator'!$B$7)</x:f>
        <x:v>0</x:v>
      </x:c>
      <x:c r="H5688" s="381" t="n">
        <x:f>SUMIFS('Climate Data'!$G$7:$G$366,'Climate Data'!$A$7:$A$366,'Estimator'!$B$4,'Climate Data'!$B$7:$B$366,C5688)</x:f>
        <x:v>0.49078341013824883</x:v>
      </x:c>
      <x:c r="I5688" s="382" t="n">
        <x:f>SUMIFS('Climate Data'!$H$7:$H$366,'Climate Data'!$A$7:$A$366,'Estimator'!$B$4,'Climate Data'!$B$7:$B$366,C5688)</x:f>
        <x:v>8.998122065727701</x:v>
      </x:c>
      <x:c r="J5688" s="381" t="n">
        <x:f>SUMIFS('Wind Proxy'!$H$8:$H$19,'Wind Proxy'!$A$8:$A$19,'Estimator'!$B$4,'Wind Proxy'!$B$8:$B$19,C5688)</x:f>
        <x:v>0.13739545997610514</x:v>
      </x:c>
    </x:row>
    <x:row r="5689">
      <x:c r="A5689" s="379" t="n">
        <x:v>51340</x:v>
      </x:c>
      <x:c r="B5689" s="380" t="n">
        <x:v>2040</x:v>
      </x:c>
      <x:c r="C5689" s="380" t="n">
        <x:v>7</x:v>
      </x:c>
      <x:c r="D5689" s="380" t="str">
        <x:v>Jul</x:v>
      </x:c>
      <x:c r="E5689" s="380" t="n">
        <x:v>23</x:v>
      </x:c>
      <x:c r="F5689" s="380" t="n">
        <x:v>1</x:v>
      </x:c>
      <x:c r="G5689" s="380" t="n">
        <x:f>--(F5689&lt;='Estimator'!$B$7)</x:f>
        <x:v>1</x:v>
      </x:c>
      <x:c r="H5689" s="381" t="n">
        <x:f>SUMIFS('Climate Data'!$G$7:$G$366,'Climate Data'!$A$7:$A$366,'Estimator'!$B$4,'Climate Data'!$B$7:$B$366,C5689)</x:f>
        <x:v>0.49078341013824883</x:v>
      </x:c>
      <x:c r="I5689" s="382" t="n">
        <x:f>SUMIFS('Climate Data'!$H$7:$H$366,'Climate Data'!$A$7:$A$366,'Estimator'!$B$4,'Climate Data'!$B$7:$B$366,C5689)</x:f>
        <x:v>8.998122065727701</x:v>
      </x:c>
      <x:c r="J5689" s="381" t="n">
        <x:f>SUMIFS('Wind Proxy'!$H$8:$H$19,'Wind Proxy'!$A$8:$A$19,'Estimator'!$B$4,'Wind Proxy'!$B$8:$B$19,C5689)</x:f>
        <x:v>0.13739545997610514</x:v>
      </x:c>
    </x:row>
    <x:row r="5690">
      <x:c r="A5690" s="379" t="n">
        <x:v>51341</x:v>
      </x:c>
      <x:c r="B5690" s="380" t="n">
        <x:v>2040</x:v>
      </x:c>
      <x:c r="C5690" s="380" t="n">
        <x:v>7</x:v>
      </x:c>
      <x:c r="D5690" s="380" t="str">
        <x:v>Jul</x:v>
      </x:c>
      <x:c r="E5690" s="380" t="n">
        <x:v>24</x:v>
      </x:c>
      <x:c r="F5690" s="380" t="n">
        <x:v>2</x:v>
      </x:c>
      <x:c r="G5690" s="380" t="n">
        <x:f>--(F5690&lt;='Estimator'!$B$7)</x:f>
        <x:v>1</x:v>
      </x:c>
      <x:c r="H5690" s="381" t="n">
        <x:f>SUMIFS('Climate Data'!$G$7:$G$366,'Climate Data'!$A$7:$A$366,'Estimator'!$B$4,'Climate Data'!$B$7:$B$366,C5690)</x:f>
        <x:v>0.49078341013824883</x:v>
      </x:c>
      <x:c r="I5690" s="382" t="n">
        <x:f>SUMIFS('Climate Data'!$H$7:$H$366,'Climate Data'!$A$7:$A$366,'Estimator'!$B$4,'Climate Data'!$B$7:$B$366,C5690)</x:f>
        <x:v>8.998122065727701</x:v>
      </x:c>
      <x:c r="J5690" s="381" t="n">
        <x:f>SUMIFS('Wind Proxy'!$H$8:$H$19,'Wind Proxy'!$A$8:$A$19,'Estimator'!$B$4,'Wind Proxy'!$B$8:$B$19,C5690)</x:f>
        <x:v>0.13739545997610514</x:v>
      </x:c>
    </x:row>
    <x:row r="5691">
      <x:c r="A5691" s="379" t="n">
        <x:v>51342</x:v>
      </x:c>
      <x:c r="B5691" s="380" t="n">
        <x:v>2040</x:v>
      </x:c>
      <x:c r="C5691" s="380" t="n">
        <x:v>7</x:v>
      </x:c>
      <x:c r="D5691" s="380" t="str">
        <x:v>Jul</x:v>
      </x:c>
      <x:c r="E5691" s="380" t="n">
        <x:v>25</x:v>
      </x:c>
      <x:c r="F5691" s="380" t="n">
        <x:v>3</x:v>
      </x:c>
      <x:c r="G5691" s="380" t="n">
        <x:f>--(F5691&lt;='Estimator'!$B$7)</x:f>
        <x:v>1</x:v>
      </x:c>
      <x:c r="H5691" s="381" t="n">
        <x:f>SUMIFS('Climate Data'!$G$7:$G$366,'Climate Data'!$A$7:$A$366,'Estimator'!$B$4,'Climate Data'!$B$7:$B$366,C5691)</x:f>
        <x:v>0.49078341013824883</x:v>
      </x:c>
      <x:c r="I5691" s="382" t="n">
        <x:f>SUMIFS('Climate Data'!$H$7:$H$366,'Climate Data'!$A$7:$A$366,'Estimator'!$B$4,'Climate Data'!$B$7:$B$366,C5691)</x:f>
        <x:v>8.998122065727701</x:v>
      </x:c>
      <x:c r="J5691" s="381" t="n">
        <x:f>SUMIFS('Wind Proxy'!$H$8:$H$19,'Wind Proxy'!$A$8:$A$19,'Estimator'!$B$4,'Wind Proxy'!$B$8:$B$19,C5691)</x:f>
        <x:v>0.13739545997610514</x:v>
      </x:c>
    </x:row>
    <x:row r="5692">
      <x:c r="A5692" s="379" t="n">
        <x:v>51343</x:v>
      </x:c>
      <x:c r="B5692" s="380" t="n">
        <x:v>2040</x:v>
      </x:c>
      <x:c r="C5692" s="380" t="n">
        <x:v>7</x:v>
      </x:c>
      <x:c r="D5692" s="380" t="str">
        <x:v>Jul</x:v>
      </x:c>
      <x:c r="E5692" s="380" t="n">
        <x:v>26</x:v>
      </x:c>
      <x:c r="F5692" s="380" t="n">
        <x:v>4</x:v>
      </x:c>
      <x:c r="G5692" s="380" t="n">
        <x:f>--(F5692&lt;='Estimator'!$B$7)</x:f>
        <x:v>1</x:v>
      </x:c>
      <x:c r="H5692" s="381" t="n">
        <x:f>SUMIFS('Climate Data'!$G$7:$G$366,'Climate Data'!$A$7:$A$366,'Estimator'!$B$4,'Climate Data'!$B$7:$B$366,C5692)</x:f>
        <x:v>0.49078341013824883</x:v>
      </x:c>
      <x:c r="I5692" s="382" t="n">
        <x:f>SUMIFS('Climate Data'!$H$7:$H$366,'Climate Data'!$A$7:$A$366,'Estimator'!$B$4,'Climate Data'!$B$7:$B$366,C5692)</x:f>
        <x:v>8.998122065727701</x:v>
      </x:c>
      <x:c r="J5692" s="381" t="n">
        <x:f>SUMIFS('Wind Proxy'!$H$8:$H$19,'Wind Proxy'!$A$8:$A$19,'Estimator'!$B$4,'Wind Proxy'!$B$8:$B$19,C5692)</x:f>
        <x:v>0.13739545997610514</x:v>
      </x:c>
    </x:row>
    <x:row r="5693">
      <x:c r="A5693" s="379" t="n">
        <x:v>51344</x:v>
      </x:c>
      <x:c r="B5693" s="380" t="n">
        <x:v>2040</x:v>
      </x:c>
      <x:c r="C5693" s="380" t="n">
        <x:v>7</x:v>
      </x:c>
      <x:c r="D5693" s="380" t="str">
        <x:v>Jul</x:v>
      </x:c>
      <x:c r="E5693" s="380" t="n">
        <x:v>27</x:v>
      </x:c>
      <x:c r="F5693" s="380" t="n">
        <x:v>5</x:v>
      </x:c>
      <x:c r="G5693" s="380" t="n">
        <x:f>--(F5693&lt;='Estimator'!$B$7)</x:f>
        <x:v>1</x:v>
      </x:c>
      <x:c r="H5693" s="381" t="n">
        <x:f>SUMIFS('Climate Data'!$G$7:$G$366,'Climate Data'!$A$7:$A$366,'Estimator'!$B$4,'Climate Data'!$B$7:$B$366,C5693)</x:f>
        <x:v>0.49078341013824883</x:v>
      </x:c>
      <x:c r="I5693" s="382" t="n">
        <x:f>SUMIFS('Climate Data'!$H$7:$H$366,'Climate Data'!$A$7:$A$366,'Estimator'!$B$4,'Climate Data'!$B$7:$B$366,C5693)</x:f>
        <x:v>8.998122065727701</x:v>
      </x:c>
      <x:c r="J5693" s="381" t="n">
        <x:f>SUMIFS('Wind Proxy'!$H$8:$H$19,'Wind Proxy'!$A$8:$A$19,'Estimator'!$B$4,'Wind Proxy'!$B$8:$B$19,C5693)</x:f>
        <x:v>0.13739545997610514</x:v>
      </x:c>
    </x:row>
    <x:row r="5694">
      <x:c r="A5694" s="379" t="n">
        <x:v>51345</x:v>
      </x:c>
      <x:c r="B5694" s="380" t="n">
        <x:v>2040</x:v>
      </x:c>
      <x:c r="C5694" s="380" t="n">
        <x:v>7</x:v>
      </x:c>
      <x:c r="D5694" s="380" t="str">
        <x:v>Jul</x:v>
      </x:c>
      <x:c r="E5694" s="380" t="n">
        <x:v>28</x:v>
      </x:c>
      <x:c r="F5694" s="380" t="n">
        <x:v>6</x:v>
      </x:c>
      <x:c r="G5694" s="380" t="n">
        <x:f>--(F5694&lt;='Estimator'!$B$7)</x:f>
        <x:v>0</x:v>
      </x:c>
      <x:c r="H5694" s="381" t="n">
        <x:f>SUMIFS('Climate Data'!$G$7:$G$366,'Climate Data'!$A$7:$A$366,'Estimator'!$B$4,'Climate Data'!$B$7:$B$366,C5694)</x:f>
        <x:v>0.49078341013824883</x:v>
      </x:c>
      <x:c r="I5694" s="382" t="n">
        <x:f>SUMIFS('Climate Data'!$H$7:$H$366,'Climate Data'!$A$7:$A$366,'Estimator'!$B$4,'Climate Data'!$B$7:$B$366,C5694)</x:f>
        <x:v>8.998122065727701</x:v>
      </x:c>
      <x:c r="J5694" s="381" t="n">
        <x:f>SUMIFS('Wind Proxy'!$H$8:$H$19,'Wind Proxy'!$A$8:$A$19,'Estimator'!$B$4,'Wind Proxy'!$B$8:$B$19,C5694)</x:f>
        <x:v>0.13739545997610514</x:v>
      </x:c>
    </x:row>
    <x:row r="5695">
      <x:c r="A5695" s="379" t="n">
        <x:v>51346</x:v>
      </x:c>
      <x:c r="B5695" s="380" t="n">
        <x:v>2040</x:v>
      </x:c>
      <x:c r="C5695" s="380" t="n">
        <x:v>7</x:v>
      </x:c>
      <x:c r="D5695" s="380" t="str">
        <x:v>Jul</x:v>
      </x:c>
      <x:c r="E5695" s="380" t="n">
        <x:v>29</x:v>
      </x:c>
      <x:c r="F5695" s="380" t="n">
        <x:v>7</x:v>
      </x:c>
      <x:c r="G5695" s="380" t="n">
        <x:f>--(F5695&lt;='Estimator'!$B$7)</x:f>
        <x:v>0</x:v>
      </x:c>
      <x:c r="H5695" s="381" t="n">
        <x:f>SUMIFS('Climate Data'!$G$7:$G$366,'Climate Data'!$A$7:$A$366,'Estimator'!$B$4,'Climate Data'!$B$7:$B$366,C5695)</x:f>
        <x:v>0.49078341013824883</x:v>
      </x:c>
      <x:c r="I5695" s="382" t="n">
        <x:f>SUMIFS('Climate Data'!$H$7:$H$366,'Climate Data'!$A$7:$A$366,'Estimator'!$B$4,'Climate Data'!$B$7:$B$366,C5695)</x:f>
        <x:v>8.998122065727701</x:v>
      </x:c>
      <x:c r="J5695" s="381" t="n">
        <x:f>SUMIFS('Wind Proxy'!$H$8:$H$19,'Wind Proxy'!$A$8:$A$19,'Estimator'!$B$4,'Wind Proxy'!$B$8:$B$19,C5695)</x:f>
        <x:v>0.13739545997610514</x:v>
      </x:c>
    </x:row>
    <x:row r="5696">
      <x:c r="A5696" s="379" t="n">
        <x:v>51347</x:v>
      </x:c>
      <x:c r="B5696" s="380" t="n">
        <x:v>2040</x:v>
      </x:c>
      <x:c r="C5696" s="380" t="n">
        <x:v>7</x:v>
      </x:c>
      <x:c r="D5696" s="380" t="str">
        <x:v>Jul</x:v>
      </x:c>
      <x:c r="E5696" s="380" t="n">
        <x:v>30</x:v>
      </x:c>
      <x:c r="F5696" s="380" t="n">
        <x:v>1</x:v>
      </x:c>
      <x:c r="G5696" s="380" t="n">
        <x:f>--(F5696&lt;='Estimator'!$B$7)</x:f>
        <x:v>1</x:v>
      </x:c>
      <x:c r="H5696" s="381" t="n">
        <x:f>SUMIFS('Climate Data'!$G$7:$G$366,'Climate Data'!$A$7:$A$366,'Estimator'!$B$4,'Climate Data'!$B$7:$B$366,C5696)</x:f>
        <x:v>0.49078341013824883</x:v>
      </x:c>
      <x:c r="I5696" s="382" t="n">
        <x:f>SUMIFS('Climate Data'!$H$7:$H$366,'Climate Data'!$A$7:$A$366,'Estimator'!$B$4,'Climate Data'!$B$7:$B$366,C5696)</x:f>
        <x:v>8.998122065727701</x:v>
      </x:c>
      <x:c r="J5696" s="381" t="n">
        <x:f>SUMIFS('Wind Proxy'!$H$8:$H$19,'Wind Proxy'!$A$8:$A$19,'Estimator'!$B$4,'Wind Proxy'!$B$8:$B$19,C5696)</x:f>
        <x:v>0.13739545997610514</x:v>
      </x:c>
    </x:row>
    <x:row r="5697">
      <x:c r="A5697" s="379" t="n">
        <x:v>51348</x:v>
      </x:c>
      <x:c r="B5697" s="380" t="n">
        <x:v>2040</x:v>
      </x:c>
      <x:c r="C5697" s="380" t="n">
        <x:v>7</x:v>
      </x:c>
      <x:c r="D5697" s="380" t="str">
        <x:v>Jul</x:v>
      </x:c>
      <x:c r="E5697" s="380" t="n">
        <x:v>31</x:v>
      </x:c>
      <x:c r="F5697" s="380" t="n">
        <x:v>2</x:v>
      </x:c>
      <x:c r="G5697" s="380" t="n">
        <x:f>--(F5697&lt;='Estimator'!$B$7)</x:f>
        <x:v>1</x:v>
      </x:c>
      <x:c r="H5697" s="381" t="n">
        <x:f>SUMIFS('Climate Data'!$G$7:$G$366,'Climate Data'!$A$7:$A$366,'Estimator'!$B$4,'Climate Data'!$B$7:$B$366,C5697)</x:f>
        <x:v>0.49078341013824883</x:v>
      </x:c>
      <x:c r="I5697" s="382" t="n">
        <x:f>SUMIFS('Climate Data'!$H$7:$H$366,'Climate Data'!$A$7:$A$366,'Estimator'!$B$4,'Climate Data'!$B$7:$B$366,C5697)</x:f>
        <x:v>8.998122065727701</x:v>
      </x:c>
      <x:c r="J5697" s="381" t="n">
        <x:f>SUMIFS('Wind Proxy'!$H$8:$H$19,'Wind Proxy'!$A$8:$A$19,'Estimator'!$B$4,'Wind Proxy'!$B$8:$B$19,C5697)</x:f>
        <x:v>0.13739545997610514</x:v>
      </x:c>
    </x:row>
    <x:row r="5698">
      <x:c r="A5698" s="379" t="n">
        <x:v>51349</x:v>
      </x:c>
      <x:c r="B5698" s="380" t="n">
        <x:v>2040</x:v>
      </x:c>
      <x:c r="C5698" s="380" t="n">
        <x:v>8</x:v>
      </x:c>
      <x:c r="D5698" s="380" t="str">
        <x:v>Aug</x:v>
      </x:c>
      <x:c r="E5698" s="380" t="n">
        <x:v>1</x:v>
      </x:c>
      <x:c r="F5698" s="380" t="n">
        <x:v>3</x:v>
      </x:c>
      <x:c r="G5698" s="380" t="n">
        <x:f>--(F5698&lt;='Estimator'!$B$7)</x:f>
        <x:v>1</x:v>
      </x:c>
      <x:c r="H5698" s="381" t="n">
        <x:f>SUMIFS('Climate Data'!$G$7:$G$366,'Climate Data'!$A$7:$A$366,'Estimator'!$B$4,'Climate Data'!$B$7:$B$366,C5698)</x:f>
        <x:v>0.47274749721913234</x:v>
      </x:c>
      <x:c r="I5698" s="382" t="n">
        <x:f>SUMIFS('Climate Data'!$H$7:$H$366,'Climate Data'!$A$7:$A$366,'Estimator'!$B$4,'Climate Data'!$B$7:$B$366,C5698)</x:f>
        <x:v>7.9971764705882356</x:v>
      </x:c>
      <x:c r="J5698" s="381" t="n">
        <x:f>SUMIFS('Wind Proxy'!$H$8:$H$19,'Wind Proxy'!$A$8:$A$19,'Estimator'!$B$4,'Wind Proxy'!$B$8:$B$19,C5698)</x:f>
        <x:v>0.13739545997610514</x:v>
      </x:c>
    </x:row>
    <x:row r="5699">
      <x:c r="A5699" s="379" t="n">
        <x:v>51350</x:v>
      </x:c>
      <x:c r="B5699" s="380" t="n">
        <x:v>2040</x:v>
      </x:c>
      <x:c r="C5699" s="380" t="n">
        <x:v>8</x:v>
      </x:c>
      <x:c r="D5699" s="380" t="str">
        <x:v>Aug</x:v>
      </x:c>
      <x:c r="E5699" s="380" t="n">
        <x:v>2</x:v>
      </x:c>
      <x:c r="F5699" s="380" t="n">
        <x:v>4</x:v>
      </x:c>
      <x:c r="G5699" s="380" t="n">
        <x:f>--(F5699&lt;='Estimator'!$B$7)</x:f>
        <x:v>1</x:v>
      </x:c>
      <x:c r="H5699" s="381" t="n">
        <x:f>SUMIFS('Climate Data'!$G$7:$G$366,'Climate Data'!$A$7:$A$366,'Estimator'!$B$4,'Climate Data'!$B$7:$B$366,C5699)</x:f>
        <x:v>0.47274749721913234</x:v>
      </x:c>
      <x:c r="I5699" s="382" t="n">
        <x:f>SUMIFS('Climate Data'!$H$7:$H$366,'Climate Data'!$A$7:$A$366,'Estimator'!$B$4,'Climate Data'!$B$7:$B$366,C5699)</x:f>
        <x:v>7.9971764705882356</x:v>
      </x:c>
      <x:c r="J5699" s="381" t="n">
        <x:f>SUMIFS('Wind Proxy'!$H$8:$H$19,'Wind Proxy'!$A$8:$A$19,'Estimator'!$B$4,'Wind Proxy'!$B$8:$B$19,C5699)</x:f>
        <x:v>0.13739545997610514</x:v>
      </x:c>
    </x:row>
    <x:row r="5700">
      <x:c r="A5700" s="379" t="n">
        <x:v>51351</x:v>
      </x:c>
      <x:c r="B5700" s="380" t="n">
        <x:v>2040</x:v>
      </x:c>
      <x:c r="C5700" s="380" t="n">
        <x:v>8</x:v>
      </x:c>
      <x:c r="D5700" s="380" t="str">
        <x:v>Aug</x:v>
      </x:c>
      <x:c r="E5700" s="380" t="n">
        <x:v>3</x:v>
      </x:c>
      <x:c r="F5700" s="380" t="n">
        <x:v>5</x:v>
      </x:c>
      <x:c r="G5700" s="380" t="n">
        <x:f>--(F5700&lt;='Estimator'!$B$7)</x:f>
        <x:v>1</x:v>
      </x:c>
      <x:c r="H5700" s="381" t="n">
        <x:f>SUMIFS('Climate Data'!$G$7:$G$366,'Climate Data'!$A$7:$A$366,'Estimator'!$B$4,'Climate Data'!$B$7:$B$366,C5700)</x:f>
        <x:v>0.47274749721913234</x:v>
      </x:c>
      <x:c r="I5700" s="382" t="n">
        <x:f>SUMIFS('Climate Data'!$H$7:$H$366,'Climate Data'!$A$7:$A$366,'Estimator'!$B$4,'Climate Data'!$B$7:$B$366,C5700)</x:f>
        <x:v>7.9971764705882356</x:v>
      </x:c>
      <x:c r="J5700" s="381" t="n">
        <x:f>SUMIFS('Wind Proxy'!$H$8:$H$19,'Wind Proxy'!$A$8:$A$19,'Estimator'!$B$4,'Wind Proxy'!$B$8:$B$19,C5700)</x:f>
        <x:v>0.13739545997610514</x:v>
      </x:c>
    </x:row>
    <x:row r="5701">
      <x:c r="A5701" s="379" t="n">
        <x:v>51352</x:v>
      </x:c>
      <x:c r="B5701" s="380" t="n">
        <x:v>2040</x:v>
      </x:c>
      <x:c r="C5701" s="380" t="n">
        <x:v>8</x:v>
      </x:c>
      <x:c r="D5701" s="380" t="str">
        <x:v>Aug</x:v>
      </x:c>
      <x:c r="E5701" s="380" t="n">
        <x:v>4</x:v>
      </x:c>
      <x:c r="F5701" s="380" t="n">
        <x:v>6</x:v>
      </x:c>
      <x:c r="G5701" s="380" t="n">
        <x:f>--(F5701&lt;='Estimator'!$B$7)</x:f>
        <x:v>0</x:v>
      </x:c>
      <x:c r="H5701" s="381" t="n">
        <x:f>SUMIFS('Climate Data'!$G$7:$G$366,'Climate Data'!$A$7:$A$366,'Estimator'!$B$4,'Climate Data'!$B$7:$B$366,C5701)</x:f>
        <x:v>0.47274749721913234</x:v>
      </x:c>
      <x:c r="I5701" s="382" t="n">
        <x:f>SUMIFS('Climate Data'!$H$7:$H$366,'Climate Data'!$A$7:$A$366,'Estimator'!$B$4,'Climate Data'!$B$7:$B$366,C5701)</x:f>
        <x:v>7.9971764705882356</x:v>
      </x:c>
      <x:c r="J5701" s="381" t="n">
        <x:f>SUMIFS('Wind Proxy'!$H$8:$H$19,'Wind Proxy'!$A$8:$A$19,'Estimator'!$B$4,'Wind Proxy'!$B$8:$B$19,C5701)</x:f>
        <x:v>0.13739545997610514</x:v>
      </x:c>
    </x:row>
    <x:row r="5702">
      <x:c r="A5702" s="379" t="n">
        <x:v>51353</x:v>
      </x:c>
      <x:c r="B5702" s="380" t="n">
        <x:v>2040</x:v>
      </x:c>
      <x:c r="C5702" s="380" t="n">
        <x:v>8</x:v>
      </x:c>
      <x:c r="D5702" s="380" t="str">
        <x:v>Aug</x:v>
      </x:c>
      <x:c r="E5702" s="380" t="n">
        <x:v>5</x:v>
      </x:c>
      <x:c r="F5702" s="380" t="n">
        <x:v>7</x:v>
      </x:c>
      <x:c r="G5702" s="380" t="n">
        <x:f>--(F5702&lt;='Estimator'!$B$7)</x:f>
        <x:v>0</x:v>
      </x:c>
      <x:c r="H5702" s="381" t="n">
        <x:f>SUMIFS('Climate Data'!$G$7:$G$366,'Climate Data'!$A$7:$A$366,'Estimator'!$B$4,'Climate Data'!$B$7:$B$366,C5702)</x:f>
        <x:v>0.47274749721913234</x:v>
      </x:c>
      <x:c r="I5702" s="382" t="n">
        <x:f>SUMIFS('Climate Data'!$H$7:$H$366,'Climate Data'!$A$7:$A$366,'Estimator'!$B$4,'Climate Data'!$B$7:$B$366,C5702)</x:f>
        <x:v>7.9971764705882356</x:v>
      </x:c>
      <x:c r="J5702" s="381" t="n">
        <x:f>SUMIFS('Wind Proxy'!$H$8:$H$19,'Wind Proxy'!$A$8:$A$19,'Estimator'!$B$4,'Wind Proxy'!$B$8:$B$19,C5702)</x:f>
        <x:v>0.13739545997610514</x:v>
      </x:c>
    </x:row>
    <x:row r="5703">
      <x:c r="A5703" s="379" t="n">
        <x:v>51354</x:v>
      </x:c>
      <x:c r="B5703" s="380" t="n">
        <x:v>2040</x:v>
      </x:c>
      <x:c r="C5703" s="380" t="n">
        <x:v>8</x:v>
      </x:c>
      <x:c r="D5703" s="380" t="str">
        <x:v>Aug</x:v>
      </x:c>
      <x:c r="E5703" s="380" t="n">
        <x:v>6</x:v>
      </x:c>
      <x:c r="F5703" s="380" t="n">
        <x:v>1</x:v>
      </x:c>
      <x:c r="G5703" s="380" t="n">
        <x:f>--(F5703&lt;='Estimator'!$B$7)</x:f>
        <x:v>1</x:v>
      </x:c>
      <x:c r="H5703" s="381" t="n">
        <x:f>SUMIFS('Climate Data'!$G$7:$G$366,'Climate Data'!$A$7:$A$366,'Estimator'!$B$4,'Climate Data'!$B$7:$B$366,C5703)</x:f>
        <x:v>0.47274749721913234</x:v>
      </x:c>
      <x:c r="I5703" s="382" t="n">
        <x:f>SUMIFS('Climate Data'!$H$7:$H$366,'Climate Data'!$A$7:$A$366,'Estimator'!$B$4,'Climate Data'!$B$7:$B$366,C5703)</x:f>
        <x:v>7.9971764705882356</x:v>
      </x:c>
      <x:c r="J5703" s="381" t="n">
        <x:f>SUMIFS('Wind Proxy'!$H$8:$H$19,'Wind Proxy'!$A$8:$A$19,'Estimator'!$B$4,'Wind Proxy'!$B$8:$B$19,C5703)</x:f>
        <x:v>0.13739545997610514</x:v>
      </x:c>
    </x:row>
    <x:row r="5704">
      <x:c r="A5704" s="379" t="n">
        <x:v>51355</x:v>
      </x:c>
      <x:c r="B5704" s="380" t="n">
        <x:v>2040</x:v>
      </x:c>
      <x:c r="C5704" s="380" t="n">
        <x:v>8</x:v>
      </x:c>
      <x:c r="D5704" s="380" t="str">
        <x:v>Aug</x:v>
      </x:c>
      <x:c r="E5704" s="380" t="n">
        <x:v>7</x:v>
      </x:c>
      <x:c r="F5704" s="380" t="n">
        <x:v>2</x:v>
      </x:c>
      <x:c r="G5704" s="380" t="n">
        <x:f>--(F5704&lt;='Estimator'!$B$7)</x:f>
        <x:v>1</x:v>
      </x:c>
      <x:c r="H5704" s="381" t="n">
        <x:f>SUMIFS('Climate Data'!$G$7:$G$366,'Climate Data'!$A$7:$A$366,'Estimator'!$B$4,'Climate Data'!$B$7:$B$366,C5704)</x:f>
        <x:v>0.47274749721913234</x:v>
      </x:c>
      <x:c r="I5704" s="382" t="n">
        <x:f>SUMIFS('Climate Data'!$H$7:$H$366,'Climate Data'!$A$7:$A$366,'Estimator'!$B$4,'Climate Data'!$B$7:$B$366,C5704)</x:f>
        <x:v>7.9971764705882356</x:v>
      </x:c>
      <x:c r="J5704" s="381" t="n">
        <x:f>SUMIFS('Wind Proxy'!$H$8:$H$19,'Wind Proxy'!$A$8:$A$19,'Estimator'!$B$4,'Wind Proxy'!$B$8:$B$19,C5704)</x:f>
        <x:v>0.13739545997610514</x:v>
      </x:c>
    </x:row>
    <x:row r="5705">
      <x:c r="A5705" s="379" t="n">
        <x:v>51356</x:v>
      </x:c>
      <x:c r="B5705" s="380" t="n">
        <x:v>2040</x:v>
      </x:c>
      <x:c r="C5705" s="380" t="n">
        <x:v>8</x:v>
      </x:c>
      <x:c r="D5705" s="380" t="str">
        <x:v>Aug</x:v>
      </x:c>
      <x:c r="E5705" s="380" t="n">
        <x:v>8</x:v>
      </x:c>
      <x:c r="F5705" s="380" t="n">
        <x:v>3</x:v>
      </x:c>
      <x:c r="G5705" s="380" t="n">
        <x:f>--(F5705&lt;='Estimator'!$B$7)</x:f>
        <x:v>1</x:v>
      </x:c>
      <x:c r="H5705" s="381" t="n">
        <x:f>SUMIFS('Climate Data'!$G$7:$G$366,'Climate Data'!$A$7:$A$366,'Estimator'!$B$4,'Climate Data'!$B$7:$B$366,C5705)</x:f>
        <x:v>0.47274749721913234</x:v>
      </x:c>
      <x:c r="I5705" s="382" t="n">
        <x:f>SUMIFS('Climate Data'!$H$7:$H$366,'Climate Data'!$A$7:$A$366,'Estimator'!$B$4,'Climate Data'!$B$7:$B$366,C5705)</x:f>
        <x:v>7.9971764705882356</x:v>
      </x:c>
      <x:c r="J5705" s="381" t="n">
        <x:f>SUMIFS('Wind Proxy'!$H$8:$H$19,'Wind Proxy'!$A$8:$A$19,'Estimator'!$B$4,'Wind Proxy'!$B$8:$B$19,C5705)</x:f>
        <x:v>0.13739545997610514</x:v>
      </x:c>
    </x:row>
    <x:row r="5706">
      <x:c r="A5706" s="379" t="n">
        <x:v>51357</x:v>
      </x:c>
      <x:c r="B5706" s="380" t="n">
        <x:v>2040</x:v>
      </x:c>
      <x:c r="C5706" s="380" t="n">
        <x:v>8</x:v>
      </x:c>
      <x:c r="D5706" s="380" t="str">
        <x:v>Aug</x:v>
      </x:c>
      <x:c r="E5706" s="380" t="n">
        <x:v>9</x:v>
      </x:c>
      <x:c r="F5706" s="380" t="n">
        <x:v>4</x:v>
      </x:c>
      <x:c r="G5706" s="380" t="n">
        <x:f>--(F5706&lt;='Estimator'!$B$7)</x:f>
        <x:v>1</x:v>
      </x:c>
      <x:c r="H5706" s="381" t="n">
        <x:f>SUMIFS('Climate Data'!$G$7:$G$366,'Climate Data'!$A$7:$A$366,'Estimator'!$B$4,'Climate Data'!$B$7:$B$366,C5706)</x:f>
        <x:v>0.47274749721913234</x:v>
      </x:c>
      <x:c r="I5706" s="382" t="n">
        <x:f>SUMIFS('Climate Data'!$H$7:$H$366,'Climate Data'!$A$7:$A$366,'Estimator'!$B$4,'Climate Data'!$B$7:$B$366,C5706)</x:f>
        <x:v>7.9971764705882356</x:v>
      </x:c>
      <x:c r="J5706" s="381" t="n">
        <x:f>SUMIFS('Wind Proxy'!$H$8:$H$19,'Wind Proxy'!$A$8:$A$19,'Estimator'!$B$4,'Wind Proxy'!$B$8:$B$19,C5706)</x:f>
        <x:v>0.13739545997610514</x:v>
      </x:c>
    </x:row>
    <x:row r="5707">
      <x:c r="A5707" s="379" t="n">
        <x:v>51358</x:v>
      </x:c>
      <x:c r="B5707" s="380" t="n">
        <x:v>2040</x:v>
      </x:c>
      <x:c r="C5707" s="380" t="n">
        <x:v>8</x:v>
      </x:c>
      <x:c r="D5707" s="380" t="str">
        <x:v>Aug</x:v>
      </x:c>
      <x:c r="E5707" s="380" t="n">
        <x:v>10</x:v>
      </x:c>
      <x:c r="F5707" s="380" t="n">
        <x:v>5</x:v>
      </x:c>
      <x:c r="G5707" s="380" t="n">
        <x:f>--(F5707&lt;='Estimator'!$B$7)</x:f>
        <x:v>1</x:v>
      </x:c>
      <x:c r="H5707" s="381" t="n">
        <x:f>SUMIFS('Climate Data'!$G$7:$G$366,'Climate Data'!$A$7:$A$366,'Estimator'!$B$4,'Climate Data'!$B$7:$B$366,C5707)</x:f>
        <x:v>0.47274749721913234</x:v>
      </x:c>
      <x:c r="I5707" s="382" t="n">
        <x:f>SUMIFS('Climate Data'!$H$7:$H$366,'Climate Data'!$A$7:$A$366,'Estimator'!$B$4,'Climate Data'!$B$7:$B$366,C5707)</x:f>
        <x:v>7.9971764705882356</x:v>
      </x:c>
      <x:c r="J5707" s="381" t="n">
        <x:f>SUMIFS('Wind Proxy'!$H$8:$H$19,'Wind Proxy'!$A$8:$A$19,'Estimator'!$B$4,'Wind Proxy'!$B$8:$B$19,C5707)</x:f>
        <x:v>0.13739545997610514</x:v>
      </x:c>
    </x:row>
    <x:row r="5708">
      <x:c r="A5708" s="379" t="n">
        <x:v>51359</x:v>
      </x:c>
      <x:c r="B5708" s="380" t="n">
        <x:v>2040</x:v>
      </x:c>
      <x:c r="C5708" s="380" t="n">
        <x:v>8</x:v>
      </x:c>
      <x:c r="D5708" s="380" t="str">
        <x:v>Aug</x:v>
      </x:c>
      <x:c r="E5708" s="380" t="n">
        <x:v>11</x:v>
      </x:c>
      <x:c r="F5708" s="380" t="n">
        <x:v>6</x:v>
      </x:c>
      <x:c r="G5708" s="380" t="n">
        <x:f>--(F5708&lt;='Estimator'!$B$7)</x:f>
        <x:v>0</x:v>
      </x:c>
      <x:c r="H5708" s="381" t="n">
        <x:f>SUMIFS('Climate Data'!$G$7:$G$366,'Climate Data'!$A$7:$A$366,'Estimator'!$B$4,'Climate Data'!$B$7:$B$366,C5708)</x:f>
        <x:v>0.47274749721913234</x:v>
      </x:c>
      <x:c r="I5708" s="382" t="n">
        <x:f>SUMIFS('Climate Data'!$H$7:$H$366,'Climate Data'!$A$7:$A$366,'Estimator'!$B$4,'Climate Data'!$B$7:$B$366,C5708)</x:f>
        <x:v>7.9971764705882356</x:v>
      </x:c>
      <x:c r="J5708" s="381" t="n">
        <x:f>SUMIFS('Wind Proxy'!$H$8:$H$19,'Wind Proxy'!$A$8:$A$19,'Estimator'!$B$4,'Wind Proxy'!$B$8:$B$19,C5708)</x:f>
        <x:v>0.13739545997610514</x:v>
      </x:c>
    </x:row>
    <x:row r="5709">
      <x:c r="A5709" s="379" t="n">
        <x:v>51360</x:v>
      </x:c>
      <x:c r="B5709" s="380" t="n">
        <x:v>2040</x:v>
      </x:c>
      <x:c r="C5709" s="380" t="n">
        <x:v>8</x:v>
      </x:c>
      <x:c r="D5709" s="380" t="str">
        <x:v>Aug</x:v>
      </x:c>
      <x:c r="E5709" s="380" t="n">
        <x:v>12</x:v>
      </x:c>
      <x:c r="F5709" s="380" t="n">
        <x:v>7</x:v>
      </x:c>
      <x:c r="G5709" s="380" t="n">
        <x:f>--(F5709&lt;='Estimator'!$B$7)</x:f>
        <x:v>0</x:v>
      </x:c>
      <x:c r="H5709" s="381" t="n">
        <x:f>SUMIFS('Climate Data'!$G$7:$G$366,'Climate Data'!$A$7:$A$366,'Estimator'!$B$4,'Climate Data'!$B$7:$B$366,C5709)</x:f>
        <x:v>0.47274749721913234</x:v>
      </x:c>
      <x:c r="I5709" s="382" t="n">
        <x:f>SUMIFS('Climate Data'!$H$7:$H$366,'Climate Data'!$A$7:$A$366,'Estimator'!$B$4,'Climate Data'!$B$7:$B$366,C5709)</x:f>
        <x:v>7.9971764705882356</x:v>
      </x:c>
      <x:c r="J5709" s="381" t="n">
        <x:f>SUMIFS('Wind Proxy'!$H$8:$H$19,'Wind Proxy'!$A$8:$A$19,'Estimator'!$B$4,'Wind Proxy'!$B$8:$B$19,C5709)</x:f>
        <x:v>0.13739545997610514</x:v>
      </x:c>
    </x:row>
    <x:row r="5710">
      <x:c r="A5710" s="379" t="n">
        <x:v>51361</x:v>
      </x:c>
      <x:c r="B5710" s="380" t="n">
        <x:v>2040</x:v>
      </x:c>
      <x:c r="C5710" s="380" t="n">
        <x:v>8</x:v>
      </x:c>
      <x:c r="D5710" s="380" t="str">
        <x:v>Aug</x:v>
      </x:c>
      <x:c r="E5710" s="380" t="n">
        <x:v>13</x:v>
      </x:c>
      <x:c r="F5710" s="380" t="n">
        <x:v>1</x:v>
      </x:c>
      <x:c r="G5710" s="380" t="n">
        <x:f>--(F5710&lt;='Estimator'!$B$7)</x:f>
        <x:v>1</x:v>
      </x:c>
      <x:c r="H5710" s="381" t="n">
        <x:f>SUMIFS('Climate Data'!$G$7:$G$366,'Climate Data'!$A$7:$A$366,'Estimator'!$B$4,'Climate Data'!$B$7:$B$366,C5710)</x:f>
        <x:v>0.47274749721913234</x:v>
      </x:c>
      <x:c r="I5710" s="382" t="n">
        <x:f>SUMIFS('Climate Data'!$H$7:$H$366,'Climate Data'!$A$7:$A$366,'Estimator'!$B$4,'Climate Data'!$B$7:$B$366,C5710)</x:f>
        <x:v>7.9971764705882356</x:v>
      </x:c>
      <x:c r="J5710" s="381" t="n">
        <x:f>SUMIFS('Wind Proxy'!$H$8:$H$19,'Wind Proxy'!$A$8:$A$19,'Estimator'!$B$4,'Wind Proxy'!$B$8:$B$19,C5710)</x:f>
        <x:v>0.13739545997610514</x:v>
      </x:c>
    </x:row>
    <x:row r="5711">
      <x:c r="A5711" s="379" t="n">
        <x:v>51362</x:v>
      </x:c>
      <x:c r="B5711" s="380" t="n">
        <x:v>2040</x:v>
      </x:c>
      <x:c r="C5711" s="380" t="n">
        <x:v>8</x:v>
      </x:c>
      <x:c r="D5711" s="380" t="str">
        <x:v>Aug</x:v>
      </x:c>
      <x:c r="E5711" s="380" t="n">
        <x:v>14</x:v>
      </x:c>
      <x:c r="F5711" s="380" t="n">
        <x:v>2</x:v>
      </x:c>
      <x:c r="G5711" s="380" t="n">
        <x:f>--(F5711&lt;='Estimator'!$B$7)</x:f>
        <x:v>1</x:v>
      </x:c>
      <x:c r="H5711" s="381" t="n">
        <x:f>SUMIFS('Climate Data'!$G$7:$G$366,'Climate Data'!$A$7:$A$366,'Estimator'!$B$4,'Climate Data'!$B$7:$B$366,C5711)</x:f>
        <x:v>0.47274749721913234</x:v>
      </x:c>
      <x:c r="I5711" s="382" t="n">
        <x:f>SUMIFS('Climate Data'!$H$7:$H$366,'Climate Data'!$A$7:$A$366,'Estimator'!$B$4,'Climate Data'!$B$7:$B$366,C5711)</x:f>
        <x:v>7.9971764705882356</x:v>
      </x:c>
      <x:c r="J5711" s="381" t="n">
        <x:f>SUMIFS('Wind Proxy'!$H$8:$H$19,'Wind Proxy'!$A$8:$A$19,'Estimator'!$B$4,'Wind Proxy'!$B$8:$B$19,C5711)</x:f>
        <x:v>0.13739545997610514</x:v>
      </x:c>
    </x:row>
    <x:row r="5712">
      <x:c r="A5712" s="379" t="n">
        <x:v>51363</x:v>
      </x:c>
      <x:c r="B5712" s="380" t="n">
        <x:v>2040</x:v>
      </x:c>
      <x:c r="C5712" s="380" t="n">
        <x:v>8</x:v>
      </x:c>
      <x:c r="D5712" s="380" t="str">
        <x:v>Aug</x:v>
      </x:c>
      <x:c r="E5712" s="380" t="n">
        <x:v>15</x:v>
      </x:c>
      <x:c r="F5712" s="380" t="n">
        <x:v>3</x:v>
      </x:c>
      <x:c r="G5712" s="380" t="n">
        <x:f>--(F5712&lt;='Estimator'!$B$7)</x:f>
        <x:v>1</x:v>
      </x:c>
      <x:c r="H5712" s="381" t="n">
        <x:f>SUMIFS('Climate Data'!$G$7:$G$366,'Climate Data'!$A$7:$A$366,'Estimator'!$B$4,'Climate Data'!$B$7:$B$366,C5712)</x:f>
        <x:v>0.47274749721913234</x:v>
      </x:c>
      <x:c r="I5712" s="382" t="n">
        <x:f>SUMIFS('Climate Data'!$H$7:$H$366,'Climate Data'!$A$7:$A$366,'Estimator'!$B$4,'Climate Data'!$B$7:$B$366,C5712)</x:f>
        <x:v>7.9971764705882356</x:v>
      </x:c>
      <x:c r="J5712" s="381" t="n">
        <x:f>SUMIFS('Wind Proxy'!$H$8:$H$19,'Wind Proxy'!$A$8:$A$19,'Estimator'!$B$4,'Wind Proxy'!$B$8:$B$19,C5712)</x:f>
        <x:v>0.13739545997610514</x:v>
      </x:c>
    </x:row>
    <x:row r="5713">
      <x:c r="A5713" s="379" t="n">
        <x:v>51364</x:v>
      </x:c>
      <x:c r="B5713" s="380" t="n">
        <x:v>2040</x:v>
      </x:c>
      <x:c r="C5713" s="380" t="n">
        <x:v>8</x:v>
      </x:c>
      <x:c r="D5713" s="380" t="str">
        <x:v>Aug</x:v>
      </x:c>
      <x:c r="E5713" s="380" t="n">
        <x:v>16</x:v>
      </x:c>
      <x:c r="F5713" s="380" t="n">
        <x:v>4</x:v>
      </x:c>
      <x:c r="G5713" s="380" t="n">
        <x:f>--(F5713&lt;='Estimator'!$B$7)</x:f>
        <x:v>1</x:v>
      </x:c>
      <x:c r="H5713" s="381" t="n">
        <x:f>SUMIFS('Climate Data'!$G$7:$G$366,'Climate Data'!$A$7:$A$366,'Estimator'!$B$4,'Climate Data'!$B$7:$B$366,C5713)</x:f>
        <x:v>0.47274749721913234</x:v>
      </x:c>
      <x:c r="I5713" s="382" t="n">
        <x:f>SUMIFS('Climate Data'!$H$7:$H$366,'Climate Data'!$A$7:$A$366,'Estimator'!$B$4,'Climate Data'!$B$7:$B$366,C5713)</x:f>
        <x:v>7.9971764705882356</x:v>
      </x:c>
      <x:c r="J5713" s="381" t="n">
        <x:f>SUMIFS('Wind Proxy'!$H$8:$H$19,'Wind Proxy'!$A$8:$A$19,'Estimator'!$B$4,'Wind Proxy'!$B$8:$B$19,C5713)</x:f>
        <x:v>0.13739545997610514</x:v>
      </x:c>
    </x:row>
    <x:row r="5714">
      <x:c r="A5714" s="379" t="n">
        <x:v>51365</x:v>
      </x:c>
      <x:c r="B5714" s="380" t="n">
        <x:v>2040</x:v>
      </x:c>
      <x:c r="C5714" s="380" t="n">
        <x:v>8</x:v>
      </x:c>
      <x:c r="D5714" s="380" t="str">
        <x:v>Aug</x:v>
      </x:c>
      <x:c r="E5714" s="380" t="n">
        <x:v>17</x:v>
      </x:c>
      <x:c r="F5714" s="380" t="n">
        <x:v>5</x:v>
      </x:c>
      <x:c r="G5714" s="380" t="n">
        <x:f>--(F5714&lt;='Estimator'!$B$7)</x:f>
        <x:v>1</x:v>
      </x:c>
      <x:c r="H5714" s="381" t="n">
        <x:f>SUMIFS('Climate Data'!$G$7:$G$366,'Climate Data'!$A$7:$A$366,'Estimator'!$B$4,'Climate Data'!$B$7:$B$366,C5714)</x:f>
        <x:v>0.47274749721913234</x:v>
      </x:c>
      <x:c r="I5714" s="382" t="n">
        <x:f>SUMIFS('Climate Data'!$H$7:$H$366,'Climate Data'!$A$7:$A$366,'Estimator'!$B$4,'Climate Data'!$B$7:$B$366,C5714)</x:f>
        <x:v>7.9971764705882356</x:v>
      </x:c>
      <x:c r="J5714" s="381" t="n">
        <x:f>SUMIFS('Wind Proxy'!$H$8:$H$19,'Wind Proxy'!$A$8:$A$19,'Estimator'!$B$4,'Wind Proxy'!$B$8:$B$19,C5714)</x:f>
        <x:v>0.13739545997610514</x:v>
      </x:c>
    </x:row>
    <x:row r="5715">
      <x:c r="A5715" s="379" t="n">
        <x:v>51366</x:v>
      </x:c>
      <x:c r="B5715" s="380" t="n">
        <x:v>2040</x:v>
      </x:c>
      <x:c r="C5715" s="380" t="n">
        <x:v>8</x:v>
      </x:c>
      <x:c r="D5715" s="380" t="str">
        <x:v>Aug</x:v>
      </x:c>
      <x:c r="E5715" s="380" t="n">
        <x:v>18</x:v>
      </x:c>
      <x:c r="F5715" s="380" t="n">
        <x:v>6</x:v>
      </x:c>
      <x:c r="G5715" s="380" t="n">
        <x:f>--(F5715&lt;='Estimator'!$B$7)</x:f>
        <x:v>0</x:v>
      </x:c>
      <x:c r="H5715" s="381" t="n">
        <x:f>SUMIFS('Climate Data'!$G$7:$G$366,'Climate Data'!$A$7:$A$366,'Estimator'!$B$4,'Climate Data'!$B$7:$B$366,C5715)</x:f>
        <x:v>0.47274749721913234</x:v>
      </x:c>
      <x:c r="I5715" s="382" t="n">
        <x:f>SUMIFS('Climate Data'!$H$7:$H$366,'Climate Data'!$A$7:$A$366,'Estimator'!$B$4,'Climate Data'!$B$7:$B$366,C5715)</x:f>
        <x:v>7.9971764705882356</x:v>
      </x:c>
      <x:c r="J5715" s="381" t="n">
        <x:f>SUMIFS('Wind Proxy'!$H$8:$H$19,'Wind Proxy'!$A$8:$A$19,'Estimator'!$B$4,'Wind Proxy'!$B$8:$B$19,C5715)</x:f>
        <x:v>0.13739545997610514</x:v>
      </x:c>
    </x:row>
    <x:row r="5716">
      <x:c r="A5716" s="379" t="n">
        <x:v>51367</x:v>
      </x:c>
      <x:c r="B5716" s="380" t="n">
        <x:v>2040</x:v>
      </x:c>
      <x:c r="C5716" s="380" t="n">
        <x:v>8</x:v>
      </x:c>
      <x:c r="D5716" s="380" t="str">
        <x:v>Aug</x:v>
      </x:c>
      <x:c r="E5716" s="380" t="n">
        <x:v>19</x:v>
      </x:c>
      <x:c r="F5716" s="380" t="n">
        <x:v>7</x:v>
      </x:c>
      <x:c r="G5716" s="380" t="n">
        <x:f>--(F5716&lt;='Estimator'!$B$7)</x:f>
        <x:v>0</x:v>
      </x:c>
      <x:c r="H5716" s="381" t="n">
        <x:f>SUMIFS('Climate Data'!$G$7:$G$366,'Climate Data'!$A$7:$A$366,'Estimator'!$B$4,'Climate Data'!$B$7:$B$366,C5716)</x:f>
        <x:v>0.47274749721913234</x:v>
      </x:c>
      <x:c r="I5716" s="382" t="n">
        <x:f>SUMIFS('Climate Data'!$H$7:$H$366,'Climate Data'!$A$7:$A$366,'Estimator'!$B$4,'Climate Data'!$B$7:$B$366,C5716)</x:f>
        <x:v>7.9971764705882356</x:v>
      </x:c>
      <x:c r="J5716" s="381" t="n">
        <x:f>SUMIFS('Wind Proxy'!$H$8:$H$19,'Wind Proxy'!$A$8:$A$19,'Estimator'!$B$4,'Wind Proxy'!$B$8:$B$19,C5716)</x:f>
        <x:v>0.13739545997610514</x:v>
      </x:c>
    </x:row>
    <x:row r="5717">
      <x:c r="A5717" s="379" t="n">
        <x:v>51368</x:v>
      </x:c>
      <x:c r="B5717" s="380" t="n">
        <x:v>2040</x:v>
      </x:c>
      <x:c r="C5717" s="380" t="n">
        <x:v>8</x:v>
      </x:c>
      <x:c r="D5717" s="380" t="str">
        <x:v>Aug</x:v>
      </x:c>
      <x:c r="E5717" s="380" t="n">
        <x:v>20</x:v>
      </x:c>
      <x:c r="F5717" s="380" t="n">
        <x:v>1</x:v>
      </x:c>
      <x:c r="G5717" s="380" t="n">
        <x:f>--(F5717&lt;='Estimator'!$B$7)</x:f>
        <x:v>1</x:v>
      </x:c>
      <x:c r="H5717" s="381" t="n">
        <x:f>SUMIFS('Climate Data'!$G$7:$G$366,'Climate Data'!$A$7:$A$366,'Estimator'!$B$4,'Climate Data'!$B$7:$B$366,C5717)</x:f>
        <x:v>0.47274749721913234</x:v>
      </x:c>
      <x:c r="I5717" s="382" t="n">
        <x:f>SUMIFS('Climate Data'!$H$7:$H$366,'Climate Data'!$A$7:$A$366,'Estimator'!$B$4,'Climate Data'!$B$7:$B$366,C5717)</x:f>
        <x:v>7.9971764705882356</x:v>
      </x:c>
      <x:c r="J5717" s="381" t="n">
        <x:f>SUMIFS('Wind Proxy'!$H$8:$H$19,'Wind Proxy'!$A$8:$A$19,'Estimator'!$B$4,'Wind Proxy'!$B$8:$B$19,C5717)</x:f>
        <x:v>0.13739545997610514</x:v>
      </x:c>
    </x:row>
    <x:row r="5718">
      <x:c r="A5718" s="379" t="n">
        <x:v>51369</x:v>
      </x:c>
      <x:c r="B5718" s="380" t="n">
        <x:v>2040</x:v>
      </x:c>
      <x:c r="C5718" s="380" t="n">
        <x:v>8</x:v>
      </x:c>
      <x:c r="D5718" s="380" t="str">
        <x:v>Aug</x:v>
      </x:c>
      <x:c r="E5718" s="380" t="n">
        <x:v>21</x:v>
      </x:c>
      <x:c r="F5718" s="380" t="n">
        <x:v>2</x:v>
      </x:c>
      <x:c r="G5718" s="380" t="n">
        <x:f>--(F5718&lt;='Estimator'!$B$7)</x:f>
        <x:v>1</x:v>
      </x:c>
      <x:c r="H5718" s="381" t="n">
        <x:f>SUMIFS('Climate Data'!$G$7:$G$366,'Climate Data'!$A$7:$A$366,'Estimator'!$B$4,'Climate Data'!$B$7:$B$366,C5718)</x:f>
        <x:v>0.47274749721913234</x:v>
      </x:c>
      <x:c r="I5718" s="382" t="n">
        <x:f>SUMIFS('Climate Data'!$H$7:$H$366,'Climate Data'!$A$7:$A$366,'Estimator'!$B$4,'Climate Data'!$B$7:$B$366,C5718)</x:f>
        <x:v>7.9971764705882356</x:v>
      </x:c>
      <x:c r="J5718" s="381" t="n">
        <x:f>SUMIFS('Wind Proxy'!$H$8:$H$19,'Wind Proxy'!$A$8:$A$19,'Estimator'!$B$4,'Wind Proxy'!$B$8:$B$19,C5718)</x:f>
        <x:v>0.13739545997610514</x:v>
      </x:c>
    </x:row>
    <x:row r="5719">
      <x:c r="A5719" s="379" t="n">
        <x:v>51370</x:v>
      </x:c>
      <x:c r="B5719" s="380" t="n">
        <x:v>2040</x:v>
      </x:c>
      <x:c r="C5719" s="380" t="n">
        <x:v>8</x:v>
      </x:c>
      <x:c r="D5719" s="380" t="str">
        <x:v>Aug</x:v>
      </x:c>
      <x:c r="E5719" s="380" t="n">
        <x:v>22</x:v>
      </x:c>
      <x:c r="F5719" s="380" t="n">
        <x:v>3</x:v>
      </x:c>
      <x:c r="G5719" s="380" t="n">
        <x:f>--(F5719&lt;='Estimator'!$B$7)</x:f>
        <x:v>1</x:v>
      </x:c>
      <x:c r="H5719" s="381" t="n">
        <x:f>SUMIFS('Climate Data'!$G$7:$G$366,'Climate Data'!$A$7:$A$366,'Estimator'!$B$4,'Climate Data'!$B$7:$B$366,C5719)</x:f>
        <x:v>0.47274749721913234</x:v>
      </x:c>
      <x:c r="I5719" s="382" t="n">
        <x:f>SUMIFS('Climate Data'!$H$7:$H$366,'Climate Data'!$A$7:$A$366,'Estimator'!$B$4,'Climate Data'!$B$7:$B$366,C5719)</x:f>
        <x:v>7.9971764705882356</x:v>
      </x:c>
      <x:c r="J5719" s="381" t="n">
        <x:f>SUMIFS('Wind Proxy'!$H$8:$H$19,'Wind Proxy'!$A$8:$A$19,'Estimator'!$B$4,'Wind Proxy'!$B$8:$B$19,C5719)</x:f>
        <x:v>0.13739545997610514</x:v>
      </x:c>
    </x:row>
    <x:row r="5720">
      <x:c r="A5720" s="379" t="n">
        <x:v>51371</x:v>
      </x:c>
      <x:c r="B5720" s="380" t="n">
        <x:v>2040</x:v>
      </x:c>
      <x:c r="C5720" s="380" t="n">
        <x:v>8</x:v>
      </x:c>
      <x:c r="D5720" s="380" t="str">
        <x:v>Aug</x:v>
      </x:c>
      <x:c r="E5720" s="380" t="n">
        <x:v>23</x:v>
      </x:c>
      <x:c r="F5720" s="380" t="n">
        <x:v>4</x:v>
      </x:c>
      <x:c r="G5720" s="380" t="n">
        <x:f>--(F5720&lt;='Estimator'!$B$7)</x:f>
        <x:v>1</x:v>
      </x:c>
      <x:c r="H5720" s="381" t="n">
        <x:f>SUMIFS('Climate Data'!$G$7:$G$366,'Climate Data'!$A$7:$A$366,'Estimator'!$B$4,'Climate Data'!$B$7:$B$366,C5720)</x:f>
        <x:v>0.47274749721913234</x:v>
      </x:c>
      <x:c r="I5720" s="382" t="n">
        <x:f>SUMIFS('Climate Data'!$H$7:$H$366,'Climate Data'!$A$7:$A$366,'Estimator'!$B$4,'Climate Data'!$B$7:$B$366,C5720)</x:f>
        <x:v>7.9971764705882356</x:v>
      </x:c>
      <x:c r="J5720" s="381" t="n">
        <x:f>SUMIFS('Wind Proxy'!$H$8:$H$19,'Wind Proxy'!$A$8:$A$19,'Estimator'!$B$4,'Wind Proxy'!$B$8:$B$19,C5720)</x:f>
        <x:v>0.13739545997610514</x:v>
      </x:c>
    </x:row>
    <x:row r="5721">
      <x:c r="A5721" s="379" t="n">
        <x:v>51372</x:v>
      </x:c>
      <x:c r="B5721" s="380" t="n">
        <x:v>2040</x:v>
      </x:c>
      <x:c r="C5721" s="380" t="n">
        <x:v>8</x:v>
      </x:c>
      <x:c r="D5721" s="380" t="str">
        <x:v>Aug</x:v>
      </x:c>
      <x:c r="E5721" s="380" t="n">
        <x:v>24</x:v>
      </x:c>
      <x:c r="F5721" s="380" t="n">
        <x:v>5</x:v>
      </x:c>
      <x:c r="G5721" s="380" t="n">
        <x:f>--(F5721&lt;='Estimator'!$B$7)</x:f>
        <x:v>1</x:v>
      </x:c>
      <x:c r="H5721" s="381" t="n">
        <x:f>SUMIFS('Climate Data'!$G$7:$G$366,'Climate Data'!$A$7:$A$366,'Estimator'!$B$4,'Climate Data'!$B$7:$B$366,C5721)</x:f>
        <x:v>0.47274749721913234</x:v>
      </x:c>
      <x:c r="I5721" s="382" t="n">
        <x:f>SUMIFS('Climate Data'!$H$7:$H$366,'Climate Data'!$A$7:$A$366,'Estimator'!$B$4,'Climate Data'!$B$7:$B$366,C5721)</x:f>
        <x:v>7.9971764705882356</x:v>
      </x:c>
      <x:c r="J5721" s="381" t="n">
        <x:f>SUMIFS('Wind Proxy'!$H$8:$H$19,'Wind Proxy'!$A$8:$A$19,'Estimator'!$B$4,'Wind Proxy'!$B$8:$B$19,C5721)</x:f>
        <x:v>0.13739545997610514</x:v>
      </x:c>
    </x:row>
    <x:row r="5722">
      <x:c r="A5722" s="379" t="n">
        <x:v>51373</x:v>
      </x:c>
      <x:c r="B5722" s="380" t="n">
        <x:v>2040</x:v>
      </x:c>
      <x:c r="C5722" s="380" t="n">
        <x:v>8</x:v>
      </x:c>
      <x:c r="D5722" s="380" t="str">
        <x:v>Aug</x:v>
      </x:c>
      <x:c r="E5722" s="380" t="n">
        <x:v>25</x:v>
      </x:c>
      <x:c r="F5722" s="380" t="n">
        <x:v>6</x:v>
      </x:c>
      <x:c r="G5722" s="380" t="n">
        <x:f>--(F5722&lt;='Estimator'!$B$7)</x:f>
        <x:v>0</x:v>
      </x:c>
      <x:c r="H5722" s="381" t="n">
        <x:f>SUMIFS('Climate Data'!$G$7:$G$366,'Climate Data'!$A$7:$A$366,'Estimator'!$B$4,'Climate Data'!$B$7:$B$366,C5722)</x:f>
        <x:v>0.47274749721913234</x:v>
      </x:c>
      <x:c r="I5722" s="382" t="n">
        <x:f>SUMIFS('Climate Data'!$H$7:$H$366,'Climate Data'!$A$7:$A$366,'Estimator'!$B$4,'Climate Data'!$B$7:$B$366,C5722)</x:f>
        <x:v>7.9971764705882356</x:v>
      </x:c>
      <x:c r="J5722" s="381" t="n">
        <x:f>SUMIFS('Wind Proxy'!$H$8:$H$19,'Wind Proxy'!$A$8:$A$19,'Estimator'!$B$4,'Wind Proxy'!$B$8:$B$19,C5722)</x:f>
        <x:v>0.13739545997610514</x:v>
      </x:c>
    </x:row>
    <x:row r="5723">
      <x:c r="A5723" s="379" t="n">
        <x:v>51374</x:v>
      </x:c>
      <x:c r="B5723" s="380" t="n">
        <x:v>2040</x:v>
      </x:c>
      <x:c r="C5723" s="380" t="n">
        <x:v>8</x:v>
      </x:c>
      <x:c r="D5723" s="380" t="str">
        <x:v>Aug</x:v>
      </x:c>
      <x:c r="E5723" s="380" t="n">
        <x:v>26</x:v>
      </x:c>
      <x:c r="F5723" s="380" t="n">
        <x:v>7</x:v>
      </x:c>
      <x:c r="G5723" s="380" t="n">
        <x:f>--(F5723&lt;='Estimator'!$B$7)</x:f>
        <x:v>0</x:v>
      </x:c>
      <x:c r="H5723" s="381" t="n">
        <x:f>SUMIFS('Climate Data'!$G$7:$G$366,'Climate Data'!$A$7:$A$366,'Estimator'!$B$4,'Climate Data'!$B$7:$B$366,C5723)</x:f>
        <x:v>0.47274749721913234</x:v>
      </x:c>
      <x:c r="I5723" s="382" t="n">
        <x:f>SUMIFS('Climate Data'!$H$7:$H$366,'Climate Data'!$A$7:$A$366,'Estimator'!$B$4,'Climate Data'!$B$7:$B$366,C5723)</x:f>
        <x:v>7.9971764705882356</x:v>
      </x:c>
      <x:c r="J5723" s="381" t="n">
        <x:f>SUMIFS('Wind Proxy'!$H$8:$H$19,'Wind Proxy'!$A$8:$A$19,'Estimator'!$B$4,'Wind Proxy'!$B$8:$B$19,C5723)</x:f>
        <x:v>0.13739545997610514</x:v>
      </x:c>
    </x:row>
    <x:row r="5724">
      <x:c r="A5724" s="379" t="n">
        <x:v>51375</x:v>
      </x:c>
      <x:c r="B5724" s="380" t="n">
        <x:v>2040</x:v>
      </x:c>
      <x:c r="C5724" s="380" t="n">
        <x:v>8</x:v>
      </x:c>
      <x:c r="D5724" s="380" t="str">
        <x:v>Aug</x:v>
      </x:c>
      <x:c r="E5724" s="380" t="n">
        <x:v>27</x:v>
      </x:c>
      <x:c r="F5724" s="380" t="n">
        <x:v>1</x:v>
      </x:c>
      <x:c r="G5724" s="380" t="n">
        <x:f>--(F5724&lt;='Estimator'!$B$7)</x:f>
        <x:v>1</x:v>
      </x:c>
      <x:c r="H5724" s="381" t="n">
        <x:f>SUMIFS('Climate Data'!$G$7:$G$366,'Climate Data'!$A$7:$A$366,'Estimator'!$B$4,'Climate Data'!$B$7:$B$366,C5724)</x:f>
        <x:v>0.47274749721913234</x:v>
      </x:c>
      <x:c r="I5724" s="382" t="n">
        <x:f>SUMIFS('Climate Data'!$H$7:$H$366,'Climate Data'!$A$7:$A$366,'Estimator'!$B$4,'Climate Data'!$B$7:$B$366,C5724)</x:f>
        <x:v>7.9971764705882356</x:v>
      </x:c>
      <x:c r="J5724" s="381" t="n">
        <x:f>SUMIFS('Wind Proxy'!$H$8:$H$19,'Wind Proxy'!$A$8:$A$19,'Estimator'!$B$4,'Wind Proxy'!$B$8:$B$19,C5724)</x:f>
        <x:v>0.13739545997610514</x:v>
      </x:c>
    </x:row>
    <x:row r="5725">
      <x:c r="A5725" s="379" t="n">
        <x:v>51376</x:v>
      </x:c>
      <x:c r="B5725" s="380" t="n">
        <x:v>2040</x:v>
      </x:c>
      <x:c r="C5725" s="380" t="n">
        <x:v>8</x:v>
      </x:c>
      <x:c r="D5725" s="380" t="str">
        <x:v>Aug</x:v>
      </x:c>
      <x:c r="E5725" s="380" t="n">
        <x:v>28</x:v>
      </x:c>
      <x:c r="F5725" s="380" t="n">
        <x:v>2</x:v>
      </x:c>
      <x:c r="G5725" s="380" t="n">
        <x:f>--(F5725&lt;='Estimator'!$B$7)</x:f>
        <x:v>1</x:v>
      </x:c>
      <x:c r="H5725" s="381" t="n">
        <x:f>SUMIFS('Climate Data'!$G$7:$G$366,'Climate Data'!$A$7:$A$366,'Estimator'!$B$4,'Climate Data'!$B$7:$B$366,C5725)</x:f>
        <x:v>0.47274749721913234</x:v>
      </x:c>
      <x:c r="I5725" s="382" t="n">
        <x:f>SUMIFS('Climate Data'!$H$7:$H$366,'Climate Data'!$A$7:$A$366,'Estimator'!$B$4,'Climate Data'!$B$7:$B$366,C5725)</x:f>
        <x:v>7.9971764705882356</x:v>
      </x:c>
      <x:c r="J5725" s="381" t="n">
        <x:f>SUMIFS('Wind Proxy'!$H$8:$H$19,'Wind Proxy'!$A$8:$A$19,'Estimator'!$B$4,'Wind Proxy'!$B$8:$B$19,C5725)</x:f>
        <x:v>0.13739545997610514</x:v>
      </x:c>
    </x:row>
    <x:row r="5726">
      <x:c r="A5726" s="379" t="n">
        <x:v>51377</x:v>
      </x:c>
      <x:c r="B5726" s="380" t="n">
        <x:v>2040</x:v>
      </x:c>
      <x:c r="C5726" s="380" t="n">
        <x:v>8</x:v>
      </x:c>
      <x:c r="D5726" s="380" t="str">
        <x:v>Aug</x:v>
      </x:c>
      <x:c r="E5726" s="380" t="n">
        <x:v>29</x:v>
      </x:c>
      <x:c r="F5726" s="380" t="n">
        <x:v>3</x:v>
      </x:c>
      <x:c r="G5726" s="380" t="n">
        <x:f>--(F5726&lt;='Estimator'!$B$7)</x:f>
        <x:v>1</x:v>
      </x:c>
      <x:c r="H5726" s="381" t="n">
        <x:f>SUMIFS('Climate Data'!$G$7:$G$366,'Climate Data'!$A$7:$A$366,'Estimator'!$B$4,'Climate Data'!$B$7:$B$366,C5726)</x:f>
        <x:v>0.47274749721913234</x:v>
      </x:c>
      <x:c r="I5726" s="382" t="n">
        <x:f>SUMIFS('Climate Data'!$H$7:$H$366,'Climate Data'!$A$7:$A$366,'Estimator'!$B$4,'Climate Data'!$B$7:$B$366,C5726)</x:f>
        <x:v>7.9971764705882356</x:v>
      </x:c>
      <x:c r="J5726" s="381" t="n">
        <x:f>SUMIFS('Wind Proxy'!$H$8:$H$19,'Wind Proxy'!$A$8:$A$19,'Estimator'!$B$4,'Wind Proxy'!$B$8:$B$19,C5726)</x:f>
        <x:v>0.13739545997610514</x:v>
      </x:c>
    </x:row>
    <x:row r="5727">
      <x:c r="A5727" s="379" t="n">
        <x:v>51378</x:v>
      </x:c>
      <x:c r="B5727" s="380" t="n">
        <x:v>2040</x:v>
      </x:c>
      <x:c r="C5727" s="380" t="n">
        <x:v>8</x:v>
      </x:c>
      <x:c r="D5727" s="380" t="str">
        <x:v>Aug</x:v>
      </x:c>
      <x:c r="E5727" s="380" t="n">
        <x:v>30</x:v>
      </x:c>
      <x:c r="F5727" s="380" t="n">
        <x:v>4</x:v>
      </x:c>
      <x:c r="G5727" s="380" t="n">
        <x:f>--(F5727&lt;='Estimator'!$B$7)</x:f>
        <x:v>1</x:v>
      </x:c>
      <x:c r="H5727" s="381" t="n">
        <x:f>SUMIFS('Climate Data'!$G$7:$G$366,'Climate Data'!$A$7:$A$366,'Estimator'!$B$4,'Climate Data'!$B$7:$B$366,C5727)</x:f>
        <x:v>0.47274749721913234</x:v>
      </x:c>
      <x:c r="I5727" s="382" t="n">
        <x:f>SUMIFS('Climate Data'!$H$7:$H$366,'Climate Data'!$A$7:$A$366,'Estimator'!$B$4,'Climate Data'!$B$7:$B$366,C5727)</x:f>
        <x:v>7.9971764705882356</x:v>
      </x:c>
      <x:c r="J5727" s="381" t="n">
        <x:f>SUMIFS('Wind Proxy'!$H$8:$H$19,'Wind Proxy'!$A$8:$A$19,'Estimator'!$B$4,'Wind Proxy'!$B$8:$B$19,C5727)</x:f>
        <x:v>0.13739545997610514</x:v>
      </x:c>
    </x:row>
    <x:row r="5728">
      <x:c r="A5728" s="379" t="n">
        <x:v>51379</x:v>
      </x:c>
      <x:c r="B5728" s="380" t="n">
        <x:v>2040</x:v>
      </x:c>
      <x:c r="C5728" s="380" t="n">
        <x:v>8</x:v>
      </x:c>
      <x:c r="D5728" s="380" t="str">
        <x:v>Aug</x:v>
      </x:c>
      <x:c r="E5728" s="380" t="n">
        <x:v>31</x:v>
      </x:c>
      <x:c r="F5728" s="380" t="n">
        <x:v>5</x:v>
      </x:c>
      <x:c r="G5728" s="380" t="n">
        <x:f>--(F5728&lt;='Estimator'!$B$7)</x:f>
        <x:v>1</x:v>
      </x:c>
      <x:c r="H5728" s="381" t="n">
        <x:f>SUMIFS('Climate Data'!$G$7:$G$366,'Climate Data'!$A$7:$A$366,'Estimator'!$B$4,'Climate Data'!$B$7:$B$366,C5728)</x:f>
        <x:v>0.47274749721913234</x:v>
      </x:c>
      <x:c r="I5728" s="382" t="n">
        <x:f>SUMIFS('Climate Data'!$H$7:$H$366,'Climate Data'!$A$7:$A$366,'Estimator'!$B$4,'Climate Data'!$B$7:$B$366,C5728)</x:f>
        <x:v>7.9971764705882356</x:v>
      </x:c>
      <x:c r="J5728" s="381" t="n">
        <x:f>SUMIFS('Wind Proxy'!$H$8:$H$19,'Wind Proxy'!$A$8:$A$19,'Estimator'!$B$4,'Wind Proxy'!$B$8:$B$19,C5728)</x:f>
        <x:v>0.13739545997610514</x:v>
      </x:c>
    </x:row>
    <x:row r="5729">
      <x:c r="A5729" s="379" t="n">
        <x:v>51380</x:v>
      </x:c>
      <x:c r="B5729" s="380" t="n">
        <x:v>2040</x:v>
      </x:c>
      <x:c r="C5729" s="380" t="n">
        <x:v>9</x:v>
      </x:c>
      <x:c r="D5729" s="380" t="str">
        <x:v>Sep</x:v>
      </x:c>
      <x:c r="E5729" s="380" t="n">
        <x:v>1</x:v>
      </x:c>
      <x:c r="F5729" s="380" t="n">
        <x:v>6</x:v>
      </x:c>
      <x:c r="G5729" s="380" t="n">
        <x:f>--(F5729&lt;='Estimator'!$B$7)</x:f>
        <x:v>0</x:v>
      </x:c>
      <x:c r="H5729" s="381" t="n">
        <x:f>SUMIFS('Climate Data'!$G$7:$G$366,'Climate Data'!$A$7:$A$366,'Estimator'!$B$4,'Climate Data'!$B$7:$B$366,C5729)</x:f>
        <x:v>0.4160919540229885</x:v>
      </x:c>
      <x:c r="I5729" s="382" t="n">
        <x:f>SUMIFS('Climate Data'!$H$7:$H$366,'Climate Data'!$A$7:$A$366,'Estimator'!$B$4,'Climate Data'!$B$7:$B$366,C5729)</x:f>
        <x:v>8.019060773480662</x:v>
      </x:c>
      <x:c r="J5729" s="381" t="n">
        <x:f>SUMIFS('Wind Proxy'!$H$8:$H$19,'Wind Proxy'!$A$8:$A$19,'Estimator'!$B$4,'Wind Proxy'!$B$8:$B$19,C5729)</x:f>
        <x:v>0.22222222222222224</x:v>
      </x:c>
    </x:row>
    <x:row r="5730">
      <x:c r="A5730" s="379" t="n">
        <x:v>51381</x:v>
      </x:c>
      <x:c r="B5730" s="380" t="n">
        <x:v>2040</x:v>
      </x:c>
      <x:c r="C5730" s="380" t="n">
        <x:v>9</x:v>
      </x:c>
      <x:c r="D5730" s="380" t="str">
        <x:v>Sep</x:v>
      </x:c>
      <x:c r="E5730" s="380" t="n">
        <x:v>2</x:v>
      </x:c>
      <x:c r="F5730" s="380" t="n">
        <x:v>7</x:v>
      </x:c>
      <x:c r="G5730" s="380" t="n">
        <x:f>--(F5730&lt;='Estimator'!$B$7)</x:f>
        <x:v>0</x:v>
      </x:c>
      <x:c r="H5730" s="381" t="n">
        <x:f>SUMIFS('Climate Data'!$G$7:$G$366,'Climate Data'!$A$7:$A$366,'Estimator'!$B$4,'Climate Data'!$B$7:$B$366,C5730)</x:f>
        <x:v>0.4160919540229885</x:v>
      </x:c>
      <x:c r="I5730" s="382" t="n">
        <x:f>SUMIFS('Climate Data'!$H$7:$H$366,'Climate Data'!$A$7:$A$366,'Estimator'!$B$4,'Climate Data'!$B$7:$B$366,C5730)</x:f>
        <x:v>8.019060773480662</x:v>
      </x:c>
      <x:c r="J5730" s="381" t="n">
        <x:f>SUMIFS('Wind Proxy'!$H$8:$H$19,'Wind Proxy'!$A$8:$A$19,'Estimator'!$B$4,'Wind Proxy'!$B$8:$B$19,C5730)</x:f>
        <x:v>0.22222222222222224</x:v>
      </x:c>
    </x:row>
    <x:row r="5731">
      <x:c r="A5731" s="379" t="n">
        <x:v>51382</x:v>
      </x:c>
      <x:c r="B5731" s="380" t="n">
        <x:v>2040</x:v>
      </x:c>
      <x:c r="C5731" s="380" t="n">
        <x:v>9</x:v>
      </x:c>
      <x:c r="D5731" s="380" t="str">
        <x:v>Sep</x:v>
      </x:c>
      <x:c r="E5731" s="380" t="n">
        <x:v>3</x:v>
      </x:c>
      <x:c r="F5731" s="380" t="n">
        <x:v>1</x:v>
      </x:c>
      <x:c r="G5731" s="380" t="n">
        <x:f>--(F5731&lt;='Estimator'!$B$7)</x:f>
        <x:v>1</x:v>
      </x:c>
      <x:c r="H5731" s="381" t="n">
        <x:f>SUMIFS('Climate Data'!$G$7:$G$366,'Climate Data'!$A$7:$A$366,'Estimator'!$B$4,'Climate Data'!$B$7:$B$366,C5731)</x:f>
        <x:v>0.4160919540229885</x:v>
      </x:c>
      <x:c r="I5731" s="382" t="n">
        <x:f>SUMIFS('Climate Data'!$H$7:$H$366,'Climate Data'!$A$7:$A$366,'Estimator'!$B$4,'Climate Data'!$B$7:$B$366,C5731)</x:f>
        <x:v>8.019060773480662</x:v>
      </x:c>
      <x:c r="J5731" s="381" t="n">
        <x:f>SUMIFS('Wind Proxy'!$H$8:$H$19,'Wind Proxy'!$A$8:$A$19,'Estimator'!$B$4,'Wind Proxy'!$B$8:$B$19,C5731)</x:f>
        <x:v>0.22222222222222224</x:v>
      </x:c>
    </x:row>
    <x:row r="5732">
      <x:c r="A5732" s="379" t="n">
        <x:v>51383</x:v>
      </x:c>
      <x:c r="B5732" s="380" t="n">
        <x:v>2040</x:v>
      </x:c>
      <x:c r="C5732" s="380" t="n">
        <x:v>9</x:v>
      </x:c>
      <x:c r="D5732" s="380" t="str">
        <x:v>Sep</x:v>
      </x:c>
      <x:c r="E5732" s="380" t="n">
        <x:v>4</x:v>
      </x:c>
      <x:c r="F5732" s="380" t="n">
        <x:v>2</x:v>
      </x:c>
      <x:c r="G5732" s="380" t="n">
        <x:f>--(F5732&lt;='Estimator'!$B$7)</x:f>
        <x:v>1</x:v>
      </x:c>
      <x:c r="H5732" s="381" t="n">
        <x:f>SUMIFS('Climate Data'!$G$7:$G$366,'Climate Data'!$A$7:$A$366,'Estimator'!$B$4,'Climate Data'!$B$7:$B$366,C5732)</x:f>
        <x:v>0.4160919540229885</x:v>
      </x:c>
      <x:c r="I5732" s="382" t="n">
        <x:f>SUMIFS('Climate Data'!$H$7:$H$366,'Climate Data'!$A$7:$A$366,'Estimator'!$B$4,'Climate Data'!$B$7:$B$366,C5732)</x:f>
        <x:v>8.019060773480662</x:v>
      </x:c>
      <x:c r="J5732" s="381" t="n">
        <x:f>SUMIFS('Wind Proxy'!$H$8:$H$19,'Wind Proxy'!$A$8:$A$19,'Estimator'!$B$4,'Wind Proxy'!$B$8:$B$19,C5732)</x:f>
        <x:v>0.22222222222222224</x:v>
      </x:c>
    </x:row>
    <x:row r="5733">
      <x:c r="A5733" s="379" t="n">
        <x:v>51384</x:v>
      </x:c>
      <x:c r="B5733" s="380" t="n">
        <x:v>2040</x:v>
      </x:c>
      <x:c r="C5733" s="380" t="n">
        <x:v>9</x:v>
      </x:c>
      <x:c r="D5733" s="380" t="str">
        <x:v>Sep</x:v>
      </x:c>
      <x:c r="E5733" s="380" t="n">
        <x:v>5</x:v>
      </x:c>
      <x:c r="F5733" s="380" t="n">
        <x:v>3</x:v>
      </x:c>
      <x:c r="G5733" s="380" t="n">
        <x:f>--(F5733&lt;='Estimator'!$B$7)</x:f>
        <x:v>1</x:v>
      </x:c>
      <x:c r="H5733" s="381" t="n">
        <x:f>SUMIFS('Climate Data'!$G$7:$G$366,'Climate Data'!$A$7:$A$366,'Estimator'!$B$4,'Climate Data'!$B$7:$B$366,C5733)</x:f>
        <x:v>0.4160919540229885</x:v>
      </x:c>
      <x:c r="I5733" s="382" t="n">
        <x:f>SUMIFS('Climate Data'!$H$7:$H$366,'Climate Data'!$A$7:$A$366,'Estimator'!$B$4,'Climate Data'!$B$7:$B$366,C5733)</x:f>
        <x:v>8.019060773480662</x:v>
      </x:c>
      <x:c r="J5733" s="381" t="n">
        <x:f>SUMIFS('Wind Proxy'!$H$8:$H$19,'Wind Proxy'!$A$8:$A$19,'Estimator'!$B$4,'Wind Proxy'!$B$8:$B$19,C5733)</x:f>
        <x:v>0.22222222222222224</x:v>
      </x:c>
    </x:row>
    <x:row r="5734">
      <x:c r="A5734" s="379" t="n">
        <x:v>51385</x:v>
      </x:c>
      <x:c r="B5734" s="380" t="n">
        <x:v>2040</x:v>
      </x:c>
      <x:c r="C5734" s="380" t="n">
        <x:v>9</x:v>
      </x:c>
      <x:c r="D5734" s="380" t="str">
        <x:v>Sep</x:v>
      </x:c>
      <x:c r="E5734" s="380" t="n">
        <x:v>6</x:v>
      </x:c>
      <x:c r="F5734" s="380" t="n">
        <x:v>4</x:v>
      </x:c>
      <x:c r="G5734" s="380" t="n">
        <x:f>--(F5734&lt;='Estimator'!$B$7)</x:f>
        <x:v>1</x:v>
      </x:c>
      <x:c r="H5734" s="381" t="n">
        <x:f>SUMIFS('Climate Data'!$G$7:$G$366,'Climate Data'!$A$7:$A$366,'Estimator'!$B$4,'Climate Data'!$B$7:$B$366,C5734)</x:f>
        <x:v>0.4160919540229885</x:v>
      </x:c>
      <x:c r="I5734" s="382" t="n">
        <x:f>SUMIFS('Climate Data'!$H$7:$H$366,'Climate Data'!$A$7:$A$366,'Estimator'!$B$4,'Climate Data'!$B$7:$B$366,C5734)</x:f>
        <x:v>8.019060773480662</x:v>
      </x:c>
      <x:c r="J5734" s="381" t="n">
        <x:f>SUMIFS('Wind Proxy'!$H$8:$H$19,'Wind Proxy'!$A$8:$A$19,'Estimator'!$B$4,'Wind Proxy'!$B$8:$B$19,C5734)</x:f>
        <x:v>0.22222222222222224</x:v>
      </x:c>
    </x:row>
    <x:row r="5735">
      <x:c r="A5735" s="379" t="n">
        <x:v>51386</x:v>
      </x:c>
      <x:c r="B5735" s="380" t="n">
        <x:v>2040</x:v>
      </x:c>
      <x:c r="C5735" s="380" t="n">
        <x:v>9</x:v>
      </x:c>
      <x:c r="D5735" s="380" t="str">
        <x:v>Sep</x:v>
      </x:c>
      <x:c r="E5735" s="380" t="n">
        <x:v>7</x:v>
      </x:c>
      <x:c r="F5735" s="380" t="n">
        <x:v>5</x:v>
      </x:c>
      <x:c r="G5735" s="380" t="n">
        <x:f>--(F5735&lt;='Estimator'!$B$7)</x:f>
        <x:v>1</x:v>
      </x:c>
      <x:c r="H5735" s="381" t="n">
        <x:f>SUMIFS('Climate Data'!$G$7:$G$366,'Climate Data'!$A$7:$A$366,'Estimator'!$B$4,'Climate Data'!$B$7:$B$366,C5735)</x:f>
        <x:v>0.4160919540229885</x:v>
      </x:c>
      <x:c r="I5735" s="382" t="n">
        <x:f>SUMIFS('Climate Data'!$H$7:$H$366,'Climate Data'!$A$7:$A$366,'Estimator'!$B$4,'Climate Data'!$B$7:$B$366,C5735)</x:f>
        <x:v>8.019060773480662</x:v>
      </x:c>
      <x:c r="J5735" s="381" t="n">
        <x:f>SUMIFS('Wind Proxy'!$H$8:$H$19,'Wind Proxy'!$A$8:$A$19,'Estimator'!$B$4,'Wind Proxy'!$B$8:$B$19,C5735)</x:f>
        <x:v>0.22222222222222224</x:v>
      </x:c>
    </x:row>
    <x:row r="5736">
      <x:c r="A5736" s="379" t="n">
        <x:v>51387</x:v>
      </x:c>
      <x:c r="B5736" s="380" t="n">
        <x:v>2040</x:v>
      </x:c>
      <x:c r="C5736" s="380" t="n">
        <x:v>9</x:v>
      </x:c>
      <x:c r="D5736" s="380" t="str">
        <x:v>Sep</x:v>
      </x:c>
      <x:c r="E5736" s="380" t="n">
        <x:v>8</x:v>
      </x:c>
      <x:c r="F5736" s="380" t="n">
        <x:v>6</x:v>
      </x:c>
      <x:c r="G5736" s="380" t="n">
        <x:f>--(F5736&lt;='Estimator'!$B$7)</x:f>
        <x:v>0</x:v>
      </x:c>
      <x:c r="H5736" s="381" t="n">
        <x:f>SUMIFS('Climate Data'!$G$7:$G$366,'Climate Data'!$A$7:$A$366,'Estimator'!$B$4,'Climate Data'!$B$7:$B$366,C5736)</x:f>
        <x:v>0.4160919540229885</x:v>
      </x:c>
      <x:c r="I5736" s="382" t="n">
        <x:f>SUMIFS('Climate Data'!$H$7:$H$366,'Climate Data'!$A$7:$A$366,'Estimator'!$B$4,'Climate Data'!$B$7:$B$366,C5736)</x:f>
        <x:v>8.019060773480662</x:v>
      </x:c>
      <x:c r="J5736" s="381" t="n">
        <x:f>SUMIFS('Wind Proxy'!$H$8:$H$19,'Wind Proxy'!$A$8:$A$19,'Estimator'!$B$4,'Wind Proxy'!$B$8:$B$19,C5736)</x:f>
        <x:v>0.22222222222222224</x:v>
      </x:c>
    </x:row>
    <x:row r="5737">
      <x:c r="A5737" s="379" t="n">
        <x:v>51388</x:v>
      </x:c>
      <x:c r="B5737" s="380" t="n">
        <x:v>2040</x:v>
      </x:c>
      <x:c r="C5737" s="380" t="n">
        <x:v>9</x:v>
      </x:c>
      <x:c r="D5737" s="380" t="str">
        <x:v>Sep</x:v>
      </x:c>
      <x:c r="E5737" s="380" t="n">
        <x:v>9</x:v>
      </x:c>
      <x:c r="F5737" s="380" t="n">
        <x:v>7</x:v>
      </x:c>
      <x:c r="G5737" s="380" t="n">
        <x:f>--(F5737&lt;='Estimator'!$B$7)</x:f>
        <x:v>0</x:v>
      </x:c>
      <x:c r="H5737" s="381" t="n">
        <x:f>SUMIFS('Climate Data'!$G$7:$G$366,'Climate Data'!$A$7:$A$366,'Estimator'!$B$4,'Climate Data'!$B$7:$B$366,C5737)</x:f>
        <x:v>0.4160919540229885</x:v>
      </x:c>
      <x:c r="I5737" s="382" t="n">
        <x:f>SUMIFS('Climate Data'!$H$7:$H$366,'Climate Data'!$A$7:$A$366,'Estimator'!$B$4,'Climate Data'!$B$7:$B$366,C5737)</x:f>
        <x:v>8.019060773480662</x:v>
      </x:c>
      <x:c r="J5737" s="381" t="n">
        <x:f>SUMIFS('Wind Proxy'!$H$8:$H$19,'Wind Proxy'!$A$8:$A$19,'Estimator'!$B$4,'Wind Proxy'!$B$8:$B$19,C5737)</x:f>
        <x:v>0.22222222222222224</x:v>
      </x:c>
    </x:row>
    <x:row r="5738">
      <x:c r="A5738" s="379" t="n">
        <x:v>51389</x:v>
      </x:c>
      <x:c r="B5738" s="380" t="n">
        <x:v>2040</x:v>
      </x:c>
      <x:c r="C5738" s="380" t="n">
        <x:v>9</x:v>
      </x:c>
      <x:c r="D5738" s="380" t="str">
        <x:v>Sep</x:v>
      </x:c>
      <x:c r="E5738" s="380" t="n">
        <x:v>10</x:v>
      </x:c>
      <x:c r="F5738" s="380" t="n">
        <x:v>1</x:v>
      </x:c>
      <x:c r="G5738" s="380" t="n">
        <x:f>--(F5738&lt;='Estimator'!$B$7)</x:f>
        <x:v>1</x:v>
      </x:c>
      <x:c r="H5738" s="381" t="n">
        <x:f>SUMIFS('Climate Data'!$G$7:$G$366,'Climate Data'!$A$7:$A$366,'Estimator'!$B$4,'Climate Data'!$B$7:$B$366,C5738)</x:f>
        <x:v>0.4160919540229885</x:v>
      </x:c>
      <x:c r="I5738" s="382" t="n">
        <x:f>SUMIFS('Climate Data'!$H$7:$H$366,'Climate Data'!$A$7:$A$366,'Estimator'!$B$4,'Climate Data'!$B$7:$B$366,C5738)</x:f>
        <x:v>8.019060773480662</x:v>
      </x:c>
      <x:c r="J5738" s="381" t="n">
        <x:f>SUMIFS('Wind Proxy'!$H$8:$H$19,'Wind Proxy'!$A$8:$A$19,'Estimator'!$B$4,'Wind Proxy'!$B$8:$B$19,C5738)</x:f>
        <x:v>0.22222222222222224</x:v>
      </x:c>
    </x:row>
    <x:row r="5739">
      <x:c r="A5739" s="379" t="n">
        <x:v>51390</x:v>
      </x:c>
      <x:c r="B5739" s="380" t="n">
        <x:v>2040</x:v>
      </x:c>
      <x:c r="C5739" s="380" t="n">
        <x:v>9</x:v>
      </x:c>
      <x:c r="D5739" s="380" t="str">
        <x:v>Sep</x:v>
      </x:c>
      <x:c r="E5739" s="380" t="n">
        <x:v>11</x:v>
      </x:c>
      <x:c r="F5739" s="380" t="n">
        <x:v>2</x:v>
      </x:c>
      <x:c r="G5739" s="380" t="n">
        <x:f>--(F5739&lt;='Estimator'!$B$7)</x:f>
        <x:v>1</x:v>
      </x:c>
      <x:c r="H5739" s="381" t="n">
        <x:f>SUMIFS('Climate Data'!$G$7:$G$366,'Climate Data'!$A$7:$A$366,'Estimator'!$B$4,'Climate Data'!$B$7:$B$366,C5739)</x:f>
        <x:v>0.4160919540229885</x:v>
      </x:c>
      <x:c r="I5739" s="382" t="n">
        <x:f>SUMIFS('Climate Data'!$H$7:$H$366,'Climate Data'!$A$7:$A$366,'Estimator'!$B$4,'Climate Data'!$B$7:$B$366,C5739)</x:f>
        <x:v>8.019060773480662</x:v>
      </x:c>
      <x:c r="J5739" s="381" t="n">
        <x:f>SUMIFS('Wind Proxy'!$H$8:$H$19,'Wind Proxy'!$A$8:$A$19,'Estimator'!$B$4,'Wind Proxy'!$B$8:$B$19,C5739)</x:f>
        <x:v>0.22222222222222224</x:v>
      </x:c>
    </x:row>
    <x:row r="5740">
      <x:c r="A5740" s="379" t="n">
        <x:v>51391</x:v>
      </x:c>
      <x:c r="B5740" s="380" t="n">
        <x:v>2040</x:v>
      </x:c>
      <x:c r="C5740" s="380" t="n">
        <x:v>9</x:v>
      </x:c>
      <x:c r="D5740" s="380" t="str">
        <x:v>Sep</x:v>
      </x:c>
      <x:c r="E5740" s="380" t="n">
        <x:v>12</x:v>
      </x:c>
      <x:c r="F5740" s="380" t="n">
        <x:v>3</x:v>
      </x:c>
      <x:c r="G5740" s="380" t="n">
        <x:f>--(F5740&lt;='Estimator'!$B$7)</x:f>
        <x:v>1</x:v>
      </x:c>
      <x:c r="H5740" s="381" t="n">
        <x:f>SUMIFS('Climate Data'!$G$7:$G$366,'Climate Data'!$A$7:$A$366,'Estimator'!$B$4,'Climate Data'!$B$7:$B$366,C5740)</x:f>
        <x:v>0.4160919540229885</x:v>
      </x:c>
      <x:c r="I5740" s="382" t="n">
        <x:f>SUMIFS('Climate Data'!$H$7:$H$366,'Climate Data'!$A$7:$A$366,'Estimator'!$B$4,'Climate Data'!$B$7:$B$366,C5740)</x:f>
        <x:v>8.019060773480662</x:v>
      </x:c>
      <x:c r="J5740" s="381" t="n">
        <x:f>SUMIFS('Wind Proxy'!$H$8:$H$19,'Wind Proxy'!$A$8:$A$19,'Estimator'!$B$4,'Wind Proxy'!$B$8:$B$19,C5740)</x:f>
        <x:v>0.22222222222222224</x:v>
      </x:c>
    </x:row>
    <x:row r="5741">
      <x:c r="A5741" s="379" t="n">
        <x:v>51392</x:v>
      </x:c>
      <x:c r="B5741" s="380" t="n">
        <x:v>2040</x:v>
      </x:c>
      <x:c r="C5741" s="380" t="n">
        <x:v>9</x:v>
      </x:c>
      <x:c r="D5741" s="380" t="str">
        <x:v>Sep</x:v>
      </x:c>
      <x:c r="E5741" s="380" t="n">
        <x:v>13</x:v>
      </x:c>
      <x:c r="F5741" s="380" t="n">
        <x:v>4</x:v>
      </x:c>
      <x:c r="G5741" s="380" t="n">
        <x:f>--(F5741&lt;='Estimator'!$B$7)</x:f>
        <x:v>1</x:v>
      </x:c>
      <x:c r="H5741" s="381" t="n">
        <x:f>SUMIFS('Climate Data'!$G$7:$G$366,'Climate Data'!$A$7:$A$366,'Estimator'!$B$4,'Climate Data'!$B$7:$B$366,C5741)</x:f>
        <x:v>0.4160919540229885</x:v>
      </x:c>
      <x:c r="I5741" s="382" t="n">
        <x:f>SUMIFS('Climate Data'!$H$7:$H$366,'Climate Data'!$A$7:$A$366,'Estimator'!$B$4,'Climate Data'!$B$7:$B$366,C5741)</x:f>
        <x:v>8.019060773480662</x:v>
      </x:c>
      <x:c r="J5741" s="381" t="n">
        <x:f>SUMIFS('Wind Proxy'!$H$8:$H$19,'Wind Proxy'!$A$8:$A$19,'Estimator'!$B$4,'Wind Proxy'!$B$8:$B$19,C5741)</x:f>
        <x:v>0.22222222222222224</x:v>
      </x:c>
    </x:row>
    <x:row r="5742">
      <x:c r="A5742" s="379" t="n">
        <x:v>51393</x:v>
      </x:c>
      <x:c r="B5742" s="380" t="n">
        <x:v>2040</x:v>
      </x:c>
      <x:c r="C5742" s="380" t="n">
        <x:v>9</x:v>
      </x:c>
      <x:c r="D5742" s="380" t="str">
        <x:v>Sep</x:v>
      </x:c>
      <x:c r="E5742" s="380" t="n">
        <x:v>14</x:v>
      </x:c>
      <x:c r="F5742" s="380" t="n">
        <x:v>5</x:v>
      </x:c>
      <x:c r="G5742" s="380" t="n">
        <x:f>--(F5742&lt;='Estimator'!$B$7)</x:f>
        <x:v>1</x:v>
      </x:c>
      <x:c r="H5742" s="381" t="n">
        <x:f>SUMIFS('Climate Data'!$G$7:$G$366,'Climate Data'!$A$7:$A$366,'Estimator'!$B$4,'Climate Data'!$B$7:$B$366,C5742)</x:f>
        <x:v>0.4160919540229885</x:v>
      </x:c>
      <x:c r="I5742" s="382" t="n">
        <x:f>SUMIFS('Climate Data'!$H$7:$H$366,'Climate Data'!$A$7:$A$366,'Estimator'!$B$4,'Climate Data'!$B$7:$B$366,C5742)</x:f>
        <x:v>8.019060773480662</x:v>
      </x:c>
      <x:c r="J5742" s="381" t="n">
        <x:f>SUMIFS('Wind Proxy'!$H$8:$H$19,'Wind Proxy'!$A$8:$A$19,'Estimator'!$B$4,'Wind Proxy'!$B$8:$B$19,C5742)</x:f>
        <x:v>0.22222222222222224</x:v>
      </x:c>
    </x:row>
    <x:row r="5743">
      <x:c r="A5743" s="379" t="n">
        <x:v>51394</x:v>
      </x:c>
      <x:c r="B5743" s="380" t="n">
        <x:v>2040</x:v>
      </x:c>
      <x:c r="C5743" s="380" t="n">
        <x:v>9</x:v>
      </x:c>
      <x:c r="D5743" s="380" t="str">
        <x:v>Sep</x:v>
      </x:c>
      <x:c r="E5743" s="380" t="n">
        <x:v>15</x:v>
      </x:c>
      <x:c r="F5743" s="380" t="n">
        <x:v>6</x:v>
      </x:c>
      <x:c r="G5743" s="380" t="n">
        <x:f>--(F5743&lt;='Estimator'!$B$7)</x:f>
        <x:v>0</x:v>
      </x:c>
      <x:c r="H5743" s="381" t="n">
        <x:f>SUMIFS('Climate Data'!$G$7:$G$366,'Climate Data'!$A$7:$A$366,'Estimator'!$B$4,'Climate Data'!$B$7:$B$366,C5743)</x:f>
        <x:v>0.4160919540229885</x:v>
      </x:c>
      <x:c r="I5743" s="382" t="n">
        <x:f>SUMIFS('Climate Data'!$H$7:$H$366,'Climate Data'!$A$7:$A$366,'Estimator'!$B$4,'Climate Data'!$B$7:$B$366,C5743)</x:f>
        <x:v>8.019060773480662</x:v>
      </x:c>
      <x:c r="J5743" s="381" t="n">
        <x:f>SUMIFS('Wind Proxy'!$H$8:$H$19,'Wind Proxy'!$A$8:$A$19,'Estimator'!$B$4,'Wind Proxy'!$B$8:$B$19,C5743)</x:f>
        <x:v>0.22222222222222224</x:v>
      </x:c>
    </x:row>
    <x:row r="5744">
      <x:c r="A5744" s="379" t="n">
        <x:v>51395</x:v>
      </x:c>
      <x:c r="B5744" s="380" t="n">
        <x:v>2040</x:v>
      </x:c>
      <x:c r="C5744" s="380" t="n">
        <x:v>9</x:v>
      </x:c>
      <x:c r="D5744" s="380" t="str">
        <x:v>Sep</x:v>
      </x:c>
      <x:c r="E5744" s="380" t="n">
        <x:v>16</x:v>
      </x:c>
      <x:c r="F5744" s="380" t="n">
        <x:v>7</x:v>
      </x:c>
      <x:c r="G5744" s="380" t="n">
        <x:f>--(F5744&lt;='Estimator'!$B$7)</x:f>
        <x:v>0</x:v>
      </x:c>
      <x:c r="H5744" s="381" t="n">
        <x:f>SUMIFS('Climate Data'!$G$7:$G$366,'Climate Data'!$A$7:$A$366,'Estimator'!$B$4,'Climate Data'!$B$7:$B$366,C5744)</x:f>
        <x:v>0.4160919540229885</x:v>
      </x:c>
      <x:c r="I5744" s="382" t="n">
        <x:f>SUMIFS('Climate Data'!$H$7:$H$366,'Climate Data'!$A$7:$A$366,'Estimator'!$B$4,'Climate Data'!$B$7:$B$366,C5744)</x:f>
        <x:v>8.019060773480662</x:v>
      </x:c>
      <x:c r="J5744" s="381" t="n">
        <x:f>SUMIFS('Wind Proxy'!$H$8:$H$19,'Wind Proxy'!$A$8:$A$19,'Estimator'!$B$4,'Wind Proxy'!$B$8:$B$19,C5744)</x:f>
        <x:v>0.22222222222222224</x:v>
      </x:c>
    </x:row>
    <x:row r="5745">
      <x:c r="A5745" s="379" t="n">
        <x:v>51396</x:v>
      </x:c>
      <x:c r="B5745" s="380" t="n">
        <x:v>2040</x:v>
      </x:c>
      <x:c r="C5745" s="380" t="n">
        <x:v>9</x:v>
      </x:c>
      <x:c r="D5745" s="380" t="str">
        <x:v>Sep</x:v>
      </x:c>
      <x:c r="E5745" s="380" t="n">
        <x:v>17</x:v>
      </x:c>
      <x:c r="F5745" s="380" t="n">
        <x:v>1</x:v>
      </x:c>
      <x:c r="G5745" s="380" t="n">
        <x:f>--(F5745&lt;='Estimator'!$B$7)</x:f>
        <x:v>1</x:v>
      </x:c>
      <x:c r="H5745" s="381" t="n">
        <x:f>SUMIFS('Climate Data'!$G$7:$G$366,'Climate Data'!$A$7:$A$366,'Estimator'!$B$4,'Climate Data'!$B$7:$B$366,C5745)</x:f>
        <x:v>0.4160919540229885</x:v>
      </x:c>
      <x:c r="I5745" s="382" t="n">
        <x:f>SUMIFS('Climate Data'!$H$7:$H$366,'Climate Data'!$A$7:$A$366,'Estimator'!$B$4,'Climate Data'!$B$7:$B$366,C5745)</x:f>
        <x:v>8.019060773480662</x:v>
      </x:c>
      <x:c r="J5745" s="381" t="n">
        <x:f>SUMIFS('Wind Proxy'!$H$8:$H$19,'Wind Proxy'!$A$8:$A$19,'Estimator'!$B$4,'Wind Proxy'!$B$8:$B$19,C5745)</x:f>
        <x:v>0.22222222222222224</x:v>
      </x:c>
    </x:row>
    <x:row r="5746">
      <x:c r="A5746" s="379" t="n">
        <x:v>51397</x:v>
      </x:c>
      <x:c r="B5746" s="380" t="n">
        <x:v>2040</x:v>
      </x:c>
      <x:c r="C5746" s="380" t="n">
        <x:v>9</x:v>
      </x:c>
      <x:c r="D5746" s="380" t="str">
        <x:v>Sep</x:v>
      </x:c>
      <x:c r="E5746" s="380" t="n">
        <x:v>18</x:v>
      </x:c>
      <x:c r="F5746" s="380" t="n">
        <x:v>2</x:v>
      </x:c>
      <x:c r="G5746" s="380" t="n">
        <x:f>--(F5746&lt;='Estimator'!$B$7)</x:f>
        <x:v>1</x:v>
      </x:c>
      <x:c r="H5746" s="381" t="n">
        <x:f>SUMIFS('Climate Data'!$G$7:$G$366,'Climate Data'!$A$7:$A$366,'Estimator'!$B$4,'Climate Data'!$B$7:$B$366,C5746)</x:f>
        <x:v>0.4160919540229885</x:v>
      </x:c>
      <x:c r="I5746" s="382" t="n">
        <x:f>SUMIFS('Climate Data'!$H$7:$H$366,'Climate Data'!$A$7:$A$366,'Estimator'!$B$4,'Climate Data'!$B$7:$B$366,C5746)</x:f>
        <x:v>8.019060773480662</x:v>
      </x:c>
      <x:c r="J5746" s="381" t="n">
        <x:f>SUMIFS('Wind Proxy'!$H$8:$H$19,'Wind Proxy'!$A$8:$A$19,'Estimator'!$B$4,'Wind Proxy'!$B$8:$B$19,C5746)</x:f>
        <x:v>0.22222222222222224</x:v>
      </x:c>
    </x:row>
    <x:row r="5747">
      <x:c r="A5747" s="379" t="n">
        <x:v>51398</x:v>
      </x:c>
      <x:c r="B5747" s="380" t="n">
        <x:v>2040</x:v>
      </x:c>
      <x:c r="C5747" s="380" t="n">
        <x:v>9</x:v>
      </x:c>
      <x:c r="D5747" s="380" t="str">
        <x:v>Sep</x:v>
      </x:c>
      <x:c r="E5747" s="380" t="n">
        <x:v>19</x:v>
      </x:c>
      <x:c r="F5747" s="380" t="n">
        <x:v>3</x:v>
      </x:c>
      <x:c r="G5747" s="380" t="n">
        <x:f>--(F5747&lt;='Estimator'!$B$7)</x:f>
        <x:v>1</x:v>
      </x:c>
      <x:c r="H5747" s="381" t="n">
        <x:f>SUMIFS('Climate Data'!$G$7:$G$366,'Climate Data'!$A$7:$A$366,'Estimator'!$B$4,'Climate Data'!$B$7:$B$366,C5747)</x:f>
        <x:v>0.4160919540229885</x:v>
      </x:c>
      <x:c r="I5747" s="382" t="n">
        <x:f>SUMIFS('Climate Data'!$H$7:$H$366,'Climate Data'!$A$7:$A$366,'Estimator'!$B$4,'Climate Data'!$B$7:$B$366,C5747)</x:f>
        <x:v>8.019060773480662</x:v>
      </x:c>
      <x:c r="J5747" s="381" t="n">
        <x:f>SUMIFS('Wind Proxy'!$H$8:$H$19,'Wind Proxy'!$A$8:$A$19,'Estimator'!$B$4,'Wind Proxy'!$B$8:$B$19,C5747)</x:f>
        <x:v>0.22222222222222224</x:v>
      </x:c>
    </x:row>
    <x:row r="5748">
      <x:c r="A5748" s="379" t="n">
        <x:v>51399</x:v>
      </x:c>
      <x:c r="B5748" s="380" t="n">
        <x:v>2040</x:v>
      </x:c>
      <x:c r="C5748" s="380" t="n">
        <x:v>9</x:v>
      </x:c>
      <x:c r="D5748" s="380" t="str">
        <x:v>Sep</x:v>
      </x:c>
      <x:c r="E5748" s="380" t="n">
        <x:v>20</x:v>
      </x:c>
      <x:c r="F5748" s="380" t="n">
        <x:v>4</x:v>
      </x:c>
      <x:c r="G5748" s="380" t="n">
        <x:f>--(F5748&lt;='Estimator'!$B$7)</x:f>
        <x:v>1</x:v>
      </x:c>
      <x:c r="H5748" s="381" t="n">
        <x:f>SUMIFS('Climate Data'!$G$7:$G$366,'Climate Data'!$A$7:$A$366,'Estimator'!$B$4,'Climate Data'!$B$7:$B$366,C5748)</x:f>
        <x:v>0.4160919540229885</x:v>
      </x:c>
      <x:c r="I5748" s="382" t="n">
        <x:f>SUMIFS('Climate Data'!$H$7:$H$366,'Climate Data'!$A$7:$A$366,'Estimator'!$B$4,'Climate Data'!$B$7:$B$366,C5748)</x:f>
        <x:v>8.019060773480662</x:v>
      </x:c>
      <x:c r="J5748" s="381" t="n">
        <x:f>SUMIFS('Wind Proxy'!$H$8:$H$19,'Wind Proxy'!$A$8:$A$19,'Estimator'!$B$4,'Wind Proxy'!$B$8:$B$19,C5748)</x:f>
        <x:v>0.22222222222222224</x:v>
      </x:c>
    </x:row>
    <x:row r="5749">
      <x:c r="A5749" s="379" t="n">
        <x:v>51400</x:v>
      </x:c>
      <x:c r="B5749" s="380" t="n">
        <x:v>2040</x:v>
      </x:c>
      <x:c r="C5749" s="380" t="n">
        <x:v>9</x:v>
      </x:c>
      <x:c r="D5749" s="380" t="str">
        <x:v>Sep</x:v>
      </x:c>
      <x:c r="E5749" s="380" t="n">
        <x:v>21</x:v>
      </x:c>
      <x:c r="F5749" s="380" t="n">
        <x:v>5</x:v>
      </x:c>
      <x:c r="G5749" s="380" t="n">
        <x:f>--(F5749&lt;='Estimator'!$B$7)</x:f>
        <x:v>1</x:v>
      </x:c>
      <x:c r="H5749" s="381" t="n">
        <x:f>SUMIFS('Climate Data'!$G$7:$G$366,'Climate Data'!$A$7:$A$366,'Estimator'!$B$4,'Climate Data'!$B$7:$B$366,C5749)</x:f>
        <x:v>0.4160919540229885</x:v>
      </x:c>
      <x:c r="I5749" s="382" t="n">
        <x:f>SUMIFS('Climate Data'!$H$7:$H$366,'Climate Data'!$A$7:$A$366,'Estimator'!$B$4,'Climate Data'!$B$7:$B$366,C5749)</x:f>
        <x:v>8.019060773480662</x:v>
      </x:c>
      <x:c r="J5749" s="381" t="n">
        <x:f>SUMIFS('Wind Proxy'!$H$8:$H$19,'Wind Proxy'!$A$8:$A$19,'Estimator'!$B$4,'Wind Proxy'!$B$8:$B$19,C5749)</x:f>
        <x:v>0.22222222222222224</x:v>
      </x:c>
    </x:row>
    <x:row r="5750">
      <x:c r="A5750" s="379" t="n">
        <x:v>51401</x:v>
      </x:c>
      <x:c r="B5750" s="380" t="n">
        <x:v>2040</x:v>
      </x:c>
      <x:c r="C5750" s="380" t="n">
        <x:v>9</x:v>
      </x:c>
      <x:c r="D5750" s="380" t="str">
        <x:v>Sep</x:v>
      </x:c>
      <x:c r="E5750" s="380" t="n">
        <x:v>22</x:v>
      </x:c>
      <x:c r="F5750" s="380" t="n">
        <x:v>6</x:v>
      </x:c>
      <x:c r="G5750" s="380" t="n">
        <x:f>--(F5750&lt;='Estimator'!$B$7)</x:f>
        <x:v>0</x:v>
      </x:c>
      <x:c r="H5750" s="381" t="n">
        <x:f>SUMIFS('Climate Data'!$G$7:$G$366,'Climate Data'!$A$7:$A$366,'Estimator'!$B$4,'Climate Data'!$B$7:$B$366,C5750)</x:f>
        <x:v>0.4160919540229885</x:v>
      </x:c>
      <x:c r="I5750" s="382" t="n">
        <x:f>SUMIFS('Climate Data'!$H$7:$H$366,'Climate Data'!$A$7:$A$366,'Estimator'!$B$4,'Climate Data'!$B$7:$B$366,C5750)</x:f>
        <x:v>8.019060773480662</x:v>
      </x:c>
      <x:c r="J5750" s="381" t="n">
        <x:f>SUMIFS('Wind Proxy'!$H$8:$H$19,'Wind Proxy'!$A$8:$A$19,'Estimator'!$B$4,'Wind Proxy'!$B$8:$B$19,C5750)</x:f>
        <x:v>0.22222222222222224</x:v>
      </x:c>
    </x:row>
    <x:row r="5751">
      <x:c r="A5751" s="379" t="n">
        <x:v>51402</x:v>
      </x:c>
      <x:c r="B5751" s="380" t="n">
        <x:v>2040</x:v>
      </x:c>
      <x:c r="C5751" s="380" t="n">
        <x:v>9</x:v>
      </x:c>
      <x:c r="D5751" s="380" t="str">
        <x:v>Sep</x:v>
      </x:c>
      <x:c r="E5751" s="380" t="n">
        <x:v>23</x:v>
      </x:c>
      <x:c r="F5751" s="380" t="n">
        <x:v>7</x:v>
      </x:c>
      <x:c r="G5751" s="380" t="n">
        <x:f>--(F5751&lt;='Estimator'!$B$7)</x:f>
        <x:v>0</x:v>
      </x:c>
      <x:c r="H5751" s="381" t="n">
        <x:f>SUMIFS('Climate Data'!$G$7:$G$366,'Climate Data'!$A$7:$A$366,'Estimator'!$B$4,'Climate Data'!$B$7:$B$366,C5751)</x:f>
        <x:v>0.4160919540229885</x:v>
      </x:c>
      <x:c r="I5751" s="382" t="n">
        <x:f>SUMIFS('Climate Data'!$H$7:$H$366,'Climate Data'!$A$7:$A$366,'Estimator'!$B$4,'Climate Data'!$B$7:$B$366,C5751)</x:f>
        <x:v>8.019060773480662</x:v>
      </x:c>
      <x:c r="J5751" s="381" t="n">
        <x:f>SUMIFS('Wind Proxy'!$H$8:$H$19,'Wind Proxy'!$A$8:$A$19,'Estimator'!$B$4,'Wind Proxy'!$B$8:$B$19,C5751)</x:f>
        <x:v>0.22222222222222224</x:v>
      </x:c>
    </x:row>
    <x:row r="5752">
      <x:c r="A5752" s="379" t="n">
        <x:v>51403</x:v>
      </x:c>
      <x:c r="B5752" s="380" t="n">
        <x:v>2040</x:v>
      </x:c>
      <x:c r="C5752" s="380" t="n">
        <x:v>9</x:v>
      </x:c>
      <x:c r="D5752" s="380" t="str">
        <x:v>Sep</x:v>
      </x:c>
      <x:c r="E5752" s="380" t="n">
        <x:v>24</x:v>
      </x:c>
      <x:c r="F5752" s="380" t="n">
        <x:v>1</x:v>
      </x:c>
      <x:c r="G5752" s="380" t="n">
        <x:f>--(F5752&lt;='Estimator'!$B$7)</x:f>
        <x:v>1</x:v>
      </x:c>
      <x:c r="H5752" s="381" t="n">
        <x:f>SUMIFS('Climate Data'!$G$7:$G$366,'Climate Data'!$A$7:$A$366,'Estimator'!$B$4,'Climate Data'!$B$7:$B$366,C5752)</x:f>
        <x:v>0.4160919540229885</x:v>
      </x:c>
      <x:c r="I5752" s="382" t="n">
        <x:f>SUMIFS('Climate Data'!$H$7:$H$366,'Climate Data'!$A$7:$A$366,'Estimator'!$B$4,'Climate Data'!$B$7:$B$366,C5752)</x:f>
        <x:v>8.019060773480662</x:v>
      </x:c>
      <x:c r="J5752" s="381" t="n">
        <x:f>SUMIFS('Wind Proxy'!$H$8:$H$19,'Wind Proxy'!$A$8:$A$19,'Estimator'!$B$4,'Wind Proxy'!$B$8:$B$19,C5752)</x:f>
        <x:v>0.22222222222222224</x:v>
      </x:c>
    </x:row>
    <x:row r="5753">
      <x:c r="A5753" s="379" t="n">
        <x:v>51404</x:v>
      </x:c>
      <x:c r="B5753" s="380" t="n">
        <x:v>2040</x:v>
      </x:c>
      <x:c r="C5753" s="380" t="n">
        <x:v>9</x:v>
      </x:c>
      <x:c r="D5753" s="380" t="str">
        <x:v>Sep</x:v>
      </x:c>
      <x:c r="E5753" s="380" t="n">
        <x:v>25</x:v>
      </x:c>
      <x:c r="F5753" s="380" t="n">
        <x:v>2</x:v>
      </x:c>
      <x:c r="G5753" s="380" t="n">
        <x:f>--(F5753&lt;='Estimator'!$B$7)</x:f>
        <x:v>1</x:v>
      </x:c>
      <x:c r="H5753" s="381" t="n">
        <x:f>SUMIFS('Climate Data'!$G$7:$G$366,'Climate Data'!$A$7:$A$366,'Estimator'!$B$4,'Climate Data'!$B$7:$B$366,C5753)</x:f>
        <x:v>0.4160919540229885</x:v>
      </x:c>
      <x:c r="I5753" s="382" t="n">
        <x:f>SUMIFS('Climate Data'!$H$7:$H$366,'Climate Data'!$A$7:$A$366,'Estimator'!$B$4,'Climate Data'!$B$7:$B$366,C5753)</x:f>
        <x:v>8.019060773480662</x:v>
      </x:c>
      <x:c r="J5753" s="381" t="n">
        <x:f>SUMIFS('Wind Proxy'!$H$8:$H$19,'Wind Proxy'!$A$8:$A$19,'Estimator'!$B$4,'Wind Proxy'!$B$8:$B$19,C5753)</x:f>
        <x:v>0.22222222222222224</x:v>
      </x:c>
    </x:row>
    <x:row r="5754">
      <x:c r="A5754" s="379" t="n">
        <x:v>51405</x:v>
      </x:c>
      <x:c r="B5754" s="380" t="n">
        <x:v>2040</x:v>
      </x:c>
      <x:c r="C5754" s="380" t="n">
        <x:v>9</x:v>
      </x:c>
      <x:c r="D5754" s="380" t="str">
        <x:v>Sep</x:v>
      </x:c>
      <x:c r="E5754" s="380" t="n">
        <x:v>26</x:v>
      </x:c>
      <x:c r="F5754" s="380" t="n">
        <x:v>3</x:v>
      </x:c>
      <x:c r="G5754" s="380" t="n">
        <x:f>--(F5754&lt;='Estimator'!$B$7)</x:f>
        <x:v>1</x:v>
      </x:c>
      <x:c r="H5754" s="381" t="n">
        <x:f>SUMIFS('Climate Data'!$G$7:$G$366,'Climate Data'!$A$7:$A$366,'Estimator'!$B$4,'Climate Data'!$B$7:$B$366,C5754)</x:f>
        <x:v>0.4160919540229885</x:v>
      </x:c>
      <x:c r="I5754" s="382" t="n">
        <x:f>SUMIFS('Climate Data'!$H$7:$H$366,'Climate Data'!$A$7:$A$366,'Estimator'!$B$4,'Climate Data'!$B$7:$B$366,C5754)</x:f>
        <x:v>8.019060773480662</x:v>
      </x:c>
      <x:c r="J5754" s="381" t="n">
        <x:f>SUMIFS('Wind Proxy'!$H$8:$H$19,'Wind Proxy'!$A$8:$A$19,'Estimator'!$B$4,'Wind Proxy'!$B$8:$B$19,C5754)</x:f>
        <x:v>0.22222222222222224</x:v>
      </x:c>
    </x:row>
    <x:row r="5755">
      <x:c r="A5755" s="379" t="n">
        <x:v>51406</x:v>
      </x:c>
      <x:c r="B5755" s="380" t="n">
        <x:v>2040</x:v>
      </x:c>
      <x:c r="C5755" s="380" t="n">
        <x:v>9</x:v>
      </x:c>
      <x:c r="D5755" s="380" t="str">
        <x:v>Sep</x:v>
      </x:c>
      <x:c r="E5755" s="380" t="n">
        <x:v>27</x:v>
      </x:c>
      <x:c r="F5755" s="380" t="n">
        <x:v>4</x:v>
      </x:c>
      <x:c r="G5755" s="380" t="n">
        <x:f>--(F5755&lt;='Estimator'!$B$7)</x:f>
        <x:v>1</x:v>
      </x:c>
      <x:c r="H5755" s="381" t="n">
        <x:f>SUMIFS('Climate Data'!$G$7:$G$366,'Climate Data'!$A$7:$A$366,'Estimator'!$B$4,'Climate Data'!$B$7:$B$366,C5755)</x:f>
        <x:v>0.4160919540229885</x:v>
      </x:c>
      <x:c r="I5755" s="382" t="n">
        <x:f>SUMIFS('Climate Data'!$H$7:$H$366,'Climate Data'!$A$7:$A$366,'Estimator'!$B$4,'Climate Data'!$B$7:$B$366,C5755)</x:f>
        <x:v>8.019060773480662</x:v>
      </x:c>
      <x:c r="J5755" s="381" t="n">
        <x:f>SUMIFS('Wind Proxy'!$H$8:$H$19,'Wind Proxy'!$A$8:$A$19,'Estimator'!$B$4,'Wind Proxy'!$B$8:$B$19,C5755)</x:f>
        <x:v>0.22222222222222224</x:v>
      </x:c>
    </x:row>
    <x:row r="5756">
      <x:c r="A5756" s="379" t="n">
        <x:v>51407</x:v>
      </x:c>
      <x:c r="B5756" s="380" t="n">
        <x:v>2040</x:v>
      </x:c>
      <x:c r="C5756" s="380" t="n">
        <x:v>9</x:v>
      </x:c>
      <x:c r="D5756" s="380" t="str">
        <x:v>Sep</x:v>
      </x:c>
      <x:c r="E5756" s="380" t="n">
        <x:v>28</x:v>
      </x:c>
      <x:c r="F5756" s="380" t="n">
        <x:v>5</x:v>
      </x:c>
      <x:c r="G5756" s="380" t="n">
        <x:f>--(F5756&lt;='Estimator'!$B$7)</x:f>
        <x:v>1</x:v>
      </x:c>
      <x:c r="H5756" s="381" t="n">
        <x:f>SUMIFS('Climate Data'!$G$7:$G$366,'Climate Data'!$A$7:$A$366,'Estimator'!$B$4,'Climate Data'!$B$7:$B$366,C5756)</x:f>
        <x:v>0.4160919540229885</x:v>
      </x:c>
      <x:c r="I5756" s="382" t="n">
        <x:f>SUMIFS('Climate Data'!$H$7:$H$366,'Climate Data'!$A$7:$A$366,'Estimator'!$B$4,'Climate Data'!$B$7:$B$366,C5756)</x:f>
        <x:v>8.019060773480662</x:v>
      </x:c>
      <x:c r="J5756" s="381" t="n">
        <x:f>SUMIFS('Wind Proxy'!$H$8:$H$19,'Wind Proxy'!$A$8:$A$19,'Estimator'!$B$4,'Wind Proxy'!$B$8:$B$19,C5756)</x:f>
        <x:v>0.22222222222222224</x:v>
      </x:c>
    </x:row>
    <x:row r="5757">
      <x:c r="A5757" s="379" t="n">
        <x:v>51408</x:v>
      </x:c>
      <x:c r="B5757" s="380" t="n">
        <x:v>2040</x:v>
      </x:c>
      <x:c r="C5757" s="380" t="n">
        <x:v>9</x:v>
      </x:c>
      <x:c r="D5757" s="380" t="str">
        <x:v>Sep</x:v>
      </x:c>
      <x:c r="E5757" s="380" t="n">
        <x:v>29</x:v>
      </x:c>
      <x:c r="F5757" s="380" t="n">
        <x:v>6</x:v>
      </x:c>
      <x:c r="G5757" s="380" t="n">
        <x:f>--(F5757&lt;='Estimator'!$B$7)</x:f>
        <x:v>0</x:v>
      </x:c>
      <x:c r="H5757" s="381" t="n">
        <x:f>SUMIFS('Climate Data'!$G$7:$G$366,'Climate Data'!$A$7:$A$366,'Estimator'!$B$4,'Climate Data'!$B$7:$B$366,C5757)</x:f>
        <x:v>0.4160919540229885</x:v>
      </x:c>
      <x:c r="I5757" s="382" t="n">
        <x:f>SUMIFS('Climate Data'!$H$7:$H$366,'Climate Data'!$A$7:$A$366,'Estimator'!$B$4,'Climate Data'!$B$7:$B$366,C5757)</x:f>
        <x:v>8.019060773480662</x:v>
      </x:c>
      <x:c r="J5757" s="381" t="n">
        <x:f>SUMIFS('Wind Proxy'!$H$8:$H$19,'Wind Proxy'!$A$8:$A$19,'Estimator'!$B$4,'Wind Proxy'!$B$8:$B$19,C5757)</x:f>
        <x:v>0.22222222222222224</x:v>
      </x:c>
    </x:row>
    <x:row r="5758">
      <x:c r="A5758" s="379" t="n">
        <x:v>51409</x:v>
      </x:c>
      <x:c r="B5758" s="380" t="n">
        <x:v>2040</x:v>
      </x:c>
      <x:c r="C5758" s="380" t="n">
        <x:v>9</x:v>
      </x:c>
      <x:c r="D5758" s="380" t="str">
        <x:v>Sep</x:v>
      </x:c>
      <x:c r="E5758" s="380" t="n">
        <x:v>30</x:v>
      </x:c>
      <x:c r="F5758" s="380" t="n">
        <x:v>7</x:v>
      </x:c>
      <x:c r="G5758" s="380" t="n">
        <x:f>--(F5758&lt;='Estimator'!$B$7)</x:f>
        <x:v>0</x:v>
      </x:c>
      <x:c r="H5758" s="381" t="n">
        <x:f>SUMIFS('Climate Data'!$G$7:$G$366,'Climate Data'!$A$7:$A$366,'Estimator'!$B$4,'Climate Data'!$B$7:$B$366,C5758)</x:f>
        <x:v>0.4160919540229885</x:v>
      </x:c>
      <x:c r="I5758" s="382" t="n">
        <x:f>SUMIFS('Climate Data'!$H$7:$H$366,'Climate Data'!$A$7:$A$366,'Estimator'!$B$4,'Climate Data'!$B$7:$B$366,C5758)</x:f>
        <x:v>8.019060773480662</x:v>
      </x:c>
      <x:c r="J5758" s="381" t="n">
        <x:f>SUMIFS('Wind Proxy'!$H$8:$H$19,'Wind Proxy'!$A$8:$A$19,'Estimator'!$B$4,'Wind Proxy'!$B$8:$B$19,C5758)</x:f>
        <x:v>0.22222222222222224</x:v>
      </x:c>
    </x:row>
    <x:row r="5759">
      <x:c r="A5759" s="379" t="n">
        <x:v>51410</x:v>
      </x:c>
      <x:c r="B5759" s="380" t="n">
        <x:v>2040</x:v>
      </x:c>
      <x:c r="C5759" s="380" t="n">
        <x:v>10</x:v>
      </x:c>
      <x:c r="D5759" s="380" t="str">
        <x:v>Oct</x:v>
      </x:c>
      <x:c r="E5759" s="380" t="n">
        <x:v>1</x:v>
      </x:c>
      <x:c r="F5759" s="380" t="n">
        <x:v>1</x:v>
      </x:c>
      <x:c r="G5759" s="380" t="n">
        <x:f>--(F5759&lt;='Estimator'!$B$7)</x:f>
        <x:v>1</x:v>
      </x:c>
      <x:c r="H5759" s="381" t="n">
        <x:f>SUMIFS('Climate Data'!$G$7:$G$366,'Climate Data'!$A$7:$A$366,'Estimator'!$B$4,'Climate Data'!$B$7:$B$366,C5759)</x:f>
        <x:v>0.3721198156682028</x:v>
      </x:c>
      <x:c r="I5759" s="382" t="n">
        <x:f>SUMIFS('Climate Data'!$H$7:$H$366,'Climate Data'!$A$7:$A$366,'Estimator'!$B$4,'Climate Data'!$B$7:$B$366,C5759)</x:f>
        <x:v>7.940557275541795</x:v>
      </x:c>
      <x:c r="J5759" s="381" t="n">
        <x:f>SUMIFS('Wind Proxy'!$H$8:$H$19,'Wind Proxy'!$A$8:$A$19,'Estimator'!$B$4,'Wind Proxy'!$B$8:$B$19,C5759)</x:f>
        <x:v>0.21505376344086022</x:v>
      </x:c>
    </x:row>
    <x:row r="5760">
      <x:c r="A5760" s="379" t="n">
        <x:v>51411</x:v>
      </x:c>
      <x:c r="B5760" s="380" t="n">
        <x:v>2040</x:v>
      </x:c>
      <x:c r="C5760" s="380" t="n">
        <x:v>10</x:v>
      </x:c>
      <x:c r="D5760" s="380" t="str">
        <x:v>Oct</x:v>
      </x:c>
      <x:c r="E5760" s="380" t="n">
        <x:v>2</x:v>
      </x:c>
      <x:c r="F5760" s="380" t="n">
        <x:v>2</x:v>
      </x:c>
      <x:c r="G5760" s="380" t="n">
        <x:f>--(F5760&lt;='Estimator'!$B$7)</x:f>
        <x:v>1</x:v>
      </x:c>
      <x:c r="H5760" s="381" t="n">
        <x:f>SUMIFS('Climate Data'!$G$7:$G$366,'Climate Data'!$A$7:$A$366,'Estimator'!$B$4,'Climate Data'!$B$7:$B$366,C5760)</x:f>
        <x:v>0.3721198156682028</x:v>
      </x:c>
      <x:c r="I5760" s="382" t="n">
        <x:f>SUMIFS('Climate Data'!$H$7:$H$366,'Climate Data'!$A$7:$A$366,'Estimator'!$B$4,'Climate Data'!$B$7:$B$366,C5760)</x:f>
        <x:v>7.940557275541795</x:v>
      </x:c>
      <x:c r="J5760" s="381" t="n">
        <x:f>SUMIFS('Wind Proxy'!$H$8:$H$19,'Wind Proxy'!$A$8:$A$19,'Estimator'!$B$4,'Wind Proxy'!$B$8:$B$19,C5760)</x:f>
        <x:v>0.21505376344086022</x:v>
      </x:c>
    </x:row>
    <x:row r="5761">
      <x:c r="A5761" s="379" t="n">
        <x:v>51412</x:v>
      </x:c>
      <x:c r="B5761" s="380" t="n">
        <x:v>2040</x:v>
      </x:c>
      <x:c r="C5761" s="380" t="n">
        <x:v>10</x:v>
      </x:c>
      <x:c r="D5761" s="380" t="str">
        <x:v>Oct</x:v>
      </x:c>
      <x:c r="E5761" s="380" t="n">
        <x:v>3</x:v>
      </x:c>
      <x:c r="F5761" s="380" t="n">
        <x:v>3</x:v>
      </x:c>
      <x:c r="G5761" s="380" t="n">
        <x:f>--(F5761&lt;='Estimator'!$B$7)</x:f>
        <x:v>1</x:v>
      </x:c>
      <x:c r="H5761" s="381" t="n">
        <x:f>SUMIFS('Climate Data'!$G$7:$G$366,'Climate Data'!$A$7:$A$366,'Estimator'!$B$4,'Climate Data'!$B$7:$B$366,C5761)</x:f>
        <x:v>0.3721198156682028</x:v>
      </x:c>
      <x:c r="I5761" s="382" t="n">
        <x:f>SUMIFS('Climate Data'!$H$7:$H$366,'Climate Data'!$A$7:$A$366,'Estimator'!$B$4,'Climate Data'!$B$7:$B$366,C5761)</x:f>
        <x:v>7.940557275541795</x:v>
      </x:c>
      <x:c r="J5761" s="381" t="n">
        <x:f>SUMIFS('Wind Proxy'!$H$8:$H$19,'Wind Proxy'!$A$8:$A$19,'Estimator'!$B$4,'Wind Proxy'!$B$8:$B$19,C5761)</x:f>
        <x:v>0.21505376344086022</x:v>
      </x:c>
    </x:row>
    <x:row r="5762">
      <x:c r="A5762" s="379" t="n">
        <x:v>51413</x:v>
      </x:c>
      <x:c r="B5762" s="380" t="n">
        <x:v>2040</x:v>
      </x:c>
      <x:c r="C5762" s="380" t="n">
        <x:v>10</x:v>
      </x:c>
      <x:c r="D5762" s="380" t="str">
        <x:v>Oct</x:v>
      </x:c>
      <x:c r="E5762" s="380" t="n">
        <x:v>4</x:v>
      </x:c>
      <x:c r="F5762" s="380" t="n">
        <x:v>4</x:v>
      </x:c>
      <x:c r="G5762" s="380" t="n">
        <x:f>--(F5762&lt;='Estimator'!$B$7)</x:f>
        <x:v>1</x:v>
      </x:c>
      <x:c r="H5762" s="381" t="n">
        <x:f>SUMIFS('Climate Data'!$G$7:$G$366,'Climate Data'!$A$7:$A$366,'Estimator'!$B$4,'Climate Data'!$B$7:$B$366,C5762)</x:f>
        <x:v>0.3721198156682028</x:v>
      </x:c>
      <x:c r="I5762" s="382" t="n">
        <x:f>SUMIFS('Climate Data'!$H$7:$H$366,'Climate Data'!$A$7:$A$366,'Estimator'!$B$4,'Climate Data'!$B$7:$B$366,C5762)</x:f>
        <x:v>7.940557275541795</x:v>
      </x:c>
      <x:c r="J5762" s="381" t="n">
        <x:f>SUMIFS('Wind Proxy'!$H$8:$H$19,'Wind Proxy'!$A$8:$A$19,'Estimator'!$B$4,'Wind Proxy'!$B$8:$B$19,C5762)</x:f>
        <x:v>0.21505376344086022</x:v>
      </x:c>
    </x:row>
    <x:row r="5763">
      <x:c r="A5763" s="379" t="n">
        <x:v>51414</x:v>
      </x:c>
      <x:c r="B5763" s="380" t="n">
        <x:v>2040</x:v>
      </x:c>
      <x:c r="C5763" s="380" t="n">
        <x:v>10</x:v>
      </x:c>
      <x:c r="D5763" s="380" t="str">
        <x:v>Oct</x:v>
      </x:c>
      <x:c r="E5763" s="380" t="n">
        <x:v>5</x:v>
      </x:c>
      <x:c r="F5763" s="380" t="n">
        <x:v>5</x:v>
      </x:c>
      <x:c r="G5763" s="380" t="n">
        <x:f>--(F5763&lt;='Estimator'!$B$7)</x:f>
        <x:v>1</x:v>
      </x:c>
      <x:c r="H5763" s="381" t="n">
        <x:f>SUMIFS('Climate Data'!$G$7:$G$366,'Climate Data'!$A$7:$A$366,'Estimator'!$B$4,'Climate Data'!$B$7:$B$366,C5763)</x:f>
        <x:v>0.3721198156682028</x:v>
      </x:c>
      <x:c r="I5763" s="382" t="n">
        <x:f>SUMIFS('Climate Data'!$H$7:$H$366,'Climate Data'!$A$7:$A$366,'Estimator'!$B$4,'Climate Data'!$B$7:$B$366,C5763)</x:f>
        <x:v>7.940557275541795</x:v>
      </x:c>
      <x:c r="J5763" s="381" t="n">
        <x:f>SUMIFS('Wind Proxy'!$H$8:$H$19,'Wind Proxy'!$A$8:$A$19,'Estimator'!$B$4,'Wind Proxy'!$B$8:$B$19,C5763)</x:f>
        <x:v>0.21505376344086022</x:v>
      </x:c>
    </x:row>
    <x:row r="5764">
      <x:c r="A5764" s="379" t="n">
        <x:v>51415</x:v>
      </x:c>
      <x:c r="B5764" s="380" t="n">
        <x:v>2040</x:v>
      </x:c>
      <x:c r="C5764" s="380" t="n">
        <x:v>10</x:v>
      </x:c>
      <x:c r="D5764" s="380" t="str">
        <x:v>Oct</x:v>
      </x:c>
      <x:c r="E5764" s="380" t="n">
        <x:v>6</x:v>
      </x:c>
      <x:c r="F5764" s="380" t="n">
        <x:v>6</x:v>
      </x:c>
      <x:c r="G5764" s="380" t="n">
        <x:f>--(F5764&lt;='Estimator'!$B$7)</x:f>
        <x:v>0</x:v>
      </x:c>
      <x:c r="H5764" s="381" t="n">
        <x:f>SUMIFS('Climate Data'!$G$7:$G$366,'Climate Data'!$A$7:$A$366,'Estimator'!$B$4,'Climate Data'!$B$7:$B$366,C5764)</x:f>
        <x:v>0.3721198156682028</x:v>
      </x:c>
      <x:c r="I5764" s="382" t="n">
        <x:f>SUMIFS('Climate Data'!$H$7:$H$366,'Climate Data'!$A$7:$A$366,'Estimator'!$B$4,'Climate Data'!$B$7:$B$366,C5764)</x:f>
        <x:v>7.940557275541795</x:v>
      </x:c>
      <x:c r="J5764" s="381" t="n">
        <x:f>SUMIFS('Wind Proxy'!$H$8:$H$19,'Wind Proxy'!$A$8:$A$19,'Estimator'!$B$4,'Wind Proxy'!$B$8:$B$19,C5764)</x:f>
        <x:v>0.21505376344086022</x:v>
      </x:c>
    </x:row>
    <x:row r="5765">
      <x:c r="A5765" s="379" t="n">
        <x:v>51416</x:v>
      </x:c>
      <x:c r="B5765" s="380" t="n">
        <x:v>2040</x:v>
      </x:c>
      <x:c r="C5765" s="380" t="n">
        <x:v>10</x:v>
      </x:c>
      <x:c r="D5765" s="380" t="str">
        <x:v>Oct</x:v>
      </x:c>
      <x:c r="E5765" s="380" t="n">
        <x:v>7</x:v>
      </x:c>
      <x:c r="F5765" s="380" t="n">
        <x:v>7</x:v>
      </x:c>
      <x:c r="G5765" s="380" t="n">
        <x:f>--(F5765&lt;='Estimator'!$B$7)</x:f>
        <x:v>0</x:v>
      </x:c>
      <x:c r="H5765" s="381" t="n">
        <x:f>SUMIFS('Climate Data'!$G$7:$G$366,'Climate Data'!$A$7:$A$366,'Estimator'!$B$4,'Climate Data'!$B$7:$B$366,C5765)</x:f>
        <x:v>0.3721198156682028</x:v>
      </x:c>
      <x:c r="I5765" s="382" t="n">
        <x:f>SUMIFS('Climate Data'!$H$7:$H$366,'Climate Data'!$A$7:$A$366,'Estimator'!$B$4,'Climate Data'!$B$7:$B$366,C5765)</x:f>
        <x:v>7.940557275541795</x:v>
      </x:c>
      <x:c r="J5765" s="381" t="n">
        <x:f>SUMIFS('Wind Proxy'!$H$8:$H$19,'Wind Proxy'!$A$8:$A$19,'Estimator'!$B$4,'Wind Proxy'!$B$8:$B$19,C5765)</x:f>
        <x:v>0.21505376344086022</x:v>
      </x:c>
    </x:row>
    <x:row r="5766">
      <x:c r="A5766" s="379" t="n">
        <x:v>51417</x:v>
      </x:c>
      <x:c r="B5766" s="380" t="n">
        <x:v>2040</x:v>
      </x:c>
      <x:c r="C5766" s="380" t="n">
        <x:v>10</x:v>
      </x:c>
      <x:c r="D5766" s="380" t="str">
        <x:v>Oct</x:v>
      </x:c>
      <x:c r="E5766" s="380" t="n">
        <x:v>8</x:v>
      </x:c>
      <x:c r="F5766" s="380" t="n">
        <x:v>1</x:v>
      </x:c>
      <x:c r="G5766" s="380" t="n">
        <x:f>--(F5766&lt;='Estimator'!$B$7)</x:f>
        <x:v>1</x:v>
      </x:c>
      <x:c r="H5766" s="381" t="n">
        <x:f>SUMIFS('Climate Data'!$G$7:$G$366,'Climate Data'!$A$7:$A$366,'Estimator'!$B$4,'Climate Data'!$B$7:$B$366,C5766)</x:f>
        <x:v>0.3721198156682028</x:v>
      </x:c>
      <x:c r="I5766" s="382" t="n">
        <x:f>SUMIFS('Climate Data'!$H$7:$H$366,'Climate Data'!$A$7:$A$366,'Estimator'!$B$4,'Climate Data'!$B$7:$B$366,C5766)</x:f>
        <x:v>7.940557275541795</x:v>
      </x:c>
      <x:c r="J5766" s="381" t="n">
        <x:f>SUMIFS('Wind Proxy'!$H$8:$H$19,'Wind Proxy'!$A$8:$A$19,'Estimator'!$B$4,'Wind Proxy'!$B$8:$B$19,C5766)</x:f>
        <x:v>0.21505376344086022</x:v>
      </x:c>
    </x:row>
    <x:row r="5767">
      <x:c r="A5767" s="379" t="n">
        <x:v>51418</x:v>
      </x:c>
      <x:c r="B5767" s="380" t="n">
        <x:v>2040</x:v>
      </x:c>
      <x:c r="C5767" s="380" t="n">
        <x:v>10</x:v>
      </x:c>
      <x:c r="D5767" s="380" t="str">
        <x:v>Oct</x:v>
      </x:c>
      <x:c r="E5767" s="380" t="n">
        <x:v>9</x:v>
      </x:c>
      <x:c r="F5767" s="380" t="n">
        <x:v>2</x:v>
      </x:c>
      <x:c r="G5767" s="380" t="n">
        <x:f>--(F5767&lt;='Estimator'!$B$7)</x:f>
        <x:v>1</x:v>
      </x:c>
      <x:c r="H5767" s="381" t="n">
        <x:f>SUMIFS('Climate Data'!$G$7:$G$366,'Climate Data'!$A$7:$A$366,'Estimator'!$B$4,'Climate Data'!$B$7:$B$366,C5767)</x:f>
        <x:v>0.3721198156682028</x:v>
      </x:c>
      <x:c r="I5767" s="382" t="n">
        <x:f>SUMIFS('Climate Data'!$H$7:$H$366,'Climate Data'!$A$7:$A$366,'Estimator'!$B$4,'Climate Data'!$B$7:$B$366,C5767)</x:f>
        <x:v>7.940557275541795</x:v>
      </x:c>
      <x:c r="J5767" s="381" t="n">
        <x:f>SUMIFS('Wind Proxy'!$H$8:$H$19,'Wind Proxy'!$A$8:$A$19,'Estimator'!$B$4,'Wind Proxy'!$B$8:$B$19,C5767)</x:f>
        <x:v>0.21505376344086022</x:v>
      </x:c>
    </x:row>
    <x:row r="5768">
      <x:c r="A5768" s="379" t="n">
        <x:v>51419</x:v>
      </x:c>
      <x:c r="B5768" s="380" t="n">
        <x:v>2040</x:v>
      </x:c>
      <x:c r="C5768" s="380" t="n">
        <x:v>10</x:v>
      </x:c>
      <x:c r="D5768" s="380" t="str">
        <x:v>Oct</x:v>
      </x:c>
      <x:c r="E5768" s="380" t="n">
        <x:v>10</x:v>
      </x:c>
      <x:c r="F5768" s="380" t="n">
        <x:v>3</x:v>
      </x:c>
      <x:c r="G5768" s="380" t="n">
        <x:f>--(F5768&lt;='Estimator'!$B$7)</x:f>
        <x:v>1</x:v>
      </x:c>
      <x:c r="H5768" s="381" t="n">
        <x:f>SUMIFS('Climate Data'!$G$7:$G$366,'Climate Data'!$A$7:$A$366,'Estimator'!$B$4,'Climate Data'!$B$7:$B$366,C5768)</x:f>
        <x:v>0.3721198156682028</x:v>
      </x:c>
      <x:c r="I5768" s="382" t="n">
        <x:f>SUMIFS('Climate Data'!$H$7:$H$366,'Climate Data'!$A$7:$A$366,'Estimator'!$B$4,'Climate Data'!$B$7:$B$366,C5768)</x:f>
        <x:v>7.940557275541795</x:v>
      </x:c>
      <x:c r="J5768" s="381" t="n">
        <x:f>SUMIFS('Wind Proxy'!$H$8:$H$19,'Wind Proxy'!$A$8:$A$19,'Estimator'!$B$4,'Wind Proxy'!$B$8:$B$19,C5768)</x:f>
        <x:v>0.21505376344086022</x:v>
      </x:c>
    </x:row>
    <x:row r="5769">
      <x:c r="A5769" s="379" t="n">
        <x:v>51420</x:v>
      </x:c>
      <x:c r="B5769" s="380" t="n">
        <x:v>2040</x:v>
      </x:c>
      <x:c r="C5769" s="380" t="n">
        <x:v>10</x:v>
      </x:c>
      <x:c r="D5769" s="380" t="str">
        <x:v>Oct</x:v>
      </x:c>
      <x:c r="E5769" s="380" t="n">
        <x:v>11</x:v>
      </x:c>
      <x:c r="F5769" s="380" t="n">
        <x:v>4</x:v>
      </x:c>
      <x:c r="G5769" s="380" t="n">
        <x:f>--(F5769&lt;='Estimator'!$B$7)</x:f>
        <x:v>1</x:v>
      </x:c>
      <x:c r="H5769" s="381" t="n">
        <x:f>SUMIFS('Climate Data'!$G$7:$G$366,'Climate Data'!$A$7:$A$366,'Estimator'!$B$4,'Climate Data'!$B$7:$B$366,C5769)</x:f>
        <x:v>0.3721198156682028</x:v>
      </x:c>
      <x:c r="I5769" s="382" t="n">
        <x:f>SUMIFS('Climate Data'!$H$7:$H$366,'Climate Data'!$A$7:$A$366,'Estimator'!$B$4,'Climate Data'!$B$7:$B$366,C5769)</x:f>
        <x:v>7.940557275541795</x:v>
      </x:c>
      <x:c r="J5769" s="381" t="n">
        <x:f>SUMIFS('Wind Proxy'!$H$8:$H$19,'Wind Proxy'!$A$8:$A$19,'Estimator'!$B$4,'Wind Proxy'!$B$8:$B$19,C5769)</x:f>
        <x:v>0.21505376344086022</x:v>
      </x:c>
    </x:row>
    <x:row r="5770">
      <x:c r="A5770" s="379" t="n">
        <x:v>51421</x:v>
      </x:c>
      <x:c r="B5770" s="380" t="n">
        <x:v>2040</x:v>
      </x:c>
      <x:c r="C5770" s="380" t="n">
        <x:v>10</x:v>
      </x:c>
      <x:c r="D5770" s="380" t="str">
        <x:v>Oct</x:v>
      </x:c>
      <x:c r="E5770" s="380" t="n">
        <x:v>12</x:v>
      </x:c>
      <x:c r="F5770" s="380" t="n">
        <x:v>5</x:v>
      </x:c>
      <x:c r="G5770" s="380" t="n">
        <x:f>--(F5770&lt;='Estimator'!$B$7)</x:f>
        <x:v>1</x:v>
      </x:c>
      <x:c r="H5770" s="381" t="n">
        <x:f>SUMIFS('Climate Data'!$G$7:$G$366,'Climate Data'!$A$7:$A$366,'Estimator'!$B$4,'Climate Data'!$B$7:$B$366,C5770)</x:f>
        <x:v>0.3721198156682028</x:v>
      </x:c>
      <x:c r="I5770" s="382" t="n">
        <x:f>SUMIFS('Climate Data'!$H$7:$H$366,'Climate Data'!$A$7:$A$366,'Estimator'!$B$4,'Climate Data'!$B$7:$B$366,C5770)</x:f>
        <x:v>7.940557275541795</x:v>
      </x:c>
      <x:c r="J5770" s="381" t="n">
        <x:f>SUMIFS('Wind Proxy'!$H$8:$H$19,'Wind Proxy'!$A$8:$A$19,'Estimator'!$B$4,'Wind Proxy'!$B$8:$B$19,C5770)</x:f>
        <x:v>0.21505376344086022</x:v>
      </x:c>
    </x:row>
    <x:row r="5771">
      <x:c r="A5771" s="379" t="n">
        <x:v>51422</x:v>
      </x:c>
      <x:c r="B5771" s="380" t="n">
        <x:v>2040</x:v>
      </x:c>
      <x:c r="C5771" s="380" t="n">
        <x:v>10</x:v>
      </x:c>
      <x:c r="D5771" s="380" t="str">
        <x:v>Oct</x:v>
      </x:c>
      <x:c r="E5771" s="380" t="n">
        <x:v>13</x:v>
      </x:c>
      <x:c r="F5771" s="380" t="n">
        <x:v>6</x:v>
      </x:c>
      <x:c r="G5771" s="380" t="n">
        <x:f>--(F5771&lt;='Estimator'!$B$7)</x:f>
        <x:v>0</x:v>
      </x:c>
      <x:c r="H5771" s="381" t="n">
        <x:f>SUMIFS('Climate Data'!$G$7:$G$366,'Climate Data'!$A$7:$A$366,'Estimator'!$B$4,'Climate Data'!$B$7:$B$366,C5771)</x:f>
        <x:v>0.3721198156682028</x:v>
      </x:c>
      <x:c r="I5771" s="382" t="n">
        <x:f>SUMIFS('Climate Data'!$H$7:$H$366,'Climate Data'!$A$7:$A$366,'Estimator'!$B$4,'Climate Data'!$B$7:$B$366,C5771)</x:f>
        <x:v>7.940557275541795</x:v>
      </x:c>
      <x:c r="J5771" s="381" t="n">
        <x:f>SUMIFS('Wind Proxy'!$H$8:$H$19,'Wind Proxy'!$A$8:$A$19,'Estimator'!$B$4,'Wind Proxy'!$B$8:$B$19,C5771)</x:f>
        <x:v>0.21505376344086022</x:v>
      </x:c>
    </x:row>
    <x:row r="5772">
      <x:c r="A5772" s="379" t="n">
        <x:v>51423</x:v>
      </x:c>
      <x:c r="B5772" s="380" t="n">
        <x:v>2040</x:v>
      </x:c>
      <x:c r="C5772" s="380" t="n">
        <x:v>10</x:v>
      </x:c>
      <x:c r="D5772" s="380" t="str">
        <x:v>Oct</x:v>
      </x:c>
      <x:c r="E5772" s="380" t="n">
        <x:v>14</x:v>
      </x:c>
      <x:c r="F5772" s="380" t="n">
        <x:v>7</x:v>
      </x:c>
      <x:c r="G5772" s="380" t="n">
        <x:f>--(F5772&lt;='Estimator'!$B$7)</x:f>
        <x:v>0</x:v>
      </x:c>
      <x:c r="H5772" s="381" t="n">
        <x:f>SUMIFS('Climate Data'!$G$7:$G$366,'Climate Data'!$A$7:$A$366,'Estimator'!$B$4,'Climate Data'!$B$7:$B$366,C5772)</x:f>
        <x:v>0.3721198156682028</x:v>
      </x:c>
      <x:c r="I5772" s="382" t="n">
        <x:f>SUMIFS('Climate Data'!$H$7:$H$366,'Climate Data'!$A$7:$A$366,'Estimator'!$B$4,'Climate Data'!$B$7:$B$366,C5772)</x:f>
        <x:v>7.940557275541795</x:v>
      </x:c>
      <x:c r="J5772" s="381" t="n">
        <x:f>SUMIFS('Wind Proxy'!$H$8:$H$19,'Wind Proxy'!$A$8:$A$19,'Estimator'!$B$4,'Wind Proxy'!$B$8:$B$19,C5772)</x:f>
        <x:v>0.21505376344086022</x:v>
      </x:c>
    </x:row>
    <x:row r="5773">
      <x:c r="A5773" s="379" t="n">
        <x:v>51424</x:v>
      </x:c>
      <x:c r="B5773" s="380" t="n">
        <x:v>2040</x:v>
      </x:c>
      <x:c r="C5773" s="380" t="n">
        <x:v>10</x:v>
      </x:c>
      <x:c r="D5773" s="380" t="str">
        <x:v>Oct</x:v>
      </x:c>
      <x:c r="E5773" s="380" t="n">
        <x:v>15</x:v>
      </x:c>
      <x:c r="F5773" s="380" t="n">
        <x:v>1</x:v>
      </x:c>
      <x:c r="G5773" s="380" t="n">
        <x:f>--(F5773&lt;='Estimator'!$B$7)</x:f>
        <x:v>1</x:v>
      </x:c>
      <x:c r="H5773" s="381" t="n">
        <x:f>SUMIFS('Climate Data'!$G$7:$G$366,'Climate Data'!$A$7:$A$366,'Estimator'!$B$4,'Climate Data'!$B$7:$B$366,C5773)</x:f>
        <x:v>0.3721198156682028</x:v>
      </x:c>
      <x:c r="I5773" s="382" t="n">
        <x:f>SUMIFS('Climate Data'!$H$7:$H$366,'Climate Data'!$A$7:$A$366,'Estimator'!$B$4,'Climate Data'!$B$7:$B$366,C5773)</x:f>
        <x:v>7.940557275541795</x:v>
      </x:c>
      <x:c r="J5773" s="381" t="n">
        <x:f>SUMIFS('Wind Proxy'!$H$8:$H$19,'Wind Proxy'!$A$8:$A$19,'Estimator'!$B$4,'Wind Proxy'!$B$8:$B$19,C5773)</x:f>
        <x:v>0.21505376344086022</x:v>
      </x:c>
    </x:row>
    <x:row r="5774">
      <x:c r="A5774" s="379" t="n">
        <x:v>51425</x:v>
      </x:c>
      <x:c r="B5774" s="380" t="n">
        <x:v>2040</x:v>
      </x:c>
      <x:c r="C5774" s="380" t="n">
        <x:v>10</x:v>
      </x:c>
      <x:c r="D5774" s="380" t="str">
        <x:v>Oct</x:v>
      </x:c>
      <x:c r="E5774" s="380" t="n">
        <x:v>16</x:v>
      </x:c>
      <x:c r="F5774" s="380" t="n">
        <x:v>2</x:v>
      </x:c>
      <x:c r="G5774" s="380" t="n">
        <x:f>--(F5774&lt;='Estimator'!$B$7)</x:f>
        <x:v>1</x:v>
      </x:c>
      <x:c r="H5774" s="381" t="n">
        <x:f>SUMIFS('Climate Data'!$G$7:$G$366,'Climate Data'!$A$7:$A$366,'Estimator'!$B$4,'Climate Data'!$B$7:$B$366,C5774)</x:f>
        <x:v>0.3721198156682028</x:v>
      </x:c>
      <x:c r="I5774" s="382" t="n">
        <x:f>SUMIFS('Climate Data'!$H$7:$H$366,'Climate Data'!$A$7:$A$366,'Estimator'!$B$4,'Climate Data'!$B$7:$B$366,C5774)</x:f>
        <x:v>7.940557275541795</x:v>
      </x:c>
      <x:c r="J5774" s="381" t="n">
        <x:f>SUMIFS('Wind Proxy'!$H$8:$H$19,'Wind Proxy'!$A$8:$A$19,'Estimator'!$B$4,'Wind Proxy'!$B$8:$B$19,C5774)</x:f>
        <x:v>0.21505376344086022</x:v>
      </x:c>
    </x:row>
    <x:row r="5775">
      <x:c r="A5775" s="379" t="n">
        <x:v>51426</x:v>
      </x:c>
      <x:c r="B5775" s="380" t="n">
        <x:v>2040</x:v>
      </x:c>
      <x:c r="C5775" s="380" t="n">
        <x:v>10</x:v>
      </x:c>
      <x:c r="D5775" s="380" t="str">
        <x:v>Oct</x:v>
      </x:c>
      <x:c r="E5775" s="380" t="n">
        <x:v>17</x:v>
      </x:c>
      <x:c r="F5775" s="380" t="n">
        <x:v>3</x:v>
      </x:c>
      <x:c r="G5775" s="380" t="n">
        <x:f>--(F5775&lt;='Estimator'!$B$7)</x:f>
        <x:v>1</x:v>
      </x:c>
      <x:c r="H5775" s="381" t="n">
        <x:f>SUMIFS('Climate Data'!$G$7:$G$366,'Climate Data'!$A$7:$A$366,'Estimator'!$B$4,'Climate Data'!$B$7:$B$366,C5775)</x:f>
        <x:v>0.3721198156682028</x:v>
      </x:c>
      <x:c r="I5775" s="382" t="n">
        <x:f>SUMIFS('Climate Data'!$H$7:$H$366,'Climate Data'!$A$7:$A$366,'Estimator'!$B$4,'Climate Data'!$B$7:$B$366,C5775)</x:f>
        <x:v>7.940557275541795</x:v>
      </x:c>
      <x:c r="J5775" s="381" t="n">
        <x:f>SUMIFS('Wind Proxy'!$H$8:$H$19,'Wind Proxy'!$A$8:$A$19,'Estimator'!$B$4,'Wind Proxy'!$B$8:$B$19,C5775)</x:f>
        <x:v>0.21505376344086022</x:v>
      </x:c>
    </x:row>
    <x:row r="5776">
      <x:c r="A5776" s="379" t="n">
        <x:v>51427</x:v>
      </x:c>
      <x:c r="B5776" s="380" t="n">
        <x:v>2040</x:v>
      </x:c>
      <x:c r="C5776" s="380" t="n">
        <x:v>10</x:v>
      </x:c>
      <x:c r="D5776" s="380" t="str">
        <x:v>Oct</x:v>
      </x:c>
      <x:c r="E5776" s="380" t="n">
        <x:v>18</x:v>
      </x:c>
      <x:c r="F5776" s="380" t="n">
        <x:v>4</x:v>
      </x:c>
      <x:c r="G5776" s="380" t="n">
        <x:f>--(F5776&lt;='Estimator'!$B$7)</x:f>
        <x:v>1</x:v>
      </x:c>
      <x:c r="H5776" s="381" t="n">
        <x:f>SUMIFS('Climate Data'!$G$7:$G$366,'Climate Data'!$A$7:$A$366,'Estimator'!$B$4,'Climate Data'!$B$7:$B$366,C5776)</x:f>
        <x:v>0.3721198156682028</x:v>
      </x:c>
      <x:c r="I5776" s="382" t="n">
        <x:f>SUMIFS('Climate Data'!$H$7:$H$366,'Climate Data'!$A$7:$A$366,'Estimator'!$B$4,'Climate Data'!$B$7:$B$366,C5776)</x:f>
        <x:v>7.940557275541795</x:v>
      </x:c>
      <x:c r="J5776" s="381" t="n">
        <x:f>SUMIFS('Wind Proxy'!$H$8:$H$19,'Wind Proxy'!$A$8:$A$19,'Estimator'!$B$4,'Wind Proxy'!$B$8:$B$19,C5776)</x:f>
        <x:v>0.21505376344086022</x:v>
      </x:c>
    </x:row>
    <x:row r="5777">
      <x:c r="A5777" s="379" t="n">
        <x:v>51428</x:v>
      </x:c>
      <x:c r="B5777" s="380" t="n">
        <x:v>2040</x:v>
      </x:c>
      <x:c r="C5777" s="380" t="n">
        <x:v>10</x:v>
      </x:c>
      <x:c r="D5777" s="380" t="str">
        <x:v>Oct</x:v>
      </x:c>
      <x:c r="E5777" s="380" t="n">
        <x:v>19</x:v>
      </x:c>
      <x:c r="F5777" s="380" t="n">
        <x:v>5</x:v>
      </x:c>
      <x:c r="G5777" s="380" t="n">
        <x:f>--(F5777&lt;='Estimator'!$B$7)</x:f>
        <x:v>1</x:v>
      </x:c>
      <x:c r="H5777" s="381" t="n">
        <x:f>SUMIFS('Climate Data'!$G$7:$G$366,'Climate Data'!$A$7:$A$366,'Estimator'!$B$4,'Climate Data'!$B$7:$B$366,C5777)</x:f>
        <x:v>0.3721198156682028</x:v>
      </x:c>
      <x:c r="I5777" s="382" t="n">
        <x:f>SUMIFS('Climate Data'!$H$7:$H$366,'Climate Data'!$A$7:$A$366,'Estimator'!$B$4,'Climate Data'!$B$7:$B$366,C5777)</x:f>
        <x:v>7.940557275541795</x:v>
      </x:c>
      <x:c r="J5777" s="381" t="n">
        <x:f>SUMIFS('Wind Proxy'!$H$8:$H$19,'Wind Proxy'!$A$8:$A$19,'Estimator'!$B$4,'Wind Proxy'!$B$8:$B$19,C5777)</x:f>
        <x:v>0.21505376344086022</x:v>
      </x:c>
    </x:row>
    <x:row r="5778">
      <x:c r="A5778" s="379" t="n">
        <x:v>51429</x:v>
      </x:c>
      <x:c r="B5778" s="380" t="n">
        <x:v>2040</x:v>
      </x:c>
      <x:c r="C5778" s="380" t="n">
        <x:v>10</x:v>
      </x:c>
      <x:c r="D5778" s="380" t="str">
        <x:v>Oct</x:v>
      </x:c>
      <x:c r="E5778" s="380" t="n">
        <x:v>20</x:v>
      </x:c>
      <x:c r="F5778" s="380" t="n">
        <x:v>6</x:v>
      </x:c>
      <x:c r="G5778" s="380" t="n">
        <x:f>--(F5778&lt;='Estimator'!$B$7)</x:f>
        <x:v>0</x:v>
      </x:c>
      <x:c r="H5778" s="381" t="n">
        <x:f>SUMIFS('Climate Data'!$G$7:$G$366,'Climate Data'!$A$7:$A$366,'Estimator'!$B$4,'Climate Data'!$B$7:$B$366,C5778)</x:f>
        <x:v>0.3721198156682028</x:v>
      </x:c>
      <x:c r="I5778" s="382" t="n">
        <x:f>SUMIFS('Climate Data'!$H$7:$H$366,'Climate Data'!$A$7:$A$366,'Estimator'!$B$4,'Climate Data'!$B$7:$B$366,C5778)</x:f>
        <x:v>7.940557275541795</x:v>
      </x:c>
      <x:c r="J5778" s="381" t="n">
        <x:f>SUMIFS('Wind Proxy'!$H$8:$H$19,'Wind Proxy'!$A$8:$A$19,'Estimator'!$B$4,'Wind Proxy'!$B$8:$B$19,C5778)</x:f>
        <x:v>0.21505376344086022</x:v>
      </x:c>
    </x:row>
    <x:row r="5779">
      <x:c r="A5779" s="379" t="n">
        <x:v>51430</x:v>
      </x:c>
      <x:c r="B5779" s="380" t="n">
        <x:v>2040</x:v>
      </x:c>
      <x:c r="C5779" s="380" t="n">
        <x:v>10</x:v>
      </x:c>
      <x:c r="D5779" s="380" t="str">
        <x:v>Oct</x:v>
      </x:c>
      <x:c r="E5779" s="380" t="n">
        <x:v>21</x:v>
      </x:c>
      <x:c r="F5779" s="380" t="n">
        <x:v>7</x:v>
      </x:c>
      <x:c r="G5779" s="380" t="n">
        <x:f>--(F5779&lt;='Estimator'!$B$7)</x:f>
        <x:v>0</x:v>
      </x:c>
      <x:c r="H5779" s="381" t="n">
        <x:f>SUMIFS('Climate Data'!$G$7:$G$366,'Climate Data'!$A$7:$A$366,'Estimator'!$B$4,'Climate Data'!$B$7:$B$366,C5779)</x:f>
        <x:v>0.3721198156682028</x:v>
      </x:c>
      <x:c r="I5779" s="382" t="n">
        <x:f>SUMIFS('Climate Data'!$H$7:$H$366,'Climate Data'!$A$7:$A$366,'Estimator'!$B$4,'Climate Data'!$B$7:$B$366,C5779)</x:f>
        <x:v>7.940557275541795</x:v>
      </x:c>
      <x:c r="J5779" s="381" t="n">
        <x:f>SUMIFS('Wind Proxy'!$H$8:$H$19,'Wind Proxy'!$A$8:$A$19,'Estimator'!$B$4,'Wind Proxy'!$B$8:$B$19,C5779)</x:f>
        <x:v>0.21505376344086022</x:v>
      </x:c>
    </x:row>
    <x:row r="5780">
      <x:c r="A5780" s="379" t="n">
        <x:v>51431</x:v>
      </x:c>
      <x:c r="B5780" s="380" t="n">
        <x:v>2040</x:v>
      </x:c>
      <x:c r="C5780" s="380" t="n">
        <x:v>10</x:v>
      </x:c>
      <x:c r="D5780" s="380" t="str">
        <x:v>Oct</x:v>
      </x:c>
      <x:c r="E5780" s="380" t="n">
        <x:v>22</x:v>
      </x:c>
      <x:c r="F5780" s="380" t="n">
        <x:v>1</x:v>
      </x:c>
      <x:c r="G5780" s="380" t="n">
        <x:f>--(F5780&lt;='Estimator'!$B$7)</x:f>
        <x:v>1</x:v>
      </x:c>
      <x:c r="H5780" s="381" t="n">
        <x:f>SUMIFS('Climate Data'!$G$7:$G$366,'Climate Data'!$A$7:$A$366,'Estimator'!$B$4,'Climate Data'!$B$7:$B$366,C5780)</x:f>
        <x:v>0.3721198156682028</x:v>
      </x:c>
      <x:c r="I5780" s="382" t="n">
        <x:f>SUMIFS('Climate Data'!$H$7:$H$366,'Climate Data'!$A$7:$A$366,'Estimator'!$B$4,'Climate Data'!$B$7:$B$366,C5780)</x:f>
        <x:v>7.940557275541795</x:v>
      </x:c>
      <x:c r="J5780" s="381" t="n">
        <x:f>SUMIFS('Wind Proxy'!$H$8:$H$19,'Wind Proxy'!$A$8:$A$19,'Estimator'!$B$4,'Wind Proxy'!$B$8:$B$19,C5780)</x:f>
        <x:v>0.21505376344086022</x:v>
      </x:c>
    </x:row>
    <x:row r="5781">
      <x:c r="A5781" s="379" t="n">
        <x:v>51432</x:v>
      </x:c>
      <x:c r="B5781" s="380" t="n">
        <x:v>2040</x:v>
      </x:c>
      <x:c r="C5781" s="380" t="n">
        <x:v>10</x:v>
      </x:c>
      <x:c r="D5781" s="380" t="str">
        <x:v>Oct</x:v>
      </x:c>
      <x:c r="E5781" s="380" t="n">
        <x:v>23</x:v>
      </x:c>
      <x:c r="F5781" s="380" t="n">
        <x:v>2</x:v>
      </x:c>
      <x:c r="G5781" s="380" t="n">
        <x:f>--(F5781&lt;='Estimator'!$B$7)</x:f>
        <x:v>1</x:v>
      </x:c>
      <x:c r="H5781" s="381" t="n">
        <x:f>SUMIFS('Climate Data'!$G$7:$G$366,'Climate Data'!$A$7:$A$366,'Estimator'!$B$4,'Climate Data'!$B$7:$B$366,C5781)</x:f>
        <x:v>0.3721198156682028</x:v>
      </x:c>
      <x:c r="I5781" s="382" t="n">
        <x:f>SUMIFS('Climate Data'!$H$7:$H$366,'Climate Data'!$A$7:$A$366,'Estimator'!$B$4,'Climate Data'!$B$7:$B$366,C5781)</x:f>
        <x:v>7.940557275541795</x:v>
      </x:c>
      <x:c r="J5781" s="381" t="n">
        <x:f>SUMIFS('Wind Proxy'!$H$8:$H$19,'Wind Proxy'!$A$8:$A$19,'Estimator'!$B$4,'Wind Proxy'!$B$8:$B$19,C5781)</x:f>
        <x:v>0.21505376344086022</x:v>
      </x:c>
    </x:row>
    <x:row r="5782">
      <x:c r="A5782" s="379" t="n">
        <x:v>51433</x:v>
      </x:c>
      <x:c r="B5782" s="380" t="n">
        <x:v>2040</x:v>
      </x:c>
      <x:c r="C5782" s="380" t="n">
        <x:v>10</x:v>
      </x:c>
      <x:c r="D5782" s="380" t="str">
        <x:v>Oct</x:v>
      </x:c>
      <x:c r="E5782" s="380" t="n">
        <x:v>24</x:v>
      </x:c>
      <x:c r="F5782" s="380" t="n">
        <x:v>3</x:v>
      </x:c>
      <x:c r="G5782" s="380" t="n">
        <x:f>--(F5782&lt;='Estimator'!$B$7)</x:f>
        <x:v>1</x:v>
      </x:c>
      <x:c r="H5782" s="381" t="n">
        <x:f>SUMIFS('Climate Data'!$G$7:$G$366,'Climate Data'!$A$7:$A$366,'Estimator'!$B$4,'Climate Data'!$B$7:$B$366,C5782)</x:f>
        <x:v>0.3721198156682028</x:v>
      </x:c>
      <x:c r="I5782" s="382" t="n">
        <x:f>SUMIFS('Climate Data'!$H$7:$H$366,'Climate Data'!$A$7:$A$366,'Estimator'!$B$4,'Climate Data'!$B$7:$B$366,C5782)</x:f>
        <x:v>7.940557275541795</x:v>
      </x:c>
      <x:c r="J5782" s="381" t="n">
        <x:f>SUMIFS('Wind Proxy'!$H$8:$H$19,'Wind Proxy'!$A$8:$A$19,'Estimator'!$B$4,'Wind Proxy'!$B$8:$B$19,C5782)</x:f>
        <x:v>0.21505376344086022</x:v>
      </x:c>
    </x:row>
    <x:row r="5783">
      <x:c r="A5783" s="379" t="n">
        <x:v>51434</x:v>
      </x:c>
      <x:c r="B5783" s="380" t="n">
        <x:v>2040</x:v>
      </x:c>
      <x:c r="C5783" s="380" t="n">
        <x:v>10</x:v>
      </x:c>
      <x:c r="D5783" s="380" t="str">
        <x:v>Oct</x:v>
      </x:c>
      <x:c r="E5783" s="380" t="n">
        <x:v>25</x:v>
      </x:c>
      <x:c r="F5783" s="380" t="n">
        <x:v>4</x:v>
      </x:c>
      <x:c r="G5783" s="380" t="n">
        <x:f>--(F5783&lt;='Estimator'!$B$7)</x:f>
        <x:v>1</x:v>
      </x:c>
      <x:c r="H5783" s="381" t="n">
        <x:f>SUMIFS('Climate Data'!$G$7:$G$366,'Climate Data'!$A$7:$A$366,'Estimator'!$B$4,'Climate Data'!$B$7:$B$366,C5783)</x:f>
        <x:v>0.3721198156682028</x:v>
      </x:c>
      <x:c r="I5783" s="382" t="n">
        <x:f>SUMIFS('Climate Data'!$H$7:$H$366,'Climate Data'!$A$7:$A$366,'Estimator'!$B$4,'Climate Data'!$B$7:$B$366,C5783)</x:f>
        <x:v>7.940557275541795</x:v>
      </x:c>
      <x:c r="J5783" s="381" t="n">
        <x:f>SUMIFS('Wind Proxy'!$H$8:$H$19,'Wind Proxy'!$A$8:$A$19,'Estimator'!$B$4,'Wind Proxy'!$B$8:$B$19,C5783)</x:f>
        <x:v>0.21505376344086022</x:v>
      </x:c>
    </x:row>
    <x:row r="5784">
      <x:c r="A5784" s="379" t="n">
        <x:v>51435</x:v>
      </x:c>
      <x:c r="B5784" s="380" t="n">
        <x:v>2040</x:v>
      </x:c>
      <x:c r="C5784" s="380" t="n">
        <x:v>10</x:v>
      </x:c>
      <x:c r="D5784" s="380" t="str">
        <x:v>Oct</x:v>
      </x:c>
      <x:c r="E5784" s="380" t="n">
        <x:v>26</x:v>
      </x:c>
      <x:c r="F5784" s="380" t="n">
        <x:v>5</x:v>
      </x:c>
      <x:c r="G5784" s="380" t="n">
        <x:f>--(F5784&lt;='Estimator'!$B$7)</x:f>
        <x:v>1</x:v>
      </x:c>
      <x:c r="H5784" s="381" t="n">
        <x:f>SUMIFS('Climate Data'!$G$7:$G$366,'Climate Data'!$A$7:$A$366,'Estimator'!$B$4,'Climate Data'!$B$7:$B$366,C5784)</x:f>
        <x:v>0.3721198156682028</x:v>
      </x:c>
      <x:c r="I5784" s="382" t="n">
        <x:f>SUMIFS('Climate Data'!$H$7:$H$366,'Climate Data'!$A$7:$A$366,'Estimator'!$B$4,'Climate Data'!$B$7:$B$366,C5784)</x:f>
        <x:v>7.940557275541795</x:v>
      </x:c>
      <x:c r="J5784" s="381" t="n">
        <x:f>SUMIFS('Wind Proxy'!$H$8:$H$19,'Wind Proxy'!$A$8:$A$19,'Estimator'!$B$4,'Wind Proxy'!$B$8:$B$19,C5784)</x:f>
        <x:v>0.21505376344086022</x:v>
      </x:c>
    </x:row>
    <x:row r="5785">
      <x:c r="A5785" s="379" t="n">
        <x:v>51436</x:v>
      </x:c>
      <x:c r="B5785" s="380" t="n">
        <x:v>2040</x:v>
      </x:c>
      <x:c r="C5785" s="380" t="n">
        <x:v>10</x:v>
      </x:c>
      <x:c r="D5785" s="380" t="str">
        <x:v>Oct</x:v>
      </x:c>
      <x:c r="E5785" s="380" t="n">
        <x:v>27</x:v>
      </x:c>
      <x:c r="F5785" s="380" t="n">
        <x:v>6</x:v>
      </x:c>
      <x:c r="G5785" s="380" t="n">
        <x:f>--(F5785&lt;='Estimator'!$B$7)</x:f>
        <x:v>0</x:v>
      </x:c>
      <x:c r="H5785" s="381" t="n">
        <x:f>SUMIFS('Climate Data'!$G$7:$G$366,'Climate Data'!$A$7:$A$366,'Estimator'!$B$4,'Climate Data'!$B$7:$B$366,C5785)</x:f>
        <x:v>0.3721198156682028</x:v>
      </x:c>
      <x:c r="I5785" s="382" t="n">
        <x:f>SUMIFS('Climate Data'!$H$7:$H$366,'Climate Data'!$A$7:$A$366,'Estimator'!$B$4,'Climate Data'!$B$7:$B$366,C5785)</x:f>
        <x:v>7.940557275541795</x:v>
      </x:c>
      <x:c r="J5785" s="381" t="n">
        <x:f>SUMIFS('Wind Proxy'!$H$8:$H$19,'Wind Proxy'!$A$8:$A$19,'Estimator'!$B$4,'Wind Proxy'!$B$8:$B$19,C5785)</x:f>
        <x:v>0.21505376344086022</x:v>
      </x:c>
    </x:row>
    <x:row r="5786">
      <x:c r="A5786" s="379" t="n">
        <x:v>51437</x:v>
      </x:c>
      <x:c r="B5786" s="380" t="n">
        <x:v>2040</x:v>
      </x:c>
      <x:c r="C5786" s="380" t="n">
        <x:v>10</x:v>
      </x:c>
      <x:c r="D5786" s="380" t="str">
        <x:v>Oct</x:v>
      </x:c>
      <x:c r="E5786" s="380" t="n">
        <x:v>28</x:v>
      </x:c>
      <x:c r="F5786" s="380" t="n">
        <x:v>7</x:v>
      </x:c>
      <x:c r="G5786" s="380" t="n">
        <x:f>--(F5786&lt;='Estimator'!$B$7)</x:f>
        <x:v>0</x:v>
      </x:c>
      <x:c r="H5786" s="381" t="n">
        <x:f>SUMIFS('Climate Data'!$G$7:$G$366,'Climate Data'!$A$7:$A$366,'Estimator'!$B$4,'Climate Data'!$B$7:$B$366,C5786)</x:f>
        <x:v>0.3721198156682028</x:v>
      </x:c>
      <x:c r="I5786" s="382" t="n">
        <x:f>SUMIFS('Climate Data'!$H$7:$H$366,'Climate Data'!$A$7:$A$366,'Estimator'!$B$4,'Climate Data'!$B$7:$B$366,C5786)</x:f>
        <x:v>7.940557275541795</x:v>
      </x:c>
      <x:c r="J5786" s="381" t="n">
        <x:f>SUMIFS('Wind Proxy'!$H$8:$H$19,'Wind Proxy'!$A$8:$A$19,'Estimator'!$B$4,'Wind Proxy'!$B$8:$B$19,C5786)</x:f>
        <x:v>0.21505376344086022</x:v>
      </x:c>
    </x:row>
    <x:row r="5787">
      <x:c r="A5787" s="379" t="n">
        <x:v>51438</x:v>
      </x:c>
      <x:c r="B5787" s="380" t="n">
        <x:v>2040</x:v>
      </x:c>
      <x:c r="C5787" s="380" t="n">
        <x:v>10</x:v>
      </x:c>
      <x:c r="D5787" s="380" t="str">
        <x:v>Oct</x:v>
      </x:c>
      <x:c r="E5787" s="380" t="n">
        <x:v>29</x:v>
      </x:c>
      <x:c r="F5787" s="380" t="n">
        <x:v>1</x:v>
      </x:c>
      <x:c r="G5787" s="380" t="n">
        <x:f>--(F5787&lt;='Estimator'!$B$7)</x:f>
        <x:v>1</x:v>
      </x:c>
      <x:c r="H5787" s="381" t="n">
        <x:f>SUMIFS('Climate Data'!$G$7:$G$366,'Climate Data'!$A$7:$A$366,'Estimator'!$B$4,'Climate Data'!$B$7:$B$366,C5787)</x:f>
        <x:v>0.3721198156682028</x:v>
      </x:c>
      <x:c r="I5787" s="382" t="n">
        <x:f>SUMIFS('Climate Data'!$H$7:$H$366,'Climate Data'!$A$7:$A$366,'Estimator'!$B$4,'Climate Data'!$B$7:$B$366,C5787)</x:f>
        <x:v>7.940557275541795</x:v>
      </x:c>
      <x:c r="J5787" s="381" t="n">
        <x:f>SUMIFS('Wind Proxy'!$H$8:$H$19,'Wind Proxy'!$A$8:$A$19,'Estimator'!$B$4,'Wind Proxy'!$B$8:$B$19,C5787)</x:f>
        <x:v>0.21505376344086022</x:v>
      </x:c>
    </x:row>
    <x:row r="5788">
      <x:c r="A5788" s="379" t="n">
        <x:v>51439</x:v>
      </x:c>
      <x:c r="B5788" s="380" t="n">
        <x:v>2040</x:v>
      </x:c>
      <x:c r="C5788" s="380" t="n">
        <x:v>10</x:v>
      </x:c>
      <x:c r="D5788" s="380" t="str">
        <x:v>Oct</x:v>
      </x:c>
      <x:c r="E5788" s="380" t="n">
        <x:v>30</x:v>
      </x:c>
      <x:c r="F5788" s="380" t="n">
        <x:v>2</x:v>
      </x:c>
      <x:c r="G5788" s="380" t="n">
        <x:f>--(F5788&lt;='Estimator'!$B$7)</x:f>
        <x:v>1</x:v>
      </x:c>
      <x:c r="H5788" s="381" t="n">
        <x:f>SUMIFS('Climate Data'!$G$7:$G$366,'Climate Data'!$A$7:$A$366,'Estimator'!$B$4,'Climate Data'!$B$7:$B$366,C5788)</x:f>
        <x:v>0.3721198156682028</x:v>
      </x:c>
      <x:c r="I5788" s="382" t="n">
        <x:f>SUMIFS('Climate Data'!$H$7:$H$366,'Climate Data'!$A$7:$A$366,'Estimator'!$B$4,'Climate Data'!$B$7:$B$366,C5788)</x:f>
        <x:v>7.940557275541795</x:v>
      </x:c>
      <x:c r="J5788" s="381" t="n">
        <x:f>SUMIFS('Wind Proxy'!$H$8:$H$19,'Wind Proxy'!$A$8:$A$19,'Estimator'!$B$4,'Wind Proxy'!$B$8:$B$19,C5788)</x:f>
        <x:v>0.21505376344086022</x:v>
      </x:c>
    </x:row>
    <x:row r="5789">
      <x:c r="A5789" s="379" t="n">
        <x:v>51440</x:v>
      </x:c>
      <x:c r="B5789" s="380" t="n">
        <x:v>2040</x:v>
      </x:c>
      <x:c r="C5789" s="380" t="n">
        <x:v>10</x:v>
      </x:c>
      <x:c r="D5789" s="380" t="str">
        <x:v>Oct</x:v>
      </x:c>
      <x:c r="E5789" s="380" t="n">
        <x:v>31</x:v>
      </x:c>
      <x:c r="F5789" s="380" t="n">
        <x:v>3</x:v>
      </x:c>
      <x:c r="G5789" s="380" t="n">
        <x:f>--(F5789&lt;='Estimator'!$B$7)</x:f>
        <x:v>1</x:v>
      </x:c>
      <x:c r="H5789" s="381" t="n">
        <x:f>SUMIFS('Climate Data'!$G$7:$G$366,'Climate Data'!$A$7:$A$366,'Estimator'!$B$4,'Climate Data'!$B$7:$B$366,C5789)</x:f>
        <x:v>0.3721198156682028</x:v>
      </x:c>
      <x:c r="I5789" s="382" t="n">
        <x:f>SUMIFS('Climate Data'!$H$7:$H$366,'Climate Data'!$A$7:$A$366,'Estimator'!$B$4,'Climate Data'!$B$7:$B$366,C5789)</x:f>
        <x:v>7.940557275541795</x:v>
      </x:c>
      <x:c r="J5789" s="381" t="n">
        <x:f>SUMIFS('Wind Proxy'!$H$8:$H$19,'Wind Proxy'!$A$8:$A$19,'Estimator'!$B$4,'Wind Proxy'!$B$8:$B$19,C5789)</x:f>
        <x:v>0.21505376344086022</x:v>
      </x:c>
    </x:row>
    <x:row r="5790">
      <x:c r="A5790" s="379" t="n">
        <x:v>51441</x:v>
      </x:c>
      <x:c r="B5790" s="380" t="n">
        <x:v>2040</x:v>
      </x:c>
      <x:c r="C5790" s="380" t="n">
        <x:v>11</x:v>
      </x:c>
      <x:c r="D5790" s="380" t="str">
        <x:v>Nov</x:v>
      </x:c>
      <x:c r="E5790" s="380" t="n">
        <x:v>1</x:v>
      </x:c>
      <x:c r="F5790" s="380" t="n">
        <x:v>4</x:v>
      </x:c>
      <x:c r="G5790" s="380" t="n">
        <x:f>--(F5790&lt;='Estimator'!$B$7)</x:f>
        <x:v>1</x:v>
      </x:c>
      <x:c r="H5790" s="381" t="n">
        <x:f>SUMIFS('Climate Data'!$G$7:$G$366,'Climate Data'!$A$7:$A$366,'Estimator'!$B$4,'Climate Data'!$B$7:$B$366,C5790)</x:f>
        <x:v>0.3111111111111111</x:v>
      </x:c>
      <x:c r="I5790" s="382" t="n">
        <x:f>SUMIFS('Climate Data'!$H$7:$H$366,'Climate Data'!$A$7:$A$366,'Estimator'!$B$4,'Climate Data'!$B$7:$B$366,C5790)</x:f>
        <x:v>7.382142857142857</x:v>
      </x:c>
      <x:c r="J5790" s="381" t="n">
        <x:f>SUMIFS('Wind Proxy'!$H$8:$H$19,'Wind Proxy'!$A$8:$A$19,'Estimator'!$B$4,'Wind Proxy'!$B$8:$B$19,C5790)</x:f>
        <x:v>0.22222222222222224</x:v>
      </x:c>
    </x:row>
    <x:row r="5791">
      <x:c r="A5791" s="379" t="n">
        <x:v>51442</x:v>
      </x:c>
      <x:c r="B5791" s="380" t="n">
        <x:v>2040</x:v>
      </x:c>
      <x:c r="C5791" s="380" t="n">
        <x:v>11</x:v>
      </x:c>
      <x:c r="D5791" s="380" t="str">
        <x:v>Nov</x:v>
      </x:c>
      <x:c r="E5791" s="380" t="n">
        <x:v>2</x:v>
      </x:c>
      <x:c r="F5791" s="380" t="n">
        <x:v>5</x:v>
      </x:c>
      <x:c r="G5791" s="380" t="n">
        <x:f>--(F5791&lt;='Estimator'!$B$7)</x:f>
        <x:v>1</x:v>
      </x:c>
      <x:c r="H5791" s="381" t="n">
        <x:f>SUMIFS('Climate Data'!$G$7:$G$366,'Climate Data'!$A$7:$A$366,'Estimator'!$B$4,'Climate Data'!$B$7:$B$366,C5791)</x:f>
        <x:v>0.3111111111111111</x:v>
      </x:c>
      <x:c r="I5791" s="382" t="n">
        <x:f>SUMIFS('Climate Data'!$H$7:$H$366,'Climate Data'!$A$7:$A$366,'Estimator'!$B$4,'Climate Data'!$B$7:$B$366,C5791)</x:f>
        <x:v>7.382142857142857</x:v>
      </x:c>
      <x:c r="J5791" s="381" t="n">
        <x:f>SUMIFS('Wind Proxy'!$H$8:$H$19,'Wind Proxy'!$A$8:$A$19,'Estimator'!$B$4,'Wind Proxy'!$B$8:$B$19,C5791)</x:f>
        <x:v>0.22222222222222224</x:v>
      </x:c>
    </x:row>
    <x:row r="5792">
      <x:c r="A5792" s="379" t="n">
        <x:v>51443</x:v>
      </x:c>
      <x:c r="B5792" s="380" t="n">
        <x:v>2040</x:v>
      </x:c>
      <x:c r="C5792" s="380" t="n">
        <x:v>11</x:v>
      </x:c>
      <x:c r="D5792" s="380" t="str">
        <x:v>Nov</x:v>
      </x:c>
      <x:c r="E5792" s="380" t="n">
        <x:v>3</x:v>
      </x:c>
      <x:c r="F5792" s="380" t="n">
        <x:v>6</x:v>
      </x:c>
      <x:c r="G5792" s="380" t="n">
        <x:f>--(F5792&lt;='Estimator'!$B$7)</x:f>
        <x:v>0</x:v>
      </x:c>
      <x:c r="H5792" s="381" t="n">
        <x:f>SUMIFS('Climate Data'!$G$7:$G$366,'Climate Data'!$A$7:$A$366,'Estimator'!$B$4,'Climate Data'!$B$7:$B$366,C5792)</x:f>
        <x:v>0.3111111111111111</x:v>
      </x:c>
      <x:c r="I5792" s="382" t="n">
        <x:f>SUMIFS('Climate Data'!$H$7:$H$366,'Climate Data'!$A$7:$A$366,'Estimator'!$B$4,'Climate Data'!$B$7:$B$366,C5792)</x:f>
        <x:v>7.382142857142857</x:v>
      </x:c>
      <x:c r="J5792" s="381" t="n">
        <x:f>SUMIFS('Wind Proxy'!$H$8:$H$19,'Wind Proxy'!$A$8:$A$19,'Estimator'!$B$4,'Wind Proxy'!$B$8:$B$19,C5792)</x:f>
        <x:v>0.22222222222222224</x:v>
      </x:c>
    </x:row>
    <x:row r="5793">
      <x:c r="A5793" s="379" t="n">
        <x:v>51444</x:v>
      </x:c>
      <x:c r="B5793" s="380" t="n">
        <x:v>2040</x:v>
      </x:c>
      <x:c r="C5793" s="380" t="n">
        <x:v>11</x:v>
      </x:c>
      <x:c r="D5793" s="380" t="str">
        <x:v>Nov</x:v>
      </x:c>
      <x:c r="E5793" s="380" t="n">
        <x:v>4</x:v>
      </x:c>
      <x:c r="F5793" s="380" t="n">
        <x:v>7</x:v>
      </x:c>
      <x:c r="G5793" s="380" t="n">
        <x:f>--(F5793&lt;='Estimator'!$B$7)</x:f>
        <x:v>0</x:v>
      </x:c>
      <x:c r="H5793" s="381" t="n">
        <x:f>SUMIFS('Climate Data'!$G$7:$G$366,'Climate Data'!$A$7:$A$366,'Estimator'!$B$4,'Climate Data'!$B$7:$B$366,C5793)</x:f>
        <x:v>0.3111111111111111</x:v>
      </x:c>
      <x:c r="I5793" s="382" t="n">
        <x:f>SUMIFS('Climate Data'!$H$7:$H$366,'Climate Data'!$A$7:$A$366,'Estimator'!$B$4,'Climate Data'!$B$7:$B$366,C5793)</x:f>
        <x:v>7.382142857142857</x:v>
      </x:c>
      <x:c r="J5793" s="381" t="n">
        <x:f>SUMIFS('Wind Proxy'!$H$8:$H$19,'Wind Proxy'!$A$8:$A$19,'Estimator'!$B$4,'Wind Proxy'!$B$8:$B$19,C5793)</x:f>
        <x:v>0.22222222222222224</x:v>
      </x:c>
    </x:row>
    <x:row r="5794">
      <x:c r="A5794" s="379" t="n">
        <x:v>51445</x:v>
      </x:c>
      <x:c r="B5794" s="380" t="n">
        <x:v>2040</x:v>
      </x:c>
      <x:c r="C5794" s="380" t="n">
        <x:v>11</x:v>
      </x:c>
      <x:c r="D5794" s="380" t="str">
        <x:v>Nov</x:v>
      </x:c>
      <x:c r="E5794" s="380" t="n">
        <x:v>5</x:v>
      </x:c>
      <x:c r="F5794" s="380" t="n">
        <x:v>1</x:v>
      </x:c>
      <x:c r="G5794" s="380" t="n">
        <x:f>--(F5794&lt;='Estimator'!$B$7)</x:f>
        <x:v>1</x:v>
      </x:c>
      <x:c r="H5794" s="381" t="n">
        <x:f>SUMIFS('Climate Data'!$G$7:$G$366,'Climate Data'!$A$7:$A$366,'Estimator'!$B$4,'Climate Data'!$B$7:$B$366,C5794)</x:f>
        <x:v>0.3111111111111111</x:v>
      </x:c>
      <x:c r="I5794" s="382" t="n">
        <x:f>SUMIFS('Climate Data'!$H$7:$H$366,'Climate Data'!$A$7:$A$366,'Estimator'!$B$4,'Climate Data'!$B$7:$B$366,C5794)</x:f>
        <x:v>7.382142857142857</x:v>
      </x:c>
      <x:c r="J5794" s="381" t="n">
        <x:f>SUMIFS('Wind Proxy'!$H$8:$H$19,'Wind Proxy'!$A$8:$A$19,'Estimator'!$B$4,'Wind Proxy'!$B$8:$B$19,C5794)</x:f>
        <x:v>0.22222222222222224</x:v>
      </x:c>
    </x:row>
    <x:row r="5795">
      <x:c r="A5795" s="379" t="n">
        <x:v>51446</x:v>
      </x:c>
      <x:c r="B5795" s="380" t="n">
        <x:v>2040</x:v>
      </x:c>
      <x:c r="C5795" s="380" t="n">
        <x:v>11</x:v>
      </x:c>
      <x:c r="D5795" s="380" t="str">
        <x:v>Nov</x:v>
      </x:c>
      <x:c r="E5795" s="380" t="n">
        <x:v>6</x:v>
      </x:c>
      <x:c r="F5795" s="380" t="n">
        <x:v>2</x:v>
      </x:c>
      <x:c r="G5795" s="380" t="n">
        <x:f>--(F5795&lt;='Estimator'!$B$7)</x:f>
        <x:v>1</x:v>
      </x:c>
      <x:c r="H5795" s="381" t="n">
        <x:f>SUMIFS('Climate Data'!$G$7:$G$366,'Climate Data'!$A$7:$A$366,'Estimator'!$B$4,'Climate Data'!$B$7:$B$366,C5795)</x:f>
        <x:v>0.3111111111111111</x:v>
      </x:c>
      <x:c r="I5795" s="382" t="n">
        <x:f>SUMIFS('Climate Data'!$H$7:$H$366,'Climate Data'!$A$7:$A$366,'Estimator'!$B$4,'Climate Data'!$B$7:$B$366,C5795)</x:f>
        <x:v>7.382142857142857</x:v>
      </x:c>
      <x:c r="J5795" s="381" t="n">
        <x:f>SUMIFS('Wind Proxy'!$H$8:$H$19,'Wind Proxy'!$A$8:$A$19,'Estimator'!$B$4,'Wind Proxy'!$B$8:$B$19,C5795)</x:f>
        <x:v>0.22222222222222224</x:v>
      </x:c>
    </x:row>
    <x:row r="5796">
      <x:c r="A5796" s="379" t="n">
        <x:v>51447</x:v>
      </x:c>
      <x:c r="B5796" s="380" t="n">
        <x:v>2040</x:v>
      </x:c>
      <x:c r="C5796" s="380" t="n">
        <x:v>11</x:v>
      </x:c>
      <x:c r="D5796" s="380" t="str">
        <x:v>Nov</x:v>
      </x:c>
      <x:c r="E5796" s="380" t="n">
        <x:v>7</x:v>
      </x:c>
      <x:c r="F5796" s="380" t="n">
        <x:v>3</x:v>
      </x:c>
      <x:c r="G5796" s="380" t="n">
        <x:f>--(F5796&lt;='Estimator'!$B$7)</x:f>
        <x:v>1</x:v>
      </x:c>
      <x:c r="H5796" s="381" t="n">
        <x:f>SUMIFS('Climate Data'!$G$7:$G$366,'Climate Data'!$A$7:$A$366,'Estimator'!$B$4,'Climate Data'!$B$7:$B$366,C5796)</x:f>
        <x:v>0.3111111111111111</x:v>
      </x:c>
      <x:c r="I5796" s="382" t="n">
        <x:f>SUMIFS('Climate Data'!$H$7:$H$366,'Climate Data'!$A$7:$A$366,'Estimator'!$B$4,'Climate Data'!$B$7:$B$366,C5796)</x:f>
        <x:v>7.382142857142857</x:v>
      </x:c>
      <x:c r="J5796" s="381" t="n">
        <x:f>SUMIFS('Wind Proxy'!$H$8:$H$19,'Wind Proxy'!$A$8:$A$19,'Estimator'!$B$4,'Wind Proxy'!$B$8:$B$19,C5796)</x:f>
        <x:v>0.22222222222222224</x:v>
      </x:c>
    </x:row>
    <x:row r="5797">
      <x:c r="A5797" s="379" t="n">
        <x:v>51448</x:v>
      </x:c>
      <x:c r="B5797" s="380" t="n">
        <x:v>2040</x:v>
      </x:c>
      <x:c r="C5797" s="380" t="n">
        <x:v>11</x:v>
      </x:c>
      <x:c r="D5797" s="380" t="str">
        <x:v>Nov</x:v>
      </x:c>
      <x:c r="E5797" s="380" t="n">
        <x:v>8</x:v>
      </x:c>
      <x:c r="F5797" s="380" t="n">
        <x:v>4</x:v>
      </x:c>
      <x:c r="G5797" s="380" t="n">
        <x:f>--(F5797&lt;='Estimator'!$B$7)</x:f>
        <x:v>1</x:v>
      </x:c>
      <x:c r="H5797" s="381" t="n">
        <x:f>SUMIFS('Climate Data'!$G$7:$G$366,'Climate Data'!$A$7:$A$366,'Estimator'!$B$4,'Climate Data'!$B$7:$B$366,C5797)</x:f>
        <x:v>0.3111111111111111</x:v>
      </x:c>
      <x:c r="I5797" s="382" t="n">
        <x:f>SUMIFS('Climate Data'!$H$7:$H$366,'Climate Data'!$A$7:$A$366,'Estimator'!$B$4,'Climate Data'!$B$7:$B$366,C5797)</x:f>
        <x:v>7.382142857142857</x:v>
      </x:c>
      <x:c r="J5797" s="381" t="n">
        <x:f>SUMIFS('Wind Proxy'!$H$8:$H$19,'Wind Proxy'!$A$8:$A$19,'Estimator'!$B$4,'Wind Proxy'!$B$8:$B$19,C5797)</x:f>
        <x:v>0.22222222222222224</x:v>
      </x:c>
    </x:row>
    <x:row r="5798">
      <x:c r="A5798" s="379" t="n">
        <x:v>51449</x:v>
      </x:c>
      <x:c r="B5798" s="380" t="n">
        <x:v>2040</x:v>
      </x:c>
      <x:c r="C5798" s="380" t="n">
        <x:v>11</x:v>
      </x:c>
      <x:c r="D5798" s="380" t="str">
        <x:v>Nov</x:v>
      </x:c>
      <x:c r="E5798" s="380" t="n">
        <x:v>9</x:v>
      </x:c>
      <x:c r="F5798" s="380" t="n">
        <x:v>5</x:v>
      </x:c>
      <x:c r="G5798" s="380" t="n">
        <x:f>--(F5798&lt;='Estimator'!$B$7)</x:f>
        <x:v>1</x:v>
      </x:c>
      <x:c r="H5798" s="381" t="n">
        <x:f>SUMIFS('Climate Data'!$G$7:$G$366,'Climate Data'!$A$7:$A$366,'Estimator'!$B$4,'Climate Data'!$B$7:$B$366,C5798)</x:f>
        <x:v>0.3111111111111111</x:v>
      </x:c>
      <x:c r="I5798" s="382" t="n">
        <x:f>SUMIFS('Climate Data'!$H$7:$H$366,'Climate Data'!$A$7:$A$366,'Estimator'!$B$4,'Climate Data'!$B$7:$B$366,C5798)</x:f>
        <x:v>7.382142857142857</x:v>
      </x:c>
      <x:c r="J5798" s="381" t="n">
        <x:f>SUMIFS('Wind Proxy'!$H$8:$H$19,'Wind Proxy'!$A$8:$A$19,'Estimator'!$B$4,'Wind Proxy'!$B$8:$B$19,C5798)</x:f>
        <x:v>0.22222222222222224</x:v>
      </x:c>
    </x:row>
    <x:row r="5799">
      <x:c r="A5799" s="379" t="n">
        <x:v>51450</x:v>
      </x:c>
      <x:c r="B5799" s="380" t="n">
        <x:v>2040</x:v>
      </x:c>
      <x:c r="C5799" s="380" t="n">
        <x:v>11</x:v>
      </x:c>
      <x:c r="D5799" s="380" t="str">
        <x:v>Nov</x:v>
      </x:c>
      <x:c r="E5799" s="380" t="n">
        <x:v>10</x:v>
      </x:c>
      <x:c r="F5799" s="380" t="n">
        <x:v>6</x:v>
      </x:c>
      <x:c r="G5799" s="380" t="n">
        <x:f>--(F5799&lt;='Estimator'!$B$7)</x:f>
        <x:v>0</x:v>
      </x:c>
      <x:c r="H5799" s="381" t="n">
        <x:f>SUMIFS('Climate Data'!$G$7:$G$366,'Climate Data'!$A$7:$A$366,'Estimator'!$B$4,'Climate Data'!$B$7:$B$366,C5799)</x:f>
        <x:v>0.3111111111111111</x:v>
      </x:c>
      <x:c r="I5799" s="382" t="n">
        <x:f>SUMIFS('Climate Data'!$H$7:$H$366,'Climate Data'!$A$7:$A$366,'Estimator'!$B$4,'Climate Data'!$B$7:$B$366,C5799)</x:f>
        <x:v>7.382142857142857</x:v>
      </x:c>
      <x:c r="J5799" s="381" t="n">
        <x:f>SUMIFS('Wind Proxy'!$H$8:$H$19,'Wind Proxy'!$A$8:$A$19,'Estimator'!$B$4,'Wind Proxy'!$B$8:$B$19,C5799)</x:f>
        <x:v>0.22222222222222224</x:v>
      </x:c>
    </x:row>
    <x:row r="5800">
      <x:c r="A5800" s="379" t="n">
        <x:v>51451</x:v>
      </x:c>
      <x:c r="B5800" s="380" t="n">
        <x:v>2040</x:v>
      </x:c>
      <x:c r="C5800" s="380" t="n">
        <x:v>11</x:v>
      </x:c>
      <x:c r="D5800" s="380" t="str">
        <x:v>Nov</x:v>
      </x:c>
      <x:c r="E5800" s="380" t="n">
        <x:v>11</x:v>
      </x:c>
      <x:c r="F5800" s="380" t="n">
        <x:v>7</x:v>
      </x:c>
      <x:c r="G5800" s="380" t="n">
        <x:f>--(F5800&lt;='Estimator'!$B$7)</x:f>
        <x:v>0</x:v>
      </x:c>
      <x:c r="H5800" s="381" t="n">
        <x:f>SUMIFS('Climate Data'!$G$7:$G$366,'Climate Data'!$A$7:$A$366,'Estimator'!$B$4,'Climate Data'!$B$7:$B$366,C5800)</x:f>
        <x:v>0.3111111111111111</x:v>
      </x:c>
      <x:c r="I5800" s="382" t="n">
        <x:f>SUMIFS('Climate Data'!$H$7:$H$366,'Climate Data'!$A$7:$A$366,'Estimator'!$B$4,'Climate Data'!$B$7:$B$366,C5800)</x:f>
        <x:v>7.382142857142857</x:v>
      </x:c>
      <x:c r="J5800" s="381" t="n">
        <x:f>SUMIFS('Wind Proxy'!$H$8:$H$19,'Wind Proxy'!$A$8:$A$19,'Estimator'!$B$4,'Wind Proxy'!$B$8:$B$19,C5800)</x:f>
        <x:v>0.22222222222222224</x:v>
      </x:c>
    </x:row>
    <x:row r="5801">
      <x:c r="A5801" s="379" t="n">
        <x:v>51452</x:v>
      </x:c>
      <x:c r="B5801" s="380" t="n">
        <x:v>2040</x:v>
      </x:c>
      <x:c r="C5801" s="380" t="n">
        <x:v>11</x:v>
      </x:c>
      <x:c r="D5801" s="380" t="str">
        <x:v>Nov</x:v>
      </x:c>
      <x:c r="E5801" s="380" t="n">
        <x:v>12</x:v>
      </x:c>
      <x:c r="F5801" s="380" t="n">
        <x:v>1</x:v>
      </x:c>
      <x:c r="G5801" s="380" t="n">
        <x:f>--(F5801&lt;='Estimator'!$B$7)</x:f>
        <x:v>1</x:v>
      </x:c>
      <x:c r="H5801" s="381" t="n">
        <x:f>SUMIFS('Climate Data'!$G$7:$G$366,'Climate Data'!$A$7:$A$366,'Estimator'!$B$4,'Climate Data'!$B$7:$B$366,C5801)</x:f>
        <x:v>0.3111111111111111</x:v>
      </x:c>
      <x:c r="I5801" s="382" t="n">
        <x:f>SUMIFS('Climate Data'!$H$7:$H$366,'Climate Data'!$A$7:$A$366,'Estimator'!$B$4,'Climate Data'!$B$7:$B$366,C5801)</x:f>
        <x:v>7.382142857142857</x:v>
      </x:c>
      <x:c r="J5801" s="381" t="n">
        <x:f>SUMIFS('Wind Proxy'!$H$8:$H$19,'Wind Proxy'!$A$8:$A$19,'Estimator'!$B$4,'Wind Proxy'!$B$8:$B$19,C5801)</x:f>
        <x:v>0.22222222222222224</x:v>
      </x:c>
    </x:row>
    <x:row r="5802">
      <x:c r="A5802" s="379" t="n">
        <x:v>51453</x:v>
      </x:c>
      <x:c r="B5802" s="380" t="n">
        <x:v>2040</x:v>
      </x:c>
      <x:c r="C5802" s="380" t="n">
        <x:v>11</x:v>
      </x:c>
      <x:c r="D5802" s="380" t="str">
        <x:v>Nov</x:v>
      </x:c>
      <x:c r="E5802" s="380" t="n">
        <x:v>13</x:v>
      </x:c>
      <x:c r="F5802" s="380" t="n">
        <x:v>2</x:v>
      </x:c>
      <x:c r="G5802" s="380" t="n">
        <x:f>--(F5802&lt;='Estimator'!$B$7)</x:f>
        <x:v>1</x:v>
      </x:c>
      <x:c r="H5802" s="381" t="n">
        <x:f>SUMIFS('Climate Data'!$G$7:$G$366,'Climate Data'!$A$7:$A$366,'Estimator'!$B$4,'Climate Data'!$B$7:$B$366,C5802)</x:f>
        <x:v>0.3111111111111111</x:v>
      </x:c>
      <x:c r="I5802" s="382" t="n">
        <x:f>SUMIFS('Climate Data'!$H$7:$H$366,'Climate Data'!$A$7:$A$366,'Estimator'!$B$4,'Climate Data'!$B$7:$B$366,C5802)</x:f>
        <x:v>7.382142857142857</x:v>
      </x:c>
      <x:c r="J5802" s="381" t="n">
        <x:f>SUMIFS('Wind Proxy'!$H$8:$H$19,'Wind Proxy'!$A$8:$A$19,'Estimator'!$B$4,'Wind Proxy'!$B$8:$B$19,C5802)</x:f>
        <x:v>0.22222222222222224</x:v>
      </x:c>
    </x:row>
    <x:row r="5803">
      <x:c r="A5803" s="379" t="n">
        <x:v>51454</x:v>
      </x:c>
      <x:c r="B5803" s="380" t="n">
        <x:v>2040</x:v>
      </x:c>
      <x:c r="C5803" s="380" t="n">
        <x:v>11</x:v>
      </x:c>
      <x:c r="D5803" s="380" t="str">
        <x:v>Nov</x:v>
      </x:c>
      <x:c r="E5803" s="380" t="n">
        <x:v>14</x:v>
      </x:c>
      <x:c r="F5803" s="380" t="n">
        <x:v>3</x:v>
      </x:c>
      <x:c r="G5803" s="380" t="n">
        <x:f>--(F5803&lt;='Estimator'!$B$7)</x:f>
        <x:v>1</x:v>
      </x:c>
      <x:c r="H5803" s="381" t="n">
        <x:f>SUMIFS('Climate Data'!$G$7:$G$366,'Climate Data'!$A$7:$A$366,'Estimator'!$B$4,'Climate Data'!$B$7:$B$366,C5803)</x:f>
        <x:v>0.3111111111111111</x:v>
      </x:c>
      <x:c r="I5803" s="382" t="n">
        <x:f>SUMIFS('Climate Data'!$H$7:$H$366,'Climate Data'!$A$7:$A$366,'Estimator'!$B$4,'Climate Data'!$B$7:$B$366,C5803)</x:f>
        <x:v>7.382142857142857</x:v>
      </x:c>
      <x:c r="J5803" s="381" t="n">
        <x:f>SUMIFS('Wind Proxy'!$H$8:$H$19,'Wind Proxy'!$A$8:$A$19,'Estimator'!$B$4,'Wind Proxy'!$B$8:$B$19,C5803)</x:f>
        <x:v>0.22222222222222224</x:v>
      </x:c>
    </x:row>
    <x:row r="5804">
      <x:c r="A5804" s="379" t="n">
        <x:v>51455</x:v>
      </x:c>
      <x:c r="B5804" s="380" t="n">
        <x:v>2040</x:v>
      </x:c>
      <x:c r="C5804" s="380" t="n">
        <x:v>11</x:v>
      </x:c>
      <x:c r="D5804" s="380" t="str">
        <x:v>Nov</x:v>
      </x:c>
      <x:c r="E5804" s="380" t="n">
        <x:v>15</x:v>
      </x:c>
      <x:c r="F5804" s="380" t="n">
        <x:v>4</x:v>
      </x:c>
      <x:c r="G5804" s="380" t="n">
        <x:f>--(F5804&lt;='Estimator'!$B$7)</x:f>
        <x:v>1</x:v>
      </x:c>
      <x:c r="H5804" s="381" t="n">
        <x:f>SUMIFS('Climate Data'!$G$7:$G$366,'Climate Data'!$A$7:$A$366,'Estimator'!$B$4,'Climate Data'!$B$7:$B$366,C5804)</x:f>
        <x:v>0.3111111111111111</x:v>
      </x:c>
      <x:c r="I5804" s="382" t="n">
        <x:f>SUMIFS('Climate Data'!$H$7:$H$366,'Climate Data'!$A$7:$A$366,'Estimator'!$B$4,'Climate Data'!$B$7:$B$366,C5804)</x:f>
        <x:v>7.382142857142857</x:v>
      </x:c>
      <x:c r="J5804" s="381" t="n">
        <x:f>SUMIFS('Wind Proxy'!$H$8:$H$19,'Wind Proxy'!$A$8:$A$19,'Estimator'!$B$4,'Wind Proxy'!$B$8:$B$19,C5804)</x:f>
        <x:v>0.22222222222222224</x:v>
      </x:c>
    </x:row>
    <x:row r="5805">
      <x:c r="A5805" s="379" t="n">
        <x:v>51456</x:v>
      </x:c>
      <x:c r="B5805" s="380" t="n">
        <x:v>2040</x:v>
      </x:c>
      <x:c r="C5805" s="380" t="n">
        <x:v>11</x:v>
      </x:c>
      <x:c r="D5805" s="380" t="str">
        <x:v>Nov</x:v>
      </x:c>
      <x:c r="E5805" s="380" t="n">
        <x:v>16</x:v>
      </x:c>
      <x:c r="F5805" s="380" t="n">
        <x:v>5</x:v>
      </x:c>
      <x:c r="G5805" s="380" t="n">
        <x:f>--(F5805&lt;='Estimator'!$B$7)</x:f>
        <x:v>1</x:v>
      </x:c>
      <x:c r="H5805" s="381" t="n">
        <x:f>SUMIFS('Climate Data'!$G$7:$G$366,'Climate Data'!$A$7:$A$366,'Estimator'!$B$4,'Climate Data'!$B$7:$B$366,C5805)</x:f>
        <x:v>0.3111111111111111</x:v>
      </x:c>
      <x:c r="I5805" s="382" t="n">
        <x:f>SUMIFS('Climate Data'!$H$7:$H$366,'Climate Data'!$A$7:$A$366,'Estimator'!$B$4,'Climate Data'!$B$7:$B$366,C5805)</x:f>
        <x:v>7.382142857142857</x:v>
      </x:c>
      <x:c r="J5805" s="381" t="n">
        <x:f>SUMIFS('Wind Proxy'!$H$8:$H$19,'Wind Proxy'!$A$8:$A$19,'Estimator'!$B$4,'Wind Proxy'!$B$8:$B$19,C5805)</x:f>
        <x:v>0.22222222222222224</x:v>
      </x:c>
    </x:row>
    <x:row r="5806">
      <x:c r="A5806" s="379" t="n">
        <x:v>51457</x:v>
      </x:c>
      <x:c r="B5806" s="380" t="n">
        <x:v>2040</x:v>
      </x:c>
      <x:c r="C5806" s="380" t="n">
        <x:v>11</x:v>
      </x:c>
      <x:c r="D5806" s="380" t="str">
        <x:v>Nov</x:v>
      </x:c>
      <x:c r="E5806" s="380" t="n">
        <x:v>17</x:v>
      </x:c>
      <x:c r="F5806" s="380" t="n">
        <x:v>6</x:v>
      </x:c>
      <x:c r="G5806" s="380" t="n">
        <x:f>--(F5806&lt;='Estimator'!$B$7)</x:f>
        <x:v>0</x:v>
      </x:c>
      <x:c r="H5806" s="381" t="n">
        <x:f>SUMIFS('Climate Data'!$G$7:$G$366,'Climate Data'!$A$7:$A$366,'Estimator'!$B$4,'Climate Data'!$B$7:$B$366,C5806)</x:f>
        <x:v>0.3111111111111111</x:v>
      </x:c>
      <x:c r="I5806" s="382" t="n">
        <x:f>SUMIFS('Climate Data'!$H$7:$H$366,'Climate Data'!$A$7:$A$366,'Estimator'!$B$4,'Climate Data'!$B$7:$B$366,C5806)</x:f>
        <x:v>7.382142857142857</x:v>
      </x:c>
      <x:c r="J5806" s="381" t="n">
        <x:f>SUMIFS('Wind Proxy'!$H$8:$H$19,'Wind Proxy'!$A$8:$A$19,'Estimator'!$B$4,'Wind Proxy'!$B$8:$B$19,C5806)</x:f>
        <x:v>0.22222222222222224</x:v>
      </x:c>
    </x:row>
    <x:row r="5807">
      <x:c r="A5807" s="379" t="n">
        <x:v>51458</x:v>
      </x:c>
      <x:c r="B5807" s="380" t="n">
        <x:v>2040</x:v>
      </x:c>
      <x:c r="C5807" s="380" t="n">
        <x:v>11</x:v>
      </x:c>
      <x:c r="D5807" s="380" t="str">
        <x:v>Nov</x:v>
      </x:c>
      <x:c r="E5807" s="380" t="n">
        <x:v>18</x:v>
      </x:c>
      <x:c r="F5807" s="380" t="n">
        <x:v>7</x:v>
      </x:c>
      <x:c r="G5807" s="380" t="n">
        <x:f>--(F5807&lt;='Estimator'!$B$7)</x:f>
        <x:v>0</x:v>
      </x:c>
      <x:c r="H5807" s="381" t="n">
        <x:f>SUMIFS('Climate Data'!$G$7:$G$366,'Climate Data'!$A$7:$A$366,'Estimator'!$B$4,'Climate Data'!$B$7:$B$366,C5807)</x:f>
        <x:v>0.3111111111111111</x:v>
      </x:c>
      <x:c r="I5807" s="382" t="n">
        <x:f>SUMIFS('Climate Data'!$H$7:$H$366,'Climate Data'!$A$7:$A$366,'Estimator'!$B$4,'Climate Data'!$B$7:$B$366,C5807)</x:f>
        <x:v>7.382142857142857</x:v>
      </x:c>
      <x:c r="J5807" s="381" t="n">
        <x:f>SUMIFS('Wind Proxy'!$H$8:$H$19,'Wind Proxy'!$A$8:$A$19,'Estimator'!$B$4,'Wind Proxy'!$B$8:$B$19,C5807)</x:f>
        <x:v>0.22222222222222224</x:v>
      </x:c>
    </x:row>
    <x:row r="5808">
      <x:c r="A5808" s="379" t="n">
        <x:v>51459</x:v>
      </x:c>
      <x:c r="B5808" s="380" t="n">
        <x:v>2040</x:v>
      </x:c>
      <x:c r="C5808" s="380" t="n">
        <x:v>11</x:v>
      </x:c>
      <x:c r="D5808" s="380" t="str">
        <x:v>Nov</x:v>
      </x:c>
      <x:c r="E5808" s="380" t="n">
        <x:v>19</x:v>
      </x:c>
      <x:c r="F5808" s="380" t="n">
        <x:v>1</x:v>
      </x:c>
      <x:c r="G5808" s="380" t="n">
        <x:f>--(F5808&lt;='Estimator'!$B$7)</x:f>
        <x:v>1</x:v>
      </x:c>
      <x:c r="H5808" s="381" t="n">
        <x:f>SUMIFS('Climate Data'!$G$7:$G$366,'Climate Data'!$A$7:$A$366,'Estimator'!$B$4,'Climate Data'!$B$7:$B$366,C5808)</x:f>
        <x:v>0.3111111111111111</x:v>
      </x:c>
      <x:c r="I5808" s="382" t="n">
        <x:f>SUMIFS('Climate Data'!$H$7:$H$366,'Climate Data'!$A$7:$A$366,'Estimator'!$B$4,'Climate Data'!$B$7:$B$366,C5808)</x:f>
        <x:v>7.382142857142857</x:v>
      </x:c>
      <x:c r="J5808" s="381" t="n">
        <x:f>SUMIFS('Wind Proxy'!$H$8:$H$19,'Wind Proxy'!$A$8:$A$19,'Estimator'!$B$4,'Wind Proxy'!$B$8:$B$19,C5808)</x:f>
        <x:v>0.22222222222222224</x:v>
      </x:c>
    </x:row>
    <x:row r="5809">
      <x:c r="A5809" s="379" t="n">
        <x:v>51460</x:v>
      </x:c>
      <x:c r="B5809" s="380" t="n">
        <x:v>2040</x:v>
      </x:c>
      <x:c r="C5809" s="380" t="n">
        <x:v>11</x:v>
      </x:c>
      <x:c r="D5809" s="380" t="str">
        <x:v>Nov</x:v>
      </x:c>
      <x:c r="E5809" s="380" t="n">
        <x:v>20</x:v>
      </x:c>
      <x:c r="F5809" s="380" t="n">
        <x:v>2</x:v>
      </x:c>
      <x:c r="G5809" s="380" t="n">
        <x:f>--(F5809&lt;='Estimator'!$B$7)</x:f>
        <x:v>1</x:v>
      </x:c>
      <x:c r="H5809" s="381" t="n">
        <x:f>SUMIFS('Climate Data'!$G$7:$G$366,'Climate Data'!$A$7:$A$366,'Estimator'!$B$4,'Climate Data'!$B$7:$B$366,C5809)</x:f>
        <x:v>0.3111111111111111</x:v>
      </x:c>
      <x:c r="I5809" s="382" t="n">
        <x:f>SUMIFS('Climate Data'!$H$7:$H$366,'Climate Data'!$A$7:$A$366,'Estimator'!$B$4,'Climate Data'!$B$7:$B$366,C5809)</x:f>
        <x:v>7.382142857142857</x:v>
      </x:c>
      <x:c r="J5809" s="381" t="n">
        <x:f>SUMIFS('Wind Proxy'!$H$8:$H$19,'Wind Proxy'!$A$8:$A$19,'Estimator'!$B$4,'Wind Proxy'!$B$8:$B$19,C5809)</x:f>
        <x:v>0.22222222222222224</x:v>
      </x:c>
    </x:row>
    <x:row r="5810">
      <x:c r="A5810" s="379" t="n">
        <x:v>51461</x:v>
      </x:c>
      <x:c r="B5810" s="380" t="n">
        <x:v>2040</x:v>
      </x:c>
      <x:c r="C5810" s="380" t="n">
        <x:v>11</x:v>
      </x:c>
      <x:c r="D5810" s="380" t="str">
        <x:v>Nov</x:v>
      </x:c>
      <x:c r="E5810" s="380" t="n">
        <x:v>21</x:v>
      </x:c>
      <x:c r="F5810" s="380" t="n">
        <x:v>3</x:v>
      </x:c>
      <x:c r="G5810" s="380" t="n">
        <x:f>--(F5810&lt;='Estimator'!$B$7)</x:f>
        <x:v>1</x:v>
      </x:c>
      <x:c r="H5810" s="381" t="n">
        <x:f>SUMIFS('Climate Data'!$G$7:$G$366,'Climate Data'!$A$7:$A$366,'Estimator'!$B$4,'Climate Data'!$B$7:$B$366,C5810)</x:f>
        <x:v>0.3111111111111111</x:v>
      </x:c>
      <x:c r="I5810" s="382" t="n">
        <x:f>SUMIFS('Climate Data'!$H$7:$H$366,'Climate Data'!$A$7:$A$366,'Estimator'!$B$4,'Climate Data'!$B$7:$B$366,C5810)</x:f>
        <x:v>7.382142857142857</x:v>
      </x:c>
      <x:c r="J5810" s="381" t="n">
        <x:f>SUMIFS('Wind Proxy'!$H$8:$H$19,'Wind Proxy'!$A$8:$A$19,'Estimator'!$B$4,'Wind Proxy'!$B$8:$B$19,C5810)</x:f>
        <x:v>0.22222222222222224</x:v>
      </x:c>
    </x:row>
    <x:row r="5811">
      <x:c r="A5811" s="379" t="n">
        <x:v>51462</x:v>
      </x:c>
      <x:c r="B5811" s="380" t="n">
        <x:v>2040</x:v>
      </x:c>
      <x:c r="C5811" s="380" t="n">
        <x:v>11</x:v>
      </x:c>
      <x:c r="D5811" s="380" t="str">
        <x:v>Nov</x:v>
      </x:c>
      <x:c r="E5811" s="380" t="n">
        <x:v>22</x:v>
      </x:c>
      <x:c r="F5811" s="380" t="n">
        <x:v>4</x:v>
      </x:c>
      <x:c r="G5811" s="380" t="n">
        <x:f>--(F5811&lt;='Estimator'!$B$7)</x:f>
        <x:v>1</x:v>
      </x:c>
      <x:c r="H5811" s="381" t="n">
        <x:f>SUMIFS('Climate Data'!$G$7:$G$366,'Climate Data'!$A$7:$A$366,'Estimator'!$B$4,'Climate Data'!$B$7:$B$366,C5811)</x:f>
        <x:v>0.3111111111111111</x:v>
      </x:c>
      <x:c r="I5811" s="382" t="n">
        <x:f>SUMIFS('Climate Data'!$H$7:$H$366,'Climate Data'!$A$7:$A$366,'Estimator'!$B$4,'Climate Data'!$B$7:$B$366,C5811)</x:f>
        <x:v>7.382142857142857</x:v>
      </x:c>
      <x:c r="J5811" s="381" t="n">
        <x:f>SUMIFS('Wind Proxy'!$H$8:$H$19,'Wind Proxy'!$A$8:$A$19,'Estimator'!$B$4,'Wind Proxy'!$B$8:$B$19,C5811)</x:f>
        <x:v>0.22222222222222224</x:v>
      </x:c>
    </x:row>
    <x:row r="5812">
      <x:c r="A5812" s="379" t="n">
        <x:v>51463</x:v>
      </x:c>
      <x:c r="B5812" s="380" t="n">
        <x:v>2040</x:v>
      </x:c>
      <x:c r="C5812" s="380" t="n">
        <x:v>11</x:v>
      </x:c>
      <x:c r="D5812" s="380" t="str">
        <x:v>Nov</x:v>
      </x:c>
      <x:c r="E5812" s="380" t="n">
        <x:v>23</x:v>
      </x:c>
      <x:c r="F5812" s="380" t="n">
        <x:v>5</x:v>
      </x:c>
      <x:c r="G5812" s="380" t="n">
        <x:f>--(F5812&lt;='Estimator'!$B$7)</x:f>
        <x:v>1</x:v>
      </x:c>
      <x:c r="H5812" s="381" t="n">
        <x:f>SUMIFS('Climate Data'!$G$7:$G$366,'Climate Data'!$A$7:$A$366,'Estimator'!$B$4,'Climate Data'!$B$7:$B$366,C5812)</x:f>
        <x:v>0.3111111111111111</x:v>
      </x:c>
      <x:c r="I5812" s="382" t="n">
        <x:f>SUMIFS('Climate Data'!$H$7:$H$366,'Climate Data'!$A$7:$A$366,'Estimator'!$B$4,'Climate Data'!$B$7:$B$366,C5812)</x:f>
        <x:v>7.382142857142857</x:v>
      </x:c>
      <x:c r="J5812" s="381" t="n">
        <x:f>SUMIFS('Wind Proxy'!$H$8:$H$19,'Wind Proxy'!$A$8:$A$19,'Estimator'!$B$4,'Wind Proxy'!$B$8:$B$19,C5812)</x:f>
        <x:v>0.22222222222222224</x:v>
      </x:c>
    </x:row>
    <x:row r="5813">
      <x:c r="A5813" s="379" t="n">
        <x:v>51464</x:v>
      </x:c>
      <x:c r="B5813" s="380" t="n">
        <x:v>2040</x:v>
      </x:c>
      <x:c r="C5813" s="380" t="n">
        <x:v>11</x:v>
      </x:c>
      <x:c r="D5813" s="380" t="str">
        <x:v>Nov</x:v>
      </x:c>
      <x:c r="E5813" s="380" t="n">
        <x:v>24</x:v>
      </x:c>
      <x:c r="F5813" s="380" t="n">
        <x:v>6</x:v>
      </x:c>
      <x:c r="G5813" s="380" t="n">
        <x:f>--(F5813&lt;='Estimator'!$B$7)</x:f>
        <x:v>0</x:v>
      </x:c>
      <x:c r="H5813" s="381" t="n">
        <x:f>SUMIFS('Climate Data'!$G$7:$G$366,'Climate Data'!$A$7:$A$366,'Estimator'!$B$4,'Climate Data'!$B$7:$B$366,C5813)</x:f>
        <x:v>0.3111111111111111</x:v>
      </x:c>
      <x:c r="I5813" s="382" t="n">
        <x:f>SUMIFS('Climate Data'!$H$7:$H$366,'Climate Data'!$A$7:$A$366,'Estimator'!$B$4,'Climate Data'!$B$7:$B$366,C5813)</x:f>
        <x:v>7.382142857142857</x:v>
      </x:c>
      <x:c r="J5813" s="381" t="n">
        <x:f>SUMIFS('Wind Proxy'!$H$8:$H$19,'Wind Proxy'!$A$8:$A$19,'Estimator'!$B$4,'Wind Proxy'!$B$8:$B$19,C5813)</x:f>
        <x:v>0.22222222222222224</x:v>
      </x:c>
    </x:row>
    <x:row r="5814">
      <x:c r="A5814" s="379" t="n">
        <x:v>51465</x:v>
      </x:c>
      <x:c r="B5814" s="380" t="n">
        <x:v>2040</x:v>
      </x:c>
      <x:c r="C5814" s="380" t="n">
        <x:v>11</x:v>
      </x:c>
      <x:c r="D5814" s="380" t="str">
        <x:v>Nov</x:v>
      </x:c>
      <x:c r="E5814" s="380" t="n">
        <x:v>25</x:v>
      </x:c>
      <x:c r="F5814" s="380" t="n">
        <x:v>7</x:v>
      </x:c>
      <x:c r="G5814" s="380" t="n">
        <x:f>--(F5814&lt;='Estimator'!$B$7)</x:f>
        <x:v>0</x:v>
      </x:c>
      <x:c r="H5814" s="381" t="n">
        <x:f>SUMIFS('Climate Data'!$G$7:$G$366,'Climate Data'!$A$7:$A$366,'Estimator'!$B$4,'Climate Data'!$B$7:$B$366,C5814)</x:f>
        <x:v>0.3111111111111111</x:v>
      </x:c>
      <x:c r="I5814" s="382" t="n">
        <x:f>SUMIFS('Climate Data'!$H$7:$H$366,'Climate Data'!$A$7:$A$366,'Estimator'!$B$4,'Climate Data'!$B$7:$B$366,C5814)</x:f>
        <x:v>7.382142857142857</x:v>
      </x:c>
      <x:c r="J5814" s="381" t="n">
        <x:f>SUMIFS('Wind Proxy'!$H$8:$H$19,'Wind Proxy'!$A$8:$A$19,'Estimator'!$B$4,'Wind Proxy'!$B$8:$B$19,C5814)</x:f>
        <x:v>0.22222222222222224</x:v>
      </x:c>
    </x:row>
    <x:row r="5815">
      <x:c r="A5815" s="379" t="n">
        <x:v>51466</x:v>
      </x:c>
      <x:c r="B5815" s="380" t="n">
        <x:v>2040</x:v>
      </x:c>
      <x:c r="C5815" s="380" t="n">
        <x:v>11</x:v>
      </x:c>
      <x:c r="D5815" s="380" t="str">
        <x:v>Nov</x:v>
      </x:c>
      <x:c r="E5815" s="380" t="n">
        <x:v>26</x:v>
      </x:c>
      <x:c r="F5815" s="380" t="n">
        <x:v>1</x:v>
      </x:c>
      <x:c r="G5815" s="380" t="n">
        <x:f>--(F5815&lt;='Estimator'!$B$7)</x:f>
        <x:v>1</x:v>
      </x:c>
      <x:c r="H5815" s="381" t="n">
        <x:f>SUMIFS('Climate Data'!$G$7:$G$366,'Climate Data'!$A$7:$A$366,'Estimator'!$B$4,'Climate Data'!$B$7:$B$366,C5815)</x:f>
        <x:v>0.3111111111111111</x:v>
      </x:c>
      <x:c r="I5815" s="382" t="n">
        <x:f>SUMIFS('Climate Data'!$H$7:$H$366,'Climate Data'!$A$7:$A$366,'Estimator'!$B$4,'Climate Data'!$B$7:$B$366,C5815)</x:f>
        <x:v>7.382142857142857</x:v>
      </x:c>
      <x:c r="J5815" s="381" t="n">
        <x:f>SUMIFS('Wind Proxy'!$H$8:$H$19,'Wind Proxy'!$A$8:$A$19,'Estimator'!$B$4,'Wind Proxy'!$B$8:$B$19,C5815)</x:f>
        <x:v>0.22222222222222224</x:v>
      </x:c>
    </x:row>
    <x:row r="5816">
      <x:c r="A5816" s="379" t="n">
        <x:v>51467</x:v>
      </x:c>
      <x:c r="B5816" s="380" t="n">
        <x:v>2040</x:v>
      </x:c>
      <x:c r="C5816" s="380" t="n">
        <x:v>11</x:v>
      </x:c>
      <x:c r="D5816" s="380" t="str">
        <x:v>Nov</x:v>
      </x:c>
      <x:c r="E5816" s="380" t="n">
        <x:v>27</x:v>
      </x:c>
      <x:c r="F5816" s="380" t="n">
        <x:v>2</x:v>
      </x:c>
      <x:c r="G5816" s="380" t="n">
        <x:f>--(F5816&lt;='Estimator'!$B$7)</x:f>
        <x:v>1</x:v>
      </x:c>
      <x:c r="H5816" s="381" t="n">
        <x:f>SUMIFS('Climate Data'!$G$7:$G$366,'Climate Data'!$A$7:$A$366,'Estimator'!$B$4,'Climate Data'!$B$7:$B$366,C5816)</x:f>
        <x:v>0.3111111111111111</x:v>
      </x:c>
      <x:c r="I5816" s="382" t="n">
        <x:f>SUMIFS('Climate Data'!$H$7:$H$366,'Climate Data'!$A$7:$A$366,'Estimator'!$B$4,'Climate Data'!$B$7:$B$366,C5816)</x:f>
        <x:v>7.382142857142857</x:v>
      </x:c>
      <x:c r="J5816" s="381" t="n">
        <x:f>SUMIFS('Wind Proxy'!$H$8:$H$19,'Wind Proxy'!$A$8:$A$19,'Estimator'!$B$4,'Wind Proxy'!$B$8:$B$19,C5816)</x:f>
        <x:v>0.22222222222222224</x:v>
      </x:c>
    </x:row>
    <x:row r="5817">
      <x:c r="A5817" s="379" t="n">
        <x:v>51468</x:v>
      </x:c>
      <x:c r="B5817" s="380" t="n">
        <x:v>2040</x:v>
      </x:c>
      <x:c r="C5817" s="380" t="n">
        <x:v>11</x:v>
      </x:c>
      <x:c r="D5817" s="380" t="str">
        <x:v>Nov</x:v>
      </x:c>
      <x:c r="E5817" s="380" t="n">
        <x:v>28</x:v>
      </x:c>
      <x:c r="F5817" s="380" t="n">
        <x:v>3</x:v>
      </x:c>
      <x:c r="G5817" s="380" t="n">
        <x:f>--(F5817&lt;='Estimator'!$B$7)</x:f>
        <x:v>1</x:v>
      </x:c>
      <x:c r="H5817" s="381" t="n">
        <x:f>SUMIFS('Climate Data'!$G$7:$G$366,'Climate Data'!$A$7:$A$366,'Estimator'!$B$4,'Climate Data'!$B$7:$B$366,C5817)</x:f>
        <x:v>0.3111111111111111</x:v>
      </x:c>
      <x:c r="I5817" s="382" t="n">
        <x:f>SUMIFS('Climate Data'!$H$7:$H$366,'Climate Data'!$A$7:$A$366,'Estimator'!$B$4,'Climate Data'!$B$7:$B$366,C5817)</x:f>
        <x:v>7.382142857142857</x:v>
      </x:c>
      <x:c r="J5817" s="381" t="n">
        <x:f>SUMIFS('Wind Proxy'!$H$8:$H$19,'Wind Proxy'!$A$8:$A$19,'Estimator'!$B$4,'Wind Proxy'!$B$8:$B$19,C5817)</x:f>
        <x:v>0.22222222222222224</x:v>
      </x:c>
    </x:row>
    <x:row r="5818">
      <x:c r="A5818" s="379" t="n">
        <x:v>51469</x:v>
      </x:c>
      <x:c r="B5818" s="380" t="n">
        <x:v>2040</x:v>
      </x:c>
      <x:c r="C5818" s="380" t="n">
        <x:v>11</x:v>
      </x:c>
      <x:c r="D5818" s="380" t="str">
        <x:v>Nov</x:v>
      </x:c>
      <x:c r="E5818" s="380" t="n">
        <x:v>29</x:v>
      </x:c>
      <x:c r="F5818" s="380" t="n">
        <x:v>4</x:v>
      </x:c>
      <x:c r="G5818" s="380" t="n">
        <x:f>--(F5818&lt;='Estimator'!$B$7)</x:f>
        <x:v>1</x:v>
      </x:c>
      <x:c r="H5818" s="381" t="n">
        <x:f>SUMIFS('Climate Data'!$G$7:$G$366,'Climate Data'!$A$7:$A$366,'Estimator'!$B$4,'Climate Data'!$B$7:$B$366,C5818)</x:f>
        <x:v>0.3111111111111111</x:v>
      </x:c>
      <x:c r="I5818" s="382" t="n">
        <x:f>SUMIFS('Climate Data'!$H$7:$H$366,'Climate Data'!$A$7:$A$366,'Estimator'!$B$4,'Climate Data'!$B$7:$B$366,C5818)</x:f>
        <x:v>7.382142857142857</x:v>
      </x:c>
      <x:c r="J5818" s="381" t="n">
        <x:f>SUMIFS('Wind Proxy'!$H$8:$H$19,'Wind Proxy'!$A$8:$A$19,'Estimator'!$B$4,'Wind Proxy'!$B$8:$B$19,C5818)</x:f>
        <x:v>0.22222222222222224</x:v>
      </x:c>
    </x:row>
    <x:row r="5819">
      <x:c r="A5819" s="379" t="n">
        <x:v>51470</x:v>
      </x:c>
      <x:c r="B5819" s="380" t="n">
        <x:v>2040</x:v>
      </x:c>
      <x:c r="C5819" s="380" t="n">
        <x:v>11</x:v>
      </x:c>
      <x:c r="D5819" s="380" t="str">
        <x:v>Nov</x:v>
      </x:c>
      <x:c r="E5819" s="380" t="n">
        <x:v>30</x:v>
      </x:c>
      <x:c r="F5819" s="380" t="n">
        <x:v>5</x:v>
      </x:c>
      <x:c r="G5819" s="380" t="n">
        <x:f>--(F5819&lt;='Estimator'!$B$7)</x:f>
        <x:v>1</x:v>
      </x:c>
      <x:c r="H5819" s="381" t="n">
        <x:f>SUMIFS('Climate Data'!$G$7:$G$366,'Climate Data'!$A$7:$A$366,'Estimator'!$B$4,'Climate Data'!$B$7:$B$366,C5819)</x:f>
        <x:v>0.3111111111111111</x:v>
      </x:c>
      <x:c r="I5819" s="382" t="n">
        <x:f>SUMIFS('Climate Data'!$H$7:$H$366,'Climate Data'!$A$7:$A$366,'Estimator'!$B$4,'Climate Data'!$B$7:$B$366,C5819)</x:f>
        <x:v>7.382142857142857</x:v>
      </x:c>
      <x:c r="J5819" s="381" t="n">
        <x:f>SUMIFS('Wind Proxy'!$H$8:$H$19,'Wind Proxy'!$A$8:$A$19,'Estimator'!$B$4,'Wind Proxy'!$B$8:$B$19,C5819)</x:f>
        <x:v>0.22222222222222224</x:v>
      </x:c>
    </x:row>
    <x:row r="5820">
      <x:c r="A5820" s="379" t="n">
        <x:v>51471</x:v>
      </x:c>
      <x:c r="B5820" s="380" t="n">
        <x:v>2040</x:v>
      </x:c>
      <x:c r="C5820" s="380" t="n">
        <x:v>12</x:v>
      </x:c>
      <x:c r="D5820" s="380" t="str">
        <x:v>Dec</x:v>
      </x:c>
      <x:c r="E5820" s="380" t="n">
        <x:v>1</x:v>
      </x:c>
      <x:c r="F5820" s="380" t="n">
        <x:v>6</x:v>
      </x:c>
      <x:c r="G5820" s="380" t="n">
        <x:f>--(F5820&lt;='Estimator'!$B$7)</x:f>
        <x:v>0</x:v>
      </x:c>
      <x:c r="H5820" s="381" t="n">
        <x:f>SUMIFS('Climate Data'!$G$7:$G$366,'Climate Data'!$A$7:$A$366,'Estimator'!$B$4,'Climate Data'!$B$7:$B$366,C5820)</x:f>
        <x:v>0.2914349276974416</x:v>
      </x:c>
      <x:c r="I5820" s="382" t="n">
        <x:f>SUMIFS('Climate Data'!$H$7:$H$366,'Climate Data'!$A$7:$A$366,'Estimator'!$B$4,'Climate Data'!$B$7:$B$366,C5820)</x:f>
        <x:v>9.043129770992365</x:v>
      </x:c>
      <x:c r="J5820" s="381" t="n">
        <x:f>SUMIFS('Wind Proxy'!$H$8:$H$19,'Wind Proxy'!$A$8:$A$19,'Estimator'!$B$4,'Wind Proxy'!$B$8:$B$19,C5820)</x:f>
        <x:v>0.12544802867383514</x:v>
      </x:c>
    </x:row>
    <x:row r="5821">
      <x:c r="A5821" s="379" t="n">
        <x:v>51472</x:v>
      </x:c>
      <x:c r="B5821" s="380" t="n">
        <x:v>2040</x:v>
      </x:c>
      <x:c r="C5821" s="380" t="n">
        <x:v>12</x:v>
      </x:c>
      <x:c r="D5821" s="380" t="str">
        <x:v>Dec</x:v>
      </x:c>
      <x:c r="E5821" s="380" t="n">
        <x:v>2</x:v>
      </x:c>
      <x:c r="F5821" s="380" t="n">
        <x:v>7</x:v>
      </x:c>
      <x:c r="G5821" s="380" t="n">
        <x:f>--(F5821&lt;='Estimator'!$B$7)</x:f>
        <x:v>0</x:v>
      </x:c>
      <x:c r="H5821" s="381" t="n">
        <x:f>SUMIFS('Climate Data'!$G$7:$G$366,'Climate Data'!$A$7:$A$366,'Estimator'!$B$4,'Climate Data'!$B$7:$B$366,C5821)</x:f>
        <x:v>0.2914349276974416</x:v>
      </x:c>
      <x:c r="I5821" s="382" t="n">
        <x:f>SUMIFS('Climate Data'!$H$7:$H$366,'Climate Data'!$A$7:$A$366,'Estimator'!$B$4,'Climate Data'!$B$7:$B$366,C5821)</x:f>
        <x:v>9.043129770992365</x:v>
      </x:c>
      <x:c r="J5821" s="381" t="n">
        <x:f>SUMIFS('Wind Proxy'!$H$8:$H$19,'Wind Proxy'!$A$8:$A$19,'Estimator'!$B$4,'Wind Proxy'!$B$8:$B$19,C5821)</x:f>
        <x:v>0.12544802867383514</x:v>
      </x:c>
    </x:row>
    <x:row r="5822">
      <x:c r="A5822" s="379" t="n">
        <x:v>51473</x:v>
      </x:c>
      <x:c r="B5822" s="380" t="n">
        <x:v>2040</x:v>
      </x:c>
      <x:c r="C5822" s="380" t="n">
        <x:v>12</x:v>
      </x:c>
      <x:c r="D5822" s="380" t="str">
        <x:v>Dec</x:v>
      </x:c>
      <x:c r="E5822" s="380" t="n">
        <x:v>3</x:v>
      </x:c>
      <x:c r="F5822" s="380" t="n">
        <x:v>1</x:v>
      </x:c>
      <x:c r="G5822" s="380" t="n">
        <x:f>--(F5822&lt;='Estimator'!$B$7)</x:f>
        <x:v>1</x:v>
      </x:c>
      <x:c r="H5822" s="381" t="n">
        <x:f>SUMIFS('Climate Data'!$G$7:$G$366,'Climate Data'!$A$7:$A$366,'Estimator'!$B$4,'Climate Data'!$B$7:$B$366,C5822)</x:f>
        <x:v>0.2914349276974416</x:v>
      </x:c>
      <x:c r="I5822" s="382" t="n">
        <x:f>SUMIFS('Climate Data'!$H$7:$H$366,'Climate Data'!$A$7:$A$366,'Estimator'!$B$4,'Climate Data'!$B$7:$B$366,C5822)</x:f>
        <x:v>9.043129770992365</x:v>
      </x:c>
      <x:c r="J5822" s="381" t="n">
        <x:f>SUMIFS('Wind Proxy'!$H$8:$H$19,'Wind Proxy'!$A$8:$A$19,'Estimator'!$B$4,'Wind Proxy'!$B$8:$B$19,C5822)</x:f>
        <x:v>0.12544802867383514</x:v>
      </x:c>
    </x:row>
    <x:row r="5823">
      <x:c r="A5823" s="379" t="n">
        <x:v>51474</x:v>
      </x:c>
      <x:c r="B5823" s="380" t="n">
        <x:v>2040</x:v>
      </x:c>
      <x:c r="C5823" s="380" t="n">
        <x:v>12</x:v>
      </x:c>
      <x:c r="D5823" s="380" t="str">
        <x:v>Dec</x:v>
      </x:c>
      <x:c r="E5823" s="380" t="n">
        <x:v>4</x:v>
      </x:c>
      <x:c r="F5823" s="380" t="n">
        <x:v>2</x:v>
      </x:c>
      <x:c r="G5823" s="380" t="n">
        <x:f>--(F5823&lt;='Estimator'!$B$7)</x:f>
        <x:v>1</x:v>
      </x:c>
      <x:c r="H5823" s="381" t="n">
        <x:f>SUMIFS('Climate Data'!$G$7:$G$366,'Climate Data'!$A$7:$A$366,'Estimator'!$B$4,'Climate Data'!$B$7:$B$366,C5823)</x:f>
        <x:v>0.2914349276974416</x:v>
      </x:c>
      <x:c r="I5823" s="382" t="n">
        <x:f>SUMIFS('Climate Data'!$H$7:$H$366,'Climate Data'!$A$7:$A$366,'Estimator'!$B$4,'Climate Data'!$B$7:$B$366,C5823)</x:f>
        <x:v>9.043129770992365</x:v>
      </x:c>
      <x:c r="J5823" s="381" t="n">
        <x:f>SUMIFS('Wind Proxy'!$H$8:$H$19,'Wind Proxy'!$A$8:$A$19,'Estimator'!$B$4,'Wind Proxy'!$B$8:$B$19,C5823)</x:f>
        <x:v>0.12544802867383514</x:v>
      </x:c>
    </x:row>
    <x:row r="5824">
      <x:c r="A5824" s="379" t="n">
        <x:v>51475</x:v>
      </x:c>
      <x:c r="B5824" s="380" t="n">
        <x:v>2040</x:v>
      </x:c>
      <x:c r="C5824" s="380" t="n">
        <x:v>12</x:v>
      </x:c>
      <x:c r="D5824" s="380" t="str">
        <x:v>Dec</x:v>
      </x:c>
      <x:c r="E5824" s="380" t="n">
        <x:v>5</x:v>
      </x:c>
      <x:c r="F5824" s="380" t="n">
        <x:v>3</x:v>
      </x:c>
      <x:c r="G5824" s="380" t="n">
        <x:f>--(F5824&lt;='Estimator'!$B$7)</x:f>
        <x:v>1</x:v>
      </x:c>
      <x:c r="H5824" s="381" t="n">
        <x:f>SUMIFS('Climate Data'!$G$7:$G$366,'Climate Data'!$A$7:$A$366,'Estimator'!$B$4,'Climate Data'!$B$7:$B$366,C5824)</x:f>
        <x:v>0.2914349276974416</x:v>
      </x:c>
      <x:c r="I5824" s="382" t="n">
        <x:f>SUMIFS('Climate Data'!$H$7:$H$366,'Climate Data'!$A$7:$A$366,'Estimator'!$B$4,'Climate Data'!$B$7:$B$366,C5824)</x:f>
        <x:v>9.043129770992365</x:v>
      </x:c>
      <x:c r="J5824" s="381" t="n">
        <x:f>SUMIFS('Wind Proxy'!$H$8:$H$19,'Wind Proxy'!$A$8:$A$19,'Estimator'!$B$4,'Wind Proxy'!$B$8:$B$19,C5824)</x:f>
        <x:v>0.12544802867383514</x:v>
      </x:c>
    </x:row>
    <x:row r="5825">
      <x:c r="A5825" s="379" t="n">
        <x:v>51476</x:v>
      </x:c>
      <x:c r="B5825" s="380" t="n">
        <x:v>2040</x:v>
      </x:c>
      <x:c r="C5825" s="380" t="n">
        <x:v>12</x:v>
      </x:c>
      <x:c r="D5825" s="380" t="str">
        <x:v>Dec</x:v>
      </x:c>
      <x:c r="E5825" s="380" t="n">
        <x:v>6</x:v>
      </x:c>
      <x:c r="F5825" s="380" t="n">
        <x:v>4</x:v>
      </x:c>
      <x:c r="G5825" s="380" t="n">
        <x:f>--(F5825&lt;='Estimator'!$B$7)</x:f>
        <x:v>1</x:v>
      </x:c>
      <x:c r="H5825" s="381" t="n">
        <x:f>SUMIFS('Climate Data'!$G$7:$G$366,'Climate Data'!$A$7:$A$366,'Estimator'!$B$4,'Climate Data'!$B$7:$B$366,C5825)</x:f>
        <x:v>0.2914349276974416</x:v>
      </x:c>
      <x:c r="I5825" s="382" t="n">
        <x:f>SUMIFS('Climate Data'!$H$7:$H$366,'Climate Data'!$A$7:$A$366,'Estimator'!$B$4,'Climate Data'!$B$7:$B$366,C5825)</x:f>
        <x:v>9.043129770992365</x:v>
      </x:c>
      <x:c r="J5825" s="381" t="n">
        <x:f>SUMIFS('Wind Proxy'!$H$8:$H$19,'Wind Proxy'!$A$8:$A$19,'Estimator'!$B$4,'Wind Proxy'!$B$8:$B$19,C5825)</x:f>
        <x:v>0.12544802867383514</x:v>
      </x:c>
    </x:row>
    <x:row r="5826">
      <x:c r="A5826" s="379" t="n">
        <x:v>51477</x:v>
      </x:c>
      <x:c r="B5826" s="380" t="n">
        <x:v>2040</x:v>
      </x:c>
      <x:c r="C5826" s="380" t="n">
        <x:v>12</x:v>
      </x:c>
      <x:c r="D5826" s="380" t="str">
        <x:v>Dec</x:v>
      </x:c>
      <x:c r="E5826" s="380" t="n">
        <x:v>7</x:v>
      </x:c>
      <x:c r="F5826" s="380" t="n">
        <x:v>5</x:v>
      </x:c>
      <x:c r="G5826" s="380" t="n">
        <x:f>--(F5826&lt;='Estimator'!$B$7)</x:f>
        <x:v>1</x:v>
      </x:c>
      <x:c r="H5826" s="381" t="n">
        <x:f>SUMIFS('Climate Data'!$G$7:$G$366,'Climate Data'!$A$7:$A$366,'Estimator'!$B$4,'Climate Data'!$B$7:$B$366,C5826)</x:f>
        <x:v>0.2914349276974416</x:v>
      </x:c>
      <x:c r="I5826" s="382" t="n">
        <x:f>SUMIFS('Climate Data'!$H$7:$H$366,'Climate Data'!$A$7:$A$366,'Estimator'!$B$4,'Climate Data'!$B$7:$B$366,C5826)</x:f>
        <x:v>9.043129770992365</x:v>
      </x:c>
      <x:c r="J5826" s="381" t="n">
        <x:f>SUMIFS('Wind Proxy'!$H$8:$H$19,'Wind Proxy'!$A$8:$A$19,'Estimator'!$B$4,'Wind Proxy'!$B$8:$B$19,C5826)</x:f>
        <x:v>0.12544802867383514</x:v>
      </x:c>
    </x:row>
    <x:row r="5827">
      <x:c r="A5827" s="379" t="n">
        <x:v>51478</x:v>
      </x:c>
      <x:c r="B5827" s="380" t="n">
        <x:v>2040</x:v>
      </x:c>
      <x:c r="C5827" s="380" t="n">
        <x:v>12</x:v>
      </x:c>
      <x:c r="D5827" s="380" t="str">
        <x:v>Dec</x:v>
      </x:c>
      <x:c r="E5827" s="380" t="n">
        <x:v>8</x:v>
      </x:c>
      <x:c r="F5827" s="380" t="n">
        <x:v>6</x:v>
      </x:c>
      <x:c r="G5827" s="380" t="n">
        <x:f>--(F5827&lt;='Estimator'!$B$7)</x:f>
        <x:v>0</x:v>
      </x:c>
      <x:c r="H5827" s="381" t="n">
        <x:f>SUMIFS('Climate Data'!$G$7:$G$366,'Climate Data'!$A$7:$A$366,'Estimator'!$B$4,'Climate Data'!$B$7:$B$366,C5827)</x:f>
        <x:v>0.2914349276974416</x:v>
      </x:c>
      <x:c r="I5827" s="382" t="n">
        <x:f>SUMIFS('Climate Data'!$H$7:$H$366,'Climate Data'!$A$7:$A$366,'Estimator'!$B$4,'Climate Data'!$B$7:$B$366,C5827)</x:f>
        <x:v>9.043129770992365</x:v>
      </x:c>
      <x:c r="J5827" s="381" t="n">
        <x:f>SUMIFS('Wind Proxy'!$H$8:$H$19,'Wind Proxy'!$A$8:$A$19,'Estimator'!$B$4,'Wind Proxy'!$B$8:$B$19,C5827)</x:f>
        <x:v>0.12544802867383514</x:v>
      </x:c>
    </x:row>
    <x:row r="5828">
      <x:c r="A5828" s="379" t="n">
        <x:v>51479</x:v>
      </x:c>
      <x:c r="B5828" s="380" t="n">
        <x:v>2040</x:v>
      </x:c>
      <x:c r="C5828" s="380" t="n">
        <x:v>12</x:v>
      </x:c>
      <x:c r="D5828" s="380" t="str">
        <x:v>Dec</x:v>
      </x:c>
      <x:c r="E5828" s="380" t="n">
        <x:v>9</x:v>
      </x:c>
      <x:c r="F5828" s="380" t="n">
        <x:v>7</x:v>
      </x:c>
      <x:c r="G5828" s="380" t="n">
        <x:f>--(F5828&lt;='Estimator'!$B$7)</x:f>
        <x:v>0</x:v>
      </x:c>
      <x:c r="H5828" s="381" t="n">
        <x:f>SUMIFS('Climate Data'!$G$7:$G$366,'Climate Data'!$A$7:$A$366,'Estimator'!$B$4,'Climate Data'!$B$7:$B$366,C5828)</x:f>
        <x:v>0.2914349276974416</x:v>
      </x:c>
      <x:c r="I5828" s="382" t="n">
        <x:f>SUMIFS('Climate Data'!$H$7:$H$366,'Climate Data'!$A$7:$A$366,'Estimator'!$B$4,'Climate Data'!$B$7:$B$366,C5828)</x:f>
        <x:v>9.043129770992365</x:v>
      </x:c>
      <x:c r="J5828" s="381" t="n">
        <x:f>SUMIFS('Wind Proxy'!$H$8:$H$19,'Wind Proxy'!$A$8:$A$19,'Estimator'!$B$4,'Wind Proxy'!$B$8:$B$19,C5828)</x:f>
        <x:v>0.12544802867383514</x:v>
      </x:c>
    </x:row>
    <x:row r="5829">
      <x:c r="A5829" s="379" t="n">
        <x:v>51480</x:v>
      </x:c>
      <x:c r="B5829" s="380" t="n">
        <x:v>2040</x:v>
      </x:c>
      <x:c r="C5829" s="380" t="n">
        <x:v>12</x:v>
      </x:c>
      <x:c r="D5829" s="380" t="str">
        <x:v>Dec</x:v>
      </x:c>
      <x:c r="E5829" s="380" t="n">
        <x:v>10</x:v>
      </x:c>
      <x:c r="F5829" s="380" t="n">
        <x:v>1</x:v>
      </x:c>
      <x:c r="G5829" s="380" t="n">
        <x:f>--(F5829&lt;='Estimator'!$B$7)</x:f>
        <x:v>1</x:v>
      </x:c>
      <x:c r="H5829" s="381" t="n">
        <x:f>SUMIFS('Climate Data'!$G$7:$G$366,'Climate Data'!$A$7:$A$366,'Estimator'!$B$4,'Climate Data'!$B$7:$B$366,C5829)</x:f>
        <x:v>0.2914349276974416</x:v>
      </x:c>
      <x:c r="I5829" s="382" t="n">
        <x:f>SUMIFS('Climate Data'!$H$7:$H$366,'Climate Data'!$A$7:$A$366,'Estimator'!$B$4,'Climate Data'!$B$7:$B$366,C5829)</x:f>
        <x:v>9.043129770992365</x:v>
      </x:c>
      <x:c r="J5829" s="381" t="n">
        <x:f>SUMIFS('Wind Proxy'!$H$8:$H$19,'Wind Proxy'!$A$8:$A$19,'Estimator'!$B$4,'Wind Proxy'!$B$8:$B$19,C5829)</x:f>
        <x:v>0.12544802867383514</x:v>
      </x:c>
    </x:row>
    <x:row r="5830">
      <x:c r="A5830" s="379" t="n">
        <x:v>51481</x:v>
      </x:c>
      <x:c r="B5830" s="380" t="n">
        <x:v>2040</x:v>
      </x:c>
      <x:c r="C5830" s="380" t="n">
        <x:v>12</x:v>
      </x:c>
      <x:c r="D5830" s="380" t="str">
        <x:v>Dec</x:v>
      </x:c>
      <x:c r="E5830" s="380" t="n">
        <x:v>11</x:v>
      </x:c>
      <x:c r="F5830" s="380" t="n">
        <x:v>2</x:v>
      </x:c>
      <x:c r="G5830" s="380" t="n">
        <x:f>--(F5830&lt;='Estimator'!$B$7)</x:f>
        <x:v>1</x:v>
      </x:c>
      <x:c r="H5830" s="381" t="n">
        <x:f>SUMIFS('Climate Data'!$G$7:$G$366,'Climate Data'!$A$7:$A$366,'Estimator'!$B$4,'Climate Data'!$B$7:$B$366,C5830)</x:f>
        <x:v>0.2914349276974416</x:v>
      </x:c>
      <x:c r="I5830" s="382" t="n">
        <x:f>SUMIFS('Climate Data'!$H$7:$H$366,'Climate Data'!$A$7:$A$366,'Estimator'!$B$4,'Climate Data'!$B$7:$B$366,C5830)</x:f>
        <x:v>9.043129770992365</x:v>
      </x:c>
      <x:c r="J5830" s="381" t="n">
        <x:f>SUMIFS('Wind Proxy'!$H$8:$H$19,'Wind Proxy'!$A$8:$A$19,'Estimator'!$B$4,'Wind Proxy'!$B$8:$B$19,C5830)</x:f>
        <x:v>0.12544802867383514</x:v>
      </x:c>
    </x:row>
    <x:row r="5831">
      <x:c r="A5831" s="379" t="n">
        <x:v>51482</x:v>
      </x:c>
      <x:c r="B5831" s="380" t="n">
        <x:v>2040</x:v>
      </x:c>
      <x:c r="C5831" s="380" t="n">
        <x:v>12</x:v>
      </x:c>
      <x:c r="D5831" s="380" t="str">
        <x:v>Dec</x:v>
      </x:c>
      <x:c r="E5831" s="380" t="n">
        <x:v>12</x:v>
      </x:c>
      <x:c r="F5831" s="380" t="n">
        <x:v>3</x:v>
      </x:c>
      <x:c r="G5831" s="380" t="n">
        <x:f>--(F5831&lt;='Estimator'!$B$7)</x:f>
        <x:v>1</x:v>
      </x:c>
      <x:c r="H5831" s="381" t="n">
        <x:f>SUMIFS('Climate Data'!$G$7:$G$366,'Climate Data'!$A$7:$A$366,'Estimator'!$B$4,'Climate Data'!$B$7:$B$366,C5831)</x:f>
        <x:v>0.2914349276974416</x:v>
      </x:c>
      <x:c r="I5831" s="382" t="n">
        <x:f>SUMIFS('Climate Data'!$H$7:$H$366,'Climate Data'!$A$7:$A$366,'Estimator'!$B$4,'Climate Data'!$B$7:$B$366,C5831)</x:f>
        <x:v>9.043129770992365</x:v>
      </x:c>
      <x:c r="J5831" s="381" t="n">
        <x:f>SUMIFS('Wind Proxy'!$H$8:$H$19,'Wind Proxy'!$A$8:$A$19,'Estimator'!$B$4,'Wind Proxy'!$B$8:$B$19,C5831)</x:f>
        <x:v>0.12544802867383514</x:v>
      </x:c>
    </x:row>
    <x:row r="5832">
      <x:c r="A5832" s="379" t="n">
        <x:v>51483</x:v>
      </x:c>
      <x:c r="B5832" s="380" t="n">
        <x:v>2040</x:v>
      </x:c>
      <x:c r="C5832" s="380" t="n">
        <x:v>12</x:v>
      </x:c>
      <x:c r="D5832" s="380" t="str">
        <x:v>Dec</x:v>
      </x:c>
      <x:c r="E5832" s="380" t="n">
        <x:v>13</x:v>
      </x:c>
      <x:c r="F5832" s="380" t="n">
        <x:v>4</x:v>
      </x:c>
      <x:c r="G5832" s="380" t="n">
        <x:f>--(F5832&lt;='Estimator'!$B$7)</x:f>
        <x:v>1</x:v>
      </x:c>
      <x:c r="H5832" s="381" t="n">
        <x:f>SUMIFS('Climate Data'!$G$7:$G$366,'Climate Data'!$A$7:$A$366,'Estimator'!$B$4,'Climate Data'!$B$7:$B$366,C5832)</x:f>
        <x:v>0.2914349276974416</x:v>
      </x:c>
      <x:c r="I5832" s="382" t="n">
        <x:f>SUMIFS('Climate Data'!$H$7:$H$366,'Climate Data'!$A$7:$A$366,'Estimator'!$B$4,'Climate Data'!$B$7:$B$366,C5832)</x:f>
        <x:v>9.043129770992365</x:v>
      </x:c>
      <x:c r="J5832" s="381" t="n">
        <x:f>SUMIFS('Wind Proxy'!$H$8:$H$19,'Wind Proxy'!$A$8:$A$19,'Estimator'!$B$4,'Wind Proxy'!$B$8:$B$19,C5832)</x:f>
        <x:v>0.12544802867383514</x:v>
      </x:c>
    </x:row>
    <x:row r="5833">
      <x:c r="A5833" s="379" t="n">
        <x:v>51484</x:v>
      </x:c>
      <x:c r="B5833" s="380" t="n">
        <x:v>2040</x:v>
      </x:c>
      <x:c r="C5833" s="380" t="n">
        <x:v>12</x:v>
      </x:c>
      <x:c r="D5833" s="380" t="str">
        <x:v>Dec</x:v>
      </x:c>
      <x:c r="E5833" s="380" t="n">
        <x:v>14</x:v>
      </x:c>
      <x:c r="F5833" s="380" t="n">
        <x:v>5</x:v>
      </x:c>
      <x:c r="G5833" s="380" t="n">
        <x:f>--(F5833&lt;='Estimator'!$B$7)</x:f>
        <x:v>1</x:v>
      </x:c>
      <x:c r="H5833" s="381" t="n">
        <x:f>SUMIFS('Climate Data'!$G$7:$G$366,'Climate Data'!$A$7:$A$366,'Estimator'!$B$4,'Climate Data'!$B$7:$B$366,C5833)</x:f>
        <x:v>0.2914349276974416</x:v>
      </x:c>
      <x:c r="I5833" s="382" t="n">
        <x:f>SUMIFS('Climate Data'!$H$7:$H$366,'Climate Data'!$A$7:$A$366,'Estimator'!$B$4,'Climate Data'!$B$7:$B$366,C5833)</x:f>
        <x:v>9.043129770992365</x:v>
      </x:c>
      <x:c r="J5833" s="381" t="n">
        <x:f>SUMIFS('Wind Proxy'!$H$8:$H$19,'Wind Proxy'!$A$8:$A$19,'Estimator'!$B$4,'Wind Proxy'!$B$8:$B$19,C5833)</x:f>
        <x:v>0.12544802867383514</x:v>
      </x:c>
    </x:row>
    <x:row r="5834">
      <x:c r="A5834" s="379" t="n">
        <x:v>51485</x:v>
      </x:c>
      <x:c r="B5834" s="380" t="n">
        <x:v>2040</x:v>
      </x:c>
      <x:c r="C5834" s="380" t="n">
        <x:v>12</x:v>
      </x:c>
      <x:c r="D5834" s="380" t="str">
        <x:v>Dec</x:v>
      </x:c>
      <x:c r="E5834" s="380" t="n">
        <x:v>15</x:v>
      </x:c>
      <x:c r="F5834" s="380" t="n">
        <x:v>6</x:v>
      </x:c>
      <x:c r="G5834" s="380" t="n">
        <x:f>--(F5834&lt;='Estimator'!$B$7)</x:f>
        <x:v>0</x:v>
      </x:c>
      <x:c r="H5834" s="381" t="n">
        <x:f>SUMIFS('Climate Data'!$G$7:$G$366,'Climate Data'!$A$7:$A$366,'Estimator'!$B$4,'Climate Data'!$B$7:$B$366,C5834)</x:f>
        <x:v>0.2914349276974416</x:v>
      </x:c>
      <x:c r="I5834" s="382" t="n">
        <x:f>SUMIFS('Climate Data'!$H$7:$H$366,'Climate Data'!$A$7:$A$366,'Estimator'!$B$4,'Climate Data'!$B$7:$B$366,C5834)</x:f>
        <x:v>9.043129770992365</x:v>
      </x:c>
      <x:c r="J5834" s="381" t="n">
        <x:f>SUMIFS('Wind Proxy'!$H$8:$H$19,'Wind Proxy'!$A$8:$A$19,'Estimator'!$B$4,'Wind Proxy'!$B$8:$B$19,C5834)</x:f>
        <x:v>0.12544802867383514</x:v>
      </x:c>
    </x:row>
    <x:row r="5835">
      <x:c r="A5835" s="379" t="n">
        <x:v>51486</x:v>
      </x:c>
      <x:c r="B5835" s="380" t="n">
        <x:v>2040</x:v>
      </x:c>
      <x:c r="C5835" s="380" t="n">
        <x:v>12</x:v>
      </x:c>
      <x:c r="D5835" s="380" t="str">
        <x:v>Dec</x:v>
      </x:c>
      <x:c r="E5835" s="380" t="n">
        <x:v>16</x:v>
      </x:c>
      <x:c r="F5835" s="380" t="n">
        <x:v>7</x:v>
      </x:c>
      <x:c r="G5835" s="380" t="n">
        <x:f>--(F5835&lt;='Estimator'!$B$7)</x:f>
        <x:v>0</x:v>
      </x:c>
      <x:c r="H5835" s="381" t="n">
        <x:f>SUMIFS('Climate Data'!$G$7:$G$366,'Climate Data'!$A$7:$A$366,'Estimator'!$B$4,'Climate Data'!$B$7:$B$366,C5835)</x:f>
        <x:v>0.2914349276974416</x:v>
      </x:c>
      <x:c r="I5835" s="382" t="n">
        <x:f>SUMIFS('Climate Data'!$H$7:$H$366,'Climate Data'!$A$7:$A$366,'Estimator'!$B$4,'Climate Data'!$B$7:$B$366,C5835)</x:f>
        <x:v>9.043129770992365</x:v>
      </x:c>
      <x:c r="J5835" s="381" t="n">
        <x:f>SUMIFS('Wind Proxy'!$H$8:$H$19,'Wind Proxy'!$A$8:$A$19,'Estimator'!$B$4,'Wind Proxy'!$B$8:$B$19,C5835)</x:f>
        <x:v>0.12544802867383514</x:v>
      </x:c>
    </x:row>
    <x:row r="5836">
      <x:c r="A5836" s="379" t="n">
        <x:v>51487</x:v>
      </x:c>
      <x:c r="B5836" s="380" t="n">
        <x:v>2040</x:v>
      </x:c>
      <x:c r="C5836" s="380" t="n">
        <x:v>12</x:v>
      </x:c>
      <x:c r="D5836" s="380" t="str">
        <x:v>Dec</x:v>
      </x:c>
      <x:c r="E5836" s="380" t="n">
        <x:v>17</x:v>
      </x:c>
      <x:c r="F5836" s="380" t="n">
        <x:v>1</x:v>
      </x:c>
      <x:c r="G5836" s="380" t="n">
        <x:f>--(F5836&lt;='Estimator'!$B$7)</x:f>
        <x:v>1</x:v>
      </x:c>
      <x:c r="H5836" s="381" t="n">
        <x:f>SUMIFS('Climate Data'!$G$7:$G$366,'Climate Data'!$A$7:$A$366,'Estimator'!$B$4,'Climate Data'!$B$7:$B$366,C5836)</x:f>
        <x:v>0.2914349276974416</x:v>
      </x:c>
      <x:c r="I5836" s="382" t="n">
        <x:f>SUMIFS('Climate Data'!$H$7:$H$366,'Climate Data'!$A$7:$A$366,'Estimator'!$B$4,'Climate Data'!$B$7:$B$366,C5836)</x:f>
        <x:v>9.043129770992365</x:v>
      </x:c>
      <x:c r="J5836" s="381" t="n">
        <x:f>SUMIFS('Wind Proxy'!$H$8:$H$19,'Wind Proxy'!$A$8:$A$19,'Estimator'!$B$4,'Wind Proxy'!$B$8:$B$19,C5836)</x:f>
        <x:v>0.12544802867383514</x:v>
      </x:c>
    </x:row>
    <x:row r="5837">
      <x:c r="A5837" s="379" t="n">
        <x:v>51488</x:v>
      </x:c>
      <x:c r="B5837" s="380" t="n">
        <x:v>2040</x:v>
      </x:c>
      <x:c r="C5837" s="380" t="n">
        <x:v>12</x:v>
      </x:c>
      <x:c r="D5837" s="380" t="str">
        <x:v>Dec</x:v>
      </x:c>
      <x:c r="E5837" s="380" t="n">
        <x:v>18</x:v>
      </x:c>
      <x:c r="F5837" s="380" t="n">
        <x:v>2</x:v>
      </x:c>
      <x:c r="G5837" s="380" t="n">
        <x:f>--(F5837&lt;='Estimator'!$B$7)</x:f>
        <x:v>1</x:v>
      </x:c>
      <x:c r="H5837" s="381" t="n">
        <x:f>SUMIFS('Climate Data'!$G$7:$G$366,'Climate Data'!$A$7:$A$366,'Estimator'!$B$4,'Climate Data'!$B$7:$B$366,C5837)</x:f>
        <x:v>0.2914349276974416</x:v>
      </x:c>
      <x:c r="I5837" s="382" t="n">
        <x:f>SUMIFS('Climate Data'!$H$7:$H$366,'Climate Data'!$A$7:$A$366,'Estimator'!$B$4,'Climate Data'!$B$7:$B$366,C5837)</x:f>
        <x:v>9.043129770992365</x:v>
      </x:c>
      <x:c r="J5837" s="381" t="n">
        <x:f>SUMIFS('Wind Proxy'!$H$8:$H$19,'Wind Proxy'!$A$8:$A$19,'Estimator'!$B$4,'Wind Proxy'!$B$8:$B$19,C5837)</x:f>
        <x:v>0.12544802867383514</x:v>
      </x:c>
    </x:row>
    <x:row r="5838">
      <x:c r="A5838" s="379" t="n">
        <x:v>51489</x:v>
      </x:c>
      <x:c r="B5838" s="380" t="n">
        <x:v>2040</x:v>
      </x:c>
      <x:c r="C5838" s="380" t="n">
        <x:v>12</x:v>
      </x:c>
      <x:c r="D5838" s="380" t="str">
        <x:v>Dec</x:v>
      </x:c>
      <x:c r="E5838" s="380" t="n">
        <x:v>19</x:v>
      </x:c>
      <x:c r="F5838" s="380" t="n">
        <x:v>3</x:v>
      </x:c>
      <x:c r="G5838" s="380" t="n">
        <x:f>--(F5838&lt;='Estimator'!$B$7)</x:f>
        <x:v>1</x:v>
      </x:c>
      <x:c r="H5838" s="381" t="n">
        <x:f>SUMIFS('Climate Data'!$G$7:$G$366,'Climate Data'!$A$7:$A$366,'Estimator'!$B$4,'Climate Data'!$B$7:$B$366,C5838)</x:f>
        <x:v>0.2914349276974416</x:v>
      </x:c>
      <x:c r="I5838" s="382" t="n">
        <x:f>SUMIFS('Climate Data'!$H$7:$H$366,'Climate Data'!$A$7:$A$366,'Estimator'!$B$4,'Climate Data'!$B$7:$B$366,C5838)</x:f>
        <x:v>9.043129770992365</x:v>
      </x:c>
      <x:c r="J5838" s="381" t="n">
        <x:f>SUMIFS('Wind Proxy'!$H$8:$H$19,'Wind Proxy'!$A$8:$A$19,'Estimator'!$B$4,'Wind Proxy'!$B$8:$B$19,C5838)</x:f>
        <x:v>0.12544802867383514</x:v>
      </x:c>
    </x:row>
    <x:row r="5839">
      <x:c r="A5839" s="379" t="n">
        <x:v>51490</x:v>
      </x:c>
      <x:c r="B5839" s="380" t="n">
        <x:v>2040</x:v>
      </x:c>
      <x:c r="C5839" s="380" t="n">
        <x:v>12</x:v>
      </x:c>
      <x:c r="D5839" s="380" t="str">
        <x:v>Dec</x:v>
      </x:c>
      <x:c r="E5839" s="380" t="n">
        <x:v>20</x:v>
      </x:c>
      <x:c r="F5839" s="380" t="n">
        <x:v>4</x:v>
      </x:c>
      <x:c r="G5839" s="380" t="n">
        <x:f>--(F5839&lt;='Estimator'!$B$7)</x:f>
        <x:v>1</x:v>
      </x:c>
      <x:c r="H5839" s="381" t="n">
        <x:f>SUMIFS('Climate Data'!$G$7:$G$366,'Climate Data'!$A$7:$A$366,'Estimator'!$B$4,'Climate Data'!$B$7:$B$366,C5839)</x:f>
        <x:v>0.2914349276974416</x:v>
      </x:c>
      <x:c r="I5839" s="382" t="n">
        <x:f>SUMIFS('Climate Data'!$H$7:$H$366,'Climate Data'!$A$7:$A$366,'Estimator'!$B$4,'Climate Data'!$B$7:$B$366,C5839)</x:f>
        <x:v>9.043129770992365</x:v>
      </x:c>
      <x:c r="J5839" s="381" t="n">
        <x:f>SUMIFS('Wind Proxy'!$H$8:$H$19,'Wind Proxy'!$A$8:$A$19,'Estimator'!$B$4,'Wind Proxy'!$B$8:$B$19,C5839)</x:f>
        <x:v>0.12544802867383514</x:v>
      </x:c>
    </x:row>
    <x:row r="5840">
      <x:c r="A5840" s="379" t="n">
        <x:v>51491</x:v>
      </x:c>
      <x:c r="B5840" s="380" t="n">
        <x:v>2040</x:v>
      </x:c>
      <x:c r="C5840" s="380" t="n">
        <x:v>12</x:v>
      </x:c>
      <x:c r="D5840" s="380" t="str">
        <x:v>Dec</x:v>
      </x:c>
      <x:c r="E5840" s="380" t="n">
        <x:v>21</x:v>
      </x:c>
      <x:c r="F5840" s="380" t="n">
        <x:v>5</x:v>
      </x:c>
      <x:c r="G5840" s="380" t="n">
        <x:f>--(F5840&lt;='Estimator'!$B$7)</x:f>
        <x:v>1</x:v>
      </x:c>
      <x:c r="H5840" s="381" t="n">
        <x:f>SUMIFS('Climate Data'!$G$7:$G$366,'Climate Data'!$A$7:$A$366,'Estimator'!$B$4,'Climate Data'!$B$7:$B$366,C5840)</x:f>
        <x:v>0.2914349276974416</x:v>
      </x:c>
      <x:c r="I5840" s="382" t="n">
        <x:f>SUMIFS('Climate Data'!$H$7:$H$366,'Climate Data'!$A$7:$A$366,'Estimator'!$B$4,'Climate Data'!$B$7:$B$366,C5840)</x:f>
        <x:v>9.043129770992365</x:v>
      </x:c>
      <x:c r="J5840" s="381" t="n">
        <x:f>SUMIFS('Wind Proxy'!$H$8:$H$19,'Wind Proxy'!$A$8:$A$19,'Estimator'!$B$4,'Wind Proxy'!$B$8:$B$19,C5840)</x:f>
        <x:v>0.12544802867383514</x:v>
      </x:c>
    </x:row>
    <x:row r="5841">
      <x:c r="A5841" s="379" t="n">
        <x:v>51492</x:v>
      </x:c>
      <x:c r="B5841" s="380" t="n">
        <x:v>2040</x:v>
      </x:c>
      <x:c r="C5841" s="380" t="n">
        <x:v>12</x:v>
      </x:c>
      <x:c r="D5841" s="380" t="str">
        <x:v>Dec</x:v>
      </x:c>
      <x:c r="E5841" s="380" t="n">
        <x:v>22</x:v>
      </x:c>
      <x:c r="F5841" s="380" t="n">
        <x:v>6</x:v>
      </x:c>
      <x:c r="G5841" s="380" t="n">
        <x:f>--(F5841&lt;='Estimator'!$B$7)</x:f>
        <x:v>0</x:v>
      </x:c>
      <x:c r="H5841" s="381" t="n">
        <x:f>SUMIFS('Climate Data'!$G$7:$G$366,'Climate Data'!$A$7:$A$366,'Estimator'!$B$4,'Climate Data'!$B$7:$B$366,C5841)</x:f>
        <x:v>0.2914349276974416</x:v>
      </x:c>
      <x:c r="I5841" s="382" t="n">
        <x:f>SUMIFS('Climate Data'!$H$7:$H$366,'Climate Data'!$A$7:$A$366,'Estimator'!$B$4,'Climate Data'!$B$7:$B$366,C5841)</x:f>
        <x:v>9.043129770992365</x:v>
      </x:c>
      <x:c r="J5841" s="381" t="n">
        <x:f>SUMIFS('Wind Proxy'!$H$8:$H$19,'Wind Proxy'!$A$8:$A$19,'Estimator'!$B$4,'Wind Proxy'!$B$8:$B$19,C5841)</x:f>
        <x:v>0.12544802867383514</x:v>
      </x:c>
    </x:row>
    <x:row r="5842">
      <x:c r="A5842" s="379" t="n">
        <x:v>51493</x:v>
      </x:c>
      <x:c r="B5842" s="380" t="n">
        <x:v>2040</x:v>
      </x:c>
      <x:c r="C5842" s="380" t="n">
        <x:v>12</x:v>
      </x:c>
      <x:c r="D5842" s="380" t="str">
        <x:v>Dec</x:v>
      </x:c>
      <x:c r="E5842" s="380" t="n">
        <x:v>23</x:v>
      </x:c>
      <x:c r="F5842" s="380" t="n">
        <x:v>7</x:v>
      </x:c>
      <x:c r="G5842" s="380" t="n">
        <x:f>--(F5842&lt;='Estimator'!$B$7)</x:f>
        <x:v>0</x:v>
      </x:c>
      <x:c r="H5842" s="381" t="n">
        <x:f>SUMIFS('Climate Data'!$G$7:$G$366,'Climate Data'!$A$7:$A$366,'Estimator'!$B$4,'Climate Data'!$B$7:$B$366,C5842)</x:f>
        <x:v>0.2914349276974416</x:v>
      </x:c>
      <x:c r="I5842" s="382" t="n">
        <x:f>SUMIFS('Climate Data'!$H$7:$H$366,'Climate Data'!$A$7:$A$366,'Estimator'!$B$4,'Climate Data'!$B$7:$B$366,C5842)</x:f>
        <x:v>9.043129770992365</x:v>
      </x:c>
      <x:c r="J5842" s="381" t="n">
        <x:f>SUMIFS('Wind Proxy'!$H$8:$H$19,'Wind Proxy'!$A$8:$A$19,'Estimator'!$B$4,'Wind Proxy'!$B$8:$B$19,C5842)</x:f>
        <x:v>0.12544802867383514</x:v>
      </x:c>
    </x:row>
    <x:row r="5843">
      <x:c r="A5843" s="379" t="n">
        <x:v>51494</x:v>
      </x:c>
      <x:c r="B5843" s="380" t="n">
        <x:v>2040</x:v>
      </x:c>
      <x:c r="C5843" s="380" t="n">
        <x:v>12</x:v>
      </x:c>
      <x:c r="D5843" s="380" t="str">
        <x:v>Dec</x:v>
      </x:c>
      <x:c r="E5843" s="380" t="n">
        <x:v>24</x:v>
      </x:c>
      <x:c r="F5843" s="380" t="n">
        <x:v>1</x:v>
      </x:c>
      <x:c r="G5843" s="380" t="n">
        <x:f>--(F5843&lt;='Estimator'!$B$7)</x:f>
        <x:v>1</x:v>
      </x:c>
      <x:c r="H5843" s="381" t="n">
        <x:f>SUMIFS('Climate Data'!$G$7:$G$366,'Climate Data'!$A$7:$A$366,'Estimator'!$B$4,'Climate Data'!$B$7:$B$366,C5843)</x:f>
        <x:v>0.2914349276974416</x:v>
      </x:c>
      <x:c r="I5843" s="382" t="n">
        <x:f>SUMIFS('Climate Data'!$H$7:$H$366,'Climate Data'!$A$7:$A$366,'Estimator'!$B$4,'Climate Data'!$B$7:$B$366,C5843)</x:f>
        <x:v>9.043129770992365</x:v>
      </x:c>
      <x:c r="J5843" s="381" t="n">
        <x:f>SUMIFS('Wind Proxy'!$H$8:$H$19,'Wind Proxy'!$A$8:$A$19,'Estimator'!$B$4,'Wind Proxy'!$B$8:$B$19,C5843)</x:f>
        <x:v>0.12544802867383514</x:v>
      </x:c>
    </x:row>
    <x:row r="5844">
      <x:c r="A5844" s="379" t="n">
        <x:v>51495</x:v>
      </x:c>
      <x:c r="B5844" s="380" t="n">
        <x:v>2040</x:v>
      </x:c>
      <x:c r="C5844" s="380" t="n">
        <x:v>12</x:v>
      </x:c>
      <x:c r="D5844" s="380" t="str">
        <x:v>Dec</x:v>
      </x:c>
      <x:c r="E5844" s="380" t="n">
        <x:v>25</x:v>
      </x:c>
      <x:c r="F5844" s="380" t="n">
        <x:v>2</x:v>
      </x:c>
      <x:c r="G5844" s="380" t="n">
        <x:f>--(F5844&lt;='Estimator'!$B$7)</x:f>
        <x:v>1</x:v>
      </x:c>
      <x:c r="H5844" s="381" t="n">
        <x:f>SUMIFS('Climate Data'!$G$7:$G$366,'Climate Data'!$A$7:$A$366,'Estimator'!$B$4,'Climate Data'!$B$7:$B$366,C5844)</x:f>
        <x:v>0.2914349276974416</x:v>
      </x:c>
      <x:c r="I5844" s="382" t="n">
        <x:f>SUMIFS('Climate Data'!$H$7:$H$366,'Climate Data'!$A$7:$A$366,'Estimator'!$B$4,'Climate Data'!$B$7:$B$366,C5844)</x:f>
        <x:v>9.043129770992365</x:v>
      </x:c>
      <x:c r="J5844" s="381" t="n">
        <x:f>SUMIFS('Wind Proxy'!$H$8:$H$19,'Wind Proxy'!$A$8:$A$19,'Estimator'!$B$4,'Wind Proxy'!$B$8:$B$19,C5844)</x:f>
        <x:v>0.12544802867383514</x:v>
      </x:c>
    </x:row>
    <x:row r="5845">
      <x:c r="A5845" s="379" t="n">
        <x:v>51496</x:v>
      </x:c>
      <x:c r="B5845" s="380" t="n">
        <x:v>2040</x:v>
      </x:c>
      <x:c r="C5845" s="380" t="n">
        <x:v>12</x:v>
      </x:c>
      <x:c r="D5845" s="380" t="str">
        <x:v>Dec</x:v>
      </x:c>
      <x:c r="E5845" s="380" t="n">
        <x:v>26</x:v>
      </x:c>
      <x:c r="F5845" s="380" t="n">
        <x:v>3</x:v>
      </x:c>
      <x:c r="G5845" s="380" t="n">
        <x:f>--(F5845&lt;='Estimator'!$B$7)</x:f>
        <x:v>1</x:v>
      </x:c>
      <x:c r="H5845" s="381" t="n">
        <x:f>SUMIFS('Climate Data'!$G$7:$G$366,'Climate Data'!$A$7:$A$366,'Estimator'!$B$4,'Climate Data'!$B$7:$B$366,C5845)</x:f>
        <x:v>0.2914349276974416</x:v>
      </x:c>
      <x:c r="I5845" s="382" t="n">
        <x:f>SUMIFS('Climate Data'!$H$7:$H$366,'Climate Data'!$A$7:$A$366,'Estimator'!$B$4,'Climate Data'!$B$7:$B$366,C5845)</x:f>
        <x:v>9.043129770992365</x:v>
      </x:c>
      <x:c r="J5845" s="381" t="n">
        <x:f>SUMIFS('Wind Proxy'!$H$8:$H$19,'Wind Proxy'!$A$8:$A$19,'Estimator'!$B$4,'Wind Proxy'!$B$8:$B$19,C5845)</x:f>
        <x:v>0.12544802867383514</x:v>
      </x:c>
    </x:row>
    <x:row r="5846">
      <x:c r="A5846" s="379" t="n">
        <x:v>51497</x:v>
      </x:c>
      <x:c r="B5846" s="380" t="n">
        <x:v>2040</x:v>
      </x:c>
      <x:c r="C5846" s="380" t="n">
        <x:v>12</x:v>
      </x:c>
      <x:c r="D5846" s="380" t="str">
        <x:v>Dec</x:v>
      </x:c>
      <x:c r="E5846" s="380" t="n">
        <x:v>27</x:v>
      </x:c>
      <x:c r="F5846" s="380" t="n">
        <x:v>4</x:v>
      </x:c>
      <x:c r="G5846" s="380" t="n">
        <x:f>--(F5846&lt;='Estimator'!$B$7)</x:f>
        <x:v>1</x:v>
      </x:c>
      <x:c r="H5846" s="381" t="n">
        <x:f>SUMIFS('Climate Data'!$G$7:$G$366,'Climate Data'!$A$7:$A$366,'Estimator'!$B$4,'Climate Data'!$B$7:$B$366,C5846)</x:f>
        <x:v>0.2914349276974416</x:v>
      </x:c>
      <x:c r="I5846" s="382" t="n">
        <x:f>SUMIFS('Climate Data'!$H$7:$H$366,'Climate Data'!$A$7:$A$366,'Estimator'!$B$4,'Climate Data'!$B$7:$B$366,C5846)</x:f>
        <x:v>9.043129770992365</x:v>
      </x:c>
      <x:c r="J5846" s="381" t="n">
        <x:f>SUMIFS('Wind Proxy'!$H$8:$H$19,'Wind Proxy'!$A$8:$A$19,'Estimator'!$B$4,'Wind Proxy'!$B$8:$B$19,C5846)</x:f>
        <x:v>0.12544802867383514</x:v>
      </x:c>
    </x:row>
    <x:row r="5847">
      <x:c r="A5847" s="379" t="n">
        <x:v>51498</x:v>
      </x:c>
      <x:c r="B5847" s="380" t="n">
        <x:v>2040</x:v>
      </x:c>
      <x:c r="C5847" s="380" t="n">
        <x:v>12</x:v>
      </x:c>
      <x:c r="D5847" s="380" t="str">
        <x:v>Dec</x:v>
      </x:c>
      <x:c r="E5847" s="380" t="n">
        <x:v>28</x:v>
      </x:c>
      <x:c r="F5847" s="380" t="n">
        <x:v>5</x:v>
      </x:c>
      <x:c r="G5847" s="380" t="n">
        <x:f>--(F5847&lt;='Estimator'!$B$7)</x:f>
        <x:v>1</x:v>
      </x:c>
      <x:c r="H5847" s="381" t="n">
        <x:f>SUMIFS('Climate Data'!$G$7:$G$366,'Climate Data'!$A$7:$A$366,'Estimator'!$B$4,'Climate Data'!$B$7:$B$366,C5847)</x:f>
        <x:v>0.2914349276974416</x:v>
      </x:c>
      <x:c r="I5847" s="382" t="n">
        <x:f>SUMIFS('Climate Data'!$H$7:$H$366,'Climate Data'!$A$7:$A$366,'Estimator'!$B$4,'Climate Data'!$B$7:$B$366,C5847)</x:f>
        <x:v>9.043129770992365</x:v>
      </x:c>
      <x:c r="J5847" s="381" t="n">
        <x:f>SUMIFS('Wind Proxy'!$H$8:$H$19,'Wind Proxy'!$A$8:$A$19,'Estimator'!$B$4,'Wind Proxy'!$B$8:$B$19,C5847)</x:f>
        <x:v>0.12544802867383514</x:v>
      </x:c>
    </x:row>
    <x:row r="5848">
      <x:c r="A5848" s="379" t="n">
        <x:v>51499</x:v>
      </x:c>
      <x:c r="B5848" s="380" t="n">
        <x:v>2040</x:v>
      </x:c>
      <x:c r="C5848" s="380" t="n">
        <x:v>12</x:v>
      </x:c>
      <x:c r="D5848" s="380" t="str">
        <x:v>Dec</x:v>
      </x:c>
      <x:c r="E5848" s="380" t="n">
        <x:v>29</x:v>
      </x:c>
      <x:c r="F5848" s="380" t="n">
        <x:v>6</x:v>
      </x:c>
      <x:c r="G5848" s="380" t="n">
        <x:f>--(F5848&lt;='Estimator'!$B$7)</x:f>
        <x:v>0</x:v>
      </x:c>
      <x:c r="H5848" s="381" t="n">
        <x:f>SUMIFS('Climate Data'!$G$7:$G$366,'Climate Data'!$A$7:$A$366,'Estimator'!$B$4,'Climate Data'!$B$7:$B$366,C5848)</x:f>
        <x:v>0.2914349276974416</x:v>
      </x:c>
      <x:c r="I5848" s="382" t="n">
        <x:f>SUMIFS('Climate Data'!$H$7:$H$366,'Climate Data'!$A$7:$A$366,'Estimator'!$B$4,'Climate Data'!$B$7:$B$366,C5848)</x:f>
        <x:v>9.043129770992365</x:v>
      </x:c>
      <x:c r="J5848" s="381" t="n">
        <x:f>SUMIFS('Wind Proxy'!$H$8:$H$19,'Wind Proxy'!$A$8:$A$19,'Estimator'!$B$4,'Wind Proxy'!$B$8:$B$19,C5848)</x:f>
        <x:v>0.12544802867383514</x:v>
      </x:c>
    </x:row>
    <x:row r="5849">
      <x:c r="A5849" s="379" t="n">
        <x:v>51500</x:v>
      </x:c>
      <x:c r="B5849" s="380" t="n">
        <x:v>2040</x:v>
      </x:c>
      <x:c r="C5849" s="380" t="n">
        <x:v>12</x:v>
      </x:c>
      <x:c r="D5849" s="380" t="str">
        <x:v>Dec</x:v>
      </x:c>
      <x:c r="E5849" s="380" t="n">
        <x:v>30</x:v>
      </x:c>
      <x:c r="F5849" s="380" t="n">
        <x:v>7</x:v>
      </x:c>
      <x:c r="G5849" s="380" t="n">
        <x:f>--(F5849&lt;='Estimator'!$B$7)</x:f>
        <x:v>0</x:v>
      </x:c>
      <x:c r="H5849" s="381" t="n">
        <x:f>SUMIFS('Climate Data'!$G$7:$G$366,'Climate Data'!$A$7:$A$366,'Estimator'!$B$4,'Climate Data'!$B$7:$B$366,C5849)</x:f>
        <x:v>0.2914349276974416</x:v>
      </x:c>
      <x:c r="I5849" s="382" t="n">
        <x:f>SUMIFS('Climate Data'!$H$7:$H$366,'Climate Data'!$A$7:$A$366,'Estimator'!$B$4,'Climate Data'!$B$7:$B$366,C5849)</x:f>
        <x:v>9.043129770992365</x:v>
      </x:c>
      <x:c r="J5849" s="381" t="n">
        <x:f>SUMIFS('Wind Proxy'!$H$8:$H$19,'Wind Proxy'!$A$8:$A$19,'Estimator'!$B$4,'Wind Proxy'!$B$8:$B$19,C5849)</x:f>
        <x:v>0.12544802867383514</x:v>
      </x:c>
    </x:row>
    <x:row r="5850">
      <x:c r="A5850" s="379" t="n">
        <x:v>51501</x:v>
      </x:c>
      <x:c r="B5850" s="380" t="n">
        <x:v>2040</x:v>
      </x:c>
      <x:c r="C5850" s="380" t="n">
        <x:v>12</x:v>
      </x:c>
      <x:c r="D5850" s="380" t="str">
        <x:v>Dec</x:v>
      </x:c>
      <x:c r="E5850" s="380" t="n">
        <x:v>31</x:v>
      </x:c>
      <x:c r="F5850" s="380" t="n">
        <x:v>1</x:v>
      </x:c>
      <x:c r="G5850" s="380" t="n">
        <x:f>--(F5850&lt;='Estimator'!$B$7)</x:f>
        <x:v>1</x:v>
      </x:c>
      <x:c r="H5850" s="381" t="n">
        <x:f>SUMIFS('Climate Data'!$G$7:$G$366,'Climate Data'!$A$7:$A$366,'Estimator'!$B$4,'Climate Data'!$B$7:$B$366,C5850)</x:f>
        <x:v>0.2914349276974416</x:v>
      </x:c>
      <x:c r="I5850" s="382" t="n">
        <x:f>SUMIFS('Climate Data'!$H$7:$H$366,'Climate Data'!$A$7:$A$366,'Estimator'!$B$4,'Climate Data'!$B$7:$B$366,C5850)</x:f>
        <x:v>9.043129770992365</x:v>
      </x:c>
      <x:c r="J5850" s="381" t="n">
        <x:f>SUMIFS('Wind Proxy'!$H$8:$H$19,'Wind Proxy'!$A$8:$A$19,'Estimator'!$B$4,'Wind Proxy'!$B$8:$B$19,C5850)</x:f>
        <x:v>0.12544802867383514</x:v>
      </x:c>
    </x:row>
  </x:sheetData>
  <x:mergeCells>
    <x:mergeCell ref="A1:J1"/>
    <x:mergeCell ref="A3:J4"/>
  </x:mergeCells>
  <x:pageMargins left="0.7" right="0.7" top="0.75" bottom="0.75" header="0.3" footer="0.3"/>
</x:worksheet>
</file>